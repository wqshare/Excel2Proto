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tabRatio="780" activeTab="1"/>
  </bookViews>
  <sheets>
    <sheet name="D_马仔表" sheetId="1" r:id="rId1"/>
    <sheet name="D_马仔经验" sheetId="6" r:id="rId2"/>
    <sheet name="马仔辅助经验表" sheetId="9" r:id="rId3"/>
    <sheet name="马仔等级性价比" sheetId="21" r:id="rId4"/>
    <sheet name="D_马仔升级属性" sheetId="15" r:id="rId5"/>
    <sheet name="D_马仔升星灵魂石" sheetId="18" r:id="rId6"/>
    <sheet name="D_马仔升星属性" sheetId="17" r:id="rId7"/>
    <sheet name="D_马仔培养进阶属性" sheetId="16" r:id="rId8"/>
    <sheet name="D_马仔培养宝物" sheetId="5" r:id="rId9"/>
    <sheet name="D_马仔宝物" sheetId="7" r:id="rId10"/>
    <sheet name="价值评估" sheetId="11" r:id="rId11"/>
    <sheet name="D_马仔技能" sheetId="19" r:id="rId12"/>
    <sheet name="技能辅助表" sheetId="25" r:id="rId13"/>
    <sheet name="D_马仔BUF表" sheetId="13" r:id="rId14"/>
    <sheet name="D__马仔援护位开放" sheetId="23" r:id="rId15"/>
    <sheet name="D_马仔追债任务表" sheetId="26" r:id="rId16"/>
    <sheet name="马仔追债辅助表" sheetId="28" r:id="rId17"/>
    <sheet name="D_追债劫掠购买表" sheetId="27" r:id="rId18"/>
    <sheet name="马仔辅助表" sheetId="3" r:id="rId19"/>
    <sheet name="马仔培养辅助表" sheetId="10" r:id="rId20"/>
  </sheets>
  <externalReferences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13" hidden="1">D_马仔BUF表!$A$1:$T$131</definedName>
    <definedName name="_xlnm._FilterDatabase" localSheetId="9" hidden="1">D_马仔宝物!$G$1:$G$84</definedName>
    <definedName name="_xlnm._FilterDatabase" localSheetId="11" hidden="1">D_马仔技能!$A$1:$J$210</definedName>
    <definedName name="_xlnm._FilterDatabase" localSheetId="8" hidden="1">D_马仔培养宝物!$A$1:$AK$193</definedName>
    <definedName name="马仔宝物合集">D_马仔培养宝物!$F$2:$K$229</definedName>
    <definedName name="马仔宝物属性">D_马仔宝物!$A$1:$F$198</definedName>
    <definedName name="马仔基本属性表">D_马仔表!$A$2:$W$20</definedName>
    <definedName name="马仔培养宝物属性">D_马仔培养宝物!$A$2:$R$229</definedName>
    <definedName name="马仔培养升级属性表">D_马仔培养进阶属性!$A$2:$E$17</definedName>
    <definedName name="马仔升级属性表">D_马仔升级属性!$A$2:$E$20</definedName>
    <definedName name="马仔升星属性表">D_马仔升星属性!$A$2:$H$20</definedName>
    <definedName name="属性权重数组">'[1]5、系统属性规划'!$B$45:$O$53</definedName>
    <definedName name="总属性参考数组">[1]人物总属性查询表!$B$4:$O$103</definedName>
  </definedNames>
  <calcPr calcId="152511"/>
</workbook>
</file>

<file path=xl/calcChain.xml><?xml version="1.0" encoding="utf-8"?>
<calcChain xmlns="http://schemas.openxmlformats.org/spreadsheetml/2006/main">
  <c r="G3" i="19" l="1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" i="19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" i="19"/>
  <c r="I6" i="11" l="1"/>
  <c r="H8" i="11"/>
  <c r="I8" i="11" s="1"/>
  <c r="H7" i="11" l="1"/>
  <c r="I7" i="11" s="1"/>
  <c r="H6" i="11"/>
  <c r="K7" i="9"/>
  <c r="W66" i="7" l="1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65" i="7"/>
  <c r="R69" i="11" l="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T15" i="11" l="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3" i="11"/>
  <c r="B2" i="11"/>
  <c r="X2" i="7" l="1"/>
  <c r="X3" i="7"/>
  <c r="X4" i="7"/>
  <c r="X5" i="7"/>
  <c r="X6" i="7"/>
  <c r="X7" i="7"/>
  <c r="X8" i="7"/>
  <c r="X9" i="7"/>
  <c r="X10" i="7"/>
  <c r="X65" i="7"/>
  <c r="X66" i="7"/>
  <c r="X67" i="7"/>
  <c r="X68" i="7"/>
  <c r="X69" i="7"/>
  <c r="X70" i="7"/>
  <c r="X71" i="7"/>
  <c r="X72" i="7"/>
  <c r="X73" i="7"/>
  <c r="X74" i="7"/>
  <c r="X75" i="7"/>
  <c r="X76" i="7"/>
  <c r="L11" i="7"/>
  <c r="AL3" i="7"/>
  <c r="AL4" i="7"/>
  <c r="AL5" i="7"/>
  <c r="AL6" i="7"/>
  <c r="AL7" i="7"/>
  <c r="AL8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L93" i="7"/>
  <c r="AL94" i="7"/>
  <c r="AL95" i="7"/>
  <c r="AL96" i="7"/>
  <c r="AL97" i="7"/>
  <c r="AL98" i="7"/>
  <c r="AL99" i="7"/>
  <c r="AL100" i="7"/>
  <c r="AL101" i="7"/>
  <c r="AL102" i="7"/>
  <c r="AL103" i="7"/>
  <c r="AL104" i="7"/>
  <c r="AL105" i="7"/>
  <c r="AL106" i="7"/>
  <c r="AL107" i="7"/>
  <c r="AL108" i="7"/>
  <c r="AL109" i="7"/>
  <c r="AL110" i="7"/>
  <c r="AL111" i="7"/>
  <c r="AL112" i="7"/>
  <c r="AL113" i="7"/>
  <c r="AL114" i="7"/>
  <c r="AL115" i="7"/>
  <c r="AL116" i="7"/>
  <c r="AL117" i="7"/>
  <c r="AL118" i="7"/>
  <c r="AL2" i="7"/>
  <c r="P14" i="5"/>
  <c r="Q14" i="5"/>
  <c r="R14" i="5"/>
  <c r="P26" i="5"/>
  <c r="Q26" i="5"/>
  <c r="R26" i="5"/>
  <c r="P38" i="5"/>
  <c r="Q38" i="5"/>
  <c r="R38" i="5"/>
  <c r="P50" i="5"/>
  <c r="Q50" i="5"/>
  <c r="R50" i="5"/>
  <c r="P62" i="5"/>
  <c r="Q62" i="5"/>
  <c r="R62" i="5"/>
  <c r="P74" i="5"/>
  <c r="Q74" i="5"/>
  <c r="R74" i="5"/>
  <c r="P86" i="5"/>
  <c r="Q86" i="5"/>
  <c r="R86" i="5"/>
  <c r="P98" i="5"/>
  <c r="Q98" i="5"/>
  <c r="R98" i="5"/>
  <c r="P110" i="5"/>
  <c r="Q110" i="5"/>
  <c r="R110" i="5"/>
  <c r="P122" i="5"/>
  <c r="Q122" i="5"/>
  <c r="R122" i="5"/>
  <c r="P134" i="5"/>
  <c r="Q134" i="5"/>
  <c r="R134" i="5"/>
  <c r="P146" i="5"/>
  <c r="Q146" i="5"/>
  <c r="R146" i="5"/>
  <c r="P158" i="5"/>
  <c r="Q158" i="5"/>
  <c r="R158" i="5"/>
  <c r="P170" i="5"/>
  <c r="Q170" i="5"/>
  <c r="R170" i="5"/>
  <c r="P182" i="5"/>
  <c r="Q182" i="5"/>
  <c r="R182" i="5"/>
  <c r="P194" i="5"/>
  <c r="Q194" i="5"/>
  <c r="R194" i="5"/>
  <c r="P206" i="5"/>
  <c r="Q206" i="5"/>
  <c r="R206" i="5"/>
  <c r="P218" i="5"/>
  <c r="Q218" i="5"/>
  <c r="R218" i="5"/>
  <c r="R2" i="5"/>
  <c r="Q2" i="5"/>
  <c r="P2" i="5"/>
  <c r="L21" i="7" l="1"/>
  <c r="X21" i="7" s="1"/>
  <c r="W11" i="7"/>
  <c r="R15" i="11" s="1"/>
  <c r="X11" i="7"/>
  <c r="P111" i="11"/>
  <c r="Q111" i="11"/>
  <c r="P112" i="11"/>
  <c r="Q112" i="11"/>
  <c r="P113" i="11"/>
  <c r="Q113" i="11"/>
  <c r="P114" i="11"/>
  <c r="Q114" i="11"/>
  <c r="P115" i="11"/>
  <c r="Q115" i="11"/>
  <c r="P116" i="11"/>
  <c r="Q116" i="11"/>
  <c r="P117" i="11"/>
  <c r="Q117" i="11"/>
  <c r="P118" i="11"/>
  <c r="Q118" i="11"/>
  <c r="P119" i="11"/>
  <c r="Q119" i="11"/>
  <c r="P120" i="11"/>
  <c r="Q120" i="11"/>
  <c r="P121" i="11"/>
  <c r="Q121" i="11"/>
  <c r="P122" i="11"/>
  <c r="Q122" i="11"/>
  <c r="P7" i="11"/>
  <c r="Q7" i="11"/>
  <c r="P8" i="11"/>
  <c r="Q8" i="11"/>
  <c r="P9" i="11"/>
  <c r="Q9" i="11"/>
  <c r="P10" i="11"/>
  <c r="Q10" i="11"/>
  <c r="P11" i="11"/>
  <c r="Q11" i="11"/>
  <c r="P12" i="11"/>
  <c r="Q12" i="11"/>
  <c r="P13" i="11"/>
  <c r="Q13" i="11"/>
  <c r="P14" i="11"/>
  <c r="Q14" i="11"/>
  <c r="P15" i="11"/>
  <c r="Q15" i="11"/>
  <c r="P16" i="11"/>
  <c r="Q16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P35" i="11"/>
  <c r="Q35" i="11"/>
  <c r="P36" i="11"/>
  <c r="Q36" i="11"/>
  <c r="P37" i="11"/>
  <c r="Q37" i="11"/>
  <c r="P38" i="11"/>
  <c r="Q38" i="11"/>
  <c r="P39" i="11"/>
  <c r="Q39" i="11"/>
  <c r="P40" i="11"/>
  <c r="Q40" i="11"/>
  <c r="P41" i="11"/>
  <c r="Q41" i="11"/>
  <c r="P42" i="11"/>
  <c r="Q42" i="11"/>
  <c r="P43" i="11"/>
  <c r="Q43" i="11"/>
  <c r="P44" i="11"/>
  <c r="Q44" i="11"/>
  <c r="P45" i="11"/>
  <c r="Q45" i="11"/>
  <c r="P46" i="11"/>
  <c r="Q46" i="11"/>
  <c r="P47" i="11"/>
  <c r="Q47" i="11"/>
  <c r="P48" i="11"/>
  <c r="Q48" i="11"/>
  <c r="P49" i="11"/>
  <c r="Q49" i="11"/>
  <c r="P50" i="11"/>
  <c r="Q50" i="11"/>
  <c r="P51" i="11"/>
  <c r="Q51" i="11"/>
  <c r="P52" i="11"/>
  <c r="Q52" i="11"/>
  <c r="P53" i="11"/>
  <c r="Q53" i="11"/>
  <c r="P54" i="11"/>
  <c r="Q54" i="11"/>
  <c r="P55" i="11"/>
  <c r="Q55" i="11"/>
  <c r="P56" i="11"/>
  <c r="Q56" i="11"/>
  <c r="P57" i="11"/>
  <c r="Q57" i="11"/>
  <c r="P58" i="11"/>
  <c r="Q58" i="11"/>
  <c r="P59" i="11"/>
  <c r="Q59" i="11"/>
  <c r="P60" i="11"/>
  <c r="Q60" i="11"/>
  <c r="P61" i="11"/>
  <c r="Q61" i="11"/>
  <c r="P62" i="11"/>
  <c r="Q62" i="11"/>
  <c r="P63" i="11"/>
  <c r="Q63" i="11"/>
  <c r="P64" i="11"/>
  <c r="Q64" i="11"/>
  <c r="P65" i="11"/>
  <c r="Q65" i="11"/>
  <c r="P66" i="11"/>
  <c r="Q66" i="11"/>
  <c r="P67" i="11"/>
  <c r="Q67" i="11"/>
  <c r="P68" i="11"/>
  <c r="Q68" i="11"/>
  <c r="P69" i="11"/>
  <c r="Q69" i="11"/>
  <c r="P70" i="11"/>
  <c r="Q70" i="11"/>
  <c r="P71" i="11"/>
  <c r="Q71" i="11"/>
  <c r="P72" i="11"/>
  <c r="Q72" i="11"/>
  <c r="P73" i="11"/>
  <c r="Q73" i="11"/>
  <c r="P74" i="11"/>
  <c r="Q74" i="11"/>
  <c r="P75" i="11"/>
  <c r="Q75" i="11"/>
  <c r="P76" i="11"/>
  <c r="Q76" i="11"/>
  <c r="P77" i="11"/>
  <c r="Q77" i="11"/>
  <c r="P78" i="11"/>
  <c r="Q78" i="11"/>
  <c r="P79" i="11"/>
  <c r="Q79" i="11"/>
  <c r="P80" i="11"/>
  <c r="Q80" i="11"/>
  <c r="P81" i="11"/>
  <c r="Q81" i="11"/>
  <c r="P82" i="11"/>
  <c r="Q82" i="11"/>
  <c r="P83" i="11"/>
  <c r="Q83" i="11"/>
  <c r="P84" i="11"/>
  <c r="Q84" i="11"/>
  <c r="P85" i="11"/>
  <c r="Q85" i="11"/>
  <c r="P86" i="11"/>
  <c r="Q86" i="11"/>
  <c r="P87" i="11"/>
  <c r="Q87" i="11"/>
  <c r="P88" i="11"/>
  <c r="Q88" i="11"/>
  <c r="P89" i="11"/>
  <c r="Q89" i="11"/>
  <c r="P90" i="11"/>
  <c r="Q90" i="11"/>
  <c r="P91" i="11"/>
  <c r="Q91" i="11"/>
  <c r="P92" i="11"/>
  <c r="Q92" i="11"/>
  <c r="P93" i="11"/>
  <c r="Q93" i="11"/>
  <c r="P94" i="11"/>
  <c r="Q94" i="11"/>
  <c r="P95" i="11"/>
  <c r="Q95" i="11"/>
  <c r="P96" i="11"/>
  <c r="Q96" i="11"/>
  <c r="P97" i="11"/>
  <c r="Q97" i="11"/>
  <c r="P98" i="11"/>
  <c r="Q98" i="11"/>
  <c r="P99" i="11"/>
  <c r="Q99" i="11"/>
  <c r="P100" i="11"/>
  <c r="Q100" i="11"/>
  <c r="P101" i="11"/>
  <c r="Q101" i="11"/>
  <c r="P102" i="11"/>
  <c r="Q102" i="11"/>
  <c r="P103" i="11"/>
  <c r="Q103" i="11"/>
  <c r="P104" i="11"/>
  <c r="Q104" i="11"/>
  <c r="P105" i="11"/>
  <c r="Q105" i="11"/>
  <c r="P106" i="11"/>
  <c r="Q106" i="11"/>
  <c r="P107" i="11"/>
  <c r="Q107" i="11"/>
  <c r="P108" i="11"/>
  <c r="Q108" i="11"/>
  <c r="P109" i="11"/>
  <c r="Q109" i="11"/>
  <c r="P110" i="11"/>
  <c r="Q110" i="11"/>
  <c r="Q6" i="11"/>
  <c r="T60" i="7" l="1"/>
  <c r="T58" i="7"/>
  <c r="T57" i="7"/>
  <c r="T56" i="7"/>
  <c r="T61" i="7"/>
  <c r="T55" i="7"/>
  <c r="Q55" i="7"/>
  <c r="T59" i="7"/>
  <c r="T54" i="7"/>
  <c r="T62" i="7"/>
  <c r="T53" i="7"/>
  <c r="Q62" i="7"/>
  <c r="Q61" i="7"/>
  <c r="Q60" i="7"/>
  <c r="Q59" i="7"/>
  <c r="Q58" i="7"/>
  <c r="Q57" i="7"/>
  <c r="Q56" i="7"/>
  <c r="Q54" i="7" l="1"/>
  <c r="Q53" i="7"/>
  <c r="T50" i="7"/>
  <c r="T43" i="7"/>
  <c r="T40" i="7"/>
  <c r="T36" i="7"/>
  <c r="T49" i="7"/>
  <c r="T48" i="7"/>
  <c r="T47" i="7"/>
  <c r="T46" i="7"/>
  <c r="T45" i="7"/>
  <c r="T44" i="7"/>
  <c r="Q44" i="7"/>
  <c r="Q46" i="7"/>
  <c r="Q45" i="7"/>
  <c r="Q47" i="7"/>
  <c r="Q48" i="7"/>
  <c r="Q49" i="7"/>
  <c r="Q50" i="7"/>
  <c r="Q43" i="7"/>
  <c r="P43" i="7" s="1"/>
  <c r="Q63" i="7"/>
  <c r="Q64" i="7"/>
  <c r="Q51" i="7"/>
  <c r="Q52" i="7"/>
  <c r="T38" i="7"/>
  <c r="T37" i="7"/>
  <c r="T34" i="7"/>
  <c r="T33" i="7"/>
  <c r="T32" i="7"/>
  <c r="T31" i="7"/>
  <c r="Q39" i="7"/>
  <c r="T39" i="7"/>
  <c r="T35" i="7"/>
  <c r="T27" i="7"/>
  <c r="Q41" i="7" l="1"/>
  <c r="Q42" i="7"/>
  <c r="Q40" i="7"/>
  <c r="Q38" i="7"/>
  <c r="Q37" i="7"/>
  <c r="Q36" i="7"/>
  <c r="Q35" i="7"/>
  <c r="Q34" i="7"/>
  <c r="Q33" i="7"/>
  <c r="Q32" i="7"/>
  <c r="Q31" i="7"/>
  <c r="T23" i="7"/>
  <c r="T28" i="7"/>
  <c r="T26" i="7"/>
  <c r="T25" i="7"/>
  <c r="T24" i="7"/>
  <c r="U24" i="7" s="1"/>
  <c r="T22" i="7"/>
  <c r="T21" i="7"/>
  <c r="Q23" i="7"/>
  <c r="Q24" i="7"/>
  <c r="Q25" i="7"/>
  <c r="Q26" i="7"/>
  <c r="Q27" i="7"/>
  <c r="Q28" i="7"/>
  <c r="Q30" i="7"/>
  <c r="Q29" i="7"/>
  <c r="Q22" i="7"/>
  <c r="Q21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U22" i="7"/>
  <c r="U23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65" i="7"/>
  <c r="AC65" i="7" s="1"/>
  <c r="A66" i="7"/>
  <c r="N12" i="7" s="1"/>
  <c r="A67" i="7"/>
  <c r="N13" i="7" s="1"/>
  <c r="A68" i="7"/>
  <c r="N14" i="7" s="1"/>
  <c r="A69" i="7"/>
  <c r="N15" i="7" s="1"/>
  <c r="A70" i="7"/>
  <c r="N16" i="7" s="1"/>
  <c r="A71" i="7"/>
  <c r="N17" i="7" s="1"/>
  <c r="A72" i="7"/>
  <c r="N18" i="7" s="1"/>
  <c r="A73" i="7"/>
  <c r="N19" i="7" s="1"/>
  <c r="A74" i="7"/>
  <c r="N20" i="7" s="1"/>
  <c r="A75" i="7"/>
  <c r="N21" i="7" s="1"/>
  <c r="A76" i="7"/>
  <c r="N22" i="7" s="1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R65" i="7"/>
  <c r="AY65" i="7" s="1"/>
  <c r="BF65" i="7" s="1"/>
  <c r="BM65" i="7" s="1"/>
  <c r="BT65" i="7" s="1"/>
  <c r="CA65" i="7" s="1"/>
  <c r="CH65" i="7" s="1"/>
  <c r="AP65" i="7"/>
  <c r="AW65" i="7" s="1"/>
  <c r="BD65" i="7" s="1"/>
  <c r="BK65" i="7" s="1"/>
  <c r="BR65" i="7" s="1"/>
  <c r="BY65" i="7" s="1"/>
  <c r="CF65" i="7" s="1"/>
  <c r="AN65" i="7"/>
  <c r="E65" i="7"/>
  <c r="B65" i="7"/>
  <c r="C65" i="7" s="1"/>
  <c r="A65" i="7"/>
  <c r="N11" i="7" l="1"/>
  <c r="U21" i="7"/>
  <c r="AO65" i="7"/>
  <c r="R22" i="7"/>
  <c r="AM65" i="7"/>
  <c r="AV65" i="7" s="1"/>
  <c r="BC65" i="7" s="1"/>
  <c r="R21" i="7"/>
  <c r="G13" i="18"/>
  <c r="G14" i="18"/>
  <c r="G15" i="18"/>
  <c r="G16" i="18"/>
  <c r="G17" i="18"/>
  <c r="G18" i="18"/>
  <c r="G19" i="18"/>
  <c r="G29" i="18" s="1"/>
  <c r="G39" i="18" s="1"/>
  <c r="G49" i="18" s="1"/>
  <c r="G59" i="18" s="1"/>
  <c r="G69" i="18" s="1"/>
  <c r="G79" i="18" s="1"/>
  <c r="G89" i="18" s="1"/>
  <c r="G99" i="18" s="1"/>
  <c r="G109" i="18" s="1"/>
  <c r="G119" i="18" s="1"/>
  <c r="G129" i="18" s="1"/>
  <c r="G139" i="18" s="1"/>
  <c r="G149" i="18" s="1"/>
  <c r="G159" i="18" s="1"/>
  <c r="G169" i="18" s="1"/>
  <c r="G179" i="18" s="1"/>
  <c r="G189" i="18" s="1"/>
  <c r="G20" i="18"/>
  <c r="G30" i="18" s="1"/>
  <c r="G40" i="18" s="1"/>
  <c r="G50" i="18" s="1"/>
  <c r="G60" i="18" s="1"/>
  <c r="G70" i="18" s="1"/>
  <c r="G80" i="18" s="1"/>
  <c r="G90" i="18" s="1"/>
  <c r="G100" i="18" s="1"/>
  <c r="G110" i="18" s="1"/>
  <c r="G120" i="18" s="1"/>
  <c r="G130" i="18" s="1"/>
  <c r="G140" i="18" s="1"/>
  <c r="G150" i="18" s="1"/>
  <c r="G160" i="18" s="1"/>
  <c r="G170" i="18" s="1"/>
  <c r="G180" i="18" s="1"/>
  <c r="G190" i="18" s="1"/>
  <c r="G21" i="18"/>
  <c r="G22" i="18"/>
  <c r="G23" i="18"/>
  <c r="G24" i="18"/>
  <c r="G25" i="18"/>
  <c r="G26" i="18"/>
  <c r="G27" i="18"/>
  <c r="G37" i="18" s="1"/>
  <c r="G47" i="18" s="1"/>
  <c r="G57" i="18" s="1"/>
  <c r="G67" i="18" s="1"/>
  <c r="G77" i="18" s="1"/>
  <c r="G87" i="18" s="1"/>
  <c r="G97" i="18" s="1"/>
  <c r="G107" i="18" s="1"/>
  <c r="G117" i="18" s="1"/>
  <c r="G127" i="18" s="1"/>
  <c r="G137" i="18" s="1"/>
  <c r="G147" i="18" s="1"/>
  <c r="G157" i="18" s="1"/>
  <c r="G167" i="18" s="1"/>
  <c r="G177" i="18" s="1"/>
  <c r="G187" i="18" s="1"/>
  <c r="G28" i="18"/>
  <c r="G38" i="18" s="1"/>
  <c r="G48" i="18" s="1"/>
  <c r="G58" i="18" s="1"/>
  <c r="G68" i="18" s="1"/>
  <c r="G78" i="18" s="1"/>
  <c r="G88" i="18" s="1"/>
  <c r="G98" i="18" s="1"/>
  <c r="G108" i="18" s="1"/>
  <c r="G118" i="18" s="1"/>
  <c r="G128" i="18" s="1"/>
  <c r="G138" i="18" s="1"/>
  <c r="G148" i="18" s="1"/>
  <c r="G158" i="18" s="1"/>
  <c r="G168" i="18" s="1"/>
  <c r="G178" i="18" s="1"/>
  <c r="G188" i="18" s="1"/>
  <c r="G31" i="18"/>
  <c r="G32" i="18"/>
  <c r="G33" i="18"/>
  <c r="G34" i="18"/>
  <c r="G35" i="18"/>
  <c r="G45" i="18" s="1"/>
  <c r="G55" i="18" s="1"/>
  <c r="G65" i="18" s="1"/>
  <c r="G75" i="18" s="1"/>
  <c r="G85" i="18" s="1"/>
  <c r="G95" i="18" s="1"/>
  <c r="G105" i="18" s="1"/>
  <c r="G115" i="18" s="1"/>
  <c r="G125" i="18" s="1"/>
  <c r="G135" i="18" s="1"/>
  <c r="G145" i="18" s="1"/>
  <c r="G155" i="18" s="1"/>
  <c r="G165" i="18" s="1"/>
  <c r="G175" i="18" s="1"/>
  <c r="G185" i="18" s="1"/>
  <c r="G36" i="18"/>
  <c r="G46" i="18" s="1"/>
  <c r="G56" i="18" s="1"/>
  <c r="G66" i="18" s="1"/>
  <c r="G76" i="18" s="1"/>
  <c r="G86" i="18" s="1"/>
  <c r="G96" i="18" s="1"/>
  <c r="G106" i="18" s="1"/>
  <c r="G116" i="18" s="1"/>
  <c r="G126" i="18" s="1"/>
  <c r="G136" i="18" s="1"/>
  <c r="G146" i="18" s="1"/>
  <c r="G156" i="18" s="1"/>
  <c r="G166" i="18" s="1"/>
  <c r="G176" i="18" s="1"/>
  <c r="G186" i="18" s="1"/>
  <c r="G41" i="18"/>
  <c r="G42" i="18"/>
  <c r="G43" i="18"/>
  <c r="G53" i="18" s="1"/>
  <c r="G63" i="18" s="1"/>
  <c r="G73" i="18" s="1"/>
  <c r="G83" i="18" s="1"/>
  <c r="G93" i="18" s="1"/>
  <c r="G103" i="18" s="1"/>
  <c r="G113" i="18" s="1"/>
  <c r="G123" i="18" s="1"/>
  <c r="G133" i="18" s="1"/>
  <c r="G143" i="18" s="1"/>
  <c r="G153" i="18" s="1"/>
  <c r="G163" i="18" s="1"/>
  <c r="G173" i="18" s="1"/>
  <c r="G183" i="18" s="1"/>
  <c r="G44" i="18"/>
  <c r="G54" i="18" s="1"/>
  <c r="G64" i="18" s="1"/>
  <c r="G74" i="18" s="1"/>
  <c r="G84" i="18" s="1"/>
  <c r="G94" i="18" s="1"/>
  <c r="G104" i="18" s="1"/>
  <c r="G114" i="18" s="1"/>
  <c r="G124" i="18" s="1"/>
  <c r="G134" i="18" s="1"/>
  <c r="G144" i="18" s="1"/>
  <c r="G154" i="18" s="1"/>
  <c r="G164" i="18" s="1"/>
  <c r="G174" i="18" s="1"/>
  <c r="G184" i="18" s="1"/>
  <c r="G51" i="18"/>
  <c r="G61" i="18" s="1"/>
  <c r="G71" i="18" s="1"/>
  <c r="G81" i="18" s="1"/>
  <c r="G91" i="18" s="1"/>
  <c r="G101" i="18" s="1"/>
  <c r="G111" i="18" s="1"/>
  <c r="G121" i="18" s="1"/>
  <c r="G131" i="18" s="1"/>
  <c r="G141" i="18" s="1"/>
  <c r="G151" i="18" s="1"/>
  <c r="G161" i="18" s="1"/>
  <c r="G171" i="18" s="1"/>
  <c r="G181" i="18" s="1"/>
  <c r="G191" i="18" s="1"/>
  <c r="G52" i="18"/>
  <c r="G62" i="18" s="1"/>
  <c r="G72" i="18" s="1"/>
  <c r="G82" i="18" s="1"/>
  <c r="G92" i="18" s="1"/>
  <c r="G102" i="18" s="1"/>
  <c r="G112" i="18" s="1"/>
  <c r="G122" i="18" s="1"/>
  <c r="G132" i="18" s="1"/>
  <c r="G142" i="18" s="1"/>
  <c r="G152" i="18" s="1"/>
  <c r="G162" i="18" s="1"/>
  <c r="G172" i="18" s="1"/>
  <c r="G182" i="18" s="1"/>
  <c r="G12" i="18"/>
  <c r="AS65" i="7" l="1"/>
  <c r="AQ65" i="7"/>
  <c r="BJ65" i="7"/>
  <c r="BQ65" i="7" l="1"/>
  <c r="BX65" i="7" l="1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2" i="18"/>
  <c r="CE65" i="7" l="1"/>
  <c r="L13" i="7" l="1"/>
  <c r="L15" i="7"/>
  <c r="L16" i="7"/>
  <c r="L17" i="7"/>
  <c r="E66" i="7"/>
  <c r="E67" i="7"/>
  <c r="E68" i="7"/>
  <c r="E69" i="7"/>
  <c r="E70" i="7"/>
  <c r="E71" i="7"/>
  <c r="E72" i="7"/>
  <c r="E73" i="7"/>
  <c r="E74" i="7"/>
  <c r="E75" i="7"/>
  <c r="E76" i="7"/>
  <c r="B66" i="7"/>
  <c r="C66" i="7" s="1"/>
  <c r="B67" i="7"/>
  <c r="C67" i="7" s="1"/>
  <c r="B68" i="7"/>
  <c r="C68" i="7" s="1"/>
  <c r="B69" i="7"/>
  <c r="C69" i="7" s="1"/>
  <c r="B70" i="7"/>
  <c r="C70" i="7" s="1"/>
  <c r="B71" i="7"/>
  <c r="C71" i="7" s="1"/>
  <c r="B72" i="7"/>
  <c r="C72" i="7" s="1"/>
  <c r="B73" i="7"/>
  <c r="C73" i="7" s="1"/>
  <c r="B74" i="7"/>
  <c r="C74" i="7" s="1"/>
  <c r="B75" i="7"/>
  <c r="C75" i="7" s="1"/>
  <c r="B76" i="7"/>
  <c r="C76" i="7" s="1"/>
  <c r="AR76" i="7"/>
  <c r="AY76" i="7" s="1"/>
  <c r="BF76" i="7" s="1"/>
  <c r="BM76" i="7" s="1"/>
  <c r="BT76" i="7" s="1"/>
  <c r="CA76" i="7" s="1"/>
  <c r="CH76" i="7" s="1"/>
  <c r="AP76" i="7"/>
  <c r="AW76" i="7" s="1"/>
  <c r="BD76" i="7" s="1"/>
  <c r="BK76" i="7" s="1"/>
  <c r="BR76" i="7" s="1"/>
  <c r="BY76" i="7" s="1"/>
  <c r="CF76" i="7" s="1"/>
  <c r="AN76" i="7"/>
  <c r="AC76" i="7"/>
  <c r="AR75" i="7"/>
  <c r="AY75" i="7" s="1"/>
  <c r="BF75" i="7" s="1"/>
  <c r="BM75" i="7" s="1"/>
  <c r="BT75" i="7" s="1"/>
  <c r="CA75" i="7" s="1"/>
  <c r="CH75" i="7" s="1"/>
  <c r="AP75" i="7"/>
  <c r="AN75" i="7"/>
  <c r="AM75" i="7"/>
  <c r="AV75" i="7" s="1"/>
  <c r="AC75" i="7"/>
  <c r="AR74" i="7"/>
  <c r="AY74" i="7" s="1"/>
  <c r="BF74" i="7" s="1"/>
  <c r="BM74" i="7" s="1"/>
  <c r="BT74" i="7" s="1"/>
  <c r="CA74" i="7" s="1"/>
  <c r="CH74" i="7" s="1"/>
  <c r="AP74" i="7"/>
  <c r="AW74" i="7" s="1"/>
  <c r="BD74" i="7" s="1"/>
  <c r="BK74" i="7" s="1"/>
  <c r="BR74" i="7" s="1"/>
  <c r="BY74" i="7" s="1"/>
  <c r="CF74" i="7" s="1"/>
  <c r="AN74" i="7"/>
  <c r="AC74" i="7"/>
  <c r="AR73" i="7"/>
  <c r="AP73" i="7"/>
  <c r="AW73" i="7" s="1"/>
  <c r="BD73" i="7" s="1"/>
  <c r="BK73" i="7" s="1"/>
  <c r="BR73" i="7" s="1"/>
  <c r="BY73" i="7" s="1"/>
  <c r="CF73" i="7" s="1"/>
  <c r="AN73" i="7"/>
  <c r="AC73" i="7"/>
  <c r="AY72" i="7"/>
  <c r="BF72" i="7" s="1"/>
  <c r="BM72" i="7" s="1"/>
  <c r="BT72" i="7" s="1"/>
  <c r="CA72" i="7" s="1"/>
  <c r="CH72" i="7" s="1"/>
  <c r="AR72" i="7"/>
  <c r="AP72" i="7"/>
  <c r="AW72" i="7" s="1"/>
  <c r="BD72" i="7" s="1"/>
  <c r="BK72" i="7" s="1"/>
  <c r="BR72" i="7" s="1"/>
  <c r="BY72" i="7" s="1"/>
  <c r="CF72" i="7" s="1"/>
  <c r="AN72" i="7"/>
  <c r="AC72" i="7"/>
  <c r="AR71" i="7"/>
  <c r="AY71" i="7" s="1"/>
  <c r="BF71" i="7" s="1"/>
  <c r="BM71" i="7" s="1"/>
  <c r="BT71" i="7" s="1"/>
  <c r="CA71" i="7" s="1"/>
  <c r="CH71" i="7" s="1"/>
  <c r="AP71" i="7"/>
  <c r="AN71" i="7"/>
  <c r="AC71" i="7"/>
  <c r="AR70" i="7"/>
  <c r="AY70" i="7" s="1"/>
  <c r="BF70" i="7" s="1"/>
  <c r="BM70" i="7" s="1"/>
  <c r="BT70" i="7" s="1"/>
  <c r="CA70" i="7" s="1"/>
  <c r="CH70" i="7" s="1"/>
  <c r="AP70" i="7"/>
  <c r="AW70" i="7" s="1"/>
  <c r="BD70" i="7" s="1"/>
  <c r="BK70" i="7" s="1"/>
  <c r="BR70" i="7" s="1"/>
  <c r="BY70" i="7" s="1"/>
  <c r="CF70" i="7" s="1"/>
  <c r="AN70" i="7"/>
  <c r="AC70" i="7"/>
  <c r="AR69" i="7"/>
  <c r="AP69" i="7"/>
  <c r="AW69" i="7" s="1"/>
  <c r="BD69" i="7" s="1"/>
  <c r="BK69" i="7" s="1"/>
  <c r="BR69" i="7" s="1"/>
  <c r="BY69" i="7" s="1"/>
  <c r="CF69" i="7" s="1"/>
  <c r="AN69" i="7"/>
  <c r="AC69" i="7"/>
  <c r="AR68" i="7"/>
  <c r="AY68" i="7" s="1"/>
  <c r="BF68" i="7" s="1"/>
  <c r="BM68" i="7" s="1"/>
  <c r="BT68" i="7" s="1"/>
  <c r="CA68" i="7" s="1"/>
  <c r="CH68" i="7" s="1"/>
  <c r="AP68" i="7"/>
  <c r="AW68" i="7" s="1"/>
  <c r="BD68" i="7" s="1"/>
  <c r="BK68" i="7" s="1"/>
  <c r="BR68" i="7" s="1"/>
  <c r="BY68" i="7" s="1"/>
  <c r="CF68" i="7" s="1"/>
  <c r="AN68" i="7"/>
  <c r="AC68" i="7"/>
  <c r="AR67" i="7"/>
  <c r="AP67" i="7"/>
  <c r="AN67" i="7"/>
  <c r="AC67" i="7"/>
  <c r="AR66" i="7"/>
  <c r="AY66" i="7" s="1"/>
  <c r="BF66" i="7" s="1"/>
  <c r="BM66" i="7" s="1"/>
  <c r="BT66" i="7" s="1"/>
  <c r="CA66" i="7" s="1"/>
  <c r="CH66" i="7" s="1"/>
  <c r="AP66" i="7"/>
  <c r="AW66" i="7" s="1"/>
  <c r="BD66" i="7" s="1"/>
  <c r="BK66" i="7" s="1"/>
  <c r="BR66" i="7" s="1"/>
  <c r="BY66" i="7" s="1"/>
  <c r="CF66" i="7" s="1"/>
  <c r="AN66" i="7"/>
  <c r="AC66" i="7"/>
  <c r="F2" i="26"/>
  <c r="X17" i="7" l="1"/>
  <c r="W17" i="7"/>
  <c r="R21" i="11" s="1"/>
  <c r="X16" i="7"/>
  <c r="W16" i="7"/>
  <c r="R20" i="11" s="1"/>
  <c r="X15" i="7"/>
  <c r="W15" i="7"/>
  <c r="R19" i="11" s="1"/>
  <c r="X13" i="7"/>
  <c r="W13" i="7"/>
  <c r="R17" i="11" s="1"/>
  <c r="AM70" i="7"/>
  <c r="AS70" i="7"/>
  <c r="AQ69" i="7"/>
  <c r="AQ66" i="7"/>
  <c r="AM72" i="7"/>
  <c r="AV72" i="7" s="1"/>
  <c r="BC72" i="7" s="1"/>
  <c r="BJ72" i="7" s="1"/>
  <c r="AO72" i="7"/>
  <c r="AO76" i="7"/>
  <c r="AM73" i="7"/>
  <c r="AV73" i="7" s="1"/>
  <c r="BC73" i="7" s="1"/>
  <c r="AQ73" i="7"/>
  <c r="AQ68" i="7"/>
  <c r="AS75" i="7"/>
  <c r="AO67" i="7"/>
  <c r="L19" i="7"/>
  <c r="L18" i="7"/>
  <c r="AM69" i="7"/>
  <c r="AV69" i="7" s="1"/>
  <c r="BC69" i="7" s="1"/>
  <c r="AM66" i="7"/>
  <c r="AV66" i="7" s="1"/>
  <c r="BC66" i="7" s="1"/>
  <c r="BJ66" i="7" s="1"/>
  <c r="BQ66" i="7" s="1"/>
  <c r="AM76" i="7"/>
  <c r="AV76" i="7" s="1"/>
  <c r="BC76" i="7" s="1"/>
  <c r="AM68" i="7"/>
  <c r="AV68" i="7" s="1"/>
  <c r="BC68" i="7" s="1"/>
  <c r="BJ68" i="7" s="1"/>
  <c r="AM67" i="7"/>
  <c r="AV67" i="7" s="1"/>
  <c r="BC67" i="7" s="1"/>
  <c r="AM74" i="7"/>
  <c r="AV74" i="7" s="1"/>
  <c r="BC74" i="7" s="1"/>
  <c r="BJ74" i="7" s="1"/>
  <c r="BQ74" i="7" s="1"/>
  <c r="AM71" i="7"/>
  <c r="AV71" i="7" s="1"/>
  <c r="BC71" i="7" s="1"/>
  <c r="BJ71" i="7" s="1"/>
  <c r="AO71" i="7"/>
  <c r="AS71" i="7"/>
  <c r="AQ74" i="7"/>
  <c r="AO74" i="7"/>
  <c r="BC75" i="7"/>
  <c r="AY67" i="7"/>
  <c r="BF67" i="7" s="1"/>
  <c r="BM67" i="7" s="1"/>
  <c r="BT67" i="7" s="1"/>
  <c r="CA67" i="7" s="1"/>
  <c r="CH67" i="7" s="1"/>
  <c r="AS74" i="7"/>
  <c r="AW75" i="7"/>
  <c r="BD75" i="7" s="1"/>
  <c r="BK75" i="7" s="1"/>
  <c r="BR75" i="7" s="1"/>
  <c r="BY75" i="7" s="1"/>
  <c r="CF75" i="7" s="1"/>
  <c r="AW67" i="7"/>
  <c r="BD67" i="7" s="1"/>
  <c r="BK67" i="7" s="1"/>
  <c r="BR67" i="7" s="1"/>
  <c r="BY67" i="7" s="1"/>
  <c r="CF67" i="7" s="1"/>
  <c r="AQ71" i="7"/>
  <c r="AW71" i="7"/>
  <c r="BD71" i="7" s="1"/>
  <c r="BK71" i="7" s="1"/>
  <c r="BR71" i="7" s="1"/>
  <c r="BY71" i="7" s="1"/>
  <c r="CF71" i="7" s="1"/>
  <c r="AY73" i="7"/>
  <c r="BF73" i="7" s="1"/>
  <c r="BM73" i="7" s="1"/>
  <c r="BT73" i="7" s="1"/>
  <c r="CA73" i="7" s="1"/>
  <c r="CH73" i="7" s="1"/>
  <c r="AY69" i="7"/>
  <c r="BF69" i="7" s="1"/>
  <c r="BM69" i="7" s="1"/>
  <c r="BT69" i="7" s="1"/>
  <c r="CA69" i="7" s="1"/>
  <c r="CH69" i="7" s="1"/>
  <c r="AV70" i="7"/>
  <c r="F6" i="11"/>
  <c r="X18" i="7" l="1"/>
  <c r="W18" i="7"/>
  <c r="R22" i="11" s="1"/>
  <c r="X19" i="7"/>
  <c r="W19" i="7"/>
  <c r="R23" i="11" s="1"/>
  <c r="AS76" i="7"/>
  <c r="AQ76" i="7"/>
  <c r="AS68" i="7"/>
  <c r="AO68" i="7"/>
  <c r="AS67" i="7"/>
  <c r="AQ75" i="7"/>
  <c r="AO75" i="7"/>
  <c r="AQ67" i="7"/>
  <c r="AO69" i="7"/>
  <c r="AO70" i="7"/>
  <c r="AQ70" i="7"/>
  <c r="AS69" i="7"/>
  <c r="AS66" i="7"/>
  <c r="AO66" i="7"/>
  <c r="AQ72" i="7"/>
  <c r="AS72" i="7"/>
  <c r="AO73" i="7"/>
  <c r="AS73" i="7"/>
  <c r="BC70" i="7"/>
  <c r="BJ76" i="7"/>
  <c r="BJ67" i="7"/>
  <c r="BQ72" i="7"/>
  <c r="BX74" i="7"/>
  <c r="BJ73" i="7"/>
  <c r="BX66" i="7"/>
  <c r="BJ75" i="7"/>
  <c r="BQ68" i="7"/>
  <c r="BJ69" i="7"/>
  <c r="BQ71" i="7"/>
  <c r="I25" i="28"/>
  <c r="I26" i="28"/>
  <c r="I27" i="28"/>
  <c r="I24" i="28"/>
  <c r="BQ69" i="7" l="1"/>
  <c r="BX72" i="7"/>
  <c r="BJ70" i="7"/>
  <c r="CE66" i="7"/>
  <c r="BX68" i="7"/>
  <c r="BQ76" i="7"/>
  <c r="BQ75" i="7"/>
  <c r="BQ73" i="7"/>
  <c r="BX71" i="7"/>
  <c r="CE74" i="7"/>
  <c r="BQ67" i="7"/>
  <c r="H15" i="28"/>
  <c r="BX73" i="7" l="1"/>
  <c r="BX67" i="7"/>
  <c r="BX75" i="7"/>
  <c r="CE68" i="7"/>
  <c r="BX69" i="7"/>
  <c r="BQ70" i="7"/>
  <c r="CE72" i="7"/>
  <c r="BX76" i="7"/>
  <c r="CE71" i="7"/>
  <c r="F3" i="11"/>
  <c r="F4" i="11" s="1"/>
  <c r="BX70" i="7" l="1"/>
  <c r="CE73" i="7"/>
  <c r="CE75" i="7"/>
  <c r="CE76" i="7"/>
  <c r="CE69" i="7"/>
  <c r="CE67" i="7"/>
  <c r="E39" i="13"/>
  <c r="CE70" i="7" l="1"/>
  <c r="AA11" i="13"/>
  <c r="L19" i="1" l="1"/>
  <c r="L20" i="1"/>
  <c r="A191" i="18"/>
  <c r="C191" i="18"/>
  <c r="A190" i="18"/>
  <c r="C190" i="18"/>
  <c r="A174" i="18"/>
  <c r="C174" i="18"/>
  <c r="A175" i="18"/>
  <c r="C175" i="18"/>
  <c r="C185" i="18" s="1"/>
  <c r="A176" i="18"/>
  <c r="C176" i="18"/>
  <c r="A177" i="18"/>
  <c r="C177" i="18"/>
  <c r="A178" i="18"/>
  <c r="C178" i="18"/>
  <c r="A179" i="18"/>
  <c r="C179" i="18"/>
  <c r="A180" i="18"/>
  <c r="C180" i="18"/>
  <c r="A181" i="18"/>
  <c r="C181" i="18"/>
  <c r="A182" i="18"/>
  <c r="C182" i="18"/>
  <c r="A183" i="18"/>
  <c r="C183" i="18"/>
  <c r="A184" i="18"/>
  <c r="C184" i="18"/>
  <c r="A185" i="18"/>
  <c r="A186" i="18"/>
  <c r="C186" i="18"/>
  <c r="A187" i="18"/>
  <c r="C187" i="18"/>
  <c r="A188" i="18"/>
  <c r="C188" i="18"/>
  <c r="A189" i="18"/>
  <c r="C189" i="18"/>
  <c r="A162" i="18"/>
  <c r="C162" i="18"/>
  <c r="A163" i="18"/>
  <c r="C163" i="18"/>
  <c r="A164" i="18"/>
  <c r="C164" i="18"/>
  <c r="A165" i="18"/>
  <c r="C165" i="18"/>
  <c r="A166" i="18"/>
  <c r="C166" i="18"/>
  <c r="A167" i="18"/>
  <c r="C167" i="18"/>
  <c r="A168" i="18"/>
  <c r="C168" i="18"/>
  <c r="A169" i="18"/>
  <c r="C169" i="18"/>
  <c r="A170" i="18"/>
  <c r="C170" i="18"/>
  <c r="A171" i="18"/>
  <c r="C171" i="18"/>
  <c r="A172" i="18"/>
  <c r="C172" i="18"/>
  <c r="A173" i="18"/>
  <c r="C173" i="18"/>
  <c r="B18" i="17"/>
  <c r="B19" i="17"/>
  <c r="B20" i="17"/>
  <c r="B18" i="16"/>
  <c r="B19" i="16"/>
  <c r="B20" i="16"/>
  <c r="AN2" i="7"/>
  <c r="O3" i="13"/>
  <c r="O4" i="13"/>
  <c r="O5" i="13"/>
  <c r="O6" i="13"/>
  <c r="P6" i="13" s="1"/>
  <c r="O7" i="13"/>
  <c r="O8" i="13"/>
  <c r="O9" i="13"/>
  <c r="P9" i="13" s="1"/>
  <c r="O10" i="13"/>
  <c r="P10" i="13" s="1"/>
  <c r="O11" i="13"/>
  <c r="O12" i="13"/>
  <c r="O13" i="13"/>
  <c r="O14" i="13"/>
  <c r="P14" i="13" s="1"/>
  <c r="O15" i="13"/>
  <c r="O16" i="13"/>
  <c r="O17" i="13"/>
  <c r="O18" i="13"/>
  <c r="O19" i="13"/>
  <c r="O20" i="13"/>
  <c r="O21" i="13"/>
  <c r="O22" i="13"/>
  <c r="P22" i="13" s="1"/>
  <c r="O23" i="13"/>
  <c r="O24" i="13"/>
  <c r="O25" i="13"/>
  <c r="O26" i="13"/>
  <c r="P26" i="13" s="1"/>
  <c r="O27" i="13"/>
  <c r="O28" i="13"/>
  <c r="O29" i="13"/>
  <c r="O30" i="13"/>
  <c r="P30" i="13" s="1"/>
  <c r="O31" i="13"/>
  <c r="O32" i="13"/>
  <c r="O33" i="13"/>
  <c r="P33" i="13" s="1"/>
  <c r="O34" i="13"/>
  <c r="O35" i="13"/>
  <c r="O36" i="13"/>
  <c r="O37" i="13"/>
  <c r="P37" i="13" s="1"/>
  <c r="O38" i="13"/>
  <c r="P38" i="13" s="1"/>
  <c r="O39" i="13"/>
  <c r="O40" i="13"/>
  <c r="O41" i="13"/>
  <c r="P41" i="13" s="1"/>
  <c r="O42" i="13"/>
  <c r="P42" i="13" s="1"/>
  <c r="O43" i="13"/>
  <c r="O44" i="13"/>
  <c r="O45" i="13"/>
  <c r="O46" i="13"/>
  <c r="P46" i="13" s="1"/>
  <c r="O47" i="13"/>
  <c r="O48" i="13"/>
  <c r="O49" i="13"/>
  <c r="O50" i="13"/>
  <c r="O51" i="13"/>
  <c r="O52" i="13"/>
  <c r="O53" i="13"/>
  <c r="O54" i="13"/>
  <c r="P54" i="13" s="1"/>
  <c r="O55" i="13"/>
  <c r="O56" i="13"/>
  <c r="O57" i="13"/>
  <c r="P57" i="13" s="1"/>
  <c r="O58" i="13"/>
  <c r="O59" i="13"/>
  <c r="O60" i="13"/>
  <c r="O61" i="13"/>
  <c r="P61" i="13" s="1"/>
  <c r="O62" i="13"/>
  <c r="P62" i="13" s="1"/>
  <c r="O63" i="13"/>
  <c r="O64" i="13"/>
  <c r="O65" i="13"/>
  <c r="O66" i="13"/>
  <c r="O67" i="13"/>
  <c r="O68" i="13"/>
  <c r="O69" i="13"/>
  <c r="O70" i="13"/>
  <c r="P70" i="13" s="1"/>
  <c r="O71" i="13"/>
  <c r="O72" i="13"/>
  <c r="O73" i="13"/>
  <c r="P73" i="13" s="1"/>
  <c r="O74" i="13"/>
  <c r="P74" i="13" s="1"/>
  <c r="O75" i="13"/>
  <c r="O76" i="13"/>
  <c r="O77" i="13"/>
  <c r="O78" i="13"/>
  <c r="P78" i="13" s="1"/>
  <c r="O79" i="13"/>
  <c r="O80" i="13"/>
  <c r="O81" i="13"/>
  <c r="O82" i="13"/>
  <c r="O83" i="13"/>
  <c r="O84" i="13"/>
  <c r="O85" i="13"/>
  <c r="O86" i="13"/>
  <c r="P86" i="13" s="1"/>
  <c r="O87" i="13"/>
  <c r="O88" i="13"/>
  <c r="O89" i="13"/>
  <c r="O90" i="13"/>
  <c r="O91" i="13"/>
  <c r="O92" i="13"/>
  <c r="O93" i="13"/>
  <c r="O94" i="13"/>
  <c r="P94" i="13" s="1"/>
  <c r="O95" i="13"/>
  <c r="O96" i="13"/>
  <c r="O97" i="13"/>
  <c r="P97" i="13" s="1"/>
  <c r="O98" i="13"/>
  <c r="O99" i="13"/>
  <c r="O100" i="13"/>
  <c r="O101" i="13"/>
  <c r="O102" i="13"/>
  <c r="P102" i="13" s="1"/>
  <c r="O103" i="13"/>
  <c r="O104" i="13"/>
  <c r="O105" i="13"/>
  <c r="P105" i="13" s="1"/>
  <c r="O106" i="13"/>
  <c r="P106" i="13" s="1"/>
  <c r="O107" i="13"/>
  <c r="O108" i="13"/>
  <c r="O109" i="13"/>
  <c r="P109" i="13" s="1"/>
  <c r="O110" i="13"/>
  <c r="P110" i="13" s="1"/>
  <c r="O111" i="13"/>
  <c r="O112" i="13"/>
  <c r="O113" i="13"/>
  <c r="O114" i="13"/>
  <c r="P114" i="13" s="1"/>
  <c r="O115" i="13"/>
  <c r="O116" i="13"/>
  <c r="O117" i="13"/>
  <c r="O118" i="13"/>
  <c r="P118" i="13" s="1"/>
  <c r="O119" i="13"/>
  <c r="O120" i="13"/>
  <c r="O121" i="13"/>
  <c r="O122" i="13"/>
  <c r="O123" i="13"/>
  <c r="O124" i="13"/>
  <c r="O125" i="13"/>
  <c r="O126" i="13"/>
  <c r="P126" i="13" s="1"/>
  <c r="O127" i="13"/>
  <c r="O128" i="13"/>
  <c r="O129" i="13"/>
  <c r="O130" i="13"/>
  <c r="O131" i="13"/>
  <c r="O132" i="13"/>
  <c r="O133" i="13"/>
  <c r="P133" i="13" s="1"/>
  <c r="O134" i="13"/>
  <c r="P134" i="13" s="1"/>
  <c r="O135" i="13"/>
  <c r="O136" i="13"/>
  <c r="O137" i="13"/>
  <c r="P137" i="13" s="1"/>
  <c r="O138" i="13"/>
  <c r="O139" i="13"/>
  <c r="O140" i="13"/>
  <c r="O141" i="13"/>
  <c r="O142" i="13"/>
  <c r="P142" i="13" s="1"/>
  <c r="O143" i="13"/>
  <c r="O144" i="13"/>
  <c r="O145" i="13"/>
  <c r="O146" i="13"/>
  <c r="O147" i="13"/>
  <c r="O148" i="13"/>
  <c r="O149" i="13"/>
  <c r="P149" i="13" s="1"/>
  <c r="O150" i="13"/>
  <c r="P150" i="13" s="1"/>
  <c r="O151" i="13"/>
  <c r="O152" i="13"/>
  <c r="O153" i="13"/>
  <c r="P153" i="13" s="1"/>
  <c r="O2" i="13"/>
  <c r="W48" i="13"/>
  <c r="W49" i="13"/>
  <c r="W50" i="13"/>
  <c r="D153" i="13"/>
  <c r="R153" i="13" s="1"/>
  <c r="Q153" i="13" s="1"/>
  <c r="A153" i="13"/>
  <c r="R152" i="13"/>
  <c r="Q152" i="13"/>
  <c r="D152" i="13"/>
  <c r="B152" i="13"/>
  <c r="A152" i="13"/>
  <c r="D151" i="13"/>
  <c r="R151" i="13" s="1"/>
  <c r="Q151" i="13" s="1"/>
  <c r="A151" i="13"/>
  <c r="E133" i="13"/>
  <c r="E152" i="13" s="1"/>
  <c r="E58" i="13"/>
  <c r="E77" i="13" s="1"/>
  <c r="E96" i="13" s="1"/>
  <c r="E115" i="13" s="1"/>
  <c r="E134" i="13" s="1"/>
  <c r="E153" i="13" s="1"/>
  <c r="D39" i="13"/>
  <c r="R39" i="13" s="1"/>
  <c r="Q39" i="13" s="1"/>
  <c r="B39" i="13"/>
  <c r="B58" i="13" s="1"/>
  <c r="B77" i="13" s="1"/>
  <c r="B96" i="13" s="1"/>
  <c r="B115" i="13" s="1"/>
  <c r="B134" i="13" s="1"/>
  <c r="B153" i="13" s="1"/>
  <c r="A39" i="13"/>
  <c r="E38" i="13"/>
  <c r="E57" i="13" s="1"/>
  <c r="E76" i="13" s="1"/>
  <c r="E95" i="13" s="1"/>
  <c r="E114" i="13" s="1"/>
  <c r="D38" i="13"/>
  <c r="R38" i="13" s="1"/>
  <c r="Q38" i="13" s="1"/>
  <c r="B38" i="13"/>
  <c r="B57" i="13" s="1"/>
  <c r="B76" i="13" s="1"/>
  <c r="B95" i="13" s="1"/>
  <c r="B114" i="13" s="1"/>
  <c r="B133" i="13" s="1"/>
  <c r="A38" i="13"/>
  <c r="E37" i="13"/>
  <c r="E56" i="13" s="1"/>
  <c r="E75" i="13" s="1"/>
  <c r="E94" i="13" s="1"/>
  <c r="E113" i="13" s="1"/>
  <c r="E132" i="13" s="1"/>
  <c r="E151" i="13" s="1"/>
  <c r="D37" i="13"/>
  <c r="R37" i="13" s="1"/>
  <c r="Q37" i="13" s="1"/>
  <c r="B37" i="13"/>
  <c r="B56" i="13" s="1"/>
  <c r="B75" i="13" s="1"/>
  <c r="B94" i="13" s="1"/>
  <c r="B113" i="13" s="1"/>
  <c r="B132" i="13" s="1"/>
  <c r="B151" i="13" s="1"/>
  <c r="A37" i="13"/>
  <c r="A56" i="13" s="1"/>
  <c r="R20" i="13"/>
  <c r="Q20" i="13" s="1"/>
  <c r="R19" i="13"/>
  <c r="Q19" i="13" s="1"/>
  <c r="R18" i="13"/>
  <c r="Q18" i="13" s="1"/>
  <c r="H122" i="3"/>
  <c r="H121" i="3"/>
  <c r="H120" i="3"/>
  <c r="H98" i="3"/>
  <c r="G98" i="3"/>
  <c r="F98" i="3"/>
  <c r="D98" i="3"/>
  <c r="G97" i="3"/>
  <c r="F97" i="3"/>
  <c r="D97" i="3"/>
  <c r="H96" i="3"/>
  <c r="G96" i="3"/>
  <c r="F96" i="3"/>
  <c r="D96" i="3"/>
  <c r="H76" i="3"/>
  <c r="G76" i="3"/>
  <c r="F76" i="3"/>
  <c r="D76" i="3"/>
  <c r="H75" i="3"/>
  <c r="G75" i="3"/>
  <c r="F75" i="3"/>
  <c r="D75" i="3"/>
  <c r="H74" i="3"/>
  <c r="G74" i="3"/>
  <c r="F74" i="3"/>
  <c r="D74" i="3"/>
  <c r="H53" i="3"/>
  <c r="G53" i="3"/>
  <c r="F53" i="3"/>
  <c r="D53" i="3"/>
  <c r="G52" i="3"/>
  <c r="F52" i="3"/>
  <c r="D52" i="3"/>
  <c r="H52" i="3" s="1"/>
  <c r="G51" i="3"/>
  <c r="F51" i="3"/>
  <c r="D51" i="3"/>
  <c r="H51" i="3" s="1"/>
  <c r="H30" i="3"/>
  <c r="E30" i="3"/>
  <c r="E53" i="3" s="1"/>
  <c r="H29" i="3"/>
  <c r="H97" i="3" s="1"/>
  <c r="E29" i="3"/>
  <c r="H28" i="3"/>
  <c r="E28" i="3"/>
  <c r="E74" i="3" s="1"/>
  <c r="E76" i="3" l="1"/>
  <c r="E122" i="3"/>
  <c r="E51" i="3"/>
  <c r="E120" i="3"/>
  <c r="E75" i="3"/>
  <c r="E121" i="3"/>
  <c r="E97" i="3"/>
  <c r="P138" i="13"/>
  <c r="P82" i="13"/>
  <c r="P34" i="13"/>
  <c r="P129" i="13"/>
  <c r="P81" i="13"/>
  <c r="P65" i="13"/>
  <c r="P17" i="13"/>
  <c r="P152" i="13"/>
  <c r="P120" i="13"/>
  <c r="P146" i="13"/>
  <c r="P130" i="13"/>
  <c r="P98" i="13"/>
  <c r="P66" i="13"/>
  <c r="P50" i="13"/>
  <c r="P18" i="13"/>
  <c r="P2" i="13"/>
  <c r="P122" i="13"/>
  <c r="P90" i="13"/>
  <c r="P58" i="13"/>
  <c r="P145" i="13"/>
  <c r="P113" i="13"/>
  <c r="P49" i="13"/>
  <c r="P121" i="13"/>
  <c r="P89" i="13"/>
  <c r="P25" i="13"/>
  <c r="P144" i="13"/>
  <c r="P136" i="13"/>
  <c r="P128" i="13"/>
  <c r="P104" i="13"/>
  <c r="P88" i="13"/>
  <c r="P72" i="13"/>
  <c r="P56" i="13"/>
  <c r="P40" i="13"/>
  <c r="P24" i="13"/>
  <c r="P8" i="13"/>
  <c r="P112" i="13"/>
  <c r="P96" i="13"/>
  <c r="P80" i="13"/>
  <c r="P64" i="13"/>
  <c r="P48" i="13"/>
  <c r="P32" i="13"/>
  <c r="P16" i="13"/>
  <c r="P151" i="13"/>
  <c r="P143" i="13"/>
  <c r="P135" i="13"/>
  <c r="P127" i="13"/>
  <c r="P119" i="13"/>
  <c r="P111" i="13"/>
  <c r="P103" i="13"/>
  <c r="P95" i="13"/>
  <c r="P87" i="13"/>
  <c r="P79" i="13"/>
  <c r="P71" i="13"/>
  <c r="P63" i="13"/>
  <c r="P55" i="13"/>
  <c r="P47" i="13"/>
  <c r="P39" i="13"/>
  <c r="P31" i="13"/>
  <c r="P23" i="13"/>
  <c r="P15" i="13"/>
  <c r="P7" i="13"/>
  <c r="P141" i="13"/>
  <c r="P117" i="13"/>
  <c r="P101" i="13"/>
  <c r="P85" i="13"/>
  <c r="P69" i="13"/>
  <c r="P45" i="13"/>
  <c r="P29" i="13"/>
  <c r="P5" i="13"/>
  <c r="P148" i="13"/>
  <c r="P140" i="13"/>
  <c r="P132" i="13"/>
  <c r="P124" i="13"/>
  <c r="P116" i="13"/>
  <c r="P108" i="13"/>
  <c r="P100" i="13"/>
  <c r="P92" i="13"/>
  <c r="P84" i="13"/>
  <c r="P76" i="13"/>
  <c r="P68" i="13"/>
  <c r="P60" i="13"/>
  <c r="P52" i="13"/>
  <c r="P44" i="13"/>
  <c r="P36" i="13"/>
  <c r="P28" i="13"/>
  <c r="P20" i="13"/>
  <c r="P12" i="13"/>
  <c r="P4" i="13"/>
  <c r="P125" i="13"/>
  <c r="P93" i="13"/>
  <c r="P77" i="13"/>
  <c r="P53" i="13"/>
  <c r="P21" i="13"/>
  <c r="P13" i="13"/>
  <c r="P147" i="13"/>
  <c r="P139" i="13"/>
  <c r="P131" i="13"/>
  <c r="P123" i="13"/>
  <c r="P115" i="13"/>
  <c r="P107" i="13"/>
  <c r="P99" i="13"/>
  <c r="P91" i="13"/>
  <c r="P83" i="13"/>
  <c r="P75" i="13"/>
  <c r="P67" i="13"/>
  <c r="P59" i="13"/>
  <c r="P51" i="13"/>
  <c r="P43" i="13"/>
  <c r="P35" i="13"/>
  <c r="P27" i="13"/>
  <c r="P19" i="13"/>
  <c r="P11" i="13"/>
  <c r="P3" i="13"/>
  <c r="D58" i="13"/>
  <c r="R58" i="13" s="1"/>
  <c r="Q58" i="13" s="1"/>
  <c r="A57" i="13"/>
  <c r="D57" i="13"/>
  <c r="D76" i="13" s="1"/>
  <c r="D56" i="13"/>
  <c r="A75" i="13"/>
  <c r="A58" i="13"/>
  <c r="E96" i="3"/>
  <c r="E98" i="3"/>
  <c r="E52" i="3"/>
  <c r="A76" i="13" l="1"/>
  <c r="D77" i="13"/>
  <c r="R77" i="13" s="1"/>
  <c r="Q77" i="13" s="1"/>
  <c r="A94" i="13"/>
  <c r="R57" i="13"/>
  <c r="Q57" i="13" s="1"/>
  <c r="R76" i="13"/>
  <c r="Q76" i="13" s="1"/>
  <c r="D95" i="13"/>
  <c r="R56" i="13"/>
  <c r="Q56" i="13" s="1"/>
  <c r="D75" i="13"/>
  <c r="A77" i="13"/>
  <c r="A113" i="13" l="1"/>
  <c r="R95" i="13"/>
  <c r="Q95" i="13" s="1"/>
  <c r="D114" i="13"/>
  <c r="D96" i="13"/>
  <c r="A95" i="13"/>
  <c r="A96" i="13"/>
  <c r="R75" i="13"/>
  <c r="Q75" i="13" s="1"/>
  <c r="D94" i="13"/>
  <c r="R114" i="13" l="1"/>
  <c r="Q114" i="13" s="1"/>
  <c r="D133" i="13"/>
  <c r="R133" i="13" s="1"/>
  <c r="Q133" i="13" s="1"/>
  <c r="A132" i="13"/>
  <c r="A115" i="13"/>
  <c r="A114" i="13"/>
  <c r="R94" i="13"/>
  <c r="Q94" i="13" s="1"/>
  <c r="D113" i="13"/>
  <c r="R96" i="13"/>
  <c r="Q96" i="13" s="1"/>
  <c r="D115" i="13"/>
  <c r="A134" i="13" l="1"/>
  <c r="R115" i="13"/>
  <c r="Q115" i="13" s="1"/>
  <c r="D134" i="13"/>
  <c r="R134" i="13" s="1"/>
  <c r="Q134" i="13" s="1"/>
  <c r="A133" i="13"/>
  <c r="R113" i="13"/>
  <c r="Q113" i="13" s="1"/>
  <c r="D132" i="13"/>
  <c r="R132" i="13" s="1"/>
  <c r="Q132" i="13" s="1"/>
  <c r="B18" i="15" l="1"/>
  <c r="J20" i="21" s="1"/>
  <c r="B19" i="15"/>
  <c r="J21" i="21" s="1"/>
  <c r="B20" i="15"/>
  <c r="J22" i="21" s="1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38" i="19"/>
  <c r="D39" i="19"/>
  <c r="D2" i="19"/>
  <c r="E56" i="19"/>
  <c r="E75" i="19" s="1"/>
  <c r="E94" i="19" s="1"/>
  <c r="E113" i="19" s="1"/>
  <c r="E132" i="19" s="1"/>
  <c r="E151" i="19" s="1"/>
  <c r="E170" i="19" s="1"/>
  <c r="E189" i="19" s="1"/>
  <c r="E208" i="19" s="1"/>
  <c r="A37" i="19"/>
  <c r="D37" i="19" s="1"/>
  <c r="A38" i="19"/>
  <c r="J38" i="19" s="1"/>
  <c r="A39" i="19"/>
  <c r="J39" i="19" s="1"/>
  <c r="E39" i="19"/>
  <c r="E58" i="19" s="1"/>
  <c r="E77" i="19" s="1"/>
  <c r="E96" i="19" s="1"/>
  <c r="E115" i="19" s="1"/>
  <c r="E134" i="19" s="1"/>
  <c r="E153" i="19" s="1"/>
  <c r="E172" i="19" s="1"/>
  <c r="E191" i="19" s="1"/>
  <c r="E210" i="19" s="1"/>
  <c r="C39" i="19"/>
  <c r="C58" i="19" s="1"/>
  <c r="C77" i="19" s="1"/>
  <c r="C96" i="19" s="1"/>
  <c r="C115" i="19" s="1"/>
  <c r="C134" i="19" s="1"/>
  <c r="C153" i="19" s="1"/>
  <c r="C172" i="19" s="1"/>
  <c r="C191" i="19" s="1"/>
  <c r="C210" i="19" s="1"/>
  <c r="B39" i="19"/>
  <c r="B58" i="19" s="1"/>
  <c r="B77" i="19" s="1"/>
  <c r="B96" i="19" s="1"/>
  <c r="B115" i="19" s="1"/>
  <c r="B134" i="19" s="1"/>
  <c r="B153" i="19" s="1"/>
  <c r="B172" i="19" s="1"/>
  <c r="B191" i="19" s="1"/>
  <c r="B210" i="19" s="1"/>
  <c r="E38" i="19"/>
  <c r="E57" i="19" s="1"/>
  <c r="E76" i="19" s="1"/>
  <c r="E95" i="19" s="1"/>
  <c r="E114" i="19" s="1"/>
  <c r="E133" i="19" s="1"/>
  <c r="E152" i="19" s="1"/>
  <c r="E171" i="19" s="1"/>
  <c r="E190" i="19" s="1"/>
  <c r="E209" i="19" s="1"/>
  <c r="C38" i="19"/>
  <c r="C57" i="19" s="1"/>
  <c r="C76" i="19" s="1"/>
  <c r="C95" i="19" s="1"/>
  <c r="C114" i="19" s="1"/>
  <c r="C133" i="19" s="1"/>
  <c r="C152" i="19" s="1"/>
  <c r="C171" i="19" s="1"/>
  <c r="C190" i="19" s="1"/>
  <c r="C209" i="19" s="1"/>
  <c r="B38" i="19"/>
  <c r="B57" i="19" s="1"/>
  <c r="B76" i="19" s="1"/>
  <c r="B95" i="19" s="1"/>
  <c r="B114" i="19" s="1"/>
  <c r="B133" i="19" s="1"/>
  <c r="B152" i="19" s="1"/>
  <c r="B171" i="19" s="1"/>
  <c r="B190" i="19" s="1"/>
  <c r="B209" i="19" s="1"/>
  <c r="E37" i="19"/>
  <c r="C37" i="19"/>
  <c r="C56" i="19" s="1"/>
  <c r="C75" i="19" s="1"/>
  <c r="C94" i="19" s="1"/>
  <c r="C113" i="19" s="1"/>
  <c r="C132" i="19" s="1"/>
  <c r="C151" i="19" s="1"/>
  <c r="C170" i="19" s="1"/>
  <c r="C189" i="19" s="1"/>
  <c r="C208" i="19" s="1"/>
  <c r="B37" i="19"/>
  <c r="B56" i="19" s="1"/>
  <c r="B75" i="19" s="1"/>
  <c r="B94" i="19" s="1"/>
  <c r="B113" i="19" s="1"/>
  <c r="B132" i="19" s="1"/>
  <c r="B151" i="19" s="1"/>
  <c r="B170" i="19" s="1"/>
  <c r="B189" i="19" s="1"/>
  <c r="B208" i="19" s="1"/>
  <c r="J20" i="19"/>
  <c r="H39" i="19"/>
  <c r="H58" i="19" s="1"/>
  <c r="H77" i="19" s="1"/>
  <c r="H96" i="19" s="1"/>
  <c r="H115" i="19" s="1"/>
  <c r="H134" i="19" s="1"/>
  <c r="H153" i="19" s="1"/>
  <c r="H172" i="19" s="1"/>
  <c r="H191" i="19" s="1"/>
  <c r="H210" i="19" s="1"/>
  <c r="J19" i="19"/>
  <c r="H38" i="19"/>
  <c r="H57" i="19" s="1"/>
  <c r="H76" i="19" s="1"/>
  <c r="H95" i="19" s="1"/>
  <c r="H114" i="19" s="1"/>
  <c r="H133" i="19" s="1"/>
  <c r="H152" i="19" s="1"/>
  <c r="H171" i="19" s="1"/>
  <c r="H190" i="19" s="1"/>
  <c r="H209" i="19" s="1"/>
  <c r="J18" i="19"/>
  <c r="H37" i="19"/>
  <c r="H56" i="19" s="1"/>
  <c r="H75" i="19" s="1"/>
  <c r="H94" i="19" s="1"/>
  <c r="H113" i="19" s="1"/>
  <c r="H132" i="19" s="1"/>
  <c r="H151" i="19" s="1"/>
  <c r="H170" i="19" s="1"/>
  <c r="H189" i="19" s="1"/>
  <c r="H208" i="19" s="1"/>
  <c r="L15" i="11"/>
  <c r="L16" i="11"/>
  <c r="L17" i="11"/>
  <c r="L18" i="11"/>
  <c r="J30" i="11"/>
  <c r="K30" i="11"/>
  <c r="J31" i="11"/>
  <c r="K31" i="11"/>
  <c r="J32" i="11"/>
  <c r="K32" i="11"/>
  <c r="D30" i="11"/>
  <c r="D31" i="11"/>
  <c r="D32" i="11"/>
  <c r="M23" i="18"/>
  <c r="E30" i="11" s="1"/>
  <c r="M24" i="18"/>
  <c r="E31" i="11" s="1"/>
  <c r="M25" i="18"/>
  <c r="E32" i="11" s="1"/>
  <c r="M8" i="18"/>
  <c r="E15" i="11" s="1"/>
  <c r="M9" i="18"/>
  <c r="E16" i="11" s="1"/>
  <c r="M10" i="18"/>
  <c r="E17" i="11" s="1"/>
  <c r="M11" i="18"/>
  <c r="E18" i="11" s="1"/>
  <c r="M12" i="18"/>
  <c r="E19" i="11" s="1"/>
  <c r="M13" i="18"/>
  <c r="E20" i="11" s="1"/>
  <c r="M14" i="18"/>
  <c r="E21" i="11" s="1"/>
  <c r="M15" i="18"/>
  <c r="E22" i="11" s="1"/>
  <c r="M16" i="18"/>
  <c r="E23" i="11" s="1"/>
  <c r="M17" i="18"/>
  <c r="E24" i="11" s="1"/>
  <c r="M18" i="18"/>
  <c r="E25" i="11" s="1"/>
  <c r="M19" i="18"/>
  <c r="E26" i="11" s="1"/>
  <c r="M20" i="18"/>
  <c r="E27" i="11" s="1"/>
  <c r="M21" i="18"/>
  <c r="E28" i="11" s="1"/>
  <c r="M22" i="18"/>
  <c r="E29" i="11" s="1"/>
  <c r="M7" i="18"/>
  <c r="E14" i="11" s="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L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14" i="11"/>
  <c r="K14" i="11"/>
  <c r="A56" i="19" l="1"/>
  <c r="A58" i="19"/>
  <c r="A57" i="19"/>
  <c r="J37" i="19"/>
  <c r="B218" i="5"/>
  <c r="C206" i="5"/>
  <c r="C194" i="5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B206" i="5"/>
  <c r="B194" i="5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Y20" i="1"/>
  <c r="Y19" i="1"/>
  <c r="L18" i="1"/>
  <c r="Y18" i="1"/>
  <c r="Z18" i="1"/>
  <c r="A18" i="1" s="1"/>
  <c r="Z19" i="1"/>
  <c r="A19" i="1" s="1"/>
  <c r="Z20" i="1"/>
  <c r="A20" i="1" s="1"/>
  <c r="A218" i="5" l="1"/>
  <c r="A20" i="17"/>
  <c r="A20" i="16"/>
  <c r="A20" i="15"/>
  <c r="I22" i="21" s="1"/>
  <c r="A19" i="16"/>
  <c r="A19" i="17"/>
  <c r="A19" i="15"/>
  <c r="I21" i="21" s="1"/>
  <c r="A18" i="17"/>
  <c r="A18" i="16"/>
  <c r="A18" i="15"/>
  <c r="I20" i="21" s="1"/>
  <c r="A75" i="19"/>
  <c r="D56" i="19"/>
  <c r="A76" i="19"/>
  <c r="J76" i="19" s="1"/>
  <c r="D57" i="19"/>
  <c r="A77" i="19"/>
  <c r="D58" i="19"/>
  <c r="J75" i="19"/>
  <c r="J56" i="19"/>
  <c r="J57" i="19"/>
  <c r="J58" i="19"/>
  <c r="K25" i="18"/>
  <c r="P25" i="18" s="1"/>
  <c r="I32" i="11"/>
  <c r="I31" i="11"/>
  <c r="K24" i="18"/>
  <c r="P24" i="18" s="1"/>
  <c r="A206" i="5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I30" i="11"/>
  <c r="K23" i="18"/>
  <c r="P23" i="18" s="1"/>
  <c r="L30" i="11"/>
  <c r="L32" i="11"/>
  <c r="A194" i="5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L31" i="11"/>
  <c r="C207" i="5"/>
  <c r="C208" i="5" s="1"/>
  <c r="C209" i="5" s="1"/>
  <c r="C210" i="5" s="1"/>
  <c r="C211" i="5" s="1"/>
  <c r="C212" i="5" s="1"/>
  <c r="C213" i="5" s="1"/>
  <c r="C214" i="5" s="1"/>
  <c r="C215" i="5" s="1"/>
  <c r="C216" i="5" s="1"/>
  <c r="C217" i="5" s="1"/>
  <c r="C218" i="5" s="1"/>
  <c r="C219" i="5" s="1"/>
  <c r="C220" i="5" s="1"/>
  <c r="C221" i="5" s="1"/>
  <c r="C222" i="5" s="1"/>
  <c r="C223" i="5" s="1"/>
  <c r="C224" i="5" s="1"/>
  <c r="C225" i="5" s="1"/>
  <c r="C226" i="5" s="1"/>
  <c r="C227" i="5" s="1"/>
  <c r="C228" i="5" s="1"/>
  <c r="C229" i="5" s="1"/>
  <c r="B207" i="5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H16" i="28"/>
  <c r="H17" i="28" s="1"/>
  <c r="H18" i="28" s="1"/>
  <c r="A96" i="19" l="1"/>
  <c r="D77" i="19"/>
  <c r="J77" i="19"/>
  <c r="A95" i="19"/>
  <c r="D76" i="19"/>
  <c r="A94" i="19"/>
  <c r="D75" i="19"/>
  <c r="G30" i="11"/>
  <c r="G31" i="11"/>
  <c r="G32" i="11"/>
  <c r="L15" i="28"/>
  <c r="A115" i="19" l="1"/>
  <c r="D96" i="19"/>
  <c r="J96" i="19"/>
  <c r="A113" i="19"/>
  <c r="D94" i="19"/>
  <c r="J94" i="19"/>
  <c r="A114" i="19"/>
  <c r="D95" i="19"/>
  <c r="J95" i="19"/>
  <c r="L16" i="28"/>
  <c r="A134" i="19" l="1"/>
  <c r="D115" i="19"/>
  <c r="J115" i="19"/>
  <c r="A132" i="19"/>
  <c r="D113" i="19"/>
  <c r="J113" i="19"/>
  <c r="A133" i="19"/>
  <c r="D114" i="19"/>
  <c r="J114" i="19"/>
  <c r="L18" i="28"/>
  <c r="L17" i="28"/>
  <c r="A152" i="19" l="1"/>
  <c r="D133" i="19"/>
  <c r="J133" i="19"/>
  <c r="A151" i="19"/>
  <c r="D132" i="19"/>
  <c r="J132" i="19"/>
  <c r="A153" i="19"/>
  <c r="D134" i="19"/>
  <c r="J134" i="19"/>
  <c r="F3" i="26"/>
  <c r="A170" i="19" l="1"/>
  <c r="D151" i="19"/>
  <c r="J151" i="19"/>
  <c r="A172" i="19"/>
  <c r="D153" i="19"/>
  <c r="J153" i="19"/>
  <c r="A171" i="19"/>
  <c r="D152" i="19"/>
  <c r="J152" i="19"/>
  <c r="F4" i="26"/>
  <c r="D171" i="19" l="1"/>
  <c r="A190" i="19"/>
  <c r="J171" i="19"/>
  <c r="D172" i="19"/>
  <c r="A191" i="19"/>
  <c r="J172" i="19"/>
  <c r="D170" i="19"/>
  <c r="A189" i="19"/>
  <c r="J170" i="19"/>
  <c r="F5" i="26"/>
  <c r="A208" i="19" l="1"/>
  <c r="D189" i="19"/>
  <c r="J189" i="19"/>
  <c r="J191" i="19"/>
  <c r="A210" i="19"/>
  <c r="D191" i="19"/>
  <c r="J190" i="19"/>
  <c r="D190" i="19"/>
  <c r="A209" i="19"/>
  <c r="F6" i="26"/>
  <c r="C7" i="28"/>
  <c r="C15" i="28"/>
  <c r="C8" i="28"/>
  <c r="C4" i="28"/>
  <c r="C16" i="28"/>
  <c r="C43" i="28"/>
  <c r="C78" i="28"/>
  <c r="C45" i="28"/>
  <c r="C58" i="28"/>
  <c r="C47" i="28"/>
  <c r="C11" i="28"/>
  <c r="C17" i="28"/>
  <c r="C22" i="28"/>
  <c r="C9" i="28"/>
  <c r="C74" i="28"/>
  <c r="C64" i="28"/>
  <c r="C69" i="28"/>
  <c r="C65" i="28"/>
  <c r="C54" i="28"/>
  <c r="C44" i="28"/>
  <c r="C5" i="28"/>
  <c r="C51" i="28"/>
  <c r="C79" i="28"/>
  <c r="C35" i="28"/>
  <c r="C42" i="28"/>
  <c r="C21" i="28"/>
  <c r="C30" i="28"/>
  <c r="C12" i="28"/>
  <c r="C56" i="28"/>
  <c r="C62" i="28"/>
  <c r="C41" i="28"/>
  <c r="C14" i="28"/>
  <c r="C37" i="28"/>
  <c r="C53" i="28"/>
  <c r="C49" i="28"/>
  <c r="C29" i="28"/>
  <c r="C75" i="28"/>
  <c r="C77" i="28"/>
  <c r="C31" i="28"/>
  <c r="C60" i="28"/>
  <c r="C73" i="28"/>
  <c r="C48" i="28"/>
  <c r="C2" i="28"/>
  <c r="C36" i="28"/>
  <c r="C25" i="28"/>
  <c r="C18" i="28"/>
  <c r="C23" i="28"/>
  <c r="C81" i="28"/>
  <c r="C71" i="28"/>
  <c r="C61" i="28"/>
  <c r="C50" i="28"/>
  <c r="C19" i="28"/>
  <c r="C20" i="28"/>
  <c r="C13" i="28"/>
  <c r="C38" i="28"/>
  <c r="C80" i="28"/>
  <c r="C34" i="28"/>
  <c r="C68" i="28"/>
  <c r="C57" i="28"/>
  <c r="C70" i="28"/>
  <c r="C40" i="28"/>
  <c r="C66" i="28"/>
  <c r="C33" i="28"/>
  <c r="C26" i="28"/>
  <c r="C32" i="28"/>
  <c r="C10" i="28"/>
  <c r="C59" i="28"/>
  <c r="C52" i="28"/>
  <c r="C55" i="28"/>
  <c r="C67" i="28"/>
  <c r="C46" i="28"/>
  <c r="C76" i="28"/>
  <c r="C63" i="28"/>
  <c r="C28" i="28"/>
  <c r="C3" i="28"/>
  <c r="C72" i="28"/>
  <c r="C6" i="28"/>
  <c r="C27" i="28"/>
  <c r="C39" i="28"/>
  <c r="C24" i="28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J210" i="19" l="1"/>
  <c r="D210" i="19"/>
  <c r="J209" i="19"/>
  <c r="D209" i="19"/>
  <c r="D208" i="19"/>
  <c r="J208" i="19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2" i="1"/>
  <c r="F7" i="11" l="1"/>
  <c r="F8" i="11" l="1"/>
  <c r="E7" i="9"/>
  <c r="E2" i="6" s="1"/>
  <c r="B2" i="6"/>
  <c r="C7" i="9"/>
  <c r="C2" i="6" s="1"/>
  <c r="D7" i="9"/>
  <c r="D2" i="6" s="1"/>
  <c r="X15" i="13" l="1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32" i="13"/>
  <c r="H119" i="13" l="1"/>
  <c r="H59" i="13"/>
  <c r="H131" i="13"/>
  <c r="H11" i="13"/>
  <c r="H99" i="13"/>
  <c r="H111" i="13"/>
  <c r="H124" i="13"/>
  <c r="J125" i="13"/>
  <c r="H7" i="13"/>
  <c r="H75" i="13"/>
  <c r="H107" i="13"/>
  <c r="H139" i="13"/>
  <c r="H15" i="13"/>
  <c r="H53" i="13"/>
  <c r="H116" i="13"/>
  <c r="H22" i="13"/>
  <c r="H54" i="13"/>
  <c r="G46" i="13"/>
  <c r="H12" i="13"/>
  <c r="J140" i="13"/>
  <c r="H87" i="13"/>
  <c r="G110" i="13"/>
  <c r="H60" i="13"/>
  <c r="H125" i="13"/>
  <c r="H29" i="13"/>
  <c r="H101" i="13"/>
  <c r="G94" i="13"/>
  <c r="G142" i="13"/>
  <c r="H135" i="13"/>
  <c r="J30" i="13"/>
  <c r="H63" i="13"/>
  <c r="G54" i="13"/>
  <c r="J64" i="13"/>
  <c r="H35" i="13"/>
  <c r="H126" i="13"/>
  <c r="H64" i="13"/>
  <c r="G118" i="13"/>
  <c r="J68" i="13"/>
  <c r="H72" i="13"/>
  <c r="H97" i="13"/>
  <c r="G14" i="13"/>
  <c r="H3" i="13"/>
  <c r="H100" i="13"/>
  <c r="G30" i="13"/>
  <c r="G78" i="13"/>
  <c r="H138" i="13"/>
  <c r="G134" i="13"/>
  <c r="G99" i="13"/>
  <c r="G35" i="13"/>
  <c r="G122" i="13"/>
  <c r="H34" i="13"/>
  <c r="H81" i="13"/>
  <c r="G152" i="13"/>
  <c r="H74" i="13"/>
  <c r="J26" i="13"/>
  <c r="G114" i="13"/>
  <c r="G113" i="13"/>
  <c r="G25" i="13"/>
  <c r="H144" i="13"/>
  <c r="G103" i="13"/>
  <c r="G39" i="13"/>
  <c r="G88" i="13"/>
  <c r="H40" i="13"/>
  <c r="H102" i="13"/>
  <c r="H112" i="13"/>
  <c r="G150" i="13"/>
  <c r="H69" i="13"/>
  <c r="G108" i="13"/>
  <c r="H44" i="13"/>
  <c r="G23" i="13"/>
  <c r="G109" i="13"/>
  <c r="G45" i="13"/>
  <c r="G43" i="13"/>
  <c r="H153" i="13"/>
  <c r="H37" i="13"/>
  <c r="J11" i="13"/>
  <c r="H151" i="13"/>
  <c r="H95" i="13"/>
  <c r="H77" i="13"/>
  <c r="H113" i="13"/>
  <c r="J144" i="13"/>
  <c r="H114" i="13"/>
  <c r="H115" i="13"/>
  <c r="H57" i="13"/>
  <c r="H19" i="13"/>
  <c r="G38" i="13"/>
  <c r="H42" i="13"/>
  <c r="G98" i="13"/>
  <c r="G136" i="13"/>
  <c r="G33" i="13"/>
  <c r="H16" i="13"/>
  <c r="H62" i="13"/>
  <c r="G132" i="13"/>
  <c r="H4" i="13"/>
  <c r="G102" i="13"/>
  <c r="G44" i="13"/>
  <c r="G117" i="13"/>
  <c r="G115" i="13"/>
  <c r="H2" i="13"/>
  <c r="G17" i="13"/>
  <c r="G49" i="13"/>
  <c r="G56" i="13"/>
  <c r="G13" i="13"/>
  <c r="G124" i="13"/>
  <c r="H149" i="13"/>
  <c r="G149" i="13"/>
  <c r="G93" i="13"/>
  <c r="G91" i="13"/>
  <c r="H39" i="13"/>
  <c r="H18" i="13"/>
  <c r="H150" i="13"/>
  <c r="G107" i="13"/>
  <c r="G58" i="13"/>
  <c r="H41" i="13"/>
  <c r="G111" i="13"/>
  <c r="G47" i="13"/>
  <c r="G8" i="13"/>
  <c r="H88" i="13"/>
  <c r="G77" i="13"/>
  <c r="G52" i="13"/>
  <c r="G74" i="13"/>
  <c r="G126" i="13"/>
  <c r="G138" i="13"/>
  <c r="H91" i="13"/>
  <c r="G27" i="13"/>
  <c r="H106" i="13"/>
  <c r="G81" i="13"/>
  <c r="G146" i="13"/>
  <c r="G26" i="13"/>
  <c r="G145" i="13"/>
  <c r="G89" i="13"/>
  <c r="H25" i="13"/>
  <c r="G144" i="13"/>
  <c r="G112" i="13"/>
  <c r="G95" i="13"/>
  <c r="H31" i="13"/>
  <c r="H80" i="13"/>
  <c r="G40" i="13"/>
  <c r="J102" i="13"/>
  <c r="H48" i="13"/>
  <c r="G86" i="13"/>
  <c r="G53" i="13"/>
  <c r="G100" i="13"/>
  <c r="G36" i="13"/>
  <c r="G7" i="13"/>
  <c r="G61" i="13"/>
  <c r="G72" i="13"/>
  <c r="G148" i="13"/>
  <c r="G21" i="13"/>
  <c r="G59" i="13"/>
  <c r="H121" i="13"/>
  <c r="G127" i="13"/>
  <c r="G79" i="13"/>
  <c r="G42" i="13"/>
  <c r="G104" i="13"/>
  <c r="H30" i="13"/>
  <c r="G4" i="13"/>
  <c r="G34" i="13"/>
  <c r="G10" i="13"/>
  <c r="H78" i="13"/>
  <c r="G147" i="13"/>
  <c r="G83" i="13"/>
  <c r="G19" i="13"/>
  <c r="J106" i="13"/>
  <c r="H10" i="13"/>
  <c r="G120" i="13"/>
  <c r="H130" i="13"/>
  <c r="G66" i="13"/>
  <c r="H145" i="13"/>
  <c r="H73" i="13"/>
  <c r="G151" i="13"/>
  <c r="J87" i="13"/>
  <c r="H23" i="13"/>
  <c r="G80" i="13"/>
  <c r="G32" i="13"/>
  <c r="H117" i="13"/>
  <c r="H118" i="13"/>
  <c r="H96" i="13"/>
  <c r="H45" i="13"/>
  <c r="H92" i="13"/>
  <c r="G28" i="13"/>
  <c r="J45" i="13"/>
  <c r="H148" i="13"/>
  <c r="G37" i="13"/>
  <c r="G140" i="13"/>
  <c r="H152" i="13"/>
  <c r="H20" i="13"/>
  <c r="H38" i="13"/>
  <c r="G137" i="13"/>
  <c r="G70" i="13"/>
  <c r="G139" i="13"/>
  <c r="G75" i="13"/>
  <c r="G11" i="13"/>
  <c r="G106" i="13"/>
  <c r="H129" i="13"/>
  <c r="G65" i="13"/>
  <c r="H120" i="13"/>
  <c r="H50" i="13"/>
  <c r="G18" i="13"/>
  <c r="H49" i="13"/>
  <c r="H143" i="13"/>
  <c r="H79" i="13"/>
  <c r="G15" i="13"/>
  <c r="H24" i="13"/>
  <c r="G101" i="13"/>
  <c r="H110" i="13"/>
  <c r="G141" i="13"/>
  <c r="G84" i="13"/>
  <c r="G20" i="13"/>
  <c r="G143" i="13"/>
  <c r="H83" i="13"/>
  <c r="G92" i="13"/>
  <c r="H134" i="13"/>
  <c r="G73" i="13"/>
  <c r="G57" i="13"/>
  <c r="G129" i="13"/>
  <c r="H17" i="13"/>
  <c r="H98" i="13"/>
  <c r="G63" i="13"/>
  <c r="H56" i="13"/>
  <c r="H21" i="13"/>
  <c r="H93" i="13"/>
  <c r="H68" i="13"/>
  <c r="H36" i="13"/>
  <c r="H76" i="13"/>
  <c r="H133" i="13"/>
  <c r="H94" i="13"/>
  <c r="G22" i="13"/>
  <c r="G51" i="13"/>
  <c r="G82" i="13"/>
  <c r="G97" i="13"/>
  <c r="G119" i="13"/>
  <c r="G16" i="13"/>
  <c r="G85" i="13"/>
  <c r="G60" i="13"/>
  <c r="G6" i="13"/>
  <c r="H43" i="13"/>
  <c r="G105" i="13"/>
  <c r="G90" i="13"/>
  <c r="H26" i="13"/>
  <c r="G48" i="13"/>
  <c r="H5" i="13"/>
  <c r="G116" i="13"/>
  <c r="G121" i="13"/>
  <c r="G62" i="13"/>
  <c r="G131" i="13"/>
  <c r="H67" i="13"/>
  <c r="G3" i="13"/>
  <c r="H82" i="13"/>
  <c r="G130" i="13"/>
  <c r="H137" i="13"/>
  <c r="J49" i="13"/>
  <c r="H136" i="13"/>
  <c r="G135" i="13"/>
  <c r="G71" i="13"/>
  <c r="J7" i="13"/>
  <c r="G64" i="13"/>
  <c r="G24" i="13"/>
  <c r="G29" i="13"/>
  <c r="H86" i="13"/>
  <c r="G125" i="13"/>
  <c r="H140" i="13"/>
  <c r="G76" i="13"/>
  <c r="G12" i="13"/>
  <c r="G87" i="13"/>
  <c r="H61" i="13"/>
  <c r="G5" i="13"/>
  <c r="G68" i="13"/>
  <c r="G123" i="13"/>
  <c r="G153" i="13"/>
  <c r="J83" i="13"/>
  <c r="G9" i="13"/>
  <c r="H105" i="13"/>
  <c r="J121" i="13"/>
  <c r="G50" i="13"/>
  <c r="H55" i="13"/>
  <c r="G55" i="13"/>
  <c r="G2" i="13"/>
  <c r="G41" i="13"/>
  <c r="G128" i="13"/>
  <c r="G96" i="13"/>
  <c r="H6" i="13"/>
  <c r="G67" i="13"/>
  <c r="G31" i="13"/>
  <c r="H58" i="13"/>
  <c r="H132" i="13"/>
  <c r="G133" i="13"/>
  <c r="G69" i="13"/>
  <c r="C50" i="5"/>
  <c r="C38" i="5"/>
  <c r="C26" i="5"/>
  <c r="B170" i="5"/>
  <c r="B158" i="5"/>
  <c r="B146" i="5"/>
  <c r="B110" i="5"/>
  <c r="B74" i="5"/>
  <c r="B62" i="5"/>
  <c r="B2" i="5"/>
  <c r="E13" i="3" l="1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12" i="3"/>
  <c r="B3" i="15"/>
  <c r="J5" i="21" s="1"/>
  <c r="B4" i="15"/>
  <c r="B5" i="15"/>
  <c r="J7" i="21" s="1"/>
  <c r="B6" i="15"/>
  <c r="J8" i="21" s="1"/>
  <c r="B7" i="15"/>
  <c r="J9" i="21" s="1"/>
  <c r="B8" i="15"/>
  <c r="J10" i="21" s="1"/>
  <c r="B9" i="15"/>
  <c r="J11" i="21" s="1"/>
  <c r="B10" i="15"/>
  <c r="J12" i="21" s="1"/>
  <c r="B11" i="15"/>
  <c r="J13" i="21" s="1"/>
  <c r="B12" i="15"/>
  <c r="J14" i="21" s="1"/>
  <c r="B13" i="15"/>
  <c r="J15" i="21" s="1"/>
  <c r="B14" i="15"/>
  <c r="J16" i="21" s="1"/>
  <c r="B15" i="15"/>
  <c r="J17" i="21" s="1"/>
  <c r="B16" i="15"/>
  <c r="J18" i="21" s="1"/>
  <c r="B17" i="15"/>
  <c r="J19" i="21" s="1"/>
  <c r="J6" i="21"/>
  <c r="B2" i="15" l="1"/>
  <c r="F7" i="9" l="1"/>
  <c r="Z9" i="13" l="1"/>
  <c r="Z10" i="13"/>
  <c r="Z11" i="13"/>
  <c r="Z12" i="13"/>
  <c r="Z13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8" i="13" l="1"/>
  <c r="X9" i="13" l="1"/>
  <c r="X10" i="13"/>
  <c r="X11" i="13"/>
  <c r="X12" i="13"/>
  <c r="X13" i="13"/>
  <c r="X14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8" i="13"/>
  <c r="U29" i="7" l="1"/>
  <c r="U30" i="7"/>
  <c r="U31" i="7"/>
  <c r="U46" i="7"/>
  <c r="U56" i="7"/>
  <c r="U59" i="7"/>
  <c r="U62" i="7"/>
  <c r="AC3" i="7" l="1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2" i="7"/>
  <c r="AJ8" i="7"/>
  <c r="CF101" i="7" l="1"/>
  <c r="BY77" i="7"/>
  <c r="CF77" i="7" s="1"/>
  <c r="CA77" i="7"/>
  <c r="CH77" i="7" s="1"/>
  <c r="BY78" i="7"/>
  <c r="CF78" i="7" s="1"/>
  <c r="CA78" i="7"/>
  <c r="CH78" i="7" s="1"/>
  <c r="BY79" i="7"/>
  <c r="CF79" i="7" s="1"/>
  <c r="CA79" i="7"/>
  <c r="CH79" i="7" s="1"/>
  <c r="BY80" i="7"/>
  <c r="CF80" i="7" s="1"/>
  <c r="CA80" i="7"/>
  <c r="CH80" i="7" s="1"/>
  <c r="BY81" i="7"/>
  <c r="CF81" i="7" s="1"/>
  <c r="CA81" i="7"/>
  <c r="CH81" i="7" s="1"/>
  <c r="BY82" i="7"/>
  <c r="CF82" i="7" s="1"/>
  <c r="CA82" i="7"/>
  <c r="CH82" i="7" s="1"/>
  <c r="BY83" i="7"/>
  <c r="CF83" i="7" s="1"/>
  <c r="CA83" i="7"/>
  <c r="CH83" i="7" s="1"/>
  <c r="BY84" i="7"/>
  <c r="CF84" i="7" s="1"/>
  <c r="CA84" i="7"/>
  <c r="CH84" i="7" s="1"/>
  <c r="BY85" i="7"/>
  <c r="CF85" i="7" s="1"/>
  <c r="CA85" i="7"/>
  <c r="CH85" i="7" s="1"/>
  <c r="BY86" i="7"/>
  <c r="CF86" i="7" s="1"/>
  <c r="CA86" i="7"/>
  <c r="CH86" i="7" s="1"/>
  <c r="BY87" i="7"/>
  <c r="CF87" i="7" s="1"/>
  <c r="CA87" i="7"/>
  <c r="CH87" i="7" s="1"/>
  <c r="BY88" i="7"/>
  <c r="CF88" i="7" s="1"/>
  <c r="CA88" i="7"/>
  <c r="CH88" i="7" s="1"/>
  <c r="BY89" i="7"/>
  <c r="CF89" i="7" s="1"/>
  <c r="CA89" i="7"/>
  <c r="CH89" i="7" s="1"/>
  <c r="BY90" i="7"/>
  <c r="CF90" i="7" s="1"/>
  <c r="CA90" i="7"/>
  <c r="CH90" i="7" s="1"/>
  <c r="BY91" i="7"/>
  <c r="CF91" i="7" s="1"/>
  <c r="CA91" i="7"/>
  <c r="CH91" i="7" s="1"/>
  <c r="BY92" i="7"/>
  <c r="CF92" i="7" s="1"/>
  <c r="CA92" i="7"/>
  <c r="CH92" i="7" s="1"/>
  <c r="BY93" i="7"/>
  <c r="CF93" i="7" s="1"/>
  <c r="CA93" i="7"/>
  <c r="CH93" i="7" s="1"/>
  <c r="BY94" i="7"/>
  <c r="CF94" i="7" s="1"/>
  <c r="CA94" i="7"/>
  <c r="CH94" i="7" s="1"/>
  <c r="BY95" i="7"/>
  <c r="CF95" i="7" s="1"/>
  <c r="CA95" i="7"/>
  <c r="CH95" i="7" s="1"/>
  <c r="BY96" i="7"/>
  <c r="CF96" i="7" s="1"/>
  <c r="CA96" i="7"/>
  <c r="CH96" i="7" s="1"/>
  <c r="BY97" i="7"/>
  <c r="CF97" i="7" s="1"/>
  <c r="CA97" i="7"/>
  <c r="CH97" i="7" s="1"/>
  <c r="BY98" i="7"/>
  <c r="CF98" i="7" s="1"/>
  <c r="CA98" i="7"/>
  <c r="CH98" i="7" s="1"/>
  <c r="BY99" i="7"/>
  <c r="CF99" i="7" s="1"/>
  <c r="CA99" i="7"/>
  <c r="CH99" i="7" s="1"/>
  <c r="BY100" i="7"/>
  <c r="CF100" i="7" s="1"/>
  <c r="CA100" i="7"/>
  <c r="CH100" i="7" s="1"/>
  <c r="BY101" i="7"/>
  <c r="CA101" i="7"/>
  <c r="CH101" i="7" s="1"/>
  <c r="BY102" i="7"/>
  <c r="CF102" i="7" s="1"/>
  <c r="CA102" i="7"/>
  <c r="CH102" i="7" s="1"/>
  <c r="BY103" i="7"/>
  <c r="CF103" i="7" s="1"/>
  <c r="CA103" i="7"/>
  <c r="CH103" i="7" s="1"/>
  <c r="BY104" i="7"/>
  <c r="CF104" i="7" s="1"/>
  <c r="CA104" i="7"/>
  <c r="CH104" i="7" s="1"/>
  <c r="BY105" i="7"/>
  <c r="CF105" i="7" s="1"/>
  <c r="CA105" i="7"/>
  <c r="CH105" i="7" s="1"/>
  <c r="BY106" i="7"/>
  <c r="CF106" i="7" s="1"/>
  <c r="CA106" i="7"/>
  <c r="CH106" i="7" s="1"/>
  <c r="BY107" i="7"/>
  <c r="CF107" i="7" s="1"/>
  <c r="CA107" i="7"/>
  <c r="CH107" i="7" s="1"/>
  <c r="BY108" i="7"/>
  <c r="CF108" i="7" s="1"/>
  <c r="CA108" i="7"/>
  <c r="CH108" i="7" s="1"/>
  <c r="BY109" i="7"/>
  <c r="CF109" i="7" s="1"/>
  <c r="CA109" i="7"/>
  <c r="CH109" i="7" s="1"/>
  <c r="BY110" i="7"/>
  <c r="CF110" i="7" s="1"/>
  <c r="CA110" i="7"/>
  <c r="CH110" i="7" s="1"/>
  <c r="BY111" i="7"/>
  <c r="CF111" i="7" s="1"/>
  <c r="CA111" i="7"/>
  <c r="CH111" i="7" s="1"/>
  <c r="BY112" i="7"/>
  <c r="CF112" i="7" s="1"/>
  <c r="CA112" i="7"/>
  <c r="CH112" i="7" s="1"/>
  <c r="BY113" i="7"/>
  <c r="CF113" i="7" s="1"/>
  <c r="CA113" i="7"/>
  <c r="CH113" i="7" s="1"/>
  <c r="BY114" i="7"/>
  <c r="CF114" i="7" s="1"/>
  <c r="CA114" i="7"/>
  <c r="CH114" i="7" s="1"/>
  <c r="BY115" i="7"/>
  <c r="CF115" i="7" s="1"/>
  <c r="CA115" i="7"/>
  <c r="CH115" i="7" s="1"/>
  <c r="BY116" i="7"/>
  <c r="CF116" i="7" s="1"/>
  <c r="CA116" i="7"/>
  <c r="CH116" i="7" s="1"/>
  <c r="BY117" i="7"/>
  <c r="CF117" i="7" s="1"/>
  <c r="CA117" i="7"/>
  <c r="CH117" i="7" s="1"/>
  <c r="BY118" i="7"/>
  <c r="CF118" i="7" s="1"/>
  <c r="CA118" i="7"/>
  <c r="CH118" i="7" s="1"/>
  <c r="AO2" i="7" l="1"/>
  <c r="AM3" i="7" l="1"/>
  <c r="AM4" i="7"/>
  <c r="AM5" i="7"/>
  <c r="AM6" i="7"/>
  <c r="AM7" i="7"/>
  <c r="AM8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7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2" i="7"/>
  <c r="AV51" i="7" l="1"/>
  <c r="AV63" i="7"/>
  <c r="AV55" i="7"/>
  <c r="AV47" i="7"/>
  <c r="AV39" i="7"/>
  <c r="BC39" i="7" s="1"/>
  <c r="AV31" i="7"/>
  <c r="AV23" i="7"/>
  <c r="AV15" i="7"/>
  <c r="AV7" i="7"/>
  <c r="BC7" i="7" s="1"/>
  <c r="AV62" i="7"/>
  <c r="AV54" i="7"/>
  <c r="AV46" i="7"/>
  <c r="BC46" i="7" s="1"/>
  <c r="AV38" i="7"/>
  <c r="AV30" i="7"/>
  <c r="AV22" i="7"/>
  <c r="AV14" i="7"/>
  <c r="AV6" i="7"/>
  <c r="BC6" i="7" s="1"/>
  <c r="AV59" i="7"/>
  <c r="AV61" i="7"/>
  <c r="AV53" i="7"/>
  <c r="BC53" i="7" s="1"/>
  <c r="BJ53" i="7" s="1"/>
  <c r="AV45" i="7"/>
  <c r="AV37" i="7"/>
  <c r="AV29" i="7"/>
  <c r="AV21" i="7"/>
  <c r="AV13" i="7"/>
  <c r="BC13" i="7" s="1"/>
  <c r="AV5" i="7"/>
  <c r="AV60" i="7"/>
  <c r="AV52" i="7"/>
  <c r="AV44" i="7"/>
  <c r="AV36" i="7"/>
  <c r="AV28" i="7"/>
  <c r="AV20" i="7"/>
  <c r="AV12" i="7"/>
  <c r="AV4" i="7"/>
  <c r="BC4" i="7" s="1"/>
  <c r="BJ4" i="7" s="1"/>
  <c r="AV43" i="7"/>
  <c r="BC43" i="7" s="1"/>
  <c r="AV35" i="7"/>
  <c r="BC35" i="7" s="1"/>
  <c r="BJ35" i="7" s="1"/>
  <c r="AV27" i="7"/>
  <c r="AV19" i="7"/>
  <c r="AV11" i="7"/>
  <c r="AV3" i="7"/>
  <c r="AV58" i="7"/>
  <c r="BC58" i="7" s="1"/>
  <c r="BJ58" i="7" s="1"/>
  <c r="AV50" i="7"/>
  <c r="AV42" i="7"/>
  <c r="AV34" i="7"/>
  <c r="BC34" i="7" s="1"/>
  <c r="BJ34" i="7" s="1"/>
  <c r="AV26" i="7"/>
  <c r="BC26" i="7" s="1"/>
  <c r="AV18" i="7"/>
  <c r="AV10" i="7"/>
  <c r="AV2" i="7"/>
  <c r="AV57" i="7"/>
  <c r="BC57" i="7" s="1"/>
  <c r="AV49" i="7"/>
  <c r="AV41" i="7"/>
  <c r="BC41" i="7" s="1"/>
  <c r="AV33" i="7"/>
  <c r="AV25" i="7"/>
  <c r="BC25" i="7" s="1"/>
  <c r="AV17" i="7"/>
  <c r="AV9" i="7"/>
  <c r="AV64" i="7"/>
  <c r="AV56" i="7"/>
  <c r="AV48" i="7"/>
  <c r="AV40" i="7"/>
  <c r="BC40" i="7" s="1"/>
  <c r="AV32" i="7"/>
  <c r="BC32" i="7" s="1"/>
  <c r="BJ32" i="7" s="1"/>
  <c r="AV24" i="7"/>
  <c r="AV16" i="7"/>
  <c r="AV8" i="7"/>
  <c r="BC2" i="7" l="1"/>
  <c r="BJ2" i="7" s="1"/>
  <c r="BQ2" i="7" s="1"/>
  <c r="BX2" i="7" s="1"/>
  <c r="CE2" i="7" s="1"/>
  <c r="BC21" i="7"/>
  <c r="BJ21" i="7" s="1"/>
  <c r="BC37" i="7"/>
  <c r="BJ37" i="7" s="1"/>
  <c r="BC64" i="7"/>
  <c r="BJ64" i="7" s="1"/>
  <c r="BQ64" i="7" s="1"/>
  <c r="BX64" i="7" s="1"/>
  <c r="CE64" i="7" s="1"/>
  <c r="BC3" i="7"/>
  <c r="BJ3" i="7" s="1"/>
  <c r="BQ3" i="7" s="1"/>
  <c r="BX3" i="7" s="1"/>
  <c r="CE3" i="7" s="1"/>
  <c r="BC20" i="7"/>
  <c r="BJ20" i="7" s="1"/>
  <c r="BC14" i="7"/>
  <c r="BJ14" i="7" s="1"/>
  <c r="BQ14" i="7" s="1"/>
  <c r="BX14" i="7" s="1"/>
  <c r="CE14" i="7" s="1"/>
  <c r="BC15" i="7"/>
  <c r="BJ15" i="7" s="1"/>
  <c r="BC8" i="7"/>
  <c r="BJ8" i="7" s="1"/>
  <c r="BQ8" i="7" s="1"/>
  <c r="BX8" i="7" s="1"/>
  <c r="CE8" i="7" s="1"/>
  <c r="BC10" i="7"/>
  <c r="BJ10" i="7" s="1"/>
  <c r="BQ10" i="7" s="1"/>
  <c r="BX10" i="7" s="1"/>
  <c r="CE10" i="7" s="1"/>
  <c r="BC11" i="7"/>
  <c r="BJ11" i="7" s="1"/>
  <c r="BQ11" i="7" s="1"/>
  <c r="BX11" i="7" s="1"/>
  <c r="CE11" i="7" s="1"/>
  <c r="BC28" i="7"/>
  <c r="BC29" i="7"/>
  <c r="BJ29" i="7" s="1"/>
  <c r="BC22" i="7"/>
  <c r="BJ22" i="7" s="1"/>
  <c r="BC23" i="7"/>
  <c r="BJ23" i="7" s="1"/>
  <c r="BQ23" i="7" s="1"/>
  <c r="BX23" i="7" s="1"/>
  <c r="CE23" i="7" s="1"/>
  <c r="BC56" i="7"/>
  <c r="BJ56" i="7" s="1"/>
  <c r="BC16" i="7"/>
  <c r="BJ16" i="7" s="1"/>
  <c r="BQ16" i="7" s="1"/>
  <c r="BX16" i="7" s="1"/>
  <c r="CE16" i="7" s="1"/>
  <c r="BC17" i="7"/>
  <c r="BJ17" i="7" s="1"/>
  <c r="BQ17" i="7" s="1"/>
  <c r="BX17" i="7" s="1"/>
  <c r="CE17" i="7" s="1"/>
  <c r="BC18" i="7"/>
  <c r="BJ18" i="7" s="1"/>
  <c r="BC19" i="7"/>
  <c r="BJ19" i="7" s="1"/>
  <c r="BC36" i="7"/>
  <c r="BJ36" i="7" s="1"/>
  <c r="BC30" i="7"/>
  <c r="BJ30" i="7" s="1"/>
  <c r="BQ30" i="7" s="1"/>
  <c r="BX30" i="7" s="1"/>
  <c r="CE30" i="7" s="1"/>
  <c r="BC31" i="7"/>
  <c r="BJ31" i="7" s="1"/>
  <c r="BC24" i="7"/>
  <c r="BJ24" i="7" s="1"/>
  <c r="BC27" i="7"/>
  <c r="BJ27" i="7" s="1"/>
  <c r="BC44" i="7"/>
  <c r="BJ44" i="7" s="1"/>
  <c r="BC45" i="7"/>
  <c r="BJ45" i="7" s="1"/>
  <c r="BC38" i="7"/>
  <c r="BJ38" i="7" s="1"/>
  <c r="BC9" i="7"/>
  <c r="BJ9" i="7" s="1"/>
  <c r="BC42" i="7"/>
  <c r="BJ42" i="7" s="1"/>
  <c r="BC60" i="7"/>
  <c r="BJ60" i="7" s="1"/>
  <c r="BC61" i="7"/>
  <c r="BJ61" i="7" s="1"/>
  <c r="BC54" i="7"/>
  <c r="BJ54" i="7" s="1"/>
  <c r="BQ54" i="7" s="1"/>
  <c r="BX54" i="7" s="1"/>
  <c r="CE54" i="7" s="1"/>
  <c r="BC55" i="7"/>
  <c r="BJ55" i="7" s="1"/>
  <c r="BQ55" i="7" s="1"/>
  <c r="BX55" i="7" s="1"/>
  <c r="CE55" i="7" s="1"/>
  <c r="BC51" i="7"/>
  <c r="BC12" i="7"/>
  <c r="BJ12" i="7" s="1"/>
  <c r="BQ12" i="7" s="1"/>
  <c r="BX12" i="7" s="1"/>
  <c r="CE12" i="7" s="1"/>
  <c r="BC52" i="7"/>
  <c r="BJ52" i="7" s="1"/>
  <c r="BC47" i="7"/>
  <c r="BJ47" i="7" s="1"/>
  <c r="BC33" i="7"/>
  <c r="BJ33" i="7" s="1"/>
  <c r="BQ33" i="7" s="1"/>
  <c r="BX33" i="7" s="1"/>
  <c r="CE33" i="7" s="1"/>
  <c r="BC48" i="7"/>
  <c r="BJ48" i="7" s="1"/>
  <c r="BQ48" i="7" s="1"/>
  <c r="BX48" i="7" s="1"/>
  <c r="CE48" i="7" s="1"/>
  <c r="BC49" i="7"/>
  <c r="BJ49" i="7" s="1"/>
  <c r="BC50" i="7"/>
  <c r="BJ50" i="7" s="1"/>
  <c r="BC5" i="7"/>
  <c r="BJ5" i="7" s="1"/>
  <c r="BQ5" i="7" s="1"/>
  <c r="BX5" i="7" s="1"/>
  <c r="CE5" i="7" s="1"/>
  <c r="BC59" i="7"/>
  <c r="BJ59" i="7" s="1"/>
  <c r="BQ59" i="7" s="1"/>
  <c r="BX59" i="7" s="1"/>
  <c r="CE59" i="7" s="1"/>
  <c r="BC62" i="7"/>
  <c r="BJ62" i="7" s="1"/>
  <c r="BC63" i="7"/>
  <c r="BJ63" i="7" s="1"/>
  <c r="BQ63" i="7" s="1"/>
  <c r="BX63" i="7" s="1"/>
  <c r="CE63" i="7" s="1"/>
  <c r="BJ6" i="7"/>
  <c r="BQ35" i="7"/>
  <c r="BX35" i="7" s="1"/>
  <c r="CE35" i="7" s="1"/>
  <c r="BQ32" i="7"/>
  <c r="BX32" i="7" s="1"/>
  <c r="CE32" i="7" s="1"/>
  <c r="BJ57" i="7"/>
  <c r="BJ7" i="7"/>
  <c r="BJ28" i="7"/>
  <c r="BJ39" i="7"/>
  <c r="BJ46" i="7"/>
  <c r="BJ26" i="7"/>
  <c r="BJ13" i="7"/>
  <c r="BJ25" i="7"/>
  <c r="BJ43" i="7"/>
  <c r="BJ40" i="7"/>
  <c r="BQ58" i="7"/>
  <c r="BX58" i="7" s="1"/>
  <c r="CE58" i="7" s="1"/>
  <c r="BQ34" i="7"/>
  <c r="BX34" i="7" s="1"/>
  <c r="CE34" i="7" s="1"/>
  <c r="BJ51" i="7"/>
  <c r="BJ41" i="7"/>
  <c r="BQ4" i="7"/>
  <c r="BX4" i="7" s="1"/>
  <c r="CE4" i="7" s="1"/>
  <c r="BQ53" i="7"/>
  <c r="BX53" i="7" s="1"/>
  <c r="CE53" i="7" s="1"/>
  <c r="BQ52" i="7" l="1"/>
  <c r="BX52" i="7" s="1"/>
  <c r="CE52" i="7" s="1"/>
  <c r="BQ21" i="7"/>
  <c r="BX21" i="7" s="1"/>
  <c r="CE21" i="7" s="1"/>
  <c r="BQ29" i="7"/>
  <c r="BX29" i="7" s="1"/>
  <c r="CE29" i="7" s="1"/>
  <c r="BQ24" i="7"/>
  <c r="BX24" i="7" s="1"/>
  <c r="CE24" i="7" s="1"/>
  <c r="BQ38" i="7"/>
  <c r="BX38" i="7" s="1"/>
  <c r="CE38" i="7" s="1"/>
  <c r="BQ28" i="7"/>
  <c r="BX28" i="7" s="1"/>
  <c r="CE28" i="7" s="1"/>
  <c r="BQ61" i="7"/>
  <c r="BX61" i="7" s="1"/>
  <c r="CE61" i="7" s="1"/>
  <c r="BQ51" i="7"/>
  <c r="BX51" i="7" s="1"/>
  <c r="CE51" i="7" s="1"/>
  <c r="BQ37" i="7"/>
  <c r="BX37" i="7" s="1"/>
  <c r="CE37" i="7" s="1"/>
  <c r="BQ9" i="7"/>
  <c r="BX9" i="7" s="1"/>
  <c r="CE9" i="7" s="1"/>
  <c r="BQ62" i="7"/>
  <c r="BX62" i="7" s="1"/>
  <c r="CE62" i="7" s="1"/>
  <c r="BQ57" i="7"/>
  <c r="BX57" i="7" s="1"/>
  <c r="CE57" i="7" s="1"/>
  <c r="BQ25" i="7"/>
  <c r="BX25" i="7" s="1"/>
  <c r="CE25" i="7" s="1"/>
  <c r="BQ26" i="7"/>
  <c r="BX26" i="7" s="1"/>
  <c r="CE26" i="7" s="1"/>
  <c r="BQ40" i="7"/>
  <c r="BX40" i="7" s="1"/>
  <c r="CE40" i="7" s="1"/>
  <c r="BQ19" i="7"/>
  <c r="BX19" i="7" s="1"/>
  <c r="CE19" i="7" s="1"/>
  <c r="BQ27" i="7"/>
  <c r="BX27" i="7" s="1"/>
  <c r="CE27" i="7" s="1"/>
  <c r="BQ46" i="7"/>
  <c r="BX46" i="7" s="1"/>
  <c r="CE46" i="7" s="1"/>
  <c r="BQ18" i="7"/>
  <c r="BX18" i="7" s="1"/>
  <c r="CE18" i="7" s="1"/>
  <c r="BQ22" i="7"/>
  <c r="BX22" i="7" s="1"/>
  <c r="CE22" i="7" s="1"/>
  <c r="BQ56" i="7"/>
  <c r="BX56" i="7" s="1"/>
  <c r="CE56" i="7" s="1"/>
  <c r="BQ7" i="7"/>
  <c r="BX7" i="7" s="1"/>
  <c r="CE7" i="7" s="1"/>
  <c r="BQ45" i="7"/>
  <c r="BX45" i="7" s="1"/>
  <c r="CE45" i="7" s="1"/>
  <c r="BQ31" i="7"/>
  <c r="BX31" i="7" s="1"/>
  <c r="CE31" i="7" s="1"/>
  <c r="BQ49" i="7"/>
  <c r="BX49" i="7" s="1"/>
  <c r="CE49" i="7" s="1"/>
  <c r="BQ36" i="7"/>
  <c r="BX36" i="7" s="1"/>
  <c r="CE36" i="7" s="1"/>
  <c r="BQ43" i="7"/>
  <c r="BX43" i="7" s="1"/>
  <c r="CE43" i="7" s="1"/>
  <c r="BQ13" i="7"/>
  <c r="BX13" i="7" s="1"/>
  <c r="CE13" i="7" s="1"/>
  <c r="BQ50" i="7"/>
  <c r="BX50" i="7" s="1"/>
  <c r="CE50" i="7" s="1"/>
  <c r="BQ20" i="7"/>
  <c r="BX20" i="7" s="1"/>
  <c r="CE20" i="7" s="1"/>
  <c r="BQ47" i="7"/>
  <c r="BX47" i="7" s="1"/>
  <c r="CE47" i="7" s="1"/>
  <c r="BQ41" i="7"/>
  <c r="BX41" i="7" s="1"/>
  <c r="CE41" i="7" s="1"/>
  <c r="BQ42" i="7"/>
  <c r="BX42" i="7" s="1"/>
  <c r="CE42" i="7" s="1"/>
  <c r="BQ39" i="7"/>
  <c r="BX39" i="7" s="1"/>
  <c r="CE39" i="7" s="1"/>
  <c r="BQ60" i="7"/>
  <c r="BX60" i="7" s="1"/>
  <c r="CE60" i="7" s="1"/>
  <c r="BQ44" i="7"/>
  <c r="BX44" i="7" s="1"/>
  <c r="CE44" i="7" s="1"/>
  <c r="BQ15" i="7"/>
  <c r="BX15" i="7" s="1"/>
  <c r="CE15" i="7" s="1"/>
  <c r="BQ6" i="7"/>
  <c r="BX6" i="7" s="1"/>
  <c r="CE6" i="7" s="1"/>
  <c r="AR3" i="7"/>
  <c r="AR4" i="7"/>
  <c r="AR5" i="7"/>
  <c r="AR6" i="7"/>
  <c r="AY6" i="7" s="1"/>
  <c r="BF6" i="7" s="1"/>
  <c r="BM6" i="7" s="1"/>
  <c r="BT6" i="7" s="1"/>
  <c r="CA6" i="7" s="1"/>
  <c r="CH6" i="7" s="1"/>
  <c r="AR7" i="7"/>
  <c r="AY7" i="7" s="1"/>
  <c r="BF7" i="7" s="1"/>
  <c r="BM7" i="7" s="1"/>
  <c r="BT7" i="7" s="1"/>
  <c r="CA7" i="7" s="1"/>
  <c r="CH7" i="7" s="1"/>
  <c r="AR8" i="7"/>
  <c r="AY8" i="7" s="1"/>
  <c r="BF8" i="7" s="1"/>
  <c r="BM8" i="7" s="1"/>
  <c r="BT8" i="7" s="1"/>
  <c r="CA8" i="7" s="1"/>
  <c r="CH8" i="7" s="1"/>
  <c r="AR9" i="7"/>
  <c r="AY9" i="7" s="1"/>
  <c r="BF9" i="7" s="1"/>
  <c r="BM9" i="7" s="1"/>
  <c r="BT9" i="7" s="1"/>
  <c r="CA9" i="7" s="1"/>
  <c r="CH9" i="7" s="1"/>
  <c r="AR10" i="7"/>
  <c r="AY10" i="7" s="1"/>
  <c r="BF10" i="7" s="1"/>
  <c r="BM10" i="7" s="1"/>
  <c r="BT10" i="7" s="1"/>
  <c r="CA10" i="7" s="1"/>
  <c r="CH10" i="7" s="1"/>
  <c r="AR11" i="7"/>
  <c r="AR12" i="7"/>
  <c r="AR13" i="7"/>
  <c r="AR14" i="7"/>
  <c r="AY14" i="7" s="1"/>
  <c r="BF14" i="7" s="1"/>
  <c r="BM14" i="7" s="1"/>
  <c r="BT14" i="7" s="1"/>
  <c r="CA14" i="7" s="1"/>
  <c r="CH14" i="7" s="1"/>
  <c r="AR15" i="7"/>
  <c r="AY15" i="7" s="1"/>
  <c r="BF15" i="7" s="1"/>
  <c r="BM15" i="7" s="1"/>
  <c r="BT15" i="7" s="1"/>
  <c r="CA15" i="7" s="1"/>
  <c r="CH15" i="7" s="1"/>
  <c r="AR16" i="7"/>
  <c r="AY16" i="7" s="1"/>
  <c r="BF16" i="7" s="1"/>
  <c r="BM16" i="7" s="1"/>
  <c r="BT16" i="7" s="1"/>
  <c r="CA16" i="7" s="1"/>
  <c r="CH16" i="7" s="1"/>
  <c r="AR17" i="7"/>
  <c r="AY17" i="7" s="1"/>
  <c r="BF17" i="7" s="1"/>
  <c r="BM17" i="7" s="1"/>
  <c r="BT17" i="7" s="1"/>
  <c r="CA17" i="7" s="1"/>
  <c r="CH17" i="7" s="1"/>
  <c r="AR18" i="7"/>
  <c r="AY18" i="7" s="1"/>
  <c r="BF18" i="7" s="1"/>
  <c r="BM18" i="7" s="1"/>
  <c r="BT18" i="7" s="1"/>
  <c r="CA18" i="7" s="1"/>
  <c r="CH18" i="7" s="1"/>
  <c r="AR19" i="7"/>
  <c r="AR20" i="7"/>
  <c r="AR21" i="7"/>
  <c r="AR22" i="7"/>
  <c r="AY22" i="7" s="1"/>
  <c r="BF22" i="7" s="1"/>
  <c r="BM22" i="7" s="1"/>
  <c r="BT22" i="7" s="1"/>
  <c r="CA22" i="7" s="1"/>
  <c r="CH22" i="7" s="1"/>
  <c r="AR23" i="7"/>
  <c r="AY23" i="7" s="1"/>
  <c r="BF23" i="7" s="1"/>
  <c r="BM23" i="7" s="1"/>
  <c r="BT23" i="7" s="1"/>
  <c r="CA23" i="7" s="1"/>
  <c r="CH23" i="7" s="1"/>
  <c r="AR24" i="7"/>
  <c r="AY24" i="7" s="1"/>
  <c r="BF24" i="7" s="1"/>
  <c r="BM24" i="7" s="1"/>
  <c r="BT24" i="7" s="1"/>
  <c r="CA24" i="7" s="1"/>
  <c r="CH24" i="7" s="1"/>
  <c r="AR25" i="7"/>
  <c r="AY25" i="7" s="1"/>
  <c r="BF25" i="7" s="1"/>
  <c r="BM25" i="7" s="1"/>
  <c r="BT25" i="7" s="1"/>
  <c r="CA25" i="7" s="1"/>
  <c r="CH25" i="7" s="1"/>
  <c r="AR26" i="7"/>
  <c r="AY26" i="7" s="1"/>
  <c r="BF26" i="7" s="1"/>
  <c r="BM26" i="7" s="1"/>
  <c r="BT26" i="7" s="1"/>
  <c r="CA26" i="7" s="1"/>
  <c r="CH26" i="7" s="1"/>
  <c r="AR27" i="7"/>
  <c r="AY27" i="7" s="1"/>
  <c r="BF27" i="7" s="1"/>
  <c r="BM27" i="7" s="1"/>
  <c r="BT27" i="7" s="1"/>
  <c r="CA27" i="7" s="1"/>
  <c r="CH27" i="7" s="1"/>
  <c r="AR28" i="7"/>
  <c r="AY28" i="7" s="1"/>
  <c r="BF28" i="7" s="1"/>
  <c r="BM28" i="7" s="1"/>
  <c r="BT28" i="7" s="1"/>
  <c r="CA28" i="7" s="1"/>
  <c r="CH28" i="7" s="1"/>
  <c r="AR29" i="7"/>
  <c r="AR30" i="7"/>
  <c r="AY30" i="7" s="1"/>
  <c r="BF30" i="7" s="1"/>
  <c r="BM30" i="7" s="1"/>
  <c r="BT30" i="7" s="1"/>
  <c r="CA30" i="7" s="1"/>
  <c r="CH30" i="7" s="1"/>
  <c r="AR31" i="7"/>
  <c r="AY31" i="7" s="1"/>
  <c r="BF31" i="7" s="1"/>
  <c r="BM31" i="7" s="1"/>
  <c r="BT31" i="7" s="1"/>
  <c r="CA31" i="7" s="1"/>
  <c r="CH31" i="7" s="1"/>
  <c r="AR32" i="7"/>
  <c r="AY32" i="7" s="1"/>
  <c r="BF32" i="7" s="1"/>
  <c r="BM32" i="7" s="1"/>
  <c r="BT32" i="7" s="1"/>
  <c r="CA32" i="7" s="1"/>
  <c r="CH32" i="7" s="1"/>
  <c r="AR33" i="7"/>
  <c r="AY33" i="7" s="1"/>
  <c r="BF33" i="7" s="1"/>
  <c r="BM33" i="7" s="1"/>
  <c r="BT33" i="7" s="1"/>
  <c r="CA33" i="7" s="1"/>
  <c r="CH33" i="7" s="1"/>
  <c r="AR34" i="7"/>
  <c r="AY34" i="7" s="1"/>
  <c r="BF34" i="7" s="1"/>
  <c r="BM34" i="7" s="1"/>
  <c r="BT34" i="7" s="1"/>
  <c r="CA34" i="7" s="1"/>
  <c r="CH34" i="7" s="1"/>
  <c r="AR35" i="7"/>
  <c r="AY35" i="7" s="1"/>
  <c r="BF35" i="7" s="1"/>
  <c r="BM35" i="7" s="1"/>
  <c r="BT35" i="7" s="1"/>
  <c r="CA35" i="7" s="1"/>
  <c r="CH35" i="7" s="1"/>
  <c r="AR36" i="7"/>
  <c r="AY36" i="7" s="1"/>
  <c r="BF36" i="7" s="1"/>
  <c r="BM36" i="7" s="1"/>
  <c r="BT36" i="7" s="1"/>
  <c r="CA36" i="7" s="1"/>
  <c r="CH36" i="7" s="1"/>
  <c r="AR37" i="7"/>
  <c r="AY37" i="7" s="1"/>
  <c r="BF37" i="7" s="1"/>
  <c r="BM37" i="7" s="1"/>
  <c r="BT37" i="7" s="1"/>
  <c r="CA37" i="7" s="1"/>
  <c r="CH37" i="7" s="1"/>
  <c r="AR38" i="7"/>
  <c r="AY38" i="7" s="1"/>
  <c r="BF38" i="7" s="1"/>
  <c r="BM38" i="7" s="1"/>
  <c r="BT38" i="7" s="1"/>
  <c r="CA38" i="7" s="1"/>
  <c r="CH38" i="7" s="1"/>
  <c r="AR39" i="7"/>
  <c r="AY39" i="7" s="1"/>
  <c r="BF39" i="7" s="1"/>
  <c r="BM39" i="7" s="1"/>
  <c r="BT39" i="7" s="1"/>
  <c r="CA39" i="7" s="1"/>
  <c r="CH39" i="7" s="1"/>
  <c r="AR40" i="7"/>
  <c r="AY40" i="7" s="1"/>
  <c r="BF40" i="7" s="1"/>
  <c r="BM40" i="7" s="1"/>
  <c r="BT40" i="7" s="1"/>
  <c r="CA40" i="7" s="1"/>
  <c r="CH40" i="7" s="1"/>
  <c r="AR41" i="7"/>
  <c r="AY41" i="7" s="1"/>
  <c r="BF41" i="7" s="1"/>
  <c r="BM41" i="7" s="1"/>
  <c r="BT41" i="7" s="1"/>
  <c r="CA41" i="7" s="1"/>
  <c r="CH41" i="7" s="1"/>
  <c r="AR42" i="7"/>
  <c r="AY42" i="7" s="1"/>
  <c r="BF42" i="7" s="1"/>
  <c r="BM42" i="7" s="1"/>
  <c r="BT42" i="7" s="1"/>
  <c r="CA42" i="7" s="1"/>
  <c r="CH42" i="7" s="1"/>
  <c r="AR43" i="7"/>
  <c r="AY43" i="7" s="1"/>
  <c r="BF43" i="7" s="1"/>
  <c r="BM43" i="7" s="1"/>
  <c r="BT43" i="7" s="1"/>
  <c r="CA43" i="7" s="1"/>
  <c r="CH43" i="7" s="1"/>
  <c r="AR44" i="7"/>
  <c r="AY44" i="7" s="1"/>
  <c r="BF44" i="7" s="1"/>
  <c r="BM44" i="7" s="1"/>
  <c r="BT44" i="7" s="1"/>
  <c r="CA44" i="7" s="1"/>
  <c r="CH44" i="7" s="1"/>
  <c r="AR45" i="7"/>
  <c r="AY45" i="7" s="1"/>
  <c r="BF45" i="7" s="1"/>
  <c r="BM45" i="7" s="1"/>
  <c r="BT45" i="7" s="1"/>
  <c r="CA45" i="7" s="1"/>
  <c r="CH45" i="7" s="1"/>
  <c r="AR46" i="7"/>
  <c r="AY46" i="7" s="1"/>
  <c r="BF46" i="7" s="1"/>
  <c r="BM46" i="7" s="1"/>
  <c r="BT46" i="7" s="1"/>
  <c r="CA46" i="7" s="1"/>
  <c r="CH46" i="7" s="1"/>
  <c r="AR47" i="7"/>
  <c r="AY47" i="7" s="1"/>
  <c r="BF47" i="7" s="1"/>
  <c r="BM47" i="7" s="1"/>
  <c r="BT47" i="7" s="1"/>
  <c r="CA47" i="7" s="1"/>
  <c r="CH47" i="7" s="1"/>
  <c r="AR48" i="7"/>
  <c r="AY48" i="7" s="1"/>
  <c r="BF48" i="7" s="1"/>
  <c r="BM48" i="7" s="1"/>
  <c r="BT48" i="7" s="1"/>
  <c r="CA48" i="7" s="1"/>
  <c r="CH48" i="7" s="1"/>
  <c r="AR49" i="7"/>
  <c r="AY49" i="7" s="1"/>
  <c r="BF49" i="7" s="1"/>
  <c r="BM49" i="7" s="1"/>
  <c r="BT49" i="7" s="1"/>
  <c r="CA49" i="7" s="1"/>
  <c r="CH49" i="7" s="1"/>
  <c r="AR50" i="7"/>
  <c r="AY50" i="7" s="1"/>
  <c r="BF50" i="7" s="1"/>
  <c r="BM50" i="7" s="1"/>
  <c r="BT50" i="7" s="1"/>
  <c r="CA50" i="7" s="1"/>
  <c r="CH50" i="7" s="1"/>
  <c r="AR51" i="7"/>
  <c r="AY51" i="7" s="1"/>
  <c r="BF51" i="7" s="1"/>
  <c r="BM51" i="7" s="1"/>
  <c r="BT51" i="7" s="1"/>
  <c r="CA51" i="7" s="1"/>
  <c r="CH51" i="7" s="1"/>
  <c r="AR52" i="7"/>
  <c r="AY52" i="7" s="1"/>
  <c r="BF52" i="7" s="1"/>
  <c r="BM52" i="7" s="1"/>
  <c r="BT52" i="7" s="1"/>
  <c r="CA52" i="7" s="1"/>
  <c r="CH52" i="7" s="1"/>
  <c r="AR54" i="7"/>
  <c r="AY54" i="7" s="1"/>
  <c r="BF54" i="7" s="1"/>
  <c r="BM54" i="7" s="1"/>
  <c r="BT54" i="7" s="1"/>
  <c r="CA54" i="7" s="1"/>
  <c r="CH54" i="7" s="1"/>
  <c r="AR55" i="7"/>
  <c r="AY55" i="7" s="1"/>
  <c r="BF55" i="7" s="1"/>
  <c r="BM55" i="7" s="1"/>
  <c r="BT55" i="7" s="1"/>
  <c r="CA55" i="7" s="1"/>
  <c r="CH55" i="7" s="1"/>
  <c r="AR56" i="7"/>
  <c r="AY56" i="7" s="1"/>
  <c r="BF56" i="7" s="1"/>
  <c r="BM56" i="7" s="1"/>
  <c r="BT56" i="7" s="1"/>
  <c r="CA56" i="7" s="1"/>
  <c r="CH56" i="7" s="1"/>
  <c r="AR57" i="7"/>
  <c r="AY57" i="7" s="1"/>
  <c r="BF57" i="7" s="1"/>
  <c r="BM57" i="7" s="1"/>
  <c r="BT57" i="7" s="1"/>
  <c r="CA57" i="7" s="1"/>
  <c r="CH57" i="7" s="1"/>
  <c r="AR58" i="7"/>
  <c r="AY58" i="7" s="1"/>
  <c r="BF58" i="7" s="1"/>
  <c r="BM58" i="7" s="1"/>
  <c r="BT58" i="7" s="1"/>
  <c r="CA58" i="7" s="1"/>
  <c r="CH58" i="7" s="1"/>
  <c r="AR59" i="7"/>
  <c r="AY59" i="7" s="1"/>
  <c r="BF59" i="7" s="1"/>
  <c r="BM59" i="7" s="1"/>
  <c r="BT59" i="7" s="1"/>
  <c r="CA59" i="7" s="1"/>
  <c r="CH59" i="7" s="1"/>
  <c r="AR60" i="7"/>
  <c r="AY60" i="7" s="1"/>
  <c r="BF60" i="7" s="1"/>
  <c r="BM60" i="7" s="1"/>
  <c r="BT60" i="7" s="1"/>
  <c r="CA60" i="7" s="1"/>
  <c r="CH60" i="7" s="1"/>
  <c r="AR61" i="7"/>
  <c r="AY61" i="7" s="1"/>
  <c r="BF61" i="7" s="1"/>
  <c r="BM61" i="7" s="1"/>
  <c r="BT61" i="7" s="1"/>
  <c r="CA61" i="7" s="1"/>
  <c r="CH61" i="7" s="1"/>
  <c r="AR62" i="7"/>
  <c r="AY62" i="7" s="1"/>
  <c r="BF62" i="7" s="1"/>
  <c r="BM62" i="7" s="1"/>
  <c r="BT62" i="7" s="1"/>
  <c r="CA62" i="7" s="1"/>
  <c r="CH62" i="7" s="1"/>
  <c r="AR63" i="7"/>
  <c r="AY63" i="7" s="1"/>
  <c r="BF63" i="7" s="1"/>
  <c r="BM63" i="7" s="1"/>
  <c r="BT63" i="7" s="1"/>
  <c r="CA63" i="7" s="1"/>
  <c r="CH63" i="7" s="1"/>
  <c r="AR64" i="7"/>
  <c r="AY64" i="7" s="1"/>
  <c r="BF64" i="7" s="1"/>
  <c r="BM64" i="7" s="1"/>
  <c r="BT64" i="7" s="1"/>
  <c r="CA64" i="7" s="1"/>
  <c r="CH64" i="7" s="1"/>
  <c r="AP3" i="7"/>
  <c r="AP4" i="7"/>
  <c r="AP5" i="7"/>
  <c r="AP6" i="7"/>
  <c r="AW6" i="7" s="1"/>
  <c r="BD6" i="7" s="1"/>
  <c r="BK6" i="7" s="1"/>
  <c r="BR6" i="7" s="1"/>
  <c r="BY6" i="7" s="1"/>
  <c r="CF6" i="7" s="1"/>
  <c r="AP7" i="7"/>
  <c r="AW7" i="7" s="1"/>
  <c r="BD7" i="7" s="1"/>
  <c r="BK7" i="7" s="1"/>
  <c r="BR7" i="7" s="1"/>
  <c r="BY7" i="7" s="1"/>
  <c r="CF7" i="7" s="1"/>
  <c r="AP8" i="7"/>
  <c r="AW8" i="7" s="1"/>
  <c r="BD8" i="7" s="1"/>
  <c r="BK8" i="7" s="1"/>
  <c r="BR8" i="7" s="1"/>
  <c r="BY8" i="7" s="1"/>
  <c r="CF8" i="7" s="1"/>
  <c r="AP9" i="7"/>
  <c r="AW9" i="7" s="1"/>
  <c r="BD9" i="7" s="1"/>
  <c r="BK9" i="7" s="1"/>
  <c r="BR9" i="7" s="1"/>
  <c r="BY9" i="7" s="1"/>
  <c r="CF9" i="7" s="1"/>
  <c r="AP10" i="7"/>
  <c r="AW10" i="7" s="1"/>
  <c r="BD10" i="7" s="1"/>
  <c r="BK10" i="7" s="1"/>
  <c r="BR10" i="7" s="1"/>
  <c r="BY10" i="7" s="1"/>
  <c r="CF10" i="7" s="1"/>
  <c r="AP11" i="7"/>
  <c r="AP12" i="7"/>
  <c r="AP13" i="7"/>
  <c r="AP14" i="7"/>
  <c r="AW14" i="7" s="1"/>
  <c r="BD14" i="7" s="1"/>
  <c r="BK14" i="7" s="1"/>
  <c r="BR14" i="7" s="1"/>
  <c r="BY14" i="7" s="1"/>
  <c r="CF14" i="7" s="1"/>
  <c r="AP15" i="7"/>
  <c r="AW15" i="7" s="1"/>
  <c r="BD15" i="7" s="1"/>
  <c r="BK15" i="7" s="1"/>
  <c r="BR15" i="7" s="1"/>
  <c r="BY15" i="7" s="1"/>
  <c r="CF15" i="7" s="1"/>
  <c r="AP16" i="7"/>
  <c r="AW16" i="7" s="1"/>
  <c r="BD16" i="7" s="1"/>
  <c r="BK16" i="7" s="1"/>
  <c r="BR16" i="7" s="1"/>
  <c r="BY16" i="7" s="1"/>
  <c r="CF16" i="7" s="1"/>
  <c r="AP17" i="7"/>
  <c r="AW17" i="7" s="1"/>
  <c r="BD17" i="7" s="1"/>
  <c r="BK17" i="7" s="1"/>
  <c r="BR17" i="7" s="1"/>
  <c r="BY17" i="7" s="1"/>
  <c r="CF17" i="7" s="1"/>
  <c r="AP18" i="7"/>
  <c r="AW18" i="7" s="1"/>
  <c r="BD18" i="7" s="1"/>
  <c r="BK18" i="7" s="1"/>
  <c r="BR18" i="7" s="1"/>
  <c r="BY18" i="7" s="1"/>
  <c r="CF18" i="7" s="1"/>
  <c r="AP19" i="7"/>
  <c r="AP20" i="7"/>
  <c r="AP21" i="7"/>
  <c r="AP22" i="7"/>
  <c r="AW22" i="7" s="1"/>
  <c r="BD22" i="7" s="1"/>
  <c r="BK22" i="7" s="1"/>
  <c r="BR22" i="7" s="1"/>
  <c r="BY22" i="7" s="1"/>
  <c r="CF22" i="7" s="1"/>
  <c r="AP23" i="7"/>
  <c r="AW23" i="7" s="1"/>
  <c r="BD23" i="7" s="1"/>
  <c r="BK23" i="7" s="1"/>
  <c r="BR23" i="7" s="1"/>
  <c r="BY23" i="7" s="1"/>
  <c r="CF23" i="7" s="1"/>
  <c r="AP24" i="7"/>
  <c r="AW24" i="7" s="1"/>
  <c r="BD24" i="7" s="1"/>
  <c r="BK24" i="7" s="1"/>
  <c r="BR24" i="7" s="1"/>
  <c r="BY24" i="7" s="1"/>
  <c r="CF24" i="7" s="1"/>
  <c r="AP25" i="7"/>
  <c r="AW25" i="7" s="1"/>
  <c r="BD25" i="7" s="1"/>
  <c r="BK25" i="7" s="1"/>
  <c r="BR25" i="7" s="1"/>
  <c r="BY25" i="7" s="1"/>
  <c r="CF25" i="7" s="1"/>
  <c r="AP26" i="7"/>
  <c r="AW26" i="7" s="1"/>
  <c r="BD26" i="7" s="1"/>
  <c r="BK26" i="7" s="1"/>
  <c r="BR26" i="7" s="1"/>
  <c r="BY26" i="7" s="1"/>
  <c r="CF26" i="7" s="1"/>
  <c r="AP27" i="7"/>
  <c r="AW27" i="7" s="1"/>
  <c r="BD27" i="7" s="1"/>
  <c r="BK27" i="7" s="1"/>
  <c r="BR27" i="7" s="1"/>
  <c r="BY27" i="7" s="1"/>
  <c r="CF27" i="7" s="1"/>
  <c r="AP28" i="7"/>
  <c r="AW28" i="7" s="1"/>
  <c r="BD28" i="7" s="1"/>
  <c r="BK28" i="7" s="1"/>
  <c r="BR28" i="7" s="1"/>
  <c r="BY28" i="7" s="1"/>
  <c r="CF28" i="7" s="1"/>
  <c r="AP29" i="7"/>
  <c r="AP30" i="7"/>
  <c r="AW30" i="7" s="1"/>
  <c r="BD30" i="7" s="1"/>
  <c r="BK30" i="7" s="1"/>
  <c r="BR30" i="7" s="1"/>
  <c r="BY30" i="7" s="1"/>
  <c r="CF30" i="7" s="1"/>
  <c r="AP31" i="7"/>
  <c r="AW31" i="7" s="1"/>
  <c r="BD31" i="7" s="1"/>
  <c r="BK31" i="7" s="1"/>
  <c r="BR31" i="7" s="1"/>
  <c r="BY31" i="7" s="1"/>
  <c r="CF31" i="7" s="1"/>
  <c r="AP32" i="7"/>
  <c r="AW32" i="7" s="1"/>
  <c r="BD32" i="7" s="1"/>
  <c r="BK32" i="7" s="1"/>
  <c r="BR32" i="7" s="1"/>
  <c r="BY32" i="7" s="1"/>
  <c r="CF32" i="7" s="1"/>
  <c r="AP33" i="7"/>
  <c r="AW33" i="7" s="1"/>
  <c r="BD33" i="7" s="1"/>
  <c r="BK33" i="7" s="1"/>
  <c r="BR33" i="7" s="1"/>
  <c r="BY33" i="7" s="1"/>
  <c r="CF33" i="7" s="1"/>
  <c r="AP34" i="7"/>
  <c r="AW34" i="7" s="1"/>
  <c r="BD34" i="7" s="1"/>
  <c r="BK34" i="7" s="1"/>
  <c r="BR34" i="7" s="1"/>
  <c r="BY34" i="7" s="1"/>
  <c r="CF34" i="7" s="1"/>
  <c r="AP35" i="7"/>
  <c r="AW35" i="7" s="1"/>
  <c r="BD35" i="7" s="1"/>
  <c r="BK35" i="7" s="1"/>
  <c r="BR35" i="7" s="1"/>
  <c r="BY35" i="7" s="1"/>
  <c r="CF35" i="7" s="1"/>
  <c r="AP36" i="7"/>
  <c r="AW36" i="7" s="1"/>
  <c r="BD36" i="7" s="1"/>
  <c r="BK36" i="7" s="1"/>
  <c r="BR36" i="7" s="1"/>
  <c r="BY36" i="7" s="1"/>
  <c r="CF36" i="7" s="1"/>
  <c r="AP37" i="7"/>
  <c r="AW37" i="7" s="1"/>
  <c r="BD37" i="7" s="1"/>
  <c r="BK37" i="7" s="1"/>
  <c r="BR37" i="7" s="1"/>
  <c r="BY37" i="7" s="1"/>
  <c r="CF37" i="7" s="1"/>
  <c r="AP38" i="7"/>
  <c r="AW38" i="7" s="1"/>
  <c r="BD38" i="7" s="1"/>
  <c r="BK38" i="7" s="1"/>
  <c r="BR38" i="7" s="1"/>
  <c r="BY38" i="7" s="1"/>
  <c r="CF38" i="7" s="1"/>
  <c r="AP39" i="7"/>
  <c r="AW39" i="7" s="1"/>
  <c r="BD39" i="7" s="1"/>
  <c r="BK39" i="7" s="1"/>
  <c r="BR39" i="7" s="1"/>
  <c r="BY39" i="7" s="1"/>
  <c r="CF39" i="7" s="1"/>
  <c r="AP40" i="7"/>
  <c r="AW40" i="7" s="1"/>
  <c r="BD40" i="7" s="1"/>
  <c r="BK40" i="7" s="1"/>
  <c r="BR40" i="7" s="1"/>
  <c r="BY40" i="7" s="1"/>
  <c r="CF40" i="7" s="1"/>
  <c r="AP41" i="7"/>
  <c r="AW41" i="7" s="1"/>
  <c r="BD41" i="7" s="1"/>
  <c r="BK41" i="7" s="1"/>
  <c r="BR41" i="7" s="1"/>
  <c r="BY41" i="7" s="1"/>
  <c r="CF41" i="7" s="1"/>
  <c r="AP42" i="7"/>
  <c r="AW42" i="7" s="1"/>
  <c r="BD42" i="7" s="1"/>
  <c r="BK42" i="7" s="1"/>
  <c r="BR42" i="7" s="1"/>
  <c r="BY42" i="7" s="1"/>
  <c r="CF42" i="7" s="1"/>
  <c r="AP43" i="7"/>
  <c r="AW43" i="7" s="1"/>
  <c r="BD43" i="7" s="1"/>
  <c r="BK43" i="7" s="1"/>
  <c r="BR43" i="7" s="1"/>
  <c r="BY43" i="7" s="1"/>
  <c r="CF43" i="7" s="1"/>
  <c r="AP44" i="7"/>
  <c r="AW44" i="7" s="1"/>
  <c r="BD44" i="7" s="1"/>
  <c r="BK44" i="7" s="1"/>
  <c r="AP45" i="7"/>
  <c r="AW45" i="7" s="1"/>
  <c r="BD45" i="7" s="1"/>
  <c r="BK45" i="7" s="1"/>
  <c r="BR45" i="7" s="1"/>
  <c r="BY45" i="7" s="1"/>
  <c r="CF45" i="7" s="1"/>
  <c r="AP46" i="7"/>
  <c r="AW46" i="7" s="1"/>
  <c r="BD46" i="7" s="1"/>
  <c r="BK46" i="7" s="1"/>
  <c r="BR46" i="7" s="1"/>
  <c r="BY46" i="7" s="1"/>
  <c r="CF46" i="7" s="1"/>
  <c r="AP47" i="7"/>
  <c r="AW47" i="7" s="1"/>
  <c r="BD47" i="7" s="1"/>
  <c r="BK47" i="7" s="1"/>
  <c r="BR47" i="7" s="1"/>
  <c r="BY47" i="7" s="1"/>
  <c r="CF47" i="7" s="1"/>
  <c r="AP48" i="7"/>
  <c r="AW48" i="7" s="1"/>
  <c r="BD48" i="7" s="1"/>
  <c r="BK48" i="7" s="1"/>
  <c r="BR48" i="7" s="1"/>
  <c r="BY48" i="7" s="1"/>
  <c r="CF48" i="7" s="1"/>
  <c r="AP49" i="7"/>
  <c r="AW49" i="7" s="1"/>
  <c r="BD49" i="7" s="1"/>
  <c r="BK49" i="7" s="1"/>
  <c r="BR49" i="7" s="1"/>
  <c r="BY49" i="7" s="1"/>
  <c r="CF49" i="7" s="1"/>
  <c r="AP50" i="7"/>
  <c r="AW50" i="7" s="1"/>
  <c r="BD50" i="7" s="1"/>
  <c r="BK50" i="7" s="1"/>
  <c r="BR50" i="7" s="1"/>
  <c r="BY50" i="7" s="1"/>
  <c r="CF50" i="7" s="1"/>
  <c r="AP51" i="7"/>
  <c r="AW51" i="7" s="1"/>
  <c r="BD51" i="7" s="1"/>
  <c r="BK51" i="7" s="1"/>
  <c r="BR51" i="7" s="1"/>
  <c r="BY51" i="7" s="1"/>
  <c r="CF51" i="7" s="1"/>
  <c r="AP52" i="7"/>
  <c r="AW52" i="7" s="1"/>
  <c r="BD52" i="7" s="1"/>
  <c r="BK52" i="7" s="1"/>
  <c r="BR52" i="7" s="1"/>
  <c r="BY52" i="7" s="1"/>
  <c r="CF52" i="7" s="1"/>
  <c r="AP53" i="7"/>
  <c r="AW53" i="7" s="1"/>
  <c r="BD53" i="7" s="1"/>
  <c r="BK53" i="7" s="1"/>
  <c r="BR53" i="7" s="1"/>
  <c r="BY53" i="7" s="1"/>
  <c r="CF53" i="7" s="1"/>
  <c r="AP54" i="7"/>
  <c r="AW54" i="7" s="1"/>
  <c r="BD54" i="7" s="1"/>
  <c r="BK54" i="7" s="1"/>
  <c r="BR54" i="7" s="1"/>
  <c r="BY54" i="7" s="1"/>
  <c r="CF54" i="7" s="1"/>
  <c r="AP55" i="7"/>
  <c r="AW55" i="7" s="1"/>
  <c r="BD55" i="7" s="1"/>
  <c r="BK55" i="7" s="1"/>
  <c r="BR55" i="7" s="1"/>
  <c r="BY55" i="7" s="1"/>
  <c r="CF55" i="7" s="1"/>
  <c r="AP56" i="7"/>
  <c r="AW56" i="7" s="1"/>
  <c r="BD56" i="7" s="1"/>
  <c r="BK56" i="7" s="1"/>
  <c r="BR56" i="7" s="1"/>
  <c r="BY56" i="7" s="1"/>
  <c r="CF56" i="7" s="1"/>
  <c r="AP57" i="7"/>
  <c r="AW57" i="7" s="1"/>
  <c r="BD57" i="7" s="1"/>
  <c r="BK57" i="7" s="1"/>
  <c r="BR57" i="7" s="1"/>
  <c r="BY57" i="7" s="1"/>
  <c r="CF57" i="7" s="1"/>
  <c r="AP58" i="7"/>
  <c r="AW58" i="7" s="1"/>
  <c r="BD58" i="7" s="1"/>
  <c r="BK58" i="7" s="1"/>
  <c r="BR58" i="7" s="1"/>
  <c r="BY58" i="7" s="1"/>
  <c r="CF58" i="7" s="1"/>
  <c r="AP59" i="7"/>
  <c r="AW59" i="7" s="1"/>
  <c r="BD59" i="7" s="1"/>
  <c r="BK59" i="7" s="1"/>
  <c r="BR59" i="7" s="1"/>
  <c r="BY59" i="7" s="1"/>
  <c r="CF59" i="7" s="1"/>
  <c r="AP60" i="7"/>
  <c r="AW60" i="7" s="1"/>
  <c r="BD60" i="7" s="1"/>
  <c r="BK60" i="7" s="1"/>
  <c r="BR60" i="7" s="1"/>
  <c r="BY60" i="7" s="1"/>
  <c r="CF60" i="7" s="1"/>
  <c r="AP61" i="7"/>
  <c r="AW61" i="7" s="1"/>
  <c r="BD61" i="7" s="1"/>
  <c r="BK61" i="7" s="1"/>
  <c r="BR61" i="7" s="1"/>
  <c r="BY61" i="7" s="1"/>
  <c r="CF61" i="7" s="1"/>
  <c r="AP62" i="7"/>
  <c r="AW62" i="7" s="1"/>
  <c r="BD62" i="7" s="1"/>
  <c r="BK62" i="7" s="1"/>
  <c r="BR62" i="7" s="1"/>
  <c r="BY62" i="7" s="1"/>
  <c r="CF62" i="7" s="1"/>
  <c r="AP63" i="7"/>
  <c r="AW63" i="7" s="1"/>
  <c r="BD63" i="7" s="1"/>
  <c r="BK63" i="7" s="1"/>
  <c r="BR63" i="7" s="1"/>
  <c r="BY63" i="7" s="1"/>
  <c r="CF63" i="7" s="1"/>
  <c r="AP64" i="7"/>
  <c r="AW64" i="7" s="1"/>
  <c r="BD64" i="7" s="1"/>
  <c r="BK64" i="7" s="1"/>
  <c r="BR64" i="7" s="1"/>
  <c r="BY64" i="7" s="1"/>
  <c r="CF64" i="7" s="1"/>
  <c r="AR2" i="7"/>
  <c r="AP2" i="7"/>
  <c r="AN3" i="7"/>
  <c r="AN4" i="7"/>
  <c r="AN5" i="7"/>
  <c r="AN6" i="7"/>
  <c r="AN7" i="7"/>
  <c r="AN8" i="7"/>
  <c r="AN9" i="7"/>
  <c r="AN10" i="7"/>
  <c r="AN11" i="7"/>
  <c r="AN12" i="7"/>
  <c r="AN13" i="7"/>
  <c r="AN14" i="7"/>
  <c r="AN15" i="7"/>
  <c r="AN16" i="7"/>
  <c r="AN17" i="7"/>
  <c r="AN18" i="7"/>
  <c r="AN19" i="7"/>
  <c r="AN20" i="7"/>
  <c r="AN21" i="7"/>
  <c r="AN22" i="7"/>
  <c r="AW2" i="7" l="1"/>
  <c r="AQ21" i="7"/>
  <c r="AW21" i="7"/>
  <c r="BD21" i="7" s="1"/>
  <c r="BK21" i="7" s="1"/>
  <c r="BR21" i="7" s="1"/>
  <c r="BY21" i="7" s="1"/>
  <c r="CF21" i="7" s="1"/>
  <c r="AW19" i="7"/>
  <c r="BD19" i="7" s="1"/>
  <c r="BK19" i="7" s="1"/>
  <c r="BR19" i="7" s="1"/>
  <c r="BY19" i="7" s="1"/>
  <c r="CF19" i="7" s="1"/>
  <c r="AQ11" i="7"/>
  <c r="AW11" i="7"/>
  <c r="BD11" i="7" s="1"/>
  <c r="BK11" i="7" s="1"/>
  <c r="BR11" i="7" s="1"/>
  <c r="BY11" i="7" s="1"/>
  <c r="CF11" i="7" s="1"/>
  <c r="AQ3" i="7"/>
  <c r="AW3" i="7"/>
  <c r="BD3" i="7" s="1"/>
  <c r="BK3" i="7" s="1"/>
  <c r="BR3" i="7" s="1"/>
  <c r="BY3" i="7" s="1"/>
  <c r="CF3" i="7" s="1"/>
  <c r="AS2" i="7"/>
  <c r="AY2" i="7"/>
  <c r="BF2" i="7" s="1"/>
  <c r="BM2" i="7" s="1"/>
  <c r="BT2" i="7" s="1"/>
  <c r="CA2" i="7" s="1"/>
  <c r="CH2" i="7" s="1"/>
  <c r="AW20" i="7"/>
  <c r="BD20" i="7" s="1"/>
  <c r="BK20" i="7" s="1"/>
  <c r="BR20" i="7" s="1"/>
  <c r="BY20" i="7" s="1"/>
  <c r="CF20" i="7" s="1"/>
  <c r="AW12" i="7"/>
  <c r="BD12" i="7" s="1"/>
  <c r="BK12" i="7" s="1"/>
  <c r="BR12" i="7" s="1"/>
  <c r="BY12" i="7" s="1"/>
  <c r="CF12" i="7" s="1"/>
  <c r="AQ4" i="7"/>
  <c r="AW4" i="7"/>
  <c r="BD4" i="7" s="1"/>
  <c r="BK4" i="7" s="1"/>
  <c r="BR4" i="7" s="1"/>
  <c r="BY4" i="7" s="1"/>
  <c r="CF4" i="7" s="1"/>
  <c r="AW13" i="7"/>
  <c r="BD13" i="7" s="1"/>
  <c r="BK13" i="7" s="1"/>
  <c r="BR13" i="7" s="1"/>
  <c r="BY13" i="7" s="1"/>
  <c r="CF13" i="7" s="1"/>
  <c r="AQ5" i="7"/>
  <c r="AW5" i="7"/>
  <c r="BD5" i="7" s="1"/>
  <c r="BK5" i="7" s="1"/>
  <c r="BR5" i="7" s="1"/>
  <c r="BY5" i="7" s="1"/>
  <c r="CF5" i="7" s="1"/>
  <c r="AS19" i="7"/>
  <c r="AY19" i="7"/>
  <c r="BF19" i="7" s="1"/>
  <c r="BM19" i="7" s="1"/>
  <c r="BT19" i="7" s="1"/>
  <c r="CA19" i="7" s="1"/>
  <c r="CH19" i="7" s="1"/>
  <c r="AS11" i="7"/>
  <c r="AY11" i="7"/>
  <c r="BF11" i="7" s="1"/>
  <c r="BM11" i="7" s="1"/>
  <c r="BT11" i="7" s="1"/>
  <c r="CA11" i="7" s="1"/>
  <c r="CH11" i="7" s="1"/>
  <c r="AS3" i="7"/>
  <c r="AY3" i="7"/>
  <c r="BF3" i="7" s="1"/>
  <c r="BM3" i="7" s="1"/>
  <c r="BT3" i="7" s="1"/>
  <c r="CA3" i="7" s="1"/>
  <c r="CH3" i="7" s="1"/>
  <c r="AS21" i="7"/>
  <c r="AY21" i="7"/>
  <c r="BF21" i="7" s="1"/>
  <c r="BM21" i="7" s="1"/>
  <c r="BT21" i="7" s="1"/>
  <c r="CA21" i="7" s="1"/>
  <c r="CH21" i="7" s="1"/>
  <c r="AS13" i="7"/>
  <c r="AY13" i="7"/>
  <c r="BF13" i="7" s="1"/>
  <c r="BM13" i="7" s="1"/>
  <c r="BT13" i="7" s="1"/>
  <c r="CA13" i="7" s="1"/>
  <c r="CH13" i="7" s="1"/>
  <c r="AS5" i="7"/>
  <c r="AY5" i="7"/>
  <c r="BF5" i="7" s="1"/>
  <c r="BM5" i="7" s="1"/>
  <c r="BT5" i="7" s="1"/>
  <c r="CA5" i="7" s="1"/>
  <c r="CH5" i="7" s="1"/>
  <c r="AS20" i="7"/>
  <c r="AY20" i="7"/>
  <c r="BF20" i="7" s="1"/>
  <c r="BM20" i="7" s="1"/>
  <c r="BT20" i="7" s="1"/>
  <c r="CA20" i="7" s="1"/>
  <c r="CH20" i="7" s="1"/>
  <c r="AS12" i="7"/>
  <c r="AY12" i="7"/>
  <c r="BF12" i="7" s="1"/>
  <c r="BM12" i="7" s="1"/>
  <c r="BT12" i="7" s="1"/>
  <c r="CA12" i="7" s="1"/>
  <c r="CH12" i="7" s="1"/>
  <c r="AS4" i="7"/>
  <c r="AY4" i="7"/>
  <c r="BF4" i="7" s="1"/>
  <c r="BM4" i="7" s="1"/>
  <c r="BT4" i="7" s="1"/>
  <c r="CA4" i="7" s="1"/>
  <c r="CH4" i="7" s="1"/>
  <c r="AS18" i="7"/>
  <c r="AS10" i="7"/>
  <c r="AQ10" i="7"/>
  <c r="AS29" i="7"/>
  <c r="AY29" i="7"/>
  <c r="BF29" i="7" s="1"/>
  <c r="BM29" i="7" s="1"/>
  <c r="BT29" i="7" s="1"/>
  <c r="CA29" i="7" s="1"/>
  <c r="CH29" i="7" s="1"/>
  <c r="AW29" i="7"/>
  <c r="BD29" i="7" s="1"/>
  <c r="BK29" i="7" s="1"/>
  <c r="BR29" i="7" s="1"/>
  <c r="BY29" i="7" s="1"/>
  <c r="CF29" i="7" s="1"/>
  <c r="BR44" i="7"/>
  <c r="AS17" i="7"/>
  <c r="AS9" i="7"/>
  <c r="AQ8" i="7"/>
  <c r="AS22" i="7"/>
  <c r="AS14" i="7"/>
  <c r="AS6" i="7"/>
  <c r="AS31" i="7"/>
  <c r="AS7" i="7"/>
  <c r="AQ7" i="7"/>
  <c r="AQ9" i="7"/>
  <c r="AS15" i="7"/>
  <c r="AQ2" i="7"/>
  <c r="AS16" i="7"/>
  <c r="AS8" i="7"/>
  <c r="AQ22" i="7"/>
  <c r="AQ6" i="7"/>
  <c r="AO9" i="7"/>
  <c r="AO17" i="7"/>
  <c r="AO16" i="7"/>
  <c r="AO8" i="7"/>
  <c r="AO15" i="7"/>
  <c r="AO7" i="7"/>
  <c r="AO22" i="7"/>
  <c r="AO14" i="7"/>
  <c r="AO6" i="7"/>
  <c r="AO21" i="7"/>
  <c r="AO5" i="7"/>
  <c r="AO12" i="7"/>
  <c r="AO19" i="7"/>
  <c r="AO11" i="7"/>
  <c r="AO3" i="7"/>
  <c r="AO13" i="7"/>
  <c r="AO20" i="7"/>
  <c r="AO4" i="7"/>
  <c r="AO18" i="7"/>
  <c r="AO10" i="7"/>
  <c r="BD2" i="7" l="1"/>
  <c r="BY44" i="7"/>
  <c r="BK2" i="7" l="1"/>
  <c r="CF44" i="7"/>
  <c r="BR2" i="7" l="1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58" i="3"/>
  <c r="BY2" i="7" l="1"/>
  <c r="J3" i="19"/>
  <c r="J4" i="19"/>
  <c r="J5" i="19"/>
  <c r="J6" i="19"/>
  <c r="J7" i="19"/>
  <c r="J8" i="19"/>
  <c r="J9" i="19"/>
  <c r="J10" i="19"/>
  <c r="J11" i="19"/>
  <c r="J12" i="19"/>
  <c r="J13" i="19"/>
  <c r="J14" i="19"/>
  <c r="J15" i="19"/>
  <c r="J16" i="19"/>
  <c r="J17" i="19"/>
  <c r="J2" i="19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2" i="13"/>
  <c r="CF2" i="7" l="1"/>
  <c r="AC10" i="13"/>
  <c r="AC11" i="13"/>
  <c r="AC12" i="13"/>
  <c r="AC13" i="13"/>
  <c r="AC14" i="13"/>
  <c r="AC16" i="13"/>
  <c r="AC17" i="13"/>
  <c r="AC18" i="13"/>
  <c r="AC21" i="13"/>
  <c r="AC22" i="13"/>
  <c r="AC23" i="13"/>
  <c r="AC24" i="13"/>
  <c r="AC25" i="13"/>
  <c r="AC26" i="13"/>
  <c r="AC27" i="13"/>
  <c r="AC8" i="13"/>
  <c r="AA10" i="13" l="1"/>
  <c r="AA12" i="13"/>
  <c r="AA13" i="13"/>
  <c r="AA14" i="13"/>
  <c r="AA16" i="13"/>
  <c r="AA17" i="13"/>
  <c r="AA18" i="13"/>
  <c r="AA21" i="13"/>
  <c r="AA22" i="13"/>
  <c r="AA23" i="13"/>
  <c r="AA24" i="13"/>
  <c r="AA25" i="13"/>
  <c r="AA26" i="13"/>
  <c r="AA27" i="13"/>
  <c r="AA8" i="13"/>
  <c r="AJ19" i="13"/>
  <c r="AJ15" i="13"/>
  <c r="AJ14" i="13"/>
  <c r="AL2" i="13"/>
  <c r="AL3" i="13"/>
  <c r="AK3" i="13"/>
  <c r="AH2" i="13"/>
  <c r="AI19" i="13" s="1"/>
  <c r="AB19" i="13" s="1"/>
  <c r="AI2" i="13"/>
  <c r="AI20" i="13" s="1"/>
  <c r="AB20" i="13" s="1"/>
  <c r="AJ2" i="13"/>
  <c r="AH3" i="13"/>
  <c r="AI3" i="13"/>
  <c r="AJ3" i="13"/>
  <c r="AA2" i="13"/>
  <c r="AB2" i="13"/>
  <c r="AC2" i="13"/>
  <c r="AD2" i="13"/>
  <c r="AE2" i="13"/>
  <c r="AI15" i="13" s="1"/>
  <c r="AF2" i="13"/>
  <c r="AI14" i="13" s="1"/>
  <c r="AG2" i="13"/>
  <c r="AA3" i="13"/>
  <c r="AB3" i="13"/>
  <c r="AC3" i="13"/>
  <c r="AD3" i="13"/>
  <c r="AE3" i="13"/>
  <c r="AF3" i="13"/>
  <c r="AG3" i="13"/>
  <c r="AA4" i="13"/>
  <c r="AB4" i="13"/>
  <c r="Z3" i="13"/>
  <c r="Z4" i="13"/>
  <c r="Z2" i="13"/>
  <c r="AH14" i="13" l="1"/>
  <c r="AH19" i="13"/>
  <c r="AH15" i="13"/>
  <c r="AB15" i="13" s="1"/>
  <c r="AC15" i="13" s="1"/>
  <c r="AJ20" i="13"/>
  <c r="AA20" i="13" s="1"/>
  <c r="AA19" i="13"/>
  <c r="AH20" i="13" l="1"/>
  <c r="AJ23" i="13" s="1"/>
  <c r="AA15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AF27" i="13"/>
  <c r="AF26" i="13"/>
  <c r="AB69" i="13" l="1"/>
  <c r="AB70" i="13" s="1"/>
  <c r="AB68" i="13"/>
  <c r="AB67" i="13"/>
  <c r="AB66" i="13"/>
  <c r="AB64" i="13"/>
  <c r="AB62" i="13"/>
  <c r="AB63" i="13" s="1"/>
  <c r="AB61" i="13"/>
  <c r="AA68" i="13"/>
  <c r="AA67" i="13"/>
  <c r="AA66" i="13"/>
  <c r="AA64" i="13"/>
  <c r="AA70" i="13"/>
  <c r="AA69" i="13"/>
  <c r="AA63" i="13"/>
  <c r="AA62" i="13"/>
  <c r="AA61" i="13"/>
  <c r="AF9" i="13" l="1"/>
  <c r="AF10" i="13"/>
  <c r="AF11" i="13"/>
  <c r="AF12" i="13"/>
  <c r="AF13" i="13"/>
  <c r="AF14" i="13"/>
  <c r="AF15" i="13"/>
  <c r="AF16" i="13"/>
  <c r="AF17" i="13"/>
  <c r="AF18" i="13"/>
  <c r="AF19" i="13"/>
  <c r="AF20" i="13"/>
  <c r="AF21" i="13"/>
  <c r="AF22" i="13"/>
  <c r="AF24" i="13"/>
  <c r="AF23" i="13"/>
  <c r="AF25" i="13"/>
  <c r="AF8" i="13"/>
  <c r="X55" i="13"/>
  <c r="Y55" i="13"/>
  <c r="X56" i="13"/>
  <c r="Y56" i="13"/>
  <c r="X57" i="13"/>
  <c r="Y57" i="13"/>
  <c r="X58" i="13"/>
  <c r="Y58" i="13"/>
  <c r="X59" i="13"/>
  <c r="Y59" i="13"/>
  <c r="X60" i="13"/>
  <c r="Y60" i="13"/>
  <c r="X61" i="13"/>
  <c r="Y61" i="13"/>
  <c r="X62" i="13"/>
  <c r="Y62" i="13"/>
  <c r="X63" i="13"/>
  <c r="Y63" i="13"/>
  <c r="X64" i="13"/>
  <c r="Y64" i="13"/>
  <c r="X65" i="13"/>
  <c r="Y65" i="13"/>
  <c r="X66" i="13"/>
  <c r="Y66" i="13"/>
  <c r="X67" i="13"/>
  <c r="Y67" i="13"/>
  <c r="X68" i="13"/>
  <c r="Y68" i="13"/>
  <c r="X69" i="13"/>
  <c r="Y69" i="13"/>
  <c r="X70" i="13"/>
  <c r="Y70" i="13"/>
  <c r="Y54" i="13"/>
  <c r="X54" i="13"/>
  <c r="AD34" i="13" l="1"/>
  <c r="AD38" i="13"/>
  <c r="AD42" i="13"/>
  <c r="AD46" i="13"/>
  <c r="AD50" i="13"/>
  <c r="AC45" i="13"/>
  <c r="AD49" i="13"/>
  <c r="AC42" i="13"/>
  <c r="AC35" i="13"/>
  <c r="AC39" i="13"/>
  <c r="AC43" i="13"/>
  <c r="AC47" i="13"/>
  <c r="AC41" i="13"/>
  <c r="AD45" i="13"/>
  <c r="AC46" i="13"/>
  <c r="AD35" i="13"/>
  <c r="AD39" i="13"/>
  <c r="AD43" i="13"/>
  <c r="AD47" i="13"/>
  <c r="AC49" i="13"/>
  <c r="AD41" i="13"/>
  <c r="AC36" i="13"/>
  <c r="AC40" i="13"/>
  <c r="AC44" i="13"/>
  <c r="AC48" i="13"/>
  <c r="AC37" i="13"/>
  <c r="AD37" i="13"/>
  <c r="AC38" i="13"/>
  <c r="AC50" i="13"/>
  <c r="AD36" i="13"/>
  <c r="AD40" i="13"/>
  <c r="AD44" i="13"/>
  <c r="AD48" i="13"/>
  <c r="AC33" i="13"/>
  <c r="AD33" i="13"/>
  <c r="AC34" i="13"/>
  <c r="AD32" i="13"/>
  <c r="F2" i="13"/>
  <c r="F38" i="13"/>
  <c r="F37" i="13"/>
  <c r="F39" i="13"/>
  <c r="F153" i="13"/>
  <c r="F152" i="13"/>
  <c r="F151" i="13"/>
  <c r="F56" i="13"/>
  <c r="F57" i="13"/>
  <c r="F76" i="13"/>
  <c r="F75" i="13"/>
  <c r="F58" i="13"/>
  <c r="F94" i="13"/>
  <c r="F77" i="13"/>
  <c r="F96" i="13"/>
  <c r="F113" i="13"/>
  <c r="F132" i="13"/>
  <c r="F95" i="13"/>
  <c r="F114" i="13"/>
  <c r="F115" i="13"/>
  <c r="F134" i="13"/>
  <c r="F133" i="13"/>
  <c r="F18" i="13"/>
  <c r="F19" i="13"/>
  <c r="F20" i="13"/>
  <c r="AC32" i="13"/>
  <c r="I2" i="13" s="1"/>
  <c r="I3" i="13" l="1"/>
  <c r="I79" i="13"/>
  <c r="I60" i="13"/>
  <c r="I136" i="13"/>
  <c r="I41" i="13"/>
  <c r="I117" i="13"/>
  <c r="I98" i="13"/>
  <c r="I22" i="13"/>
  <c r="I72" i="13"/>
  <c r="I148" i="13"/>
  <c r="I34" i="13"/>
  <c r="I110" i="13"/>
  <c r="I53" i="13"/>
  <c r="I129" i="13"/>
  <c r="I91" i="13"/>
  <c r="I15" i="13"/>
  <c r="I69" i="13"/>
  <c r="I145" i="13"/>
  <c r="I31" i="13"/>
  <c r="I107" i="13"/>
  <c r="I50" i="13"/>
  <c r="I126" i="13"/>
  <c r="I88" i="13"/>
  <c r="I12" i="13"/>
  <c r="I25" i="13"/>
  <c r="I101" i="13"/>
  <c r="I63" i="13"/>
  <c r="I6" i="13"/>
  <c r="I82" i="13"/>
  <c r="I139" i="13"/>
  <c r="I44" i="13"/>
  <c r="I120" i="13"/>
  <c r="I17" i="13"/>
  <c r="I93" i="13"/>
  <c r="I55" i="13"/>
  <c r="I131" i="13"/>
  <c r="I74" i="13"/>
  <c r="I150" i="13"/>
  <c r="I112" i="13"/>
  <c r="I36" i="13"/>
  <c r="I38" i="13"/>
  <c r="I114" i="13"/>
  <c r="I76" i="13"/>
  <c r="I152" i="13"/>
  <c r="I19" i="13"/>
  <c r="I95" i="13"/>
  <c r="I133" i="13"/>
  <c r="I57" i="13"/>
  <c r="I16" i="13"/>
  <c r="I92" i="13"/>
  <c r="I73" i="13"/>
  <c r="I149" i="13"/>
  <c r="I130" i="13"/>
  <c r="I54" i="13"/>
  <c r="I111" i="13"/>
  <c r="I35" i="13"/>
  <c r="I48" i="13"/>
  <c r="I124" i="13"/>
  <c r="I10" i="13"/>
  <c r="I86" i="13"/>
  <c r="I29" i="13"/>
  <c r="I105" i="13"/>
  <c r="I143" i="13"/>
  <c r="I67" i="13"/>
  <c r="I24" i="13"/>
  <c r="I100" i="13"/>
  <c r="I138" i="13"/>
  <c r="I5" i="13"/>
  <c r="I81" i="13"/>
  <c r="I62" i="13"/>
  <c r="I43" i="13"/>
  <c r="I119" i="13"/>
  <c r="I59" i="13"/>
  <c r="I135" i="13"/>
  <c r="I97" i="13"/>
  <c r="I21" i="13"/>
  <c r="I40" i="13"/>
  <c r="I116" i="13"/>
  <c r="I78" i="13"/>
  <c r="I4" i="13"/>
  <c r="I80" i="13"/>
  <c r="I42" i="13"/>
  <c r="I118" i="13"/>
  <c r="I61" i="13"/>
  <c r="I137" i="13"/>
  <c r="I99" i="13"/>
  <c r="I23" i="13"/>
  <c r="I45" i="13"/>
  <c r="I121" i="13"/>
  <c r="I26" i="13"/>
  <c r="I102" i="13"/>
  <c r="I83" i="13"/>
  <c r="I7" i="13"/>
  <c r="I140" i="13"/>
  <c r="I64" i="13"/>
  <c r="T4" i="25"/>
  <c r="T5" i="25"/>
  <c r="T6" i="25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3" i="25"/>
  <c r="W8" i="13" l="1"/>
  <c r="Y48" i="13" l="1"/>
  <c r="Y49" i="13"/>
  <c r="Y50" i="13"/>
  <c r="Y45" i="13"/>
  <c r="Y42" i="13"/>
  <c r="Y38" i="13"/>
  <c r="Y33" i="13"/>
  <c r="Y35" i="13"/>
  <c r="Y44" i="13"/>
  <c r="Y34" i="13"/>
  <c r="Y43" i="13"/>
  <c r="Y36" i="13"/>
  <c r="Y39" i="13"/>
  <c r="Y47" i="13"/>
  <c r="Y40" i="13"/>
  <c r="Y32" i="13"/>
  <c r="Y46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2" i="13"/>
  <c r="L5" i="25"/>
  <c r="M5" i="25"/>
  <c r="K5" i="25"/>
  <c r="J107" i="13" l="1"/>
  <c r="J12" i="13"/>
  <c r="J31" i="13"/>
  <c r="J69" i="13"/>
  <c r="J126" i="13"/>
  <c r="J145" i="13"/>
  <c r="J50" i="13"/>
  <c r="J88" i="13"/>
  <c r="J43" i="13"/>
  <c r="J100" i="13"/>
  <c r="J24" i="13"/>
  <c r="J5" i="13"/>
  <c r="S5" i="13" s="1"/>
  <c r="J62" i="13"/>
  <c r="J119" i="13"/>
  <c r="J81" i="13"/>
  <c r="J138" i="13"/>
  <c r="J67" i="13"/>
  <c r="J124" i="13"/>
  <c r="J86" i="13"/>
  <c r="J29" i="13"/>
  <c r="J143" i="13"/>
  <c r="J10" i="13"/>
  <c r="J48" i="13"/>
  <c r="J105" i="13"/>
  <c r="J3" i="13"/>
  <c r="S3" i="13" s="1"/>
  <c r="J60" i="13"/>
  <c r="J117" i="13"/>
  <c r="J22" i="13"/>
  <c r="J79" i="13"/>
  <c r="J41" i="13"/>
  <c r="J98" i="13"/>
  <c r="J136" i="13"/>
  <c r="J123" i="13"/>
  <c r="J28" i="13"/>
  <c r="J85" i="13"/>
  <c r="J47" i="13"/>
  <c r="J142" i="13"/>
  <c r="J66" i="13"/>
  <c r="J104" i="13"/>
  <c r="J9" i="13"/>
  <c r="S9" i="13" s="1"/>
  <c r="J19" i="13"/>
  <c r="M19" i="13" s="1"/>
  <c r="J76" i="13"/>
  <c r="J95" i="13"/>
  <c r="J133" i="13"/>
  <c r="J38" i="13"/>
  <c r="J57" i="13"/>
  <c r="J152" i="13"/>
  <c r="J114" i="13"/>
  <c r="J59" i="13"/>
  <c r="J116" i="13"/>
  <c r="J135" i="13"/>
  <c r="J21" i="13"/>
  <c r="J78" i="13"/>
  <c r="J40" i="13"/>
  <c r="J2" i="13"/>
  <c r="J97" i="13"/>
  <c r="J131" i="13"/>
  <c r="J36" i="13"/>
  <c r="J150" i="13"/>
  <c r="J55" i="13"/>
  <c r="J93" i="13"/>
  <c r="J74" i="13"/>
  <c r="J112" i="13"/>
  <c r="J17" i="13"/>
  <c r="J27" i="13"/>
  <c r="J84" i="13"/>
  <c r="J141" i="13"/>
  <c r="J8" i="13"/>
  <c r="S8" i="13" s="1"/>
  <c r="J46" i="13"/>
  <c r="J103" i="13"/>
  <c r="J65" i="13"/>
  <c r="J122" i="13"/>
  <c r="J139" i="13"/>
  <c r="J44" i="13"/>
  <c r="J101" i="13"/>
  <c r="J63" i="13"/>
  <c r="J6" i="13"/>
  <c r="J120" i="13"/>
  <c r="J25" i="13"/>
  <c r="J82" i="13"/>
  <c r="J91" i="13"/>
  <c r="J148" i="13"/>
  <c r="J110" i="13"/>
  <c r="J15" i="13"/>
  <c r="J53" i="13"/>
  <c r="J34" i="13"/>
  <c r="J129" i="13"/>
  <c r="J72" i="13"/>
  <c r="J51" i="13"/>
  <c r="J108" i="13"/>
  <c r="J70" i="13"/>
  <c r="J127" i="13"/>
  <c r="J32" i="13"/>
  <c r="J13" i="13"/>
  <c r="J89" i="13"/>
  <c r="J146" i="13"/>
  <c r="J115" i="13"/>
  <c r="J20" i="13"/>
  <c r="S20" i="13" s="1"/>
  <c r="J134" i="13"/>
  <c r="J77" i="13"/>
  <c r="J39" i="13"/>
  <c r="J58" i="13"/>
  <c r="J96" i="13"/>
  <c r="J153" i="13"/>
  <c r="J99" i="13"/>
  <c r="J4" i="13"/>
  <c r="S4" i="13" s="1"/>
  <c r="J118" i="13"/>
  <c r="J61" i="13"/>
  <c r="J23" i="13"/>
  <c r="J80" i="13"/>
  <c r="J42" i="13"/>
  <c r="J137" i="13"/>
  <c r="J35" i="13"/>
  <c r="J92" i="13"/>
  <c r="J149" i="13"/>
  <c r="J111" i="13"/>
  <c r="J16" i="13"/>
  <c r="J54" i="13"/>
  <c r="J73" i="13"/>
  <c r="J130" i="13"/>
  <c r="J147" i="13"/>
  <c r="J52" i="13"/>
  <c r="J71" i="13"/>
  <c r="J109" i="13"/>
  <c r="J14" i="13"/>
  <c r="J128" i="13"/>
  <c r="J90" i="13"/>
  <c r="J33" i="13"/>
  <c r="J75" i="13"/>
  <c r="J132" i="13"/>
  <c r="J37" i="13"/>
  <c r="J94" i="13"/>
  <c r="J151" i="13"/>
  <c r="J56" i="13"/>
  <c r="J113" i="13"/>
  <c r="J18" i="13"/>
  <c r="M18" i="13" s="1"/>
  <c r="S19" i="13"/>
  <c r="S11" i="13"/>
  <c r="S7" i="13"/>
  <c r="F9" i="13"/>
  <c r="F8" i="13"/>
  <c r="F7" i="13"/>
  <c r="F6" i="13"/>
  <c r="F3" i="13"/>
  <c r="F11" i="13"/>
  <c r="F10" i="13"/>
  <c r="F5" i="13"/>
  <c r="F12" i="13"/>
  <c r="F4" i="13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2" i="1"/>
  <c r="L19" i="13" l="1"/>
  <c r="M20" i="13"/>
  <c r="K19" i="13"/>
  <c r="T19" i="13" s="1"/>
  <c r="K20" i="13"/>
  <c r="L20" i="13"/>
  <c r="S153" i="13"/>
  <c r="K153" i="13"/>
  <c r="L153" i="13"/>
  <c r="M153" i="13"/>
  <c r="S114" i="13"/>
  <c r="M114" i="13"/>
  <c r="L114" i="13"/>
  <c r="K114" i="13"/>
  <c r="S113" i="13"/>
  <c r="L113" i="13"/>
  <c r="M113" i="13"/>
  <c r="K113" i="13"/>
  <c r="L96" i="13"/>
  <c r="S96" i="13"/>
  <c r="K96" i="13"/>
  <c r="M96" i="13"/>
  <c r="S152" i="13"/>
  <c r="L152" i="13"/>
  <c r="K152" i="13"/>
  <c r="M152" i="13"/>
  <c r="M56" i="13"/>
  <c r="S56" i="13"/>
  <c r="K56" i="13"/>
  <c r="L56" i="13"/>
  <c r="L58" i="13"/>
  <c r="K58" i="13"/>
  <c r="S58" i="13"/>
  <c r="M58" i="13"/>
  <c r="K57" i="13"/>
  <c r="L57" i="13"/>
  <c r="M57" i="13"/>
  <c r="S57" i="13"/>
  <c r="K39" i="13"/>
  <c r="L39" i="13"/>
  <c r="S39" i="13"/>
  <c r="M39" i="13"/>
  <c r="M77" i="13"/>
  <c r="L77" i="13"/>
  <c r="K77" i="13"/>
  <c r="S77" i="13"/>
  <c r="M133" i="13"/>
  <c r="L133" i="13"/>
  <c r="K133" i="13"/>
  <c r="S133" i="13"/>
  <c r="S18" i="13"/>
  <c r="K37" i="13"/>
  <c r="L37" i="13"/>
  <c r="M37" i="13"/>
  <c r="S37" i="13"/>
  <c r="M134" i="13"/>
  <c r="L134" i="13"/>
  <c r="K134" i="13"/>
  <c r="S134" i="13"/>
  <c r="K95" i="13"/>
  <c r="S95" i="13"/>
  <c r="M95" i="13"/>
  <c r="L95" i="13"/>
  <c r="K151" i="13"/>
  <c r="M151" i="13"/>
  <c r="L151" i="13"/>
  <c r="S151" i="13"/>
  <c r="K94" i="13"/>
  <c r="L94" i="13"/>
  <c r="S94" i="13"/>
  <c r="M94" i="13"/>
  <c r="K18" i="13"/>
  <c r="S76" i="13"/>
  <c r="K76" i="13"/>
  <c r="L76" i="13"/>
  <c r="M76" i="13"/>
  <c r="K38" i="13"/>
  <c r="S38" i="13"/>
  <c r="M38" i="13"/>
  <c r="L38" i="13"/>
  <c r="L132" i="13"/>
  <c r="K132" i="13"/>
  <c r="S132" i="13"/>
  <c r="M132" i="13"/>
  <c r="L18" i="13"/>
  <c r="K75" i="13"/>
  <c r="L75" i="13"/>
  <c r="M75" i="13"/>
  <c r="S75" i="13"/>
  <c r="K115" i="13"/>
  <c r="M115" i="13"/>
  <c r="S115" i="13"/>
  <c r="L115" i="13"/>
  <c r="K10" i="13"/>
  <c r="S10" i="13"/>
  <c r="K6" i="13"/>
  <c r="S6" i="13"/>
  <c r="K12" i="13"/>
  <c r="S12" i="13"/>
  <c r="L7" i="13"/>
  <c r="M7" i="13"/>
  <c r="L8" i="13"/>
  <c r="M8" i="13"/>
  <c r="L12" i="13"/>
  <c r="M12" i="13"/>
  <c r="M10" i="13"/>
  <c r="L10" i="13"/>
  <c r="L9" i="13"/>
  <c r="M9" i="13"/>
  <c r="L6" i="13"/>
  <c r="M6" i="13"/>
  <c r="K5" i="13"/>
  <c r="L5" i="13"/>
  <c r="M5" i="13"/>
  <c r="L11" i="13"/>
  <c r="M11" i="13"/>
  <c r="M3" i="13"/>
  <c r="L3" i="13"/>
  <c r="K3" i="13"/>
  <c r="K4" i="13"/>
  <c r="M4" i="13"/>
  <c r="L4" i="13"/>
  <c r="C19" i="13" l="1"/>
  <c r="T3" i="13"/>
  <c r="T4" i="13"/>
  <c r="T6" i="13"/>
  <c r="C6" i="13" s="1"/>
  <c r="T5" i="13"/>
  <c r="C5" i="13" s="1"/>
  <c r="T10" i="13"/>
  <c r="C10" i="13" s="1"/>
  <c r="T12" i="13"/>
  <c r="T20" i="13"/>
  <c r="T115" i="13"/>
  <c r="T151" i="13"/>
  <c r="T134" i="13"/>
  <c r="T18" i="13"/>
  <c r="T133" i="13"/>
  <c r="C133" i="13" s="1"/>
  <c r="T113" i="13"/>
  <c r="T38" i="13"/>
  <c r="C38" i="13" s="1"/>
  <c r="T94" i="13"/>
  <c r="T77" i="13"/>
  <c r="T57" i="13"/>
  <c r="C57" i="13" s="1"/>
  <c r="T56" i="13"/>
  <c r="T96" i="13"/>
  <c r="T132" i="13"/>
  <c r="T75" i="13"/>
  <c r="T76" i="13"/>
  <c r="C76" i="13" s="1"/>
  <c r="T39" i="13"/>
  <c r="T58" i="13"/>
  <c r="T114" i="13"/>
  <c r="C114" i="13" s="1"/>
  <c r="T95" i="13"/>
  <c r="C95" i="13" s="1"/>
  <c r="T37" i="13"/>
  <c r="T152" i="13"/>
  <c r="C152" i="13" s="1"/>
  <c r="T153" i="13"/>
  <c r="L29" i="11"/>
  <c r="L21" i="11"/>
  <c r="L26" i="11"/>
  <c r="L24" i="11"/>
  <c r="L23" i="11"/>
  <c r="L28" i="11"/>
  <c r="L20" i="11"/>
  <c r="L27" i="11"/>
  <c r="L25" i="11"/>
  <c r="L19" i="11"/>
  <c r="L22" i="11"/>
  <c r="C3" i="13"/>
  <c r="C4" i="13"/>
  <c r="E116" i="3" l="1"/>
  <c r="E117" i="3"/>
  <c r="E118" i="3"/>
  <c r="E109" i="3"/>
  <c r="E110" i="3"/>
  <c r="E113" i="3"/>
  <c r="E104" i="3"/>
  <c r="H70" i="3" l="1"/>
  <c r="H69" i="3"/>
  <c r="H66" i="3"/>
  <c r="H64" i="3"/>
  <c r="H62" i="3"/>
  <c r="H61" i="3"/>
  <c r="H60" i="3"/>
  <c r="H59" i="3"/>
  <c r="H58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36" i="3" l="1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35" i="3"/>
  <c r="K5" i="17" l="1"/>
  <c r="L5" i="17"/>
  <c r="J5" i="17"/>
  <c r="B85" i="7" l="1"/>
  <c r="E85" i="7"/>
  <c r="B86" i="7"/>
  <c r="E86" i="7"/>
  <c r="B87" i="7"/>
  <c r="E87" i="7"/>
  <c r="B88" i="7"/>
  <c r="E88" i="7"/>
  <c r="B89" i="7"/>
  <c r="E89" i="7"/>
  <c r="B90" i="7"/>
  <c r="E90" i="7"/>
  <c r="B91" i="7"/>
  <c r="E91" i="7"/>
  <c r="B92" i="7"/>
  <c r="E92" i="7"/>
  <c r="B93" i="7"/>
  <c r="E93" i="7"/>
  <c r="B94" i="7"/>
  <c r="E94" i="7"/>
  <c r="B95" i="7"/>
  <c r="E95" i="7"/>
  <c r="B96" i="7"/>
  <c r="E96" i="7"/>
  <c r="B97" i="7"/>
  <c r="E97" i="7"/>
  <c r="B98" i="7"/>
  <c r="E98" i="7"/>
  <c r="B99" i="7"/>
  <c r="E99" i="7"/>
  <c r="B100" i="7"/>
  <c r="E100" i="7"/>
  <c r="B101" i="7"/>
  <c r="E101" i="7"/>
  <c r="B102" i="7"/>
  <c r="E102" i="7"/>
  <c r="B103" i="7"/>
  <c r="E103" i="7"/>
  <c r="B104" i="7"/>
  <c r="E104" i="7"/>
  <c r="B105" i="7"/>
  <c r="E105" i="7"/>
  <c r="B106" i="7"/>
  <c r="E106" i="7"/>
  <c r="B107" i="7"/>
  <c r="E107" i="7"/>
  <c r="B108" i="7"/>
  <c r="E108" i="7"/>
  <c r="B109" i="7"/>
  <c r="E109" i="7"/>
  <c r="B110" i="7"/>
  <c r="E110" i="7"/>
  <c r="B111" i="7"/>
  <c r="E111" i="7"/>
  <c r="B112" i="7"/>
  <c r="E112" i="7"/>
  <c r="B113" i="7"/>
  <c r="E113" i="7"/>
  <c r="B114" i="7"/>
  <c r="E114" i="7"/>
  <c r="B115" i="7"/>
  <c r="E115" i="7"/>
  <c r="B116" i="7"/>
  <c r="E116" i="7"/>
  <c r="B117" i="7"/>
  <c r="E117" i="7"/>
  <c r="B118" i="7"/>
  <c r="E118" i="7"/>
  <c r="E77" i="7"/>
  <c r="E78" i="7"/>
  <c r="E79" i="7"/>
  <c r="E80" i="7"/>
  <c r="E81" i="7"/>
  <c r="E82" i="7"/>
  <c r="E83" i="7"/>
  <c r="E84" i="7"/>
  <c r="B84" i="7"/>
  <c r="B77" i="7"/>
  <c r="B78" i="7"/>
  <c r="B79" i="7"/>
  <c r="B80" i="7"/>
  <c r="B81" i="7"/>
  <c r="B82" i="7"/>
  <c r="B83" i="7"/>
  <c r="S65" i="7" l="1"/>
  <c r="P65" i="7"/>
  <c r="M65" i="7"/>
  <c r="R27" i="7"/>
  <c r="U39" i="7"/>
  <c r="AQ18" i="7"/>
  <c r="AQ15" i="7"/>
  <c r="AQ14" i="7"/>
  <c r="AQ13" i="7"/>
  <c r="AQ16" i="7"/>
  <c r="AQ19" i="7"/>
  <c r="AQ20" i="7"/>
  <c r="AQ17" i="7"/>
  <c r="AQ12" i="7"/>
  <c r="P51" i="7"/>
  <c r="P55" i="7"/>
  <c r="P37" i="7"/>
  <c r="P33" i="7"/>
  <c r="S45" i="7"/>
  <c r="P42" i="7"/>
  <c r="S57" i="7"/>
  <c r="S43" i="7"/>
  <c r="P31" i="7"/>
  <c r="P41" i="7"/>
  <c r="P36" i="7"/>
  <c r="P32" i="7"/>
  <c r="P39" i="7"/>
  <c r="S38" i="7"/>
  <c r="S37" i="7"/>
  <c r="P38" i="7"/>
  <c r="S41" i="7"/>
  <c r="S35" i="7"/>
  <c r="S32" i="7"/>
  <c r="P25" i="7"/>
  <c r="P35" i="7"/>
  <c r="P26" i="7"/>
  <c r="P29" i="7"/>
  <c r="P27" i="7"/>
  <c r="P28" i="7"/>
  <c r="P24" i="7"/>
  <c r="P40" i="7"/>
  <c r="S33" i="7"/>
  <c r="P34" i="7"/>
  <c r="S42" i="7"/>
  <c r="S36" i="7"/>
  <c r="S40" i="7"/>
  <c r="AM85" i="7"/>
  <c r="AV85" i="7" s="1"/>
  <c r="BC85" i="7" s="1"/>
  <c r="BJ85" i="7" s="1"/>
  <c r="BQ85" i="7" s="1"/>
  <c r="BX85" i="7" s="1"/>
  <c r="AM99" i="7"/>
  <c r="AV99" i="7" s="1"/>
  <c r="BC99" i="7" s="1"/>
  <c r="BJ99" i="7" s="1"/>
  <c r="BQ99" i="7" s="1"/>
  <c r="BX99" i="7" s="1"/>
  <c r="AM96" i="7"/>
  <c r="AV96" i="7" s="1"/>
  <c r="BC96" i="7" s="1"/>
  <c r="BJ96" i="7" s="1"/>
  <c r="BQ96" i="7" s="1"/>
  <c r="BX96" i="7" s="1"/>
  <c r="AM88" i="7"/>
  <c r="AV88" i="7" s="1"/>
  <c r="BC88" i="7" s="1"/>
  <c r="BJ88" i="7" s="1"/>
  <c r="BQ88" i="7" s="1"/>
  <c r="BX88" i="7" s="1"/>
  <c r="AM84" i="7"/>
  <c r="AV84" i="7" s="1"/>
  <c r="BC84" i="7" s="1"/>
  <c r="BJ84" i="7" s="1"/>
  <c r="BQ84" i="7" s="1"/>
  <c r="BX84" i="7" s="1"/>
  <c r="AM117" i="7"/>
  <c r="AV117" i="7" s="1"/>
  <c r="BC117" i="7" s="1"/>
  <c r="BJ117" i="7" s="1"/>
  <c r="BQ117" i="7" s="1"/>
  <c r="BX117" i="7" s="1"/>
  <c r="AM109" i="7"/>
  <c r="AV109" i="7" s="1"/>
  <c r="BC109" i="7" s="1"/>
  <c r="BJ109" i="7" s="1"/>
  <c r="BQ109" i="7" s="1"/>
  <c r="BX109" i="7" s="1"/>
  <c r="AM101" i="7"/>
  <c r="AV101" i="7" s="1"/>
  <c r="BC101" i="7" s="1"/>
  <c r="BJ101" i="7" s="1"/>
  <c r="BQ101" i="7" s="1"/>
  <c r="BX101" i="7" s="1"/>
  <c r="AM93" i="7"/>
  <c r="AV93" i="7" s="1"/>
  <c r="BC93" i="7" s="1"/>
  <c r="BJ93" i="7" s="1"/>
  <c r="BQ93" i="7" s="1"/>
  <c r="BX93" i="7" s="1"/>
  <c r="AM81" i="7"/>
  <c r="AV81" i="7" s="1"/>
  <c r="BC81" i="7" s="1"/>
  <c r="BJ81" i="7" s="1"/>
  <c r="BQ81" i="7" s="1"/>
  <c r="BX81" i="7" s="1"/>
  <c r="AM116" i="7"/>
  <c r="AV116" i="7" s="1"/>
  <c r="BC116" i="7" s="1"/>
  <c r="BJ116" i="7" s="1"/>
  <c r="BQ116" i="7" s="1"/>
  <c r="BX116" i="7" s="1"/>
  <c r="AM108" i="7"/>
  <c r="AV108" i="7" s="1"/>
  <c r="BC108" i="7" s="1"/>
  <c r="BJ108" i="7" s="1"/>
  <c r="BQ108" i="7" s="1"/>
  <c r="BX108" i="7" s="1"/>
  <c r="AM100" i="7"/>
  <c r="AV100" i="7" s="1"/>
  <c r="BC100" i="7" s="1"/>
  <c r="BJ100" i="7" s="1"/>
  <c r="BQ100" i="7" s="1"/>
  <c r="BX100" i="7" s="1"/>
  <c r="AM92" i="7"/>
  <c r="AV92" i="7" s="1"/>
  <c r="BC92" i="7" s="1"/>
  <c r="BJ92" i="7" s="1"/>
  <c r="BQ92" i="7" s="1"/>
  <c r="BX92" i="7" s="1"/>
  <c r="AM80" i="7"/>
  <c r="AV80" i="7" s="1"/>
  <c r="BC80" i="7" s="1"/>
  <c r="BJ80" i="7" s="1"/>
  <c r="BQ80" i="7" s="1"/>
  <c r="BX80" i="7" s="1"/>
  <c r="AM89" i="7"/>
  <c r="AV89" i="7" s="1"/>
  <c r="BC89" i="7" s="1"/>
  <c r="BJ89" i="7" s="1"/>
  <c r="BQ89" i="7" s="1"/>
  <c r="BX89" i="7" s="1"/>
  <c r="AM79" i="7"/>
  <c r="AV79" i="7" s="1"/>
  <c r="BC79" i="7" s="1"/>
  <c r="BJ79" i="7" s="1"/>
  <c r="BQ79" i="7" s="1"/>
  <c r="BX79" i="7" s="1"/>
  <c r="AM110" i="7"/>
  <c r="AV110" i="7" s="1"/>
  <c r="BC110" i="7" s="1"/>
  <c r="BJ110" i="7" s="1"/>
  <c r="BQ110" i="7" s="1"/>
  <c r="BX110" i="7" s="1"/>
  <c r="AM102" i="7"/>
  <c r="AV102" i="7" s="1"/>
  <c r="BC102" i="7" s="1"/>
  <c r="BJ102" i="7" s="1"/>
  <c r="BQ102" i="7" s="1"/>
  <c r="BX102" i="7" s="1"/>
  <c r="AM94" i="7"/>
  <c r="AV94" i="7" s="1"/>
  <c r="BC94" i="7" s="1"/>
  <c r="BJ94" i="7" s="1"/>
  <c r="BQ94" i="7" s="1"/>
  <c r="BX94" i="7" s="1"/>
  <c r="AM78" i="7"/>
  <c r="AV78" i="7" s="1"/>
  <c r="BC78" i="7" s="1"/>
  <c r="BJ78" i="7" s="1"/>
  <c r="BQ78" i="7" s="1"/>
  <c r="BX78" i="7" s="1"/>
  <c r="AM107" i="7"/>
  <c r="AV107" i="7" s="1"/>
  <c r="BC107" i="7" s="1"/>
  <c r="BJ107" i="7" s="1"/>
  <c r="BQ107" i="7" s="1"/>
  <c r="BX107" i="7" s="1"/>
  <c r="AM91" i="7"/>
  <c r="AV91" i="7" s="1"/>
  <c r="BC91" i="7" s="1"/>
  <c r="BJ91" i="7" s="1"/>
  <c r="BQ91" i="7" s="1"/>
  <c r="BX91" i="7" s="1"/>
  <c r="M75" i="7"/>
  <c r="P72" i="7"/>
  <c r="S69" i="7"/>
  <c r="M67" i="7"/>
  <c r="P74" i="7"/>
  <c r="S71" i="7"/>
  <c r="M69" i="7"/>
  <c r="S75" i="7"/>
  <c r="M73" i="7"/>
  <c r="P70" i="7"/>
  <c r="S67" i="7"/>
  <c r="S76" i="7"/>
  <c r="M72" i="7"/>
  <c r="M70" i="7"/>
  <c r="P76" i="7"/>
  <c r="S74" i="7"/>
  <c r="S68" i="7"/>
  <c r="M76" i="7"/>
  <c r="M74" i="7"/>
  <c r="P68" i="7"/>
  <c r="S66" i="7"/>
  <c r="P71" i="7"/>
  <c r="P69" i="7"/>
  <c r="M66" i="7"/>
  <c r="S72" i="7"/>
  <c r="S70" i="7"/>
  <c r="P66" i="7"/>
  <c r="S73" i="7"/>
  <c r="M71" i="7"/>
  <c r="P73" i="7"/>
  <c r="P75" i="7"/>
  <c r="P67" i="7"/>
  <c r="M68" i="7"/>
  <c r="R39" i="7"/>
  <c r="R50" i="7"/>
  <c r="U57" i="7"/>
  <c r="U25" i="7"/>
  <c r="R61" i="7"/>
  <c r="R60" i="7"/>
  <c r="U28" i="7"/>
  <c r="R62" i="7"/>
  <c r="R35" i="7"/>
  <c r="U38" i="7"/>
  <c r="U49" i="7"/>
  <c r="U48" i="7"/>
  <c r="R54" i="7"/>
  <c r="U40" i="7"/>
  <c r="U26" i="7"/>
  <c r="R37" i="7"/>
  <c r="U55" i="7"/>
  <c r="R58" i="7"/>
  <c r="R30" i="7"/>
  <c r="U32" i="7"/>
  <c r="R57" i="7"/>
  <c r="U60" i="7"/>
  <c r="U47" i="7"/>
  <c r="R46" i="7"/>
  <c r="U42" i="7"/>
  <c r="R49" i="7"/>
  <c r="R64" i="7"/>
  <c r="U52" i="7"/>
  <c r="R56" i="7"/>
  <c r="R24" i="7"/>
  <c r="U54" i="7"/>
  <c r="U35" i="7"/>
  <c r="R42" i="7"/>
  <c r="U64" i="7"/>
  <c r="R52" i="7"/>
  <c r="R63" i="7"/>
  <c r="R55" i="7"/>
  <c r="U58" i="7"/>
  <c r="R23" i="7"/>
  <c r="R40" i="7"/>
  <c r="R26" i="7"/>
  <c r="U37" i="7"/>
  <c r="R47" i="7"/>
  <c r="U50" i="7"/>
  <c r="U61" i="7"/>
  <c r="R32" i="7"/>
  <c r="R38" i="7"/>
  <c r="U34" i="7"/>
  <c r="U41" i="7"/>
  <c r="R31" i="7"/>
  <c r="U45" i="7"/>
  <c r="U44" i="7"/>
  <c r="R48" i="7"/>
  <c r="U63" i="7"/>
  <c r="R59" i="7"/>
  <c r="U27" i="7"/>
  <c r="R29" i="7"/>
  <c r="R34" i="7"/>
  <c r="R41" i="7"/>
  <c r="R45" i="7"/>
  <c r="R44" i="7"/>
  <c r="U51" i="7"/>
  <c r="U33" i="7"/>
  <c r="R36" i="7"/>
  <c r="R51" i="7"/>
  <c r="R33" i="7"/>
  <c r="U36" i="7"/>
  <c r="U43" i="7"/>
  <c r="R25" i="7"/>
  <c r="R28" i="7"/>
  <c r="R43" i="7"/>
  <c r="S56" i="7"/>
  <c r="AM112" i="7"/>
  <c r="AV112" i="7" s="1"/>
  <c r="BC112" i="7" s="1"/>
  <c r="BJ112" i="7" s="1"/>
  <c r="BQ112" i="7" s="1"/>
  <c r="BX112" i="7" s="1"/>
  <c r="AM83" i="7"/>
  <c r="AV83" i="7" s="1"/>
  <c r="BC83" i="7" s="1"/>
  <c r="BJ83" i="7" s="1"/>
  <c r="BQ83" i="7" s="1"/>
  <c r="BX83" i="7" s="1"/>
  <c r="AM114" i="7"/>
  <c r="AV114" i="7" s="1"/>
  <c r="BC114" i="7" s="1"/>
  <c r="BJ114" i="7" s="1"/>
  <c r="BQ114" i="7" s="1"/>
  <c r="BX114" i="7" s="1"/>
  <c r="AM106" i="7"/>
  <c r="AV106" i="7" s="1"/>
  <c r="BC106" i="7" s="1"/>
  <c r="BJ106" i="7" s="1"/>
  <c r="BQ106" i="7" s="1"/>
  <c r="BX106" i="7" s="1"/>
  <c r="AM98" i="7"/>
  <c r="AV98" i="7" s="1"/>
  <c r="BC98" i="7" s="1"/>
  <c r="BJ98" i="7" s="1"/>
  <c r="BQ98" i="7" s="1"/>
  <c r="BX98" i="7" s="1"/>
  <c r="AM90" i="7"/>
  <c r="AV90" i="7" s="1"/>
  <c r="BC90" i="7" s="1"/>
  <c r="BJ90" i="7" s="1"/>
  <c r="BQ90" i="7" s="1"/>
  <c r="BX90" i="7" s="1"/>
  <c r="AM105" i="7"/>
  <c r="AV105" i="7" s="1"/>
  <c r="BC105" i="7" s="1"/>
  <c r="BJ105" i="7" s="1"/>
  <c r="BQ105" i="7" s="1"/>
  <c r="BX105" i="7" s="1"/>
  <c r="AM97" i="7"/>
  <c r="AV97" i="7" s="1"/>
  <c r="BC97" i="7" s="1"/>
  <c r="BJ97" i="7" s="1"/>
  <c r="BQ97" i="7" s="1"/>
  <c r="BX97" i="7" s="1"/>
  <c r="AM118" i="7"/>
  <c r="AV118" i="7" s="1"/>
  <c r="BC118" i="7" s="1"/>
  <c r="BJ118" i="7" s="1"/>
  <c r="BQ118" i="7" s="1"/>
  <c r="BX118" i="7" s="1"/>
  <c r="AM86" i="7"/>
  <c r="AV86" i="7" s="1"/>
  <c r="BC86" i="7" s="1"/>
  <c r="BJ86" i="7" s="1"/>
  <c r="BQ86" i="7" s="1"/>
  <c r="BX86" i="7" s="1"/>
  <c r="AM104" i="7"/>
  <c r="AV104" i="7" s="1"/>
  <c r="BC104" i="7" s="1"/>
  <c r="BJ104" i="7" s="1"/>
  <c r="BQ104" i="7" s="1"/>
  <c r="BX104" i="7" s="1"/>
  <c r="AM82" i="7"/>
  <c r="AV82" i="7" s="1"/>
  <c r="BC82" i="7" s="1"/>
  <c r="BJ82" i="7" s="1"/>
  <c r="BQ82" i="7" s="1"/>
  <c r="BX82" i="7" s="1"/>
  <c r="AM111" i="7"/>
  <c r="AV111" i="7" s="1"/>
  <c r="BC111" i="7" s="1"/>
  <c r="BJ111" i="7" s="1"/>
  <c r="BQ111" i="7" s="1"/>
  <c r="BX111" i="7" s="1"/>
  <c r="AM103" i="7"/>
  <c r="AV103" i="7" s="1"/>
  <c r="BC103" i="7" s="1"/>
  <c r="BJ103" i="7" s="1"/>
  <c r="BQ103" i="7" s="1"/>
  <c r="BX103" i="7" s="1"/>
  <c r="AM95" i="7"/>
  <c r="AV95" i="7" s="1"/>
  <c r="BC95" i="7" s="1"/>
  <c r="BJ95" i="7" s="1"/>
  <c r="BQ95" i="7" s="1"/>
  <c r="BX95" i="7" s="1"/>
  <c r="AM87" i="7"/>
  <c r="AV87" i="7" s="1"/>
  <c r="BC87" i="7" s="1"/>
  <c r="BJ87" i="7" s="1"/>
  <c r="BQ87" i="7" s="1"/>
  <c r="BX87" i="7" s="1"/>
  <c r="S44" i="7"/>
  <c r="AM77" i="7"/>
  <c r="AN59" i="7"/>
  <c r="AM113" i="7"/>
  <c r="AN61" i="7"/>
  <c r="AM115" i="7"/>
  <c r="S30" i="7"/>
  <c r="S46" i="7"/>
  <c r="S34" i="7"/>
  <c r="S47" i="7"/>
  <c r="S48" i="7"/>
  <c r="S49" i="7"/>
  <c r="S50" i="7"/>
  <c r="S51" i="7"/>
  <c r="S111" i="7"/>
  <c r="S103" i="7"/>
  <c r="S95" i="7"/>
  <c r="S87" i="7"/>
  <c r="S79" i="7"/>
  <c r="S59" i="7"/>
  <c r="S26" i="7"/>
  <c r="S18" i="7"/>
  <c r="S10" i="7"/>
  <c r="S2" i="7"/>
  <c r="P111" i="7"/>
  <c r="P103" i="7"/>
  <c r="P95" i="7"/>
  <c r="P87" i="7"/>
  <c r="P79" i="7"/>
  <c r="P59" i="7"/>
  <c r="P18" i="7"/>
  <c r="P10" i="7"/>
  <c r="P2" i="7"/>
  <c r="M10" i="7"/>
  <c r="M18" i="7"/>
  <c r="M78" i="7"/>
  <c r="M86" i="7"/>
  <c r="M94" i="7"/>
  <c r="M102" i="7"/>
  <c r="M110" i="7"/>
  <c r="M118" i="7"/>
  <c r="S118" i="7"/>
  <c r="S110" i="7"/>
  <c r="S102" i="7"/>
  <c r="S94" i="7"/>
  <c r="S86" i="7"/>
  <c r="S78" i="7"/>
  <c r="S58" i="7"/>
  <c r="S25" i="7"/>
  <c r="S17" i="7"/>
  <c r="S9" i="7"/>
  <c r="P118" i="7"/>
  <c r="P110" i="7"/>
  <c r="P102" i="7"/>
  <c r="P94" i="7"/>
  <c r="P86" i="7"/>
  <c r="P78" i="7"/>
  <c r="P58" i="7"/>
  <c r="P50" i="7"/>
  <c r="P17" i="7"/>
  <c r="P9" i="7"/>
  <c r="M3" i="7"/>
  <c r="M11" i="7"/>
  <c r="M19" i="7"/>
  <c r="M79" i="7"/>
  <c r="M87" i="7"/>
  <c r="M95" i="7"/>
  <c r="M103" i="7"/>
  <c r="M111" i="7"/>
  <c r="M2" i="7"/>
  <c r="S99" i="7"/>
  <c r="S55" i="7"/>
  <c r="S22" i="7"/>
  <c r="S6" i="7"/>
  <c r="P107" i="7"/>
  <c r="P91" i="7"/>
  <c r="P63" i="7"/>
  <c r="P47" i="7"/>
  <c r="P14" i="7"/>
  <c r="M6" i="7"/>
  <c r="M22" i="7"/>
  <c r="S117" i="7"/>
  <c r="S109" i="7"/>
  <c r="S101" i="7"/>
  <c r="S93" i="7"/>
  <c r="S85" i="7"/>
  <c r="S77" i="7"/>
  <c r="S24" i="7"/>
  <c r="S16" i="7"/>
  <c r="S8" i="7"/>
  <c r="P117" i="7"/>
  <c r="P109" i="7"/>
  <c r="P101" i="7"/>
  <c r="P93" i="7"/>
  <c r="P85" i="7"/>
  <c r="P77" i="7"/>
  <c r="P57" i="7"/>
  <c r="P49" i="7"/>
  <c r="P16" i="7"/>
  <c r="P8" i="7"/>
  <c r="M4" i="7"/>
  <c r="M12" i="7"/>
  <c r="M20" i="7"/>
  <c r="M80" i="7"/>
  <c r="M88" i="7"/>
  <c r="M96" i="7"/>
  <c r="M104" i="7"/>
  <c r="M112" i="7"/>
  <c r="S116" i="7"/>
  <c r="S108" i="7"/>
  <c r="S100" i="7"/>
  <c r="S92" i="7"/>
  <c r="S84" i="7"/>
  <c r="S64" i="7"/>
  <c r="S39" i="7"/>
  <c r="S31" i="7"/>
  <c r="S23" i="7"/>
  <c r="S15" i="7"/>
  <c r="S7" i="7"/>
  <c r="P116" i="7"/>
  <c r="P108" i="7"/>
  <c r="P100" i="7"/>
  <c r="P92" i="7"/>
  <c r="P84" i="7"/>
  <c r="P64" i="7"/>
  <c r="P56" i="7"/>
  <c r="P48" i="7"/>
  <c r="P15" i="7"/>
  <c r="P7" i="7"/>
  <c r="M5" i="7"/>
  <c r="M13" i="7"/>
  <c r="M21" i="7"/>
  <c r="M81" i="7"/>
  <c r="M89" i="7"/>
  <c r="M97" i="7"/>
  <c r="M105" i="7"/>
  <c r="M113" i="7"/>
  <c r="S115" i="7"/>
  <c r="S107" i="7"/>
  <c r="S91" i="7"/>
  <c r="S83" i="7"/>
  <c r="S63" i="7"/>
  <c r="S14" i="7"/>
  <c r="P115" i="7"/>
  <c r="P99" i="7"/>
  <c r="P83" i="7"/>
  <c r="P22" i="7"/>
  <c r="P6" i="7"/>
  <c r="M14" i="7"/>
  <c r="S97" i="7"/>
  <c r="S62" i="7"/>
  <c r="S13" i="7"/>
  <c r="P112" i="7"/>
  <c r="P89" i="7"/>
  <c r="P54" i="7"/>
  <c r="P4" i="7"/>
  <c r="M83" i="7"/>
  <c r="M99" i="7"/>
  <c r="M115" i="7"/>
  <c r="M100" i="7"/>
  <c r="M116" i="7"/>
  <c r="S90" i="7"/>
  <c r="S11" i="7"/>
  <c r="P82" i="7"/>
  <c r="M7" i="7"/>
  <c r="M101" i="7"/>
  <c r="S112" i="7"/>
  <c r="S54" i="7"/>
  <c r="S28" i="7"/>
  <c r="P104" i="7"/>
  <c r="P19" i="7"/>
  <c r="M90" i="7"/>
  <c r="S88" i="7"/>
  <c r="P98" i="7"/>
  <c r="P45" i="7"/>
  <c r="P13" i="7"/>
  <c r="M9" i="7"/>
  <c r="M107" i="7"/>
  <c r="S82" i="7"/>
  <c r="S52" i="7"/>
  <c r="S21" i="7"/>
  <c r="P97" i="7"/>
  <c r="P62" i="7"/>
  <c r="P12" i="7"/>
  <c r="M92" i="7"/>
  <c r="S104" i="7"/>
  <c r="P96" i="7"/>
  <c r="P61" i="7"/>
  <c r="M16" i="7"/>
  <c r="M93" i="7"/>
  <c r="S98" i="7"/>
  <c r="P113" i="7"/>
  <c r="P60" i="7"/>
  <c r="M17" i="7"/>
  <c r="M82" i="7"/>
  <c r="M114" i="7"/>
  <c r="S114" i="7"/>
  <c r="S96" i="7"/>
  <c r="S61" i="7"/>
  <c r="S12" i="7"/>
  <c r="P106" i="7"/>
  <c r="P88" i="7"/>
  <c r="P53" i="7"/>
  <c r="P21" i="7"/>
  <c r="P3" i="7"/>
  <c r="M84" i="7"/>
  <c r="S113" i="7"/>
  <c r="S60" i="7"/>
  <c r="S29" i="7"/>
  <c r="P105" i="7"/>
  <c r="P52" i="7"/>
  <c r="P30" i="7"/>
  <c r="P20" i="7"/>
  <c r="M85" i="7"/>
  <c r="M117" i="7"/>
  <c r="S89" i="7"/>
  <c r="S5" i="7"/>
  <c r="P81" i="7"/>
  <c r="P46" i="7"/>
  <c r="M8" i="7"/>
  <c r="M106" i="7"/>
  <c r="S106" i="7"/>
  <c r="S27" i="7"/>
  <c r="S4" i="7"/>
  <c r="P80" i="7"/>
  <c r="M91" i="7"/>
  <c r="S105" i="7"/>
  <c r="S3" i="7"/>
  <c r="P44" i="7"/>
  <c r="M15" i="7"/>
  <c r="M108" i="7"/>
  <c r="S81" i="7"/>
  <c r="S20" i="7"/>
  <c r="P114" i="7"/>
  <c r="P11" i="7"/>
  <c r="M77" i="7"/>
  <c r="M109" i="7"/>
  <c r="S80" i="7"/>
  <c r="S19" i="7"/>
  <c r="P90" i="7"/>
  <c r="P5" i="7"/>
  <c r="M98" i="7"/>
  <c r="AN23" i="7"/>
  <c r="AN24" i="7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21" i="13"/>
  <c r="A43" i="13" l="1"/>
  <c r="A50" i="13"/>
  <c r="A41" i="13"/>
  <c r="A46" i="13"/>
  <c r="A49" i="13"/>
  <c r="CE84" i="7"/>
  <c r="CE102" i="7"/>
  <c r="CE89" i="7"/>
  <c r="CE98" i="7"/>
  <c r="CE80" i="7"/>
  <c r="CE78" i="7"/>
  <c r="CE108" i="7"/>
  <c r="CE118" i="7"/>
  <c r="CE112" i="7"/>
  <c r="CE110" i="7"/>
  <c r="CE85" i="7"/>
  <c r="CE92" i="7"/>
  <c r="CE116" i="7"/>
  <c r="CE93" i="7"/>
  <c r="CE87" i="7"/>
  <c r="CE82" i="7"/>
  <c r="CE81" i="7"/>
  <c r="CE97" i="7"/>
  <c r="CE99" i="7"/>
  <c r="CE107" i="7"/>
  <c r="CE100" i="7"/>
  <c r="CE79" i="7"/>
  <c r="CE101" i="7"/>
  <c r="CE83" i="7"/>
  <c r="CE106" i="7"/>
  <c r="CE103" i="7"/>
  <c r="CE105" i="7"/>
  <c r="CE104" i="7"/>
  <c r="CE90" i="7"/>
  <c r="CE109" i="7"/>
  <c r="CE88" i="7"/>
  <c r="CE114" i="7"/>
  <c r="CE86" i="7"/>
  <c r="CE95" i="7"/>
  <c r="CE117" i="7"/>
  <c r="CE96" i="7"/>
  <c r="CE91" i="7"/>
  <c r="CE94" i="7"/>
  <c r="CE111" i="7"/>
  <c r="AV113" i="7"/>
  <c r="BC113" i="7" s="1"/>
  <c r="BJ113" i="7" s="1"/>
  <c r="BQ113" i="7" s="1"/>
  <c r="BX113" i="7" s="1"/>
  <c r="M59" i="7"/>
  <c r="AV115" i="7"/>
  <c r="BC115" i="7" s="1"/>
  <c r="BJ115" i="7" s="1"/>
  <c r="BQ115" i="7" s="1"/>
  <c r="BX115" i="7" s="1"/>
  <c r="AV77" i="7"/>
  <c r="M61" i="7"/>
  <c r="M45" i="7"/>
  <c r="AN45" i="7"/>
  <c r="M38" i="7"/>
  <c r="AN38" i="7"/>
  <c r="M46" i="7"/>
  <c r="AN46" i="7"/>
  <c r="M54" i="7"/>
  <c r="AN54" i="7"/>
  <c r="M62" i="7"/>
  <c r="AN62" i="7"/>
  <c r="M47" i="7"/>
  <c r="AN47" i="7"/>
  <c r="M43" i="7"/>
  <c r="AN43" i="7"/>
  <c r="M29" i="7"/>
  <c r="AN29" i="7"/>
  <c r="M53" i="7"/>
  <c r="AN53" i="7"/>
  <c r="M34" i="7"/>
  <c r="AN34" i="7"/>
  <c r="M42" i="7"/>
  <c r="AN42" i="7"/>
  <c r="M50" i="7"/>
  <c r="AN50" i="7"/>
  <c r="M58" i="7"/>
  <c r="AN58" i="7"/>
  <c r="M37" i="7"/>
  <c r="AN37" i="7"/>
  <c r="M31" i="7"/>
  <c r="AN31" i="7"/>
  <c r="M26" i="7"/>
  <c r="AN26" i="7"/>
  <c r="M32" i="7"/>
  <c r="AN32" i="7"/>
  <c r="M40" i="7"/>
  <c r="AN40" i="7"/>
  <c r="M48" i="7"/>
  <c r="AN48" i="7"/>
  <c r="M56" i="7"/>
  <c r="AN56" i="7"/>
  <c r="M64" i="7"/>
  <c r="AN64" i="7"/>
  <c r="M39" i="7"/>
  <c r="AN39" i="7"/>
  <c r="M33" i="7"/>
  <c r="AN33" i="7"/>
  <c r="M51" i="7"/>
  <c r="AN51" i="7"/>
  <c r="M57" i="7"/>
  <c r="AN57" i="7"/>
  <c r="M49" i="7"/>
  <c r="AN49" i="7"/>
  <c r="M25" i="7"/>
  <c r="AN25" i="7"/>
  <c r="M63" i="7"/>
  <c r="AN63" i="7"/>
  <c r="M60" i="7"/>
  <c r="AN60" i="7"/>
  <c r="M30" i="7"/>
  <c r="AN30" i="7"/>
  <c r="M41" i="7"/>
  <c r="AN41" i="7"/>
  <c r="M36" i="7"/>
  <c r="AN36" i="7"/>
  <c r="M44" i="7"/>
  <c r="AN44" i="7"/>
  <c r="M52" i="7"/>
  <c r="AN52" i="7"/>
  <c r="M27" i="7"/>
  <c r="AN27" i="7"/>
  <c r="M55" i="7"/>
  <c r="AN55" i="7"/>
  <c r="M35" i="7"/>
  <c r="AN35" i="7"/>
  <c r="M28" i="7"/>
  <c r="AN28" i="7"/>
  <c r="Z77" i="7"/>
  <c r="M23" i="7"/>
  <c r="Z99" i="7"/>
  <c r="M24" i="7"/>
  <c r="Z112" i="7"/>
  <c r="Z88" i="7"/>
  <c r="Z115" i="7"/>
  <c r="Z108" i="7"/>
  <c r="Z117" i="7"/>
  <c r="Z111" i="7"/>
  <c r="Z102" i="7"/>
  <c r="Z103" i="7"/>
  <c r="Z110" i="7"/>
  <c r="Z114" i="7"/>
  <c r="Z104" i="7"/>
  <c r="Z118" i="7"/>
  <c r="A55" i="13"/>
  <c r="A54" i="13"/>
  <c r="A40" i="13"/>
  <c r="A44" i="13"/>
  <c r="A51" i="13"/>
  <c r="A53" i="13"/>
  <c r="A52" i="13"/>
  <c r="A42" i="13"/>
  <c r="A47" i="13"/>
  <c r="A45" i="13"/>
  <c r="A48" i="13"/>
  <c r="Z78" i="7"/>
  <c r="Z97" i="7"/>
  <c r="Z91" i="7"/>
  <c r="Z81" i="7"/>
  <c r="Z107" i="7"/>
  <c r="Z106" i="7"/>
  <c r="Z113" i="7"/>
  <c r="Z105" i="7"/>
  <c r="Z86" i="7"/>
  <c r="Z89" i="7"/>
  <c r="Z95" i="7"/>
  <c r="Z84" i="7"/>
  <c r="Z94" i="7"/>
  <c r="Z93" i="7"/>
  <c r="Z100" i="7"/>
  <c r="Z90" i="7"/>
  <c r="Z79" i="7"/>
  <c r="Z82" i="7"/>
  <c r="Z85" i="7"/>
  <c r="Z87" i="7"/>
  <c r="Z83" i="7"/>
  <c r="Z101" i="7"/>
  <c r="Z109" i="7"/>
  <c r="Z116" i="7"/>
  <c r="Z80" i="7"/>
  <c r="Z96" i="7"/>
  <c r="Z92" i="7"/>
  <c r="Z98" i="7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7" i="9"/>
  <c r="F8" i="9"/>
  <c r="G8" i="9"/>
  <c r="I8" i="9"/>
  <c r="F9" i="9"/>
  <c r="G9" i="9"/>
  <c r="I9" i="9"/>
  <c r="F10" i="9"/>
  <c r="G10" i="9"/>
  <c r="I10" i="9"/>
  <c r="F11" i="9"/>
  <c r="G11" i="9"/>
  <c r="I11" i="9"/>
  <c r="F12" i="9"/>
  <c r="G12" i="9"/>
  <c r="I12" i="9"/>
  <c r="F13" i="9"/>
  <c r="G13" i="9"/>
  <c r="I13" i="9"/>
  <c r="F14" i="9"/>
  <c r="G14" i="9"/>
  <c r="I14" i="9"/>
  <c r="F15" i="9"/>
  <c r="G15" i="9"/>
  <c r="I15" i="9"/>
  <c r="F16" i="9"/>
  <c r="G16" i="9"/>
  <c r="I16" i="9"/>
  <c r="F17" i="9"/>
  <c r="G17" i="9"/>
  <c r="I17" i="9"/>
  <c r="F18" i="9"/>
  <c r="G18" i="9"/>
  <c r="I18" i="9"/>
  <c r="F19" i="9"/>
  <c r="G19" i="9"/>
  <c r="I19" i="9"/>
  <c r="F20" i="9"/>
  <c r="G20" i="9"/>
  <c r="I20" i="9"/>
  <c r="F21" i="9"/>
  <c r="G21" i="9"/>
  <c r="I21" i="9"/>
  <c r="F22" i="9"/>
  <c r="G22" i="9"/>
  <c r="I22" i="9"/>
  <c r="F23" i="9"/>
  <c r="G23" i="9"/>
  <c r="I23" i="9"/>
  <c r="F24" i="9"/>
  <c r="G24" i="9"/>
  <c r="I24" i="9"/>
  <c r="F25" i="9"/>
  <c r="G25" i="9"/>
  <c r="I25" i="9"/>
  <c r="F26" i="9"/>
  <c r="G26" i="9"/>
  <c r="I26" i="9"/>
  <c r="F27" i="9"/>
  <c r="G27" i="9"/>
  <c r="I27" i="9"/>
  <c r="F28" i="9"/>
  <c r="G28" i="9"/>
  <c r="I28" i="9"/>
  <c r="F29" i="9"/>
  <c r="G29" i="9"/>
  <c r="I29" i="9"/>
  <c r="F30" i="9"/>
  <c r="G30" i="9"/>
  <c r="I30" i="9"/>
  <c r="F31" i="9"/>
  <c r="G31" i="9"/>
  <c r="I31" i="9"/>
  <c r="F32" i="9"/>
  <c r="G32" i="9"/>
  <c r="I32" i="9"/>
  <c r="F33" i="9"/>
  <c r="G33" i="9"/>
  <c r="I33" i="9"/>
  <c r="F34" i="9"/>
  <c r="G34" i="9"/>
  <c r="I34" i="9"/>
  <c r="F35" i="9"/>
  <c r="G35" i="9"/>
  <c r="I35" i="9"/>
  <c r="F36" i="9"/>
  <c r="G36" i="9"/>
  <c r="I36" i="9"/>
  <c r="F37" i="9"/>
  <c r="G37" i="9"/>
  <c r="I37" i="9"/>
  <c r="F38" i="9"/>
  <c r="G38" i="9"/>
  <c r="I38" i="9"/>
  <c r="F39" i="9"/>
  <c r="G39" i="9"/>
  <c r="I39" i="9"/>
  <c r="F40" i="9"/>
  <c r="G40" i="9"/>
  <c r="I40" i="9"/>
  <c r="F41" i="9"/>
  <c r="G41" i="9"/>
  <c r="I41" i="9"/>
  <c r="F42" i="9"/>
  <c r="G42" i="9"/>
  <c r="I42" i="9"/>
  <c r="F43" i="9"/>
  <c r="G43" i="9"/>
  <c r="I43" i="9"/>
  <c r="F44" i="9"/>
  <c r="G44" i="9"/>
  <c r="I44" i="9"/>
  <c r="F45" i="9"/>
  <c r="G45" i="9"/>
  <c r="I45" i="9"/>
  <c r="F46" i="9"/>
  <c r="G46" i="9"/>
  <c r="I46" i="9"/>
  <c r="F47" i="9"/>
  <c r="G47" i="9"/>
  <c r="I47" i="9"/>
  <c r="F48" i="9"/>
  <c r="G48" i="9"/>
  <c r="I48" i="9"/>
  <c r="F49" i="9"/>
  <c r="G49" i="9"/>
  <c r="I49" i="9"/>
  <c r="F50" i="9"/>
  <c r="G50" i="9"/>
  <c r="I50" i="9"/>
  <c r="F51" i="9"/>
  <c r="G51" i="9"/>
  <c r="I51" i="9"/>
  <c r="F52" i="9"/>
  <c r="G52" i="9"/>
  <c r="I52" i="9"/>
  <c r="F53" i="9"/>
  <c r="G53" i="9"/>
  <c r="I53" i="9"/>
  <c r="F54" i="9"/>
  <c r="G54" i="9"/>
  <c r="I54" i="9"/>
  <c r="F55" i="9"/>
  <c r="G55" i="9"/>
  <c r="I55" i="9"/>
  <c r="F56" i="9"/>
  <c r="G56" i="9"/>
  <c r="I56" i="9"/>
  <c r="F57" i="9"/>
  <c r="G57" i="9"/>
  <c r="I57" i="9"/>
  <c r="F58" i="9"/>
  <c r="G58" i="9"/>
  <c r="I58" i="9"/>
  <c r="F59" i="9"/>
  <c r="G59" i="9"/>
  <c r="I59" i="9"/>
  <c r="F60" i="9"/>
  <c r="G60" i="9"/>
  <c r="I60" i="9"/>
  <c r="F61" i="9"/>
  <c r="G61" i="9"/>
  <c r="I61" i="9"/>
  <c r="F62" i="9"/>
  <c r="G62" i="9"/>
  <c r="I62" i="9"/>
  <c r="F63" i="9"/>
  <c r="G63" i="9"/>
  <c r="I63" i="9"/>
  <c r="F64" i="9"/>
  <c r="G64" i="9"/>
  <c r="I64" i="9"/>
  <c r="F65" i="9"/>
  <c r="G65" i="9"/>
  <c r="I65" i="9"/>
  <c r="F66" i="9"/>
  <c r="G66" i="9"/>
  <c r="I66" i="9"/>
  <c r="F67" i="9"/>
  <c r="G67" i="9"/>
  <c r="I67" i="9"/>
  <c r="F68" i="9"/>
  <c r="G68" i="9"/>
  <c r="I68" i="9"/>
  <c r="F69" i="9"/>
  <c r="G69" i="9"/>
  <c r="I69" i="9"/>
  <c r="F70" i="9"/>
  <c r="G70" i="9"/>
  <c r="I70" i="9"/>
  <c r="F71" i="9"/>
  <c r="G71" i="9"/>
  <c r="I71" i="9"/>
  <c r="F72" i="9"/>
  <c r="G72" i="9"/>
  <c r="I72" i="9"/>
  <c r="F73" i="9"/>
  <c r="G73" i="9"/>
  <c r="I73" i="9"/>
  <c r="F74" i="9"/>
  <c r="G74" i="9"/>
  <c r="I74" i="9"/>
  <c r="F75" i="9"/>
  <c r="G75" i="9"/>
  <c r="I75" i="9"/>
  <c r="F76" i="9"/>
  <c r="G76" i="9"/>
  <c r="I76" i="9"/>
  <c r="F77" i="9"/>
  <c r="G77" i="9"/>
  <c r="I77" i="9"/>
  <c r="F78" i="9"/>
  <c r="G78" i="9"/>
  <c r="I78" i="9"/>
  <c r="F79" i="9"/>
  <c r="G79" i="9"/>
  <c r="I79" i="9"/>
  <c r="F80" i="9"/>
  <c r="G80" i="9"/>
  <c r="I80" i="9"/>
  <c r="F81" i="9"/>
  <c r="G81" i="9"/>
  <c r="I81" i="9"/>
  <c r="F82" i="9"/>
  <c r="G82" i="9"/>
  <c r="I82" i="9"/>
  <c r="F83" i="9"/>
  <c r="G83" i="9"/>
  <c r="I83" i="9"/>
  <c r="F84" i="9"/>
  <c r="G84" i="9"/>
  <c r="I84" i="9"/>
  <c r="F85" i="9"/>
  <c r="G85" i="9"/>
  <c r="I85" i="9"/>
  <c r="F86" i="9"/>
  <c r="G86" i="9"/>
  <c r="I86" i="9"/>
  <c r="F87" i="9"/>
  <c r="G87" i="9"/>
  <c r="I87" i="9"/>
  <c r="F88" i="9"/>
  <c r="G88" i="9"/>
  <c r="I88" i="9"/>
  <c r="F89" i="9"/>
  <c r="G89" i="9"/>
  <c r="I89" i="9"/>
  <c r="F90" i="9"/>
  <c r="G90" i="9"/>
  <c r="I90" i="9"/>
  <c r="F91" i="9"/>
  <c r="G91" i="9"/>
  <c r="I91" i="9"/>
  <c r="F92" i="9"/>
  <c r="G92" i="9"/>
  <c r="I92" i="9"/>
  <c r="F93" i="9"/>
  <c r="G93" i="9"/>
  <c r="I93" i="9"/>
  <c r="F94" i="9"/>
  <c r="G94" i="9"/>
  <c r="I94" i="9"/>
  <c r="F95" i="9"/>
  <c r="G95" i="9"/>
  <c r="I95" i="9"/>
  <c r="F96" i="9"/>
  <c r="G96" i="9"/>
  <c r="I96" i="9"/>
  <c r="F97" i="9"/>
  <c r="G97" i="9"/>
  <c r="I97" i="9"/>
  <c r="F98" i="9"/>
  <c r="G98" i="9"/>
  <c r="I98" i="9"/>
  <c r="F99" i="9"/>
  <c r="G99" i="9"/>
  <c r="I99" i="9"/>
  <c r="F100" i="9"/>
  <c r="G100" i="9"/>
  <c r="I100" i="9"/>
  <c r="F101" i="9"/>
  <c r="G101" i="9"/>
  <c r="I101" i="9"/>
  <c r="F102" i="9"/>
  <c r="G102" i="9"/>
  <c r="I102" i="9"/>
  <c r="F103" i="9"/>
  <c r="G103" i="9"/>
  <c r="I103" i="9"/>
  <c r="F104" i="9"/>
  <c r="G104" i="9"/>
  <c r="I104" i="9"/>
  <c r="F105" i="9"/>
  <c r="G105" i="9"/>
  <c r="I105" i="9"/>
  <c r="F106" i="9"/>
  <c r="G106" i="9"/>
  <c r="I106" i="9"/>
  <c r="G7" i="9"/>
  <c r="I7" i="9"/>
  <c r="O102" i="21"/>
  <c r="O103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4" i="21"/>
  <c r="T4" i="21"/>
  <c r="U4" i="21"/>
  <c r="V4" i="21"/>
  <c r="W4" i="21"/>
  <c r="A62" i="13" l="1"/>
  <c r="A65" i="13"/>
  <c r="A68" i="13"/>
  <c r="A69" i="13"/>
  <c r="F31" i="13"/>
  <c r="F50" i="13"/>
  <c r="F43" i="13"/>
  <c r="F27" i="13"/>
  <c r="S27" i="13"/>
  <c r="F24" i="13"/>
  <c r="F22" i="13"/>
  <c r="F30" i="13"/>
  <c r="A60" i="13"/>
  <c r="D2" i="28"/>
  <c r="CE113" i="7"/>
  <c r="CE115" i="7"/>
  <c r="BC77" i="7"/>
  <c r="S30" i="13"/>
  <c r="S25" i="13"/>
  <c r="S29" i="13"/>
  <c r="S23" i="13"/>
  <c r="S49" i="13"/>
  <c r="S28" i="13"/>
  <c r="S50" i="13"/>
  <c r="S24" i="13"/>
  <c r="S26" i="13"/>
  <c r="S43" i="13"/>
  <c r="S31" i="13"/>
  <c r="S22" i="13"/>
  <c r="F26" i="13"/>
  <c r="F49" i="13"/>
  <c r="F28" i="13"/>
  <c r="F25" i="13"/>
  <c r="F23" i="13"/>
  <c r="F29" i="13"/>
  <c r="F21" i="13"/>
  <c r="A70" i="13"/>
  <c r="A81" i="13"/>
  <c r="A63" i="13"/>
  <c r="A61" i="13"/>
  <c r="A71" i="13"/>
  <c r="A59" i="13"/>
  <c r="A74" i="13"/>
  <c r="A67" i="13"/>
  <c r="A73" i="13"/>
  <c r="A64" i="13"/>
  <c r="A66" i="13"/>
  <c r="A72" i="13"/>
  <c r="A84" i="13"/>
  <c r="E22" i="13"/>
  <c r="E41" i="13" s="1"/>
  <c r="E60" i="13" s="1"/>
  <c r="E79" i="13" s="1"/>
  <c r="E98" i="13" s="1"/>
  <c r="E117" i="13" s="1"/>
  <c r="E136" i="13" s="1"/>
  <c r="E23" i="13"/>
  <c r="E42" i="13" s="1"/>
  <c r="E61" i="13" s="1"/>
  <c r="E80" i="13" s="1"/>
  <c r="E99" i="13" s="1"/>
  <c r="E118" i="13" s="1"/>
  <c r="E137" i="13" s="1"/>
  <c r="E24" i="13"/>
  <c r="E43" i="13" s="1"/>
  <c r="E62" i="13" s="1"/>
  <c r="E81" i="13" s="1"/>
  <c r="E100" i="13" s="1"/>
  <c r="E119" i="13" s="1"/>
  <c r="E138" i="13" s="1"/>
  <c r="E25" i="13"/>
  <c r="E44" i="13" s="1"/>
  <c r="E63" i="13" s="1"/>
  <c r="E82" i="13" s="1"/>
  <c r="E101" i="13" s="1"/>
  <c r="E120" i="13" s="1"/>
  <c r="E139" i="13" s="1"/>
  <c r="E26" i="13"/>
  <c r="E45" i="13" s="1"/>
  <c r="E64" i="13" s="1"/>
  <c r="E83" i="13" s="1"/>
  <c r="E102" i="13" s="1"/>
  <c r="E121" i="13" s="1"/>
  <c r="E140" i="13" s="1"/>
  <c r="E27" i="13"/>
  <c r="E46" i="13" s="1"/>
  <c r="E65" i="13" s="1"/>
  <c r="E84" i="13" s="1"/>
  <c r="E103" i="13" s="1"/>
  <c r="E122" i="13" s="1"/>
  <c r="E141" i="13" s="1"/>
  <c r="E28" i="13"/>
  <c r="E47" i="13" s="1"/>
  <c r="E66" i="13" s="1"/>
  <c r="E85" i="13" s="1"/>
  <c r="E104" i="13" s="1"/>
  <c r="E123" i="13" s="1"/>
  <c r="E142" i="13" s="1"/>
  <c r="E29" i="13"/>
  <c r="E48" i="13" s="1"/>
  <c r="E67" i="13" s="1"/>
  <c r="E86" i="13" s="1"/>
  <c r="E105" i="13" s="1"/>
  <c r="E124" i="13" s="1"/>
  <c r="E143" i="13" s="1"/>
  <c r="E30" i="13"/>
  <c r="E49" i="13" s="1"/>
  <c r="E68" i="13" s="1"/>
  <c r="E87" i="13" s="1"/>
  <c r="E106" i="13" s="1"/>
  <c r="E125" i="13" s="1"/>
  <c r="E144" i="13" s="1"/>
  <c r="E31" i="13"/>
  <c r="E50" i="13" s="1"/>
  <c r="E69" i="13" s="1"/>
  <c r="E88" i="13" s="1"/>
  <c r="E107" i="13" s="1"/>
  <c r="E126" i="13" s="1"/>
  <c r="E145" i="13" s="1"/>
  <c r="E32" i="13"/>
  <c r="E51" i="13" s="1"/>
  <c r="E70" i="13" s="1"/>
  <c r="E89" i="13" s="1"/>
  <c r="E108" i="13" s="1"/>
  <c r="E127" i="13" s="1"/>
  <c r="E146" i="13" s="1"/>
  <c r="E33" i="13"/>
  <c r="E52" i="13" s="1"/>
  <c r="E71" i="13" s="1"/>
  <c r="E90" i="13" s="1"/>
  <c r="E109" i="13" s="1"/>
  <c r="E128" i="13" s="1"/>
  <c r="E147" i="13" s="1"/>
  <c r="E34" i="13"/>
  <c r="E53" i="13" s="1"/>
  <c r="E72" i="13" s="1"/>
  <c r="E91" i="13" s="1"/>
  <c r="E110" i="13" s="1"/>
  <c r="E129" i="13" s="1"/>
  <c r="E148" i="13" s="1"/>
  <c r="E35" i="13"/>
  <c r="E54" i="13" s="1"/>
  <c r="E73" i="13" s="1"/>
  <c r="E92" i="13" s="1"/>
  <c r="E111" i="13" s="1"/>
  <c r="E130" i="13" s="1"/>
  <c r="E149" i="13" s="1"/>
  <c r="E36" i="13"/>
  <c r="E55" i="13" s="1"/>
  <c r="E74" i="13" s="1"/>
  <c r="E93" i="13" s="1"/>
  <c r="E112" i="13" s="1"/>
  <c r="E131" i="13" s="1"/>
  <c r="E150" i="13" s="1"/>
  <c r="E21" i="13"/>
  <c r="E40" i="13" s="1"/>
  <c r="E59" i="13" s="1"/>
  <c r="E78" i="13" s="1"/>
  <c r="E97" i="13" s="1"/>
  <c r="E116" i="13" s="1"/>
  <c r="E135" i="13" s="1"/>
  <c r="D22" i="13"/>
  <c r="D23" i="13"/>
  <c r="D24" i="13"/>
  <c r="D25" i="13"/>
  <c r="D26" i="13"/>
  <c r="D27" i="13"/>
  <c r="R27" i="13" s="1"/>
  <c r="D28" i="13"/>
  <c r="R28" i="13" s="1"/>
  <c r="D29" i="13"/>
  <c r="D30" i="13"/>
  <c r="D31" i="13"/>
  <c r="R31" i="13" s="1"/>
  <c r="D32" i="13"/>
  <c r="D33" i="13"/>
  <c r="R33" i="13" s="1"/>
  <c r="D34" i="13"/>
  <c r="D35" i="13"/>
  <c r="D36" i="13"/>
  <c r="D21" i="13"/>
  <c r="B22" i="13"/>
  <c r="B41" i="13" s="1"/>
  <c r="B60" i="13" s="1"/>
  <c r="B79" i="13" s="1"/>
  <c r="B98" i="13" s="1"/>
  <c r="B117" i="13" s="1"/>
  <c r="B136" i="13" s="1"/>
  <c r="B23" i="13"/>
  <c r="B42" i="13" s="1"/>
  <c r="B61" i="13" s="1"/>
  <c r="B80" i="13" s="1"/>
  <c r="B99" i="13" s="1"/>
  <c r="B118" i="13" s="1"/>
  <c r="B137" i="13" s="1"/>
  <c r="B24" i="13"/>
  <c r="B43" i="13" s="1"/>
  <c r="B62" i="13" s="1"/>
  <c r="B81" i="13" s="1"/>
  <c r="B100" i="13" s="1"/>
  <c r="B119" i="13" s="1"/>
  <c r="B138" i="13" s="1"/>
  <c r="B25" i="13"/>
  <c r="B44" i="13" s="1"/>
  <c r="B63" i="13" s="1"/>
  <c r="B82" i="13" s="1"/>
  <c r="B101" i="13" s="1"/>
  <c r="B120" i="13" s="1"/>
  <c r="B139" i="13" s="1"/>
  <c r="B26" i="13"/>
  <c r="B45" i="13" s="1"/>
  <c r="B64" i="13" s="1"/>
  <c r="B83" i="13" s="1"/>
  <c r="B102" i="13" s="1"/>
  <c r="B121" i="13" s="1"/>
  <c r="B140" i="13" s="1"/>
  <c r="B27" i="13"/>
  <c r="B46" i="13" s="1"/>
  <c r="B65" i="13" s="1"/>
  <c r="B84" i="13" s="1"/>
  <c r="B103" i="13" s="1"/>
  <c r="B122" i="13" s="1"/>
  <c r="B141" i="13" s="1"/>
  <c r="B28" i="13"/>
  <c r="B47" i="13" s="1"/>
  <c r="B66" i="13" s="1"/>
  <c r="B85" i="13" s="1"/>
  <c r="B104" i="13" s="1"/>
  <c r="B123" i="13" s="1"/>
  <c r="B142" i="13" s="1"/>
  <c r="B29" i="13"/>
  <c r="B48" i="13" s="1"/>
  <c r="B67" i="13" s="1"/>
  <c r="B86" i="13" s="1"/>
  <c r="B105" i="13" s="1"/>
  <c r="B124" i="13" s="1"/>
  <c r="B143" i="13" s="1"/>
  <c r="B30" i="13"/>
  <c r="B49" i="13" s="1"/>
  <c r="B68" i="13" s="1"/>
  <c r="B87" i="13" s="1"/>
  <c r="B106" i="13" s="1"/>
  <c r="B125" i="13" s="1"/>
  <c r="B144" i="13" s="1"/>
  <c r="B31" i="13"/>
  <c r="B50" i="13" s="1"/>
  <c r="B69" i="13" s="1"/>
  <c r="B88" i="13" s="1"/>
  <c r="B107" i="13" s="1"/>
  <c r="B126" i="13" s="1"/>
  <c r="B145" i="13" s="1"/>
  <c r="B32" i="13"/>
  <c r="B51" i="13" s="1"/>
  <c r="B70" i="13" s="1"/>
  <c r="B89" i="13" s="1"/>
  <c r="B108" i="13" s="1"/>
  <c r="B127" i="13" s="1"/>
  <c r="B146" i="13" s="1"/>
  <c r="B33" i="13"/>
  <c r="B52" i="13" s="1"/>
  <c r="B71" i="13" s="1"/>
  <c r="B90" i="13" s="1"/>
  <c r="B109" i="13" s="1"/>
  <c r="B128" i="13" s="1"/>
  <c r="B147" i="13" s="1"/>
  <c r="B34" i="13"/>
  <c r="B53" i="13" s="1"/>
  <c r="B72" i="13" s="1"/>
  <c r="B91" i="13" s="1"/>
  <c r="B110" i="13" s="1"/>
  <c r="B129" i="13" s="1"/>
  <c r="B148" i="13" s="1"/>
  <c r="B35" i="13"/>
  <c r="B54" i="13" s="1"/>
  <c r="B73" i="13" s="1"/>
  <c r="B92" i="13" s="1"/>
  <c r="B111" i="13" s="1"/>
  <c r="B130" i="13" s="1"/>
  <c r="B149" i="13" s="1"/>
  <c r="B36" i="13"/>
  <c r="B55" i="13" s="1"/>
  <c r="B74" i="13" s="1"/>
  <c r="B93" i="13" s="1"/>
  <c r="B112" i="13" s="1"/>
  <c r="B131" i="13" s="1"/>
  <c r="B150" i="13" s="1"/>
  <c r="B21" i="13"/>
  <c r="B40" i="13" s="1"/>
  <c r="B59" i="13" s="1"/>
  <c r="B78" i="13" s="1"/>
  <c r="B97" i="13" s="1"/>
  <c r="B116" i="13" s="1"/>
  <c r="B135" i="13" s="1"/>
  <c r="A88" i="13" l="1"/>
  <c r="A87" i="13"/>
  <c r="F41" i="13"/>
  <c r="A79" i="13"/>
  <c r="S41" i="13"/>
  <c r="F69" i="13"/>
  <c r="K22" i="13"/>
  <c r="K29" i="13"/>
  <c r="R25" i="13"/>
  <c r="R30" i="13"/>
  <c r="Q30" i="13" s="1"/>
  <c r="R22" i="13"/>
  <c r="Q22" i="13" s="1"/>
  <c r="K31" i="13"/>
  <c r="R21" i="13"/>
  <c r="Q21" i="13" s="1"/>
  <c r="K25" i="13"/>
  <c r="R36" i="13"/>
  <c r="R35" i="13"/>
  <c r="Q35" i="13" s="1"/>
  <c r="K23" i="13"/>
  <c r="R23" i="13"/>
  <c r="Q23" i="13" s="1"/>
  <c r="R29" i="13"/>
  <c r="Q29" i="13" s="1"/>
  <c r="R34" i="13"/>
  <c r="Q34" i="13" s="1"/>
  <c r="R26" i="13"/>
  <c r="Q26" i="13" s="1"/>
  <c r="K24" i="13"/>
  <c r="R32" i="13"/>
  <c r="Q32" i="13" s="1"/>
  <c r="R24" i="13"/>
  <c r="Q24" i="13" s="1"/>
  <c r="BJ77" i="7"/>
  <c r="BQ77" i="7" s="1"/>
  <c r="BX77" i="7" s="1"/>
  <c r="L23" i="13"/>
  <c r="M23" i="13"/>
  <c r="L24" i="13"/>
  <c r="M24" i="13"/>
  <c r="M50" i="13"/>
  <c r="L27" i="13"/>
  <c r="M27" i="13"/>
  <c r="M22" i="13"/>
  <c r="L22" i="13"/>
  <c r="L31" i="13"/>
  <c r="M31" i="13"/>
  <c r="L28" i="13"/>
  <c r="M28" i="13"/>
  <c r="M29" i="13"/>
  <c r="L29" i="13"/>
  <c r="M43" i="13"/>
  <c r="L25" i="13"/>
  <c r="M25" i="13"/>
  <c r="L26" i="13"/>
  <c r="M26" i="13"/>
  <c r="M49" i="13"/>
  <c r="L30" i="13"/>
  <c r="M30" i="13"/>
  <c r="S45" i="13"/>
  <c r="S69" i="13"/>
  <c r="S44" i="13"/>
  <c r="S68" i="13"/>
  <c r="S47" i="13"/>
  <c r="S48" i="13"/>
  <c r="S62" i="13"/>
  <c r="S42" i="13"/>
  <c r="F45" i="13"/>
  <c r="F68" i="13"/>
  <c r="F40" i="13"/>
  <c r="F44" i="13"/>
  <c r="F47" i="13"/>
  <c r="F48" i="13"/>
  <c r="F62" i="13"/>
  <c r="F42" i="13"/>
  <c r="D49" i="13"/>
  <c r="D51" i="13"/>
  <c r="D50" i="13"/>
  <c r="Q31" i="13"/>
  <c r="D42" i="13"/>
  <c r="A83" i="13"/>
  <c r="A106" i="13"/>
  <c r="D43" i="13"/>
  <c r="D41" i="13"/>
  <c r="R41" i="13" s="1"/>
  <c r="A86" i="13"/>
  <c r="A100" i="13"/>
  <c r="D53" i="13"/>
  <c r="D45" i="13"/>
  <c r="D52" i="13"/>
  <c r="R52" i="13" s="1"/>
  <c r="Q33" i="13"/>
  <c r="D44" i="13"/>
  <c r="Q25" i="13"/>
  <c r="A107" i="13"/>
  <c r="A82" i="13"/>
  <c r="A85" i="13"/>
  <c r="D40" i="13"/>
  <c r="D48" i="13"/>
  <c r="D55" i="13"/>
  <c r="Q36" i="13"/>
  <c r="D47" i="13"/>
  <c r="R47" i="13" s="1"/>
  <c r="Q28" i="13"/>
  <c r="A92" i="13"/>
  <c r="A80" i="13"/>
  <c r="A103" i="13"/>
  <c r="A78" i="13"/>
  <c r="A91" i="13"/>
  <c r="A90" i="13"/>
  <c r="D54" i="13"/>
  <c r="D46" i="13"/>
  <c r="R46" i="13" s="1"/>
  <c r="Q27" i="13"/>
  <c r="A93" i="13"/>
  <c r="A89" i="13"/>
  <c r="T22" i="13" l="1"/>
  <c r="C22" i="13" s="1"/>
  <c r="M41" i="13"/>
  <c r="K50" i="13"/>
  <c r="T50" i="13" s="1"/>
  <c r="A98" i="13"/>
  <c r="F60" i="13"/>
  <c r="K43" i="13"/>
  <c r="T43" i="13" s="1"/>
  <c r="T24" i="13"/>
  <c r="C24" i="13" s="1"/>
  <c r="T25" i="13"/>
  <c r="C25" i="13" s="1"/>
  <c r="T29" i="13"/>
  <c r="C29" i="13" s="1"/>
  <c r="T23" i="13"/>
  <c r="C23" i="13" s="1"/>
  <c r="T31" i="13"/>
  <c r="K44" i="13"/>
  <c r="R45" i="13"/>
  <c r="Q45" i="13" s="1"/>
  <c r="D70" i="13"/>
  <c r="R70" i="13" s="1"/>
  <c r="Q70" i="13" s="1"/>
  <c r="R51" i="13"/>
  <c r="Q51" i="13" s="1"/>
  <c r="R55" i="13"/>
  <c r="Q55" i="13" s="1"/>
  <c r="L43" i="13"/>
  <c r="R43" i="13"/>
  <c r="Q43" i="13" s="1"/>
  <c r="L49" i="13"/>
  <c r="R49" i="13"/>
  <c r="K48" i="13"/>
  <c r="K41" i="13"/>
  <c r="K42" i="13"/>
  <c r="L50" i="13"/>
  <c r="R50" i="13"/>
  <c r="Q50" i="13" s="1"/>
  <c r="R53" i="13"/>
  <c r="R42" i="13"/>
  <c r="Q42" i="13" s="1"/>
  <c r="S74" i="13"/>
  <c r="R48" i="13"/>
  <c r="Q48" i="13" s="1"/>
  <c r="R54" i="13"/>
  <c r="R40" i="13"/>
  <c r="Q40" i="13" s="1"/>
  <c r="R44" i="13"/>
  <c r="Q44" i="13" s="1"/>
  <c r="CE77" i="7"/>
  <c r="L41" i="13"/>
  <c r="M62" i="13"/>
  <c r="M48" i="13"/>
  <c r="L48" i="13"/>
  <c r="L42" i="13"/>
  <c r="M42" i="13"/>
  <c r="L44" i="13"/>
  <c r="M44" i="13"/>
  <c r="M68" i="13"/>
  <c r="L47" i="13"/>
  <c r="M47" i="13"/>
  <c r="L45" i="13"/>
  <c r="M45" i="13"/>
  <c r="M69" i="13"/>
  <c r="S63" i="13"/>
  <c r="S71" i="13"/>
  <c r="S61" i="13"/>
  <c r="S87" i="13"/>
  <c r="S81" i="13"/>
  <c r="S64" i="13"/>
  <c r="S72" i="13"/>
  <c r="S88" i="13"/>
  <c r="S84" i="13"/>
  <c r="S66" i="13"/>
  <c r="S67" i="13"/>
  <c r="S70" i="13"/>
  <c r="Q49" i="13"/>
  <c r="F74" i="13"/>
  <c r="F61" i="13"/>
  <c r="F59" i="13"/>
  <c r="F81" i="13"/>
  <c r="D68" i="13"/>
  <c r="F73" i="13"/>
  <c r="F64" i="13"/>
  <c r="F88" i="13"/>
  <c r="F87" i="13"/>
  <c r="F66" i="13"/>
  <c r="F72" i="13"/>
  <c r="F70" i="13"/>
  <c r="F63" i="13"/>
  <c r="F84" i="13"/>
  <c r="F67" i="13"/>
  <c r="F71" i="13"/>
  <c r="D67" i="13"/>
  <c r="A105" i="13"/>
  <c r="D65" i="13"/>
  <c r="R65" i="13" s="1"/>
  <c r="Q46" i="13"/>
  <c r="A110" i="13"/>
  <c r="A126" i="13"/>
  <c r="D72" i="13"/>
  <c r="Q53" i="13"/>
  <c r="D60" i="13"/>
  <c r="Q41" i="13"/>
  <c r="D62" i="13"/>
  <c r="D61" i="13"/>
  <c r="A108" i="13"/>
  <c r="A97" i="13"/>
  <c r="D66" i="13"/>
  <c r="R66" i="13" s="1"/>
  <c r="Q47" i="13"/>
  <c r="A104" i="13"/>
  <c r="D63" i="13"/>
  <c r="A111" i="13"/>
  <c r="D69" i="13"/>
  <c r="A109" i="13"/>
  <c r="D74" i="13"/>
  <c r="D71" i="13"/>
  <c r="R71" i="13" s="1"/>
  <c r="Q52" i="13"/>
  <c r="A125" i="13"/>
  <c r="D64" i="13"/>
  <c r="D59" i="13"/>
  <c r="A102" i="13"/>
  <c r="D73" i="13"/>
  <c r="Q54" i="13"/>
  <c r="A119" i="13"/>
  <c r="A112" i="13"/>
  <c r="A122" i="13"/>
  <c r="A99" i="13"/>
  <c r="A101" i="13"/>
  <c r="E22" i="19"/>
  <c r="E41" i="19" s="1"/>
  <c r="E60" i="19" s="1"/>
  <c r="E79" i="19" s="1"/>
  <c r="E98" i="19" s="1"/>
  <c r="E117" i="19" s="1"/>
  <c r="E136" i="19" s="1"/>
  <c r="E155" i="19" s="1"/>
  <c r="E174" i="19" s="1"/>
  <c r="E193" i="19" s="1"/>
  <c r="E23" i="19"/>
  <c r="E42" i="19" s="1"/>
  <c r="E61" i="19" s="1"/>
  <c r="E80" i="19" s="1"/>
  <c r="E99" i="19" s="1"/>
  <c r="E118" i="19" s="1"/>
  <c r="E137" i="19" s="1"/>
  <c r="E156" i="19" s="1"/>
  <c r="E175" i="19" s="1"/>
  <c r="E194" i="19" s="1"/>
  <c r="E24" i="19"/>
  <c r="E43" i="19" s="1"/>
  <c r="E62" i="19" s="1"/>
  <c r="E81" i="19" s="1"/>
  <c r="E100" i="19" s="1"/>
  <c r="E119" i="19" s="1"/>
  <c r="E138" i="19" s="1"/>
  <c r="E157" i="19" s="1"/>
  <c r="E176" i="19" s="1"/>
  <c r="E195" i="19" s="1"/>
  <c r="E25" i="19"/>
  <c r="E44" i="19" s="1"/>
  <c r="E63" i="19" s="1"/>
  <c r="E82" i="19" s="1"/>
  <c r="E101" i="19" s="1"/>
  <c r="E120" i="19" s="1"/>
  <c r="E139" i="19" s="1"/>
  <c r="E158" i="19" s="1"/>
  <c r="E177" i="19" s="1"/>
  <c r="E196" i="19" s="1"/>
  <c r="E26" i="19"/>
  <c r="E45" i="19" s="1"/>
  <c r="E64" i="19" s="1"/>
  <c r="E83" i="19" s="1"/>
  <c r="E102" i="19" s="1"/>
  <c r="E121" i="19" s="1"/>
  <c r="E140" i="19" s="1"/>
  <c r="E159" i="19" s="1"/>
  <c r="E178" i="19" s="1"/>
  <c r="E197" i="19" s="1"/>
  <c r="E27" i="19"/>
  <c r="E46" i="19" s="1"/>
  <c r="E65" i="19" s="1"/>
  <c r="E84" i="19" s="1"/>
  <c r="E103" i="19" s="1"/>
  <c r="E122" i="19" s="1"/>
  <c r="E141" i="19" s="1"/>
  <c r="E160" i="19" s="1"/>
  <c r="E179" i="19" s="1"/>
  <c r="E198" i="19" s="1"/>
  <c r="E28" i="19"/>
  <c r="E47" i="19" s="1"/>
  <c r="E66" i="19" s="1"/>
  <c r="E85" i="19" s="1"/>
  <c r="E104" i="19" s="1"/>
  <c r="E123" i="19" s="1"/>
  <c r="E142" i="19" s="1"/>
  <c r="E161" i="19" s="1"/>
  <c r="E180" i="19" s="1"/>
  <c r="E199" i="19" s="1"/>
  <c r="E29" i="19"/>
  <c r="E48" i="19" s="1"/>
  <c r="E67" i="19" s="1"/>
  <c r="E86" i="19" s="1"/>
  <c r="E105" i="19" s="1"/>
  <c r="E124" i="19" s="1"/>
  <c r="E143" i="19" s="1"/>
  <c r="E162" i="19" s="1"/>
  <c r="E181" i="19" s="1"/>
  <c r="E200" i="19" s="1"/>
  <c r="E30" i="19"/>
  <c r="E49" i="19" s="1"/>
  <c r="E68" i="19" s="1"/>
  <c r="E87" i="19" s="1"/>
  <c r="E106" i="19" s="1"/>
  <c r="E125" i="19" s="1"/>
  <c r="E144" i="19" s="1"/>
  <c r="E163" i="19" s="1"/>
  <c r="E182" i="19" s="1"/>
  <c r="E201" i="19" s="1"/>
  <c r="E31" i="19"/>
  <c r="E50" i="19" s="1"/>
  <c r="E69" i="19" s="1"/>
  <c r="E88" i="19" s="1"/>
  <c r="E107" i="19" s="1"/>
  <c r="E126" i="19" s="1"/>
  <c r="E145" i="19" s="1"/>
  <c r="E164" i="19" s="1"/>
  <c r="E183" i="19" s="1"/>
  <c r="E202" i="19" s="1"/>
  <c r="E32" i="19"/>
  <c r="E51" i="19" s="1"/>
  <c r="E70" i="19" s="1"/>
  <c r="E89" i="19" s="1"/>
  <c r="E108" i="19" s="1"/>
  <c r="E127" i="19" s="1"/>
  <c r="E146" i="19" s="1"/>
  <c r="E165" i="19" s="1"/>
  <c r="E184" i="19" s="1"/>
  <c r="E203" i="19" s="1"/>
  <c r="E33" i="19"/>
  <c r="E52" i="19" s="1"/>
  <c r="E71" i="19" s="1"/>
  <c r="E90" i="19" s="1"/>
  <c r="E109" i="19" s="1"/>
  <c r="E128" i="19" s="1"/>
  <c r="E147" i="19" s="1"/>
  <c r="E166" i="19" s="1"/>
  <c r="E185" i="19" s="1"/>
  <c r="E204" i="19" s="1"/>
  <c r="E34" i="19"/>
  <c r="E53" i="19" s="1"/>
  <c r="E72" i="19" s="1"/>
  <c r="E91" i="19" s="1"/>
  <c r="E110" i="19" s="1"/>
  <c r="E129" i="19" s="1"/>
  <c r="E148" i="19" s="1"/>
  <c r="E167" i="19" s="1"/>
  <c r="E186" i="19" s="1"/>
  <c r="E205" i="19" s="1"/>
  <c r="E35" i="19"/>
  <c r="E54" i="19" s="1"/>
  <c r="E73" i="19" s="1"/>
  <c r="E92" i="19" s="1"/>
  <c r="E111" i="19" s="1"/>
  <c r="E130" i="19" s="1"/>
  <c r="E149" i="19" s="1"/>
  <c r="E168" i="19" s="1"/>
  <c r="E187" i="19" s="1"/>
  <c r="E206" i="19" s="1"/>
  <c r="E36" i="19"/>
  <c r="E55" i="19" s="1"/>
  <c r="E74" i="19" s="1"/>
  <c r="E93" i="19" s="1"/>
  <c r="E112" i="19" s="1"/>
  <c r="E131" i="19" s="1"/>
  <c r="E150" i="19" s="1"/>
  <c r="E169" i="19" s="1"/>
  <c r="E188" i="19" s="1"/>
  <c r="E207" i="19" s="1"/>
  <c r="E21" i="19"/>
  <c r="E40" i="19" s="1"/>
  <c r="E59" i="19" s="1"/>
  <c r="E78" i="19" s="1"/>
  <c r="E97" i="19" s="1"/>
  <c r="E116" i="19" s="1"/>
  <c r="E135" i="19" s="1"/>
  <c r="E154" i="19" s="1"/>
  <c r="E173" i="19" s="1"/>
  <c r="E192" i="19" s="1"/>
  <c r="B22" i="19"/>
  <c r="B41" i="19" s="1"/>
  <c r="B60" i="19" s="1"/>
  <c r="B79" i="19" s="1"/>
  <c r="B98" i="19" s="1"/>
  <c r="B117" i="19" s="1"/>
  <c r="B136" i="19" s="1"/>
  <c r="B155" i="19" s="1"/>
  <c r="B174" i="19" s="1"/>
  <c r="B193" i="19" s="1"/>
  <c r="C22" i="19"/>
  <c r="C41" i="19" s="1"/>
  <c r="C60" i="19" s="1"/>
  <c r="C79" i="19" s="1"/>
  <c r="C98" i="19" s="1"/>
  <c r="C117" i="19" s="1"/>
  <c r="C136" i="19" s="1"/>
  <c r="C155" i="19" s="1"/>
  <c r="C174" i="19" s="1"/>
  <c r="C193" i="19" s="1"/>
  <c r="B23" i="19"/>
  <c r="B42" i="19" s="1"/>
  <c r="B61" i="19" s="1"/>
  <c r="B80" i="19" s="1"/>
  <c r="B99" i="19" s="1"/>
  <c r="B118" i="19" s="1"/>
  <c r="B137" i="19" s="1"/>
  <c r="B156" i="19" s="1"/>
  <c r="B175" i="19" s="1"/>
  <c r="B194" i="19" s="1"/>
  <c r="C23" i="19"/>
  <c r="C42" i="19" s="1"/>
  <c r="C61" i="19" s="1"/>
  <c r="C80" i="19" s="1"/>
  <c r="C99" i="19" s="1"/>
  <c r="C118" i="19" s="1"/>
  <c r="C137" i="19" s="1"/>
  <c r="C156" i="19" s="1"/>
  <c r="C175" i="19" s="1"/>
  <c r="C194" i="19" s="1"/>
  <c r="B24" i="19"/>
  <c r="B43" i="19" s="1"/>
  <c r="B62" i="19" s="1"/>
  <c r="B81" i="19" s="1"/>
  <c r="B100" i="19" s="1"/>
  <c r="B119" i="19" s="1"/>
  <c r="B138" i="19" s="1"/>
  <c r="B157" i="19" s="1"/>
  <c r="B176" i="19" s="1"/>
  <c r="B195" i="19" s="1"/>
  <c r="C24" i="19"/>
  <c r="C43" i="19" s="1"/>
  <c r="C62" i="19" s="1"/>
  <c r="C81" i="19" s="1"/>
  <c r="C100" i="19" s="1"/>
  <c r="C119" i="19" s="1"/>
  <c r="C138" i="19" s="1"/>
  <c r="C157" i="19" s="1"/>
  <c r="C176" i="19" s="1"/>
  <c r="C195" i="19" s="1"/>
  <c r="B25" i="19"/>
  <c r="B44" i="19" s="1"/>
  <c r="B63" i="19" s="1"/>
  <c r="B82" i="19" s="1"/>
  <c r="B101" i="19" s="1"/>
  <c r="B120" i="19" s="1"/>
  <c r="B139" i="19" s="1"/>
  <c r="B158" i="19" s="1"/>
  <c r="B177" i="19" s="1"/>
  <c r="B196" i="19" s="1"/>
  <c r="C25" i="19"/>
  <c r="C44" i="19" s="1"/>
  <c r="C63" i="19" s="1"/>
  <c r="C82" i="19" s="1"/>
  <c r="C101" i="19" s="1"/>
  <c r="C120" i="19" s="1"/>
  <c r="C139" i="19" s="1"/>
  <c r="C158" i="19" s="1"/>
  <c r="C177" i="19" s="1"/>
  <c r="C196" i="19" s="1"/>
  <c r="B26" i="19"/>
  <c r="B45" i="19" s="1"/>
  <c r="B64" i="19" s="1"/>
  <c r="B83" i="19" s="1"/>
  <c r="B102" i="19" s="1"/>
  <c r="B121" i="19" s="1"/>
  <c r="B140" i="19" s="1"/>
  <c r="B159" i="19" s="1"/>
  <c r="B178" i="19" s="1"/>
  <c r="B197" i="19" s="1"/>
  <c r="C26" i="19"/>
  <c r="C45" i="19" s="1"/>
  <c r="C64" i="19" s="1"/>
  <c r="C83" i="19" s="1"/>
  <c r="C102" i="19" s="1"/>
  <c r="C121" i="19" s="1"/>
  <c r="C140" i="19" s="1"/>
  <c r="C159" i="19" s="1"/>
  <c r="C178" i="19" s="1"/>
  <c r="C197" i="19" s="1"/>
  <c r="B27" i="19"/>
  <c r="B46" i="19" s="1"/>
  <c r="B65" i="19" s="1"/>
  <c r="B84" i="19" s="1"/>
  <c r="B103" i="19" s="1"/>
  <c r="B122" i="19" s="1"/>
  <c r="B141" i="19" s="1"/>
  <c r="B160" i="19" s="1"/>
  <c r="B179" i="19" s="1"/>
  <c r="B198" i="19" s="1"/>
  <c r="C27" i="19"/>
  <c r="C46" i="19" s="1"/>
  <c r="C65" i="19" s="1"/>
  <c r="C84" i="19" s="1"/>
  <c r="C103" i="19" s="1"/>
  <c r="C122" i="19" s="1"/>
  <c r="C141" i="19" s="1"/>
  <c r="C160" i="19" s="1"/>
  <c r="C179" i="19" s="1"/>
  <c r="C198" i="19" s="1"/>
  <c r="B28" i="19"/>
  <c r="B47" i="19" s="1"/>
  <c r="B66" i="19" s="1"/>
  <c r="B85" i="19" s="1"/>
  <c r="B104" i="19" s="1"/>
  <c r="B123" i="19" s="1"/>
  <c r="B142" i="19" s="1"/>
  <c r="B161" i="19" s="1"/>
  <c r="B180" i="19" s="1"/>
  <c r="B199" i="19" s="1"/>
  <c r="C28" i="19"/>
  <c r="C47" i="19" s="1"/>
  <c r="C66" i="19" s="1"/>
  <c r="C85" i="19" s="1"/>
  <c r="C104" i="19" s="1"/>
  <c r="C123" i="19" s="1"/>
  <c r="C142" i="19" s="1"/>
  <c r="C161" i="19" s="1"/>
  <c r="C180" i="19" s="1"/>
  <c r="C199" i="19" s="1"/>
  <c r="B29" i="19"/>
  <c r="B48" i="19" s="1"/>
  <c r="B67" i="19" s="1"/>
  <c r="B86" i="19" s="1"/>
  <c r="B105" i="19" s="1"/>
  <c r="B124" i="19" s="1"/>
  <c r="B143" i="19" s="1"/>
  <c r="B162" i="19" s="1"/>
  <c r="B181" i="19" s="1"/>
  <c r="B200" i="19" s="1"/>
  <c r="C29" i="19"/>
  <c r="C48" i="19" s="1"/>
  <c r="C67" i="19" s="1"/>
  <c r="C86" i="19" s="1"/>
  <c r="C105" i="19" s="1"/>
  <c r="C124" i="19" s="1"/>
  <c r="C143" i="19" s="1"/>
  <c r="C162" i="19" s="1"/>
  <c r="C181" i="19" s="1"/>
  <c r="C200" i="19" s="1"/>
  <c r="B30" i="19"/>
  <c r="B49" i="19" s="1"/>
  <c r="B68" i="19" s="1"/>
  <c r="B87" i="19" s="1"/>
  <c r="B106" i="19" s="1"/>
  <c r="B125" i="19" s="1"/>
  <c r="B144" i="19" s="1"/>
  <c r="B163" i="19" s="1"/>
  <c r="B182" i="19" s="1"/>
  <c r="B201" i="19" s="1"/>
  <c r="C30" i="19"/>
  <c r="C49" i="19" s="1"/>
  <c r="C68" i="19" s="1"/>
  <c r="C87" i="19" s="1"/>
  <c r="C106" i="19" s="1"/>
  <c r="C125" i="19" s="1"/>
  <c r="C144" i="19" s="1"/>
  <c r="C163" i="19" s="1"/>
  <c r="C182" i="19" s="1"/>
  <c r="C201" i="19" s="1"/>
  <c r="B31" i="19"/>
  <c r="B50" i="19" s="1"/>
  <c r="B69" i="19" s="1"/>
  <c r="B88" i="19" s="1"/>
  <c r="B107" i="19" s="1"/>
  <c r="B126" i="19" s="1"/>
  <c r="B145" i="19" s="1"/>
  <c r="B164" i="19" s="1"/>
  <c r="B183" i="19" s="1"/>
  <c r="B202" i="19" s="1"/>
  <c r="C31" i="19"/>
  <c r="C50" i="19" s="1"/>
  <c r="C69" i="19" s="1"/>
  <c r="C88" i="19" s="1"/>
  <c r="C107" i="19" s="1"/>
  <c r="C126" i="19" s="1"/>
  <c r="C145" i="19" s="1"/>
  <c r="C164" i="19" s="1"/>
  <c r="C183" i="19" s="1"/>
  <c r="C202" i="19" s="1"/>
  <c r="B32" i="19"/>
  <c r="B51" i="19" s="1"/>
  <c r="B70" i="19" s="1"/>
  <c r="B89" i="19" s="1"/>
  <c r="B108" i="19" s="1"/>
  <c r="B127" i="19" s="1"/>
  <c r="B146" i="19" s="1"/>
  <c r="B165" i="19" s="1"/>
  <c r="B184" i="19" s="1"/>
  <c r="B203" i="19" s="1"/>
  <c r="C32" i="19"/>
  <c r="C51" i="19" s="1"/>
  <c r="C70" i="19" s="1"/>
  <c r="C89" i="19" s="1"/>
  <c r="C108" i="19" s="1"/>
  <c r="C127" i="19" s="1"/>
  <c r="C146" i="19" s="1"/>
  <c r="C165" i="19" s="1"/>
  <c r="C184" i="19" s="1"/>
  <c r="C203" i="19" s="1"/>
  <c r="B33" i="19"/>
  <c r="B52" i="19" s="1"/>
  <c r="B71" i="19" s="1"/>
  <c r="B90" i="19" s="1"/>
  <c r="B109" i="19" s="1"/>
  <c r="B128" i="19" s="1"/>
  <c r="B147" i="19" s="1"/>
  <c r="B166" i="19" s="1"/>
  <c r="B185" i="19" s="1"/>
  <c r="B204" i="19" s="1"/>
  <c r="C33" i="19"/>
  <c r="C52" i="19" s="1"/>
  <c r="C71" i="19" s="1"/>
  <c r="C90" i="19" s="1"/>
  <c r="C109" i="19" s="1"/>
  <c r="C128" i="19" s="1"/>
  <c r="C147" i="19" s="1"/>
  <c r="C166" i="19" s="1"/>
  <c r="C185" i="19" s="1"/>
  <c r="C204" i="19" s="1"/>
  <c r="B34" i="19"/>
  <c r="B53" i="19" s="1"/>
  <c r="B72" i="19" s="1"/>
  <c r="B91" i="19" s="1"/>
  <c r="B110" i="19" s="1"/>
  <c r="B129" i="19" s="1"/>
  <c r="B148" i="19" s="1"/>
  <c r="B167" i="19" s="1"/>
  <c r="B186" i="19" s="1"/>
  <c r="B205" i="19" s="1"/>
  <c r="C34" i="19"/>
  <c r="C53" i="19" s="1"/>
  <c r="C72" i="19" s="1"/>
  <c r="C91" i="19" s="1"/>
  <c r="C110" i="19" s="1"/>
  <c r="C129" i="19" s="1"/>
  <c r="C148" i="19" s="1"/>
  <c r="C167" i="19" s="1"/>
  <c r="C186" i="19" s="1"/>
  <c r="C205" i="19" s="1"/>
  <c r="B35" i="19"/>
  <c r="B54" i="19" s="1"/>
  <c r="B73" i="19" s="1"/>
  <c r="B92" i="19" s="1"/>
  <c r="B111" i="19" s="1"/>
  <c r="B130" i="19" s="1"/>
  <c r="B149" i="19" s="1"/>
  <c r="B168" i="19" s="1"/>
  <c r="B187" i="19" s="1"/>
  <c r="B206" i="19" s="1"/>
  <c r="C35" i="19"/>
  <c r="C54" i="19" s="1"/>
  <c r="C73" i="19" s="1"/>
  <c r="C92" i="19" s="1"/>
  <c r="C111" i="19" s="1"/>
  <c r="C130" i="19" s="1"/>
  <c r="C149" i="19" s="1"/>
  <c r="C168" i="19" s="1"/>
  <c r="C187" i="19" s="1"/>
  <c r="C206" i="19" s="1"/>
  <c r="B36" i="19"/>
  <c r="B55" i="19" s="1"/>
  <c r="B74" i="19" s="1"/>
  <c r="B93" i="19" s="1"/>
  <c r="B112" i="19" s="1"/>
  <c r="B131" i="19" s="1"/>
  <c r="B150" i="19" s="1"/>
  <c r="B169" i="19" s="1"/>
  <c r="B188" i="19" s="1"/>
  <c r="B207" i="19" s="1"/>
  <c r="C36" i="19"/>
  <c r="C55" i="19" s="1"/>
  <c r="C74" i="19" s="1"/>
  <c r="C93" i="19" s="1"/>
  <c r="C112" i="19" s="1"/>
  <c r="C131" i="19" s="1"/>
  <c r="C150" i="19" s="1"/>
  <c r="C169" i="19" s="1"/>
  <c r="C188" i="19" s="1"/>
  <c r="C207" i="19" s="1"/>
  <c r="C21" i="19"/>
  <c r="C40" i="19" s="1"/>
  <c r="C59" i="19" s="1"/>
  <c r="C78" i="19" s="1"/>
  <c r="C97" i="19" s="1"/>
  <c r="C116" i="19" s="1"/>
  <c r="C135" i="19" s="1"/>
  <c r="C154" i="19" s="1"/>
  <c r="C173" i="19" s="1"/>
  <c r="C192" i="19" s="1"/>
  <c r="B21" i="19"/>
  <c r="B40" i="19" s="1"/>
  <c r="B59" i="19" s="1"/>
  <c r="B78" i="19" s="1"/>
  <c r="B97" i="19" s="1"/>
  <c r="B116" i="19" s="1"/>
  <c r="B135" i="19" s="1"/>
  <c r="B154" i="19" s="1"/>
  <c r="B173" i="19" s="1"/>
  <c r="B192" i="19" s="1"/>
  <c r="A22" i="19"/>
  <c r="D22" i="19" s="1"/>
  <c r="A23" i="19"/>
  <c r="A24" i="19"/>
  <c r="D24" i="19" s="1"/>
  <c r="A25" i="19"/>
  <c r="D25" i="19" s="1"/>
  <c r="A26" i="19"/>
  <c r="A27" i="19"/>
  <c r="A46" i="19" s="1"/>
  <c r="D46" i="19" s="1"/>
  <c r="A28" i="19"/>
  <c r="A29" i="19"/>
  <c r="A30" i="19"/>
  <c r="A31" i="19"/>
  <c r="D31" i="19" s="1"/>
  <c r="A32" i="19"/>
  <c r="A33" i="19"/>
  <c r="D33" i="19" s="1"/>
  <c r="A34" i="19"/>
  <c r="D34" i="19" s="1"/>
  <c r="A35" i="19"/>
  <c r="A36" i="19"/>
  <c r="D36" i="19" s="1"/>
  <c r="A42" i="19"/>
  <c r="A21" i="19"/>
  <c r="H3" i="19"/>
  <c r="H22" i="19" s="1"/>
  <c r="H41" i="19" s="1"/>
  <c r="H60" i="19" s="1"/>
  <c r="H79" i="19" s="1"/>
  <c r="H98" i="19" s="1"/>
  <c r="H117" i="19" s="1"/>
  <c r="H136" i="19" s="1"/>
  <c r="H155" i="19" s="1"/>
  <c r="H174" i="19" s="1"/>
  <c r="H193" i="19" s="1"/>
  <c r="H4" i="19"/>
  <c r="H23" i="19" s="1"/>
  <c r="H42" i="19" s="1"/>
  <c r="H61" i="19" s="1"/>
  <c r="H80" i="19" s="1"/>
  <c r="H99" i="19" s="1"/>
  <c r="H118" i="19" s="1"/>
  <c r="H137" i="19" s="1"/>
  <c r="H156" i="19" s="1"/>
  <c r="H175" i="19" s="1"/>
  <c r="H194" i="19" s="1"/>
  <c r="H5" i="19"/>
  <c r="H24" i="19" s="1"/>
  <c r="H43" i="19" s="1"/>
  <c r="H62" i="19" s="1"/>
  <c r="H81" i="19" s="1"/>
  <c r="H100" i="19" s="1"/>
  <c r="H119" i="19" s="1"/>
  <c r="H138" i="19" s="1"/>
  <c r="H157" i="19" s="1"/>
  <c r="H176" i="19" s="1"/>
  <c r="H195" i="19" s="1"/>
  <c r="H6" i="19"/>
  <c r="H25" i="19" s="1"/>
  <c r="H44" i="19" s="1"/>
  <c r="H63" i="19" s="1"/>
  <c r="H82" i="19" s="1"/>
  <c r="H101" i="19" s="1"/>
  <c r="H120" i="19" s="1"/>
  <c r="H139" i="19" s="1"/>
  <c r="H158" i="19" s="1"/>
  <c r="H177" i="19" s="1"/>
  <c r="H196" i="19" s="1"/>
  <c r="H7" i="19"/>
  <c r="H26" i="19" s="1"/>
  <c r="H45" i="19" s="1"/>
  <c r="H64" i="19" s="1"/>
  <c r="H83" i="19" s="1"/>
  <c r="H102" i="19" s="1"/>
  <c r="H121" i="19" s="1"/>
  <c r="H140" i="19" s="1"/>
  <c r="H159" i="19" s="1"/>
  <c r="H178" i="19" s="1"/>
  <c r="H197" i="19" s="1"/>
  <c r="H8" i="19"/>
  <c r="H27" i="19" s="1"/>
  <c r="H46" i="19" s="1"/>
  <c r="H65" i="19" s="1"/>
  <c r="H84" i="19" s="1"/>
  <c r="H103" i="19" s="1"/>
  <c r="H122" i="19" s="1"/>
  <c r="H141" i="19" s="1"/>
  <c r="H160" i="19" s="1"/>
  <c r="H179" i="19" s="1"/>
  <c r="H198" i="19" s="1"/>
  <c r="H9" i="19"/>
  <c r="H28" i="19" s="1"/>
  <c r="H47" i="19" s="1"/>
  <c r="H66" i="19" s="1"/>
  <c r="H85" i="19" s="1"/>
  <c r="H104" i="19" s="1"/>
  <c r="H123" i="19" s="1"/>
  <c r="H142" i="19" s="1"/>
  <c r="H161" i="19" s="1"/>
  <c r="H180" i="19" s="1"/>
  <c r="H199" i="19" s="1"/>
  <c r="H10" i="19"/>
  <c r="H29" i="19" s="1"/>
  <c r="H48" i="19" s="1"/>
  <c r="H67" i="19" s="1"/>
  <c r="H86" i="19" s="1"/>
  <c r="H105" i="19" s="1"/>
  <c r="H124" i="19" s="1"/>
  <c r="H143" i="19" s="1"/>
  <c r="H162" i="19" s="1"/>
  <c r="H181" i="19" s="1"/>
  <c r="H200" i="19" s="1"/>
  <c r="H11" i="19"/>
  <c r="H30" i="19" s="1"/>
  <c r="H49" i="19" s="1"/>
  <c r="H68" i="19" s="1"/>
  <c r="H87" i="19" s="1"/>
  <c r="H106" i="19" s="1"/>
  <c r="H125" i="19" s="1"/>
  <c r="H144" i="19" s="1"/>
  <c r="H163" i="19" s="1"/>
  <c r="H182" i="19" s="1"/>
  <c r="H201" i="19" s="1"/>
  <c r="H12" i="19"/>
  <c r="H31" i="19" s="1"/>
  <c r="H50" i="19" s="1"/>
  <c r="H69" i="19" s="1"/>
  <c r="H88" i="19" s="1"/>
  <c r="H107" i="19" s="1"/>
  <c r="H126" i="19" s="1"/>
  <c r="H145" i="19" s="1"/>
  <c r="H164" i="19" s="1"/>
  <c r="H183" i="19" s="1"/>
  <c r="H202" i="19" s="1"/>
  <c r="H13" i="19"/>
  <c r="H32" i="19" s="1"/>
  <c r="H51" i="19" s="1"/>
  <c r="H70" i="19" s="1"/>
  <c r="H89" i="19" s="1"/>
  <c r="H108" i="19" s="1"/>
  <c r="H127" i="19" s="1"/>
  <c r="H146" i="19" s="1"/>
  <c r="H165" i="19" s="1"/>
  <c r="H184" i="19" s="1"/>
  <c r="H203" i="19" s="1"/>
  <c r="H14" i="19"/>
  <c r="H33" i="19" s="1"/>
  <c r="H52" i="19" s="1"/>
  <c r="H71" i="19" s="1"/>
  <c r="H90" i="19" s="1"/>
  <c r="H109" i="19" s="1"/>
  <c r="H128" i="19" s="1"/>
  <c r="H147" i="19" s="1"/>
  <c r="H166" i="19" s="1"/>
  <c r="H185" i="19" s="1"/>
  <c r="H204" i="19" s="1"/>
  <c r="H15" i="19"/>
  <c r="H34" i="19" s="1"/>
  <c r="H53" i="19" s="1"/>
  <c r="H72" i="19" s="1"/>
  <c r="H91" i="19" s="1"/>
  <c r="H110" i="19" s="1"/>
  <c r="H129" i="19" s="1"/>
  <c r="H148" i="19" s="1"/>
  <c r="H167" i="19" s="1"/>
  <c r="H186" i="19" s="1"/>
  <c r="H205" i="19" s="1"/>
  <c r="H16" i="19"/>
  <c r="H35" i="19" s="1"/>
  <c r="H54" i="19" s="1"/>
  <c r="H73" i="19" s="1"/>
  <c r="H92" i="19" s="1"/>
  <c r="H111" i="19" s="1"/>
  <c r="H130" i="19" s="1"/>
  <c r="H149" i="19" s="1"/>
  <c r="H168" i="19" s="1"/>
  <c r="H187" i="19" s="1"/>
  <c r="H206" i="19" s="1"/>
  <c r="H17" i="19"/>
  <c r="H36" i="19" s="1"/>
  <c r="H55" i="19" s="1"/>
  <c r="H74" i="19" s="1"/>
  <c r="H93" i="19" s="1"/>
  <c r="H112" i="19" s="1"/>
  <c r="H131" i="19" s="1"/>
  <c r="H150" i="19" s="1"/>
  <c r="H169" i="19" s="1"/>
  <c r="H188" i="19" s="1"/>
  <c r="H207" i="19" s="1"/>
  <c r="H2" i="19"/>
  <c r="H21" i="19" s="1"/>
  <c r="H40" i="19" s="1"/>
  <c r="H59" i="19" s="1"/>
  <c r="H78" i="19" s="1"/>
  <c r="H97" i="19" s="1"/>
  <c r="H116" i="19" s="1"/>
  <c r="H135" i="19" s="1"/>
  <c r="H154" i="19" s="1"/>
  <c r="H173" i="19" s="1"/>
  <c r="H192" i="19" s="1"/>
  <c r="J28" i="19" l="1"/>
  <c r="D28" i="19"/>
  <c r="J35" i="19"/>
  <c r="D35" i="19"/>
  <c r="J27" i="19"/>
  <c r="D27" i="19"/>
  <c r="J26" i="19"/>
  <c r="D26" i="19"/>
  <c r="J30" i="19"/>
  <c r="D30" i="19"/>
  <c r="J42" i="19"/>
  <c r="D42" i="19"/>
  <c r="J29" i="19"/>
  <c r="D29" i="19"/>
  <c r="J32" i="19"/>
  <c r="D32" i="19"/>
  <c r="D21" i="19"/>
  <c r="J21" i="19"/>
  <c r="J23" i="19"/>
  <c r="D23" i="19"/>
  <c r="T41" i="13"/>
  <c r="C41" i="13" s="1"/>
  <c r="D89" i="13"/>
  <c r="R89" i="13" s="1"/>
  <c r="A138" i="13"/>
  <c r="A144" i="13"/>
  <c r="R62" i="13"/>
  <c r="Q62" i="13" s="1"/>
  <c r="A117" i="13"/>
  <c r="S60" i="13"/>
  <c r="M60" i="13"/>
  <c r="R69" i="13"/>
  <c r="Q69" i="13" s="1"/>
  <c r="A145" i="13"/>
  <c r="F79" i="13"/>
  <c r="A141" i="13"/>
  <c r="A52" i="19"/>
  <c r="J33" i="19"/>
  <c r="A44" i="19"/>
  <c r="D44" i="19" s="1"/>
  <c r="J25" i="19"/>
  <c r="A65" i="19"/>
  <c r="D65" i="19" s="1"/>
  <c r="J46" i="19"/>
  <c r="A41" i="19"/>
  <c r="D41" i="19" s="1"/>
  <c r="J22" i="19"/>
  <c r="A55" i="19"/>
  <c r="D55" i="19" s="1"/>
  <c r="J36" i="19"/>
  <c r="A53" i="19"/>
  <c r="J34" i="19"/>
  <c r="A43" i="19"/>
  <c r="D43" i="19" s="1"/>
  <c r="J24" i="19"/>
  <c r="A51" i="19"/>
  <c r="A50" i="19"/>
  <c r="J31" i="19"/>
  <c r="T48" i="13"/>
  <c r="C48" i="13" s="1"/>
  <c r="C43" i="13"/>
  <c r="T44" i="13"/>
  <c r="C44" i="13" s="1"/>
  <c r="T42" i="13"/>
  <c r="C42" i="13" s="1"/>
  <c r="K61" i="13"/>
  <c r="K74" i="13"/>
  <c r="K70" i="13"/>
  <c r="K63" i="13"/>
  <c r="K72" i="13"/>
  <c r="S15" i="13"/>
  <c r="S16" i="13"/>
  <c r="F16" i="13"/>
  <c r="S17" i="13"/>
  <c r="F15" i="13"/>
  <c r="F13" i="13"/>
  <c r="S14" i="13"/>
  <c r="F17" i="13"/>
  <c r="S13" i="13"/>
  <c r="F14" i="13"/>
  <c r="S32" i="13"/>
  <c r="F36" i="13"/>
  <c r="F46" i="13"/>
  <c r="F34" i="13"/>
  <c r="S36" i="13"/>
  <c r="S46" i="13"/>
  <c r="F35" i="13"/>
  <c r="F32" i="13"/>
  <c r="S35" i="13"/>
  <c r="S33" i="13"/>
  <c r="S34" i="13"/>
  <c r="F33" i="13"/>
  <c r="S51" i="13"/>
  <c r="S54" i="13"/>
  <c r="S55" i="13"/>
  <c r="S52" i="13"/>
  <c r="F65" i="13"/>
  <c r="S53" i="13"/>
  <c r="F51" i="13"/>
  <c r="F53" i="13"/>
  <c r="S65" i="13"/>
  <c r="F55" i="13"/>
  <c r="F54" i="13"/>
  <c r="F52" i="13"/>
  <c r="K62" i="13"/>
  <c r="T62" i="13" s="1"/>
  <c r="R74" i="13"/>
  <c r="Q74" i="13" s="1"/>
  <c r="R61" i="13"/>
  <c r="Q61" i="13" s="1"/>
  <c r="K67" i="13"/>
  <c r="S138" i="13"/>
  <c r="R60" i="13"/>
  <c r="Q60" i="13" s="1"/>
  <c r="K60" i="13"/>
  <c r="R73" i="13"/>
  <c r="Q73" i="13" s="1"/>
  <c r="R63" i="13"/>
  <c r="Q63" i="13" s="1"/>
  <c r="R72" i="13"/>
  <c r="Q72" i="13" s="1"/>
  <c r="R59" i="13"/>
  <c r="Q59" i="13" s="1"/>
  <c r="R67" i="13"/>
  <c r="Q67" i="13" s="1"/>
  <c r="R68" i="13"/>
  <c r="R64" i="13"/>
  <c r="Q64" i="13" s="1"/>
  <c r="K71" i="13"/>
  <c r="K69" i="13"/>
  <c r="T69" i="13" s="1"/>
  <c r="L62" i="13"/>
  <c r="L68" i="13"/>
  <c r="L69" i="13"/>
  <c r="L60" i="13"/>
  <c r="M84" i="13"/>
  <c r="M61" i="13"/>
  <c r="L61" i="13"/>
  <c r="M88" i="13"/>
  <c r="L71" i="13"/>
  <c r="M71" i="13"/>
  <c r="M67" i="13"/>
  <c r="L67" i="13"/>
  <c r="M87" i="13"/>
  <c r="M74" i="13"/>
  <c r="L74" i="13"/>
  <c r="M63" i="13"/>
  <c r="L63" i="13"/>
  <c r="M81" i="13"/>
  <c r="L66" i="13"/>
  <c r="M66" i="13"/>
  <c r="L70" i="13"/>
  <c r="M70" i="13"/>
  <c r="L64" i="13"/>
  <c r="M64" i="13"/>
  <c r="L72" i="13"/>
  <c r="M72" i="13"/>
  <c r="S89" i="13"/>
  <c r="S82" i="13"/>
  <c r="S100" i="13"/>
  <c r="S90" i="13"/>
  <c r="S85" i="13"/>
  <c r="S93" i="13"/>
  <c r="S107" i="13"/>
  <c r="S83" i="13"/>
  <c r="S92" i="13"/>
  <c r="S86" i="13"/>
  <c r="S80" i="13"/>
  <c r="S106" i="13"/>
  <c r="S103" i="13"/>
  <c r="S91" i="13"/>
  <c r="Q68" i="13"/>
  <c r="D87" i="13"/>
  <c r="F80" i="13"/>
  <c r="F106" i="13"/>
  <c r="F107" i="13"/>
  <c r="F86" i="13"/>
  <c r="F85" i="13"/>
  <c r="F103" i="13"/>
  <c r="F83" i="13"/>
  <c r="F92" i="13"/>
  <c r="F100" i="13"/>
  <c r="F90" i="13"/>
  <c r="F89" i="13"/>
  <c r="F82" i="13"/>
  <c r="F93" i="13"/>
  <c r="F78" i="13"/>
  <c r="F91" i="13"/>
  <c r="A48" i="19"/>
  <c r="A47" i="19"/>
  <c r="A40" i="19"/>
  <c r="A72" i="19"/>
  <c r="D72" i="19" s="1"/>
  <c r="A61" i="19"/>
  <c r="D61" i="19" s="1"/>
  <c r="A49" i="19"/>
  <c r="A54" i="19"/>
  <c r="A45" i="19"/>
  <c r="A71" i="19"/>
  <c r="D71" i="19" s="1"/>
  <c r="A130" i="13"/>
  <c r="D83" i="13"/>
  <c r="D92" i="13"/>
  <c r="D82" i="13"/>
  <c r="D80" i="13"/>
  <c r="D84" i="13"/>
  <c r="R84" i="13" s="1"/>
  <c r="Q65" i="13"/>
  <c r="A128" i="13"/>
  <c r="D93" i="13"/>
  <c r="A120" i="13"/>
  <c r="D88" i="13"/>
  <c r="A123" i="13"/>
  <c r="A116" i="13"/>
  <c r="D90" i="13"/>
  <c r="R90" i="13" s="1"/>
  <c r="Q71" i="13"/>
  <c r="D79" i="13"/>
  <c r="A127" i="13"/>
  <c r="D91" i="13"/>
  <c r="A129" i="13"/>
  <c r="D81" i="13"/>
  <c r="K81" i="13" s="1"/>
  <c r="A131" i="13"/>
  <c r="A121" i="13"/>
  <c r="D108" i="13"/>
  <c r="R108" i="13" s="1"/>
  <c r="Q89" i="13"/>
  <c r="A124" i="13"/>
  <c r="A118" i="13"/>
  <c r="D78" i="13"/>
  <c r="D85" i="13"/>
  <c r="R85" i="13" s="1"/>
  <c r="Q66" i="13"/>
  <c r="D86" i="13"/>
  <c r="P6" i="11"/>
  <c r="D14" i="11"/>
  <c r="J45" i="19" l="1"/>
  <c r="D45" i="19"/>
  <c r="J50" i="19"/>
  <c r="D50" i="19"/>
  <c r="J54" i="19"/>
  <c r="D54" i="19"/>
  <c r="J51" i="19"/>
  <c r="D51" i="19"/>
  <c r="J49" i="19"/>
  <c r="D49" i="19"/>
  <c r="J40" i="19"/>
  <c r="D40" i="19"/>
  <c r="J53" i="19"/>
  <c r="D53" i="19"/>
  <c r="J47" i="19"/>
  <c r="D47" i="19"/>
  <c r="J48" i="19"/>
  <c r="D48" i="19"/>
  <c r="J52" i="19"/>
  <c r="D52" i="19"/>
  <c r="S145" i="13"/>
  <c r="T60" i="13"/>
  <c r="C60" i="13" s="1"/>
  <c r="A146" i="13"/>
  <c r="F146" i="13" s="1"/>
  <c r="S79" i="13"/>
  <c r="M79" i="13"/>
  <c r="A140" i="13"/>
  <c r="K88" i="13"/>
  <c r="T88" i="13" s="1"/>
  <c r="A150" i="13"/>
  <c r="A147" i="13"/>
  <c r="A136" i="13"/>
  <c r="F125" i="13"/>
  <c r="A143" i="13"/>
  <c r="S143" i="13" s="1"/>
  <c r="F141" i="13"/>
  <c r="A139" i="13"/>
  <c r="A149" i="13"/>
  <c r="F144" i="13"/>
  <c r="R81" i="13"/>
  <c r="Q81" i="13" s="1"/>
  <c r="A135" i="13"/>
  <c r="F126" i="13"/>
  <c r="F119" i="13"/>
  <c r="F98" i="13"/>
  <c r="A137" i="13"/>
  <c r="A148" i="13"/>
  <c r="A142" i="13"/>
  <c r="F142" i="13" s="1"/>
  <c r="S141" i="13"/>
  <c r="F145" i="13"/>
  <c r="F138" i="13"/>
  <c r="A91" i="19"/>
  <c r="D91" i="19" s="1"/>
  <c r="J72" i="19"/>
  <c r="A60" i="19"/>
  <c r="D60" i="19" s="1"/>
  <c r="J41" i="19"/>
  <c r="A62" i="19"/>
  <c r="D62" i="19" s="1"/>
  <c r="J43" i="19"/>
  <c r="A84" i="19"/>
  <c r="D84" i="19" s="1"/>
  <c r="J65" i="19"/>
  <c r="A69" i="19"/>
  <c r="D69" i="19" s="1"/>
  <c r="A63" i="19"/>
  <c r="D63" i="19" s="1"/>
  <c r="J44" i="19"/>
  <c r="A80" i="19"/>
  <c r="D80" i="19" s="1"/>
  <c r="J61" i="19"/>
  <c r="A90" i="19"/>
  <c r="D90" i="19" s="1"/>
  <c r="J71" i="19"/>
  <c r="A70" i="19"/>
  <c r="D70" i="19" s="1"/>
  <c r="A74" i="19"/>
  <c r="D74" i="19" s="1"/>
  <c r="J55" i="19"/>
  <c r="T71" i="13"/>
  <c r="T61" i="13"/>
  <c r="C61" i="13" s="1"/>
  <c r="T74" i="13"/>
  <c r="C74" i="13" s="1"/>
  <c r="T70" i="13"/>
  <c r="C62" i="13"/>
  <c r="T63" i="13"/>
  <c r="C63" i="13" s="1"/>
  <c r="T72" i="13"/>
  <c r="C72" i="13" s="1"/>
  <c r="T81" i="13"/>
  <c r="T67" i="13"/>
  <c r="C67" i="13" s="1"/>
  <c r="L65" i="13"/>
  <c r="L73" i="13"/>
  <c r="S73" i="13"/>
  <c r="M73" i="13"/>
  <c r="K86" i="13"/>
  <c r="K90" i="13"/>
  <c r="K89" i="13"/>
  <c r="K73" i="13"/>
  <c r="K93" i="13"/>
  <c r="K80" i="13"/>
  <c r="K34" i="13"/>
  <c r="M34" i="13"/>
  <c r="L34" i="13"/>
  <c r="K14" i="13"/>
  <c r="L14" i="13"/>
  <c r="M14" i="13"/>
  <c r="K16" i="13"/>
  <c r="M16" i="13"/>
  <c r="L16" i="13"/>
  <c r="K53" i="13"/>
  <c r="L53" i="13"/>
  <c r="M53" i="13"/>
  <c r="L33" i="13"/>
  <c r="K33" i="13"/>
  <c r="M33" i="13"/>
  <c r="K15" i="13"/>
  <c r="M15" i="13"/>
  <c r="L15" i="13"/>
  <c r="K35" i="13"/>
  <c r="M35" i="13"/>
  <c r="L35" i="13"/>
  <c r="K32" i="13"/>
  <c r="L32" i="13"/>
  <c r="M32" i="13"/>
  <c r="M65" i="13"/>
  <c r="M46" i="13"/>
  <c r="L46" i="13"/>
  <c r="K17" i="13"/>
  <c r="M17" i="13"/>
  <c r="L17" i="13"/>
  <c r="K55" i="13"/>
  <c r="M55" i="13"/>
  <c r="L55" i="13"/>
  <c r="M54" i="13"/>
  <c r="L54" i="13"/>
  <c r="K54" i="13"/>
  <c r="K13" i="13"/>
  <c r="L13" i="13"/>
  <c r="M13" i="13"/>
  <c r="K51" i="13"/>
  <c r="L51" i="13"/>
  <c r="M51" i="13"/>
  <c r="L36" i="13"/>
  <c r="K36" i="13"/>
  <c r="M36" i="13"/>
  <c r="K52" i="13"/>
  <c r="L52" i="13"/>
  <c r="M52" i="13"/>
  <c r="R78" i="13"/>
  <c r="Q78" i="13" s="1"/>
  <c r="R91" i="13"/>
  <c r="Q91" i="13" s="1"/>
  <c r="R82" i="13"/>
  <c r="Q82" i="13" s="1"/>
  <c r="K91" i="13"/>
  <c r="R92" i="13"/>
  <c r="Q92" i="13" s="1"/>
  <c r="L88" i="13"/>
  <c r="R88" i="13"/>
  <c r="Q88" i="13" s="1"/>
  <c r="M145" i="13"/>
  <c r="R79" i="13"/>
  <c r="Q79" i="13" s="1"/>
  <c r="K79" i="13"/>
  <c r="R83" i="13"/>
  <c r="Q83" i="13" s="1"/>
  <c r="M138" i="13"/>
  <c r="S139" i="13"/>
  <c r="R86" i="13"/>
  <c r="Q86" i="13" s="1"/>
  <c r="R80" i="13"/>
  <c r="Q80" i="13" s="1"/>
  <c r="K82" i="13"/>
  <c r="R93" i="13"/>
  <c r="Q93" i="13" s="1"/>
  <c r="R87" i="13"/>
  <c r="Q87" i="13" s="1"/>
  <c r="K92" i="13"/>
  <c r="L81" i="13"/>
  <c r="L84" i="13"/>
  <c r="L87" i="13"/>
  <c r="L79" i="13"/>
  <c r="M107" i="13"/>
  <c r="M106" i="13"/>
  <c r="L85" i="13"/>
  <c r="M85" i="13"/>
  <c r="M80" i="13"/>
  <c r="L80" i="13"/>
  <c r="L90" i="13"/>
  <c r="M90" i="13"/>
  <c r="M86" i="13"/>
  <c r="L86" i="13"/>
  <c r="M82" i="13"/>
  <c r="L82" i="13"/>
  <c r="M103" i="13"/>
  <c r="M100" i="13"/>
  <c r="M92" i="13"/>
  <c r="L92" i="13"/>
  <c r="L89" i="13"/>
  <c r="M89" i="13"/>
  <c r="L91" i="13"/>
  <c r="M91" i="13"/>
  <c r="M93" i="13"/>
  <c r="L93" i="13"/>
  <c r="L83" i="13"/>
  <c r="M83" i="13"/>
  <c r="D106" i="13"/>
  <c r="S125" i="13"/>
  <c r="S101" i="13"/>
  <c r="S122" i="13"/>
  <c r="S108" i="13"/>
  <c r="S104" i="13"/>
  <c r="S111" i="13"/>
  <c r="S126" i="13"/>
  <c r="S109" i="13"/>
  <c r="S110" i="13"/>
  <c r="S102" i="13"/>
  <c r="S99" i="13"/>
  <c r="S112" i="13"/>
  <c r="S105" i="13"/>
  <c r="S119" i="13"/>
  <c r="F122" i="13"/>
  <c r="F101" i="13"/>
  <c r="F111" i="13"/>
  <c r="F102" i="13"/>
  <c r="F110" i="13"/>
  <c r="F99" i="13"/>
  <c r="F112" i="13"/>
  <c r="F97" i="13"/>
  <c r="F109" i="13"/>
  <c r="F105" i="13"/>
  <c r="F108" i="13"/>
  <c r="F104" i="13"/>
  <c r="A73" i="19"/>
  <c r="D73" i="19" s="1"/>
  <c r="A68" i="19"/>
  <c r="D68" i="19" s="1"/>
  <c r="A67" i="19"/>
  <c r="D67" i="19" s="1"/>
  <c r="A59" i="19"/>
  <c r="D59" i="19" s="1"/>
  <c r="A64" i="19"/>
  <c r="D64" i="19" s="1"/>
  <c r="A66" i="19"/>
  <c r="D66" i="19" s="1"/>
  <c r="D99" i="13"/>
  <c r="D105" i="13"/>
  <c r="D98" i="13"/>
  <c r="D104" i="13"/>
  <c r="R104" i="13" s="1"/>
  <c r="Q85" i="13"/>
  <c r="D109" i="13"/>
  <c r="R109" i="13" s="1"/>
  <c r="Q90" i="13"/>
  <c r="D107" i="13"/>
  <c r="D112" i="13"/>
  <c r="D110" i="13"/>
  <c r="D102" i="13"/>
  <c r="D97" i="13"/>
  <c r="D127" i="13"/>
  <c r="Q108" i="13"/>
  <c r="D100" i="13"/>
  <c r="D101" i="13"/>
  <c r="D103" i="13"/>
  <c r="R103" i="13" s="1"/>
  <c r="Q84" i="13"/>
  <c r="D111" i="13"/>
  <c r="AI8" i="7"/>
  <c r="AH8" i="7"/>
  <c r="T14" i="13" l="1"/>
  <c r="T13" i="13"/>
  <c r="S146" i="13"/>
  <c r="T79" i="13"/>
  <c r="C79" i="13" s="1"/>
  <c r="S142" i="13"/>
  <c r="F137" i="13"/>
  <c r="F150" i="13"/>
  <c r="R100" i="13"/>
  <c r="Q100" i="13" s="1"/>
  <c r="S98" i="13"/>
  <c r="M98" i="13"/>
  <c r="F130" i="13"/>
  <c r="F135" i="13"/>
  <c r="S137" i="13"/>
  <c r="F117" i="13"/>
  <c r="F129" i="13"/>
  <c r="S144" i="13"/>
  <c r="M144" i="13"/>
  <c r="F143" i="13"/>
  <c r="S150" i="13"/>
  <c r="K100" i="13"/>
  <c r="T100" i="13" s="1"/>
  <c r="F149" i="13"/>
  <c r="F121" i="13"/>
  <c r="F120" i="13"/>
  <c r="F140" i="13"/>
  <c r="R107" i="13"/>
  <c r="Q107" i="13" s="1"/>
  <c r="F139" i="13"/>
  <c r="F136" i="13"/>
  <c r="F148" i="13"/>
  <c r="F147" i="13"/>
  <c r="F116" i="13"/>
  <c r="M141" i="13"/>
  <c r="F118" i="13"/>
  <c r="F124" i="13"/>
  <c r="F131" i="13"/>
  <c r="A86" i="19"/>
  <c r="D86" i="19" s="1"/>
  <c r="J67" i="19"/>
  <c r="A82" i="19"/>
  <c r="D82" i="19" s="1"/>
  <c r="J63" i="19"/>
  <c r="A89" i="19"/>
  <c r="D89" i="19" s="1"/>
  <c r="J70" i="19"/>
  <c r="A79" i="19"/>
  <c r="D79" i="19" s="1"/>
  <c r="J60" i="19"/>
  <c r="A92" i="19"/>
  <c r="D92" i="19" s="1"/>
  <c r="J73" i="19"/>
  <c r="A103" i="19"/>
  <c r="D103" i="19" s="1"/>
  <c r="J84" i="19"/>
  <c r="J80" i="19"/>
  <c r="A99" i="19"/>
  <c r="D99" i="19" s="1"/>
  <c r="A81" i="19"/>
  <c r="D81" i="19" s="1"/>
  <c r="J62" i="19"/>
  <c r="A93" i="19"/>
  <c r="D93" i="19" s="1"/>
  <c r="J74" i="19"/>
  <c r="A85" i="19"/>
  <c r="D85" i="19" s="1"/>
  <c r="J66" i="19"/>
  <c r="A87" i="19"/>
  <c r="D87" i="19" s="1"/>
  <c r="J68" i="19"/>
  <c r="A83" i="19"/>
  <c r="D83" i="19" s="1"/>
  <c r="J64" i="19"/>
  <c r="A88" i="19"/>
  <c r="D88" i="19" s="1"/>
  <c r="J69" i="19"/>
  <c r="A78" i="19"/>
  <c r="D78" i="19" s="1"/>
  <c r="J59" i="19"/>
  <c r="A109" i="19"/>
  <c r="D109" i="19" s="1"/>
  <c r="J90" i="19"/>
  <c r="J91" i="19"/>
  <c r="A110" i="19"/>
  <c r="D110" i="19" s="1"/>
  <c r="T86" i="13"/>
  <c r="C86" i="13" s="1"/>
  <c r="T36" i="13"/>
  <c r="C36" i="13" s="1"/>
  <c r="T90" i="13"/>
  <c r="T52" i="13"/>
  <c r="T51" i="13"/>
  <c r="T93" i="13"/>
  <c r="C93" i="13" s="1"/>
  <c r="T91" i="13"/>
  <c r="C91" i="13" s="1"/>
  <c r="T82" i="13"/>
  <c r="C82" i="13" s="1"/>
  <c r="T32" i="13"/>
  <c r="T89" i="13"/>
  <c r="T16" i="13"/>
  <c r="C16" i="13" s="1"/>
  <c r="T54" i="13"/>
  <c r="C54" i="13" s="1"/>
  <c r="T35" i="13"/>
  <c r="C35" i="13" s="1"/>
  <c r="T53" i="13"/>
  <c r="C53" i="13" s="1"/>
  <c r="T33" i="13"/>
  <c r="C81" i="13"/>
  <c r="T17" i="13"/>
  <c r="C17" i="13" s="1"/>
  <c r="T92" i="13"/>
  <c r="C92" i="13" s="1"/>
  <c r="T80" i="13"/>
  <c r="C80" i="13" s="1"/>
  <c r="T55" i="13"/>
  <c r="C55" i="13" s="1"/>
  <c r="T15" i="13"/>
  <c r="C15" i="13" s="1"/>
  <c r="T34" i="13"/>
  <c r="C34" i="13" s="1"/>
  <c r="T73" i="13"/>
  <c r="C73" i="13" s="1"/>
  <c r="K105" i="13"/>
  <c r="K112" i="13"/>
  <c r="K99" i="13"/>
  <c r="K111" i="13"/>
  <c r="K108" i="13"/>
  <c r="K101" i="13"/>
  <c r="M143" i="13"/>
  <c r="M146" i="13"/>
  <c r="R110" i="13"/>
  <c r="Q110" i="13" s="1"/>
  <c r="R105" i="13"/>
  <c r="Q105" i="13" s="1"/>
  <c r="K110" i="13"/>
  <c r="R102" i="13"/>
  <c r="Q102" i="13" s="1"/>
  <c r="R98" i="13"/>
  <c r="Q98" i="13" s="1"/>
  <c r="K98" i="13"/>
  <c r="M139" i="13"/>
  <c r="R111" i="13"/>
  <c r="Q111" i="13" s="1"/>
  <c r="K109" i="13"/>
  <c r="R106" i="13"/>
  <c r="Q106" i="13" s="1"/>
  <c r="K107" i="13"/>
  <c r="T107" i="13" s="1"/>
  <c r="R97" i="13"/>
  <c r="Q97" i="13" s="1"/>
  <c r="R101" i="13"/>
  <c r="Q101" i="13" s="1"/>
  <c r="R127" i="13"/>
  <c r="Q127" i="13" s="1"/>
  <c r="D146" i="13"/>
  <c r="R146" i="13" s="1"/>
  <c r="Q146" i="13" s="1"/>
  <c r="R112" i="13"/>
  <c r="Q112" i="13" s="1"/>
  <c r="R99" i="13"/>
  <c r="Q99" i="13" s="1"/>
  <c r="D125" i="13"/>
  <c r="L107" i="13"/>
  <c r="L106" i="13"/>
  <c r="L103" i="13"/>
  <c r="L100" i="13"/>
  <c r="L98" i="13"/>
  <c r="M112" i="13"/>
  <c r="L112" i="13"/>
  <c r="M99" i="13"/>
  <c r="L99" i="13"/>
  <c r="L108" i="13"/>
  <c r="M108" i="13"/>
  <c r="L102" i="13"/>
  <c r="M102" i="13"/>
  <c r="L104" i="13"/>
  <c r="M104" i="13"/>
  <c r="M122" i="13"/>
  <c r="L109" i="13"/>
  <c r="M109" i="13"/>
  <c r="L101" i="13"/>
  <c r="M101" i="13"/>
  <c r="M105" i="13"/>
  <c r="L105" i="13"/>
  <c r="M110" i="13"/>
  <c r="L110" i="13"/>
  <c r="M125" i="13"/>
  <c r="M111" i="13"/>
  <c r="L111" i="13"/>
  <c r="M119" i="13"/>
  <c r="M126" i="13"/>
  <c r="S130" i="13"/>
  <c r="S129" i="13"/>
  <c r="S120" i="13"/>
  <c r="S118" i="13"/>
  <c r="S131" i="13"/>
  <c r="S121" i="13"/>
  <c r="S123" i="13"/>
  <c r="S128" i="13"/>
  <c r="S124" i="13"/>
  <c r="S127" i="13"/>
  <c r="F123" i="13"/>
  <c r="F128" i="13"/>
  <c r="F127" i="13"/>
  <c r="D131" i="13"/>
  <c r="D118" i="13"/>
  <c r="D126" i="13"/>
  <c r="D129" i="13"/>
  <c r="D130" i="13"/>
  <c r="D128" i="13"/>
  <c r="Q109" i="13"/>
  <c r="D123" i="13"/>
  <c r="Q104" i="13"/>
  <c r="D117" i="13"/>
  <c r="D120" i="13"/>
  <c r="D121" i="13"/>
  <c r="D119" i="13"/>
  <c r="D122" i="13"/>
  <c r="Q103" i="13"/>
  <c r="D116" i="13"/>
  <c r="D124" i="13"/>
  <c r="C31" i="18"/>
  <c r="C30" i="18"/>
  <c r="C40" i="18" s="1"/>
  <c r="C28" i="18"/>
  <c r="C25" i="18"/>
  <c r="C35" i="18" s="1"/>
  <c r="C45" i="18" s="1"/>
  <c r="C24" i="18"/>
  <c r="C23" i="18"/>
  <c r="C33" i="18" s="1"/>
  <c r="A22" i="18"/>
  <c r="C21" i="18"/>
  <c r="C20" i="18"/>
  <c r="C19" i="18"/>
  <c r="C18" i="18"/>
  <c r="C17" i="18"/>
  <c r="C16" i="18"/>
  <c r="C15" i="18"/>
  <c r="C14" i="18"/>
  <c r="A14" i="18"/>
  <c r="C13" i="18"/>
  <c r="A13" i="18"/>
  <c r="C12" i="18"/>
  <c r="A12" i="18"/>
  <c r="A5" i="18"/>
  <c r="A3" i="18"/>
  <c r="A4" i="18" s="1"/>
  <c r="A17" i="1"/>
  <c r="A16" i="1"/>
  <c r="A15" i="1"/>
  <c r="L14" i="1"/>
  <c r="A13" i="1"/>
  <c r="L12" i="1"/>
  <c r="L11" i="1"/>
  <c r="L10" i="1"/>
  <c r="A9" i="1"/>
  <c r="A8" i="1"/>
  <c r="L7" i="1"/>
  <c r="A6" i="1"/>
  <c r="L6" i="1"/>
  <c r="A5" i="1"/>
  <c r="L5" i="1"/>
  <c r="A4" i="1"/>
  <c r="L4" i="1"/>
  <c r="A3" i="1"/>
  <c r="L3" i="1"/>
  <c r="A2" i="1"/>
  <c r="K7" i="18" l="1"/>
  <c r="B3" i="18"/>
  <c r="B11" i="18"/>
  <c r="B19" i="18"/>
  <c r="B27" i="18"/>
  <c r="B35" i="18"/>
  <c r="B43" i="18"/>
  <c r="B51" i="18"/>
  <c r="B5" i="18"/>
  <c r="B29" i="18"/>
  <c r="B45" i="18"/>
  <c r="B4" i="18"/>
  <c r="B12" i="18"/>
  <c r="B20" i="18"/>
  <c r="B28" i="18"/>
  <c r="B36" i="18"/>
  <c r="B44" i="18"/>
  <c r="B13" i="18"/>
  <c r="B21" i="18"/>
  <c r="B37" i="18"/>
  <c r="B77" i="18"/>
  <c r="B15" i="18"/>
  <c r="B26" i="18"/>
  <c r="B40" i="18"/>
  <c r="B18" i="18"/>
  <c r="B46" i="18"/>
  <c r="B23" i="18"/>
  <c r="B48" i="18"/>
  <c r="B10" i="18"/>
  <c r="B38" i="18"/>
  <c r="B16" i="18"/>
  <c r="B30" i="18"/>
  <c r="B41" i="18"/>
  <c r="B6" i="18"/>
  <c r="B17" i="18"/>
  <c r="B31" i="18"/>
  <c r="B42" i="18"/>
  <c r="B2" i="18"/>
  <c r="B7" i="18"/>
  <c r="B32" i="18"/>
  <c r="B8" i="18"/>
  <c r="B22" i="18"/>
  <c r="B33" i="18"/>
  <c r="B47" i="18"/>
  <c r="B9" i="18"/>
  <c r="B34" i="18"/>
  <c r="B24" i="18"/>
  <c r="B49" i="18"/>
  <c r="B14" i="18"/>
  <c r="B25" i="18"/>
  <c r="B39" i="18"/>
  <c r="B50" i="18"/>
  <c r="M142" i="13"/>
  <c r="M150" i="13"/>
  <c r="L125" i="13"/>
  <c r="K119" i="13"/>
  <c r="T119" i="13" s="1"/>
  <c r="T98" i="13"/>
  <c r="C98" i="13" s="1"/>
  <c r="S149" i="13"/>
  <c r="M149" i="13"/>
  <c r="S148" i="13"/>
  <c r="M148" i="13"/>
  <c r="S135" i="13"/>
  <c r="M135" i="13"/>
  <c r="K146" i="13"/>
  <c r="T146" i="13" s="1"/>
  <c r="S117" i="13"/>
  <c r="M117" i="13"/>
  <c r="S140" i="13"/>
  <c r="M140" i="13"/>
  <c r="M137" i="13"/>
  <c r="K126" i="13"/>
  <c r="T126" i="13" s="1"/>
  <c r="S147" i="13"/>
  <c r="M147" i="13"/>
  <c r="S136" i="13"/>
  <c r="M136" i="13"/>
  <c r="J109" i="19"/>
  <c r="A128" i="19"/>
  <c r="D128" i="19" s="1"/>
  <c r="J92" i="19"/>
  <c r="A111" i="19"/>
  <c r="D111" i="19" s="1"/>
  <c r="A104" i="19"/>
  <c r="D104" i="19" s="1"/>
  <c r="J85" i="19"/>
  <c r="J79" i="19"/>
  <c r="A98" i="19"/>
  <c r="D98" i="19" s="1"/>
  <c r="J88" i="19"/>
  <c r="A107" i="19"/>
  <c r="D107" i="19" s="1"/>
  <c r="A129" i="19"/>
  <c r="D129" i="19" s="1"/>
  <c r="J110" i="19"/>
  <c r="J89" i="19"/>
  <c r="A108" i="19"/>
  <c r="D108" i="19" s="1"/>
  <c r="A112" i="19"/>
  <c r="D112" i="19" s="1"/>
  <c r="J93" i="19"/>
  <c r="J103" i="19"/>
  <c r="A122" i="19"/>
  <c r="D122" i="19" s="1"/>
  <c r="J83" i="19"/>
  <c r="A102" i="19"/>
  <c r="D102" i="19" s="1"/>
  <c r="A101" i="19"/>
  <c r="D101" i="19" s="1"/>
  <c r="J82" i="19"/>
  <c r="J87" i="19"/>
  <c r="A106" i="19"/>
  <c r="D106" i="19" s="1"/>
  <c r="A100" i="19"/>
  <c r="D100" i="19" s="1"/>
  <c r="J81" i="19"/>
  <c r="J78" i="19"/>
  <c r="A97" i="19"/>
  <c r="D97" i="19" s="1"/>
  <c r="J99" i="19"/>
  <c r="A118" i="19"/>
  <c r="D118" i="19" s="1"/>
  <c r="J86" i="19"/>
  <c r="A105" i="19"/>
  <c r="D105" i="19" s="1"/>
  <c r="I27" i="11"/>
  <c r="K20" i="18"/>
  <c r="P20" i="18" s="1"/>
  <c r="I15" i="11"/>
  <c r="K8" i="18"/>
  <c r="P8" i="18" s="1"/>
  <c r="I20" i="11"/>
  <c r="K13" i="18"/>
  <c r="P13" i="18" s="1"/>
  <c r="I28" i="11"/>
  <c r="K21" i="18"/>
  <c r="P21" i="18" s="1"/>
  <c r="I21" i="11"/>
  <c r="K14" i="18"/>
  <c r="P14" i="18" s="1"/>
  <c r="I29" i="11"/>
  <c r="K22" i="18"/>
  <c r="P22" i="18" s="1"/>
  <c r="I16" i="11"/>
  <c r="K9" i="18"/>
  <c r="P9" i="18" s="1"/>
  <c r="I17" i="11"/>
  <c r="K10" i="18"/>
  <c r="P10" i="18" s="1"/>
  <c r="I25" i="11"/>
  <c r="K18" i="18"/>
  <c r="P18" i="18" s="1"/>
  <c r="P7" i="18"/>
  <c r="G14" i="11" s="1"/>
  <c r="I18" i="11"/>
  <c r="K11" i="18"/>
  <c r="P11" i="18" s="1"/>
  <c r="I14" i="11"/>
  <c r="C100" i="13"/>
  <c r="T109" i="13"/>
  <c r="T105" i="13"/>
  <c r="C105" i="13" s="1"/>
  <c r="T108" i="13"/>
  <c r="T99" i="13"/>
  <c r="C99" i="13" s="1"/>
  <c r="T101" i="13"/>
  <c r="C101" i="13" s="1"/>
  <c r="T112" i="13"/>
  <c r="C112" i="13" s="1"/>
  <c r="T110" i="13"/>
  <c r="C110" i="13" s="1"/>
  <c r="T111" i="13"/>
  <c r="C111" i="13" s="1"/>
  <c r="K130" i="13"/>
  <c r="K127" i="13"/>
  <c r="K129" i="13"/>
  <c r="K131" i="13"/>
  <c r="K120" i="13"/>
  <c r="R121" i="13"/>
  <c r="Q121" i="13" s="1"/>
  <c r="D140" i="13"/>
  <c r="R118" i="13"/>
  <c r="Q118" i="13" s="1"/>
  <c r="D137" i="13"/>
  <c r="K124" i="13"/>
  <c r="D139" i="13"/>
  <c r="R120" i="13"/>
  <c r="Q120" i="13" s="1"/>
  <c r="D149" i="13"/>
  <c r="R130" i="13"/>
  <c r="Q130" i="13" s="1"/>
  <c r="D141" i="13"/>
  <c r="R122" i="13"/>
  <c r="Q122" i="13" s="1"/>
  <c r="R131" i="13"/>
  <c r="Q131" i="13" s="1"/>
  <c r="D150" i="13"/>
  <c r="R128" i="13"/>
  <c r="Q128" i="13" s="1"/>
  <c r="D147" i="13"/>
  <c r="R116" i="13"/>
  <c r="D135" i="13"/>
  <c r="K128" i="13"/>
  <c r="R117" i="13"/>
  <c r="Q117" i="13" s="1"/>
  <c r="D136" i="13"/>
  <c r="K117" i="13"/>
  <c r="R129" i="13"/>
  <c r="Q129" i="13" s="1"/>
  <c r="D148" i="13"/>
  <c r="R125" i="13"/>
  <c r="Q125" i="13" s="1"/>
  <c r="D144" i="13"/>
  <c r="L146" i="13"/>
  <c r="R124" i="13"/>
  <c r="Q124" i="13" s="1"/>
  <c r="D143" i="13"/>
  <c r="R119" i="13"/>
  <c r="Q119" i="13" s="1"/>
  <c r="D138" i="13"/>
  <c r="R123" i="13"/>
  <c r="Q123" i="13" s="1"/>
  <c r="D142" i="13"/>
  <c r="L126" i="13"/>
  <c r="R126" i="13"/>
  <c r="Q126" i="13" s="1"/>
  <c r="D145" i="13"/>
  <c r="K118" i="13"/>
  <c r="L122" i="13"/>
  <c r="L117" i="13"/>
  <c r="L119" i="13"/>
  <c r="L129" i="13"/>
  <c r="M129" i="13"/>
  <c r="M124" i="13"/>
  <c r="L124" i="13"/>
  <c r="L128" i="13"/>
  <c r="M128" i="13"/>
  <c r="M130" i="13"/>
  <c r="L130" i="13"/>
  <c r="L121" i="13"/>
  <c r="M121" i="13"/>
  <c r="L120" i="13"/>
  <c r="M120" i="13"/>
  <c r="L131" i="13"/>
  <c r="M131" i="13"/>
  <c r="L123" i="13"/>
  <c r="M123" i="13"/>
  <c r="L127" i="13"/>
  <c r="M127" i="13"/>
  <c r="L118" i="13"/>
  <c r="M118" i="13"/>
  <c r="Q116" i="13"/>
  <c r="A7" i="1"/>
  <c r="B59" i="18" s="1"/>
  <c r="A10" i="1"/>
  <c r="L13" i="1"/>
  <c r="L15" i="1"/>
  <c r="A12" i="1"/>
  <c r="A14" i="1"/>
  <c r="L2" i="1"/>
  <c r="A11" i="1"/>
  <c r="C55" i="18"/>
  <c r="C50" i="18"/>
  <c r="C27" i="18"/>
  <c r="A32" i="18"/>
  <c r="C26" i="18"/>
  <c r="C43" i="18"/>
  <c r="C38" i="18"/>
  <c r="A23" i="18"/>
  <c r="A24" i="18"/>
  <c r="A6" i="18"/>
  <c r="A15" i="18"/>
  <c r="C22" i="18"/>
  <c r="C41" i="18"/>
  <c r="C29" i="18"/>
  <c r="C34" i="18"/>
  <c r="L8" i="1"/>
  <c r="L16" i="1"/>
  <c r="L9" i="1"/>
  <c r="L17" i="1"/>
  <c r="B175" i="18" l="1"/>
  <c r="B161" i="18"/>
  <c r="B101" i="18"/>
  <c r="B129" i="18"/>
  <c r="B186" i="18"/>
  <c r="B185" i="18"/>
  <c r="B164" i="18"/>
  <c r="B100" i="18"/>
  <c r="B119" i="18"/>
  <c r="B82" i="18"/>
  <c r="B53" i="18"/>
  <c r="B179" i="18"/>
  <c r="B107" i="18"/>
  <c r="B174" i="18"/>
  <c r="B120" i="18"/>
  <c r="B115" i="18"/>
  <c r="B166" i="18"/>
  <c r="B162" i="18"/>
  <c r="B92" i="18"/>
  <c r="B167" i="18"/>
  <c r="B113" i="18"/>
  <c r="B146" i="18"/>
  <c r="B181" i="18"/>
  <c r="B127" i="18"/>
  <c r="B90" i="18"/>
  <c r="B76" i="18"/>
  <c r="B91" i="18"/>
  <c r="B64" i="18"/>
  <c r="B153" i="18"/>
  <c r="B103" i="18"/>
  <c r="B63" i="18"/>
  <c r="B62" i="18"/>
  <c r="B58" i="18"/>
  <c r="B96" i="18"/>
  <c r="B159" i="18"/>
  <c r="B56" i="18"/>
  <c r="B158" i="18"/>
  <c r="B55" i="18"/>
  <c r="B74" i="18"/>
  <c r="B160" i="18"/>
  <c r="B168" i="18"/>
  <c r="B65" i="18"/>
  <c r="B125" i="18"/>
  <c r="B188" i="18"/>
  <c r="B124" i="18"/>
  <c r="B60" i="18"/>
  <c r="B157" i="18"/>
  <c r="B139" i="18"/>
  <c r="B75" i="18"/>
  <c r="B128" i="18"/>
  <c r="B151" i="18"/>
  <c r="B150" i="18"/>
  <c r="B106" i="18"/>
  <c r="B176" i="18"/>
  <c r="B136" i="18"/>
  <c r="B171" i="18"/>
  <c r="B78" i="18"/>
  <c r="B138" i="18"/>
  <c r="B137" i="18"/>
  <c r="B122" i="18"/>
  <c r="B173" i="18"/>
  <c r="B95" i="18"/>
  <c r="B191" i="18"/>
  <c r="B94" i="18"/>
  <c r="B152" i="18"/>
  <c r="B126" i="18"/>
  <c r="B111" i="18"/>
  <c r="B104" i="18"/>
  <c r="B165" i="18"/>
  <c r="B148" i="18"/>
  <c r="B84" i="18"/>
  <c r="B69" i="18"/>
  <c r="B163" i="18"/>
  <c r="B99" i="18"/>
  <c r="B114" i="18"/>
  <c r="B97" i="18"/>
  <c r="B182" i="18"/>
  <c r="B80" i="18"/>
  <c r="B98" i="18"/>
  <c r="B190" i="18"/>
  <c r="B149" i="18"/>
  <c r="B140" i="18"/>
  <c r="B61" i="18"/>
  <c r="B155" i="18"/>
  <c r="B88" i="18"/>
  <c r="B87" i="18"/>
  <c r="B86" i="18"/>
  <c r="B121" i="18"/>
  <c r="B170" i="18"/>
  <c r="B70" i="18"/>
  <c r="B169" i="18"/>
  <c r="B66" i="18"/>
  <c r="B102" i="18"/>
  <c r="B73" i="18"/>
  <c r="B183" i="18"/>
  <c r="B178" i="18"/>
  <c r="B79" i="18"/>
  <c r="B133" i="18"/>
  <c r="B132" i="18"/>
  <c r="B68" i="18"/>
  <c r="B147" i="18"/>
  <c r="B83" i="18"/>
  <c r="B189" i="18"/>
  <c r="B71" i="18"/>
  <c r="B145" i="18"/>
  <c r="B144" i="18"/>
  <c r="B135" i="18"/>
  <c r="B154" i="18"/>
  <c r="B54" i="18"/>
  <c r="B109" i="18"/>
  <c r="B180" i="18"/>
  <c r="B116" i="18"/>
  <c r="B52" i="18"/>
  <c r="B141" i="18"/>
  <c r="B131" i="18"/>
  <c r="B67" i="18"/>
  <c r="B177" i="18"/>
  <c r="B105" i="18"/>
  <c r="B118" i="18"/>
  <c r="B156" i="18"/>
  <c r="B85" i="18"/>
  <c r="B112" i="18"/>
  <c r="B81" i="18"/>
  <c r="B72" i="18"/>
  <c r="B142" i="18"/>
  <c r="B89" i="18"/>
  <c r="B57" i="18"/>
  <c r="B134" i="18"/>
  <c r="B130" i="18"/>
  <c r="B184" i="18"/>
  <c r="B110" i="18"/>
  <c r="B143" i="18"/>
  <c r="B93" i="18"/>
  <c r="B172" i="18"/>
  <c r="B108" i="18"/>
  <c r="B117" i="18"/>
  <c r="B187" i="18"/>
  <c r="B123" i="18"/>
  <c r="D9" i="18"/>
  <c r="D17" i="18"/>
  <c r="D25" i="18"/>
  <c r="D33" i="18"/>
  <c r="D41" i="18"/>
  <c r="D49" i="18"/>
  <c r="D19" i="18"/>
  <c r="D10" i="18"/>
  <c r="D18" i="18"/>
  <c r="D26" i="18"/>
  <c r="D34" i="18"/>
  <c r="D42" i="18"/>
  <c r="D50" i="18"/>
  <c r="D3" i="18"/>
  <c r="D11" i="18"/>
  <c r="D27" i="18"/>
  <c r="D35" i="18"/>
  <c r="D43" i="18"/>
  <c r="D51" i="18"/>
  <c r="D13" i="18"/>
  <c r="D24" i="18"/>
  <c r="D38" i="18"/>
  <c r="D5" i="18"/>
  <c r="D7" i="18"/>
  <c r="D22" i="18"/>
  <c r="D23" i="18"/>
  <c r="D48" i="18"/>
  <c r="D14" i="18"/>
  <c r="D28" i="18"/>
  <c r="D39" i="18"/>
  <c r="D2" i="18"/>
  <c r="D4" i="18"/>
  <c r="D15" i="18"/>
  <c r="D29" i="18"/>
  <c r="D40" i="18"/>
  <c r="D16" i="18"/>
  <c r="D30" i="18"/>
  <c r="D44" i="18"/>
  <c r="D6" i="18"/>
  <c r="D20" i="18"/>
  <c r="D31" i="18"/>
  <c r="D45" i="18"/>
  <c r="D21" i="18"/>
  <c r="D32" i="18"/>
  <c r="D46" i="18"/>
  <c r="D8" i="18"/>
  <c r="D36" i="18"/>
  <c r="D47" i="18"/>
  <c r="D12" i="18"/>
  <c r="D37" i="18"/>
  <c r="T117" i="13"/>
  <c r="C117" i="13" s="1"/>
  <c r="J128" i="19"/>
  <c r="A147" i="19"/>
  <c r="D147" i="19" s="1"/>
  <c r="J100" i="19"/>
  <c r="A119" i="19"/>
  <c r="D119" i="19" s="1"/>
  <c r="A141" i="19"/>
  <c r="D141" i="19" s="1"/>
  <c r="J122" i="19"/>
  <c r="A127" i="19"/>
  <c r="D127" i="19" s="1"/>
  <c r="J108" i="19"/>
  <c r="J118" i="19"/>
  <c r="A137" i="19"/>
  <c r="D137" i="19" s="1"/>
  <c r="A124" i="19"/>
  <c r="D124" i="19" s="1"/>
  <c r="J105" i="19"/>
  <c r="J97" i="19"/>
  <c r="A116" i="19"/>
  <c r="D116" i="19" s="1"/>
  <c r="J129" i="19"/>
  <c r="A148" i="19"/>
  <c r="D148" i="19" s="1"/>
  <c r="J104" i="19"/>
  <c r="A123" i="19"/>
  <c r="D123" i="19" s="1"/>
  <c r="A120" i="19"/>
  <c r="D120" i="19" s="1"/>
  <c r="J101" i="19"/>
  <c r="J112" i="19"/>
  <c r="A131" i="19"/>
  <c r="D131" i="19" s="1"/>
  <c r="A130" i="19"/>
  <c r="D130" i="19" s="1"/>
  <c r="J111" i="19"/>
  <c r="A121" i="19"/>
  <c r="D121" i="19" s="1"/>
  <c r="J102" i="19"/>
  <c r="J107" i="19"/>
  <c r="A126" i="19"/>
  <c r="D126" i="19" s="1"/>
  <c r="J106" i="19"/>
  <c r="A125" i="19"/>
  <c r="D125" i="19" s="1"/>
  <c r="J98" i="19"/>
  <c r="A117" i="19"/>
  <c r="D117" i="19" s="1"/>
  <c r="G28" i="11"/>
  <c r="I26" i="11"/>
  <c r="K19" i="18"/>
  <c r="P19" i="18" s="1"/>
  <c r="G16" i="11"/>
  <c r="G18" i="11"/>
  <c r="G29" i="11"/>
  <c r="G21" i="11"/>
  <c r="G27" i="11"/>
  <c r="G17" i="11"/>
  <c r="I24" i="11"/>
  <c r="K17" i="18"/>
  <c r="P17" i="18" s="1"/>
  <c r="G20" i="11"/>
  <c r="G15" i="11"/>
  <c r="I22" i="11"/>
  <c r="K15" i="18"/>
  <c r="P15" i="18" s="1"/>
  <c r="I19" i="11"/>
  <c r="K12" i="18"/>
  <c r="D57" i="18" s="1"/>
  <c r="G25" i="11"/>
  <c r="I23" i="11"/>
  <c r="K16" i="18"/>
  <c r="P16" i="18" s="1"/>
  <c r="T131" i="13"/>
  <c r="C131" i="13" s="1"/>
  <c r="T124" i="13"/>
  <c r="C124" i="13" s="1"/>
  <c r="C119" i="13"/>
  <c r="T118" i="13"/>
  <c r="C118" i="13" s="1"/>
  <c r="T130" i="13"/>
  <c r="C130" i="13" s="1"/>
  <c r="T128" i="13"/>
  <c r="T129" i="13"/>
  <c r="C129" i="13" s="1"/>
  <c r="T127" i="13"/>
  <c r="T120" i="13"/>
  <c r="C120" i="13" s="1"/>
  <c r="R138" i="13"/>
  <c r="Q138" i="13" s="1"/>
  <c r="L138" i="13"/>
  <c r="K138" i="13"/>
  <c r="T138" i="13" s="1"/>
  <c r="R144" i="13"/>
  <c r="Q144" i="13" s="1"/>
  <c r="L144" i="13"/>
  <c r="R136" i="13"/>
  <c r="Q136" i="13" s="1"/>
  <c r="K136" i="13"/>
  <c r="T136" i="13" s="1"/>
  <c r="L136" i="13"/>
  <c r="R149" i="13"/>
  <c r="Q149" i="13" s="1"/>
  <c r="K149" i="13"/>
  <c r="T149" i="13" s="1"/>
  <c r="L149" i="13"/>
  <c r="R142" i="13"/>
  <c r="Q142" i="13" s="1"/>
  <c r="L142" i="13"/>
  <c r="R141" i="13"/>
  <c r="Q141" i="13" s="1"/>
  <c r="L141" i="13"/>
  <c r="R137" i="13"/>
  <c r="Q137" i="13" s="1"/>
  <c r="K137" i="13"/>
  <c r="T137" i="13" s="1"/>
  <c r="L137" i="13"/>
  <c r="R140" i="13"/>
  <c r="Q140" i="13" s="1"/>
  <c r="L140" i="13"/>
  <c r="R147" i="13"/>
  <c r="Q147" i="13" s="1"/>
  <c r="K147" i="13"/>
  <c r="T147" i="13" s="1"/>
  <c r="L147" i="13"/>
  <c r="R145" i="13"/>
  <c r="Q145" i="13" s="1"/>
  <c r="L145" i="13"/>
  <c r="K145" i="13"/>
  <c r="T145" i="13" s="1"/>
  <c r="R143" i="13"/>
  <c r="Q143" i="13" s="1"/>
  <c r="L143" i="13"/>
  <c r="K143" i="13"/>
  <c r="T143" i="13" s="1"/>
  <c r="R135" i="13"/>
  <c r="Q135" i="13" s="1"/>
  <c r="K135" i="13"/>
  <c r="L135" i="13"/>
  <c r="R150" i="13"/>
  <c r="Q150" i="13" s="1"/>
  <c r="K150" i="13"/>
  <c r="T150" i="13" s="1"/>
  <c r="L150" i="13"/>
  <c r="R148" i="13"/>
  <c r="Q148" i="13" s="1"/>
  <c r="L148" i="13"/>
  <c r="K148" i="13"/>
  <c r="T148" i="13" s="1"/>
  <c r="R139" i="13"/>
  <c r="Q139" i="13" s="1"/>
  <c r="K139" i="13"/>
  <c r="T139" i="13" s="1"/>
  <c r="L139" i="13"/>
  <c r="C39" i="18"/>
  <c r="C48" i="18"/>
  <c r="A42" i="18"/>
  <c r="A25" i="18"/>
  <c r="C53" i="18"/>
  <c r="C51" i="18"/>
  <c r="A16" i="18"/>
  <c r="A7" i="18"/>
  <c r="C37" i="18"/>
  <c r="A34" i="18"/>
  <c r="C60" i="18"/>
  <c r="A33" i="18"/>
  <c r="C36" i="18"/>
  <c r="C32" i="18"/>
  <c r="C44" i="18"/>
  <c r="C65" i="18"/>
  <c r="D62" i="18" l="1"/>
  <c r="D70" i="18"/>
  <c r="D64" i="18"/>
  <c r="D79" i="18"/>
  <c r="D68" i="18"/>
  <c r="D69" i="18"/>
  <c r="D74" i="18"/>
  <c r="D72" i="18"/>
  <c r="D56" i="18"/>
  <c r="D78" i="18"/>
  <c r="D60" i="18"/>
  <c r="D67" i="18"/>
  <c r="D58" i="18"/>
  <c r="D73" i="18"/>
  <c r="D77" i="18"/>
  <c r="D63" i="18"/>
  <c r="D190" i="18"/>
  <c r="D103" i="18"/>
  <c r="D150" i="18"/>
  <c r="D102" i="18"/>
  <c r="D113" i="18"/>
  <c r="D164" i="18"/>
  <c r="D84" i="18"/>
  <c r="D93" i="18"/>
  <c r="D151" i="18"/>
  <c r="D191" i="18"/>
  <c r="D140" i="18"/>
  <c r="D174" i="18"/>
  <c r="D182" i="18"/>
  <c r="D181" i="18"/>
  <c r="D126" i="18"/>
  <c r="D91" i="18"/>
  <c r="D146" i="18"/>
  <c r="D97" i="18"/>
  <c r="D111" i="18"/>
  <c r="D101" i="18"/>
  <c r="D166" i="18"/>
  <c r="D138" i="18"/>
  <c r="D87" i="18"/>
  <c r="D100" i="18"/>
  <c r="D124" i="18"/>
  <c r="D148" i="18"/>
  <c r="D80" i="18"/>
  <c r="D157" i="18"/>
  <c r="D54" i="18"/>
  <c r="D156" i="18"/>
  <c r="D53" i="18"/>
  <c r="D76" i="18"/>
  <c r="D188" i="18"/>
  <c r="D183" i="18"/>
  <c r="D152" i="18"/>
  <c r="D52" i="18"/>
  <c r="D139" i="18"/>
  <c r="D75" i="18"/>
  <c r="D130" i="18"/>
  <c r="D66" i="18"/>
  <c r="D179" i="18"/>
  <c r="D145" i="18"/>
  <c r="D81" i="18"/>
  <c r="D95" i="18"/>
  <c r="D104" i="18"/>
  <c r="D176" i="18"/>
  <c r="D107" i="18"/>
  <c r="D162" i="18"/>
  <c r="D177" i="18"/>
  <c r="D144" i="18"/>
  <c r="D125" i="18"/>
  <c r="D171" i="18"/>
  <c r="D154" i="18"/>
  <c r="D169" i="18"/>
  <c r="D112" i="18"/>
  <c r="D173" i="18"/>
  <c r="D168" i="18"/>
  <c r="D159" i="18"/>
  <c r="D155" i="18"/>
  <c r="D89" i="18"/>
  <c r="D96" i="18"/>
  <c r="D143" i="18"/>
  <c r="D160" i="18"/>
  <c r="D158" i="18"/>
  <c r="D141" i="18"/>
  <c r="D131" i="18"/>
  <c r="D186" i="18"/>
  <c r="D122" i="18"/>
  <c r="D147" i="18"/>
  <c r="D137" i="18"/>
  <c r="D61" i="18"/>
  <c r="D71" i="18"/>
  <c r="D120" i="18"/>
  <c r="D55" i="18"/>
  <c r="D132" i="18"/>
  <c r="D128" i="18"/>
  <c r="D135" i="18"/>
  <c r="D133" i="18"/>
  <c r="D127" i="18"/>
  <c r="D123" i="18"/>
  <c r="D59" i="18"/>
  <c r="D178" i="18"/>
  <c r="D114" i="18"/>
  <c r="D129" i="18"/>
  <c r="D65" i="18"/>
  <c r="D189" i="18"/>
  <c r="D172" i="18"/>
  <c r="D85" i="18"/>
  <c r="D187" i="18"/>
  <c r="D98" i="18"/>
  <c r="D165" i="18"/>
  <c r="D92" i="18"/>
  <c r="D88" i="18"/>
  <c r="D99" i="18"/>
  <c r="D90" i="18"/>
  <c r="D105" i="18"/>
  <c r="D136" i="18"/>
  <c r="D184" i="18"/>
  <c r="D119" i="18"/>
  <c r="D86" i="18"/>
  <c r="D180" i="18"/>
  <c r="D163" i="18"/>
  <c r="D82" i="18"/>
  <c r="D161" i="18"/>
  <c r="D149" i="18"/>
  <c r="D108" i="18"/>
  <c r="D167" i="18"/>
  <c r="D83" i="18"/>
  <c r="D153" i="18"/>
  <c r="D134" i="18"/>
  <c r="D142" i="18"/>
  <c r="D109" i="18"/>
  <c r="D118" i="18"/>
  <c r="D117" i="18"/>
  <c r="D175" i="18"/>
  <c r="D110" i="18"/>
  <c r="D94" i="18"/>
  <c r="D116" i="18"/>
  <c r="D115" i="18"/>
  <c r="D170" i="18"/>
  <c r="D106" i="18"/>
  <c r="D185" i="18"/>
  <c r="D121" i="18"/>
  <c r="A156" i="19"/>
  <c r="D156" i="19" s="1"/>
  <c r="J137" i="19"/>
  <c r="A138" i="19"/>
  <c r="D138" i="19" s="1"/>
  <c r="J119" i="19"/>
  <c r="A140" i="19"/>
  <c r="D140" i="19" s="1"/>
  <c r="J121" i="19"/>
  <c r="A135" i="19"/>
  <c r="D135" i="19" s="1"/>
  <c r="J116" i="19"/>
  <c r="J125" i="19"/>
  <c r="A144" i="19"/>
  <c r="D144" i="19" s="1"/>
  <c r="J120" i="19"/>
  <c r="A139" i="19"/>
  <c r="D139" i="19" s="1"/>
  <c r="A149" i="19"/>
  <c r="D149" i="19" s="1"/>
  <c r="J130" i="19"/>
  <c r="J127" i="19"/>
  <c r="A146" i="19"/>
  <c r="D146" i="19" s="1"/>
  <c r="J147" i="19"/>
  <c r="A166" i="19"/>
  <c r="D166" i="19" s="1"/>
  <c r="J117" i="19"/>
  <c r="A136" i="19"/>
  <c r="D136" i="19" s="1"/>
  <c r="J131" i="19"/>
  <c r="A150" i="19"/>
  <c r="D150" i="19" s="1"/>
  <c r="A167" i="19"/>
  <c r="D167" i="19" s="1"/>
  <c r="J148" i="19"/>
  <c r="J124" i="19"/>
  <c r="A143" i="19"/>
  <c r="D143" i="19" s="1"/>
  <c r="A160" i="19"/>
  <c r="D160" i="19" s="1"/>
  <c r="J141" i="19"/>
  <c r="J123" i="19"/>
  <c r="A142" i="19"/>
  <c r="D142" i="19" s="1"/>
  <c r="J126" i="19"/>
  <c r="A145" i="19"/>
  <c r="D145" i="19" s="1"/>
  <c r="P12" i="18"/>
  <c r="G26" i="11"/>
  <c r="G24" i="11"/>
  <c r="G23" i="11"/>
  <c r="G22" i="11"/>
  <c r="T135" i="13"/>
  <c r="C135" i="13" s="1"/>
  <c r="C139" i="13"/>
  <c r="C136" i="13"/>
  <c r="C148" i="13"/>
  <c r="C137" i="13"/>
  <c r="C149" i="13"/>
  <c r="C138" i="13"/>
  <c r="C150" i="13"/>
  <c r="C143" i="13"/>
  <c r="C70" i="18"/>
  <c r="A8" i="18"/>
  <c r="A17" i="18"/>
  <c r="C42" i="18"/>
  <c r="A26" i="18"/>
  <c r="A44" i="18"/>
  <c r="A52" i="18"/>
  <c r="C46" i="18"/>
  <c r="C61" i="18"/>
  <c r="A43" i="18"/>
  <c r="C75" i="18"/>
  <c r="C47" i="18"/>
  <c r="C63" i="18"/>
  <c r="C58" i="18"/>
  <c r="C49" i="18"/>
  <c r="C54" i="18"/>
  <c r="A35" i="18"/>
  <c r="B17" i="17"/>
  <c r="B13" i="17"/>
  <c r="B12" i="17"/>
  <c r="B10" i="17"/>
  <c r="B9" i="17"/>
  <c r="B6" i="17"/>
  <c r="B5" i="17"/>
  <c r="B4" i="17"/>
  <c r="B3" i="17"/>
  <c r="B1" i="17"/>
  <c r="A1" i="17"/>
  <c r="B17" i="16"/>
  <c r="B13" i="16"/>
  <c r="B12" i="16"/>
  <c r="B10" i="16"/>
  <c r="B9" i="16"/>
  <c r="B6" i="16"/>
  <c r="B5" i="16"/>
  <c r="B4" i="16"/>
  <c r="B3" i="16"/>
  <c r="B1" i="16"/>
  <c r="A1" i="16"/>
  <c r="J4" i="21"/>
  <c r="B1" i="15"/>
  <c r="A1" i="15"/>
  <c r="J136" i="19" l="1"/>
  <c r="A155" i="19"/>
  <c r="D155" i="19" s="1"/>
  <c r="A186" i="19"/>
  <c r="D186" i="19" s="1"/>
  <c r="J167" i="19"/>
  <c r="A185" i="19"/>
  <c r="D185" i="19" s="1"/>
  <c r="J166" i="19"/>
  <c r="J149" i="19"/>
  <c r="A168" i="19"/>
  <c r="D168" i="19" s="1"/>
  <c r="A164" i="19"/>
  <c r="D164" i="19" s="1"/>
  <c r="J145" i="19"/>
  <c r="J146" i="19"/>
  <c r="A165" i="19"/>
  <c r="D165" i="19" s="1"/>
  <c r="A159" i="19"/>
  <c r="D159" i="19" s="1"/>
  <c r="J140" i="19"/>
  <c r="J144" i="19"/>
  <c r="A163" i="19"/>
  <c r="D163" i="19" s="1"/>
  <c r="A157" i="19"/>
  <c r="D157" i="19" s="1"/>
  <c r="J138" i="19"/>
  <c r="A161" i="19"/>
  <c r="D161" i="19" s="1"/>
  <c r="J142" i="19"/>
  <c r="J143" i="19"/>
  <c r="A162" i="19"/>
  <c r="D162" i="19" s="1"/>
  <c r="J139" i="19"/>
  <c r="A158" i="19"/>
  <c r="D158" i="19" s="1"/>
  <c r="J135" i="19"/>
  <c r="A154" i="19"/>
  <c r="D154" i="19" s="1"/>
  <c r="A179" i="19"/>
  <c r="D179" i="19" s="1"/>
  <c r="J160" i="19"/>
  <c r="A169" i="19"/>
  <c r="D169" i="19" s="1"/>
  <c r="J150" i="19"/>
  <c r="A175" i="19"/>
  <c r="D175" i="19" s="1"/>
  <c r="J156" i="19"/>
  <c r="G19" i="11"/>
  <c r="A53" i="18"/>
  <c r="C52" i="18"/>
  <c r="A45" i="18"/>
  <c r="C68" i="18"/>
  <c r="A62" i="18"/>
  <c r="C73" i="18"/>
  <c r="A27" i="18"/>
  <c r="C71" i="18"/>
  <c r="A54" i="18"/>
  <c r="A9" i="18"/>
  <c r="A18" i="18"/>
  <c r="C64" i="18"/>
  <c r="C57" i="18"/>
  <c r="C59" i="18"/>
  <c r="C56" i="18"/>
  <c r="C80" i="18"/>
  <c r="C85" i="18"/>
  <c r="A36" i="18"/>
  <c r="T7" i="3"/>
  <c r="U7" i="3"/>
  <c r="AJ8" i="5"/>
  <c r="AK8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Z31" i="5"/>
  <c r="W32" i="5"/>
  <c r="X32" i="5"/>
  <c r="Y32" i="5"/>
  <c r="Z32" i="5"/>
  <c r="W33" i="5"/>
  <c r="X33" i="5"/>
  <c r="Y33" i="5"/>
  <c r="Z33" i="5"/>
  <c r="W34" i="5"/>
  <c r="X34" i="5"/>
  <c r="Y34" i="5"/>
  <c r="Z34" i="5"/>
  <c r="W35" i="5"/>
  <c r="X35" i="5"/>
  <c r="Y35" i="5"/>
  <c r="Z35" i="5"/>
  <c r="W36" i="5"/>
  <c r="X36" i="5"/>
  <c r="Y36" i="5"/>
  <c r="Z36" i="5"/>
  <c r="W37" i="5"/>
  <c r="X37" i="5"/>
  <c r="Y37" i="5"/>
  <c r="Z37" i="5"/>
  <c r="W38" i="5"/>
  <c r="X38" i="5"/>
  <c r="Y38" i="5"/>
  <c r="Z38" i="5"/>
  <c r="W39" i="5"/>
  <c r="X39" i="5"/>
  <c r="Y39" i="5"/>
  <c r="Z39" i="5"/>
  <c r="W40" i="5"/>
  <c r="X40" i="5"/>
  <c r="Y40" i="5"/>
  <c r="Z40" i="5"/>
  <c r="W41" i="5"/>
  <c r="X41" i="5"/>
  <c r="Y41" i="5"/>
  <c r="Z41" i="5"/>
  <c r="W42" i="5"/>
  <c r="X42" i="5"/>
  <c r="Y42" i="5"/>
  <c r="Z42" i="5"/>
  <c r="W43" i="5"/>
  <c r="X43" i="5"/>
  <c r="Y43" i="5"/>
  <c r="Z43" i="5"/>
  <c r="W44" i="5"/>
  <c r="X44" i="5"/>
  <c r="Y44" i="5"/>
  <c r="Z44" i="5"/>
  <c r="W45" i="5"/>
  <c r="X45" i="5"/>
  <c r="Y45" i="5"/>
  <c r="Z45" i="5"/>
  <c r="W46" i="5"/>
  <c r="X46" i="5"/>
  <c r="Y46" i="5"/>
  <c r="Z46" i="5"/>
  <c r="W47" i="5"/>
  <c r="X47" i="5"/>
  <c r="Y47" i="5"/>
  <c r="Z47" i="5"/>
  <c r="W48" i="5"/>
  <c r="X48" i="5"/>
  <c r="Y48" i="5"/>
  <c r="Z48" i="5"/>
  <c r="W49" i="5"/>
  <c r="X49" i="5"/>
  <c r="Y49" i="5"/>
  <c r="Z49" i="5"/>
  <c r="W50" i="5"/>
  <c r="X50" i="5"/>
  <c r="Y50" i="5"/>
  <c r="Z50" i="5"/>
  <c r="W51" i="5"/>
  <c r="X51" i="5"/>
  <c r="Y51" i="5"/>
  <c r="Z51" i="5"/>
  <c r="W52" i="5"/>
  <c r="X52" i="5"/>
  <c r="Y52" i="5"/>
  <c r="Z52" i="5"/>
  <c r="W53" i="5"/>
  <c r="X53" i="5"/>
  <c r="Y53" i="5"/>
  <c r="Z53" i="5"/>
  <c r="W54" i="5"/>
  <c r="X54" i="5"/>
  <c r="Y54" i="5"/>
  <c r="Z54" i="5"/>
  <c r="W55" i="5"/>
  <c r="X55" i="5"/>
  <c r="Y55" i="5"/>
  <c r="Z55" i="5"/>
  <c r="W56" i="5"/>
  <c r="X56" i="5"/>
  <c r="Y56" i="5"/>
  <c r="Z56" i="5"/>
  <c r="W57" i="5"/>
  <c r="X57" i="5"/>
  <c r="Y57" i="5"/>
  <c r="Z57" i="5"/>
  <c r="W58" i="5"/>
  <c r="X58" i="5"/>
  <c r="Y58" i="5"/>
  <c r="Z58" i="5"/>
  <c r="W59" i="5"/>
  <c r="X59" i="5"/>
  <c r="Y59" i="5"/>
  <c r="Z59" i="5"/>
  <c r="W60" i="5"/>
  <c r="X60" i="5"/>
  <c r="Y60" i="5"/>
  <c r="Z60" i="5"/>
  <c r="W61" i="5"/>
  <c r="X61" i="5"/>
  <c r="Y61" i="5"/>
  <c r="Z61" i="5"/>
  <c r="W62" i="5"/>
  <c r="X62" i="5"/>
  <c r="Y62" i="5"/>
  <c r="Z62" i="5"/>
  <c r="W63" i="5"/>
  <c r="X63" i="5"/>
  <c r="Y63" i="5"/>
  <c r="Z63" i="5"/>
  <c r="W64" i="5"/>
  <c r="X64" i="5"/>
  <c r="Y64" i="5"/>
  <c r="Z64" i="5"/>
  <c r="X2" i="5"/>
  <c r="Y2" i="5"/>
  <c r="Z2" i="5"/>
  <c r="W2" i="5"/>
  <c r="B182" i="5"/>
  <c r="B134" i="5"/>
  <c r="B122" i="5"/>
  <c r="B98" i="5"/>
  <c r="B86" i="5"/>
  <c r="C14" i="5"/>
  <c r="B50" i="5"/>
  <c r="B38" i="5"/>
  <c r="B26" i="5"/>
  <c r="B14" i="5"/>
  <c r="A188" i="19" l="1"/>
  <c r="D188" i="19" s="1"/>
  <c r="J169" i="19"/>
  <c r="A198" i="19"/>
  <c r="D198" i="19" s="1"/>
  <c r="J179" i="19"/>
  <c r="A181" i="19"/>
  <c r="D181" i="19" s="1"/>
  <c r="J162" i="19"/>
  <c r="J163" i="19"/>
  <c r="A182" i="19"/>
  <c r="D182" i="19" s="1"/>
  <c r="J185" i="19"/>
  <c r="A204" i="19"/>
  <c r="D204" i="19" s="1"/>
  <c r="J175" i="19"/>
  <c r="A194" i="19"/>
  <c r="D194" i="19" s="1"/>
  <c r="A173" i="19"/>
  <c r="D173" i="19" s="1"/>
  <c r="J154" i="19"/>
  <c r="J164" i="19"/>
  <c r="A183" i="19"/>
  <c r="D183" i="19" s="1"/>
  <c r="A205" i="19"/>
  <c r="D205" i="19" s="1"/>
  <c r="J186" i="19"/>
  <c r="J158" i="19"/>
  <c r="A177" i="19"/>
  <c r="D177" i="19" s="1"/>
  <c r="J161" i="19"/>
  <c r="A180" i="19"/>
  <c r="D180" i="19" s="1"/>
  <c r="A187" i="19"/>
  <c r="D187" i="19" s="1"/>
  <c r="J168" i="19"/>
  <c r="A178" i="19"/>
  <c r="D178" i="19" s="1"/>
  <c r="J159" i="19"/>
  <c r="A176" i="19"/>
  <c r="D176" i="19" s="1"/>
  <c r="J157" i="19"/>
  <c r="J165" i="19"/>
  <c r="A184" i="19"/>
  <c r="D184" i="19" s="1"/>
  <c r="J155" i="19"/>
  <c r="A174" i="19"/>
  <c r="D174" i="19" s="1"/>
  <c r="C69" i="18"/>
  <c r="A37" i="18"/>
  <c r="C95" i="18"/>
  <c r="A64" i="18"/>
  <c r="C67" i="18"/>
  <c r="C83" i="18"/>
  <c r="A55" i="18"/>
  <c r="A72" i="18"/>
  <c r="C62" i="18"/>
  <c r="C90" i="18"/>
  <c r="C74" i="18"/>
  <c r="A28" i="18"/>
  <c r="C81" i="18"/>
  <c r="A46" i="18"/>
  <c r="C66" i="18"/>
  <c r="A10" i="18"/>
  <c r="A19" i="18"/>
  <c r="C78" i="18"/>
  <c r="A63" i="18"/>
  <c r="C51" i="5"/>
  <c r="B135" i="5"/>
  <c r="B63" i="5"/>
  <c r="B75" i="5"/>
  <c r="B15" i="5"/>
  <c r="B87" i="5"/>
  <c r="B27" i="5"/>
  <c r="C39" i="5"/>
  <c r="B111" i="5"/>
  <c r="B51" i="5"/>
  <c r="B147" i="5"/>
  <c r="B159" i="5"/>
  <c r="B171" i="5"/>
  <c r="B183" i="5"/>
  <c r="B99" i="5"/>
  <c r="B39" i="5"/>
  <c r="C27" i="5"/>
  <c r="B123" i="5"/>
  <c r="U5" i="5" a="1"/>
  <c r="U5" i="5" s="1"/>
  <c r="U7" i="5" a="1"/>
  <c r="U7" i="5" s="1"/>
  <c r="F35" i="10" s="1" a="1"/>
  <c r="F35" i="10" s="1"/>
  <c r="U3" i="5" a="1"/>
  <c r="U3" i="5" s="1"/>
  <c r="G26" i="10" s="1" a="1"/>
  <c r="G26" i="10" s="1"/>
  <c r="U4" i="5" a="1"/>
  <c r="U4" i="5" s="1"/>
  <c r="U6" i="5" a="1"/>
  <c r="U6" i="5" s="1"/>
  <c r="C15" i="5"/>
  <c r="J174" i="19" l="1"/>
  <c r="A193" i="19"/>
  <c r="D193" i="19" s="1"/>
  <c r="J204" i="19"/>
  <c r="A200" i="19"/>
  <c r="D200" i="19" s="1"/>
  <c r="J181" i="19"/>
  <c r="A202" i="19"/>
  <c r="D202" i="19" s="1"/>
  <c r="J183" i="19"/>
  <c r="A196" i="19"/>
  <c r="D196" i="19" s="1"/>
  <c r="J177" i="19"/>
  <c r="A203" i="19"/>
  <c r="D203" i="19" s="1"/>
  <c r="J184" i="19"/>
  <c r="A197" i="19"/>
  <c r="D197" i="19" s="1"/>
  <c r="J178" i="19"/>
  <c r="J182" i="19"/>
  <c r="A201" i="19"/>
  <c r="D201" i="19" s="1"/>
  <c r="J198" i="19"/>
  <c r="A192" i="19"/>
  <c r="D192" i="19" s="1"/>
  <c r="J173" i="19"/>
  <c r="A206" i="19"/>
  <c r="D206" i="19" s="1"/>
  <c r="J187" i="19"/>
  <c r="J176" i="19"/>
  <c r="A195" i="19"/>
  <c r="D195" i="19" s="1"/>
  <c r="A199" i="19"/>
  <c r="D199" i="19" s="1"/>
  <c r="J180" i="19"/>
  <c r="J205" i="19"/>
  <c r="J194" i="19"/>
  <c r="A207" i="19"/>
  <c r="D207" i="19" s="1"/>
  <c r="J188" i="19"/>
  <c r="C146" i="10" a="1"/>
  <c r="C146" i="10" s="1"/>
  <c r="H187" i="10" a="1"/>
  <c r="H187" i="10" s="1"/>
  <c r="C191" i="10" a="1"/>
  <c r="C191" i="10" s="1"/>
  <c r="H163" i="10" a="1"/>
  <c r="H163" i="10" s="1"/>
  <c r="H35" i="10" a="1"/>
  <c r="H35" i="10" s="1"/>
  <c r="G177" i="10" a="1"/>
  <c r="G177" i="10" s="1"/>
  <c r="H186" i="10" a="1"/>
  <c r="H186" i="10" s="1"/>
  <c r="F191" i="10" a="1"/>
  <c r="F191" i="10" s="1"/>
  <c r="E167" i="10" a="1"/>
  <c r="E167" i="10" s="1"/>
  <c r="G168" i="10" a="1"/>
  <c r="G168" i="10" s="1"/>
  <c r="D12" i="10" a="1"/>
  <c r="D12" i="10" s="1"/>
  <c r="F174" i="10" a="1"/>
  <c r="F174" i="10" s="1"/>
  <c r="G130" i="10" a="1"/>
  <c r="G130" i="10" s="1"/>
  <c r="D165" i="10" a="1"/>
  <c r="D165" i="10" s="1"/>
  <c r="G142" i="10" a="1"/>
  <c r="G142" i="10" s="1"/>
  <c r="G72" i="10" a="1"/>
  <c r="G72" i="10" s="1"/>
  <c r="C121" i="10" a="1"/>
  <c r="C121" i="10" s="1"/>
  <c r="D164" i="10" a="1"/>
  <c r="D164" i="10" s="1"/>
  <c r="E36" i="10" a="1"/>
  <c r="E36" i="10" s="1"/>
  <c r="C179" i="10" a="1"/>
  <c r="C179" i="10" s="1"/>
  <c r="E117" i="10" a="1"/>
  <c r="E117" i="10" s="1"/>
  <c r="D192" i="10" a="1"/>
  <c r="D192" i="10" s="1"/>
  <c r="E13" i="10" a="1"/>
  <c r="E13" i="10" s="1"/>
  <c r="H116" i="10" a="1"/>
  <c r="H116" i="10" s="1"/>
  <c r="E143" i="10" a="1"/>
  <c r="E143" i="10" s="1"/>
  <c r="C96" i="10" a="1"/>
  <c r="C96" i="10" s="1"/>
  <c r="F162" i="10" a="1"/>
  <c r="F162" i="10" s="1"/>
  <c r="F142" i="10" a="1"/>
  <c r="F142" i="10" s="1"/>
  <c r="D94" i="10" a="1"/>
  <c r="D94" i="10" s="1"/>
  <c r="D119" i="10" a="1"/>
  <c r="D119" i="10" s="1"/>
  <c r="H167" i="10" a="1"/>
  <c r="H167" i="10" s="1"/>
  <c r="H189" i="10" a="1"/>
  <c r="H189" i="10" s="1"/>
  <c r="C118" i="10" a="1"/>
  <c r="C118" i="10" s="1"/>
  <c r="H71" i="10" a="1"/>
  <c r="H71" i="10" s="1"/>
  <c r="D22" i="10" a="1"/>
  <c r="D22" i="10" s="1"/>
  <c r="G36" i="10" a="1"/>
  <c r="G36" i="10" s="1"/>
  <c r="G131" i="10" a="1"/>
  <c r="G131" i="10" s="1"/>
  <c r="G174" i="10" a="1"/>
  <c r="G174" i="10" s="1"/>
  <c r="E68" i="10" a="1"/>
  <c r="E68" i="10" s="1"/>
  <c r="C24" i="10" a="1"/>
  <c r="C24" i="10" s="1"/>
  <c r="G82" i="10" a="1"/>
  <c r="G82" i="10" s="1"/>
  <c r="C58" i="10" a="1"/>
  <c r="C58" i="10" s="1"/>
  <c r="G162" i="10" a="1"/>
  <c r="G162" i="10" s="1"/>
  <c r="G187" i="10" a="1"/>
  <c r="G187" i="10" s="1"/>
  <c r="D132" i="10" a="1"/>
  <c r="D132" i="10" s="1"/>
  <c r="F187" i="10" a="1"/>
  <c r="F187" i="10" s="1"/>
  <c r="D155" i="10" a="1"/>
  <c r="D155" i="10" s="1"/>
  <c r="G129" i="10" a="1"/>
  <c r="G129" i="10" s="1"/>
  <c r="C71" i="10" a="1"/>
  <c r="C71" i="10" s="1"/>
  <c r="G93" i="10" a="1"/>
  <c r="G93" i="10" s="1"/>
  <c r="G176" i="10" a="1"/>
  <c r="G176" i="10" s="1"/>
  <c r="E132" i="10" a="1"/>
  <c r="E132" i="10" s="1"/>
  <c r="G189" i="10" a="1"/>
  <c r="G189" i="10" s="1"/>
  <c r="F140" i="10" a="1"/>
  <c r="F140" i="10" s="1"/>
  <c r="H34" i="10" a="1"/>
  <c r="H34" i="10" s="1"/>
  <c r="E186" i="10" a="1"/>
  <c r="E186" i="10" s="1"/>
  <c r="D153" i="10" a="1"/>
  <c r="D153" i="10" s="1"/>
  <c r="D97" i="10" a="1"/>
  <c r="D97" i="10" s="1"/>
  <c r="H58" i="10" a="1"/>
  <c r="H58" i="10" s="1"/>
  <c r="F82" i="10" a="1"/>
  <c r="F82" i="10" s="1"/>
  <c r="F10" i="10" a="1"/>
  <c r="F10" i="10" s="1"/>
  <c r="D130" i="10" a="1"/>
  <c r="D130" i="10" s="1"/>
  <c r="F80" i="10" a="1"/>
  <c r="F80" i="10" s="1"/>
  <c r="D188" i="10" a="1"/>
  <c r="D188" i="10" s="1"/>
  <c r="H109" i="10" a="1"/>
  <c r="H109" i="10" s="1"/>
  <c r="C192" i="10" a="1"/>
  <c r="C192" i="10" s="1"/>
  <c r="G179" i="10" a="1"/>
  <c r="G179" i="10" s="1"/>
  <c r="G97" i="10" a="1"/>
  <c r="G97" i="10" s="1"/>
  <c r="D93" i="10" a="1"/>
  <c r="D93" i="10" s="1"/>
  <c r="G133" i="10" a="1"/>
  <c r="G133" i="10" s="1"/>
  <c r="D70" i="10" a="1"/>
  <c r="D70" i="10" s="1"/>
  <c r="G169" i="10" a="1"/>
  <c r="G169" i="10" s="1"/>
  <c r="D72" i="10" a="1"/>
  <c r="D72" i="10" s="1"/>
  <c r="C190" i="10" a="1"/>
  <c r="C190" i="10" s="1"/>
  <c r="F175" i="10" a="1"/>
  <c r="F175" i="10" s="1"/>
  <c r="C180" i="10" a="1"/>
  <c r="C180" i="10" s="1"/>
  <c r="C181" i="10" a="1"/>
  <c r="C181" i="10" s="1"/>
  <c r="H131" i="10" a="1"/>
  <c r="H131" i="10" s="1"/>
  <c r="H37" i="10" a="1"/>
  <c r="H37" i="10" s="1"/>
  <c r="F145" i="10" a="1"/>
  <c r="F145" i="10" s="1"/>
  <c r="E120" i="10" a="1"/>
  <c r="E120" i="10" s="1"/>
  <c r="E93" i="10" a="1"/>
  <c r="E93" i="10" s="1"/>
  <c r="C69" i="10" a="1"/>
  <c r="C69" i="10" s="1"/>
  <c r="D145" i="10" a="1"/>
  <c r="D145" i="10" s="1"/>
  <c r="F49" i="10" a="1"/>
  <c r="F49" i="10" s="1"/>
  <c r="H27" i="10" a="1"/>
  <c r="H27" i="10" s="1"/>
  <c r="H2" i="10" a="1"/>
  <c r="H2" i="10" s="1"/>
  <c r="G68" i="10" a="1"/>
  <c r="G68" i="10" s="1"/>
  <c r="E47" i="10" a="1"/>
  <c r="E47" i="10" s="1"/>
  <c r="C42" i="10" a="1"/>
  <c r="C42" i="10" s="1"/>
  <c r="G158" i="10" a="1"/>
  <c r="G158" i="10" s="1"/>
  <c r="H6" i="10" a="1"/>
  <c r="H6" i="10" s="1"/>
  <c r="G124" i="10" a="1"/>
  <c r="G124" i="10" s="1"/>
  <c r="G65" i="10" a="1"/>
  <c r="G65" i="10" s="1"/>
  <c r="C64" i="10" a="1"/>
  <c r="C64" i="10" s="1"/>
  <c r="H76" i="10" a="1"/>
  <c r="H76" i="10" s="1"/>
  <c r="D124" i="10" a="1"/>
  <c r="D124" i="10" s="1"/>
  <c r="F94" i="10" a="1"/>
  <c r="F94" i="10" s="1"/>
  <c r="C2" i="10" a="1"/>
  <c r="C2" i="10" s="1"/>
  <c r="E182" i="10" a="1"/>
  <c r="E182" i="10" s="1"/>
  <c r="H65" i="10" a="1"/>
  <c r="H65" i="10" s="1"/>
  <c r="C65" i="10" a="1"/>
  <c r="C65" i="10" s="1"/>
  <c r="G89" i="10" a="1"/>
  <c r="G89" i="10" s="1"/>
  <c r="G76" i="10" a="1"/>
  <c r="G76" i="10" s="1"/>
  <c r="F64" i="10" a="1"/>
  <c r="F64" i="10" s="1"/>
  <c r="C30" i="10" a="1"/>
  <c r="C30" i="10" s="1"/>
  <c r="D158" i="10" a="1"/>
  <c r="D158" i="10" s="1"/>
  <c r="C170" i="10" a="1"/>
  <c r="C170" i="10" s="1"/>
  <c r="F171" i="10" a="1"/>
  <c r="F171" i="10" s="1"/>
  <c r="F158" i="10" a="1"/>
  <c r="F158" i="10" s="1"/>
  <c r="C89" i="10" a="1"/>
  <c r="C89" i="10" s="1"/>
  <c r="C117" i="10" a="1"/>
  <c r="C117" i="10" s="1"/>
  <c r="F130" i="10" a="1"/>
  <c r="F130" i="10" s="1"/>
  <c r="C43" i="10" a="1"/>
  <c r="C43" i="10" s="1"/>
  <c r="F116" i="10" a="1"/>
  <c r="F116" i="10" s="1"/>
  <c r="D120" i="10" a="1"/>
  <c r="D120" i="10" s="1"/>
  <c r="H30" i="10" a="1"/>
  <c r="H30" i="10" s="1"/>
  <c r="E37" i="10" a="1"/>
  <c r="E37" i="10" s="1"/>
  <c r="E42" i="10" a="1"/>
  <c r="E42" i="10" s="1"/>
  <c r="D46" i="10" a="1"/>
  <c r="D46" i="10" s="1"/>
  <c r="C61" i="10" a="1"/>
  <c r="C61" i="10" s="1"/>
  <c r="H169" i="10" a="1"/>
  <c r="H169" i="10" s="1"/>
  <c r="H145" i="10" a="1"/>
  <c r="H145" i="10" s="1"/>
  <c r="E83" i="10" a="1"/>
  <c r="E83" i="10" s="1"/>
  <c r="D36" i="10" a="1"/>
  <c r="D36" i="10" s="1"/>
  <c r="H179" i="10" a="1"/>
  <c r="H179" i="10" s="1"/>
  <c r="D142" i="10" a="1"/>
  <c r="D142" i="10" s="1"/>
  <c r="F165" i="10" a="1"/>
  <c r="F165" i="10" s="1"/>
  <c r="F76" i="10" a="1"/>
  <c r="F76" i="10" s="1"/>
  <c r="F193" i="10" a="1"/>
  <c r="F193" i="10" s="1"/>
  <c r="D174" i="10" a="1"/>
  <c r="D174" i="10" s="1"/>
  <c r="G152" i="10" a="1"/>
  <c r="G152" i="10" s="1"/>
  <c r="C165" i="10" a="1"/>
  <c r="C165" i="10" s="1"/>
  <c r="E60" i="10" a="1"/>
  <c r="E60" i="10" s="1"/>
  <c r="F169" i="10" a="1"/>
  <c r="F169" i="10" s="1"/>
  <c r="E190" i="10" a="1"/>
  <c r="E190" i="10" s="1"/>
  <c r="D143" i="10" a="1"/>
  <c r="D143" i="10" s="1"/>
  <c r="H7" i="10" a="1"/>
  <c r="H7" i="10" s="1"/>
  <c r="F156" i="10" a="1"/>
  <c r="F156" i="10" s="1"/>
  <c r="F81" i="10" a="1"/>
  <c r="F81" i="10" s="1"/>
  <c r="C112" i="10" a="1"/>
  <c r="C112" i="10" s="1"/>
  <c r="H125" i="10" a="1"/>
  <c r="H125" i="10" s="1"/>
  <c r="G34" i="10" a="1"/>
  <c r="G34" i="10" s="1"/>
  <c r="F97" i="10" a="1"/>
  <c r="F97" i="10" s="1"/>
  <c r="H118" i="10" a="1"/>
  <c r="H118" i="10" s="1"/>
  <c r="F24" i="10" a="1"/>
  <c r="F24" i="10" s="1"/>
  <c r="E30" i="10" a="1"/>
  <c r="E30" i="10" s="1"/>
  <c r="D37" i="10" a="1"/>
  <c r="D37" i="10" s="1"/>
  <c r="H31" i="10" a="1"/>
  <c r="H31" i="10" s="1"/>
  <c r="E43" i="10" a="1"/>
  <c r="E43" i="10" s="1"/>
  <c r="H132" i="10" a="1"/>
  <c r="H132" i="10" s="1"/>
  <c r="H64" i="10" a="1"/>
  <c r="H64" i="10" s="1"/>
  <c r="H164" i="10" a="1"/>
  <c r="H164" i="10" s="1"/>
  <c r="D10" i="10" a="1"/>
  <c r="D10" i="10" s="1"/>
  <c r="F167" i="10" a="1"/>
  <c r="F167" i="10" s="1"/>
  <c r="F112" i="10" a="1"/>
  <c r="F112" i="10" s="1"/>
  <c r="G163" i="10" a="1"/>
  <c r="G163" i="10" s="1"/>
  <c r="C18" i="10" a="1"/>
  <c r="C18" i="10" s="1"/>
  <c r="G190" i="10" a="1"/>
  <c r="G190" i="10" s="1"/>
  <c r="E142" i="10" a="1"/>
  <c r="E142" i="10" s="1"/>
  <c r="H128" i="10" a="1"/>
  <c r="H128" i="10" s="1"/>
  <c r="F157" i="10" a="1"/>
  <c r="F157" i="10" s="1"/>
  <c r="D31" i="10" a="1"/>
  <c r="D31" i="10" s="1"/>
  <c r="E162" i="10" a="1"/>
  <c r="E162" i="10" s="1"/>
  <c r="C176" i="10" a="1"/>
  <c r="C176" i="10" s="1"/>
  <c r="F141" i="10" a="1"/>
  <c r="F141" i="10" s="1"/>
  <c r="G183" i="10" a="1"/>
  <c r="G183" i="10" s="1"/>
  <c r="C155" i="10" a="1"/>
  <c r="C155" i="10" s="1"/>
  <c r="C12" i="10" a="1"/>
  <c r="C12" i="10" s="1"/>
  <c r="F106" i="10" a="1"/>
  <c r="F106" i="10" s="1"/>
  <c r="F109" i="10" a="1"/>
  <c r="F109" i="10" s="1"/>
  <c r="H157" i="10" a="1"/>
  <c r="H157" i="10" s="1"/>
  <c r="H94" i="10" a="1"/>
  <c r="H94" i="10" s="1"/>
  <c r="D112" i="10" a="1"/>
  <c r="D112" i="10" s="1"/>
  <c r="D107" i="10" a="1"/>
  <c r="D107" i="10" s="1"/>
  <c r="F25" i="10" a="1"/>
  <c r="F25" i="10" s="1"/>
  <c r="H95" i="10" a="1"/>
  <c r="H95" i="10" s="1"/>
  <c r="F30" i="10" a="1"/>
  <c r="F30" i="10" s="1"/>
  <c r="D34" i="10" a="1"/>
  <c r="D34" i="10" s="1"/>
  <c r="C88" i="10" a="1"/>
  <c r="C88" i="10" s="1"/>
  <c r="E136" i="10" a="1"/>
  <c r="E136" i="10" s="1"/>
  <c r="F84" i="10" a="1"/>
  <c r="F84" i="10" s="1"/>
  <c r="F154" i="10" a="1"/>
  <c r="F154" i="10" s="1"/>
  <c r="G11" i="10" a="1"/>
  <c r="G11" i="10" s="1"/>
  <c r="F148" i="10" a="1"/>
  <c r="F148" i="10" s="1"/>
  <c r="H174" i="10" a="1"/>
  <c r="H174" i="10" s="1"/>
  <c r="C130" i="10" a="1"/>
  <c r="C130" i="10" s="1"/>
  <c r="G181" i="10" a="1"/>
  <c r="G181" i="10" s="1"/>
  <c r="F136" i="10" a="1"/>
  <c r="F136" i="10" s="1"/>
  <c r="D156" i="10" a="1"/>
  <c r="D156" i="10" s="1"/>
  <c r="F85" i="10" a="1"/>
  <c r="F85" i="10" s="1"/>
  <c r="C95" i="10" a="1"/>
  <c r="C95" i="10" s="1"/>
  <c r="E149" i="10" a="1"/>
  <c r="E149" i="10" s="1"/>
  <c r="G84" i="10" a="1"/>
  <c r="G84" i="10" s="1"/>
  <c r="E100" i="10" a="1"/>
  <c r="E100" i="10" s="1"/>
  <c r="C100" i="10" a="1"/>
  <c r="C100" i="10" s="1"/>
  <c r="G7" i="10" a="1"/>
  <c r="G7" i="10" s="1"/>
  <c r="H89" i="10" a="1"/>
  <c r="H89" i="10" s="1"/>
  <c r="F22" i="10" a="1"/>
  <c r="F22" i="10" s="1"/>
  <c r="E22" i="10" a="1"/>
  <c r="E22" i="10" s="1"/>
  <c r="E130" i="10" a="1"/>
  <c r="E130" i="10" s="1"/>
  <c r="H176" i="10" a="1"/>
  <c r="H176" i="10" s="1"/>
  <c r="E70" i="10" a="1"/>
  <c r="E70" i="10" s="1"/>
  <c r="H165" i="10" a="1"/>
  <c r="H165" i="10" s="1"/>
  <c r="C129" i="10" a="1"/>
  <c r="C129" i="10" s="1"/>
  <c r="D193" i="10" a="1"/>
  <c r="D193" i="10" s="1"/>
  <c r="H133" i="10" a="1"/>
  <c r="H133" i="10" s="1"/>
  <c r="D180" i="10" a="1"/>
  <c r="D180" i="10" s="1"/>
  <c r="H153" i="10" a="1"/>
  <c r="H153" i="10" s="1"/>
  <c r="G48" i="10" a="1"/>
  <c r="G48" i="10" s="1"/>
  <c r="C193" i="10" a="1"/>
  <c r="C193" i="10" s="1"/>
  <c r="F133" i="10" a="1"/>
  <c r="F133" i="10" s="1"/>
  <c r="G191" i="10" a="1"/>
  <c r="G191" i="10" s="1"/>
  <c r="F143" i="10" a="1"/>
  <c r="F143" i="10" s="1"/>
  <c r="E169" i="10" a="1"/>
  <c r="E169" i="10" s="1"/>
  <c r="E119" i="10" a="1"/>
  <c r="E119" i="10" s="1"/>
  <c r="F180" i="10" a="1"/>
  <c r="F180" i="10" s="1"/>
  <c r="D133" i="10" a="1"/>
  <c r="D133" i="10" s="1"/>
  <c r="G148" i="10" a="1"/>
  <c r="G148" i="10" s="1"/>
  <c r="F69" i="10" a="1"/>
  <c r="F69" i="10" s="1"/>
  <c r="G73" i="10" a="1"/>
  <c r="G73" i="10" s="1"/>
  <c r="H141" i="10" a="1"/>
  <c r="H141" i="10" s="1"/>
  <c r="C80" i="10" a="1"/>
  <c r="C80" i="10" s="1"/>
  <c r="E97" i="10" a="1"/>
  <c r="E97" i="10" s="1"/>
  <c r="E84" i="10" a="1"/>
  <c r="E84" i="10" s="1"/>
  <c r="H121" i="10" a="1"/>
  <c r="H121" i="10" s="1"/>
  <c r="E76" i="10" a="1"/>
  <c r="E76" i="10" s="1"/>
  <c r="E11" i="10" a="1"/>
  <c r="E11" i="10" s="1"/>
  <c r="D55" i="10" a="1"/>
  <c r="D55" i="10" s="1"/>
  <c r="G182" i="10" a="1"/>
  <c r="G182" i="10" s="1"/>
  <c r="F113" i="10" a="1"/>
  <c r="F113" i="10" s="1"/>
  <c r="G42" i="10" a="1"/>
  <c r="G42" i="10" s="1"/>
  <c r="C149" i="10" a="1"/>
  <c r="C149" i="10" s="1"/>
  <c r="G170" i="10" a="1"/>
  <c r="G170" i="10" s="1"/>
  <c r="F170" i="10" a="1"/>
  <c r="F170" i="10" s="1"/>
  <c r="C125" i="10" a="1"/>
  <c r="C125" i="10" s="1"/>
  <c r="H183" i="10" a="1"/>
  <c r="H183" i="10" s="1"/>
  <c r="E89" i="10" a="1"/>
  <c r="E89" i="10" s="1"/>
  <c r="F77" i="10" a="1"/>
  <c r="F77" i="10" s="1"/>
  <c r="D136" i="10" a="1"/>
  <c r="D136" i="10" s="1"/>
  <c r="G43" i="10" a="1"/>
  <c r="G43" i="10" s="1"/>
  <c r="F124" i="10" a="1"/>
  <c r="F124" i="10" s="1"/>
  <c r="G19" i="10" a="1"/>
  <c r="G19" i="10" s="1"/>
  <c r="H113" i="10" a="1"/>
  <c r="H113" i="10" s="1"/>
  <c r="D30" i="10" a="1"/>
  <c r="D30" i="10" s="1"/>
  <c r="E65" i="10" a="1"/>
  <c r="E65" i="10" s="1"/>
  <c r="G31" i="10" a="1"/>
  <c r="G31" i="10" s="1"/>
  <c r="C31" i="10" a="1"/>
  <c r="C31" i="10" s="1"/>
  <c r="D182" i="10" a="1"/>
  <c r="D182" i="10" s="1"/>
  <c r="D183" i="10" a="1"/>
  <c r="D183" i="10" s="1"/>
  <c r="F159" i="10" a="1"/>
  <c r="F159" i="10" s="1"/>
  <c r="C77" i="10" a="1"/>
  <c r="C77" i="10" s="1"/>
  <c r="C183" i="10" a="1"/>
  <c r="C183" i="10" s="1"/>
  <c r="H136" i="10" a="1"/>
  <c r="H136" i="10" s="1"/>
  <c r="C148" i="10" a="1"/>
  <c r="C148" i="10" s="1"/>
  <c r="H54" i="10" a="1"/>
  <c r="H54" i="10" s="1"/>
  <c r="E171" i="10" a="1"/>
  <c r="E171" i="10" s="1"/>
  <c r="G54" i="10" a="1"/>
  <c r="G54" i="10" s="1"/>
  <c r="F31" i="10" a="1"/>
  <c r="F31" i="10" s="1"/>
  <c r="E31" i="10" a="1"/>
  <c r="E31" i="10" s="1"/>
  <c r="D89" i="10" a="1"/>
  <c r="D89" i="10" s="1"/>
  <c r="D18" i="10" a="1"/>
  <c r="D18" i="10" s="1"/>
  <c r="D65" i="10" a="1"/>
  <c r="D65" i="10" s="1"/>
  <c r="C101" i="10" a="1"/>
  <c r="C101" i="10" s="1"/>
  <c r="D19" i="10" a="1"/>
  <c r="D19" i="10" s="1"/>
  <c r="E64" i="10" a="1"/>
  <c r="E64" i="10" s="1"/>
  <c r="E101" i="10" a="1"/>
  <c r="E101" i="10" s="1"/>
  <c r="E112" i="10" a="1"/>
  <c r="E112" i="10" s="1"/>
  <c r="G6" i="10" a="1"/>
  <c r="G6" i="10" s="1"/>
  <c r="F65" i="10" a="1"/>
  <c r="F65" i="10" s="1"/>
  <c r="C182" i="10" a="1"/>
  <c r="C182" i="10" s="1"/>
  <c r="F125" i="10" a="1"/>
  <c r="F125" i="10" s="1"/>
  <c r="F6" i="10" a="1"/>
  <c r="F6" i="10" s="1"/>
  <c r="D159" i="10" a="1"/>
  <c r="D159" i="10" s="1"/>
  <c r="H101" i="10" a="1"/>
  <c r="H101" i="10" s="1"/>
  <c r="C76" i="10" a="1"/>
  <c r="C76" i="10" s="1"/>
  <c r="E6" i="10" a="1"/>
  <c r="E6" i="10" s="1"/>
  <c r="C54" i="10" a="1"/>
  <c r="C54" i="10" s="1"/>
  <c r="F7" i="10" a="1"/>
  <c r="F7" i="10" s="1"/>
  <c r="F54" i="10" a="1"/>
  <c r="F54" i="10" s="1"/>
  <c r="H148" i="10" a="1"/>
  <c r="H148" i="10" s="1"/>
  <c r="G100" i="10" a="1"/>
  <c r="G100" i="10" s="1"/>
  <c r="F137" i="10" a="1"/>
  <c r="F137" i="10" s="1"/>
  <c r="D125" i="10" a="1"/>
  <c r="D125" i="10" s="1"/>
  <c r="D149" i="10" a="1"/>
  <c r="D149" i="10" s="1"/>
  <c r="G101" i="10" a="1"/>
  <c r="G101" i="10" s="1"/>
  <c r="E170" i="10" a="1"/>
  <c r="E170" i="10" s="1"/>
  <c r="G112" i="10" a="1"/>
  <c r="G112" i="10" s="1"/>
  <c r="G159" i="10" a="1"/>
  <c r="G159" i="10" s="1"/>
  <c r="G113" i="10" a="1"/>
  <c r="G113" i="10" s="1"/>
  <c r="C158" i="10" a="1"/>
  <c r="C158" i="10" s="1"/>
  <c r="H18" i="10" a="1"/>
  <c r="H18" i="10" s="1"/>
  <c r="G88" i="10" a="1"/>
  <c r="G88" i="10" s="1"/>
  <c r="F88" i="10" a="1"/>
  <c r="F88" i="10" s="1"/>
  <c r="H19" i="10" a="1"/>
  <c r="H19" i="10" s="1"/>
  <c r="H159" i="10" a="1"/>
  <c r="H159" i="10" s="1"/>
  <c r="G171" i="10" a="1"/>
  <c r="G171" i="10" s="1"/>
  <c r="C171" i="10" a="1"/>
  <c r="C171" i="10" s="1"/>
  <c r="E183" i="10" a="1"/>
  <c r="E183" i="10" s="1"/>
  <c r="F149" i="10" a="1"/>
  <c r="F149" i="10" s="1"/>
  <c r="F19" i="10" a="1"/>
  <c r="F19" i="10" s="1"/>
  <c r="F183" i="10" a="1"/>
  <c r="F183" i="10" s="1"/>
  <c r="C136" i="10" a="1"/>
  <c r="C136" i="10" s="1"/>
  <c r="H182" i="10" a="1"/>
  <c r="H182" i="10" s="1"/>
  <c r="H100" i="10" a="1"/>
  <c r="H100" i="10" s="1"/>
  <c r="C7" i="10" a="1"/>
  <c r="C7" i="10" s="1"/>
  <c r="E137" i="10" a="1"/>
  <c r="E137" i="10" s="1"/>
  <c r="D88" i="10" a="1"/>
  <c r="D88" i="10" s="1"/>
  <c r="E159" i="10" a="1"/>
  <c r="E159" i="10" s="1"/>
  <c r="E113" i="10" a="1"/>
  <c r="E113" i="10" s="1"/>
  <c r="D148" i="10" a="1"/>
  <c r="D148" i="10" s="1"/>
  <c r="D113" i="10" a="1"/>
  <c r="D113" i="10" s="1"/>
  <c r="F101" i="10" a="1"/>
  <c r="F101" i="10" s="1"/>
  <c r="D54" i="10" a="1"/>
  <c r="D54" i="10" s="1"/>
  <c r="C113" i="10" a="1"/>
  <c r="C113" i="10" s="1"/>
  <c r="E19" i="10" a="1"/>
  <c r="E19" i="10" s="1"/>
  <c r="H55" i="10" a="1"/>
  <c r="H55" i="10" s="1"/>
  <c r="G18" i="10" a="1"/>
  <c r="G18" i="10" s="1"/>
  <c r="D64" i="10" a="1"/>
  <c r="D64" i="10" s="1"/>
  <c r="D7" i="10" a="1"/>
  <c r="D7" i="10" s="1"/>
  <c r="H137" i="10" a="1"/>
  <c r="H137" i="10" s="1"/>
  <c r="C124" i="10" a="1"/>
  <c r="C124" i="10" s="1"/>
  <c r="G137" i="10" a="1"/>
  <c r="G137" i="10" s="1"/>
  <c r="C159" i="10" a="1"/>
  <c r="C159" i="10" s="1"/>
  <c r="D6" i="10" a="1"/>
  <c r="D6" i="10" s="1"/>
  <c r="F100" i="10" a="1"/>
  <c r="F100" i="10" s="1"/>
  <c r="H170" i="10" a="1"/>
  <c r="H170" i="10" s="1"/>
  <c r="H171" i="10" a="1"/>
  <c r="H171" i="10" s="1"/>
  <c r="H77" i="10" a="1"/>
  <c r="H77" i="10" s="1"/>
  <c r="H149" i="10" a="1"/>
  <c r="H149" i="10" s="1"/>
  <c r="E158" i="10" a="1"/>
  <c r="E158" i="10" s="1"/>
  <c r="H124" i="10" a="1"/>
  <c r="H124" i="10" s="1"/>
  <c r="D76" i="10" a="1"/>
  <c r="D76" i="10" s="1"/>
  <c r="E148" i="10" a="1"/>
  <c r="E148" i="10" s="1"/>
  <c r="D100" i="10" a="1"/>
  <c r="D100" i="10" s="1"/>
  <c r="C137" i="10" a="1"/>
  <c r="C137" i="10" s="1"/>
  <c r="H42" i="10" a="1"/>
  <c r="H42" i="10" s="1"/>
  <c r="D101" i="10" a="1"/>
  <c r="D101" i="10" s="1"/>
  <c r="F55" i="10" a="1"/>
  <c r="F55" i="10" s="1"/>
  <c r="E55" i="10" a="1"/>
  <c r="E55" i="10" s="1"/>
  <c r="E77" i="10" a="1"/>
  <c r="E77" i="10" s="1"/>
  <c r="E7" i="10" a="1"/>
  <c r="E7" i="10" s="1"/>
  <c r="E54" i="10" a="1"/>
  <c r="E54" i="10" s="1"/>
  <c r="E88" i="10" a="1"/>
  <c r="E88" i="10" s="1"/>
  <c r="D171" i="10" a="1"/>
  <c r="D171" i="10" s="1"/>
  <c r="F182" i="10" a="1"/>
  <c r="F182" i="10" s="1"/>
  <c r="E18" i="10" a="1"/>
  <c r="E18" i="10" s="1"/>
  <c r="D43" i="10" a="1"/>
  <c r="D43" i="10" s="1"/>
  <c r="D137" i="10" a="1"/>
  <c r="D137" i="10" s="1"/>
  <c r="G30" i="10" a="1"/>
  <c r="G30" i="10" s="1"/>
  <c r="H43" i="10" a="1"/>
  <c r="H43" i="10" s="1"/>
  <c r="E125" i="10" a="1"/>
  <c r="E125" i="10" s="1"/>
  <c r="H158" i="10" a="1"/>
  <c r="H158" i="10" s="1"/>
  <c r="C55" i="10" a="1"/>
  <c r="C55" i="10" s="1"/>
  <c r="G136" i="10" a="1"/>
  <c r="G136" i="10" s="1"/>
  <c r="D170" i="10" a="1"/>
  <c r="D170" i="10" s="1"/>
  <c r="G149" i="10" a="1"/>
  <c r="G149" i="10" s="1"/>
  <c r="G64" i="10" a="1"/>
  <c r="G64" i="10" s="1"/>
  <c r="G77" i="10" a="1"/>
  <c r="G77" i="10" s="1"/>
  <c r="C19" i="10" a="1"/>
  <c r="C19" i="10" s="1"/>
  <c r="G125" i="10" a="1"/>
  <c r="G125" i="10" s="1"/>
  <c r="F89" i="10" a="1"/>
  <c r="F89" i="10" s="1"/>
  <c r="E124" i="10" a="1"/>
  <c r="E124" i="10" s="1"/>
  <c r="D77" i="10" a="1"/>
  <c r="D77" i="10" s="1"/>
  <c r="H88" i="10" a="1"/>
  <c r="H88" i="10" s="1"/>
  <c r="F42" i="10" a="1"/>
  <c r="F42" i="10" s="1"/>
  <c r="H112" i="10" a="1"/>
  <c r="H112" i="10" s="1"/>
  <c r="D42" i="10" a="1"/>
  <c r="D42" i="10" s="1"/>
  <c r="A11" i="18"/>
  <c r="A20" i="18"/>
  <c r="C91" i="18"/>
  <c r="C100" i="18"/>
  <c r="A29" i="18"/>
  <c r="C105" i="18"/>
  <c r="C72" i="18"/>
  <c r="C93" i="18"/>
  <c r="A73" i="18"/>
  <c r="C76" i="18"/>
  <c r="A38" i="18"/>
  <c r="A82" i="18"/>
  <c r="C77" i="18"/>
  <c r="A47" i="18"/>
  <c r="C84" i="18"/>
  <c r="A74" i="18"/>
  <c r="C79" i="18"/>
  <c r="C88" i="18"/>
  <c r="A56" i="18"/>
  <c r="A65" i="18"/>
  <c r="C16" i="5"/>
  <c r="B100" i="5"/>
  <c r="B148" i="5"/>
  <c r="B76" i="5"/>
  <c r="B124" i="5"/>
  <c r="B184" i="5"/>
  <c r="B52" i="5"/>
  <c r="B28" i="5"/>
  <c r="B64" i="5"/>
  <c r="C28" i="5"/>
  <c r="B112" i="5"/>
  <c r="B136" i="5"/>
  <c r="B172" i="5"/>
  <c r="B88" i="5"/>
  <c r="B40" i="5"/>
  <c r="B160" i="5"/>
  <c r="C40" i="5"/>
  <c r="B16" i="5"/>
  <c r="C52" i="5"/>
  <c r="F43" i="10" a="1"/>
  <c r="F43" i="10" s="1"/>
  <c r="C6" i="10" a="1"/>
  <c r="C6" i="10" s="1"/>
  <c r="G55" i="10" a="1"/>
  <c r="G55" i="10" s="1"/>
  <c r="F18" i="10" a="1"/>
  <c r="F18" i="10" s="1"/>
  <c r="E135" i="10" a="1"/>
  <c r="E135" i="10" s="1"/>
  <c r="D83" i="10" a="1"/>
  <c r="D83" i="10" s="1"/>
  <c r="F11" i="10" a="1"/>
  <c r="F11" i="10" s="1"/>
  <c r="E24" i="10" a="1"/>
  <c r="E24" i="10" s="1"/>
  <c r="D68" i="10" a="1"/>
  <c r="D68" i="10" s="1"/>
  <c r="D85" i="10" a="1"/>
  <c r="D85" i="10" s="1"/>
  <c r="C37" i="10" a="1"/>
  <c r="C37" i="10" s="1"/>
  <c r="F132" i="10" a="1"/>
  <c r="F132" i="10" s="1"/>
  <c r="C168" i="10" a="1"/>
  <c r="C168" i="10" s="1"/>
  <c r="E23" i="10" a="1"/>
  <c r="E23" i="10" s="1"/>
  <c r="E69" i="10" a="1"/>
  <c r="E69" i="10" s="1"/>
  <c r="G186" i="10" a="1"/>
  <c r="G186" i="10" s="1"/>
  <c r="F176" i="10" a="1"/>
  <c r="F176" i="10" s="1"/>
  <c r="C23" i="10" a="1"/>
  <c r="C23" i="10" s="1"/>
  <c r="G188" i="10" a="1"/>
  <c r="G188" i="10" s="1"/>
  <c r="E177" i="10" a="1"/>
  <c r="E177" i="10" s="1"/>
  <c r="H106" i="10" a="1"/>
  <c r="H106" i="10" s="1"/>
  <c r="E178" i="10" a="1"/>
  <c r="E178" i="10" s="1"/>
  <c r="D128" i="10" a="1"/>
  <c r="D128" i="10" s="1"/>
  <c r="H181" i="10" a="1"/>
  <c r="H181" i="10" s="1"/>
  <c r="C86" i="10" a="1"/>
  <c r="C86" i="10" s="1"/>
  <c r="D58" i="10" a="1"/>
  <c r="D58" i="10" s="1"/>
  <c r="C132" i="10" a="1"/>
  <c r="C132" i="10" s="1"/>
  <c r="C60" i="10" a="1"/>
  <c r="C60" i="10" s="1"/>
  <c r="D48" i="10" a="1"/>
  <c r="D48" i="10" s="1"/>
  <c r="G132" i="10" a="1"/>
  <c r="G132" i="10" s="1"/>
  <c r="H70" i="10" a="1"/>
  <c r="H70" i="10" s="1"/>
  <c r="E105" i="10" a="1"/>
  <c r="E105" i="10" s="1"/>
  <c r="D80" i="10" a="1"/>
  <c r="D80" i="10" s="1"/>
  <c r="G96" i="10" a="1"/>
  <c r="G96" i="10" s="1"/>
  <c r="C84" i="10" a="1"/>
  <c r="C84" i="10" s="1"/>
  <c r="H82" i="10" a="1"/>
  <c r="H82" i="10" s="1"/>
  <c r="D157" i="10" a="1"/>
  <c r="D157" i="10" s="1"/>
  <c r="F189" i="10" a="1"/>
  <c r="F189" i="10" s="1"/>
  <c r="G166" i="10" a="1"/>
  <c r="G166" i="10" s="1"/>
  <c r="H143" i="10" a="1"/>
  <c r="H143" i="10" s="1"/>
  <c r="H140" i="10" a="1"/>
  <c r="H140" i="10" s="1"/>
  <c r="E10" i="10" a="1"/>
  <c r="E10" i="10" s="1"/>
  <c r="E94" i="10" a="1"/>
  <c r="E94" i="10" s="1"/>
  <c r="H177" i="10" a="1"/>
  <c r="H177" i="10" s="1"/>
  <c r="E145" i="10" a="1"/>
  <c r="E145" i="10" s="1"/>
  <c r="F177" i="10" a="1"/>
  <c r="F177" i="10" s="1"/>
  <c r="E96" i="10" a="1"/>
  <c r="E96" i="10" s="1"/>
  <c r="E95" i="10" a="1"/>
  <c r="E95" i="10" s="1"/>
  <c r="G167" i="10" a="1"/>
  <c r="G167" i="10" s="1"/>
  <c r="F164" i="10" a="1"/>
  <c r="F164" i="10" s="1"/>
  <c r="C187" i="10" a="1"/>
  <c r="C187" i="10" s="1"/>
  <c r="H117" i="10" a="1"/>
  <c r="H117" i="10" s="1"/>
  <c r="H168" i="10" a="1"/>
  <c r="H168" i="10" s="1"/>
  <c r="E61" i="10" a="1"/>
  <c r="E61" i="10" s="1"/>
  <c r="E175" i="10" a="1"/>
  <c r="E175" i="10" s="1"/>
  <c r="E189" i="10" a="1"/>
  <c r="E189" i="10" s="1"/>
  <c r="D177" i="10" a="1"/>
  <c r="D177" i="10" s="1"/>
  <c r="E155" i="10" a="1"/>
  <c r="E155" i="10" s="1"/>
  <c r="H107" i="10" a="1"/>
  <c r="H107" i="10" s="1"/>
  <c r="C13" i="10" a="1"/>
  <c r="C13" i="10" s="1"/>
  <c r="G180" i="10" a="1"/>
  <c r="G180" i="10" s="1"/>
  <c r="D162" i="10" a="1"/>
  <c r="D162" i="10" s="1"/>
  <c r="E133" i="10" a="1"/>
  <c r="E133" i="10" s="1"/>
  <c r="E187" i="10" a="1"/>
  <c r="E187" i="10" s="1"/>
  <c r="D169" i="10" a="1"/>
  <c r="D169" i="10" s="1"/>
  <c r="H142" i="10" a="1"/>
  <c r="H142" i="10" s="1"/>
  <c r="H129" i="10" a="1"/>
  <c r="H129" i="10" s="1"/>
  <c r="C93" i="10" a="1"/>
  <c r="C93" i="10" s="1"/>
  <c r="H48" i="10" a="1"/>
  <c r="H48" i="10" s="1"/>
  <c r="H154" i="10" a="1"/>
  <c r="H154" i="10" s="1"/>
  <c r="E80" i="10" a="1"/>
  <c r="E80" i="10" s="1"/>
  <c r="F153" i="10" a="1"/>
  <c r="F153" i="10" s="1"/>
  <c r="F131" i="10" a="1"/>
  <c r="F131" i="10" s="1"/>
  <c r="H105" i="10" a="1"/>
  <c r="H105" i="10" s="1"/>
  <c r="F68" i="10" a="1"/>
  <c r="F68" i="10" s="1"/>
  <c r="F13" i="10" a="1"/>
  <c r="F13" i="10" s="1"/>
  <c r="D104" i="10" a="1"/>
  <c r="D104" i="10" s="1"/>
  <c r="G37" i="10" a="1"/>
  <c r="G37" i="10" s="1"/>
  <c r="F118" i="10" a="1"/>
  <c r="F118" i="10" s="1"/>
  <c r="C92" i="10" a="1"/>
  <c r="C92" i="10" s="1"/>
  <c r="H12" i="10" a="1"/>
  <c r="H12" i="10" s="1"/>
  <c r="C107" i="10" a="1"/>
  <c r="C107" i="10" s="1"/>
  <c r="C59" i="10" a="1"/>
  <c r="C59" i="10" s="1"/>
  <c r="G80" i="10" a="1"/>
  <c r="G80" i="10" s="1"/>
  <c r="G13" i="10" a="1"/>
  <c r="G13" i="10" s="1"/>
  <c r="C33" i="10" a="1"/>
  <c r="C33" i="10" s="1"/>
  <c r="F91" i="10" a="1"/>
  <c r="F91" i="10" s="1"/>
  <c r="H40" i="10" a="1"/>
  <c r="H40" i="10" s="1"/>
  <c r="H52" i="10" a="1"/>
  <c r="H52" i="10" s="1"/>
  <c r="F146" i="10" a="1"/>
  <c r="F146" i="10" s="1"/>
  <c r="G109" i="10" a="1"/>
  <c r="G109" i="10" s="1"/>
  <c r="C48" i="10" a="1"/>
  <c r="C48" i="10" s="1"/>
  <c r="E25" i="10" a="1"/>
  <c r="E25" i="10" s="1"/>
  <c r="D61" i="10" a="1"/>
  <c r="D61" i="10" s="1"/>
  <c r="H83" i="10" a="1"/>
  <c r="H83" i="10" s="1"/>
  <c r="F192" i="10" a="1"/>
  <c r="F192" i="10" s="1"/>
  <c r="C188" i="10" a="1"/>
  <c r="C188" i="10" s="1"/>
  <c r="F163" i="10" a="1"/>
  <c r="F163" i="10" s="1"/>
  <c r="E157" i="10" a="1"/>
  <c r="E157" i="10" s="1"/>
  <c r="E129" i="10" a="1"/>
  <c r="E129" i="10" s="1"/>
  <c r="C131" i="10" a="1"/>
  <c r="C131" i="10" s="1"/>
  <c r="E152" i="10" a="1"/>
  <c r="E152" i="10" s="1"/>
  <c r="C73" i="10" a="1"/>
  <c r="C73" i="10" s="1"/>
  <c r="D152" i="10" a="1"/>
  <c r="D152" i="10" s="1"/>
  <c r="F190" i="10" a="1"/>
  <c r="F190" i="10" s="1"/>
  <c r="C157" i="10" a="1"/>
  <c r="C157" i="10" s="1"/>
  <c r="C47" i="10" a="1"/>
  <c r="C47" i="10" s="1"/>
  <c r="E165" i="10" a="1"/>
  <c r="E165" i="10" s="1"/>
  <c r="D190" i="10" a="1"/>
  <c r="D190" i="10" s="1"/>
  <c r="C119" i="10" a="1"/>
  <c r="C119" i="10" s="1"/>
  <c r="C154" i="10" a="1"/>
  <c r="C154" i="10" s="1"/>
  <c r="G104" i="10" a="1"/>
  <c r="G104" i="10" s="1"/>
  <c r="E82" i="10" a="1"/>
  <c r="E82" i="10" s="1"/>
  <c r="G155" i="10" a="1"/>
  <c r="G155" i="10" s="1"/>
  <c r="F107" i="10" a="1"/>
  <c r="F107" i="10" s="1"/>
  <c r="D59" i="10" a="1"/>
  <c r="D59" i="10" s="1"/>
  <c r="C108" i="10" a="1"/>
  <c r="C108" i="10" s="1"/>
  <c r="D24" i="10" a="1"/>
  <c r="D24" i="10" s="1"/>
  <c r="G35" i="10" a="1"/>
  <c r="G35" i="10" s="1"/>
  <c r="E106" i="10" a="1"/>
  <c r="E106" i="10" s="1"/>
  <c r="D175" i="10" a="1"/>
  <c r="D175" i="10" s="1"/>
  <c r="H23" i="10" a="1"/>
  <c r="H23" i="10" s="1"/>
  <c r="G120" i="10" a="1"/>
  <c r="G120" i="10" s="1"/>
  <c r="F178" i="10" a="1"/>
  <c r="F178" i="10" s="1"/>
  <c r="D81" i="10" a="1"/>
  <c r="D81" i="10" s="1"/>
  <c r="E174" i="10" a="1"/>
  <c r="E174" i="10" s="1"/>
  <c r="C174" i="10" a="1"/>
  <c r="C174" i="10" s="1"/>
  <c r="D179" i="10" a="1"/>
  <c r="D179" i="10" s="1"/>
  <c r="E144" i="10" a="1"/>
  <c r="E144" i="10" s="1"/>
  <c r="G83" i="10" a="1"/>
  <c r="G83" i="10" s="1"/>
  <c r="G164" i="10" a="1"/>
  <c r="G164" i="10" s="1"/>
  <c r="F181" i="10" a="1"/>
  <c r="F181" i="10" s="1"/>
  <c r="G108" i="10" a="1"/>
  <c r="G108" i="10" s="1"/>
  <c r="G165" i="10" a="1"/>
  <c r="G165" i="10" s="1"/>
  <c r="H47" i="10" a="1"/>
  <c r="H47" i="10" s="1"/>
  <c r="F72" i="10" a="1"/>
  <c r="F72" i="10" s="1"/>
  <c r="F188" i="10" a="1"/>
  <c r="F188" i="10" s="1"/>
  <c r="C175" i="10" a="1"/>
  <c r="C175" i="10" s="1"/>
  <c r="E153" i="10" a="1"/>
  <c r="E153" i="10" s="1"/>
  <c r="D105" i="10" a="1"/>
  <c r="D105" i="10" s="1"/>
  <c r="G192" i="10" a="1"/>
  <c r="G192" i="10" s="1"/>
  <c r="F179" i="10" a="1"/>
  <c r="F179" i="10" s="1"/>
  <c r="E131" i="10" a="1"/>
  <c r="E131" i="10" s="1"/>
  <c r="E59" i="10" a="1"/>
  <c r="E59" i="10" s="1"/>
  <c r="D168" i="10" a="1"/>
  <c r="D168" i="10" s="1"/>
  <c r="E141" i="10" a="1"/>
  <c r="E141" i="10" s="1"/>
  <c r="E46" i="10" a="1"/>
  <c r="E46" i="10" s="1"/>
  <c r="G46" i="10" a="1"/>
  <c r="G46" i="10" s="1"/>
  <c r="G153" i="10" a="1"/>
  <c r="G153" i="10" s="1"/>
  <c r="F120" i="10" a="1"/>
  <c r="F120" i="10" s="1"/>
  <c r="F37" i="10" a="1"/>
  <c r="F37" i="10" s="1"/>
  <c r="F61" i="10" a="1"/>
  <c r="F61" i="10" s="1"/>
  <c r="C36" i="10" a="1"/>
  <c r="C36" i="10" s="1"/>
  <c r="C116" i="10" a="1"/>
  <c r="C116" i="10" s="1"/>
  <c r="C11" i="10" a="1"/>
  <c r="C11" i="10" s="1"/>
  <c r="H10" i="10" a="1"/>
  <c r="H10" i="10" s="1"/>
  <c r="H49" i="10" a="1"/>
  <c r="H49" i="10" s="1"/>
  <c r="H96" i="10" a="1"/>
  <c r="H96" i="10" s="1"/>
  <c r="D71" i="10" a="1"/>
  <c r="D71" i="10" s="1"/>
  <c r="D38" i="10" a="1"/>
  <c r="D38" i="10" s="1"/>
  <c r="E38" i="10" a="1"/>
  <c r="E38" i="10" s="1"/>
  <c r="H36" i="10" a="1"/>
  <c r="H36" i="10" s="1"/>
  <c r="E58" i="10" a="1"/>
  <c r="E58" i="10" s="1"/>
  <c r="H81" i="10" a="1"/>
  <c r="H81" i="10" s="1"/>
  <c r="G95" i="10" a="1"/>
  <c r="G95" i="10" s="1"/>
  <c r="H13" i="10" a="1"/>
  <c r="H13" i="10" s="1"/>
  <c r="E34" i="10" a="1"/>
  <c r="E34" i="10" s="1"/>
  <c r="F48" i="10" a="1"/>
  <c r="F48" i="10" s="1"/>
  <c r="H80" i="10" a="1"/>
  <c r="H80" i="10" s="1"/>
  <c r="C97" i="10" a="1"/>
  <c r="C97" i="10" s="1"/>
  <c r="G60" i="10" a="1"/>
  <c r="G60" i="10" s="1"/>
  <c r="G85" i="10" a="1"/>
  <c r="G85" i="10" s="1"/>
  <c r="D109" i="10" a="1"/>
  <c r="D109" i="10" s="1"/>
  <c r="E35" i="10" a="1"/>
  <c r="E35" i="10" s="1"/>
  <c r="H60" i="10" a="1"/>
  <c r="H60" i="10" s="1"/>
  <c r="H85" i="10" a="1"/>
  <c r="H85" i="10" s="1"/>
  <c r="C105" i="10" a="1"/>
  <c r="C105" i="10" s="1"/>
  <c r="H119" i="10" a="1"/>
  <c r="H119" i="10" s="1"/>
  <c r="C34" i="10" a="1"/>
  <c r="C34" i="10" s="1"/>
  <c r="F59" i="10" a="1"/>
  <c r="F59" i="10" s="1"/>
  <c r="G81" i="10" a="1"/>
  <c r="G81" i="10" s="1"/>
  <c r="F117" i="10" a="1"/>
  <c r="F117" i="10" s="1"/>
  <c r="F73" i="10" a="1"/>
  <c r="F73" i="10" s="1"/>
  <c r="C104" i="10" a="1"/>
  <c r="C104" i="10" s="1"/>
  <c r="G121" i="10" a="1"/>
  <c r="G121" i="10" s="1"/>
  <c r="G154" i="10" a="1"/>
  <c r="G154" i="10" s="1"/>
  <c r="G107" i="10" a="1"/>
  <c r="G107" i="10" s="1"/>
  <c r="F128" i="10" a="1"/>
  <c r="F128" i="10" s="1"/>
  <c r="F152" i="10" a="1"/>
  <c r="F152" i="10" s="1"/>
  <c r="H11" i="10" a="1"/>
  <c r="H11" i="10" s="1"/>
  <c r="H97" i="10" a="1"/>
  <c r="H97" i="10" s="1"/>
  <c r="G128" i="10" a="1"/>
  <c r="G128" i="10" s="1"/>
  <c r="F144" i="10" a="1"/>
  <c r="F144" i="10" s="1"/>
  <c r="G70" i="10" a="1"/>
  <c r="G70" i="10" s="1"/>
  <c r="F104" i="10" a="1"/>
  <c r="F104" i="10" s="1"/>
  <c r="C163" i="10" a="1"/>
  <c r="C163" i="10" s="1"/>
  <c r="C186" i="10" a="1"/>
  <c r="C186" i="10" s="1"/>
  <c r="H46" i="10" a="1"/>
  <c r="H46" i="10" s="1"/>
  <c r="H104" i="10" a="1"/>
  <c r="H104" i="10" s="1"/>
  <c r="G156" i="10" a="1"/>
  <c r="G156" i="10" s="1"/>
  <c r="G193" i="10" a="1"/>
  <c r="G193" i="10" s="1"/>
  <c r="D140" i="10" a="1"/>
  <c r="D140" i="10" s="1"/>
  <c r="G24" i="10" a="1"/>
  <c r="G24" i="10" s="1"/>
  <c r="C46" i="10" a="1"/>
  <c r="C46" i="10" s="1"/>
  <c r="C85" i="10" a="1"/>
  <c r="C85" i="10" s="1"/>
  <c r="G23" i="10" a="1"/>
  <c r="G23" i="10" s="1"/>
  <c r="E71" i="10" a="1"/>
  <c r="E71" i="10" s="1"/>
  <c r="G12" i="10" a="1"/>
  <c r="G12" i="10" s="1"/>
  <c r="H69" i="10" a="1"/>
  <c r="H69" i="10" s="1"/>
  <c r="F96" i="10" a="1"/>
  <c r="F96" i="10" s="1"/>
  <c r="D117" i="10" a="1"/>
  <c r="D117" i="10" s="1"/>
  <c r="G47" i="10" a="1"/>
  <c r="G47" i="10" s="1"/>
  <c r="G71" i="10" a="1"/>
  <c r="G71" i="10" s="1"/>
  <c r="H93" i="10" a="1"/>
  <c r="H93" i="10" s="1"/>
  <c r="D108" i="10" a="1"/>
  <c r="D108" i="10" s="1"/>
  <c r="D13" i="10" a="1"/>
  <c r="D13" i="10" s="1"/>
  <c r="F70" i="10" a="1"/>
  <c r="F70" i="10" s="1"/>
  <c r="F92" i="10" a="1"/>
  <c r="F92" i="10" s="1"/>
  <c r="E107" i="10" a="1"/>
  <c r="E107" i="10" s="1"/>
  <c r="C109" i="10" a="1"/>
  <c r="C109" i="10" s="1"/>
  <c r="E128" i="10" a="1"/>
  <c r="E128" i="10" s="1"/>
  <c r="C143" i="10" a="1"/>
  <c r="C143" i="10" s="1"/>
  <c r="G61" i="10" a="1"/>
  <c r="G61" i="10" s="1"/>
  <c r="H84" i="10" a="1"/>
  <c r="H84" i="10" s="1"/>
  <c r="G116" i="10" a="1"/>
  <c r="G116" i="10" s="1"/>
  <c r="C141" i="10" a="1"/>
  <c r="C141" i="10" s="1"/>
  <c r="H155" i="10" a="1"/>
  <c r="H155" i="10" s="1"/>
  <c r="C35" i="10" a="1"/>
  <c r="C35" i="10" s="1"/>
  <c r="C133" i="10" a="1"/>
  <c r="C133" i="10" s="1"/>
  <c r="C25" i="10" a="1"/>
  <c r="C25" i="10" s="1"/>
  <c r="E85" i="10" a="1"/>
  <c r="E85" i="10" s="1"/>
  <c r="E121" i="10" a="1"/>
  <c r="E121" i="10" s="1"/>
  <c r="D166" i="10" a="1"/>
  <c r="D166" i="10" s="1"/>
  <c r="C178" i="10" a="1"/>
  <c r="C178" i="10" s="1"/>
  <c r="E191" i="10" a="1"/>
  <c r="E191" i="10" s="1"/>
  <c r="F121" i="10" a="1"/>
  <c r="F121" i="10" s="1"/>
  <c r="H144" i="10" a="1"/>
  <c r="H144" i="10" s="1"/>
  <c r="D163" i="10" a="1"/>
  <c r="D163" i="10" s="1"/>
  <c r="C177" i="10" a="1"/>
  <c r="C177" i="10" s="1"/>
  <c r="E188" i="10" a="1"/>
  <c r="E188" i="10" s="1"/>
  <c r="D116" i="10" a="1"/>
  <c r="D116" i="10" s="1"/>
  <c r="E166" i="10" a="1"/>
  <c r="E166" i="10" s="1"/>
  <c r="H192" i="10" a="1"/>
  <c r="H192" i="10" s="1"/>
  <c r="F83" i="10" a="1"/>
  <c r="F83" i="10" s="1"/>
  <c r="F168" i="10" a="1"/>
  <c r="F168" i="10" s="1"/>
  <c r="F186" i="10" a="1"/>
  <c r="F186" i="10" s="1"/>
  <c r="F108" i="10" a="1"/>
  <c r="F108" i="10" s="1"/>
  <c r="G175" i="10" a="1"/>
  <c r="G175" i="10" s="1"/>
  <c r="H61" i="10" a="1"/>
  <c r="H61" i="10" s="1"/>
  <c r="C164" i="10" a="1"/>
  <c r="C164" i="10" s="1"/>
  <c r="E49" i="10" a="1"/>
  <c r="E49" i="10" s="1"/>
  <c r="G145" i="10" a="1"/>
  <c r="G145" i="10" s="1"/>
  <c r="D121" i="10" a="1"/>
  <c r="D121" i="10" s="1"/>
  <c r="G157" i="10" a="1"/>
  <c r="G157" i="10" s="1"/>
  <c r="D181" i="10" a="1"/>
  <c r="D181" i="10" s="1"/>
  <c r="C167" i="10" a="1"/>
  <c r="C167" i="10" s="1"/>
  <c r="H92" i="10" a="1"/>
  <c r="H92" i="10" s="1"/>
  <c r="D11" i="10" a="1"/>
  <c r="D11" i="10" s="1"/>
  <c r="G25" i="10" a="1"/>
  <c r="G25" i="10" s="1"/>
  <c r="E48" i="10" a="1"/>
  <c r="E48" i="10" s="1"/>
  <c r="H68" i="10" a="1"/>
  <c r="H68" i="10" s="1"/>
  <c r="H24" i="10" a="1"/>
  <c r="H24" i="10" s="1"/>
  <c r="F58" i="10" a="1"/>
  <c r="F58" i="10" s="1"/>
  <c r="E72" i="10" a="1"/>
  <c r="E72" i="10" s="1"/>
  <c r="D92" i="10" a="1"/>
  <c r="D92" i="10" s="1"/>
  <c r="F47" i="10" a="1"/>
  <c r="F47" i="10" s="1"/>
  <c r="F71" i="10" a="1"/>
  <c r="F71" i="10" s="1"/>
  <c r="E118" i="10" a="1"/>
  <c r="E118" i="10" s="1"/>
  <c r="H22" i="10" a="1"/>
  <c r="H22" i="10" s="1"/>
  <c r="D49" i="10" a="1"/>
  <c r="D49" i="10" s="1"/>
  <c r="H72" i="10" a="1"/>
  <c r="H72" i="10" s="1"/>
  <c r="D95" i="10" a="1"/>
  <c r="D95" i="10" s="1"/>
  <c r="E109" i="10" a="1"/>
  <c r="E109" i="10" s="1"/>
  <c r="F46" i="10" a="1"/>
  <c r="F46" i="10" s="1"/>
  <c r="D73" i="10" a="1"/>
  <c r="D73" i="10" s="1"/>
  <c r="C94" i="10" a="1"/>
  <c r="C94" i="10" s="1"/>
  <c r="E108" i="10" a="1"/>
  <c r="E108" i="10" s="1"/>
  <c r="G10" i="10" a="1"/>
  <c r="G10" i="10" s="1"/>
  <c r="G58" i="10" a="1"/>
  <c r="G58" i="10" s="1"/>
  <c r="E92" i="10" a="1"/>
  <c r="E92" i="10" s="1"/>
  <c r="F129" i="10" a="1"/>
  <c r="F129" i="10" s="1"/>
  <c r="C145" i="10" a="1"/>
  <c r="C145" i="10" s="1"/>
  <c r="G92" i="10" a="1"/>
  <c r="G92" i="10" s="1"/>
  <c r="G118" i="10" a="1"/>
  <c r="G118" i="10" s="1"/>
  <c r="C142" i="10" a="1"/>
  <c r="C142" i="10" s="1"/>
  <c r="H156" i="10" a="1"/>
  <c r="H156" i="10" s="1"/>
  <c r="C81" i="10" a="1"/>
  <c r="C81" i="10" s="1"/>
  <c r="H152" i="10" a="1"/>
  <c r="H152" i="10" s="1"/>
  <c r="F36" i="10" a="1"/>
  <c r="F36" i="10" s="1"/>
  <c r="C153" i="10" a="1"/>
  <c r="C153" i="10" s="1"/>
  <c r="D167" i="10" a="1"/>
  <c r="D167" i="10" s="1"/>
  <c r="E179" i="10" a="1"/>
  <c r="E179" i="10" s="1"/>
  <c r="C82" i="10" a="1"/>
  <c r="C82" i="10" s="1"/>
  <c r="C128" i="10" a="1"/>
  <c r="C128" i="10" s="1"/>
  <c r="E164" i="10" a="1"/>
  <c r="E164" i="10" s="1"/>
  <c r="D178" i="10" a="1"/>
  <c r="D178" i="10" s="1"/>
  <c r="D189" i="10" a="1"/>
  <c r="D189" i="10" s="1"/>
  <c r="D60" i="10" a="1"/>
  <c r="D60" i="10" s="1"/>
  <c r="F119" i="10" a="1"/>
  <c r="F119" i="10" s="1"/>
  <c r="C152" i="10" a="1"/>
  <c r="C152" i="10" s="1"/>
  <c r="E168" i="10" a="1"/>
  <c r="E168" i="10" s="1"/>
  <c r="H193" i="10" a="1"/>
  <c r="H193" i="10" s="1"/>
  <c r="D96" i="10" a="1"/>
  <c r="D96" i="10" s="1"/>
  <c r="C144" i="10" a="1"/>
  <c r="C144" i="10" s="1"/>
  <c r="D191" i="10" a="1"/>
  <c r="D191" i="10" s="1"/>
  <c r="G117" i="10" a="1"/>
  <c r="G117" i="10" s="1"/>
  <c r="E181" i="10" a="1"/>
  <c r="E181" i="10" s="1"/>
  <c r="H73" i="10" a="1"/>
  <c r="H73" i="10" s="1"/>
  <c r="C169" i="10" a="1"/>
  <c r="C169" i="10" s="1"/>
  <c r="H108" i="10" a="1"/>
  <c r="H108" i="10" s="1"/>
  <c r="E176" i="10" a="1"/>
  <c r="E176" i="10" s="1"/>
  <c r="G69" i="10" a="1"/>
  <c r="G69" i="10" s="1"/>
  <c r="E156" i="10" a="1"/>
  <c r="E156" i="10" s="1"/>
  <c r="F60" i="10" a="1"/>
  <c r="F60" i="10" s="1"/>
  <c r="C162" i="10" a="1"/>
  <c r="C162" i="10" s="1"/>
  <c r="C68" i="10" a="1"/>
  <c r="C68" i="10" s="1"/>
  <c r="D176" i="10" a="1"/>
  <c r="D176" i="10" s="1"/>
  <c r="F105" i="10" a="1"/>
  <c r="F105" i="10" s="1"/>
  <c r="H188" i="10" a="1"/>
  <c r="H188" i="10" s="1"/>
  <c r="G105" i="10" a="1"/>
  <c r="G105" i="10" s="1"/>
  <c r="H190" i="10" a="1"/>
  <c r="H190" i="10" s="1"/>
  <c r="G106" i="10" a="1"/>
  <c r="G106" i="10" s="1"/>
  <c r="H180" i="10" a="1"/>
  <c r="H180" i="10" s="1"/>
  <c r="H162" i="10" a="1"/>
  <c r="H162" i="10" s="1"/>
  <c r="F166" i="10" a="1"/>
  <c r="F166" i="10" s="1"/>
  <c r="G140" i="10" a="1"/>
  <c r="G140" i="10" s="1"/>
  <c r="D154" i="10" a="1"/>
  <c r="D154" i="10" s="1"/>
  <c r="G178" i="10" a="1"/>
  <c r="G178" i="10" s="1"/>
  <c r="E12" i="10" a="1"/>
  <c r="E12" i="10" s="1"/>
  <c r="G49" i="10" a="1"/>
  <c r="G49" i="10" s="1"/>
  <c r="C70" i="10" a="1"/>
  <c r="C70" i="10" s="1"/>
  <c r="C10" i="10" a="1"/>
  <c r="C10" i="10" s="1"/>
  <c r="H25" i="10" a="1"/>
  <c r="H25" i="10" s="1"/>
  <c r="H59" i="10" a="1"/>
  <c r="H59" i="10" s="1"/>
  <c r="E73" i="10" a="1"/>
  <c r="E73" i="10" s="1"/>
  <c r="F93" i="10" a="1"/>
  <c r="F93" i="10" s="1"/>
  <c r="G22" i="10" a="1"/>
  <c r="G22" i="10" s="1"/>
  <c r="C49" i="10" a="1"/>
  <c r="C49" i="10" s="1"/>
  <c r="E81" i="10" a="1"/>
  <c r="E81" i="10" s="1"/>
  <c r="C106" i="10" a="1"/>
  <c r="C106" i="10" s="1"/>
  <c r="G119" i="10" a="1"/>
  <c r="G119" i="10" s="1"/>
  <c r="E154" i="10" a="1"/>
  <c r="E154" i="10" s="1"/>
  <c r="C189" i="10" a="1"/>
  <c r="C189" i="10" s="1"/>
  <c r="E180" i="10" a="1"/>
  <c r="E180" i="10" s="1"/>
  <c r="G143" i="10" a="1"/>
  <c r="G143" i="10" s="1"/>
  <c r="H178" i="10" a="1"/>
  <c r="H178" i="10" s="1"/>
  <c r="C83" i="10" a="1"/>
  <c r="C83" i="10" s="1"/>
  <c r="C166" i="10" a="1"/>
  <c r="C166" i="10" s="1"/>
  <c r="D23" i="10" a="1"/>
  <c r="D23" i="10" s="1"/>
  <c r="E140" i="10" a="1"/>
  <c r="E140" i="10" s="1"/>
  <c r="E193" i="10" a="1"/>
  <c r="E193" i="10" s="1"/>
  <c r="F155" i="10" a="1"/>
  <c r="F155" i="10" s="1"/>
  <c r="H191" i="10" a="1"/>
  <c r="H191" i="10" s="1"/>
  <c r="H166" i="10" a="1"/>
  <c r="H166" i="10" s="1"/>
  <c r="H130" i="10" a="1"/>
  <c r="H130" i="10" s="1"/>
  <c r="D47" i="10" a="1"/>
  <c r="D47" i="10" s="1"/>
  <c r="E192" i="10" a="1"/>
  <c r="E192" i="10" s="1"/>
  <c r="C120" i="10" a="1"/>
  <c r="C120" i="10" s="1"/>
  <c r="D187" i="10" a="1"/>
  <c r="D187" i="10" s="1"/>
  <c r="D129" i="10" a="1"/>
  <c r="D129" i="10" s="1"/>
  <c r="C156" i="10" a="1"/>
  <c r="C156" i="10" s="1"/>
  <c r="C22" i="10" a="1"/>
  <c r="C22" i="10" s="1"/>
  <c r="G144" i="10" a="1"/>
  <c r="G144" i="10" s="1"/>
  <c r="F160" i="10" a="1"/>
  <c r="F160" i="10" s="1"/>
  <c r="E163" i="10" a="1"/>
  <c r="E163" i="10" s="1"/>
  <c r="G141" i="10" a="1"/>
  <c r="G141" i="10" s="1"/>
  <c r="D82" i="10" a="1"/>
  <c r="D82" i="10" s="1"/>
  <c r="D186" i="10" a="1"/>
  <c r="D186" i="10" s="1"/>
  <c r="D25" i="10" a="1"/>
  <c r="D25" i="10" s="1"/>
  <c r="H175" i="10" a="1"/>
  <c r="H175" i="10" s="1"/>
  <c r="D131" i="10" a="1"/>
  <c r="D131" i="10" s="1"/>
  <c r="D141" i="10" a="1"/>
  <c r="D141" i="10" s="1"/>
  <c r="C72" i="10" a="1"/>
  <c r="C72" i="10" s="1"/>
  <c r="G14" i="10" a="1"/>
  <c r="G14" i="10" s="1"/>
  <c r="D144" i="10" a="1"/>
  <c r="D144" i="10" s="1"/>
  <c r="E104" i="10" a="1"/>
  <c r="E104" i="10" s="1"/>
  <c r="D69" i="10" a="1"/>
  <c r="D69" i="10" s="1"/>
  <c r="C140" i="10" a="1"/>
  <c r="C140" i="10" s="1"/>
  <c r="D118" i="10" a="1"/>
  <c r="D118" i="10" s="1"/>
  <c r="F34" i="10" a="1"/>
  <c r="F34" i="10" s="1"/>
  <c r="E116" i="10" a="1"/>
  <c r="E116" i="10" s="1"/>
  <c r="F95" i="10" a="1"/>
  <c r="F95" i="10" s="1"/>
  <c r="D106" i="10" a="1"/>
  <c r="D106" i="10" s="1"/>
  <c r="H120" i="10" a="1"/>
  <c r="H120" i="10" s="1"/>
  <c r="D84" i="10" a="1"/>
  <c r="D84" i="10" s="1"/>
  <c r="D35" i="10" a="1"/>
  <c r="D35" i="10" s="1"/>
  <c r="G94" i="10" a="1"/>
  <c r="G94" i="10" s="1"/>
  <c r="F12" i="10" a="1"/>
  <c r="F12" i="10" s="1"/>
  <c r="G59" i="10" a="1"/>
  <c r="G59" i="10" s="1"/>
  <c r="F23" i="10" a="1"/>
  <c r="F23" i="10" s="1"/>
  <c r="C16" i="10" a="1"/>
  <c r="C16" i="10" s="1"/>
  <c r="E56" i="10" a="1"/>
  <c r="E56" i="10" s="1"/>
  <c r="C173" i="10" a="1"/>
  <c r="C173" i="10" s="1"/>
  <c r="G20" i="10" a="1"/>
  <c r="G20" i="10" s="1"/>
  <c r="G111" i="10" a="1"/>
  <c r="G111" i="10" s="1"/>
  <c r="C91" i="10" a="1"/>
  <c r="C91" i="10" s="1"/>
  <c r="F56" i="10" a="1"/>
  <c r="F56" i="10" s="1"/>
  <c r="H56" i="10" a="1"/>
  <c r="H56" i="10" s="1"/>
  <c r="G184" i="10" a="1"/>
  <c r="G184" i="10" s="1"/>
  <c r="C110" i="10" a="1"/>
  <c r="C110" i="10" s="1"/>
  <c r="C41" i="10" a="1"/>
  <c r="C41" i="10" s="1"/>
  <c r="E57" i="10" a="1"/>
  <c r="E57" i="10" s="1"/>
  <c r="C172" i="10" a="1"/>
  <c r="C172" i="10" s="1"/>
  <c r="D26" i="10" a="1"/>
  <c r="D26" i="10" s="1"/>
  <c r="E126" i="10" a="1"/>
  <c r="E126" i="10" s="1"/>
  <c r="C150" i="10" a="1"/>
  <c r="C150" i="10" s="1"/>
  <c r="C161" i="10" a="1"/>
  <c r="C161" i="10" s="1"/>
  <c r="G139" i="10" a="1"/>
  <c r="G139" i="10" s="1"/>
  <c r="E26" i="10" a="1"/>
  <c r="E26" i="10" s="1"/>
  <c r="C38" i="10" a="1"/>
  <c r="C38" i="10" s="1"/>
  <c r="F2" i="10" a="1"/>
  <c r="F2" i="10" s="1"/>
  <c r="F103" i="10" a="1"/>
  <c r="F103" i="10" s="1"/>
  <c r="C26" i="10" a="1"/>
  <c r="C26" i="10" s="1"/>
  <c r="F127" i="10" a="1"/>
  <c r="F127" i="10" s="1"/>
  <c r="F26" i="10" a="1"/>
  <c r="F26" i="10" s="1"/>
  <c r="H62" i="10" a="1"/>
  <c r="H62" i="10" s="1"/>
  <c r="E14" i="10" a="1"/>
  <c r="E14" i="10" s="1"/>
  <c r="D62" i="10" a="1"/>
  <c r="D62" i="10" s="1"/>
  <c r="E51" i="10" a="1"/>
  <c r="E51" i="10" s="1"/>
  <c r="D74" i="10" a="1"/>
  <c r="D74" i="10" s="1"/>
  <c r="C51" i="10" a="1"/>
  <c r="C51" i="10" s="1"/>
  <c r="D114" i="10" a="1"/>
  <c r="D114" i="10" s="1"/>
  <c r="H160" i="10" a="1"/>
  <c r="H160" i="10" s="1"/>
  <c r="H38" i="10" a="1"/>
  <c r="H38" i="10" s="1"/>
  <c r="E3" i="10" a="1"/>
  <c r="E3" i="10" s="1"/>
  <c r="G185" i="10" a="1"/>
  <c r="G185" i="10" s="1"/>
  <c r="G51" i="10" a="1"/>
  <c r="G51" i="10" s="1"/>
  <c r="C50" i="10" a="1"/>
  <c r="C50" i="10" s="1"/>
  <c r="D91" i="10" a="1"/>
  <c r="D91" i="10" s="1"/>
  <c r="C90" i="10" a="1"/>
  <c r="C90" i="10" s="1"/>
  <c r="E138" i="10" a="1"/>
  <c r="E138" i="10" s="1"/>
  <c r="H98" i="10" a="1"/>
  <c r="H98" i="10" s="1"/>
  <c r="H45" i="10" a="1"/>
  <c r="H45" i="10" s="1"/>
  <c r="E74" i="10" a="1"/>
  <c r="E74" i="10" s="1"/>
  <c r="G27" i="10" a="1"/>
  <c r="G27" i="10" s="1"/>
  <c r="G127" i="10" a="1"/>
  <c r="G127" i="10" s="1"/>
  <c r="H15" i="10" a="1"/>
  <c r="H15" i="10" s="1"/>
  <c r="D8" i="10" a="1"/>
  <c r="D8" i="10" s="1"/>
  <c r="C39" i="10" a="1"/>
  <c r="C39" i="10" s="1"/>
  <c r="F14" i="10" a="1"/>
  <c r="F14" i="10" s="1"/>
  <c r="C27" i="10" a="1"/>
  <c r="C27" i="10" s="1"/>
  <c r="F39" i="10" a="1"/>
  <c r="F39" i="10" s="1"/>
  <c r="C78" i="10" a="1"/>
  <c r="C78" i="10" s="1"/>
  <c r="E2" i="10" a="1"/>
  <c r="E2" i="10" s="1"/>
  <c r="G74" i="10" a="1"/>
  <c r="G74" i="10" s="1"/>
  <c r="E98" i="10" a="1"/>
  <c r="E98" i="10" s="1"/>
  <c r="E79" i="10" a="1"/>
  <c r="E79" i="10" s="1"/>
  <c r="H9" i="10" a="1"/>
  <c r="H9" i="10" s="1"/>
  <c r="C160" i="10" a="1"/>
  <c r="C160" i="10" s="1"/>
  <c r="H150" i="10" a="1"/>
  <c r="H150" i="10" s="1"/>
  <c r="G86" i="10" a="1"/>
  <c r="G86" i="10" s="1"/>
  <c r="E20" i="10" a="1"/>
  <c r="E20" i="10" s="1"/>
  <c r="C122" i="10" a="1"/>
  <c r="C122" i="10" s="1"/>
  <c r="F86" i="10" a="1"/>
  <c r="F86" i="10" s="1"/>
  <c r="F173" i="10" a="1"/>
  <c r="F173" i="10" s="1"/>
  <c r="H74" i="10" a="1"/>
  <c r="H74" i="10" s="1"/>
  <c r="H151" i="10" a="1"/>
  <c r="H151" i="10" s="1"/>
  <c r="C62" i="10" a="1"/>
  <c r="C62" i="10" s="1"/>
  <c r="C29" i="10" a="1"/>
  <c r="C29" i="10" s="1"/>
  <c r="F27" i="10" a="1"/>
  <c r="F27" i="10" s="1"/>
  <c r="G2" i="10" a="1"/>
  <c r="G2" i="10" s="1"/>
  <c r="D27" i="10" a="1"/>
  <c r="D27" i="10" s="1"/>
  <c r="F50" i="10" a="1"/>
  <c r="F50" i="10" s="1"/>
  <c r="D78" i="10" a="1"/>
  <c r="D78" i="10" s="1"/>
  <c r="H67" i="10" a="1"/>
  <c r="H67" i="10" s="1"/>
  <c r="G3" i="10" a="1"/>
  <c r="G3" i="10" s="1"/>
  <c r="C3" i="10" a="1"/>
  <c r="C3" i="10" s="1"/>
  <c r="F53" i="10" a="1"/>
  <c r="F53" i="10" s="1"/>
  <c r="F21" i="10" a="1"/>
  <c r="F21" i="10" s="1"/>
  <c r="D44" i="10" a="1"/>
  <c r="D44" i="10" s="1"/>
  <c r="F99" i="10" a="1"/>
  <c r="F99" i="10" s="1"/>
  <c r="D15" i="10" a="1"/>
  <c r="D15" i="10" s="1"/>
  <c r="D2" i="10" a="1"/>
  <c r="D2" i="10" s="1"/>
  <c r="F15" i="10" a="1"/>
  <c r="F15" i="10" s="1"/>
  <c r="F9" i="10" a="1"/>
  <c r="F9" i="10" s="1"/>
  <c r="E160" i="10" a="1"/>
  <c r="E160" i="10" s="1"/>
  <c r="G53" i="10" a="1"/>
  <c r="G53" i="10" s="1"/>
  <c r="E134" i="10" a="1"/>
  <c r="E134" i="10" s="1"/>
  <c r="E50" i="10" a="1"/>
  <c r="E50" i="10" s="1"/>
  <c r="D50" i="10" a="1"/>
  <c r="D50" i="10" s="1"/>
  <c r="D51" i="10" a="1"/>
  <c r="D51" i="10" s="1"/>
  <c r="E39" i="10" a="1"/>
  <c r="E39" i="10" s="1"/>
  <c r="E62" i="10" a="1"/>
  <c r="E62" i="10" s="1"/>
  <c r="D98" i="10" a="1"/>
  <c r="D98" i="10" s="1"/>
  <c r="E86" i="10" a="1"/>
  <c r="E86" i="10" s="1"/>
  <c r="D28" i="10" a="1"/>
  <c r="D28" i="10" s="1"/>
  <c r="H51" i="10" a="1"/>
  <c r="H51" i="10" s="1"/>
  <c r="G91" i="10" a="1"/>
  <c r="G91" i="10" s="1"/>
  <c r="C9" i="10" a="1"/>
  <c r="C9" i="10" s="1"/>
  <c r="C102" i="10" a="1"/>
  <c r="C102" i="10" s="1"/>
  <c r="C57" i="10" a="1"/>
  <c r="C57" i="10" s="1"/>
  <c r="F8" i="10" a="1"/>
  <c r="F8" i="10" s="1"/>
  <c r="G161" i="10" a="1"/>
  <c r="G161" i="10" s="1"/>
  <c r="E114" i="10" a="1"/>
  <c r="E114" i="10" s="1"/>
  <c r="D40" i="10" a="1"/>
  <c r="D40" i="10" s="1"/>
  <c r="C184" i="10" a="1"/>
  <c r="C184" i="10" s="1"/>
  <c r="D160" i="10" a="1"/>
  <c r="D160" i="10" s="1"/>
  <c r="G56" i="10" a="1"/>
  <c r="G56" i="10" s="1"/>
  <c r="E99" i="10" a="1"/>
  <c r="E99" i="10" s="1"/>
  <c r="H39" i="10" a="1"/>
  <c r="H39" i="10" s="1"/>
  <c r="H172" i="10" a="1"/>
  <c r="H172" i="10" s="1"/>
  <c r="G15" i="10" a="1"/>
  <c r="G15" i="10" s="1"/>
  <c r="H86" i="10" a="1"/>
  <c r="H86" i="10" s="1"/>
  <c r="C99" i="10" a="1"/>
  <c r="C99" i="10" s="1"/>
  <c r="F138" i="10" a="1"/>
  <c r="F138" i="10" s="1"/>
  <c r="G78" i="10" a="1"/>
  <c r="G78" i="10" s="1"/>
  <c r="F38" i="10" a="1"/>
  <c r="F38" i="10" s="1"/>
  <c r="D110" i="10" a="1"/>
  <c r="D110" i="10" s="1"/>
  <c r="F147" i="10" a="1"/>
  <c r="F147" i="10" s="1"/>
  <c r="C135" i="10" a="1"/>
  <c r="C135" i="10" s="1"/>
  <c r="H102" i="10" a="1"/>
  <c r="H102" i="10" s="1"/>
  <c r="C74" i="10" a="1"/>
  <c r="C74" i="10" s="1"/>
  <c r="F51" i="10" a="1"/>
  <c r="F51" i="10" s="1"/>
  <c r="E27" i="10" a="1"/>
  <c r="E27" i="10" s="1"/>
  <c r="F3" i="10" a="1"/>
  <c r="F3" i="10" s="1"/>
  <c r="F150" i="10" a="1"/>
  <c r="F150" i="10" s="1"/>
  <c r="D139" i="10" a="1"/>
  <c r="D139" i="10" s="1"/>
  <c r="F32" i="10" a="1"/>
  <c r="F32" i="10" s="1"/>
  <c r="H14" i="10" a="1"/>
  <c r="H14" i="10" s="1"/>
  <c r="C32" i="10" a="1"/>
  <c r="C32" i="10" s="1"/>
  <c r="D33" i="10" a="1"/>
  <c r="D33" i="10" s="1"/>
  <c r="C98" i="10" a="1"/>
  <c r="C98" i="10" s="1"/>
  <c r="D29" i="10" a="1"/>
  <c r="D29" i="10" s="1"/>
  <c r="D3" i="10" a="1"/>
  <c r="D3" i="10" s="1"/>
  <c r="E127" i="10" a="1"/>
  <c r="E127" i="10" s="1"/>
  <c r="D161" i="10" a="1"/>
  <c r="D161" i="10" s="1"/>
  <c r="D126" i="10" a="1"/>
  <c r="D126" i="10" s="1"/>
  <c r="F57" i="10" a="1"/>
  <c r="F57" i="10" s="1"/>
  <c r="C21" i="10" a="1"/>
  <c r="C21" i="10" s="1"/>
  <c r="C45" i="10" a="1"/>
  <c r="C45" i="10" s="1"/>
  <c r="C151" i="10" a="1"/>
  <c r="C151" i="10" s="1"/>
  <c r="F184" i="10" a="1"/>
  <c r="F184" i="10" s="1"/>
  <c r="E139" i="10" a="1"/>
  <c r="E139" i="10" s="1"/>
  <c r="D103" i="10" a="1"/>
  <c r="D103" i="10" s="1"/>
  <c r="F126" i="10" a="1"/>
  <c r="F126" i="10" s="1"/>
  <c r="D173" i="10" a="1"/>
  <c r="D173" i="10" s="1"/>
  <c r="F41" i="10" a="1"/>
  <c r="F41" i="10" s="1"/>
  <c r="G32" i="10" a="1"/>
  <c r="G32" i="10" s="1"/>
  <c r="H21" i="10" a="1"/>
  <c r="H21" i="10" s="1"/>
  <c r="G90" i="10" a="1"/>
  <c r="G90" i="10" s="1"/>
  <c r="H16" i="10" a="1"/>
  <c r="H16" i="10" s="1"/>
  <c r="D102" i="10" a="1"/>
  <c r="D102" i="10" s="1"/>
  <c r="H185" i="10" a="1"/>
  <c r="H185" i="10" s="1"/>
  <c r="G57" i="10" a="1"/>
  <c r="G57" i="10" s="1"/>
  <c r="D184" i="10" a="1"/>
  <c r="D184" i="10" s="1"/>
  <c r="G138" i="10" a="1"/>
  <c r="G138" i="10" s="1"/>
  <c r="D151" i="10" a="1"/>
  <c r="D151" i="10" s="1"/>
  <c r="F185" i="10" a="1"/>
  <c r="F185" i="10" s="1"/>
  <c r="D185" i="10" a="1"/>
  <c r="D185" i="10" s="1"/>
  <c r="E41" i="10" a="1"/>
  <c r="E41" i="10" s="1"/>
  <c r="D14" i="10" a="1"/>
  <c r="D14" i="10" s="1"/>
  <c r="E91" i="10" a="1"/>
  <c r="E91" i="10" s="1"/>
  <c r="E32" i="10" a="1"/>
  <c r="E32" i="10" s="1"/>
  <c r="E44" i="10" a="1"/>
  <c r="E44" i="10" s="1"/>
  <c r="G62" i="10" a="1"/>
  <c r="G62" i="10" s="1"/>
  <c r="F33" i="10" a="1"/>
  <c r="F33" i="10" s="1"/>
  <c r="E33" i="10" a="1"/>
  <c r="E33" i="10" s="1"/>
  <c r="F74" i="10" a="1"/>
  <c r="F74" i="10" s="1"/>
  <c r="H32" i="10" a="1"/>
  <c r="H32" i="10" s="1"/>
  <c r="H135" i="10" a="1"/>
  <c r="H135" i="10" s="1"/>
  <c r="D66" i="10" a="1"/>
  <c r="D66" i="10" s="1"/>
  <c r="F45" i="10" a="1"/>
  <c r="F45" i="10" s="1"/>
  <c r="C14" i="10" a="1"/>
  <c r="C14" i="10" s="1"/>
  <c r="C87" i="10" a="1"/>
  <c r="C87" i="10" s="1"/>
  <c r="C56" i="10" a="1"/>
  <c r="C56" i="10" s="1"/>
  <c r="D86" i="10" a="1"/>
  <c r="D86" i="10" s="1"/>
  <c r="C114" i="10" a="1"/>
  <c r="C114" i="10" s="1"/>
  <c r="G50" i="10" a="1"/>
  <c r="G50" i="10" s="1"/>
  <c r="D16" i="10" a="1"/>
  <c r="D16" i="10" s="1"/>
  <c r="D87" i="10" a="1"/>
  <c r="D87" i="10" s="1"/>
  <c r="D57" i="10" a="1"/>
  <c r="D57" i="10" s="1"/>
  <c r="G8" i="10" a="1"/>
  <c r="G8" i="10" s="1"/>
  <c r="D53" i="10" a="1"/>
  <c r="D53" i="10" s="1"/>
  <c r="G40" i="10" a="1"/>
  <c r="G40" i="10" s="1"/>
  <c r="H26" i="10" a="1"/>
  <c r="H26" i="10" s="1"/>
  <c r="C15" i="10" a="1"/>
  <c r="C15" i="10" s="1"/>
  <c r="F115" i="10" a="1"/>
  <c r="F115" i="10" s="1"/>
  <c r="F161" i="10" a="1"/>
  <c r="F161" i="10" s="1"/>
  <c r="H126" i="10" a="1"/>
  <c r="H126" i="10" s="1"/>
  <c r="G160" i="10" a="1"/>
  <c r="G160" i="10" s="1"/>
  <c r="C103" i="10" a="1"/>
  <c r="C103" i="10" s="1"/>
  <c r="E67" i="10" a="1"/>
  <c r="E67" i="10" s="1"/>
  <c r="H139" i="10" a="1"/>
  <c r="H139" i="10" s="1"/>
  <c r="C139" i="10" a="1"/>
  <c r="C139" i="10" s="1"/>
  <c r="F44" i="10" a="1"/>
  <c r="F44" i="10" s="1"/>
  <c r="E185" i="10" a="1"/>
  <c r="E185" i="10" s="1"/>
  <c r="G172" i="10" a="1"/>
  <c r="G172" i="10" s="1"/>
  <c r="F172" i="10" a="1"/>
  <c r="F172" i="10" s="1"/>
  <c r="D138" i="10" a="1"/>
  <c r="D138" i="10" s="1"/>
  <c r="D45" i="10" a="1"/>
  <c r="D45" i="10" s="1"/>
  <c r="G29" i="10" a="1"/>
  <c r="G29" i="10" s="1"/>
  <c r="F28" i="10" a="1"/>
  <c r="F28" i="10" s="1"/>
  <c r="E115" i="10" a="1"/>
  <c r="E115" i="10" s="1"/>
  <c r="D20" i="10" a="1"/>
  <c r="D20" i="10" s="1"/>
  <c r="D147" i="10" a="1"/>
  <c r="D147" i="10" s="1"/>
  <c r="E8" i="10" a="1"/>
  <c r="E8" i="10" s="1"/>
  <c r="F151" i="10" a="1"/>
  <c r="F151" i="10" s="1"/>
  <c r="G45" i="10" a="1"/>
  <c r="G45" i="10" s="1"/>
  <c r="E78" i="10" a="1"/>
  <c r="E78" i="10" s="1"/>
  <c r="C20" i="10" a="1"/>
  <c r="C20" i="10" s="1"/>
  <c r="G38" i="10" a="1"/>
  <c r="G38" i="10" s="1"/>
  <c r="F114" i="10" a="1"/>
  <c r="F114" i="10" s="1"/>
  <c r="F122" i="10" a="1"/>
  <c r="F122" i="10" s="1"/>
  <c r="E15" i="10" a="1"/>
  <c r="E15" i="10" s="1"/>
  <c r="E103" i="10" a="1"/>
  <c r="E103" i="10" s="1"/>
  <c r="D99" i="10" a="1"/>
  <c r="D99" i="10" s="1"/>
  <c r="D39" i="10" a="1"/>
  <c r="D39" i="10" s="1"/>
  <c r="D150" i="10" a="1"/>
  <c r="D150" i="10" s="1"/>
  <c r="G98" i="10" a="1"/>
  <c r="G98" i="10" s="1"/>
  <c r="F63" i="10" a="1"/>
  <c r="F63" i="10" s="1"/>
  <c r="E21" i="10" a="1"/>
  <c r="E21" i="10" s="1"/>
  <c r="E110" i="10" a="1"/>
  <c r="E110" i="10" s="1"/>
  <c r="D63" i="10" a="1"/>
  <c r="D63" i="10" s="1"/>
  <c r="E172" i="10" a="1"/>
  <c r="E172" i="10" s="1"/>
  <c r="H127" i="10" a="1"/>
  <c r="H127" i="10" s="1"/>
  <c r="F20" i="10" a="1"/>
  <c r="F20" i="10" s="1"/>
  <c r="F90" i="10" a="1"/>
  <c r="F90" i="10" s="1"/>
  <c r="C67" i="10" a="1"/>
  <c r="C67" i="10" s="1"/>
  <c r="E17" i="10" a="1"/>
  <c r="E17" i="10" s="1"/>
  <c r="D146" i="10" a="1"/>
  <c r="D146" i="10" s="1"/>
  <c r="E5" i="10" a="1"/>
  <c r="E5" i="10" s="1"/>
  <c r="E150" i="10" a="1"/>
  <c r="E150" i="10" s="1"/>
  <c r="C8" i="10" a="1"/>
  <c r="C8" i="10" s="1"/>
  <c r="G110" i="10" a="1"/>
  <c r="G110" i="10" s="1"/>
  <c r="F98" i="10" a="1"/>
  <c r="F98" i="10" s="1"/>
  <c r="F62" i="10" a="1"/>
  <c r="F62" i="10" s="1"/>
  <c r="H28" i="10" a="1"/>
  <c r="H28" i="10" s="1"/>
  <c r="E102" i="10" a="1"/>
  <c r="E102" i="10" s="1"/>
  <c r="C44" i="10" a="1"/>
  <c r="C44" i="10" s="1"/>
  <c r="H3" i="10" a="1"/>
  <c r="H3" i="10" s="1"/>
  <c r="G67" i="10" a="1"/>
  <c r="G67" i="10" s="1"/>
  <c r="G39" i="10" a="1"/>
  <c r="G39" i="10" s="1"/>
  <c r="E29" i="10" a="1"/>
  <c r="E29" i="10" s="1"/>
  <c r="H50" i="10" a="1"/>
  <c r="H50" i="10" s="1"/>
  <c r="H114" i="10" a="1"/>
  <c r="H114" i="10" s="1"/>
  <c r="F29" i="10" a="1"/>
  <c r="F29" i="10" s="1"/>
  <c r="C138" i="10" a="1"/>
  <c r="C138" i="10" s="1"/>
  <c r="G114" i="10" a="1"/>
  <c r="G114" i="10" s="1"/>
  <c r="G99" i="10" a="1"/>
  <c r="G99" i="10" s="1"/>
  <c r="C53" i="10" a="1"/>
  <c r="C53" i="10" s="1"/>
  <c r="G126" i="10" a="1"/>
  <c r="G126" i="10" s="1"/>
  <c r="D115" i="10" a="1"/>
  <c r="D115" i="10" s="1"/>
  <c r="H57" i="10" a="1"/>
  <c r="H57" i="10" s="1"/>
  <c r="F40" i="10" a="1"/>
  <c r="F40" i="10" s="1"/>
  <c r="G66" i="10" a="1"/>
  <c r="G66" i="10" s="1"/>
  <c r="H53" i="10" a="1"/>
  <c r="H53" i="10" s="1"/>
  <c r="E40" i="10" a="1"/>
  <c r="E40" i="10" s="1"/>
  <c r="F75" i="10" a="1"/>
  <c r="F75" i="10" s="1"/>
  <c r="F66" i="10" a="1"/>
  <c r="F66" i="10" s="1"/>
  <c r="F16" i="10" a="1"/>
  <c r="F16" i="10" s="1"/>
  <c r="F17" i="10" a="1"/>
  <c r="F17" i="10" s="1"/>
  <c r="D5" i="10" a="1"/>
  <c r="D5" i="10" s="1"/>
  <c r="F110" i="10" a="1"/>
  <c r="F110" i="10" s="1"/>
  <c r="H99" i="10" a="1"/>
  <c r="H99" i="10" s="1"/>
  <c r="G28" i="10" a="1"/>
  <c r="G28" i="10" s="1"/>
  <c r="F87" i="10" a="1"/>
  <c r="F87" i="10" s="1"/>
  <c r="G17" i="10" a="1"/>
  <c r="G17" i="10" s="1"/>
  <c r="E87" i="10" a="1"/>
  <c r="E87" i="10" s="1"/>
  <c r="E75" i="10" a="1"/>
  <c r="E75" i="10" s="1"/>
  <c r="C28" i="10" a="1"/>
  <c r="C28" i="10" s="1"/>
  <c r="F135" i="10" a="1"/>
  <c r="F135" i="10" s="1"/>
  <c r="E123" i="10" a="1"/>
  <c r="E123" i="10" s="1"/>
  <c r="G147" i="10" a="1"/>
  <c r="G147" i="10" s="1"/>
  <c r="G123" i="10" a="1"/>
  <c r="G123" i="10" s="1"/>
  <c r="C63" i="10" a="1"/>
  <c r="C63" i="10" s="1"/>
  <c r="E28" i="10" a="1"/>
  <c r="E28" i="10" s="1"/>
  <c r="C134" i="10" a="1"/>
  <c r="C134" i="10" s="1"/>
  <c r="F123" i="10" a="1"/>
  <c r="F123" i="10" s="1"/>
  <c r="F111" i="10" a="1"/>
  <c r="F111" i="10" s="1"/>
  <c r="G122" i="10" a="1"/>
  <c r="G122" i="10" s="1"/>
  <c r="F139" i="10" a="1"/>
  <c r="F139" i="10" s="1"/>
  <c r="H146" i="10" a="1"/>
  <c r="H146" i="10" s="1"/>
  <c r="H110" i="10" a="1"/>
  <c r="H110" i="10" s="1"/>
  <c r="H8" i="10" a="1"/>
  <c r="H8" i="10" s="1"/>
  <c r="C126" i="10" a="1"/>
  <c r="C126" i="10" s="1"/>
  <c r="D17" i="10" a="1"/>
  <c r="D17" i="10" s="1"/>
  <c r="H184" i="10" a="1"/>
  <c r="H184" i="10" s="1"/>
  <c r="E173" i="10" a="1"/>
  <c r="E173" i="10" s="1"/>
  <c r="E151" i="10" a="1"/>
  <c r="E151" i="10" s="1"/>
  <c r="E122" i="10" a="1"/>
  <c r="E122" i="10" s="1"/>
  <c r="F78" i="10" a="1"/>
  <c r="F78" i="10" s="1"/>
  <c r="D127" i="10" a="1"/>
  <c r="D127" i="10" s="1"/>
  <c r="C127" i="10" a="1"/>
  <c r="C127" i="10" s="1"/>
  <c r="E45" i="10" a="1"/>
  <c r="E45" i="10" s="1"/>
  <c r="G21" i="10" a="1"/>
  <c r="G21" i="10" s="1"/>
  <c r="H87" i="10" a="1"/>
  <c r="H87" i="10" s="1"/>
  <c r="D56" i="10" a="1"/>
  <c r="D56" i="10" s="1"/>
  <c r="D41" i="10" a="1"/>
  <c r="D41" i="10" s="1"/>
  <c r="G9" i="10" a="1"/>
  <c r="G9" i="10" s="1"/>
  <c r="C115" i="10" a="1"/>
  <c r="C115" i="10" s="1"/>
  <c r="H79" i="10" a="1"/>
  <c r="H79" i="10" s="1"/>
  <c r="H66" i="10" a="1"/>
  <c r="H66" i="10" s="1"/>
  <c r="E52" i="10" a="1"/>
  <c r="E52" i="10" s="1"/>
  <c r="E9" i="10" a="1"/>
  <c r="E9" i="10" s="1"/>
  <c r="D52" i="10" a="1"/>
  <c r="D52" i="10" s="1"/>
  <c r="D9" i="10" a="1"/>
  <c r="D9" i="10" s="1"/>
  <c r="H44" i="10" a="1"/>
  <c r="H44" i="10" s="1"/>
  <c r="G4" i="10" a="1"/>
  <c r="G4" i="10" s="1"/>
  <c r="E16" i="10" a="1"/>
  <c r="E16" i="10" s="1"/>
  <c r="H5" i="10" a="1"/>
  <c r="H5" i="10" s="1"/>
  <c r="D75" i="10" a="1"/>
  <c r="D75" i="10" s="1"/>
  <c r="D134" i="10" a="1"/>
  <c r="D134" i="10" s="1"/>
  <c r="C5" i="10" a="1"/>
  <c r="C5" i="10" s="1"/>
  <c r="D135" i="10" a="1"/>
  <c r="D135" i="10" s="1"/>
  <c r="D4" i="10" a="1"/>
  <c r="D4" i="10" s="1"/>
  <c r="H123" i="10" a="1"/>
  <c r="H123" i="10" s="1"/>
  <c r="F134" i="10" a="1"/>
  <c r="F134" i="10" s="1"/>
  <c r="E111" i="10" a="1"/>
  <c r="E111" i="10" s="1"/>
  <c r="G87" i="10" a="1"/>
  <c r="G87" i="10" s="1"/>
  <c r="C147" i="10" a="1"/>
  <c r="C147" i="10" s="1"/>
  <c r="G135" i="10" a="1"/>
  <c r="G135" i="10" s="1"/>
  <c r="D111" i="10" a="1"/>
  <c r="D111" i="10" s="1"/>
  <c r="D123" i="10" a="1"/>
  <c r="D123" i="10" s="1"/>
  <c r="C111" i="10" a="1"/>
  <c r="C111" i="10" s="1"/>
  <c r="H63" i="10" a="1"/>
  <c r="H63" i="10" s="1"/>
  <c r="E53" i="10" a="1"/>
  <c r="E53" i="10" s="1"/>
  <c r="F4" i="10" a="1"/>
  <c r="F4" i="10" s="1"/>
  <c r="E184" i="10" a="1"/>
  <c r="E184" i="10" s="1"/>
  <c r="G150" i="10" a="1"/>
  <c r="G150" i="10" s="1"/>
  <c r="D79" i="10" a="1"/>
  <c r="D79" i="10" s="1"/>
  <c r="E147" i="10" a="1"/>
  <c r="E147" i="10" s="1"/>
  <c r="C79" i="10" a="1"/>
  <c r="C79" i="10" s="1"/>
  <c r="H173" i="10" a="1"/>
  <c r="H173" i="10" s="1"/>
  <c r="H78" i="10" a="1"/>
  <c r="H78" i="10" s="1"/>
  <c r="D172" i="10" a="1"/>
  <c r="D172" i="10" s="1"/>
  <c r="H33" i="10" a="1"/>
  <c r="H33" i="10" s="1"/>
  <c r="H161" i="10" a="1"/>
  <c r="H161" i="10" s="1"/>
  <c r="H138" i="10" a="1"/>
  <c r="H138" i="10" s="1"/>
  <c r="C185" i="10" a="1"/>
  <c r="C185" i="10" s="1"/>
  <c r="G173" i="10" a="1"/>
  <c r="G173" i="10" s="1"/>
  <c r="E161" i="10" a="1"/>
  <c r="E161" i="10" s="1"/>
  <c r="C75" i="10" a="1"/>
  <c r="C75" i="10" s="1"/>
  <c r="H41" i="10" a="1"/>
  <c r="H41" i="10" s="1"/>
  <c r="H4" i="10" a="1"/>
  <c r="H4" i="10" s="1"/>
  <c r="G151" i="10" a="1"/>
  <c r="G151" i="10" s="1"/>
  <c r="G41" i="10" a="1"/>
  <c r="G41" i="10" s="1"/>
  <c r="H147" i="10" a="1"/>
  <c r="H147" i="10" s="1"/>
  <c r="G115" i="10" a="1"/>
  <c r="G115" i="10" s="1"/>
  <c r="H29" i="10" a="1"/>
  <c r="H29" i="10" s="1"/>
  <c r="G134" i="10" a="1"/>
  <c r="G134" i="10" s="1"/>
  <c r="C66" i="10" a="1"/>
  <c r="C66" i="10" s="1"/>
  <c r="G16" i="10" a="1"/>
  <c r="G16" i="10" s="1"/>
  <c r="D122" i="10" a="1"/>
  <c r="D122" i="10" s="1"/>
  <c r="G52" i="10" a="1"/>
  <c r="G52" i="10" s="1"/>
  <c r="H103" i="10" a="1"/>
  <c r="H103" i="10" s="1"/>
  <c r="H20" i="10" a="1"/>
  <c r="H20" i="10" s="1"/>
  <c r="G5" i="10" a="1"/>
  <c r="G5" i="10" s="1"/>
  <c r="H115" i="10" a="1"/>
  <c r="H115" i="10" s="1"/>
  <c r="H91" i="10" a="1"/>
  <c r="H91" i="10" s="1"/>
  <c r="G79" i="10" a="1"/>
  <c r="G79" i="10" s="1"/>
  <c r="F5" i="10" a="1"/>
  <c r="F5" i="10" s="1"/>
  <c r="E63" i="10" a="1"/>
  <c r="E63" i="10" s="1"/>
  <c r="C52" i="10" a="1"/>
  <c r="C52" i="10" s="1"/>
  <c r="F67" i="10" a="1"/>
  <c r="F67" i="10" s="1"/>
  <c r="G44" i="10" a="1"/>
  <c r="G44" i="10" s="1"/>
  <c r="H122" i="10" a="1"/>
  <c r="H122" i="10" s="1"/>
  <c r="F52" i="10" a="1"/>
  <c r="F52" i="10" s="1"/>
  <c r="G146" i="10" a="1"/>
  <c r="G146" i="10" s="1"/>
  <c r="H134" i="10" a="1"/>
  <c r="H134" i="10" s="1"/>
  <c r="E146" i="10" a="1"/>
  <c r="E146" i="10" s="1"/>
  <c r="C123" i="10" a="1"/>
  <c r="C123" i="10" s="1"/>
  <c r="C40" i="10" a="1"/>
  <c r="C40" i="10" s="1"/>
  <c r="C17" i="10" a="1"/>
  <c r="C17" i="10" s="1"/>
  <c r="G63" i="10" a="1"/>
  <c r="G63" i="10" s="1"/>
  <c r="D67" i="10" a="1"/>
  <c r="D67" i="10" s="1"/>
  <c r="E4" i="10" a="1"/>
  <c r="E4" i="10" s="1"/>
  <c r="H111" i="10" a="1"/>
  <c r="H111" i="10" s="1"/>
  <c r="F102" i="10" a="1"/>
  <c r="F102" i="10" s="1"/>
  <c r="E90" i="10" a="1"/>
  <c r="E90" i="10" s="1"/>
  <c r="H75" i="10" a="1"/>
  <c r="H75" i="10" s="1"/>
  <c r="D32" i="10" a="1"/>
  <c r="D32" i="10" s="1"/>
  <c r="C4" i="10" a="1"/>
  <c r="C4" i="10" s="1"/>
  <c r="G103" i="10" a="1"/>
  <c r="G103" i="10" s="1"/>
  <c r="D90" i="10" a="1"/>
  <c r="D90" i="10" s="1"/>
  <c r="G75" i="10" a="1"/>
  <c r="G75" i="10" s="1"/>
  <c r="G33" i="10" a="1"/>
  <c r="G33" i="10" s="1"/>
  <c r="H17" i="10" a="1"/>
  <c r="H17" i="10" s="1"/>
  <c r="F79" i="10" a="1"/>
  <c r="F79" i="10" s="1"/>
  <c r="D21" i="10" a="1"/>
  <c r="D21" i="10" s="1"/>
  <c r="G102" i="10" a="1"/>
  <c r="G102" i="10" s="1"/>
  <c r="H90" i="10" a="1"/>
  <c r="H90" i="10" s="1"/>
  <c r="E66" i="10" a="1"/>
  <c r="E66" i="10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2" i="6"/>
  <c r="D84" i="3"/>
  <c r="F84" i="3"/>
  <c r="G84" i="3"/>
  <c r="F62" i="3"/>
  <c r="G62" i="3"/>
  <c r="F39" i="3"/>
  <c r="G39" i="3"/>
  <c r="J203" i="19" l="1"/>
  <c r="J200" i="19"/>
  <c r="J206" i="19"/>
  <c r="J196" i="19"/>
  <c r="J199" i="19"/>
  <c r="J192" i="19"/>
  <c r="J207" i="19"/>
  <c r="J195" i="19"/>
  <c r="J197" i="19"/>
  <c r="J193" i="19"/>
  <c r="J201" i="19"/>
  <c r="J202" i="19"/>
  <c r="E39" i="3"/>
  <c r="E108" i="3"/>
  <c r="C89" i="18"/>
  <c r="C82" i="18"/>
  <c r="C110" i="18"/>
  <c r="C103" i="18"/>
  <c r="A83" i="18"/>
  <c r="A21" i="18"/>
  <c r="A75" i="18"/>
  <c r="A57" i="18"/>
  <c r="C86" i="18"/>
  <c r="A66" i="18"/>
  <c r="A84" i="18"/>
  <c r="C87" i="18"/>
  <c r="C101" i="18"/>
  <c r="A92" i="18"/>
  <c r="A30" i="18"/>
  <c r="C94" i="18"/>
  <c r="C115" i="18"/>
  <c r="C98" i="18"/>
  <c r="A48" i="18"/>
  <c r="A39" i="18"/>
  <c r="A6" i="16"/>
  <c r="A6" i="15"/>
  <c r="I8" i="21" s="1"/>
  <c r="A6" i="17"/>
  <c r="B17" i="5"/>
  <c r="B89" i="5"/>
  <c r="C29" i="5"/>
  <c r="B185" i="5"/>
  <c r="B101" i="5"/>
  <c r="B41" i="5"/>
  <c r="B113" i="5"/>
  <c r="B149" i="5"/>
  <c r="C41" i="5"/>
  <c r="C53" i="5"/>
  <c r="B53" i="5"/>
  <c r="B173" i="5"/>
  <c r="B65" i="5"/>
  <c r="B125" i="5"/>
  <c r="B161" i="5"/>
  <c r="B137" i="5"/>
  <c r="B29" i="5"/>
  <c r="B77" i="5"/>
  <c r="C17" i="5"/>
  <c r="A50" i="5"/>
  <c r="E84" i="3"/>
  <c r="E62" i="3"/>
  <c r="A49" i="18" l="1"/>
  <c r="C104" i="18"/>
  <c r="A85" i="18"/>
  <c r="C113" i="18"/>
  <c r="C111" i="18"/>
  <c r="A58" i="18"/>
  <c r="A31" i="18"/>
  <c r="C97" i="18"/>
  <c r="C96" i="18"/>
  <c r="C120" i="18"/>
  <c r="A40" i="18"/>
  <c r="C108" i="18"/>
  <c r="A94" i="18"/>
  <c r="A67" i="18"/>
  <c r="C92" i="18"/>
  <c r="C125" i="18"/>
  <c r="A102" i="18"/>
  <c r="A76" i="18"/>
  <c r="A93" i="18"/>
  <c r="C99" i="18"/>
  <c r="A26" i="5"/>
  <c r="A4" i="16"/>
  <c r="A4" i="15"/>
  <c r="I6" i="21" s="1"/>
  <c r="A4" i="17"/>
  <c r="B186" i="5"/>
  <c r="A2" i="5"/>
  <c r="A2" i="17"/>
  <c r="A2" i="16"/>
  <c r="A2" i="15"/>
  <c r="I4" i="21" s="1"/>
  <c r="A98" i="5"/>
  <c r="A10" i="17"/>
  <c r="A10" i="15"/>
  <c r="I12" i="21" s="1"/>
  <c r="A10" i="16"/>
  <c r="B126" i="5"/>
  <c r="B114" i="5"/>
  <c r="A182" i="5"/>
  <c r="A17" i="17"/>
  <c r="A17" i="15"/>
  <c r="I19" i="21" s="1"/>
  <c r="A17" i="16"/>
  <c r="A74" i="5"/>
  <c r="A8" i="16"/>
  <c r="A8" i="17"/>
  <c r="A8" i="15"/>
  <c r="I10" i="21" s="1"/>
  <c r="B30" i="5"/>
  <c r="C54" i="5"/>
  <c r="B42" i="5"/>
  <c r="B90" i="5"/>
  <c r="A15" i="16"/>
  <c r="A15" i="17"/>
  <c r="A15" i="15"/>
  <c r="I17" i="21" s="1"/>
  <c r="A7" i="16"/>
  <c r="A7" i="17"/>
  <c r="A7" i="15"/>
  <c r="I9" i="21" s="1"/>
  <c r="A134" i="5"/>
  <c r="A13" i="15"/>
  <c r="I15" i="21" s="1"/>
  <c r="A13" i="17"/>
  <c r="A13" i="16"/>
  <c r="A12" i="15"/>
  <c r="I14" i="21" s="1"/>
  <c r="A12" i="17"/>
  <c r="A12" i="16"/>
  <c r="A3" i="15"/>
  <c r="I5" i="21" s="1"/>
  <c r="A3" i="16"/>
  <c r="A3" i="17"/>
  <c r="C18" i="5"/>
  <c r="B162" i="5"/>
  <c r="B150" i="5"/>
  <c r="A110" i="5"/>
  <c r="A11" i="15"/>
  <c r="I13" i="21" s="1"/>
  <c r="A11" i="16"/>
  <c r="A11" i="17"/>
  <c r="B3" i="5"/>
  <c r="B78" i="5"/>
  <c r="B54" i="5"/>
  <c r="C30" i="5"/>
  <c r="A86" i="5"/>
  <c r="A9" i="17"/>
  <c r="A9" i="15"/>
  <c r="I11" i="21" s="1"/>
  <c r="A9" i="16"/>
  <c r="A170" i="5"/>
  <c r="A16" i="16"/>
  <c r="A16" i="17"/>
  <c r="A16" i="15"/>
  <c r="I18" i="21" s="1"/>
  <c r="B66" i="5"/>
  <c r="A14" i="17"/>
  <c r="A14" i="16"/>
  <c r="A14" i="15"/>
  <c r="I16" i="21" s="1"/>
  <c r="A5" i="15"/>
  <c r="I7" i="21" s="1"/>
  <c r="A5" i="17"/>
  <c r="A5" i="16"/>
  <c r="A51" i="5"/>
  <c r="B138" i="5"/>
  <c r="B174" i="5"/>
  <c r="C42" i="5"/>
  <c r="B102" i="5"/>
  <c r="B18" i="5"/>
  <c r="A146" i="5"/>
  <c r="A122" i="5"/>
  <c r="A158" i="5"/>
  <c r="A14" i="5"/>
  <c r="A62" i="5"/>
  <c r="A38" i="5"/>
  <c r="E105" i="3"/>
  <c r="E63" i="3"/>
  <c r="E86" i="3"/>
  <c r="E89" i="3"/>
  <c r="E92" i="3"/>
  <c r="E71" i="3"/>
  <c r="E94" i="3"/>
  <c r="E80" i="3"/>
  <c r="D95" i="3"/>
  <c r="F95" i="3"/>
  <c r="G95" i="3"/>
  <c r="D80" i="3"/>
  <c r="F80" i="3"/>
  <c r="G80" i="3"/>
  <c r="D81" i="3"/>
  <c r="F81" i="3"/>
  <c r="G81" i="3"/>
  <c r="D82" i="3"/>
  <c r="F82" i="3"/>
  <c r="G82" i="3"/>
  <c r="D83" i="3"/>
  <c r="F83" i="3"/>
  <c r="G83" i="3"/>
  <c r="D85" i="3"/>
  <c r="F85" i="3"/>
  <c r="G85" i="3"/>
  <c r="D86" i="3"/>
  <c r="F86" i="3"/>
  <c r="G86" i="3"/>
  <c r="D87" i="3"/>
  <c r="F87" i="3"/>
  <c r="G87" i="3"/>
  <c r="D88" i="3"/>
  <c r="F88" i="3"/>
  <c r="G88" i="3"/>
  <c r="D89" i="3"/>
  <c r="F89" i="3"/>
  <c r="G89" i="3"/>
  <c r="D90" i="3"/>
  <c r="F90" i="3"/>
  <c r="G90" i="3"/>
  <c r="D91" i="3"/>
  <c r="F91" i="3"/>
  <c r="G91" i="3"/>
  <c r="D92" i="3"/>
  <c r="F92" i="3"/>
  <c r="G92" i="3"/>
  <c r="D93" i="3"/>
  <c r="F93" i="3"/>
  <c r="G93" i="3"/>
  <c r="D94" i="3"/>
  <c r="F94" i="3"/>
  <c r="G94" i="3"/>
  <c r="E79" i="3"/>
  <c r="F79" i="3"/>
  <c r="G79" i="3"/>
  <c r="H79" i="3"/>
  <c r="I79" i="3"/>
  <c r="D79" i="3"/>
  <c r="I57" i="3"/>
  <c r="H57" i="3"/>
  <c r="G57" i="3"/>
  <c r="F57" i="3"/>
  <c r="E57" i="3"/>
  <c r="H73" i="3"/>
  <c r="F73" i="3"/>
  <c r="G73" i="3"/>
  <c r="F58" i="3"/>
  <c r="G58" i="3"/>
  <c r="F59" i="3"/>
  <c r="G59" i="3"/>
  <c r="F60" i="3"/>
  <c r="G60" i="3"/>
  <c r="F61" i="3"/>
  <c r="G61" i="3"/>
  <c r="H63" i="3"/>
  <c r="F63" i="3"/>
  <c r="G63" i="3"/>
  <c r="F64" i="3"/>
  <c r="G64" i="3"/>
  <c r="H65" i="3"/>
  <c r="F65" i="3"/>
  <c r="G65" i="3"/>
  <c r="F66" i="3"/>
  <c r="G66" i="3"/>
  <c r="H67" i="3"/>
  <c r="F67" i="3"/>
  <c r="G67" i="3"/>
  <c r="H68" i="3"/>
  <c r="F68" i="3"/>
  <c r="G68" i="3"/>
  <c r="F69" i="3"/>
  <c r="G69" i="3"/>
  <c r="F70" i="3"/>
  <c r="G70" i="3"/>
  <c r="H71" i="3"/>
  <c r="F71" i="3"/>
  <c r="G71" i="3"/>
  <c r="H72" i="3"/>
  <c r="F72" i="3"/>
  <c r="G72" i="3"/>
  <c r="D57" i="3"/>
  <c r="F50" i="3"/>
  <c r="G50" i="3"/>
  <c r="F35" i="3"/>
  <c r="G35" i="3"/>
  <c r="F36" i="3"/>
  <c r="G36" i="3"/>
  <c r="F37" i="3"/>
  <c r="G37" i="3"/>
  <c r="F38" i="3"/>
  <c r="G38" i="3"/>
  <c r="F40" i="3"/>
  <c r="G40" i="3"/>
  <c r="F41" i="3"/>
  <c r="G41" i="3"/>
  <c r="F42" i="3"/>
  <c r="G42" i="3"/>
  <c r="F43" i="3"/>
  <c r="G43" i="3"/>
  <c r="F44" i="3"/>
  <c r="G44" i="3"/>
  <c r="F45" i="3"/>
  <c r="G45" i="3"/>
  <c r="F46" i="3"/>
  <c r="G46" i="3"/>
  <c r="F47" i="3"/>
  <c r="G47" i="3"/>
  <c r="F48" i="3"/>
  <c r="G48" i="3"/>
  <c r="F49" i="3"/>
  <c r="G49" i="3"/>
  <c r="E34" i="3"/>
  <c r="F34" i="3"/>
  <c r="G34" i="3"/>
  <c r="H34" i="3"/>
  <c r="I34" i="3"/>
  <c r="D34" i="3"/>
  <c r="F8" i="3"/>
  <c r="E3" i="3"/>
  <c r="F3" i="3"/>
  <c r="E4" i="3"/>
  <c r="F4" i="3"/>
  <c r="E5" i="3"/>
  <c r="F5" i="3"/>
  <c r="E6" i="3"/>
  <c r="F6" i="3"/>
  <c r="F2" i="3"/>
  <c r="E2" i="3"/>
  <c r="E91" i="3" l="1"/>
  <c r="E115" i="3"/>
  <c r="E43" i="3"/>
  <c r="E112" i="3"/>
  <c r="E50" i="3"/>
  <c r="E119" i="3"/>
  <c r="E60" i="3"/>
  <c r="E106" i="3"/>
  <c r="E42" i="3"/>
  <c r="E111" i="3"/>
  <c r="E83" i="3"/>
  <c r="E107" i="3"/>
  <c r="E45" i="3"/>
  <c r="E114" i="3"/>
  <c r="C135" i="18"/>
  <c r="C130" i="18"/>
  <c r="A68" i="18"/>
  <c r="A103" i="18"/>
  <c r="A104" i="18"/>
  <c r="C106" i="18"/>
  <c r="A95" i="18"/>
  <c r="A86" i="18"/>
  <c r="C102" i="18"/>
  <c r="C118" i="18"/>
  <c r="C114" i="18"/>
  <c r="C107" i="18"/>
  <c r="C121" i="18"/>
  <c r="A59" i="18"/>
  <c r="A112" i="18"/>
  <c r="A77" i="18"/>
  <c r="A50" i="18"/>
  <c r="C123" i="18"/>
  <c r="C109" i="18"/>
  <c r="A41" i="18"/>
  <c r="B19" i="5"/>
  <c r="A99" i="5"/>
  <c r="B4" i="5"/>
  <c r="B115" i="5"/>
  <c r="A15" i="5"/>
  <c r="B103" i="5"/>
  <c r="A52" i="5"/>
  <c r="B163" i="5"/>
  <c r="A135" i="5"/>
  <c r="C55" i="5"/>
  <c r="A75" i="5"/>
  <c r="A159" i="5"/>
  <c r="A171" i="5"/>
  <c r="C31" i="5"/>
  <c r="B127" i="5"/>
  <c r="B139" i="5"/>
  <c r="B43" i="5"/>
  <c r="B187" i="5"/>
  <c r="C19" i="5"/>
  <c r="B31" i="5"/>
  <c r="A147" i="5"/>
  <c r="B55" i="5"/>
  <c r="B175" i="5"/>
  <c r="B67" i="5"/>
  <c r="A111" i="5"/>
  <c r="B91" i="5"/>
  <c r="A3" i="5"/>
  <c r="B151" i="5"/>
  <c r="A63" i="5"/>
  <c r="A87" i="5"/>
  <c r="A123" i="5"/>
  <c r="C43" i="5"/>
  <c r="A39" i="5"/>
  <c r="B79" i="5"/>
  <c r="A183" i="5"/>
  <c r="A27" i="5"/>
  <c r="C158" i="5"/>
  <c r="C122" i="5"/>
  <c r="C2" i="5"/>
  <c r="C74" i="5"/>
  <c r="C62" i="5"/>
  <c r="C146" i="5"/>
  <c r="C110" i="5"/>
  <c r="C98" i="5"/>
  <c r="C170" i="5"/>
  <c r="C134" i="5"/>
  <c r="C182" i="5"/>
  <c r="C86" i="5"/>
  <c r="H83" i="3"/>
  <c r="H84" i="3"/>
  <c r="E72" i="3"/>
  <c r="H86" i="3"/>
  <c r="H82" i="3"/>
  <c r="H12" i="3"/>
  <c r="E58" i="3"/>
  <c r="E65" i="3"/>
  <c r="E73" i="3"/>
  <c r="E66" i="3"/>
  <c r="E35" i="3"/>
  <c r="E70" i="3"/>
  <c r="E49" i="3"/>
  <c r="E61" i="3"/>
  <c r="E46" i="3"/>
  <c r="E87" i="3"/>
  <c r="E41" i="3"/>
  <c r="E68" i="3"/>
  <c r="E36" i="3"/>
  <c r="E64" i="3"/>
  <c r="E95" i="3"/>
  <c r="E59" i="3"/>
  <c r="E82" i="3"/>
  <c r="E90" i="3"/>
  <c r="E69" i="3"/>
  <c r="E81" i="3"/>
  <c r="E37" i="3"/>
  <c r="E44" i="3"/>
  <c r="E93" i="3"/>
  <c r="E85" i="3"/>
  <c r="E47" i="3"/>
  <c r="E38" i="3"/>
  <c r="E67" i="3"/>
  <c r="E88" i="3"/>
  <c r="E48" i="3"/>
  <c r="E40" i="3"/>
  <c r="A51" i="18" l="1"/>
  <c r="A69" i="18"/>
  <c r="C128" i="18"/>
  <c r="A113" i="18"/>
  <c r="A87" i="18"/>
  <c r="C140" i="18"/>
  <c r="A60" i="18"/>
  <c r="C119" i="18"/>
  <c r="C131" i="18"/>
  <c r="C112" i="18"/>
  <c r="C116" i="18"/>
  <c r="A78" i="18"/>
  <c r="C133" i="18"/>
  <c r="A122" i="18"/>
  <c r="C117" i="18"/>
  <c r="A96" i="18"/>
  <c r="A114" i="18"/>
  <c r="C124" i="18"/>
  <c r="A105" i="18"/>
  <c r="C145" i="18"/>
  <c r="C183" i="5"/>
  <c r="C3" i="5"/>
  <c r="B188" i="5"/>
  <c r="B140" i="5"/>
  <c r="A172" i="5"/>
  <c r="C135" i="5"/>
  <c r="C123" i="5"/>
  <c r="A64" i="5"/>
  <c r="A112" i="5"/>
  <c r="A148" i="5"/>
  <c r="A76" i="5"/>
  <c r="A53" i="5"/>
  <c r="C171" i="5"/>
  <c r="C159" i="5"/>
  <c r="B80" i="5"/>
  <c r="B44" i="5"/>
  <c r="A160" i="5"/>
  <c r="C44" i="5"/>
  <c r="B32" i="5"/>
  <c r="B5" i="5"/>
  <c r="C111" i="5"/>
  <c r="A28" i="5"/>
  <c r="B128" i="5"/>
  <c r="C147" i="5"/>
  <c r="A124" i="5"/>
  <c r="A4" i="5"/>
  <c r="B176" i="5"/>
  <c r="C20" i="5"/>
  <c r="A136" i="5"/>
  <c r="A16" i="5"/>
  <c r="A100" i="5"/>
  <c r="C63" i="5"/>
  <c r="A184" i="5"/>
  <c r="A40" i="5"/>
  <c r="C32" i="5"/>
  <c r="C99" i="5"/>
  <c r="B152" i="5"/>
  <c r="B68" i="5"/>
  <c r="C56" i="5"/>
  <c r="B104" i="5"/>
  <c r="C87" i="5"/>
  <c r="C75" i="5"/>
  <c r="A88" i="5"/>
  <c r="B92" i="5"/>
  <c r="B56" i="5"/>
  <c r="B164" i="5"/>
  <c r="B116" i="5"/>
  <c r="B20" i="5"/>
  <c r="H94" i="3"/>
  <c r="H91" i="3"/>
  <c r="H87" i="3"/>
  <c r="H80" i="3"/>
  <c r="H88" i="3"/>
  <c r="H95" i="3"/>
  <c r="H85" i="3"/>
  <c r="H81" i="3"/>
  <c r="H89" i="3"/>
  <c r="H92" i="3"/>
  <c r="H93" i="3"/>
  <c r="H90" i="3"/>
  <c r="A106" i="18" l="1"/>
  <c r="C122" i="18"/>
  <c r="C143" i="18"/>
  <c r="C150" i="18"/>
  <c r="C138" i="18"/>
  <c r="A115" i="18"/>
  <c r="A88" i="18"/>
  <c r="C141" i="18"/>
  <c r="A97" i="18"/>
  <c r="C134" i="18"/>
  <c r="C127" i="18"/>
  <c r="C129" i="18"/>
  <c r="A79" i="18"/>
  <c r="A132" i="18"/>
  <c r="C126" i="18"/>
  <c r="A70" i="18"/>
  <c r="C155" i="18"/>
  <c r="A124" i="18"/>
  <c r="A123" i="18"/>
  <c r="A61" i="18"/>
  <c r="C33" i="5"/>
  <c r="A161" i="5"/>
  <c r="B57" i="5"/>
  <c r="C88" i="5"/>
  <c r="B153" i="5"/>
  <c r="A101" i="5"/>
  <c r="B177" i="5"/>
  <c r="B129" i="5"/>
  <c r="B6" i="5"/>
  <c r="B45" i="5"/>
  <c r="A113" i="5"/>
  <c r="A173" i="5"/>
  <c r="B69" i="5"/>
  <c r="C64" i="5"/>
  <c r="C148" i="5"/>
  <c r="C172" i="5"/>
  <c r="C136" i="5"/>
  <c r="B21" i="5"/>
  <c r="B93" i="5"/>
  <c r="A17" i="5"/>
  <c r="A54" i="5"/>
  <c r="A65" i="5"/>
  <c r="C4" i="5"/>
  <c r="B165" i="5"/>
  <c r="C76" i="5"/>
  <c r="C21" i="5"/>
  <c r="C112" i="5"/>
  <c r="A149" i="5"/>
  <c r="B105" i="5"/>
  <c r="A41" i="5"/>
  <c r="A5" i="5"/>
  <c r="B33" i="5"/>
  <c r="B81" i="5"/>
  <c r="B141" i="5"/>
  <c r="B117" i="5"/>
  <c r="A89" i="5"/>
  <c r="C57" i="5"/>
  <c r="C100" i="5"/>
  <c r="A185" i="5"/>
  <c r="A137" i="5"/>
  <c r="A125" i="5"/>
  <c r="A29" i="5"/>
  <c r="C45" i="5"/>
  <c r="C160" i="5"/>
  <c r="A77" i="5"/>
  <c r="C124" i="5"/>
  <c r="B189" i="5"/>
  <c r="C184" i="5"/>
  <c r="S7" i="3"/>
  <c r="AI8" i="5"/>
  <c r="C144" i="18" l="1"/>
  <c r="A98" i="18"/>
  <c r="A80" i="18"/>
  <c r="A89" i="18"/>
  <c r="A107" i="18"/>
  <c r="A134" i="18"/>
  <c r="A125" i="18"/>
  <c r="C132" i="18"/>
  <c r="A142" i="18"/>
  <c r="C153" i="18"/>
  <c r="A133" i="18"/>
  <c r="C136" i="18"/>
  <c r="C139" i="18"/>
  <c r="C148" i="18"/>
  <c r="C137" i="18"/>
  <c r="C151" i="18"/>
  <c r="A116" i="18"/>
  <c r="A71" i="18"/>
  <c r="C160" i="18"/>
  <c r="C125" i="5"/>
  <c r="A30" i="5"/>
  <c r="C101" i="5"/>
  <c r="B142" i="5"/>
  <c r="A42" i="5"/>
  <c r="C22" i="5"/>
  <c r="A66" i="5"/>
  <c r="C173" i="5"/>
  <c r="B7" i="5"/>
  <c r="B154" i="5"/>
  <c r="A78" i="5"/>
  <c r="A126" i="5"/>
  <c r="C58" i="5"/>
  <c r="B82" i="5"/>
  <c r="B106" i="5"/>
  <c r="C77" i="5"/>
  <c r="A55" i="5"/>
  <c r="B94" i="5"/>
  <c r="C149" i="5"/>
  <c r="A174" i="5"/>
  <c r="B130" i="5"/>
  <c r="C89" i="5"/>
  <c r="C185" i="5"/>
  <c r="A90" i="5"/>
  <c r="B34" i="5"/>
  <c r="B166" i="5"/>
  <c r="B22" i="5"/>
  <c r="A114" i="5"/>
  <c r="A162" i="5"/>
  <c r="C161" i="5"/>
  <c r="A138" i="5"/>
  <c r="A150" i="5"/>
  <c r="C65" i="5"/>
  <c r="B178" i="5"/>
  <c r="B58" i="5"/>
  <c r="B190" i="5"/>
  <c r="C46" i="5"/>
  <c r="A186" i="5"/>
  <c r="B118" i="5"/>
  <c r="A6" i="5"/>
  <c r="C113" i="5"/>
  <c r="C5" i="5"/>
  <c r="A18" i="5"/>
  <c r="C137" i="5"/>
  <c r="B70" i="5"/>
  <c r="B46" i="5"/>
  <c r="A102" i="5"/>
  <c r="C34" i="5"/>
  <c r="C146" i="18" l="1"/>
  <c r="A152" i="18"/>
  <c r="A90" i="18"/>
  <c r="C161" i="18"/>
  <c r="A144" i="18"/>
  <c r="A81" i="18"/>
  <c r="A117" i="18"/>
  <c r="C142" i="18"/>
  <c r="A108" i="18"/>
  <c r="A143" i="18"/>
  <c r="C147" i="18"/>
  <c r="C158" i="18"/>
  <c r="A99" i="18"/>
  <c r="A135" i="18"/>
  <c r="A126" i="18"/>
  <c r="C149" i="18"/>
  <c r="C154" i="18"/>
  <c r="B47" i="5"/>
  <c r="C6" i="5"/>
  <c r="A187" i="5"/>
  <c r="B179" i="5"/>
  <c r="A139" i="5"/>
  <c r="A115" i="5"/>
  <c r="A91" i="5"/>
  <c r="B131" i="5"/>
  <c r="A56" i="5"/>
  <c r="C59" i="5"/>
  <c r="B155" i="5"/>
  <c r="B143" i="5"/>
  <c r="B71" i="5"/>
  <c r="C114" i="5"/>
  <c r="C47" i="5"/>
  <c r="C66" i="5"/>
  <c r="C162" i="5"/>
  <c r="B23" i="5"/>
  <c r="C186" i="5"/>
  <c r="A175" i="5"/>
  <c r="C78" i="5"/>
  <c r="A127" i="5"/>
  <c r="B8" i="5"/>
  <c r="A67" i="5"/>
  <c r="C102" i="5"/>
  <c r="C138" i="5"/>
  <c r="A31" i="5"/>
  <c r="C35" i="5"/>
  <c r="A7" i="5"/>
  <c r="B191" i="5"/>
  <c r="B167" i="5"/>
  <c r="C150" i="5"/>
  <c r="B107" i="5"/>
  <c r="A79" i="5"/>
  <c r="C23" i="5"/>
  <c r="A103" i="5"/>
  <c r="A19" i="5"/>
  <c r="B119" i="5"/>
  <c r="B59" i="5"/>
  <c r="A151" i="5"/>
  <c r="A163" i="5"/>
  <c r="B35" i="5"/>
  <c r="C90" i="5"/>
  <c r="B95" i="5"/>
  <c r="B83" i="5"/>
  <c r="C174" i="5"/>
  <c r="A43" i="5"/>
  <c r="C126" i="5"/>
  <c r="A118" i="18" l="1"/>
  <c r="A100" i="18"/>
  <c r="A136" i="18"/>
  <c r="A91" i="18"/>
  <c r="A145" i="18"/>
  <c r="A154" i="18"/>
  <c r="C157" i="18"/>
  <c r="C152" i="18"/>
  <c r="C159" i="18"/>
  <c r="A153" i="18"/>
  <c r="A109" i="18"/>
  <c r="A127" i="18"/>
  <c r="C156" i="18"/>
  <c r="C127" i="5"/>
  <c r="A104" i="5"/>
  <c r="C151" i="5"/>
  <c r="C36" i="5"/>
  <c r="A68" i="5"/>
  <c r="A176" i="5"/>
  <c r="C67" i="5"/>
  <c r="B144" i="5"/>
  <c r="B132" i="5"/>
  <c r="B180" i="5"/>
  <c r="A44" i="5"/>
  <c r="C91" i="5"/>
  <c r="B60" i="5"/>
  <c r="C24" i="5"/>
  <c r="B168" i="5"/>
  <c r="A32" i="5"/>
  <c r="B9" i="5"/>
  <c r="C187" i="5"/>
  <c r="C48" i="5"/>
  <c r="B156" i="5"/>
  <c r="A92" i="5"/>
  <c r="A188" i="5"/>
  <c r="B96" i="5"/>
  <c r="C175" i="5"/>
  <c r="B36" i="5"/>
  <c r="A80" i="5"/>
  <c r="C139" i="5"/>
  <c r="B24" i="5"/>
  <c r="C60" i="5"/>
  <c r="C7" i="5"/>
  <c r="A152" i="5"/>
  <c r="B120" i="5"/>
  <c r="B192" i="5"/>
  <c r="A128" i="5"/>
  <c r="C115" i="5"/>
  <c r="A116" i="5"/>
  <c r="B84" i="5"/>
  <c r="A164" i="5"/>
  <c r="A20" i="5"/>
  <c r="B108" i="5"/>
  <c r="A8" i="5"/>
  <c r="C103" i="5"/>
  <c r="C79" i="5"/>
  <c r="C163" i="5"/>
  <c r="B72" i="5"/>
  <c r="A57" i="5"/>
  <c r="A140" i="5"/>
  <c r="B48" i="5"/>
  <c r="A146" i="18" l="1"/>
  <c r="A119" i="18"/>
  <c r="A110" i="18"/>
  <c r="A155" i="18"/>
  <c r="A101" i="18"/>
  <c r="A128" i="18"/>
  <c r="A137" i="18"/>
  <c r="B49" i="5"/>
  <c r="C164" i="5"/>
  <c r="B109" i="5"/>
  <c r="A117" i="5"/>
  <c r="B121" i="5"/>
  <c r="B25" i="5"/>
  <c r="C176" i="5"/>
  <c r="B157" i="5"/>
  <c r="A33" i="5"/>
  <c r="C92" i="5"/>
  <c r="B145" i="5"/>
  <c r="C37" i="5"/>
  <c r="A141" i="5"/>
  <c r="C80" i="5"/>
  <c r="A21" i="5"/>
  <c r="C116" i="5"/>
  <c r="A153" i="5"/>
  <c r="C140" i="5"/>
  <c r="B97" i="5"/>
  <c r="C49" i="5"/>
  <c r="B169" i="5"/>
  <c r="A45" i="5"/>
  <c r="C68" i="5"/>
  <c r="C152" i="5"/>
  <c r="A165" i="5"/>
  <c r="C8" i="5"/>
  <c r="A189" i="5"/>
  <c r="B181" i="5"/>
  <c r="A105" i="5"/>
  <c r="A58" i="5"/>
  <c r="C104" i="5"/>
  <c r="A129" i="5"/>
  <c r="A81" i="5"/>
  <c r="C188" i="5"/>
  <c r="C25" i="5"/>
  <c r="A177" i="5"/>
  <c r="B73" i="5"/>
  <c r="A9" i="5"/>
  <c r="B85" i="5"/>
  <c r="B193" i="5"/>
  <c r="C61" i="5"/>
  <c r="B37" i="5"/>
  <c r="A93" i="5"/>
  <c r="B10" i="5"/>
  <c r="B61" i="5"/>
  <c r="B133" i="5"/>
  <c r="A69" i="5"/>
  <c r="C128" i="5"/>
  <c r="A111" i="18" l="1"/>
  <c r="A120" i="18"/>
  <c r="A147" i="18"/>
  <c r="A129" i="18"/>
  <c r="A138" i="18"/>
  <c r="A156" i="18"/>
  <c r="C129" i="5"/>
  <c r="B11" i="5"/>
  <c r="A178" i="5"/>
  <c r="A130" i="5"/>
  <c r="C153" i="5"/>
  <c r="C117" i="5"/>
  <c r="A118" i="5"/>
  <c r="A70" i="5"/>
  <c r="A94" i="5"/>
  <c r="A190" i="5"/>
  <c r="C69" i="5"/>
  <c r="A22" i="5"/>
  <c r="A59" i="5"/>
  <c r="C105" i="5"/>
  <c r="C177" i="5"/>
  <c r="A10" i="5"/>
  <c r="C189" i="5"/>
  <c r="C9" i="5"/>
  <c r="A46" i="5"/>
  <c r="C141" i="5"/>
  <c r="C81" i="5"/>
  <c r="C93" i="5"/>
  <c r="C165" i="5"/>
  <c r="A82" i="5"/>
  <c r="A106" i="5"/>
  <c r="A166" i="5"/>
  <c r="A154" i="5"/>
  <c r="A142" i="5"/>
  <c r="A34" i="5"/>
  <c r="A148" i="18" l="1"/>
  <c r="A139" i="18"/>
  <c r="A130" i="18"/>
  <c r="A121" i="18"/>
  <c r="A157" i="18"/>
  <c r="A143" i="5"/>
  <c r="A83" i="5"/>
  <c r="C142" i="5"/>
  <c r="A11" i="5"/>
  <c r="A23" i="5"/>
  <c r="A71" i="5"/>
  <c r="A131" i="5"/>
  <c r="A155" i="5"/>
  <c r="C166" i="5"/>
  <c r="A47" i="5"/>
  <c r="C178" i="5"/>
  <c r="C70" i="5"/>
  <c r="A119" i="5"/>
  <c r="A179" i="5"/>
  <c r="B12" i="5"/>
  <c r="A167" i="5"/>
  <c r="C94" i="5"/>
  <c r="C10" i="5"/>
  <c r="C106" i="5"/>
  <c r="A191" i="5"/>
  <c r="C118" i="5"/>
  <c r="A35" i="5"/>
  <c r="A107" i="5"/>
  <c r="C82" i="5"/>
  <c r="C190" i="5"/>
  <c r="A60" i="5"/>
  <c r="A95" i="5"/>
  <c r="C154" i="5"/>
  <c r="C130" i="5"/>
  <c r="A131" i="18" l="1"/>
  <c r="A149" i="18"/>
  <c r="A158" i="18"/>
  <c r="A140" i="18"/>
  <c r="C131" i="5"/>
  <c r="C191" i="5"/>
  <c r="C119" i="5"/>
  <c r="C95" i="5"/>
  <c r="A120" i="5"/>
  <c r="C167" i="5"/>
  <c r="A24" i="5"/>
  <c r="A144" i="5"/>
  <c r="C155" i="5"/>
  <c r="C83" i="5"/>
  <c r="A192" i="5"/>
  <c r="A168" i="5"/>
  <c r="C71" i="5"/>
  <c r="A156" i="5"/>
  <c r="A12" i="5"/>
  <c r="A96" i="5"/>
  <c r="A108" i="5"/>
  <c r="C107" i="5"/>
  <c r="B13" i="5"/>
  <c r="C179" i="5"/>
  <c r="A132" i="5"/>
  <c r="C143" i="5"/>
  <c r="A61" i="5"/>
  <c r="A36" i="5"/>
  <c r="C11" i="5"/>
  <c r="A180" i="5"/>
  <c r="A48" i="5"/>
  <c r="A72" i="5"/>
  <c r="A84" i="5"/>
  <c r="A150" i="18" l="1"/>
  <c r="A159" i="18"/>
  <c r="A141" i="18"/>
  <c r="A85" i="5"/>
  <c r="C12" i="5"/>
  <c r="A133" i="5"/>
  <c r="A109" i="5"/>
  <c r="C72" i="5"/>
  <c r="C156" i="5"/>
  <c r="A121" i="5"/>
  <c r="C132" i="5"/>
  <c r="A73" i="5"/>
  <c r="A37" i="5"/>
  <c r="C180" i="5"/>
  <c r="A97" i="5"/>
  <c r="A169" i="5"/>
  <c r="A145" i="5"/>
  <c r="C96" i="5"/>
  <c r="A49" i="5"/>
  <c r="A13" i="5"/>
  <c r="A193" i="5"/>
  <c r="A25" i="5"/>
  <c r="C120" i="5"/>
  <c r="A181" i="5"/>
  <c r="C144" i="5"/>
  <c r="C108" i="5"/>
  <c r="A157" i="5"/>
  <c r="C84" i="5"/>
  <c r="C168" i="5"/>
  <c r="C192" i="5"/>
  <c r="A151" i="18" l="1"/>
  <c r="A160" i="18"/>
  <c r="C85" i="5"/>
  <c r="C73" i="5"/>
  <c r="C121" i="5"/>
  <c r="C133" i="5"/>
  <c r="C193" i="5"/>
  <c r="C109" i="5"/>
  <c r="C97" i="5"/>
  <c r="C181" i="5"/>
  <c r="C169" i="5"/>
  <c r="C145" i="5"/>
  <c r="C157" i="5"/>
  <c r="C13" i="5"/>
  <c r="A161" i="18" l="1"/>
  <c r="G3" i="6" l="1"/>
  <c r="Q4" i="21"/>
  <c r="H3" i="6" l="1"/>
  <c r="R4" i="21"/>
  <c r="U5" i="21"/>
  <c r="F3" i="6" l="1"/>
  <c r="P4" i="21"/>
  <c r="I3" i="6"/>
  <c r="S4" i="21"/>
  <c r="V5" i="21"/>
  <c r="E2" i="28" l="1"/>
  <c r="T5" i="21"/>
  <c r="W5" i="21"/>
  <c r="AS43" i="7" l="1"/>
  <c r="AS23" i="7"/>
  <c r="AQ62" i="7"/>
  <c r="AQ59" i="7"/>
  <c r="AQ34" i="7" l="1"/>
  <c r="AQ56" i="7"/>
  <c r="AQ29" i="7"/>
  <c r="AQ43" i="7"/>
  <c r="AQ31" i="7"/>
  <c r="AQ57" i="7"/>
  <c r="AS39" i="7"/>
  <c r="AQ39" i="7"/>
  <c r="AS62" i="7"/>
  <c r="AS57" i="7"/>
  <c r="AS56" i="7"/>
  <c r="AS59" i="7"/>
  <c r="AS34" i="7"/>
  <c r="AS41" i="7"/>
  <c r="AS55" i="7"/>
  <c r="AS24" i="7"/>
  <c r="AS40" i="7"/>
  <c r="AQ42" i="7"/>
  <c r="AQ23" i="7"/>
  <c r="AS42" i="7"/>
  <c r="AS49" i="7"/>
  <c r="AS36" i="7"/>
  <c r="AS25" i="7"/>
  <c r="AQ28" i="7"/>
  <c r="AS54" i="7"/>
  <c r="AS44" i="7"/>
  <c r="AS26" i="7"/>
  <c r="AS27" i="7"/>
  <c r="AS48" i="7"/>
  <c r="AQ32" i="7"/>
  <c r="AS30" i="7"/>
  <c r="AQ36" i="7"/>
  <c r="AQ25" i="7"/>
  <c r="AS46" i="7"/>
  <c r="AQ33" i="7"/>
  <c r="AS45" i="7"/>
  <c r="AS37" i="7"/>
  <c r="AS64" i="7"/>
  <c r="AQ27" i="7"/>
  <c r="AS32" i="7"/>
  <c r="AS38" i="7"/>
  <c r="AS28" i="7"/>
  <c r="AQ41" i="7"/>
  <c r="AS33" i="7"/>
  <c r="AS35" i="7"/>
  <c r="AQ26" i="7"/>
  <c r="AQ30" i="7"/>
  <c r="AQ35" i="7"/>
  <c r="AQ24" i="7"/>
  <c r="AQ40" i="7"/>
  <c r="AQ37" i="7"/>
  <c r="AQ55" i="7"/>
  <c r="AQ46" i="7"/>
  <c r="AQ45" i="7"/>
  <c r="AS52" i="7"/>
  <c r="AS58" i="7"/>
  <c r="AQ44" i="7"/>
  <c r="AQ64" i="7"/>
  <c r="AQ52" i="7"/>
  <c r="AQ58" i="7"/>
  <c r="AQ48" i="7"/>
  <c r="AQ38" i="7"/>
  <c r="AQ49" i="7"/>
  <c r="AQ54" i="7"/>
  <c r="S78" i="13" l="1"/>
  <c r="S59" i="13"/>
  <c r="S97" i="13"/>
  <c r="S116" i="13"/>
  <c r="S40" i="13"/>
  <c r="S21" i="13"/>
  <c r="K2" i="13" l="1"/>
  <c r="S2" i="13"/>
  <c r="K116" i="13"/>
  <c r="K21" i="13"/>
  <c r="K40" i="13"/>
  <c r="K97" i="13"/>
  <c r="K59" i="13"/>
  <c r="K78" i="13"/>
  <c r="M116" i="13"/>
  <c r="L116" i="13"/>
  <c r="M97" i="13"/>
  <c r="L97" i="13"/>
  <c r="M40" i="13"/>
  <c r="L40" i="13"/>
  <c r="M21" i="13"/>
  <c r="L21" i="13"/>
  <c r="L59" i="13"/>
  <c r="M59" i="13"/>
  <c r="M78" i="13"/>
  <c r="L78" i="13"/>
  <c r="M2" i="13"/>
  <c r="L2" i="13"/>
  <c r="T2" i="13" l="1"/>
  <c r="C2" i="13" s="1"/>
  <c r="T40" i="13"/>
  <c r="C40" i="13" s="1"/>
  <c r="T21" i="13"/>
  <c r="C21" i="13" s="1"/>
  <c r="T78" i="13"/>
  <c r="C78" i="13" s="1"/>
  <c r="T97" i="13"/>
  <c r="C97" i="13" s="1"/>
  <c r="T59" i="13"/>
  <c r="C59" i="13" s="1"/>
  <c r="T116" i="13"/>
  <c r="C116" i="13" s="1"/>
  <c r="P23" i="7" l="1"/>
  <c r="AS51" i="7" l="1"/>
  <c r="AS61" i="7"/>
  <c r="AQ51" i="7" l="1"/>
  <c r="AQ61" i="7"/>
  <c r="AQ60" i="7" l="1"/>
  <c r="AS50" i="7"/>
  <c r="AQ50" i="7"/>
  <c r="AS60" i="7"/>
  <c r="AS63" i="7"/>
  <c r="AQ63" i="7" l="1"/>
  <c r="AS47" i="7" l="1"/>
  <c r="AQ47" i="7" l="1"/>
  <c r="AC19" i="13" l="1"/>
  <c r="K26" i="13" s="1"/>
  <c r="T26" i="13" s="1"/>
  <c r="AC20" i="13"/>
  <c r="K66" i="13" s="1"/>
  <c r="T66" i="13" s="1"/>
  <c r="K7" i="13" l="1"/>
  <c r="C26" i="13"/>
  <c r="K45" i="13"/>
  <c r="T45" i="13" s="1"/>
  <c r="C45" i="13" s="1"/>
  <c r="K64" i="13"/>
  <c r="T64" i="13" s="1"/>
  <c r="C64" i="13" s="1"/>
  <c r="K83" i="13"/>
  <c r="T83" i="13" s="1"/>
  <c r="C83" i="13" s="1"/>
  <c r="K102" i="13"/>
  <c r="T102" i="13" s="1"/>
  <c r="C102" i="13" s="1"/>
  <c r="K121" i="13"/>
  <c r="T121" i="13" s="1"/>
  <c r="C121" i="13" s="1"/>
  <c r="K140" i="13"/>
  <c r="T140" i="13" s="1"/>
  <c r="C140" i="13" s="1"/>
  <c r="K11" i="13"/>
  <c r="T11" i="13" s="1"/>
  <c r="K30" i="13"/>
  <c r="T30" i="13" s="1"/>
  <c r="K8" i="13"/>
  <c r="T8" i="13" s="1"/>
  <c r="K49" i="13"/>
  <c r="T49" i="13" s="1"/>
  <c r="K68" i="13"/>
  <c r="T68" i="13" s="1"/>
  <c r="K87" i="13"/>
  <c r="T87" i="13" s="1"/>
  <c r="K106" i="13"/>
  <c r="T106" i="13" s="1"/>
  <c r="K125" i="13"/>
  <c r="T125" i="13" s="1"/>
  <c r="K144" i="13"/>
  <c r="T144" i="13" s="1"/>
  <c r="K122" i="13"/>
  <c r="T122" i="13" s="1"/>
  <c r="K141" i="13"/>
  <c r="T141" i="13" s="1"/>
  <c r="K65" i="13"/>
  <c r="T65" i="13" s="1"/>
  <c r="K84" i="13"/>
  <c r="T84" i="13" s="1"/>
  <c r="K103" i="13"/>
  <c r="T103" i="13" s="1"/>
  <c r="K27" i="13"/>
  <c r="T27" i="13" s="1"/>
  <c r="K28" i="13"/>
  <c r="T28" i="13" s="1"/>
  <c r="K85" i="13"/>
  <c r="T85" i="13" s="1"/>
  <c r="K47" i="13"/>
  <c r="T47" i="13" s="1"/>
  <c r="K142" i="13"/>
  <c r="T142" i="13" s="1"/>
  <c r="K46" i="13"/>
  <c r="T46" i="13" s="1"/>
  <c r="K104" i="13"/>
  <c r="T104" i="13" s="1"/>
  <c r="K123" i="13"/>
  <c r="T123" i="13" s="1"/>
  <c r="K9" i="13"/>
  <c r="T9" i="13" s="1"/>
  <c r="T7" i="13" l="1"/>
  <c r="C7" i="13" s="1"/>
  <c r="C12" i="13"/>
  <c r="C88" i="13"/>
  <c r="C126" i="13"/>
  <c r="C69" i="13"/>
  <c r="C31" i="13"/>
  <c r="C50" i="13"/>
  <c r="C107" i="13"/>
  <c r="C145" i="13"/>
  <c r="F7" i="3" l="1"/>
  <c r="H71" i="13" l="1"/>
  <c r="I71" i="13" s="1"/>
  <c r="C71" i="13" s="1"/>
  <c r="H33" i="13"/>
  <c r="I33" i="13" s="1"/>
  <c r="C33" i="13" s="1"/>
  <c r="H128" i="13"/>
  <c r="I128" i="13" s="1"/>
  <c r="C128" i="13" s="1"/>
  <c r="H52" i="13"/>
  <c r="I52" i="13" s="1"/>
  <c r="C52" i="13" s="1"/>
  <c r="H109" i="13"/>
  <c r="I109" i="13" s="1"/>
  <c r="C109" i="13" s="1"/>
  <c r="H14" i="13"/>
  <c r="I14" i="13" s="1"/>
  <c r="C14" i="13" s="1"/>
  <c r="H147" i="13"/>
  <c r="I147" i="13" s="1"/>
  <c r="C147" i="13" s="1"/>
  <c r="H90" i="13"/>
  <c r="I90" i="13" s="1"/>
  <c r="C90" i="13" s="1"/>
  <c r="I115" i="13"/>
  <c r="C115" i="13" s="1"/>
  <c r="I20" i="13"/>
  <c r="C20" i="13" s="1"/>
  <c r="I58" i="13"/>
  <c r="C58" i="13" s="1"/>
  <c r="I134" i="13"/>
  <c r="C134" i="13" s="1"/>
  <c r="I39" i="13"/>
  <c r="C39" i="13" s="1"/>
  <c r="I77" i="13"/>
  <c r="C77" i="13" s="1"/>
  <c r="I153" i="13"/>
  <c r="C153" i="13" s="1"/>
  <c r="I96" i="13"/>
  <c r="C96" i="13" s="1"/>
  <c r="I37" i="13"/>
  <c r="C37" i="13" s="1"/>
  <c r="I151" i="13"/>
  <c r="C151" i="13" s="1"/>
  <c r="I94" i="13"/>
  <c r="C94" i="13" s="1"/>
  <c r="I56" i="13"/>
  <c r="C56" i="13" s="1"/>
  <c r="I132" i="13"/>
  <c r="C132" i="13" s="1"/>
  <c r="I113" i="13"/>
  <c r="C113" i="13" s="1"/>
  <c r="I75" i="13"/>
  <c r="C75" i="13" s="1"/>
  <c r="I18" i="13"/>
  <c r="C18" i="13" s="1"/>
  <c r="H141" i="13" l="1"/>
  <c r="I141" i="13" s="1"/>
  <c r="C141" i="13" s="1"/>
  <c r="H27" i="13"/>
  <c r="I27" i="13" s="1"/>
  <c r="C27" i="13" s="1"/>
  <c r="H122" i="13"/>
  <c r="I122" i="13" s="1"/>
  <c r="C122" i="13" s="1"/>
  <c r="H65" i="13"/>
  <c r="I65" i="13" s="1"/>
  <c r="C65" i="13" s="1"/>
  <c r="H84" i="13"/>
  <c r="I84" i="13" s="1"/>
  <c r="C84" i="13" s="1"/>
  <c r="H46" i="13"/>
  <c r="I46" i="13" s="1"/>
  <c r="C46" i="13" s="1"/>
  <c r="H103" i="13"/>
  <c r="I103" i="13" s="1"/>
  <c r="C103" i="13" s="1"/>
  <c r="H8" i="13"/>
  <c r="I8" i="13" s="1"/>
  <c r="C8" i="13" s="1"/>
  <c r="H70" i="13" l="1"/>
  <c r="I70" i="13" s="1"/>
  <c r="C70" i="13" s="1"/>
  <c r="H13" i="13"/>
  <c r="I13" i="13" s="1"/>
  <c r="C13" i="13" s="1"/>
  <c r="H146" i="13"/>
  <c r="I146" i="13" s="1"/>
  <c r="C146" i="13" s="1"/>
  <c r="H108" i="13"/>
  <c r="I108" i="13" s="1"/>
  <c r="C108" i="13" s="1"/>
  <c r="H32" i="13"/>
  <c r="I32" i="13" s="1"/>
  <c r="C32" i="13" s="1"/>
  <c r="H51" i="13"/>
  <c r="I51" i="13" s="1"/>
  <c r="C51" i="13" s="1"/>
  <c r="H89" i="13"/>
  <c r="I89" i="13" s="1"/>
  <c r="C89" i="13" s="1"/>
  <c r="H127" i="13"/>
  <c r="I127" i="13" s="1"/>
  <c r="C127" i="13" s="1"/>
  <c r="H9" i="13" l="1"/>
  <c r="I9" i="13" s="1"/>
  <c r="C9" i="13" s="1"/>
  <c r="H104" i="13"/>
  <c r="I104" i="13" s="1"/>
  <c r="C104" i="13" s="1"/>
  <c r="H66" i="13"/>
  <c r="I66" i="13" s="1"/>
  <c r="C66" i="13" s="1"/>
  <c r="H123" i="13"/>
  <c r="I123" i="13" s="1"/>
  <c r="C123" i="13" s="1"/>
  <c r="H47" i="13"/>
  <c r="I47" i="13" s="1"/>
  <c r="C47" i="13" s="1"/>
  <c r="H142" i="13"/>
  <c r="I142" i="13" s="1"/>
  <c r="C142" i="13" s="1"/>
  <c r="H85" i="13"/>
  <c r="I85" i="13" s="1"/>
  <c r="C85" i="13" s="1"/>
  <c r="H28" i="13"/>
  <c r="I28" i="13" s="1"/>
  <c r="C28" i="13" s="1"/>
  <c r="I11" i="13" l="1"/>
  <c r="C11" i="13" s="1"/>
  <c r="I49" i="13"/>
  <c r="C49" i="13" s="1"/>
  <c r="I68" i="13"/>
  <c r="C68" i="13" s="1"/>
  <c r="I30" i="13"/>
  <c r="C30" i="13" s="1"/>
  <c r="I144" i="13"/>
  <c r="C144" i="13" s="1"/>
  <c r="I106" i="13"/>
  <c r="C106" i="13" s="1"/>
  <c r="I125" i="13"/>
  <c r="C125" i="13" s="1"/>
  <c r="I87" i="13"/>
  <c r="C87" i="13" s="1"/>
  <c r="K6" i="3" l="1"/>
  <c r="G3" i="3"/>
  <c r="G5" i="3"/>
  <c r="I24" i="3" l="1"/>
  <c r="I30" i="3"/>
  <c r="I29" i="3"/>
  <c r="I21" i="3"/>
  <c r="I22" i="3"/>
  <c r="I23" i="3"/>
  <c r="I13" i="3"/>
  <c r="I16" i="3"/>
  <c r="I15" i="3"/>
  <c r="I12" i="3"/>
  <c r="I14" i="3"/>
  <c r="K5" i="3"/>
  <c r="G4" i="3"/>
  <c r="N21" i="3" l="1"/>
  <c r="R11" i="1" s="1"/>
  <c r="M21" i="3"/>
  <c r="Q11" i="1" s="1"/>
  <c r="P21" i="3"/>
  <c r="S21" i="3"/>
  <c r="Q21" i="3"/>
  <c r="O21" i="3"/>
  <c r="R21" i="3"/>
  <c r="O14" i="3"/>
  <c r="P14" i="3"/>
  <c r="S14" i="3"/>
  <c r="N14" i="3"/>
  <c r="R4" i="1" s="1"/>
  <c r="R14" i="3"/>
  <c r="Q14" i="3"/>
  <c r="M14" i="3"/>
  <c r="Q4" i="1" s="1"/>
  <c r="R16" i="3"/>
  <c r="S16" i="3"/>
  <c r="O16" i="3"/>
  <c r="Q16" i="3"/>
  <c r="M16" i="3"/>
  <c r="Q6" i="1" s="1"/>
  <c r="P16" i="3"/>
  <c r="N16" i="3"/>
  <c r="R6" i="1" s="1"/>
  <c r="S13" i="3"/>
  <c r="M13" i="3"/>
  <c r="Q3" i="1" s="1"/>
  <c r="P13" i="3"/>
  <c r="N13" i="3"/>
  <c r="R3" i="1" s="1"/>
  <c r="Q13" i="3"/>
  <c r="O13" i="3"/>
  <c r="R13" i="3"/>
  <c r="M23" i="3"/>
  <c r="Q13" i="1" s="1"/>
  <c r="P23" i="3"/>
  <c r="Q23" i="3"/>
  <c r="R23" i="3"/>
  <c r="O23" i="3"/>
  <c r="N23" i="3"/>
  <c r="R13" i="1" s="1"/>
  <c r="S23" i="3"/>
  <c r="O22" i="3"/>
  <c r="N22" i="3"/>
  <c r="R12" i="1" s="1"/>
  <c r="R22" i="3"/>
  <c r="M22" i="3"/>
  <c r="Q12" i="1" s="1"/>
  <c r="P22" i="3"/>
  <c r="Q22" i="3"/>
  <c r="S22" i="3"/>
  <c r="N29" i="3"/>
  <c r="R19" i="1" s="1"/>
  <c r="O29" i="3"/>
  <c r="R29" i="3"/>
  <c r="P29" i="3"/>
  <c r="S29" i="3"/>
  <c r="Q29" i="3"/>
  <c r="M29" i="3"/>
  <c r="Q19" i="1" s="1"/>
  <c r="K4" i="3"/>
  <c r="I17" i="3"/>
  <c r="I18" i="3"/>
  <c r="I28" i="3"/>
  <c r="I19" i="3"/>
  <c r="I20" i="3"/>
  <c r="N12" i="3"/>
  <c r="R2" i="1" s="1"/>
  <c r="Q12" i="3"/>
  <c r="P12" i="3"/>
  <c r="R12" i="3"/>
  <c r="M12" i="3"/>
  <c r="Q2" i="1" s="1"/>
  <c r="S12" i="3"/>
  <c r="O12" i="3"/>
  <c r="N30" i="3"/>
  <c r="R20" i="1" s="1"/>
  <c r="R30" i="3"/>
  <c r="O30" i="3"/>
  <c r="S30" i="3"/>
  <c r="P30" i="3"/>
  <c r="M30" i="3"/>
  <c r="Q20" i="1" s="1"/>
  <c r="Q30" i="3"/>
  <c r="O15" i="3"/>
  <c r="Q15" i="3"/>
  <c r="S15" i="3"/>
  <c r="R15" i="3"/>
  <c r="N15" i="3"/>
  <c r="R5" i="1" s="1"/>
  <c r="M15" i="3"/>
  <c r="Q5" i="1" s="1"/>
  <c r="P15" i="3"/>
  <c r="O24" i="3"/>
  <c r="R24" i="3"/>
  <c r="N24" i="3"/>
  <c r="R14" i="1" s="1"/>
  <c r="Q24" i="3"/>
  <c r="P24" i="3"/>
  <c r="M24" i="3"/>
  <c r="Q14" i="1" s="1"/>
  <c r="S24" i="3"/>
  <c r="J4" i="3"/>
  <c r="N20" i="3" l="1"/>
  <c r="R10" i="1" s="1"/>
  <c r="R20" i="3"/>
  <c r="P20" i="3"/>
  <c r="S20" i="3"/>
  <c r="Q20" i="3"/>
  <c r="M20" i="3"/>
  <c r="Q10" i="1" s="1"/>
  <c r="O20" i="3"/>
  <c r="J3" i="3"/>
  <c r="P19" i="3"/>
  <c r="R19" i="3"/>
  <c r="O19" i="3"/>
  <c r="M19" i="3"/>
  <c r="Q9" i="1" s="1"/>
  <c r="N19" i="3"/>
  <c r="R9" i="1" s="1"/>
  <c r="Q19" i="3"/>
  <c r="S19" i="3"/>
  <c r="Q28" i="3"/>
  <c r="M28" i="3"/>
  <c r="Q18" i="1" s="1"/>
  <c r="P28" i="3"/>
  <c r="N28" i="3"/>
  <c r="R18" i="1" s="1"/>
  <c r="R28" i="3"/>
  <c r="S28" i="3"/>
  <c r="O28" i="3"/>
  <c r="J5" i="3"/>
  <c r="I43" i="3" s="1"/>
  <c r="O18" i="3"/>
  <c r="P18" i="3"/>
  <c r="R18" i="3"/>
  <c r="M18" i="3"/>
  <c r="Q8" i="1" s="1"/>
  <c r="S18" i="3"/>
  <c r="N18" i="3"/>
  <c r="R8" i="1" s="1"/>
  <c r="Q18" i="3"/>
  <c r="K3" i="3"/>
  <c r="S17" i="3"/>
  <c r="P17" i="3"/>
  <c r="M17" i="3"/>
  <c r="Q7" i="1" s="1"/>
  <c r="N17" i="3"/>
  <c r="R7" i="1" s="1"/>
  <c r="R17" i="3"/>
  <c r="Q17" i="3"/>
  <c r="O17" i="3"/>
  <c r="I51" i="3"/>
  <c r="I41" i="3"/>
  <c r="I40" i="3"/>
  <c r="I42" i="3"/>
  <c r="S42" i="3" l="1"/>
  <c r="M42" i="3"/>
  <c r="N42" i="3"/>
  <c r="R42" i="3"/>
  <c r="P42" i="3"/>
  <c r="Q42" i="3"/>
  <c r="O42" i="3"/>
  <c r="P43" i="3"/>
  <c r="S43" i="3"/>
  <c r="R43" i="3"/>
  <c r="Q43" i="3"/>
  <c r="M43" i="3"/>
  <c r="O43" i="3"/>
  <c r="N43" i="3"/>
  <c r="P51" i="3"/>
  <c r="R51" i="3"/>
  <c r="Q51" i="3"/>
  <c r="M51" i="3"/>
  <c r="N51" i="3"/>
  <c r="O51" i="3"/>
  <c r="S51" i="3"/>
  <c r="Q40" i="3"/>
  <c r="R40" i="3"/>
  <c r="S40" i="3"/>
  <c r="P40" i="3"/>
  <c r="M40" i="3"/>
  <c r="O40" i="3"/>
  <c r="N40" i="3"/>
  <c r="R41" i="3"/>
  <c r="M41" i="3"/>
  <c r="O41" i="3"/>
  <c r="S41" i="3"/>
  <c r="P41" i="3"/>
  <c r="N41" i="3"/>
  <c r="Q41" i="3"/>
  <c r="I47" i="3"/>
  <c r="I52" i="3"/>
  <c r="I53" i="3"/>
  <c r="I44" i="3"/>
  <c r="I46" i="3"/>
  <c r="I45" i="3"/>
  <c r="I39" i="3"/>
  <c r="I37" i="3"/>
  <c r="I38" i="3"/>
  <c r="I35" i="3"/>
  <c r="I36" i="3"/>
  <c r="O36" i="3" l="1"/>
  <c r="N36" i="3"/>
  <c r="S36" i="3"/>
  <c r="P36" i="3"/>
  <c r="M36" i="3"/>
  <c r="R36" i="3"/>
  <c r="Q36" i="3"/>
  <c r="S53" i="3"/>
  <c r="R53" i="3"/>
  <c r="N53" i="3"/>
  <c r="Q53" i="3"/>
  <c r="M53" i="3"/>
  <c r="P53" i="3"/>
  <c r="O53" i="3"/>
  <c r="O46" i="3"/>
  <c r="N46" i="3"/>
  <c r="R46" i="3"/>
  <c r="M46" i="3"/>
  <c r="P46" i="3"/>
  <c r="Q46" i="3"/>
  <c r="S46" i="3"/>
  <c r="M44" i="3"/>
  <c r="O44" i="3"/>
  <c r="N44" i="3"/>
  <c r="S44" i="3"/>
  <c r="Q44" i="3"/>
  <c r="P44" i="3"/>
  <c r="R44" i="3"/>
  <c r="Q38" i="3"/>
  <c r="O38" i="3"/>
  <c r="R38" i="3"/>
  <c r="N38" i="3"/>
  <c r="M38" i="3"/>
  <c r="P38" i="3"/>
  <c r="S38" i="3"/>
  <c r="O47" i="3"/>
  <c r="R47" i="3"/>
  <c r="Q47" i="3"/>
  <c r="P47" i="3"/>
  <c r="M47" i="3"/>
  <c r="S47" i="3"/>
  <c r="N47" i="3"/>
  <c r="O37" i="3"/>
  <c r="S37" i="3"/>
  <c r="Q37" i="3"/>
  <c r="M37" i="3"/>
  <c r="R37" i="3"/>
  <c r="P37" i="3"/>
  <c r="N37" i="3"/>
  <c r="M39" i="3"/>
  <c r="S39" i="3"/>
  <c r="R39" i="3"/>
  <c r="O39" i="3"/>
  <c r="P39" i="3"/>
  <c r="Q39" i="3"/>
  <c r="N39" i="3"/>
  <c r="P35" i="3"/>
  <c r="M35" i="3"/>
  <c r="S35" i="3"/>
  <c r="N35" i="3"/>
  <c r="R35" i="3"/>
  <c r="Q35" i="3"/>
  <c r="O35" i="3"/>
  <c r="N52" i="3"/>
  <c r="Q52" i="3"/>
  <c r="O52" i="3"/>
  <c r="P52" i="3"/>
  <c r="S52" i="3"/>
  <c r="R52" i="3"/>
  <c r="M52" i="3"/>
  <c r="S45" i="3"/>
  <c r="R45" i="3"/>
  <c r="P45" i="3"/>
  <c r="M45" i="3"/>
  <c r="Q45" i="3"/>
  <c r="N45" i="3"/>
  <c r="O45" i="3"/>
  <c r="G6" i="3"/>
  <c r="I25" i="3" l="1"/>
  <c r="I26" i="3"/>
  <c r="I27" i="3"/>
  <c r="I6" i="3" l="1"/>
  <c r="H6" i="3"/>
  <c r="J6" i="3"/>
  <c r="P27" i="3"/>
  <c r="N27" i="3"/>
  <c r="R17" i="1" s="1"/>
  <c r="Q27" i="3"/>
  <c r="M27" i="3"/>
  <c r="Q17" i="1" s="1"/>
  <c r="S27" i="3"/>
  <c r="R27" i="3"/>
  <c r="O27" i="3"/>
  <c r="S26" i="3"/>
  <c r="O26" i="3"/>
  <c r="M26" i="3"/>
  <c r="Q16" i="1" s="1"/>
  <c r="R26" i="3"/>
  <c r="P26" i="3"/>
  <c r="Q26" i="3"/>
  <c r="N26" i="3"/>
  <c r="R16" i="1" s="1"/>
  <c r="M25" i="3"/>
  <c r="Q15" i="1" s="1"/>
  <c r="Q25" i="3"/>
  <c r="S25" i="3"/>
  <c r="N25" i="3"/>
  <c r="R15" i="1" s="1"/>
  <c r="O25" i="3"/>
  <c r="P25" i="3"/>
  <c r="R25" i="3"/>
  <c r="H5" i="3"/>
  <c r="I5" i="3"/>
  <c r="I49" i="3" l="1"/>
  <c r="I50" i="3"/>
  <c r="I48" i="3"/>
  <c r="I89" i="3"/>
  <c r="I91" i="3"/>
  <c r="I98" i="3"/>
  <c r="I97" i="3"/>
  <c r="I90" i="3"/>
  <c r="I92" i="3"/>
  <c r="I70" i="3"/>
  <c r="I67" i="3"/>
  <c r="I69" i="3"/>
  <c r="I75" i="3"/>
  <c r="I76" i="3"/>
  <c r="I68" i="3"/>
  <c r="I95" i="3"/>
  <c r="I94" i="3"/>
  <c r="I93" i="3"/>
  <c r="I72" i="3"/>
  <c r="I71" i="3"/>
  <c r="I73" i="3"/>
  <c r="H4" i="3"/>
  <c r="I3" i="3"/>
  <c r="I4" i="3"/>
  <c r="I85" i="3" l="1"/>
  <c r="I96" i="3"/>
  <c r="I86" i="3"/>
  <c r="I88" i="3"/>
  <c r="I87" i="3"/>
  <c r="S68" i="3"/>
  <c r="Q68" i="3"/>
  <c r="R68" i="3"/>
  <c r="M68" i="3"/>
  <c r="P68" i="3"/>
  <c r="O68" i="3"/>
  <c r="N68" i="3"/>
  <c r="R97" i="3"/>
  <c r="M97" i="3"/>
  <c r="Q97" i="3"/>
  <c r="O97" i="3"/>
  <c r="P97" i="3"/>
  <c r="S97" i="3"/>
  <c r="N97" i="3"/>
  <c r="I84" i="3"/>
  <c r="I80" i="3"/>
  <c r="I81" i="3"/>
  <c r="I83" i="3"/>
  <c r="I82" i="3"/>
  <c r="I74" i="3"/>
  <c r="I66" i="3"/>
  <c r="I64" i="3"/>
  <c r="I63" i="3"/>
  <c r="I65" i="3"/>
  <c r="O76" i="3"/>
  <c r="S76" i="3"/>
  <c r="Q76" i="3"/>
  <c r="N76" i="3"/>
  <c r="P76" i="3"/>
  <c r="M76" i="3"/>
  <c r="R76" i="3"/>
  <c r="N98" i="3"/>
  <c r="P98" i="3"/>
  <c r="S98" i="3"/>
  <c r="R98" i="3"/>
  <c r="M98" i="3"/>
  <c r="O98" i="3"/>
  <c r="Q98" i="3"/>
  <c r="P90" i="3"/>
  <c r="O90" i="3"/>
  <c r="M90" i="3"/>
  <c r="S90" i="3"/>
  <c r="Q90" i="3"/>
  <c r="N90" i="3"/>
  <c r="R90" i="3"/>
  <c r="P91" i="3"/>
  <c r="N91" i="3"/>
  <c r="R91" i="3"/>
  <c r="O91" i="3"/>
  <c r="Q91" i="3"/>
  <c r="M91" i="3"/>
  <c r="S91" i="3"/>
  <c r="R72" i="3"/>
  <c r="N72" i="3"/>
  <c r="S72" i="3"/>
  <c r="Q72" i="3"/>
  <c r="M72" i="3"/>
  <c r="O72" i="3"/>
  <c r="P72" i="3"/>
  <c r="R48" i="3"/>
  <c r="N48" i="3"/>
  <c r="Q48" i="3"/>
  <c r="P48" i="3"/>
  <c r="O48" i="3"/>
  <c r="M48" i="3"/>
  <c r="S48" i="3"/>
  <c r="P93" i="3"/>
  <c r="R93" i="3"/>
  <c r="O93" i="3"/>
  <c r="Q93" i="3"/>
  <c r="S93" i="3"/>
  <c r="N93" i="3"/>
  <c r="M93" i="3"/>
  <c r="P70" i="3"/>
  <c r="O70" i="3"/>
  <c r="Q70" i="3"/>
  <c r="S70" i="3"/>
  <c r="R70" i="3"/>
  <c r="M70" i="3"/>
  <c r="N70" i="3"/>
  <c r="R50" i="3"/>
  <c r="S50" i="3"/>
  <c r="M50" i="3"/>
  <c r="P50" i="3"/>
  <c r="Q50" i="3"/>
  <c r="N50" i="3"/>
  <c r="O50" i="3"/>
  <c r="Q95" i="3"/>
  <c r="N95" i="3"/>
  <c r="P95" i="3"/>
  <c r="O95" i="3"/>
  <c r="R95" i="3"/>
  <c r="S95" i="3"/>
  <c r="M95" i="3"/>
  <c r="Q73" i="3"/>
  <c r="O73" i="3"/>
  <c r="N73" i="3"/>
  <c r="P73" i="3"/>
  <c r="M73" i="3"/>
  <c r="R73" i="3"/>
  <c r="S73" i="3"/>
  <c r="R75" i="3"/>
  <c r="S75" i="3"/>
  <c r="O75" i="3"/>
  <c r="Q75" i="3"/>
  <c r="N75" i="3"/>
  <c r="M75" i="3"/>
  <c r="P75" i="3"/>
  <c r="S71" i="3"/>
  <c r="O71" i="3"/>
  <c r="M71" i="3"/>
  <c r="R71" i="3"/>
  <c r="P71" i="3"/>
  <c r="Q71" i="3"/>
  <c r="N71" i="3"/>
  <c r="N69" i="3"/>
  <c r="M69" i="3"/>
  <c r="S69" i="3"/>
  <c r="P69" i="3"/>
  <c r="Q69" i="3"/>
  <c r="R69" i="3"/>
  <c r="O69" i="3"/>
  <c r="Q89" i="3"/>
  <c r="O89" i="3"/>
  <c r="N89" i="3"/>
  <c r="P89" i="3"/>
  <c r="R89" i="3"/>
  <c r="S89" i="3"/>
  <c r="M89" i="3"/>
  <c r="O67" i="3"/>
  <c r="P67" i="3"/>
  <c r="N67" i="3"/>
  <c r="R67" i="3"/>
  <c r="S67" i="3"/>
  <c r="M67" i="3"/>
  <c r="Q67" i="3"/>
  <c r="R94" i="3"/>
  <c r="O94" i="3"/>
  <c r="N94" i="3"/>
  <c r="Q94" i="3"/>
  <c r="S94" i="3"/>
  <c r="P94" i="3"/>
  <c r="M94" i="3"/>
  <c r="R92" i="3"/>
  <c r="M92" i="3"/>
  <c r="Q92" i="3"/>
  <c r="O92" i="3"/>
  <c r="N92" i="3"/>
  <c r="S92" i="3"/>
  <c r="P92" i="3"/>
  <c r="R49" i="3"/>
  <c r="N49" i="3"/>
  <c r="O49" i="3"/>
  <c r="M49" i="3"/>
  <c r="P49" i="3"/>
  <c r="S49" i="3"/>
  <c r="Q49" i="3"/>
  <c r="H3" i="3"/>
  <c r="M82" i="3" l="1"/>
  <c r="O82" i="3"/>
  <c r="Q82" i="3"/>
  <c r="N82" i="3"/>
  <c r="S82" i="3"/>
  <c r="R82" i="3"/>
  <c r="P82" i="3"/>
  <c r="Q83" i="3"/>
  <c r="P83" i="3"/>
  <c r="S83" i="3"/>
  <c r="M83" i="3"/>
  <c r="N83" i="3"/>
  <c r="R83" i="3"/>
  <c r="O83" i="3"/>
  <c r="Q81" i="3"/>
  <c r="P81" i="3"/>
  <c r="M81" i="3"/>
  <c r="O81" i="3"/>
  <c r="N81" i="3"/>
  <c r="R81" i="3"/>
  <c r="S81" i="3"/>
  <c r="I59" i="3"/>
  <c r="I62" i="3"/>
  <c r="I58" i="3"/>
  <c r="I61" i="3"/>
  <c r="I60" i="3"/>
  <c r="N66" i="3"/>
  <c r="S66" i="3"/>
  <c r="Q66" i="3"/>
  <c r="M66" i="3"/>
  <c r="O66" i="3"/>
  <c r="R66" i="3"/>
  <c r="P66" i="3"/>
  <c r="O96" i="3"/>
  <c r="N96" i="3"/>
  <c r="Q96" i="3"/>
  <c r="S96" i="3"/>
  <c r="R96" i="3"/>
  <c r="M96" i="3"/>
  <c r="P96" i="3"/>
  <c r="N65" i="3"/>
  <c r="P65" i="3"/>
  <c r="O65" i="3"/>
  <c r="R65" i="3"/>
  <c r="M65" i="3"/>
  <c r="Q65" i="3"/>
  <c r="S65" i="3"/>
  <c r="S80" i="3"/>
  <c r="O80" i="3"/>
  <c r="N80" i="3"/>
  <c r="R80" i="3"/>
  <c r="P80" i="3"/>
  <c r="Q80" i="3"/>
  <c r="M80" i="3"/>
  <c r="O87" i="3"/>
  <c r="Q87" i="3"/>
  <c r="P87" i="3"/>
  <c r="R87" i="3"/>
  <c r="N87" i="3"/>
  <c r="M87" i="3"/>
  <c r="S87" i="3"/>
  <c r="R63" i="3"/>
  <c r="S63" i="3"/>
  <c r="P63" i="3"/>
  <c r="N63" i="3"/>
  <c r="Q63" i="3"/>
  <c r="O63" i="3"/>
  <c r="M63" i="3"/>
  <c r="O84" i="3"/>
  <c r="N84" i="3"/>
  <c r="S84" i="3"/>
  <c r="R84" i="3"/>
  <c r="Q84" i="3"/>
  <c r="P84" i="3"/>
  <c r="M84" i="3"/>
  <c r="R88" i="3"/>
  <c r="O88" i="3"/>
  <c r="M88" i="3"/>
  <c r="N88" i="3"/>
  <c r="S88" i="3"/>
  <c r="P88" i="3"/>
  <c r="Q88" i="3"/>
  <c r="P64" i="3"/>
  <c r="Q64" i="3"/>
  <c r="N64" i="3"/>
  <c r="R64" i="3"/>
  <c r="M64" i="3"/>
  <c r="O64" i="3"/>
  <c r="S64" i="3"/>
  <c r="R86" i="3"/>
  <c r="P86" i="3"/>
  <c r="N86" i="3"/>
  <c r="S86" i="3"/>
  <c r="O86" i="3"/>
  <c r="M86" i="3"/>
  <c r="Q86" i="3"/>
  <c r="P74" i="3"/>
  <c r="R74" i="3"/>
  <c r="Q74" i="3"/>
  <c r="N74" i="3"/>
  <c r="S74" i="3"/>
  <c r="O74" i="3"/>
  <c r="M74" i="3"/>
  <c r="S85" i="3"/>
  <c r="N85" i="3"/>
  <c r="O85" i="3"/>
  <c r="P85" i="3"/>
  <c r="R85" i="3"/>
  <c r="M85" i="3"/>
  <c r="Q85" i="3"/>
  <c r="S21" i="25"/>
  <c r="S17" i="25"/>
  <c r="S18" i="25"/>
  <c r="S44" i="25"/>
  <c r="S76" i="25"/>
  <c r="S38" i="25"/>
  <c r="S51" i="25"/>
  <c r="S79" i="25"/>
  <c r="S32" i="25"/>
  <c r="S77" i="25"/>
  <c r="S81" i="25"/>
  <c r="S6" i="25"/>
  <c r="S48" i="25"/>
  <c r="S20" i="25"/>
  <c r="S33" i="25"/>
  <c r="S16" i="25"/>
  <c r="S41" i="25"/>
  <c r="S49" i="25"/>
  <c r="S37" i="25"/>
  <c r="S4" i="25"/>
  <c r="S13" i="25"/>
  <c r="S80" i="25"/>
  <c r="S14" i="25"/>
  <c r="S74" i="25"/>
  <c r="S43" i="25"/>
  <c r="S75" i="25"/>
  <c r="S70" i="25"/>
  <c r="S42" i="25"/>
  <c r="S10" i="25"/>
  <c r="S19" i="25"/>
  <c r="S8" i="25"/>
  <c r="S46" i="25"/>
  <c r="S45" i="25"/>
  <c r="S34" i="25"/>
  <c r="S35" i="25"/>
  <c r="S40" i="25"/>
  <c r="S39" i="25"/>
  <c r="S68" i="25"/>
  <c r="S72" i="25"/>
  <c r="S78" i="25"/>
  <c r="S47" i="25"/>
  <c r="S50" i="25"/>
  <c r="S5" i="25"/>
  <c r="S36" i="25"/>
  <c r="S26" i="25"/>
  <c r="S23" i="25"/>
  <c r="S52" i="25"/>
  <c r="S65" i="25"/>
  <c r="S31" i="25"/>
  <c r="S29" i="25"/>
  <c r="S58" i="25"/>
  <c r="S28" i="25"/>
  <c r="S59" i="25"/>
  <c r="S7" i="25"/>
  <c r="S30" i="25"/>
  <c r="S22" i="25"/>
  <c r="S63" i="25"/>
  <c r="S66" i="25"/>
  <c r="S53" i="25"/>
  <c r="S27" i="25"/>
  <c r="S55" i="25"/>
  <c r="S82" i="25"/>
  <c r="S57" i="25"/>
  <c r="S69" i="25"/>
  <c r="S64" i="25"/>
  <c r="S62" i="25"/>
  <c r="S71" i="25"/>
  <c r="S56" i="25"/>
  <c r="S61" i="25"/>
  <c r="S25" i="25"/>
  <c r="S12" i="25"/>
  <c r="S24" i="25"/>
  <c r="S9" i="25"/>
  <c r="S11" i="25"/>
  <c r="S67" i="25"/>
  <c r="S54" i="25"/>
  <c r="S60" i="25"/>
  <c r="S3" i="25"/>
  <c r="O61" i="3" l="1"/>
  <c r="M61" i="3"/>
  <c r="R61" i="3"/>
  <c r="Q61" i="3"/>
  <c r="P61" i="3"/>
  <c r="S61" i="3"/>
  <c r="N61" i="3"/>
  <c r="S58" i="3"/>
  <c r="P58" i="3"/>
  <c r="N58" i="3"/>
  <c r="Q58" i="3"/>
  <c r="O58" i="3"/>
  <c r="R58" i="3"/>
  <c r="M58" i="3"/>
  <c r="R59" i="3"/>
  <c r="S59" i="3"/>
  <c r="N59" i="3"/>
  <c r="Q59" i="3"/>
  <c r="M59" i="3"/>
  <c r="P59" i="3"/>
  <c r="O59" i="3"/>
  <c r="S60" i="3"/>
  <c r="M60" i="3"/>
  <c r="O60" i="3"/>
  <c r="P60" i="3"/>
  <c r="R60" i="3"/>
  <c r="Q60" i="3"/>
  <c r="N60" i="3"/>
  <c r="N62" i="3"/>
  <c r="O62" i="3"/>
  <c r="Q62" i="3"/>
  <c r="R62" i="3"/>
  <c r="S62" i="3"/>
  <c r="M62" i="3"/>
  <c r="P62" i="3"/>
  <c r="P73" i="25"/>
  <c r="U73" i="25" s="1"/>
  <c r="S73" i="25"/>
  <c r="S15" i="25"/>
  <c r="P49" i="25"/>
  <c r="U49" i="25" s="1"/>
  <c r="P72" i="25"/>
  <c r="U72" i="25" s="1"/>
  <c r="P17" i="25"/>
  <c r="P15" i="25"/>
  <c r="P16" i="25"/>
  <c r="P48" i="25"/>
  <c r="U48" i="25" s="1"/>
  <c r="P80" i="25"/>
  <c r="U80" i="25" s="1"/>
  <c r="P32" i="25"/>
  <c r="U32" i="25" s="1"/>
  <c r="P6" i="25"/>
  <c r="P70" i="25"/>
  <c r="U70" i="25" s="1"/>
  <c r="P14" i="25"/>
  <c r="P36" i="25"/>
  <c r="U36" i="25" s="1"/>
  <c r="P8" i="25"/>
  <c r="P44" i="25"/>
  <c r="U44" i="25" s="1"/>
  <c r="P77" i="25"/>
  <c r="U77" i="25" s="1"/>
  <c r="P21" i="25"/>
  <c r="P40" i="25"/>
  <c r="U40" i="25" s="1"/>
  <c r="P43" i="25"/>
  <c r="U43" i="25" s="1"/>
  <c r="P51" i="25"/>
  <c r="U51" i="25" s="1"/>
  <c r="P37" i="25"/>
  <c r="U37" i="25" s="1"/>
  <c r="R54" i="25"/>
  <c r="W54" i="25" s="1"/>
  <c r="R29" i="25"/>
  <c r="R55" i="25"/>
  <c r="W55" i="25" s="1"/>
  <c r="R34" i="25"/>
  <c r="W34" i="25" s="1"/>
  <c r="R75" i="25"/>
  <c r="W75" i="25" s="1"/>
  <c r="R81" i="25"/>
  <c r="W81" i="25" s="1"/>
  <c r="R71" i="25"/>
  <c r="W71" i="25" s="1"/>
  <c r="R65" i="25"/>
  <c r="W65" i="25" s="1"/>
  <c r="P50" i="25"/>
  <c r="U50" i="25" s="1"/>
  <c r="R46" i="25"/>
  <c r="W46" i="25" s="1"/>
  <c r="R53" i="25"/>
  <c r="W53" i="25" s="1"/>
  <c r="P34" i="25"/>
  <c r="U34" i="25" s="1"/>
  <c r="R47" i="25"/>
  <c r="W47" i="25" s="1"/>
  <c r="R4" i="25"/>
  <c r="R21" i="25"/>
  <c r="R12" i="25"/>
  <c r="R66" i="25"/>
  <c r="W66" i="25" s="1"/>
  <c r="R28" i="25"/>
  <c r="R26" i="25"/>
  <c r="P42" i="25"/>
  <c r="U42" i="25" s="1"/>
  <c r="P75" i="25"/>
  <c r="U75" i="25" s="1"/>
  <c r="R36" i="25"/>
  <c r="W36" i="25" s="1"/>
  <c r="R78" i="25"/>
  <c r="W78" i="25" s="1"/>
  <c r="R39" i="25"/>
  <c r="W39" i="25" s="1"/>
  <c r="R74" i="25"/>
  <c r="W74" i="25" s="1"/>
  <c r="R80" i="25"/>
  <c r="W80" i="25" s="1"/>
  <c r="R13" i="25"/>
  <c r="R37" i="25"/>
  <c r="W37" i="25" s="1"/>
  <c r="R41" i="25"/>
  <c r="W41" i="25" s="1"/>
  <c r="R48" i="25"/>
  <c r="W48" i="25" s="1"/>
  <c r="R15" i="25"/>
  <c r="R32" i="25"/>
  <c r="W32" i="25" s="1"/>
  <c r="R51" i="25"/>
  <c r="W51" i="25" s="1"/>
  <c r="R82" i="25"/>
  <c r="W82" i="25" s="1"/>
  <c r="R67" i="25"/>
  <c r="W67" i="25" s="1"/>
  <c r="R68" i="25"/>
  <c r="W68" i="25" s="1"/>
  <c r="R35" i="25"/>
  <c r="W35" i="25" s="1"/>
  <c r="R33" i="25"/>
  <c r="W33" i="25" s="1"/>
  <c r="R44" i="25"/>
  <c r="W44" i="25" s="1"/>
  <c r="R27" i="25"/>
  <c r="R10" i="25"/>
  <c r="R9" i="25"/>
  <c r="R52" i="25"/>
  <c r="W52" i="25" s="1"/>
  <c r="R45" i="25"/>
  <c r="W45" i="25" s="1"/>
  <c r="R20" i="25"/>
  <c r="R77" i="25"/>
  <c r="W77" i="25" s="1"/>
  <c r="R24" i="25"/>
  <c r="R23" i="25"/>
  <c r="R8" i="25"/>
  <c r="R3" i="25"/>
  <c r="R25" i="25"/>
  <c r="R69" i="25"/>
  <c r="W69" i="25" s="1"/>
  <c r="R58" i="25"/>
  <c r="W58" i="25" s="1"/>
  <c r="P47" i="25"/>
  <c r="U47" i="25" s="1"/>
  <c r="P20" i="25"/>
  <c r="P35" i="25"/>
  <c r="U35" i="25" s="1"/>
  <c r="P4" i="25"/>
  <c r="R19" i="25"/>
  <c r="R70" i="25"/>
  <c r="W70" i="25" s="1"/>
  <c r="R22" i="25"/>
  <c r="R56" i="25"/>
  <c r="W56" i="25" s="1"/>
  <c r="R31" i="25"/>
  <c r="R50" i="25"/>
  <c r="W50" i="25" s="1"/>
  <c r="R38" i="25"/>
  <c r="W38" i="25" s="1"/>
  <c r="R11" i="25"/>
  <c r="R30" i="25"/>
  <c r="R62" i="25"/>
  <c r="W62" i="25" s="1"/>
  <c r="R7" i="25"/>
  <c r="R40" i="25"/>
  <c r="W40" i="25" s="1"/>
  <c r="R43" i="25"/>
  <c r="W43" i="25" s="1"/>
  <c r="R49" i="25"/>
  <c r="W49" i="25" s="1"/>
  <c r="R18" i="25"/>
  <c r="R64" i="25"/>
  <c r="W64" i="25" s="1"/>
  <c r="R59" i="25"/>
  <c r="W59" i="25" s="1"/>
  <c r="R42" i="25"/>
  <c r="W42" i="25" s="1"/>
  <c r="R60" i="25"/>
  <c r="W60" i="25" s="1"/>
  <c r="R61" i="25"/>
  <c r="W61" i="25" s="1"/>
  <c r="R57" i="25"/>
  <c r="W57" i="25" s="1"/>
  <c r="R63" i="25"/>
  <c r="W63" i="25" s="1"/>
  <c r="P46" i="25"/>
  <c r="U46" i="25" s="1"/>
  <c r="P81" i="25"/>
  <c r="U81" i="25" s="1"/>
  <c r="R5" i="25"/>
  <c r="R72" i="25"/>
  <c r="W72" i="25" s="1"/>
  <c r="R14" i="25"/>
  <c r="R16" i="25"/>
  <c r="R73" i="25"/>
  <c r="W73" i="25" s="1"/>
  <c r="R6" i="25"/>
  <c r="R79" i="25"/>
  <c r="W79" i="25" s="1"/>
  <c r="R76" i="25"/>
  <c r="W76" i="25" s="1"/>
  <c r="R17" i="25"/>
  <c r="P9" i="25"/>
  <c r="P7" i="25"/>
  <c r="P59" i="25"/>
  <c r="U59" i="25" s="1"/>
  <c r="P12" i="25"/>
  <c r="P82" i="25"/>
  <c r="U82" i="25" s="1"/>
  <c r="P28" i="25"/>
  <c r="P3" i="25"/>
  <c r="P62" i="25"/>
  <c r="U62" i="25" s="1"/>
  <c r="P63" i="25"/>
  <c r="U63" i="25" s="1"/>
  <c r="P52" i="25"/>
  <c r="U52" i="25" s="1"/>
  <c r="P60" i="25"/>
  <c r="U60" i="25" s="1"/>
  <c r="P64" i="25"/>
  <c r="U64" i="25" s="1"/>
  <c r="P22" i="25"/>
  <c r="P23" i="25"/>
  <c r="P54" i="25"/>
  <c r="U54" i="25" s="1"/>
  <c r="P53" i="25"/>
  <c r="U53" i="25" s="1"/>
  <c r="P67" i="25"/>
  <c r="U67" i="25" s="1"/>
  <c r="P56" i="25"/>
  <c r="U56" i="25" s="1"/>
  <c r="P69" i="25"/>
  <c r="U69" i="25" s="1"/>
  <c r="P30" i="25"/>
  <c r="P29" i="25"/>
  <c r="P24" i="25"/>
  <c r="P31" i="25"/>
  <c r="P65" i="25"/>
  <c r="U65" i="25" s="1"/>
  <c r="P25" i="25"/>
  <c r="P55" i="25"/>
  <c r="U55" i="25" s="1"/>
  <c r="P58" i="25"/>
  <c r="U58" i="25" s="1"/>
  <c r="P61" i="25"/>
  <c r="U61" i="25" s="1"/>
  <c r="P27" i="25"/>
  <c r="P26" i="25"/>
  <c r="P11" i="25"/>
  <c r="P71" i="25"/>
  <c r="U71" i="25" s="1"/>
  <c r="P57" i="25"/>
  <c r="U57" i="25" s="1"/>
  <c r="P66" i="25"/>
  <c r="U66" i="25" s="1"/>
  <c r="AF56" i="25" l="1"/>
  <c r="AG56" i="25" s="1"/>
  <c r="AH56" i="25"/>
  <c r="P18" i="25"/>
  <c r="P5" i="25"/>
  <c r="AF67" i="25"/>
  <c r="AG67" i="25" s="1"/>
  <c r="AH67" i="25"/>
  <c r="AF48" i="25"/>
  <c r="AG48" i="25" s="1"/>
  <c r="AH48" i="25"/>
  <c r="AH78" i="25"/>
  <c r="AF78" i="25"/>
  <c r="AH71" i="25"/>
  <c r="AF71" i="25"/>
  <c r="AG71" i="25" s="1"/>
  <c r="P74" i="25"/>
  <c r="U74" i="25" s="1"/>
  <c r="P41" i="25"/>
  <c r="U41" i="25" s="1"/>
  <c r="P76" i="25"/>
  <c r="U76" i="25" s="1"/>
  <c r="P38" i="25"/>
  <c r="U38" i="25" s="1"/>
  <c r="AF76" i="25"/>
  <c r="AH76" i="25"/>
  <c r="AH38" i="25"/>
  <c r="AF38" i="25"/>
  <c r="AF58" i="25"/>
  <c r="AG58" i="25" s="1"/>
  <c r="AH58" i="25"/>
  <c r="AH41" i="25"/>
  <c r="AF41" i="25"/>
  <c r="AH36" i="25"/>
  <c r="AF36" i="25"/>
  <c r="AG36" i="25" s="1"/>
  <c r="AH66" i="25"/>
  <c r="AF66" i="25"/>
  <c r="AG66" i="25" s="1"/>
  <c r="AH47" i="25"/>
  <c r="AF47" i="25"/>
  <c r="AG47" i="25" s="1"/>
  <c r="P19" i="25"/>
  <c r="AH40" i="25"/>
  <c r="AF40" i="25"/>
  <c r="AG40" i="25" s="1"/>
  <c r="AH65" i="25"/>
  <c r="AF65" i="25"/>
  <c r="AG65" i="25" s="1"/>
  <c r="AH72" i="25"/>
  <c r="AF72" i="25"/>
  <c r="AG72" i="25" s="1"/>
  <c r="AH81" i="25"/>
  <c r="AF81" i="25"/>
  <c r="AG81" i="25" s="1"/>
  <c r="AF82" i="25"/>
  <c r="AG82" i="25" s="1"/>
  <c r="AH82" i="25"/>
  <c r="AF61" i="25"/>
  <c r="AG61" i="25" s="1"/>
  <c r="AH61" i="25"/>
  <c r="AH62" i="25"/>
  <c r="AF62" i="25"/>
  <c r="AG62" i="25" s="1"/>
  <c r="AH50" i="25"/>
  <c r="AF50" i="25"/>
  <c r="AG50" i="25" s="1"/>
  <c r="AF33" i="25"/>
  <c r="AH33" i="25"/>
  <c r="AH80" i="25"/>
  <c r="AF80" i="25"/>
  <c r="AG80" i="25" s="1"/>
  <c r="AH53" i="25"/>
  <c r="AF53" i="25"/>
  <c r="AG53" i="25" s="1"/>
  <c r="AH34" i="25"/>
  <c r="AF34" i="25"/>
  <c r="AG34" i="25" s="1"/>
  <c r="P68" i="25"/>
  <c r="U68" i="25" s="1"/>
  <c r="P13" i="25"/>
  <c r="P10" i="25"/>
  <c r="AH39" i="25"/>
  <c r="AF39" i="25"/>
  <c r="P78" i="25"/>
  <c r="U78" i="25" s="1"/>
  <c r="AH63" i="25"/>
  <c r="AF63" i="25"/>
  <c r="AG63" i="25" s="1"/>
  <c r="P79" i="25"/>
  <c r="U79" i="25" s="1"/>
  <c r="AH57" i="25"/>
  <c r="AF57" i="25"/>
  <c r="AG57" i="25" s="1"/>
  <c r="AH77" i="25"/>
  <c r="AF77" i="25"/>
  <c r="AG77" i="25" s="1"/>
  <c r="AH75" i="25"/>
  <c r="AF75" i="25"/>
  <c r="AG75" i="25" s="1"/>
  <c r="AF73" i="25"/>
  <c r="AG73" i="25" s="1"/>
  <c r="AH73" i="25"/>
  <c r="AH60" i="25"/>
  <c r="AF60" i="25"/>
  <c r="AG60" i="25" s="1"/>
  <c r="AH49" i="25"/>
  <c r="AF49" i="25"/>
  <c r="AG49" i="25" s="1"/>
  <c r="AH45" i="25"/>
  <c r="AF45" i="25"/>
  <c r="AH35" i="25"/>
  <c r="AF35" i="25"/>
  <c r="AG35" i="25" s="1"/>
  <c r="AH51" i="25"/>
  <c r="AF51" i="25"/>
  <c r="AG51" i="25" s="1"/>
  <c r="AF74" i="25"/>
  <c r="AH74" i="25"/>
  <c r="AH46" i="25"/>
  <c r="AF46" i="25"/>
  <c r="AG46" i="25" s="1"/>
  <c r="P45" i="25"/>
  <c r="U45" i="25" s="1"/>
  <c r="P33" i="25"/>
  <c r="U33" i="25" s="1"/>
  <c r="AF52" i="25"/>
  <c r="AG52" i="25" s="1"/>
  <c r="AH52" i="25"/>
  <c r="AH59" i="25"/>
  <c r="AF59" i="25"/>
  <c r="AG59" i="25" s="1"/>
  <c r="AF70" i="25"/>
  <c r="AG70" i="25" s="1"/>
  <c r="AH70" i="25"/>
  <c r="AH37" i="25"/>
  <c r="AF37" i="25"/>
  <c r="AG37" i="25" s="1"/>
  <c r="AH54" i="25"/>
  <c r="AF54" i="25"/>
  <c r="AG54" i="25" s="1"/>
  <c r="AH79" i="25"/>
  <c r="AF79" i="25"/>
  <c r="AH64" i="25"/>
  <c r="AF64" i="25"/>
  <c r="AG64" i="25" s="1"/>
  <c r="AH69" i="25"/>
  <c r="AF69" i="25"/>
  <c r="AG69" i="25" s="1"/>
  <c r="AF44" i="25"/>
  <c r="AG44" i="25" s="1"/>
  <c r="AH44" i="25"/>
  <c r="AH42" i="25"/>
  <c r="AF42" i="25"/>
  <c r="AG42" i="25" s="1"/>
  <c r="AF43" i="25"/>
  <c r="AG43" i="25" s="1"/>
  <c r="AH43" i="25"/>
  <c r="AH68" i="25"/>
  <c r="AF68" i="25"/>
  <c r="AG68" i="25" s="1"/>
  <c r="AH32" i="25"/>
  <c r="AF32" i="25"/>
  <c r="AG32" i="25" s="1"/>
  <c r="AH55" i="25"/>
  <c r="AF55" i="25"/>
  <c r="AG55" i="25" s="1"/>
  <c r="P39" i="25"/>
  <c r="U39" i="25" s="1"/>
  <c r="Q36" i="25"/>
  <c r="V36" i="25" s="1"/>
  <c r="Q33" i="25"/>
  <c r="V33" i="25" s="1"/>
  <c r="Q48" i="25"/>
  <c r="V48" i="25" s="1"/>
  <c r="Q35" i="25"/>
  <c r="V35" i="25" s="1"/>
  <c r="Q21" i="25"/>
  <c r="Q16" i="25"/>
  <c r="Q75" i="25"/>
  <c r="V75" i="25" s="1"/>
  <c r="Q80" i="25"/>
  <c r="V80" i="25" s="1"/>
  <c r="Q4" i="25"/>
  <c r="Q17" i="25"/>
  <c r="Q78" i="25"/>
  <c r="V78" i="25" s="1"/>
  <c r="Q50" i="25"/>
  <c r="V50" i="25" s="1"/>
  <c r="Q15" i="25"/>
  <c r="Q79" i="25"/>
  <c r="V79" i="25" s="1"/>
  <c r="Q74" i="25"/>
  <c r="V74" i="25" s="1"/>
  <c r="Q37" i="25"/>
  <c r="V37" i="25" s="1"/>
  <c r="Q34" i="25"/>
  <c r="V34" i="25" s="1"/>
  <c r="Q39" i="25"/>
  <c r="V39" i="25" s="1"/>
  <c r="Q81" i="25"/>
  <c r="V81" i="25" s="1"/>
  <c r="Q49" i="25"/>
  <c r="V49" i="25" s="1"/>
  <c r="Q72" i="25"/>
  <c r="V72" i="25" s="1"/>
  <c r="Q41" i="25"/>
  <c r="V41" i="25" s="1"/>
  <c r="Q51" i="25"/>
  <c r="V51" i="25" s="1"/>
  <c r="Q32" i="25"/>
  <c r="V32" i="25" s="1"/>
  <c r="Q10" i="25"/>
  <c r="Q40" i="25"/>
  <c r="V40" i="25" s="1"/>
  <c r="Q8" i="25"/>
  <c r="Q77" i="25"/>
  <c r="V77" i="25" s="1"/>
  <c r="Q58" i="25"/>
  <c r="V58" i="25" s="1"/>
  <c r="Q22" i="25"/>
  <c r="Q29" i="25"/>
  <c r="Q52" i="25"/>
  <c r="V52" i="25" s="1"/>
  <c r="Q27" i="25"/>
  <c r="Q64" i="25"/>
  <c r="V64" i="25" s="1"/>
  <c r="Q30" i="25"/>
  <c r="Q57" i="25"/>
  <c r="V57" i="25" s="1"/>
  <c r="Q26" i="25"/>
  <c r="Q55" i="25"/>
  <c r="V55" i="25" s="1"/>
  <c r="Q53" i="25"/>
  <c r="V53" i="25" s="1"/>
  <c r="Q59" i="25"/>
  <c r="V59" i="25" s="1"/>
  <c r="Q65" i="25"/>
  <c r="V65" i="25" s="1"/>
  <c r="Q31" i="25"/>
  <c r="Q24" i="25"/>
  <c r="Q9" i="25"/>
  <c r="Q69" i="25"/>
  <c r="V69" i="25" s="1"/>
  <c r="Q12" i="25"/>
  <c r="Q56" i="25"/>
  <c r="V56" i="25" s="1"/>
  <c r="Q71" i="25"/>
  <c r="V71" i="25" s="1"/>
  <c r="Q3" i="25"/>
  <c r="Q28" i="25"/>
  <c r="Q7" i="25"/>
  <c r="Q61" i="25"/>
  <c r="V61" i="25" s="1"/>
  <c r="Q23" i="25"/>
  <c r="Q60" i="25"/>
  <c r="V60" i="25" s="1"/>
  <c r="Q63" i="25"/>
  <c r="V63" i="25" s="1"/>
  <c r="Q66" i="25"/>
  <c r="V66" i="25" s="1"/>
  <c r="Q67" i="25"/>
  <c r="V67" i="25" s="1"/>
  <c r="Q82" i="25"/>
  <c r="V82" i="25" s="1"/>
  <c r="Q11" i="25"/>
  <c r="Q25" i="25"/>
  <c r="Q54" i="25"/>
  <c r="V54" i="25" s="1"/>
  <c r="Q62" i="25"/>
  <c r="V62" i="25" s="1"/>
  <c r="AG41" i="25" l="1"/>
  <c r="AG39" i="25"/>
  <c r="AG79" i="25"/>
  <c r="AG45" i="25"/>
  <c r="AG78" i="25"/>
  <c r="AG76" i="25"/>
  <c r="AD66" i="25"/>
  <c r="X66" i="25"/>
  <c r="Y66" i="25" s="1"/>
  <c r="AA66" i="25"/>
  <c r="AB66" i="25" s="1"/>
  <c r="AC66" i="25" s="1"/>
  <c r="X71" i="25"/>
  <c r="Y71" i="25" s="1"/>
  <c r="AD71" i="25"/>
  <c r="AA71" i="25"/>
  <c r="AB71" i="25" s="1"/>
  <c r="AC71" i="25" s="1"/>
  <c r="AA64" i="25"/>
  <c r="AB64" i="25" s="1"/>
  <c r="AC64" i="25" s="1"/>
  <c r="AD64" i="25"/>
  <c r="X64" i="25"/>
  <c r="Y64" i="25" s="1"/>
  <c r="AD37" i="25"/>
  <c r="X37" i="25"/>
  <c r="Y37" i="25" s="1"/>
  <c r="AA37" i="25"/>
  <c r="AB37" i="25" s="1"/>
  <c r="AC37" i="25" s="1"/>
  <c r="Q47" i="25"/>
  <c r="V47" i="25" s="1"/>
  <c r="X81" i="25"/>
  <c r="Y81" i="25" s="1"/>
  <c r="AA81" i="25"/>
  <c r="AB81" i="25" s="1"/>
  <c r="AC81" i="25" s="1"/>
  <c r="AD81" i="25"/>
  <c r="AD80" i="25"/>
  <c r="X80" i="25"/>
  <c r="Y80" i="25" s="1"/>
  <c r="AA80" i="25"/>
  <c r="AB80" i="25" s="1"/>
  <c r="AC80" i="25" s="1"/>
  <c r="AD68" i="13"/>
  <c r="R3" i="3"/>
  <c r="AJ3" i="7" s="1"/>
  <c r="L16" i="3"/>
  <c r="P6" i="1" s="1"/>
  <c r="L22" i="3"/>
  <c r="P12" i="1" s="1"/>
  <c r="L42" i="3"/>
  <c r="L24" i="3"/>
  <c r="P14" i="1" s="1"/>
  <c r="L12" i="3"/>
  <c r="P2" i="1" s="1"/>
  <c r="L66" i="3"/>
  <c r="E10" i="16" s="1"/>
  <c r="L29" i="3"/>
  <c r="P19" i="1" s="1"/>
  <c r="L30" i="3"/>
  <c r="P20" i="1" s="1"/>
  <c r="L63" i="3"/>
  <c r="E7" i="16" s="1"/>
  <c r="L43" i="3"/>
  <c r="L23" i="3"/>
  <c r="P13" i="1" s="1"/>
  <c r="L21" i="3"/>
  <c r="P11" i="1" s="1"/>
  <c r="L13" i="3"/>
  <c r="P3" i="1" s="1"/>
  <c r="L74" i="3"/>
  <c r="E18" i="16" s="1"/>
  <c r="L64" i="3"/>
  <c r="E8" i="16" s="1"/>
  <c r="L65" i="3"/>
  <c r="E9" i="16" s="1"/>
  <c r="L41" i="3"/>
  <c r="L14" i="3"/>
  <c r="P4" i="1" s="1"/>
  <c r="L51" i="3"/>
  <c r="L15" i="3"/>
  <c r="P5" i="1" s="1"/>
  <c r="L40" i="3"/>
  <c r="L47" i="3"/>
  <c r="L68" i="3"/>
  <c r="E12" i="16" s="1"/>
  <c r="L70" i="3"/>
  <c r="E14" i="16" s="1"/>
  <c r="L18" i="3"/>
  <c r="P8" i="1" s="1"/>
  <c r="L58" i="3"/>
  <c r="E2" i="16" s="1"/>
  <c r="L46" i="3"/>
  <c r="L59" i="3"/>
  <c r="E3" i="16" s="1"/>
  <c r="L67" i="3"/>
  <c r="E11" i="16" s="1"/>
  <c r="L62" i="3"/>
  <c r="E6" i="16" s="1"/>
  <c r="L45" i="3"/>
  <c r="L37" i="3"/>
  <c r="L53" i="3"/>
  <c r="L69" i="3"/>
  <c r="E13" i="16" s="1"/>
  <c r="L20" i="3"/>
  <c r="P10" i="1" s="1"/>
  <c r="L44" i="3"/>
  <c r="L36" i="3"/>
  <c r="L76" i="3"/>
  <c r="E20" i="16" s="1"/>
  <c r="L60" i="3"/>
  <c r="E4" i="16" s="1"/>
  <c r="L17" i="3"/>
  <c r="P7" i="1" s="1"/>
  <c r="L38" i="3"/>
  <c r="L35" i="3"/>
  <c r="L52" i="3"/>
  <c r="L39" i="3"/>
  <c r="L28" i="3"/>
  <c r="P18" i="1" s="1"/>
  <c r="L75" i="3"/>
  <c r="E19" i="16" s="1"/>
  <c r="L61" i="3"/>
  <c r="E5" i="16" s="1"/>
  <c r="L19" i="3"/>
  <c r="P9" i="1" s="1"/>
  <c r="L93" i="3"/>
  <c r="X93" i="3" s="1"/>
  <c r="E15" i="15" s="1"/>
  <c r="M17" i="21" s="1"/>
  <c r="L73" i="3"/>
  <c r="E17" i="16" s="1"/>
  <c r="L49" i="3"/>
  <c r="L48" i="3"/>
  <c r="L94" i="3"/>
  <c r="X94" i="3" s="1"/>
  <c r="E16" i="15" s="1"/>
  <c r="M18" i="21" s="1"/>
  <c r="L72" i="3"/>
  <c r="E16" i="16" s="1"/>
  <c r="L26" i="3"/>
  <c r="P16" i="1" s="1"/>
  <c r="L27" i="3"/>
  <c r="P17" i="1" s="1"/>
  <c r="L71" i="3"/>
  <c r="E15" i="16" s="1"/>
  <c r="L25" i="3"/>
  <c r="P15" i="1" s="1"/>
  <c r="L95" i="3"/>
  <c r="X95" i="3" s="1"/>
  <c r="E17" i="15" s="1"/>
  <c r="M19" i="21" s="1"/>
  <c r="L50" i="3"/>
  <c r="L89" i="3"/>
  <c r="X89" i="3" s="1"/>
  <c r="E11" i="15" s="1"/>
  <c r="M13" i="21" s="1"/>
  <c r="L97" i="3"/>
  <c r="X97" i="3" s="1"/>
  <c r="E19" i="15" s="1"/>
  <c r="M21" i="21" s="1"/>
  <c r="L98" i="3"/>
  <c r="X98" i="3" s="1"/>
  <c r="E20" i="15" s="1"/>
  <c r="M22" i="21" s="1"/>
  <c r="L91" i="3"/>
  <c r="X91" i="3" s="1"/>
  <c r="E13" i="15" s="1"/>
  <c r="M15" i="21" s="1"/>
  <c r="L92" i="3"/>
  <c r="X92" i="3" s="1"/>
  <c r="E14" i="15" s="1"/>
  <c r="M16" i="21" s="1"/>
  <c r="L90" i="3"/>
  <c r="X90" i="3" s="1"/>
  <c r="E12" i="15" s="1"/>
  <c r="M14" i="21" s="1"/>
  <c r="L86" i="3"/>
  <c r="X86" i="3" s="1"/>
  <c r="E8" i="15" s="1"/>
  <c r="M10" i="21" s="1"/>
  <c r="L84" i="3"/>
  <c r="X84" i="3" s="1"/>
  <c r="E6" i="15" s="1"/>
  <c r="M8" i="21" s="1"/>
  <c r="L85" i="3"/>
  <c r="X85" i="3" s="1"/>
  <c r="E7" i="15" s="1"/>
  <c r="M9" i="21" s="1"/>
  <c r="L81" i="3"/>
  <c r="X81" i="3" s="1"/>
  <c r="E3" i="15" s="1"/>
  <c r="M5" i="21" s="1"/>
  <c r="L82" i="3"/>
  <c r="X82" i="3" s="1"/>
  <c r="E4" i="15" s="1"/>
  <c r="M6" i="21" s="1"/>
  <c r="L87" i="3"/>
  <c r="X87" i="3" s="1"/>
  <c r="E9" i="15" s="1"/>
  <c r="M11" i="21" s="1"/>
  <c r="L96" i="3"/>
  <c r="X96" i="3" s="1"/>
  <c r="E18" i="15" s="1"/>
  <c r="M20" i="21" s="1"/>
  <c r="L80" i="3"/>
  <c r="X80" i="3" s="1"/>
  <c r="E2" i="15" s="1"/>
  <c r="M4" i="21" s="1"/>
  <c r="L88" i="3"/>
  <c r="X88" i="3" s="1"/>
  <c r="E10" i="15" s="1"/>
  <c r="M12" i="21" s="1"/>
  <c r="L83" i="3"/>
  <c r="X83" i="3" s="1"/>
  <c r="E5" i="15" s="1"/>
  <c r="M7" i="21" s="1"/>
  <c r="X48" i="25"/>
  <c r="Y48" i="25" s="1"/>
  <c r="AD48" i="25"/>
  <c r="AA48" i="25"/>
  <c r="AB48" i="25" s="1"/>
  <c r="AC48" i="25" s="1"/>
  <c r="Q45" i="25"/>
  <c r="V45" i="25" s="1"/>
  <c r="AA33" i="25"/>
  <c r="AB33" i="25" s="1"/>
  <c r="AC33" i="25" s="1"/>
  <c r="X33" i="25"/>
  <c r="Y33" i="25" s="1"/>
  <c r="AD33" i="25"/>
  <c r="AD54" i="25"/>
  <c r="X54" i="25"/>
  <c r="Y54" i="25" s="1"/>
  <c r="AA54" i="25"/>
  <c r="AB54" i="25" s="1"/>
  <c r="AC54" i="25" s="1"/>
  <c r="AD82" i="25"/>
  <c r="AA82" i="25"/>
  <c r="AB82" i="25" s="1"/>
  <c r="AC82" i="25" s="1"/>
  <c r="X82" i="25"/>
  <c r="Y82" i="25" s="1"/>
  <c r="AA56" i="25"/>
  <c r="AB56" i="25" s="1"/>
  <c r="AC56" i="25" s="1"/>
  <c r="X56" i="25"/>
  <c r="Y56" i="25" s="1"/>
  <c r="AD56" i="25"/>
  <c r="AD55" i="25"/>
  <c r="AA55" i="25"/>
  <c r="AB55" i="25" s="1"/>
  <c r="AC55" i="25" s="1"/>
  <c r="X55" i="25"/>
  <c r="Y55" i="25" s="1"/>
  <c r="AD51" i="25"/>
  <c r="AA51" i="25"/>
  <c r="AB51" i="25" s="1"/>
  <c r="AC51" i="25" s="1"/>
  <c r="X51" i="25"/>
  <c r="Y51" i="25" s="1"/>
  <c r="AA74" i="25"/>
  <c r="AB74" i="25" s="1"/>
  <c r="AC74" i="25" s="1"/>
  <c r="AD74" i="25"/>
  <c r="X74" i="25"/>
  <c r="Y74" i="25" s="1"/>
  <c r="Q6" i="25"/>
  <c r="Q20" i="25"/>
  <c r="Q46" i="25"/>
  <c r="V46" i="25" s="1"/>
  <c r="Q13" i="25"/>
  <c r="Q42" i="25"/>
  <c r="V42" i="25" s="1"/>
  <c r="X41" i="25"/>
  <c r="Y41" i="25" s="1"/>
  <c r="AD41" i="25"/>
  <c r="AA41" i="25"/>
  <c r="AB41" i="25" s="1"/>
  <c r="AC41" i="25" s="1"/>
  <c r="AD34" i="25"/>
  <c r="X34" i="25"/>
  <c r="Y34" i="25" s="1"/>
  <c r="AA34" i="25"/>
  <c r="AB34" i="25" s="1"/>
  <c r="AC34" i="25" s="1"/>
  <c r="X79" i="25"/>
  <c r="Y79" i="25" s="1"/>
  <c r="AD79" i="25"/>
  <c r="AA79" i="25"/>
  <c r="AB79" i="25" s="1"/>
  <c r="AC79" i="25" s="1"/>
  <c r="Q76" i="25"/>
  <c r="V76" i="25" s="1"/>
  <c r="Q14" i="25"/>
  <c r="Q19" i="25"/>
  <c r="Q18" i="25"/>
  <c r="AD62" i="25"/>
  <c r="AA62" i="25"/>
  <c r="AB62" i="25" s="1"/>
  <c r="AC62" i="25" s="1"/>
  <c r="X62" i="25"/>
  <c r="Y62" i="25" s="1"/>
  <c r="AA78" i="25"/>
  <c r="AB78" i="25" s="1"/>
  <c r="AC78" i="25" s="1"/>
  <c r="X78" i="25"/>
  <c r="Y78" i="25" s="1"/>
  <c r="AD78" i="25"/>
  <c r="Q38" i="25"/>
  <c r="V38" i="25" s="1"/>
  <c r="AD52" i="25"/>
  <c r="AA52" i="25"/>
  <c r="AB52" i="25" s="1"/>
  <c r="AC52" i="25" s="1"/>
  <c r="X52" i="25"/>
  <c r="Y52" i="25" s="1"/>
  <c r="AA49" i="25"/>
  <c r="AB49" i="25" s="1"/>
  <c r="AC49" i="25" s="1"/>
  <c r="X49" i="25"/>
  <c r="Y49" i="25" s="1"/>
  <c r="AD49" i="25"/>
  <c r="AA39" i="25"/>
  <c r="AB39" i="25" s="1"/>
  <c r="AC39" i="25" s="1"/>
  <c r="AD39" i="25"/>
  <c r="X39" i="25"/>
  <c r="Y39" i="25" s="1"/>
  <c r="AD50" i="25"/>
  <c r="AA50" i="25"/>
  <c r="AB50" i="25" s="1"/>
  <c r="AC50" i="25" s="1"/>
  <c r="X50" i="25"/>
  <c r="Y50" i="25" s="1"/>
  <c r="Q5" i="25"/>
  <c r="AA67" i="25"/>
  <c r="AB67" i="25" s="1"/>
  <c r="AC67" i="25" s="1"/>
  <c r="AD67" i="25"/>
  <c r="X67" i="25"/>
  <c r="Y67" i="25" s="1"/>
  <c r="AA59" i="25"/>
  <c r="AB59" i="25" s="1"/>
  <c r="AC59" i="25" s="1"/>
  <c r="X59" i="25"/>
  <c r="Y59" i="25" s="1"/>
  <c r="AD59" i="25"/>
  <c r="Q68" i="25"/>
  <c r="V68" i="25" s="1"/>
  <c r="AG38" i="25"/>
  <c r="AD69" i="25"/>
  <c r="X69" i="25"/>
  <c r="Y69" i="25" s="1"/>
  <c r="AA69" i="25"/>
  <c r="AB69" i="25" s="1"/>
  <c r="AC69" i="25" s="1"/>
  <c r="X77" i="25"/>
  <c r="Y77" i="25" s="1"/>
  <c r="AD77" i="25"/>
  <c r="AA77" i="25"/>
  <c r="AB77" i="25" s="1"/>
  <c r="AC77" i="25" s="1"/>
  <c r="X72" i="25"/>
  <c r="Y72" i="25" s="1"/>
  <c r="AD72" i="25"/>
  <c r="AA72" i="25"/>
  <c r="AB72" i="25" s="1"/>
  <c r="AC72" i="25" s="1"/>
  <c r="AG33" i="25"/>
  <c r="AD60" i="25"/>
  <c r="X60" i="25"/>
  <c r="Y60" i="25" s="1"/>
  <c r="AA60" i="25"/>
  <c r="AB60" i="25" s="1"/>
  <c r="AC60" i="25" s="1"/>
  <c r="AA57" i="25"/>
  <c r="AB57" i="25" s="1"/>
  <c r="AC57" i="25" s="1"/>
  <c r="AD57" i="25"/>
  <c r="X57" i="25"/>
  <c r="Y57" i="25" s="1"/>
  <c r="AA35" i="25"/>
  <c r="AB35" i="25" s="1"/>
  <c r="AC35" i="25" s="1"/>
  <c r="AD35" i="25"/>
  <c r="X35" i="25"/>
  <c r="Y35" i="25" s="1"/>
  <c r="Q70" i="25"/>
  <c r="V70" i="25" s="1"/>
  <c r="AA63" i="25"/>
  <c r="AB63" i="25" s="1"/>
  <c r="AC63" i="25" s="1"/>
  <c r="X63" i="25"/>
  <c r="Y63" i="25" s="1"/>
  <c r="AD63" i="25"/>
  <c r="AD61" i="25"/>
  <c r="AA61" i="25"/>
  <c r="AB61" i="25" s="1"/>
  <c r="AC61" i="25" s="1"/>
  <c r="X61" i="25"/>
  <c r="Y61" i="25" s="1"/>
  <c r="AD65" i="25"/>
  <c r="AA65" i="25"/>
  <c r="AB65" i="25" s="1"/>
  <c r="AC65" i="25" s="1"/>
  <c r="X65" i="25"/>
  <c r="Y65" i="25" s="1"/>
  <c r="AA53" i="25"/>
  <c r="AB53" i="25" s="1"/>
  <c r="AC53" i="25" s="1"/>
  <c r="AD53" i="25"/>
  <c r="X53" i="25"/>
  <c r="Y53" i="25" s="1"/>
  <c r="AD58" i="25"/>
  <c r="X58" i="25"/>
  <c r="Y58" i="25" s="1"/>
  <c r="AA58" i="25"/>
  <c r="AB58" i="25" s="1"/>
  <c r="AC58" i="25" s="1"/>
  <c r="AD40" i="25"/>
  <c r="AA40" i="25"/>
  <c r="AB40" i="25" s="1"/>
  <c r="AC40" i="25" s="1"/>
  <c r="X40" i="25"/>
  <c r="Y40" i="25" s="1"/>
  <c r="AA32" i="25"/>
  <c r="AB32" i="25" s="1"/>
  <c r="AC32" i="25" s="1"/>
  <c r="AD32" i="25"/>
  <c r="X32" i="25"/>
  <c r="AD75" i="25"/>
  <c r="AA75" i="25"/>
  <c r="AB75" i="25" s="1"/>
  <c r="AC75" i="25" s="1"/>
  <c r="X75" i="25"/>
  <c r="Y75" i="25" s="1"/>
  <c r="Q73" i="25"/>
  <c r="V73" i="25" s="1"/>
  <c r="Q44" i="25"/>
  <c r="V44" i="25" s="1"/>
  <c r="AA36" i="25"/>
  <c r="AB36" i="25" s="1"/>
  <c r="AC36" i="25" s="1"/>
  <c r="X36" i="25"/>
  <c r="Y36" i="25" s="1"/>
  <c r="AD36" i="25"/>
  <c r="Q43" i="25"/>
  <c r="V43" i="25" s="1"/>
  <c r="AG74" i="25"/>
  <c r="AF4" i="13"/>
  <c r="AE4" i="13"/>
  <c r="AI4" i="13"/>
  <c r="AL4" i="13"/>
  <c r="AB50" i="3" l="1"/>
  <c r="H17" i="17" s="1"/>
  <c r="X50" i="3"/>
  <c r="E17" i="17" s="1"/>
  <c r="AB46" i="3"/>
  <c r="H13" i="17" s="1"/>
  <c r="X46" i="3"/>
  <c r="E13" i="17" s="1"/>
  <c r="X51" i="3"/>
  <c r="E18" i="17" s="1"/>
  <c r="AB51" i="3"/>
  <c r="H18" i="17" s="1"/>
  <c r="AB42" i="3"/>
  <c r="H9" i="17" s="1"/>
  <c r="X42" i="3"/>
  <c r="E9" i="17" s="1"/>
  <c r="AB35" i="3"/>
  <c r="H2" i="17" s="1"/>
  <c r="X35" i="3"/>
  <c r="E2" i="17" s="1"/>
  <c r="X43" i="3"/>
  <c r="E10" i="17" s="1"/>
  <c r="AB43" i="3"/>
  <c r="H10" i="17" s="1"/>
  <c r="AB40" i="3"/>
  <c r="H7" i="17" s="1"/>
  <c r="X40" i="3"/>
  <c r="E7" i="17" s="1"/>
  <c r="AB44" i="3"/>
  <c r="H11" i="17" s="1"/>
  <c r="X44" i="3"/>
  <c r="E11" i="17" s="1"/>
  <c r="AB52" i="3"/>
  <c r="H19" i="17" s="1"/>
  <c r="X52" i="3"/>
  <c r="E19" i="17" s="1"/>
  <c r="AB37" i="3"/>
  <c r="H4" i="17" s="1"/>
  <c r="X37" i="3"/>
  <c r="E4" i="17" s="1"/>
  <c r="X36" i="3"/>
  <c r="E3" i="17" s="1"/>
  <c r="AB36" i="3"/>
  <c r="H3" i="17" s="1"/>
  <c r="AB39" i="3"/>
  <c r="H6" i="17" s="1"/>
  <c r="X39" i="3"/>
  <c r="E6" i="17" s="1"/>
  <c r="AB49" i="3"/>
  <c r="H16" i="17" s="1"/>
  <c r="X49" i="3"/>
  <c r="E16" i="17" s="1"/>
  <c r="AB38" i="3"/>
  <c r="H5" i="17" s="1"/>
  <c r="X38" i="3"/>
  <c r="E5" i="17" s="1"/>
  <c r="X45" i="3"/>
  <c r="E12" i="17" s="1"/>
  <c r="AB45" i="3"/>
  <c r="H12" i="17" s="1"/>
  <c r="X48" i="3"/>
  <c r="E15" i="17" s="1"/>
  <c r="AB48" i="3"/>
  <c r="H15" i="17" s="1"/>
  <c r="X53" i="3"/>
  <c r="E20" i="17" s="1"/>
  <c r="AB53" i="3"/>
  <c r="H20" i="17" s="1"/>
  <c r="AB41" i="3"/>
  <c r="H8" i="17" s="1"/>
  <c r="X41" i="3"/>
  <c r="E8" i="17" s="1"/>
  <c r="AB47" i="3"/>
  <c r="H14" i="17" s="1"/>
  <c r="X47" i="3"/>
  <c r="E14" i="17" s="1"/>
  <c r="X68" i="25"/>
  <c r="Y68" i="25" s="1"/>
  <c r="AA68" i="25"/>
  <c r="AB68" i="25" s="1"/>
  <c r="AC68" i="25" s="1"/>
  <c r="AD68" i="25"/>
  <c r="AA38" i="25"/>
  <c r="AB38" i="25" s="1"/>
  <c r="AC38" i="25" s="1"/>
  <c r="AD38" i="25"/>
  <c r="X38" i="25"/>
  <c r="Y38" i="25" s="1"/>
  <c r="AD70" i="25"/>
  <c r="AA70" i="25"/>
  <c r="AB70" i="25" s="1"/>
  <c r="AC70" i="25" s="1"/>
  <c r="X70" i="25"/>
  <c r="Y70" i="25" s="1"/>
  <c r="AA42" i="25"/>
  <c r="AB42" i="25" s="1"/>
  <c r="AC42" i="25" s="1"/>
  <c r="X42" i="25"/>
  <c r="Y42" i="25" s="1"/>
  <c r="AD42" i="25"/>
  <c r="AA45" i="25"/>
  <c r="AB45" i="25" s="1"/>
  <c r="AC45" i="25" s="1"/>
  <c r="AD45" i="25"/>
  <c r="X45" i="25"/>
  <c r="Y45" i="25" s="1"/>
  <c r="AA47" i="25"/>
  <c r="AB47" i="25" s="1"/>
  <c r="AC47" i="25" s="1"/>
  <c r="X47" i="25"/>
  <c r="Y47" i="25" s="1"/>
  <c r="AD47" i="25"/>
  <c r="AA44" i="25"/>
  <c r="AB44" i="25" s="1"/>
  <c r="AC44" i="25" s="1"/>
  <c r="X44" i="25"/>
  <c r="Y44" i="25" s="1"/>
  <c r="AD44" i="25"/>
  <c r="X46" i="25"/>
  <c r="Y46" i="25" s="1"/>
  <c r="AA46" i="25"/>
  <c r="AB46" i="25" s="1"/>
  <c r="AC46" i="25" s="1"/>
  <c r="AD46" i="25"/>
  <c r="AD73" i="25"/>
  <c r="X73" i="25"/>
  <c r="Y73" i="25" s="1"/>
  <c r="AA73" i="25"/>
  <c r="AB73" i="25" s="1"/>
  <c r="AC73" i="25" s="1"/>
  <c r="AA76" i="25"/>
  <c r="AB76" i="25" s="1"/>
  <c r="AC76" i="25" s="1"/>
  <c r="AD76" i="25"/>
  <c r="X76" i="25"/>
  <c r="Y76" i="25" s="1"/>
  <c r="AA26" i="25"/>
  <c r="Y32" i="25"/>
  <c r="AA43" i="25"/>
  <c r="AB43" i="25" s="1"/>
  <c r="AC43" i="25" s="1"/>
  <c r="AD43" i="25"/>
  <c r="X43" i="25"/>
  <c r="Y43" i="25" s="1"/>
  <c r="AC4" i="13"/>
  <c r="AJ4" i="13"/>
  <c r="AD67" i="13" l="1"/>
  <c r="Q3" i="3"/>
  <c r="AI3" i="7" s="1"/>
  <c r="K21" i="3"/>
  <c r="O11" i="1" s="1"/>
  <c r="K65" i="3"/>
  <c r="D9" i="16" s="1"/>
  <c r="K22" i="3"/>
  <c r="O12" i="1" s="1"/>
  <c r="K30" i="3"/>
  <c r="O20" i="1" s="1"/>
  <c r="K41" i="3"/>
  <c r="K63" i="3"/>
  <c r="D7" i="16" s="1"/>
  <c r="K42" i="3"/>
  <c r="K40" i="3"/>
  <c r="K74" i="3"/>
  <c r="D18" i="16" s="1"/>
  <c r="K51" i="3"/>
  <c r="K66" i="3"/>
  <c r="D10" i="16" s="1"/>
  <c r="K14" i="3"/>
  <c r="O4" i="1" s="1"/>
  <c r="K29" i="3"/>
  <c r="O19" i="1" s="1"/>
  <c r="K12" i="3"/>
  <c r="O2" i="1" s="1"/>
  <c r="K15" i="3"/>
  <c r="O5" i="1" s="1"/>
  <c r="K13" i="3"/>
  <c r="O3" i="1" s="1"/>
  <c r="K24" i="3"/>
  <c r="O14" i="1" s="1"/>
  <c r="K23" i="3"/>
  <c r="O13" i="1" s="1"/>
  <c r="K64" i="3"/>
  <c r="D8" i="16" s="1"/>
  <c r="K16" i="3"/>
  <c r="O6" i="1" s="1"/>
  <c r="K43" i="3"/>
  <c r="K28" i="3"/>
  <c r="O18" i="1" s="1"/>
  <c r="K61" i="3"/>
  <c r="D5" i="16" s="1"/>
  <c r="K67" i="3"/>
  <c r="D11" i="16" s="1"/>
  <c r="K39" i="3"/>
  <c r="K20" i="3"/>
  <c r="O10" i="1" s="1"/>
  <c r="K35" i="3"/>
  <c r="K37" i="3"/>
  <c r="K47" i="3"/>
  <c r="K38" i="3"/>
  <c r="K68" i="3"/>
  <c r="D12" i="16" s="1"/>
  <c r="K58" i="3"/>
  <c r="D2" i="16" s="1"/>
  <c r="K75" i="3"/>
  <c r="D19" i="16" s="1"/>
  <c r="K60" i="3"/>
  <c r="D4" i="16" s="1"/>
  <c r="K59" i="3"/>
  <c r="D3" i="16" s="1"/>
  <c r="K36" i="3"/>
  <c r="K17" i="3"/>
  <c r="O7" i="1" s="1"/>
  <c r="K46" i="3"/>
  <c r="K53" i="3"/>
  <c r="K62" i="3"/>
  <c r="D6" i="16" s="1"/>
  <c r="K76" i="3"/>
  <c r="D20" i="16" s="1"/>
  <c r="K18" i="3"/>
  <c r="O8" i="1" s="1"/>
  <c r="K52" i="3"/>
  <c r="K70" i="3"/>
  <c r="D14" i="16" s="1"/>
  <c r="K45" i="3"/>
  <c r="K69" i="3"/>
  <c r="D13" i="16" s="1"/>
  <c r="K44" i="3"/>
  <c r="K19" i="3"/>
  <c r="O9" i="1" s="1"/>
  <c r="K26" i="3"/>
  <c r="O16" i="1" s="1"/>
  <c r="K93" i="3"/>
  <c r="W93" i="3" s="1"/>
  <c r="D15" i="15" s="1"/>
  <c r="L17" i="21" s="1"/>
  <c r="K94" i="3"/>
  <c r="W94" i="3" s="1"/>
  <c r="D16" i="15" s="1"/>
  <c r="L18" i="21" s="1"/>
  <c r="K72" i="3"/>
  <c r="D16" i="16" s="1"/>
  <c r="K27" i="3"/>
  <c r="O17" i="1" s="1"/>
  <c r="K49" i="3"/>
  <c r="K50" i="3"/>
  <c r="K71" i="3"/>
  <c r="D15" i="16" s="1"/>
  <c r="K48" i="3"/>
  <c r="K25" i="3"/>
  <c r="O15" i="1" s="1"/>
  <c r="K95" i="3"/>
  <c r="W95" i="3" s="1"/>
  <c r="D17" i="15" s="1"/>
  <c r="L19" i="21" s="1"/>
  <c r="K73" i="3"/>
  <c r="D17" i="16" s="1"/>
  <c r="K97" i="3"/>
  <c r="W97" i="3" s="1"/>
  <c r="D19" i="15" s="1"/>
  <c r="L21" i="21" s="1"/>
  <c r="K90" i="3"/>
  <c r="W90" i="3" s="1"/>
  <c r="D12" i="15" s="1"/>
  <c r="L14" i="21" s="1"/>
  <c r="K91" i="3"/>
  <c r="W91" i="3" s="1"/>
  <c r="D13" i="15" s="1"/>
  <c r="L15" i="21" s="1"/>
  <c r="K92" i="3"/>
  <c r="W92" i="3" s="1"/>
  <c r="D14" i="15" s="1"/>
  <c r="L16" i="21" s="1"/>
  <c r="K98" i="3"/>
  <c r="W98" i="3" s="1"/>
  <c r="D20" i="15" s="1"/>
  <c r="L22" i="21" s="1"/>
  <c r="K89" i="3"/>
  <c r="W89" i="3" s="1"/>
  <c r="D11" i="15" s="1"/>
  <c r="L13" i="21" s="1"/>
  <c r="K88" i="3"/>
  <c r="W88" i="3" s="1"/>
  <c r="D10" i="15" s="1"/>
  <c r="L12" i="21" s="1"/>
  <c r="K83" i="3"/>
  <c r="W83" i="3" s="1"/>
  <c r="D5" i="15" s="1"/>
  <c r="L7" i="21" s="1"/>
  <c r="K81" i="3"/>
  <c r="W81" i="3" s="1"/>
  <c r="D3" i="15" s="1"/>
  <c r="L5" i="21" s="1"/>
  <c r="K82" i="3"/>
  <c r="W82" i="3" s="1"/>
  <c r="D4" i="15" s="1"/>
  <c r="L6" i="21" s="1"/>
  <c r="K85" i="3"/>
  <c r="W85" i="3" s="1"/>
  <c r="D7" i="15" s="1"/>
  <c r="L9" i="21" s="1"/>
  <c r="K96" i="3"/>
  <c r="W96" i="3" s="1"/>
  <c r="D18" i="15" s="1"/>
  <c r="L20" i="21" s="1"/>
  <c r="K86" i="3"/>
  <c r="W86" i="3" s="1"/>
  <c r="D8" i="15" s="1"/>
  <c r="L10" i="21" s="1"/>
  <c r="K87" i="3"/>
  <c r="W87" i="3" s="1"/>
  <c r="D9" i="15" s="1"/>
  <c r="L11" i="21" s="1"/>
  <c r="K80" i="3"/>
  <c r="W80" i="3" s="1"/>
  <c r="D2" i="15" s="1"/>
  <c r="L4" i="21" s="1"/>
  <c r="K84" i="3"/>
  <c r="W84" i="3" s="1"/>
  <c r="D6" i="15" s="1"/>
  <c r="L8" i="21" s="1"/>
  <c r="AD66" i="13"/>
  <c r="P3" i="3"/>
  <c r="AH3" i="7" s="1"/>
  <c r="J63" i="3"/>
  <c r="J66" i="3"/>
  <c r="J41" i="3"/>
  <c r="J22" i="3"/>
  <c r="J16" i="3"/>
  <c r="J14" i="3"/>
  <c r="J64" i="3"/>
  <c r="J24" i="3"/>
  <c r="J12" i="3"/>
  <c r="J42" i="3"/>
  <c r="J74" i="3"/>
  <c r="J51" i="3"/>
  <c r="J21" i="3"/>
  <c r="J30" i="3"/>
  <c r="J13" i="3"/>
  <c r="J43" i="3"/>
  <c r="J23" i="3"/>
  <c r="J15" i="3"/>
  <c r="J29" i="3"/>
  <c r="J40" i="3"/>
  <c r="J65" i="3"/>
  <c r="J70" i="3"/>
  <c r="J59" i="3"/>
  <c r="J44" i="3"/>
  <c r="J61" i="3"/>
  <c r="J45" i="3"/>
  <c r="J67" i="3"/>
  <c r="J28" i="3"/>
  <c r="J75" i="3"/>
  <c r="J20" i="3"/>
  <c r="J39" i="3"/>
  <c r="J52" i="3"/>
  <c r="J38" i="3"/>
  <c r="J35" i="3"/>
  <c r="J76" i="3"/>
  <c r="J47" i="3"/>
  <c r="J60" i="3"/>
  <c r="J18" i="3"/>
  <c r="J46" i="3"/>
  <c r="J69" i="3"/>
  <c r="J37" i="3"/>
  <c r="J19" i="3"/>
  <c r="J62" i="3"/>
  <c r="J53" i="3"/>
  <c r="J17" i="3"/>
  <c r="J36" i="3"/>
  <c r="J68" i="3"/>
  <c r="J58" i="3"/>
  <c r="J71" i="3"/>
  <c r="J26" i="3"/>
  <c r="J72" i="3"/>
  <c r="J48" i="3"/>
  <c r="J27" i="3"/>
  <c r="J25" i="3"/>
  <c r="J95" i="3"/>
  <c r="J73" i="3"/>
  <c r="J94" i="3"/>
  <c r="J49" i="3"/>
  <c r="J50" i="3"/>
  <c r="J93" i="3"/>
  <c r="J91" i="3"/>
  <c r="J92" i="3"/>
  <c r="J97" i="3"/>
  <c r="J98" i="3"/>
  <c r="J89" i="3"/>
  <c r="J90" i="3"/>
  <c r="J82" i="3"/>
  <c r="J85" i="3"/>
  <c r="J81" i="3"/>
  <c r="J86" i="3"/>
  <c r="J84" i="3"/>
  <c r="J88" i="3"/>
  <c r="J83" i="3"/>
  <c r="J96" i="3"/>
  <c r="J87" i="3"/>
  <c r="J80" i="3"/>
  <c r="AK4" i="13"/>
  <c r="AD4" i="13"/>
  <c r="V53" i="3" l="1"/>
  <c r="C20" i="17" s="1"/>
  <c r="Z53" i="3"/>
  <c r="F20" i="17" s="1"/>
  <c r="V51" i="3"/>
  <c r="C18" i="17" s="1"/>
  <c r="Z51" i="3"/>
  <c r="F18" i="17" s="1"/>
  <c r="W50" i="3"/>
  <c r="D17" i="17" s="1"/>
  <c r="AA50" i="3"/>
  <c r="G17" i="17" s="1"/>
  <c r="Z35" i="3"/>
  <c r="F2" i="17" s="1"/>
  <c r="V35" i="3"/>
  <c r="C2" i="17" s="1"/>
  <c r="W46" i="3"/>
  <c r="D13" i="17" s="1"/>
  <c r="AA46" i="3"/>
  <c r="G13" i="17" s="1"/>
  <c r="W38" i="3"/>
  <c r="D5" i="17" s="1"/>
  <c r="AA38" i="3"/>
  <c r="G5" i="17" s="1"/>
  <c r="V37" i="3"/>
  <c r="C4" i="17" s="1"/>
  <c r="Z37" i="3"/>
  <c r="F4" i="17" s="1"/>
  <c r="V38" i="3"/>
  <c r="C5" i="17" s="1"/>
  <c r="Z38" i="3"/>
  <c r="F5" i="17" s="1"/>
  <c r="AA45" i="3"/>
  <c r="G12" i="17" s="1"/>
  <c r="W45" i="3"/>
  <c r="D12" i="17" s="1"/>
  <c r="AA47" i="3"/>
  <c r="G14" i="17" s="1"/>
  <c r="W47" i="3"/>
  <c r="D14" i="17" s="1"/>
  <c r="W43" i="3"/>
  <c r="D10" i="17" s="1"/>
  <c r="AA43" i="3"/>
  <c r="G10" i="17" s="1"/>
  <c r="AA41" i="3"/>
  <c r="G8" i="17" s="1"/>
  <c r="W41" i="3"/>
  <c r="D8" i="17" s="1"/>
  <c r="V48" i="3"/>
  <c r="C15" i="17" s="1"/>
  <c r="Z48" i="3"/>
  <c r="F15" i="17" s="1"/>
  <c r="V40" i="3"/>
  <c r="C7" i="17" s="1"/>
  <c r="Z40" i="3"/>
  <c r="F7" i="17" s="1"/>
  <c r="Z52" i="3"/>
  <c r="F19" i="17" s="1"/>
  <c r="V52" i="3"/>
  <c r="C19" i="17" s="1"/>
  <c r="W37" i="3"/>
  <c r="D4" i="17" s="1"/>
  <c r="AA37" i="3"/>
  <c r="G4" i="17" s="1"/>
  <c r="V46" i="3"/>
  <c r="C13" i="17" s="1"/>
  <c r="Z46" i="3"/>
  <c r="F13" i="17" s="1"/>
  <c r="Z39" i="3"/>
  <c r="F6" i="17" s="1"/>
  <c r="V39" i="3"/>
  <c r="C6" i="17" s="1"/>
  <c r="W52" i="3"/>
  <c r="D19" i="17" s="1"/>
  <c r="AA52" i="3"/>
  <c r="G19" i="17" s="1"/>
  <c r="AA35" i="3"/>
  <c r="G2" i="17" s="1"/>
  <c r="W35" i="3"/>
  <c r="D2" i="17" s="1"/>
  <c r="W40" i="3"/>
  <c r="D7" i="17" s="1"/>
  <c r="AA40" i="3"/>
  <c r="G7" i="17" s="1"/>
  <c r="V50" i="3"/>
  <c r="C17" i="17" s="1"/>
  <c r="Z50" i="3"/>
  <c r="F17" i="17" s="1"/>
  <c r="W53" i="3"/>
  <c r="D20" i="17" s="1"/>
  <c r="AA53" i="3"/>
  <c r="G20" i="17" s="1"/>
  <c r="W42" i="3"/>
  <c r="D9" i="17" s="1"/>
  <c r="AA42" i="3"/>
  <c r="G9" i="17" s="1"/>
  <c r="Z42" i="3"/>
  <c r="F9" i="17" s="1"/>
  <c r="V42" i="3"/>
  <c r="C9" i="17" s="1"/>
  <c r="Z44" i="3"/>
  <c r="F11" i="17" s="1"/>
  <c r="V44" i="3"/>
  <c r="C11" i="17" s="1"/>
  <c r="Z36" i="3"/>
  <c r="F3" i="17" s="1"/>
  <c r="V36" i="3"/>
  <c r="C3" i="17" s="1"/>
  <c r="W51" i="3"/>
  <c r="D18" i="17" s="1"/>
  <c r="AA51" i="3"/>
  <c r="G18" i="17" s="1"/>
  <c r="V47" i="3"/>
  <c r="C14" i="17" s="1"/>
  <c r="Z47" i="3"/>
  <c r="F14" i="17" s="1"/>
  <c r="Z41" i="3"/>
  <c r="F8" i="17" s="1"/>
  <c r="V41" i="3"/>
  <c r="C8" i="17" s="1"/>
  <c r="AA44" i="3"/>
  <c r="G11" i="17" s="1"/>
  <c r="W44" i="3"/>
  <c r="D11" i="17" s="1"/>
  <c r="V49" i="3"/>
  <c r="C16" i="17" s="1"/>
  <c r="Z49" i="3"/>
  <c r="F16" i="17" s="1"/>
  <c r="V45" i="3"/>
  <c r="C12" i="17" s="1"/>
  <c r="Z45" i="3"/>
  <c r="F12" i="17" s="1"/>
  <c r="AA49" i="3"/>
  <c r="G16" i="17" s="1"/>
  <c r="W49" i="3"/>
  <c r="D16" i="17" s="1"/>
  <c r="Z43" i="3"/>
  <c r="F10" i="17" s="1"/>
  <c r="V43" i="3"/>
  <c r="C10" i="17" s="1"/>
  <c r="W36" i="3"/>
  <c r="D3" i="17" s="1"/>
  <c r="AA36" i="3"/>
  <c r="G3" i="17" s="1"/>
  <c r="W48" i="3"/>
  <c r="D15" i="17" s="1"/>
  <c r="AA48" i="3"/>
  <c r="G15" i="17" s="1"/>
  <c r="AA39" i="3"/>
  <c r="G6" i="17" s="1"/>
  <c r="W39" i="3"/>
  <c r="D6" i="17" s="1"/>
  <c r="N17" i="1"/>
  <c r="T27" i="3"/>
  <c r="C9" i="16"/>
  <c r="T65" i="3"/>
  <c r="V80" i="3"/>
  <c r="C2" i="15" s="1"/>
  <c r="K4" i="21" s="1"/>
  <c r="N4" i="21" s="1"/>
  <c r="T80" i="3"/>
  <c r="T48" i="3"/>
  <c r="T40" i="3"/>
  <c r="V98" i="3"/>
  <c r="C20" i="15" s="1"/>
  <c r="K22" i="21" s="1"/>
  <c r="N22" i="21" s="1"/>
  <c r="T98" i="3"/>
  <c r="C2" i="16"/>
  <c r="T58" i="3"/>
  <c r="T52" i="3"/>
  <c r="T43" i="3"/>
  <c r="T84" i="3"/>
  <c r="V84" i="3"/>
  <c r="C6" i="15" s="1"/>
  <c r="K8" i="21" s="1"/>
  <c r="N8" i="21" s="1"/>
  <c r="V97" i="3"/>
  <c r="C19" i="15" s="1"/>
  <c r="K21" i="21" s="1"/>
  <c r="N21" i="21" s="1"/>
  <c r="T97" i="3"/>
  <c r="T95" i="3"/>
  <c r="E2" i="9" s="1"/>
  <c r="V95" i="3"/>
  <c r="C17" i="15" s="1"/>
  <c r="K19" i="21" s="1"/>
  <c r="N19" i="21" s="1"/>
  <c r="C12" i="16"/>
  <c r="T68" i="3"/>
  <c r="T46" i="3"/>
  <c r="T39" i="3"/>
  <c r="C3" i="16"/>
  <c r="T59" i="3"/>
  <c r="N3" i="1"/>
  <c r="T13" i="3"/>
  <c r="T64" i="3"/>
  <c r="C8" i="16"/>
  <c r="N7" i="1"/>
  <c r="T17" i="3"/>
  <c r="T16" i="3"/>
  <c r="N6" i="1"/>
  <c r="V85" i="3"/>
  <c r="C7" i="15" s="1"/>
  <c r="K9" i="21" s="1"/>
  <c r="N9" i="21" s="1"/>
  <c r="T85" i="3"/>
  <c r="T53" i="3"/>
  <c r="T51" i="3"/>
  <c r="T88" i="3"/>
  <c r="C2" i="9" s="1"/>
  <c r="V88" i="3"/>
  <c r="C10" i="15" s="1"/>
  <c r="K12" i="21" s="1"/>
  <c r="N12" i="21" s="1"/>
  <c r="T73" i="3"/>
  <c r="C17" i="16"/>
  <c r="T69" i="3"/>
  <c r="C13" i="16"/>
  <c r="T44" i="3"/>
  <c r="N14" i="1"/>
  <c r="T24" i="3"/>
  <c r="T86" i="3"/>
  <c r="V86" i="3"/>
  <c r="C8" i="15" s="1"/>
  <c r="K10" i="21" s="1"/>
  <c r="N10" i="21" s="1"/>
  <c r="V92" i="3"/>
  <c r="C14" i="15" s="1"/>
  <c r="K16" i="21" s="1"/>
  <c r="N16" i="21" s="1"/>
  <c r="T92" i="3"/>
  <c r="N15" i="1"/>
  <c r="T25" i="3"/>
  <c r="T36" i="3"/>
  <c r="N8" i="1"/>
  <c r="T18" i="3"/>
  <c r="N10" i="1"/>
  <c r="T20" i="3"/>
  <c r="C14" i="16"/>
  <c r="T70" i="3"/>
  <c r="N20" i="1"/>
  <c r="T30" i="3"/>
  <c r="N4" i="1"/>
  <c r="T14" i="3"/>
  <c r="T91" i="3"/>
  <c r="D2" i="9" s="1"/>
  <c r="V91" i="3"/>
  <c r="C13" i="15" s="1"/>
  <c r="K15" i="21" s="1"/>
  <c r="N15" i="21" s="1"/>
  <c r="C19" i="16"/>
  <c r="T75" i="3"/>
  <c r="T47" i="3"/>
  <c r="C6" i="16"/>
  <c r="T62" i="3"/>
  <c r="T67" i="3"/>
  <c r="C11" i="16"/>
  <c r="T74" i="3"/>
  <c r="C18" i="16"/>
  <c r="V96" i="3"/>
  <c r="C18" i="15" s="1"/>
  <c r="K20" i="21" s="1"/>
  <c r="N20" i="21" s="1"/>
  <c r="T96" i="3"/>
  <c r="T90" i="3"/>
  <c r="V90" i="3"/>
  <c r="C12" i="15" s="1"/>
  <c r="K14" i="21" s="1"/>
  <c r="N14" i="21" s="1"/>
  <c r="T49" i="3"/>
  <c r="T26" i="3"/>
  <c r="N16" i="1"/>
  <c r="N9" i="1"/>
  <c r="T19" i="3"/>
  <c r="T35" i="3"/>
  <c r="T45" i="3"/>
  <c r="N5" i="1"/>
  <c r="T15" i="3"/>
  <c r="T42" i="3"/>
  <c r="T66" i="3"/>
  <c r="C10" i="16"/>
  <c r="T81" i="3"/>
  <c r="V81" i="3"/>
  <c r="C3" i="15" s="1"/>
  <c r="K5" i="21" s="1"/>
  <c r="N5" i="21" s="1"/>
  <c r="T60" i="3"/>
  <c r="C4" i="16"/>
  <c r="N11" i="1"/>
  <c r="T21" i="3"/>
  <c r="V93" i="3"/>
  <c r="C15" i="15" s="1"/>
  <c r="K17" i="21" s="1"/>
  <c r="N17" i="21" s="1"/>
  <c r="T93" i="3"/>
  <c r="N18" i="1"/>
  <c r="T28" i="3"/>
  <c r="N12" i="1"/>
  <c r="T22" i="3"/>
  <c r="V87" i="3"/>
  <c r="C9" i="15" s="1"/>
  <c r="K11" i="21" s="1"/>
  <c r="N11" i="21" s="1"/>
  <c r="T87" i="3"/>
  <c r="T82" i="3"/>
  <c r="V82" i="3"/>
  <c r="C4" i="15" s="1"/>
  <c r="K6" i="21" s="1"/>
  <c r="N6" i="21" s="1"/>
  <c r="T50" i="3"/>
  <c r="T72" i="3"/>
  <c r="C16" i="16"/>
  <c r="T76" i="3"/>
  <c r="C20" i="16"/>
  <c r="N19" i="1"/>
  <c r="T29" i="3"/>
  <c r="T41" i="3"/>
  <c r="T83" i="3"/>
  <c r="B2" i="9" s="1"/>
  <c r="V83" i="3"/>
  <c r="C5" i="15" s="1"/>
  <c r="K7" i="21" s="1"/>
  <c r="N7" i="21" s="1"/>
  <c r="T89" i="3"/>
  <c r="V89" i="3"/>
  <c r="C11" i="15" s="1"/>
  <c r="K13" i="21" s="1"/>
  <c r="N13" i="21" s="1"/>
  <c r="V94" i="3"/>
  <c r="C16" i="15" s="1"/>
  <c r="K18" i="21" s="1"/>
  <c r="N18" i="21" s="1"/>
  <c r="T94" i="3"/>
  <c r="T71" i="3"/>
  <c r="C15" i="16"/>
  <c r="T37" i="3"/>
  <c r="T38" i="3"/>
  <c r="C5" i="16"/>
  <c r="T61" i="3"/>
  <c r="T23" i="3"/>
  <c r="N13" i="1"/>
  <c r="T12" i="3"/>
  <c r="N2" i="1"/>
  <c r="T63" i="3"/>
  <c r="C7" i="16"/>
  <c r="AH4" i="13"/>
  <c r="O15" i="18" l="1"/>
  <c r="Q15" i="18" s="1"/>
  <c r="F22" i="11" s="1"/>
  <c r="O22" i="18"/>
  <c r="Q22" i="18" s="1"/>
  <c r="F29" i="11" s="1"/>
  <c r="O19" i="18"/>
  <c r="Q19" i="18" s="1"/>
  <c r="F26" i="11" s="1"/>
  <c r="O9" i="18"/>
  <c r="Q9" i="18" s="1"/>
  <c r="F16" i="11" s="1"/>
  <c r="O17" i="18"/>
  <c r="Q17" i="18" s="1"/>
  <c r="F24" i="11" s="1"/>
  <c r="O10" i="18"/>
  <c r="Q10" i="18" s="1"/>
  <c r="F17" i="11" s="1"/>
  <c r="O12" i="18"/>
  <c r="Q12" i="18" s="1"/>
  <c r="F19" i="11" s="1"/>
  <c r="O7" i="18"/>
  <c r="Q7" i="18" s="1"/>
  <c r="F14" i="11" s="1"/>
  <c r="O23" i="18"/>
  <c r="Q23" i="18" s="1"/>
  <c r="F30" i="11" s="1"/>
  <c r="O18" i="18"/>
  <c r="Q18" i="18" s="1"/>
  <c r="F25" i="11" s="1"/>
  <c r="O20" i="18"/>
  <c r="Q20" i="18" s="1"/>
  <c r="F27" i="11" s="1"/>
  <c r="AG4" i="13"/>
  <c r="O21" i="18"/>
  <c r="Q21" i="18" s="1"/>
  <c r="F28" i="11" s="1"/>
  <c r="N32" i="11"/>
  <c r="N20" i="11"/>
  <c r="D3" i="21"/>
  <c r="O8" i="18"/>
  <c r="Q8" i="18" s="1"/>
  <c r="F15" i="11" s="1"/>
  <c r="N18" i="11"/>
  <c r="N15" i="11"/>
  <c r="N30" i="11"/>
  <c r="N25" i="11"/>
  <c r="O14" i="18"/>
  <c r="Q14" i="18" s="1"/>
  <c r="F21" i="11" s="1"/>
  <c r="N26" i="11"/>
  <c r="N21" i="11"/>
  <c r="O25" i="18"/>
  <c r="Q25" i="18" s="1"/>
  <c r="F32" i="11" s="1"/>
  <c r="N29" i="11"/>
  <c r="N24" i="11"/>
  <c r="O13" i="18"/>
  <c r="Q13" i="18" s="1"/>
  <c r="F20" i="11" s="1"/>
  <c r="N14" i="11"/>
  <c r="C3" i="21"/>
  <c r="N31" i="11"/>
  <c r="N17" i="11"/>
  <c r="N16" i="11"/>
  <c r="N22" i="11"/>
  <c r="N27" i="11"/>
  <c r="O16" i="18"/>
  <c r="Q16" i="18" s="1"/>
  <c r="F23" i="11" s="1"/>
  <c r="N19" i="11"/>
  <c r="O11" i="18"/>
  <c r="Q11" i="18" s="1"/>
  <c r="F18" i="11" s="1"/>
  <c r="N23" i="11"/>
  <c r="E3" i="21"/>
  <c r="F3" i="21"/>
  <c r="N28" i="11"/>
  <c r="O24" i="18"/>
  <c r="Q24" i="18" s="1"/>
  <c r="F31" i="11" s="1"/>
  <c r="M31" i="11" l="1"/>
  <c r="M20" i="11"/>
  <c r="M19" i="11"/>
  <c r="M17" i="11"/>
  <c r="M14" i="11"/>
  <c r="M18" i="11"/>
  <c r="M28" i="11"/>
  <c r="M24" i="11"/>
  <c r="M32" i="11"/>
  <c r="M15" i="11"/>
  <c r="M16" i="11"/>
  <c r="M23" i="11"/>
  <c r="M27" i="11"/>
  <c r="M26" i="11"/>
  <c r="M25" i="11"/>
  <c r="M29" i="11"/>
  <c r="M21" i="11"/>
  <c r="M30" i="11"/>
  <c r="M22" i="11"/>
  <c r="L14" i="7"/>
  <c r="L20" i="7"/>
  <c r="L12" i="7"/>
  <c r="X12" i="7" l="1"/>
  <c r="W12" i="7"/>
  <c r="R16" i="11" s="1"/>
  <c r="X20" i="7"/>
  <c r="W20" i="7"/>
  <c r="R24" i="11" s="1"/>
  <c r="X14" i="7"/>
  <c r="W14" i="7"/>
  <c r="R18" i="11" s="1"/>
  <c r="L22" i="7"/>
  <c r="L23" i="7"/>
  <c r="X23" i="7" s="1"/>
  <c r="X22" i="7" l="1"/>
  <c r="O23" i="7"/>
  <c r="AO23" i="7" s="1"/>
  <c r="L30" i="7"/>
  <c r="X30" i="7" s="1"/>
  <c r="O30" i="7" l="1"/>
  <c r="AO30" i="7" l="1"/>
  <c r="Z67" i="13" l="1"/>
  <c r="AC67" i="13" s="1"/>
  <c r="AE67" i="13" s="1"/>
  <c r="Z68" i="13" l="1"/>
  <c r="AC68" i="13" s="1"/>
  <c r="AE68" i="13" s="1"/>
  <c r="Z66" i="13"/>
  <c r="AC66" i="13" s="1"/>
  <c r="AE66" i="13" s="1"/>
  <c r="Z62" i="13" l="1"/>
  <c r="AC62" i="13" s="1"/>
  <c r="Z63" i="13"/>
  <c r="AC63" i="13" s="1"/>
  <c r="Z61" i="13"/>
  <c r="AC61" i="13" s="1"/>
  <c r="Z64" i="13" l="1"/>
  <c r="AC64" i="13" s="1"/>
  <c r="Z70" i="13" l="1"/>
  <c r="AC70" i="13" s="1"/>
  <c r="Z69" i="13" l="1"/>
  <c r="AC69" i="13" s="1"/>
  <c r="L25" i="7" l="1"/>
  <c r="X25" i="7" s="1"/>
  <c r="L28" i="7"/>
  <c r="X28" i="7" s="1"/>
  <c r="L35" i="7"/>
  <c r="X35" i="7" s="1"/>
  <c r="L29" i="7"/>
  <c r="X29" i="7" s="1"/>
  <c r="O25" i="7" l="1"/>
  <c r="AO25" i="7" s="1"/>
  <c r="O35" i="7"/>
  <c r="AO35" i="7" s="1"/>
  <c r="L36" i="7"/>
  <c r="X36" i="7" s="1"/>
  <c r="L31" i="7"/>
  <c r="X31" i="7" s="1"/>
  <c r="L41" i="7"/>
  <c r="X41" i="7" s="1"/>
  <c r="O28" i="7"/>
  <c r="AO28" i="7" s="1"/>
  <c r="L40" i="7"/>
  <c r="X40" i="7" s="1"/>
  <c r="L32" i="7"/>
  <c r="X32" i="7" s="1"/>
  <c r="O29" i="7"/>
  <c r="L26" i="7"/>
  <c r="X26" i="7" s="1"/>
  <c r="L34" i="7"/>
  <c r="X34" i="7" s="1"/>
  <c r="L24" i="7"/>
  <c r="X24" i="7" s="1"/>
  <c r="O31" i="7" l="1"/>
  <c r="AO31" i="7" s="1"/>
  <c r="O32" i="7"/>
  <c r="AO32" i="7" s="1"/>
  <c r="O36" i="7"/>
  <c r="L43" i="7"/>
  <c r="X43" i="7" s="1"/>
  <c r="L44" i="7"/>
  <c r="X44" i="7" s="1"/>
  <c r="O41" i="7"/>
  <c r="L51" i="7"/>
  <c r="X51" i="7" s="1"/>
  <c r="O40" i="7"/>
  <c r="L37" i="7"/>
  <c r="X37" i="7" s="1"/>
  <c r="L38" i="7"/>
  <c r="X38" i="7" s="1"/>
  <c r="AO29" i="7"/>
  <c r="O34" i="7"/>
  <c r="O26" i="7"/>
  <c r="O24" i="7"/>
  <c r="L42" i="7"/>
  <c r="X42" i="7" s="1"/>
  <c r="L52" i="7" l="1"/>
  <c r="X52" i="7" s="1"/>
  <c r="L63" i="7"/>
  <c r="X63" i="7" s="1"/>
  <c r="L50" i="7"/>
  <c r="X50" i="7" s="1"/>
  <c r="O43" i="7"/>
  <c r="AO36" i="7"/>
  <c r="L48" i="7"/>
  <c r="X48" i="7" s="1"/>
  <c r="O44" i="7"/>
  <c r="L47" i="7"/>
  <c r="X47" i="7" s="1"/>
  <c r="O51" i="7"/>
  <c r="AO41" i="7"/>
  <c r="O37" i="7"/>
  <c r="AO37" i="7" s="1"/>
  <c r="AO40" i="7"/>
  <c r="L33" i="7"/>
  <c r="X33" i="7" s="1"/>
  <c r="O38" i="7"/>
  <c r="O42" i="7"/>
  <c r="AO24" i="7"/>
  <c r="AO34" i="7"/>
  <c r="AO26" i="7"/>
  <c r="O52" i="7" l="1"/>
  <c r="AO52" i="7" s="1"/>
  <c r="O63" i="7"/>
  <c r="AO63" i="7" s="1"/>
  <c r="L62" i="7"/>
  <c r="X62" i="7" s="1"/>
  <c r="L64" i="7"/>
  <c r="X64" i="7" s="1"/>
  <c r="L59" i="7"/>
  <c r="X59" i="7" s="1"/>
  <c r="L54" i="7"/>
  <c r="X54" i="7" s="1"/>
  <c r="L27" i="7"/>
  <c r="X27" i="7" s="1"/>
  <c r="O48" i="7"/>
  <c r="O50" i="7"/>
  <c r="AO43" i="7"/>
  <c r="L45" i="7"/>
  <c r="X45" i="7" s="1"/>
  <c r="L46" i="7"/>
  <c r="X46" i="7" s="1"/>
  <c r="AO44" i="7"/>
  <c r="O47" i="7"/>
  <c r="AO51" i="7"/>
  <c r="AO38" i="7"/>
  <c r="O33" i="7"/>
  <c r="AO42" i="7"/>
  <c r="O62" i="7" l="1"/>
  <c r="AO62" i="7" s="1"/>
  <c r="O64" i="7"/>
  <c r="AO64" i="7" s="1"/>
  <c r="L55" i="7"/>
  <c r="X55" i="7" s="1"/>
  <c r="O54" i="7"/>
  <c r="AO54" i="7" s="1"/>
  <c r="O59" i="7"/>
  <c r="AO59" i="7" s="1"/>
  <c r="L60" i="7"/>
  <c r="X60" i="7" s="1"/>
  <c r="O27" i="7"/>
  <c r="L39" i="7"/>
  <c r="X39" i="7" s="1"/>
  <c r="L57" i="7"/>
  <c r="X57" i="7" s="1"/>
  <c r="L58" i="7"/>
  <c r="X58" i="7" s="1"/>
  <c r="AO48" i="7"/>
  <c r="AO50" i="7"/>
  <c r="O45" i="7"/>
  <c r="AO45" i="7" s="1"/>
  <c r="O46" i="7"/>
  <c r="AO47" i="7"/>
  <c r="AO33" i="7"/>
  <c r="O55" i="7" l="1"/>
  <c r="AO55" i="7" s="1"/>
  <c r="O60" i="7"/>
  <c r="L49" i="7"/>
  <c r="X49" i="7" s="1"/>
  <c r="O39" i="7"/>
  <c r="AO27" i="7"/>
  <c r="O57" i="7"/>
  <c r="AO57" i="7" s="1"/>
  <c r="O58" i="7"/>
  <c r="AO46" i="7"/>
  <c r="L61" i="7" l="1"/>
  <c r="X61" i="7" s="1"/>
  <c r="L56" i="7"/>
  <c r="X56" i="7" s="1"/>
  <c r="AO60" i="7"/>
  <c r="AO39" i="7"/>
  <c r="O49" i="7"/>
  <c r="AO58" i="7"/>
  <c r="O61" i="7" l="1"/>
  <c r="AO61" i="7" s="1"/>
  <c r="O56" i="7"/>
  <c r="AO56" i="7" s="1"/>
  <c r="AO49" i="7"/>
  <c r="S53" i="7"/>
  <c r="U53" i="7"/>
  <c r="AR53" i="7"/>
  <c r="AT64" i="7" s="1"/>
  <c r="L53" i="7"/>
  <c r="X53" i="7" s="1"/>
  <c r="R53" i="7"/>
  <c r="K51" i="7"/>
  <c r="I36" i="7" l="1"/>
  <c r="AB36" i="5" s="1"/>
  <c r="J15" i="7"/>
  <c r="AC15" i="5" s="1"/>
  <c r="J4" i="7"/>
  <c r="AC4" i="5" s="1"/>
  <c r="J38" i="7"/>
  <c r="AC38" i="5" s="1"/>
  <c r="J63" i="7"/>
  <c r="AC63" i="5" s="1"/>
  <c r="I14" i="7"/>
  <c r="AB14" i="5" s="1"/>
  <c r="H16" i="7"/>
  <c r="AA16" i="5" s="1"/>
  <c r="I31" i="7"/>
  <c r="AB31" i="5" s="1"/>
  <c r="I12" i="7"/>
  <c r="AB12" i="5" s="1"/>
  <c r="H38" i="7"/>
  <c r="AA38" i="5" s="1"/>
  <c r="O53" i="7"/>
  <c r="AO53" i="7" s="1"/>
  <c r="AT107" i="7" s="1"/>
  <c r="J42" i="7"/>
  <c r="AA96" i="7" s="1"/>
  <c r="H8" i="7"/>
  <c r="AA8" i="5" s="1"/>
  <c r="I25" i="7"/>
  <c r="AB25" i="5" s="1"/>
  <c r="I48" i="7"/>
  <c r="AB48" i="5" s="1"/>
  <c r="J18" i="7"/>
  <c r="AC18" i="5" s="1"/>
  <c r="H15" i="7"/>
  <c r="AA15" i="5" s="1"/>
  <c r="H6" i="7"/>
  <c r="AA6" i="5" s="1"/>
  <c r="J36" i="7"/>
  <c r="AA90" i="7" s="1"/>
  <c r="I9" i="7"/>
  <c r="AB9" i="5" s="1"/>
  <c r="H22" i="7"/>
  <c r="AA22" i="5" s="1"/>
  <c r="I4" i="7"/>
  <c r="AB4" i="5" s="1"/>
  <c r="I17" i="7"/>
  <c r="AB17" i="5" s="1"/>
  <c r="I63" i="7"/>
  <c r="AB63" i="5" s="1"/>
  <c r="J54" i="7"/>
  <c r="AC54" i="5" s="1"/>
  <c r="AT40" i="7"/>
  <c r="AZ40" i="7" s="1"/>
  <c r="AQ53" i="7"/>
  <c r="AT43" i="7" s="1"/>
  <c r="AZ43" i="7" s="1"/>
  <c r="I62" i="7"/>
  <c r="AB62" i="5" s="1"/>
  <c r="H28" i="7"/>
  <c r="AA28" i="5" s="1"/>
  <c r="H31" i="7"/>
  <c r="AA31" i="5" s="1"/>
  <c r="J43" i="7"/>
  <c r="AC43" i="5" s="1"/>
  <c r="AT11" i="7"/>
  <c r="AZ11" i="7" s="1"/>
  <c r="J59" i="7"/>
  <c r="AC59" i="5" s="1"/>
  <c r="J45" i="7"/>
  <c r="AC45" i="5" s="1"/>
  <c r="I5" i="7"/>
  <c r="AB5" i="5" s="1"/>
  <c r="J22" i="7"/>
  <c r="AC22" i="5" s="1"/>
  <c r="J46" i="7"/>
  <c r="AA100" i="7" s="1"/>
  <c r="J61" i="7"/>
  <c r="J41" i="7"/>
  <c r="I13" i="7"/>
  <c r="AB13" i="5" s="1"/>
  <c r="I56" i="7"/>
  <c r="AB56" i="5" s="1"/>
  <c r="AT31" i="7"/>
  <c r="AX31" i="7" s="1"/>
  <c r="AT42" i="7"/>
  <c r="AZ42" i="7" s="1"/>
  <c r="AZ64" i="7"/>
  <c r="AX64" i="7"/>
  <c r="AT39" i="7"/>
  <c r="H14" i="7"/>
  <c r="J9" i="7"/>
  <c r="AC9" i="5" s="1"/>
  <c r="H36" i="7"/>
  <c r="I21" i="7"/>
  <c r="AB21" i="5" s="1"/>
  <c r="I54" i="7"/>
  <c r="AB54" i="5" s="1"/>
  <c r="H19" i="7"/>
  <c r="I32" i="7"/>
  <c r="AB32" i="5" s="1"/>
  <c r="AT38" i="7"/>
  <c r="H27" i="7"/>
  <c r="H55" i="7"/>
  <c r="H44" i="7"/>
  <c r="H40" i="7"/>
  <c r="I40" i="7"/>
  <c r="AB40" i="5" s="1"/>
  <c r="J52" i="7"/>
  <c r="J60" i="7"/>
  <c r="J25" i="7"/>
  <c r="I27" i="7"/>
  <c r="AB27" i="5" s="1"/>
  <c r="I39" i="7"/>
  <c r="AB39" i="5" s="1"/>
  <c r="H25" i="7"/>
  <c r="H5" i="7"/>
  <c r="H53" i="7"/>
  <c r="J20" i="7"/>
  <c r="AC20" i="5" s="1"/>
  <c r="J12" i="7"/>
  <c r="AC12" i="5" s="1"/>
  <c r="H4" i="7"/>
  <c r="H17" i="7"/>
  <c r="I8" i="7"/>
  <c r="AB8" i="5" s="1"/>
  <c r="H48" i="7"/>
  <c r="I33" i="7"/>
  <c r="AB33" i="5" s="1"/>
  <c r="J5" i="7"/>
  <c r="AC5" i="5" s="1"/>
  <c r="J30" i="7"/>
  <c r="I7" i="7"/>
  <c r="AB7" i="5" s="1"/>
  <c r="I28" i="7"/>
  <c r="AB28" i="5" s="1"/>
  <c r="I60" i="7"/>
  <c r="AB60" i="5" s="1"/>
  <c r="H26" i="7"/>
  <c r="J29" i="7"/>
  <c r="H60" i="7"/>
  <c r="I44" i="7"/>
  <c r="AB44" i="5" s="1"/>
  <c r="J16" i="7"/>
  <c r="AC16" i="5" s="1"/>
  <c r="H64" i="7"/>
  <c r="I16" i="7"/>
  <c r="AB16" i="5" s="1"/>
  <c r="I19" i="7"/>
  <c r="AB19" i="5" s="1"/>
  <c r="J33" i="7"/>
  <c r="J49" i="7"/>
  <c r="H23" i="7"/>
  <c r="J56" i="7"/>
  <c r="J8" i="7"/>
  <c r="AC8" i="5" s="1"/>
  <c r="H39" i="7"/>
  <c r="J55" i="7"/>
  <c r="I43" i="7"/>
  <c r="AB43" i="5" s="1"/>
  <c r="H35" i="7"/>
  <c r="H21" i="7"/>
  <c r="J40" i="7"/>
  <c r="I10" i="7"/>
  <c r="AB10" i="5" s="1"/>
  <c r="I20" i="7"/>
  <c r="AB20" i="5" s="1"/>
  <c r="H50" i="7"/>
  <c r="H63" i="7"/>
  <c r="H37" i="7"/>
  <c r="I29" i="7"/>
  <c r="AB29" i="5" s="1"/>
  <c r="J64" i="7"/>
  <c r="H9" i="7"/>
  <c r="I52" i="7"/>
  <c r="AB52" i="5" s="1"/>
  <c r="H52" i="7"/>
  <c r="I22" i="7"/>
  <c r="AB22" i="5" s="1"/>
  <c r="H46" i="7"/>
  <c r="J23" i="7"/>
  <c r="J7" i="7"/>
  <c r="AC7" i="5" s="1"/>
  <c r="I55" i="7"/>
  <c r="AB55" i="5" s="1"/>
  <c r="J39" i="7"/>
  <c r="H43" i="7"/>
  <c r="H10" i="7"/>
  <c r="J31" i="7"/>
  <c r="H34" i="7"/>
  <c r="J27" i="7"/>
  <c r="J21" i="7"/>
  <c r="AC21" i="5" s="1"/>
  <c r="J2" i="7"/>
  <c r="AC2" i="5" s="1"/>
  <c r="H3" i="7"/>
  <c r="H41" i="7"/>
  <c r="H45" i="7"/>
  <c r="I18" i="7"/>
  <c r="AB18" i="5" s="1"/>
  <c r="H51" i="7"/>
  <c r="I26" i="7"/>
  <c r="AB26" i="5" s="1"/>
  <c r="H62" i="7"/>
  <c r="I51" i="7"/>
  <c r="AB51" i="5" s="1"/>
  <c r="H58" i="7"/>
  <c r="I23" i="7"/>
  <c r="AB23" i="5" s="1"/>
  <c r="J32" i="7"/>
  <c r="J48" i="7"/>
  <c r="I30" i="7"/>
  <c r="AB30" i="5" s="1"/>
  <c r="J44" i="7"/>
  <c r="H29" i="7"/>
  <c r="I35" i="7"/>
  <c r="AB35" i="5" s="1"/>
  <c r="I34" i="7"/>
  <c r="AB34" i="5" s="1"/>
  <c r="J13" i="7"/>
  <c r="AC13" i="5" s="1"/>
  <c r="J47" i="7"/>
  <c r="J51" i="7"/>
  <c r="H57" i="7"/>
  <c r="I24" i="7"/>
  <c r="AB24" i="5" s="1"/>
  <c r="I58" i="7"/>
  <c r="AB58" i="5" s="1"/>
  <c r="J14" i="7"/>
  <c r="AC14" i="5" s="1"/>
  <c r="H32" i="7"/>
  <c r="H61" i="7"/>
  <c r="H49" i="7"/>
  <c r="H30" i="7"/>
  <c r="I53" i="7"/>
  <c r="AB53" i="5" s="1"/>
  <c r="I61" i="7"/>
  <c r="AB61" i="5" s="1"/>
  <c r="H24" i="7"/>
  <c r="J28" i="7"/>
  <c r="I38" i="7"/>
  <c r="AB38" i="5" s="1"/>
  <c r="H59" i="7"/>
  <c r="I41" i="7"/>
  <c r="AB41" i="5" s="1"/>
  <c r="H13" i="7"/>
  <c r="H20" i="7"/>
  <c r="J37" i="7"/>
  <c r="H7" i="7"/>
  <c r="H56" i="7"/>
  <c r="J10" i="7"/>
  <c r="AC10" i="5" s="1"/>
  <c r="J26" i="7"/>
  <c r="J6" i="7"/>
  <c r="AC6" i="5" s="1"/>
  <c r="J17" i="7"/>
  <c r="AC17" i="5" s="1"/>
  <c r="J19" i="7"/>
  <c r="AC19" i="5" s="1"/>
  <c r="J34" i="7"/>
  <c r="I2" i="7"/>
  <c r="AB2" i="5" s="1"/>
  <c r="I47" i="7"/>
  <c r="AB47" i="5" s="1"/>
  <c r="H33" i="7"/>
  <c r="I45" i="7"/>
  <c r="AB45" i="5" s="1"/>
  <c r="I46" i="7"/>
  <c r="AB46" i="5" s="1"/>
  <c r="J50" i="7"/>
  <c r="I49" i="7"/>
  <c r="AB49" i="5" s="1"/>
  <c r="J62" i="7"/>
  <c r="H12" i="7"/>
  <c r="H2" i="7"/>
  <c r="I15" i="7"/>
  <c r="AB15" i="5" s="1"/>
  <c r="I59" i="7"/>
  <c r="AB59" i="5" s="1"/>
  <c r="J3" i="7"/>
  <c r="AC3" i="5" s="1"/>
  <c r="I37" i="7"/>
  <c r="AB37" i="5" s="1"/>
  <c r="H47" i="7"/>
  <c r="J24" i="7"/>
  <c r="I42" i="7"/>
  <c r="AB42" i="5" s="1"/>
  <c r="I3" i="7"/>
  <c r="AB3" i="5" s="1"/>
  <c r="J11" i="7"/>
  <c r="AC11" i="5" s="1"/>
  <c r="H11" i="7"/>
  <c r="J58" i="7"/>
  <c r="J53" i="7"/>
  <c r="AT58" i="7"/>
  <c r="I57" i="7"/>
  <c r="AB57" i="5" s="1"/>
  <c r="I6" i="7"/>
  <c r="J35" i="7"/>
  <c r="AS53" i="7"/>
  <c r="AT51" i="7" s="1"/>
  <c r="AT118" i="7"/>
  <c r="AT81" i="7"/>
  <c r="AT98" i="7"/>
  <c r="AT78" i="7"/>
  <c r="AT65" i="7"/>
  <c r="AT85" i="7"/>
  <c r="AT104" i="7"/>
  <c r="AT79" i="7"/>
  <c r="AT99" i="7"/>
  <c r="AT106" i="7"/>
  <c r="AT69" i="7"/>
  <c r="AT117" i="7"/>
  <c r="AT111" i="7"/>
  <c r="AT90" i="7"/>
  <c r="AT93" i="7"/>
  <c r="AT87" i="7"/>
  <c r="AT73" i="7"/>
  <c r="AT75" i="7"/>
  <c r="AT74" i="7"/>
  <c r="AT105" i="7"/>
  <c r="AT97" i="7"/>
  <c r="AT109" i="7"/>
  <c r="AT66" i="7"/>
  <c r="AT70" i="7"/>
  <c r="AT113" i="7"/>
  <c r="AT102" i="7"/>
  <c r="AT86" i="7"/>
  <c r="AT103" i="7"/>
  <c r="AT96" i="7"/>
  <c r="AT100" i="7"/>
  <c r="AT77" i="7"/>
  <c r="AT88" i="7"/>
  <c r="AT94" i="7"/>
  <c r="AT84" i="7"/>
  <c r="AT71" i="7"/>
  <c r="AT68" i="7"/>
  <c r="AT115" i="7"/>
  <c r="AT91" i="7"/>
  <c r="AT67" i="7"/>
  <c r="AT76" i="7"/>
  <c r="AT83" i="7"/>
  <c r="AT89" i="7"/>
  <c r="AT110" i="7"/>
  <c r="AT108" i="7"/>
  <c r="AT112" i="7"/>
  <c r="AT82" i="7"/>
  <c r="AT95" i="7"/>
  <c r="AT101" i="7"/>
  <c r="AT20" i="7"/>
  <c r="AT7" i="7"/>
  <c r="AT72" i="7"/>
  <c r="AT114" i="7"/>
  <c r="AT4" i="7"/>
  <c r="AT18" i="7"/>
  <c r="AT15" i="7"/>
  <c r="AT14" i="7"/>
  <c r="AT48" i="7"/>
  <c r="AT61" i="7"/>
  <c r="AT13" i="7"/>
  <c r="AT36" i="7"/>
  <c r="AT10" i="7"/>
  <c r="AT44" i="7"/>
  <c r="AT5" i="7"/>
  <c r="AT21" i="7"/>
  <c r="AT16" i="7"/>
  <c r="AT22" i="7"/>
  <c r="AT9" i="7"/>
  <c r="AT33" i="7"/>
  <c r="AT57" i="7"/>
  <c r="AT8" i="7"/>
  <c r="AT50" i="7"/>
  <c r="AT28" i="7"/>
  <c r="AT24" i="7"/>
  <c r="AT17" i="7"/>
  <c r="AT41" i="7"/>
  <c r="AT37" i="7"/>
  <c r="AT49" i="7"/>
  <c r="AT35" i="7"/>
  <c r="AT54" i="7"/>
  <c r="AT34" i="7"/>
  <c r="AT30" i="7"/>
  <c r="AT2" i="7"/>
  <c r="AT45" i="7"/>
  <c r="AT55" i="7"/>
  <c r="AT12" i="7"/>
  <c r="AT25" i="7"/>
  <c r="AT59" i="7"/>
  <c r="AT92" i="7"/>
  <c r="AT52" i="7"/>
  <c r="AT56" i="7"/>
  <c r="AT53" i="7"/>
  <c r="AZ53" i="7" s="1"/>
  <c r="AT63" i="7"/>
  <c r="AT62" i="7"/>
  <c r="AT19" i="7"/>
  <c r="AT27" i="7"/>
  <c r="AT6" i="7"/>
  <c r="AY53" i="7"/>
  <c r="AT23" i="7"/>
  <c r="AT3" i="7"/>
  <c r="AT60" i="7"/>
  <c r="AT116" i="7"/>
  <c r="AT46" i="7"/>
  <c r="AT29" i="7"/>
  <c r="AT80" i="7"/>
  <c r="AT26" i="7"/>
  <c r="AT32" i="7"/>
  <c r="I50" i="7"/>
  <c r="AB50" i="5" s="1"/>
  <c r="AT47" i="7"/>
  <c r="H54" i="7"/>
  <c r="J57" i="7"/>
  <c r="I11" i="7"/>
  <c r="AB11" i="5" s="1"/>
  <c r="H42" i="7"/>
  <c r="H18" i="7"/>
  <c r="I64" i="7"/>
  <c r="AB64" i="5" s="1"/>
  <c r="K17" i="7"/>
  <c r="K34" i="7"/>
  <c r="K32" i="7"/>
  <c r="K60" i="7"/>
  <c r="K27" i="7"/>
  <c r="K23" i="7"/>
  <c r="K61" i="7"/>
  <c r="K30" i="7"/>
  <c r="K55" i="7"/>
  <c r="K42" i="7"/>
  <c r="K41" i="7"/>
  <c r="K49" i="7"/>
  <c r="K13" i="7"/>
  <c r="K7" i="7"/>
  <c r="K36" i="7"/>
  <c r="K4" i="7"/>
  <c r="K19" i="7"/>
  <c r="K24" i="7"/>
  <c r="K11" i="7"/>
  <c r="K31" i="7"/>
  <c r="K52" i="7"/>
  <c r="K63" i="7"/>
  <c r="K16" i="7"/>
  <c r="K46" i="7"/>
  <c r="K38" i="7"/>
  <c r="K18" i="7"/>
  <c r="K58" i="7"/>
  <c r="K53" i="7"/>
  <c r="K39" i="7"/>
  <c r="K45" i="7"/>
  <c r="K43" i="7"/>
  <c r="K44" i="7"/>
  <c r="K6" i="7"/>
  <c r="K20" i="7"/>
  <c r="K37" i="7"/>
  <c r="K5" i="7"/>
  <c r="K3" i="7"/>
  <c r="K9" i="7"/>
  <c r="K14" i="7"/>
  <c r="K64" i="7"/>
  <c r="K26" i="7"/>
  <c r="K10" i="7"/>
  <c r="K22" i="7"/>
  <c r="K29" i="7"/>
  <c r="K2" i="7"/>
  <c r="K33" i="7"/>
  <c r="K15" i="7"/>
  <c r="K28" i="7"/>
  <c r="K62" i="7"/>
  <c r="K57" i="7"/>
  <c r="K47" i="7"/>
  <c r="K40" i="7"/>
  <c r="K8" i="7"/>
  <c r="K25" i="7"/>
  <c r="K50" i="7"/>
  <c r="K21" i="7"/>
  <c r="K59" i="7"/>
  <c r="K48" i="7"/>
  <c r="K54" i="7"/>
  <c r="K12" i="7"/>
  <c r="K35" i="7"/>
  <c r="K56" i="7"/>
  <c r="AC42" i="5" l="1"/>
  <c r="AA92" i="7"/>
  <c r="AC46" i="5"/>
  <c r="AD15" i="5"/>
  <c r="AA117" i="7"/>
  <c r="AA108" i="7"/>
  <c r="AX40" i="7"/>
  <c r="BA28" i="7" s="1"/>
  <c r="AA99" i="7"/>
  <c r="AX53" i="7"/>
  <c r="AX11" i="7"/>
  <c r="Q154" i="10"/>
  <c r="AA113" i="7"/>
  <c r="N178" i="5"/>
  <c r="Q3" i="10"/>
  <c r="Q190" i="10"/>
  <c r="N171" i="5"/>
  <c r="AC36" i="5"/>
  <c r="Q139" i="10"/>
  <c r="N148" i="5"/>
  <c r="N102" i="5"/>
  <c r="N208" i="5"/>
  <c r="AX43" i="7"/>
  <c r="BA36" i="7" s="1"/>
  <c r="AB38" i="7"/>
  <c r="N5" i="5"/>
  <c r="Q127" i="10"/>
  <c r="Q118" i="10"/>
  <c r="N7" i="5"/>
  <c r="AZ31" i="7"/>
  <c r="Q13" i="10"/>
  <c r="O113" i="5"/>
  <c r="Q7" i="10"/>
  <c r="AA115" i="7"/>
  <c r="AC61" i="5"/>
  <c r="Q130" i="10"/>
  <c r="AA97" i="7"/>
  <c r="N44" i="5"/>
  <c r="AD16" i="5"/>
  <c r="N45" i="5"/>
  <c r="AX42" i="7"/>
  <c r="BA30" i="7" s="1"/>
  <c r="AA95" i="7"/>
  <c r="AC41" i="5"/>
  <c r="Q5" i="10"/>
  <c r="N114" i="5"/>
  <c r="AB15" i="7"/>
  <c r="AZ23" i="7"/>
  <c r="BA3" i="7" s="1"/>
  <c r="AX23" i="7"/>
  <c r="AZ22" i="7"/>
  <c r="BA4" i="7" s="1"/>
  <c r="AX22" i="7"/>
  <c r="AB47" i="7"/>
  <c r="AA47" i="5"/>
  <c r="Q111" i="10"/>
  <c r="Q158" i="10"/>
  <c r="Q170" i="10"/>
  <c r="N158" i="5"/>
  <c r="Q159" i="5" s="1"/>
  <c r="AA51" i="5"/>
  <c r="AB51" i="7"/>
  <c r="Q97" i="10"/>
  <c r="Q119" i="10"/>
  <c r="AX24" i="7"/>
  <c r="AZ24" i="7"/>
  <c r="BA7" i="7" s="1"/>
  <c r="Q22" i="10"/>
  <c r="Q142" i="10"/>
  <c r="Q61" i="10"/>
  <c r="Q34" i="10"/>
  <c r="N155" i="5"/>
  <c r="N130" i="5"/>
  <c r="AB30" i="7"/>
  <c r="AA30" i="5"/>
  <c r="AA102" i="7"/>
  <c r="AC48" i="5"/>
  <c r="AA85" i="7"/>
  <c r="AC31" i="5"/>
  <c r="AD31" i="5" s="1"/>
  <c r="AB50" i="7"/>
  <c r="AA50" i="5"/>
  <c r="AA39" i="5"/>
  <c r="AB39" i="7"/>
  <c r="Q10" i="10"/>
  <c r="Q82" i="10"/>
  <c r="Q191" i="10"/>
  <c r="AA114" i="7"/>
  <c r="AC60" i="5"/>
  <c r="N100" i="5"/>
  <c r="AZ47" i="7"/>
  <c r="AX47" i="7"/>
  <c r="AZ3" i="7"/>
  <c r="AX3" i="7"/>
  <c r="AZ45" i="7"/>
  <c r="BA35" i="7" s="1"/>
  <c r="AX45" i="7"/>
  <c r="AZ41" i="7"/>
  <c r="AX41" i="7"/>
  <c r="AZ9" i="7"/>
  <c r="AX9" i="7"/>
  <c r="AX13" i="7"/>
  <c r="AZ13" i="7"/>
  <c r="AX72" i="7"/>
  <c r="AZ72" i="7"/>
  <c r="AZ71" i="7"/>
  <c r="AX71" i="7"/>
  <c r="AX74" i="7"/>
  <c r="AZ74" i="7"/>
  <c r="AX69" i="7"/>
  <c r="AZ69" i="7"/>
  <c r="N191" i="5"/>
  <c r="Q143" i="10"/>
  <c r="Q155" i="10"/>
  <c r="Q145" i="10"/>
  <c r="N180" i="5"/>
  <c r="Q107" i="10"/>
  <c r="N12" i="5"/>
  <c r="AA78" i="7"/>
  <c r="AC24" i="5"/>
  <c r="AA116" i="7"/>
  <c r="AC62" i="5"/>
  <c r="AC34" i="5"/>
  <c r="AA88" i="7"/>
  <c r="AA91" i="7"/>
  <c r="AC37" i="5"/>
  <c r="Q33" i="10"/>
  <c r="Q105" i="10"/>
  <c r="Q152" i="10"/>
  <c r="Q93" i="10"/>
  <c r="N21" i="5"/>
  <c r="N105" i="5"/>
  <c r="N140" i="5"/>
  <c r="Q129" i="10"/>
  <c r="N129" i="5"/>
  <c r="N33" i="5"/>
  <c r="N225" i="5"/>
  <c r="N164" i="5"/>
  <c r="N93" i="5"/>
  <c r="N188" i="5"/>
  <c r="Q45" i="10"/>
  <c r="Q72" i="10"/>
  <c r="N179" i="5"/>
  <c r="Q47" i="10"/>
  <c r="N59" i="5"/>
  <c r="N226" i="5"/>
  <c r="Q25" i="10"/>
  <c r="N94" i="5"/>
  <c r="Q193" i="10"/>
  <c r="N23" i="5"/>
  <c r="N215" i="5"/>
  <c r="Q169" i="10"/>
  <c r="N118" i="5"/>
  <c r="AC44" i="5"/>
  <c r="AA98" i="7"/>
  <c r="Q141" i="10"/>
  <c r="N20" i="5"/>
  <c r="Q68" i="10"/>
  <c r="AC27" i="5"/>
  <c r="R160" i="10" s="1"/>
  <c r="AA81" i="7"/>
  <c r="AA77" i="7"/>
  <c r="AC23" i="5"/>
  <c r="AB37" i="7"/>
  <c r="AA37" i="5"/>
  <c r="Q62" i="10"/>
  <c r="Q182" i="10"/>
  <c r="Q146" i="10"/>
  <c r="Q151" i="10"/>
  <c r="Q163" i="10"/>
  <c r="Q66" i="10"/>
  <c r="N66" i="5"/>
  <c r="N67" i="5"/>
  <c r="N210" i="5"/>
  <c r="N211" i="5"/>
  <c r="Q67" i="10"/>
  <c r="N151" i="5"/>
  <c r="N163" i="5"/>
  <c r="N49" i="5"/>
  <c r="Q95" i="10"/>
  <c r="Q23" i="10"/>
  <c r="AA17" i="5"/>
  <c r="AB17" i="7"/>
  <c r="AB22" i="7"/>
  <c r="N112" i="5"/>
  <c r="Q138" i="10"/>
  <c r="N198" i="5"/>
  <c r="Q56" i="10"/>
  <c r="Q104" i="10"/>
  <c r="N177" i="5"/>
  <c r="N213" i="5"/>
  <c r="N201" i="5"/>
  <c r="Q140" i="10"/>
  <c r="N9" i="5"/>
  <c r="N69" i="5"/>
  <c r="N117" i="5"/>
  <c r="AZ2" i="7"/>
  <c r="AX2" i="7"/>
  <c r="AX7" i="7"/>
  <c r="AZ7" i="7"/>
  <c r="AZ75" i="7"/>
  <c r="AX75" i="7"/>
  <c r="Q181" i="10"/>
  <c r="Q132" i="10"/>
  <c r="Q49" i="10"/>
  <c r="N192" i="5"/>
  <c r="N72" i="5"/>
  <c r="Q108" i="10"/>
  <c r="N204" i="5"/>
  <c r="AB63" i="7"/>
  <c r="AA63" i="5"/>
  <c r="AX30" i="7"/>
  <c r="BA20" i="7" s="1"/>
  <c r="AZ30" i="7"/>
  <c r="BA8" i="7" s="1"/>
  <c r="AX20" i="7"/>
  <c r="AZ20" i="7"/>
  <c r="AA18" i="5"/>
  <c r="AB18" i="7"/>
  <c r="AX21" i="7"/>
  <c r="AZ21" i="7"/>
  <c r="BA2" i="7" s="1"/>
  <c r="AX76" i="7"/>
  <c r="AZ76" i="7"/>
  <c r="AZ70" i="7"/>
  <c r="AX70" i="7"/>
  <c r="AB42" i="7"/>
  <c r="AA42" i="5"/>
  <c r="Q94" i="10"/>
  <c r="AX29" i="7"/>
  <c r="BA19" i="7" s="1"/>
  <c r="AZ29" i="7"/>
  <c r="BA5" i="7" s="1"/>
  <c r="AZ27" i="7"/>
  <c r="AX27" i="7"/>
  <c r="BA17" i="7" s="1"/>
  <c r="AX59" i="7"/>
  <c r="AZ59" i="7"/>
  <c r="AZ54" i="7"/>
  <c r="AX54" i="7"/>
  <c r="AZ50" i="7"/>
  <c r="AX50" i="7"/>
  <c r="BA40" i="7" s="1"/>
  <c r="AZ5" i="7"/>
  <c r="AX5" i="7"/>
  <c r="AZ15" i="7"/>
  <c r="AX15" i="7"/>
  <c r="AZ67" i="7"/>
  <c r="AX67" i="7"/>
  <c r="AZ66" i="7"/>
  <c r="AX66" i="7"/>
  <c r="N10" i="5"/>
  <c r="Q51" i="10"/>
  <c r="AB11" i="7"/>
  <c r="AA11" i="5"/>
  <c r="Q42" i="10"/>
  <c r="Q174" i="10"/>
  <c r="Q187" i="10"/>
  <c r="Q126" i="10"/>
  <c r="N174" i="5"/>
  <c r="N222" i="5"/>
  <c r="N42" i="5"/>
  <c r="N187" i="5"/>
  <c r="N126" i="5"/>
  <c r="Q121" i="10"/>
  <c r="Q131" i="10"/>
  <c r="N82" i="5"/>
  <c r="Q192" i="10"/>
  <c r="N11" i="5"/>
  <c r="N202" i="5"/>
  <c r="Q37" i="10"/>
  <c r="N106" i="5"/>
  <c r="N131" i="5"/>
  <c r="N46" i="5"/>
  <c r="AC26" i="5"/>
  <c r="AA80" i="7"/>
  <c r="AB59" i="7"/>
  <c r="AA59" i="5"/>
  <c r="AB61" i="7"/>
  <c r="AA61" i="5"/>
  <c r="Q38" i="10"/>
  <c r="Q99" i="10"/>
  <c r="Q98" i="10"/>
  <c r="Q2" i="10"/>
  <c r="N206" i="5"/>
  <c r="Q207" i="5" s="1"/>
  <c r="N207" i="5"/>
  <c r="Q123" i="10"/>
  <c r="N38" i="5"/>
  <c r="Q39" i="5" s="1"/>
  <c r="AB41" i="7"/>
  <c r="AA41" i="5"/>
  <c r="AB43" i="7"/>
  <c r="AA43" i="5"/>
  <c r="Q36" i="10"/>
  <c r="N37" i="5"/>
  <c r="N145" i="5"/>
  <c r="Q179" i="10"/>
  <c r="N157" i="5"/>
  <c r="Q57" i="10"/>
  <c r="N165" i="5"/>
  <c r="AC56" i="5"/>
  <c r="AA110" i="7"/>
  <c r="N205" i="5"/>
  <c r="N73" i="5"/>
  <c r="N25" i="5"/>
  <c r="N169" i="5"/>
  <c r="N193" i="5"/>
  <c r="N85" i="5"/>
  <c r="AA53" i="5"/>
  <c r="AB53" i="7"/>
  <c r="Q9" i="10"/>
  <c r="Q44" i="10"/>
  <c r="Q8" i="10"/>
  <c r="Q165" i="10"/>
  <c r="Q100" i="10"/>
  <c r="N80" i="5"/>
  <c r="AA19" i="5"/>
  <c r="AB19" i="7"/>
  <c r="Q180" i="10"/>
  <c r="O209" i="5"/>
  <c r="AD38" i="5"/>
  <c r="N136" i="5"/>
  <c r="Q136" i="10"/>
  <c r="N172" i="5"/>
  <c r="Q172" i="10"/>
  <c r="AD8" i="5"/>
  <c r="AZ46" i="7"/>
  <c r="AX46" i="7"/>
  <c r="AZ19" i="7"/>
  <c r="AX19" i="7"/>
  <c r="AZ25" i="7"/>
  <c r="BA6" i="7" s="1"/>
  <c r="AX25" i="7"/>
  <c r="AZ35" i="7"/>
  <c r="AX35" i="7"/>
  <c r="AX8" i="7"/>
  <c r="AZ8" i="7"/>
  <c r="AX44" i="7"/>
  <c r="BA31" i="7" s="1"/>
  <c r="AZ44" i="7"/>
  <c r="BA32" i="7" s="1"/>
  <c r="AZ18" i="7"/>
  <c r="AX18" i="7"/>
  <c r="N166" i="5"/>
  <c r="Q183" i="10"/>
  <c r="Q86" i="10"/>
  <c r="R77" i="10"/>
  <c r="O77" i="5"/>
  <c r="Q168" i="10"/>
  <c r="Q71" i="10"/>
  <c r="AB33" i="7"/>
  <c r="AA33" i="5"/>
  <c r="N96" i="5"/>
  <c r="Q73" i="10"/>
  <c r="Q156" i="10"/>
  <c r="N228" i="5"/>
  <c r="N132" i="5"/>
  <c r="Q59" i="10"/>
  <c r="Q46" i="10"/>
  <c r="N60" i="5"/>
  <c r="AB32" i="7"/>
  <c r="AA32" i="5"/>
  <c r="Q50" i="10"/>
  <c r="Q74" i="10"/>
  <c r="N218" i="5"/>
  <c r="Q219" i="5" s="1"/>
  <c r="Q122" i="10"/>
  <c r="Q134" i="10"/>
  <c r="N74" i="5"/>
  <c r="Q75" i="5" s="1"/>
  <c r="AB58" i="7"/>
  <c r="AA58" i="5"/>
  <c r="AB3" i="7"/>
  <c r="W3" i="7" s="1"/>
  <c r="AA3" i="5"/>
  <c r="AA93" i="7"/>
  <c r="AC39" i="5"/>
  <c r="AA9" i="5"/>
  <c r="AB9" i="7"/>
  <c r="W9" i="7" s="1"/>
  <c r="AC40" i="5"/>
  <c r="AA94" i="7"/>
  <c r="AA23" i="5"/>
  <c r="AB23" i="7"/>
  <c r="AB60" i="7"/>
  <c r="AA60" i="5"/>
  <c r="Q39" i="10"/>
  <c r="N110" i="5"/>
  <c r="Q111" i="5" s="1"/>
  <c r="N63" i="5"/>
  <c r="N39" i="5"/>
  <c r="Q75" i="10"/>
  <c r="Q110" i="10"/>
  <c r="Q27" i="10"/>
  <c r="Q63" i="10"/>
  <c r="AB5" i="7"/>
  <c r="W5" i="7" s="1"/>
  <c r="AA5" i="5"/>
  <c r="AB40" i="7"/>
  <c r="AA40" i="5"/>
  <c r="Q148" i="10"/>
  <c r="N214" i="5"/>
  <c r="Q96" i="10"/>
  <c r="N58" i="5"/>
  <c r="N190" i="5"/>
  <c r="N83" i="5"/>
  <c r="N22" i="5"/>
  <c r="AZ39" i="7"/>
  <c r="BA27" i="7" s="1"/>
  <c r="AX39" i="7"/>
  <c r="BA26" i="7" s="1"/>
  <c r="Q171" i="10"/>
  <c r="Q188" i="10"/>
  <c r="Q112" i="10"/>
  <c r="N139" i="5"/>
  <c r="AX32" i="7"/>
  <c r="BA25" i="7" s="1"/>
  <c r="AZ32" i="7"/>
  <c r="AZ17" i="7"/>
  <c r="AX17" i="7"/>
  <c r="Q128" i="10"/>
  <c r="Q81" i="10"/>
  <c r="Q117" i="10"/>
  <c r="Q164" i="10"/>
  <c r="N92" i="5"/>
  <c r="N176" i="5"/>
  <c r="N32" i="5"/>
  <c r="N81" i="5"/>
  <c r="N153" i="5"/>
  <c r="N116" i="5"/>
  <c r="N212" i="5"/>
  <c r="AB57" i="7"/>
  <c r="AA57" i="5"/>
  <c r="AB34" i="7"/>
  <c r="AA34" i="5"/>
  <c r="AC55" i="5"/>
  <c r="AA109" i="7"/>
  <c r="Q176" i="10"/>
  <c r="Q92" i="10"/>
  <c r="Q177" i="10"/>
  <c r="Q69" i="10"/>
  <c r="N141" i="5"/>
  <c r="Q20" i="10"/>
  <c r="Q189" i="10"/>
  <c r="Q80" i="10"/>
  <c r="N104" i="5"/>
  <c r="N152" i="5"/>
  <c r="N128" i="5"/>
  <c r="N224" i="5"/>
  <c r="AA4" i="5"/>
  <c r="AB4" i="7"/>
  <c r="W4" i="7" s="1"/>
  <c r="AC25" i="5"/>
  <c r="AA79" i="7"/>
  <c r="AB27" i="7"/>
  <c r="AA27" i="5"/>
  <c r="AB36" i="7"/>
  <c r="AA36" i="5"/>
  <c r="AD22" i="5"/>
  <c r="AZ26" i="7"/>
  <c r="BA9" i="7" s="1"/>
  <c r="AX26" i="7"/>
  <c r="BA93" i="7"/>
  <c r="BA110" i="7"/>
  <c r="BA96" i="7"/>
  <c r="BA105" i="7"/>
  <c r="BA77" i="7"/>
  <c r="BA117" i="7"/>
  <c r="BA76" i="7"/>
  <c r="BA95" i="7"/>
  <c r="BA115" i="7"/>
  <c r="BA100" i="7"/>
  <c r="BA99" i="7"/>
  <c r="BA98" i="7"/>
  <c r="BA106" i="7"/>
  <c r="BA107" i="7"/>
  <c r="BA53" i="7"/>
  <c r="BA80" i="7"/>
  <c r="BA111" i="7"/>
  <c r="BA69" i="7"/>
  <c r="BA89" i="7"/>
  <c r="BA116" i="7"/>
  <c r="BA81" i="7"/>
  <c r="BA87" i="7"/>
  <c r="BA59" i="7"/>
  <c r="BA67" i="7"/>
  <c r="BA109" i="7"/>
  <c r="BA92" i="7"/>
  <c r="BA79" i="7"/>
  <c r="BA88" i="7"/>
  <c r="BA83" i="7"/>
  <c r="BA103" i="7"/>
  <c r="BA78" i="7"/>
  <c r="BA70" i="7"/>
  <c r="BA74" i="7"/>
  <c r="BA108" i="7"/>
  <c r="BA104" i="7"/>
  <c r="BA71" i="7"/>
  <c r="BA114" i="7"/>
  <c r="BA97" i="7"/>
  <c r="BA58" i="7"/>
  <c r="BA84" i="7"/>
  <c r="BA113" i="7"/>
  <c r="BA94" i="7"/>
  <c r="BA118" i="7"/>
  <c r="BA75" i="7"/>
  <c r="BA102" i="7"/>
  <c r="BA112" i="7"/>
  <c r="BA101" i="7"/>
  <c r="BA68" i="7"/>
  <c r="BA85" i="7"/>
  <c r="BA72" i="7"/>
  <c r="BA82" i="7"/>
  <c r="BA57" i="7"/>
  <c r="BA64" i="7"/>
  <c r="BA90" i="7"/>
  <c r="BA86" i="7"/>
  <c r="BA73" i="7"/>
  <c r="BA65" i="7"/>
  <c r="BA55" i="7"/>
  <c r="BA66" i="7"/>
  <c r="BA91" i="7"/>
  <c r="BA60" i="7"/>
  <c r="BA62" i="7"/>
  <c r="BA63" i="7"/>
  <c r="BA61" i="7"/>
  <c r="BA56" i="7"/>
  <c r="BF53" i="7"/>
  <c r="BA54" i="7"/>
  <c r="AX16" i="7"/>
  <c r="AZ16" i="7"/>
  <c r="AA107" i="7"/>
  <c r="AC53" i="5"/>
  <c r="AA104" i="7"/>
  <c r="AC50" i="5"/>
  <c r="AB13" i="7"/>
  <c r="AA13" i="5"/>
  <c r="AA105" i="7"/>
  <c r="AC51" i="5"/>
  <c r="R28" i="10" s="1"/>
  <c r="N56" i="5"/>
  <c r="N189" i="5"/>
  <c r="N68" i="5"/>
  <c r="N8" i="5"/>
  <c r="Q116" i="10"/>
  <c r="N200" i="5"/>
  <c r="Q125" i="10"/>
  <c r="N209" i="5"/>
  <c r="N113" i="5"/>
  <c r="N125" i="5"/>
  <c r="Q113" i="10"/>
  <c r="Q173" i="10"/>
  <c r="N173" i="5"/>
  <c r="AB64" i="7"/>
  <c r="AA64" i="5"/>
  <c r="AZ38" i="7"/>
  <c r="AX38" i="7"/>
  <c r="AB31" i="7"/>
  <c r="AZ34" i="7"/>
  <c r="AX34" i="7"/>
  <c r="AZ14" i="7"/>
  <c r="AX14" i="7"/>
  <c r="AA112" i="7"/>
  <c r="AC58" i="5"/>
  <c r="Q60" i="10"/>
  <c r="Q133" i="10"/>
  <c r="Q12" i="10"/>
  <c r="Q11" i="10"/>
  <c r="N227" i="5"/>
  <c r="N95" i="5"/>
  <c r="N154" i="5"/>
  <c r="N34" i="5"/>
  <c r="N119" i="5"/>
  <c r="N70" i="5"/>
  <c r="Q6" i="10"/>
  <c r="Q30" i="10"/>
  <c r="Q79" i="10"/>
  <c r="Q78" i="10"/>
  <c r="Q162" i="10"/>
  <c r="N30" i="5"/>
  <c r="N6" i="5"/>
  <c r="N79" i="5"/>
  <c r="N162" i="5"/>
  <c r="N186" i="5"/>
  <c r="Q186" i="10"/>
  <c r="Q150" i="10"/>
  <c r="N150" i="5"/>
  <c r="N78" i="5"/>
  <c r="AA101" i="7"/>
  <c r="AC47" i="5"/>
  <c r="AB45" i="7"/>
  <c r="AA45" i="5"/>
  <c r="AB52" i="7"/>
  <c r="AA52" i="5"/>
  <c r="AZ51" i="7"/>
  <c r="AX51" i="7"/>
  <c r="BA41" i="7" s="1"/>
  <c r="AA111" i="7"/>
  <c r="AC57" i="5"/>
  <c r="Q83" i="10"/>
  <c r="AB8" i="7"/>
  <c r="W8" i="7" s="1"/>
  <c r="AZ62" i="7"/>
  <c r="BA52" i="7" s="1"/>
  <c r="AX62" i="7"/>
  <c r="AZ12" i="7"/>
  <c r="AX12" i="7"/>
  <c r="AZ49" i="7"/>
  <c r="AX49" i="7"/>
  <c r="BA39" i="7" s="1"/>
  <c r="AZ57" i="7"/>
  <c r="AX57" i="7"/>
  <c r="AZ10" i="7"/>
  <c r="AX10" i="7"/>
  <c r="AZ4" i="7"/>
  <c r="AX4" i="7"/>
  <c r="AX65" i="7"/>
  <c r="AZ65" i="7"/>
  <c r="N143" i="5"/>
  <c r="Q15" i="10"/>
  <c r="AC35" i="5"/>
  <c r="R161" i="10" s="1"/>
  <c r="AA89" i="7"/>
  <c r="Q147" i="10"/>
  <c r="Q14" i="10"/>
  <c r="Q87" i="10"/>
  <c r="N87" i="5"/>
  <c r="Q135" i="10"/>
  <c r="AA2" i="5"/>
  <c r="AB2" i="7"/>
  <c r="W2" i="7" s="1"/>
  <c r="Q24" i="10"/>
  <c r="Q84" i="10"/>
  <c r="Q178" i="10"/>
  <c r="N181" i="5"/>
  <c r="N13" i="5"/>
  <c r="Q144" i="10"/>
  <c r="N120" i="5"/>
  <c r="AB56" i="7"/>
  <c r="AA56" i="5"/>
  <c r="AA82" i="7"/>
  <c r="AC28" i="5"/>
  <c r="Q137" i="10"/>
  <c r="N137" i="5"/>
  <c r="Q88" i="10"/>
  <c r="N16" i="5"/>
  <c r="Q64" i="10"/>
  <c r="Q89" i="10"/>
  <c r="N88" i="5"/>
  <c r="Q185" i="10"/>
  <c r="N89" i="5"/>
  <c r="N197" i="5"/>
  <c r="N220" i="5"/>
  <c r="N196" i="5"/>
  <c r="N64" i="5"/>
  <c r="N185" i="5"/>
  <c r="N221" i="5"/>
  <c r="Q16" i="10"/>
  <c r="Q48" i="10"/>
  <c r="Q70" i="10"/>
  <c r="Q85" i="10"/>
  <c r="Q120" i="10"/>
  <c r="Q58" i="10"/>
  <c r="N121" i="5"/>
  <c r="Q167" i="10"/>
  <c r="AA118" i="7"/>
  <c r="AC64" i="5"/>
  <c r="AB21" i="7"/>
  <c r="AA21" i="5"/>
  <c r="AA103" i="7"/>
  <c r="AC49" i="5"/>
  <c r="AA83" i="7"/>
  <c r="AC29" i="5"/>
  <c r="AA48" i="5"/>
  <c r="AB48" i="7"/>
  <c r="AB25" i="7"/>
  <c r="AA25" i="5"/>
  <c r="AB44" i="7"/>
  <c r="AA44" i="5"/>
  <c r="AB16" i="7"/>
  <c r="AB28" i="7"/>
  <c r="Q32" i="10"/>
  <c r="AZ56" i="7"/>
  <c r="AX56" i="7"/>
  <c r="AZ61" i="7"/>
  <c r="AX61" i="7"/>
  <c r="AX58" i="7"/>
  <c r="AZ58" i="7"/>
  <c r="AA20" i="5"/>
  <c r="AB20" i="7"/>
  <c r="AB46" i="7"/>
  <c r="AA46" i="5"/>
  <c r="AZ52" i="7"/>
  <c r="AX52" i="7"/>
  <c r="AZ48" i="7"/>
  <c r="AX48" i="7"/>
  <c r="AX73" i="7"/>
  <c r="AZ73" i="7"/>
  <c r="AX6" i="7"/>
  <c r="AZ6" i="7"/>
  <c r="AX28" i="7"/>
  <c r="AZ28" i="7"/>
  <c r="BA10" i="7" s="1"/>
  <c r="N71" i="5"/>
  <c r="N51" i="5"/>
  <c r="AB49" i="7"/>
  <c r="AA49" i="5"/>
  <c r="AA86" i="7"/>
  <c r="AC32" i="5"/>
  <c r="AB10" i="7"/>
  <c r="W10" i="7" s="1"/>
  <c r="AA10" i="5"/>
  <c r="Q101" i="10"/>
  <c r="N101" i="5"/>
  <c r="AA84" i="7"/>
  <c r="AC30" i="5"/>
  <c r="AA106" i="7"/>
  <c r="AC52" i="5"/>
  <c r="N57" i="5"/>
  <c r="Q103" i="10"/>
  <c r="Q18" i="10"/>
  <c r="Q43" i="10"/>
  <c r="Q91" i="10"/>
  <c r="Q115" i="10"/>
  <c r="N103" i="5"/>
  <c r="Q54" i="10"/>
  <c r="N199" i="5"/>
  <c r="N91" i="5"/>
  <c r="N18" i="5"/>
  <c r="N43" i="5"/>
  <c r="N54" i="5"/>
  <c r="N115" i="5"/>
  <c r="N223" i="5"/>
  <c r="AA14" i="5"/>
  <c r="AB14" i="7"/>
  <c r="Q159" i="10"/>
  <c r="R113" i="10"/>
  <c r="N138" i="5"/>
  <c r="Q102" i="10"/>
  <c r="N3" i="5"/>
  <c r="AB54" i="7"/>
  <c r="AA54" i="5"/>
  <c r="AZ60" i="7"/>
  <c r="AX60" i="7"/>
  <c r="AZ63" i="7"/>
  <c r="AX63" i="7"/>
  <c r="BA51" i="7" s="1"/>
  <c r="AZ55" i="7"/>
  <c r="AX55" i="7"/>
  <c r="AZ37" i="7"/>
  <c r="AX37" i="7"/>
  <c r="AZ33" i="7"/>
  <c r="AX33" i="7"/>
  <c r="AZ36" i="7"/>
  <c r="AX36" i="7"/>
  <c r="BA23" i="7" s="1"/>
  <c r="AZ68" i="7"/>
  <c r="AX68" i="7"/>
  <c r="N108" i="5"/>
  <c r="N35" i="5"/>
  <c r="Q26" i="10"/>
  <c r="AB6" i="5"/>
  <c r="Q124" i="10" s="1"/>
  <c r="AB6" i="7"/>
  <c r="W6" i="7" s="1"/>
  <c r="Q35" i="10"/>
  <c r="N142" i="5"/>
  <c r="N47" i="5"/>
  <c r="N167" i="5"/>
  <c r="Q109" i="10"/>
  <c r="N203" i="5"/>
  <c r="Q157" i="10"/>
  <c r="N107" i="5"/>
  <c r="AB12" i="7"/>
  <c r="AA12" i="5"/>
  <c r="Q160" i="10"/>
  <c r="N160" i="5"/>
  <c r="AB7" i="7"/>
  <c r="W7" i="7" s="1"/>
  <c r="AA7" i="5"/>
  <c r="AB24" i="7"/>
  <c r="AA24" i="5"/>
  <c r="Q106" i="10"/>
  <c r="N109" i="5"/>
  <c r="N217" i="5"/>
  <c r="Q166" i="10"/>
  <c r="N156" i="5"/>
  <c r="N36" i="5"/>
  <c r="N216" i="5"/>
  <c r="N144" i="5"/>
  <c r="AB29" i="7"/>
  <c r="AA29" i="5"/>
  <c r="AB62" i="7"/>
  <c r="AA62" i="5"/>
  <c r="Q19" i="10"/>
  <c r="Q31" i="10"/>
  <c r="N90" i="5"/>
  <c r="N19" i="5"/>
  <c r="N31" i="5"/>
  <c r="Q90" i="10"/>
  <c r="AB35" i="7"/>
  <c r="AA35" i="5"/>
  <c r="AC33" i="5"/>
  <c r="AA87" i="7"/>
  <c r="AA26" i="5"/>
  <c r="AB26" i="7"/>
  <c r="N229" i="5"/>
  <c r="N133" i="5"/>
  <c r="N48" i="5"/>
  <c r="N84" i="5"/>
  <c r="N97" i="5"/>
  <c r="N61" i="5"/>
  <c r="N168" i="5"/>
  <c r="N24" i="5"/>
  <c r="Q21" i="10"/>
  <c r="Q153" i="10"/>
  <c r="AB55" i="7"/>
  <c r="AA55" i="5"/>
  <c r="Q55" i="10"/>
  <c r="N55" i="5"/>
  <c r="N175" i="5"/>
  <c r="Q175" i="10"/>
  <c r="Q114" i="10"/>
  <c r="N127" i="5"/>
  <c r="AB95" i="7" l="1"/>
  <c r="AB117" i="7"/>
  <c r="AB105" i="7"/>
  <c r="AB78" i="7"/>
  <c r="AB98" i="7"/>
  <c r="AB77" i="7"/>
  <c r="AB72" i="7"/>
  <c r="AB92" i="7"/>
  <c r="AB81" i="7"/>
  <c r="AB99" i="7"/>
  <c r="AB79" i="7"/>
  <c r="AB75" i="7"/>
  <c r="AB108" i="7"/>
  <c r="AB100" i="7"/>
  <c r="AB102" i="7"/>
  <c r="AB88" i="7"/>
  <c r="AB94" i="7"/>
  <c r="AB112" i="7"/>
  <c r="AB86" i="7"/>
  <c r="AB73" i="7"/>
  <c r="AB107" i="7"/>
  <c r="AB113" i="7"/>
  <c r="AB93" i="7"/>
  <c r="AB69" i="7"/>
  <c r="AB80" i="7"/>
  <c r="AB106" i="7"/>
  <c r="AB67" i="7"/>
  <c r="AB114" i="7"/>
  <c r="AB68" i="7"/>
  <c r="AB115" i="7"/>
  <c r="AB96" i="7"/>
  <c r="AB76" i="7"/>
  <c r="AB71" i="7"/>
  <c r="AB109" i="7"/>
  <c r="AB84" i="7"/>
  <c r="AB103" i="7"/>
  <c r="AB82" i="7"/>
  <c r="AB90" i="7"/>
  <c r="AB111" i="7"/>
  <c r="AB87" i="7"/>
  <c r="AB97" i="7"/>
  <c r="AB91" i="7"/>
  <c r="AB110" i="7"/>
  <c r="AB85" i="7"/>
  <c r="AB65" i="7"/>
  <c r="AB89" i="7"/>
  <c r="AB116" i="7"/>
  <c r="AB74" i="7"/>
  <c r="AB83" i="7"/>
  <c r="AB66" i="7"/>
  <c r="AB70" i="7"/>
  <c r="AB118" i="7"/>
  <c r="AB104" i="7"/>
  <c r="AB101" i="7"/>
  <c r="R12" i="11"/>
  <c r="R13" i="11"/>
  <c r="R11" i="11"/>
  <c r="N75" i="5"/>
  <c r="Q76" i="5" s="1"/>
  <c r="N50" i="5"/>
  <c r="Q51" i="5" s="1"/>
  <c r="Q52" i="5" s="1"/>
  <c r="N86" i="5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N111" i="3" s="1"/>
  <c r="K111" i="3" s="1"/>
  <c r="N123" i="5"/>
  <c r="Q208" i="5"/>
  <c r="Q209" i="5" s="1"/>
  <c r="Q210" i="5" s="1"/>
  <c r="Q211" i="5" s="1"/>
  <c r="Q212" i="5" s="1"/>
  <c r="Q213" i="5" s="1"/>
  <c r="Q214" i="5" s="1"/>
  <c r="Q215" i="5" s="1"/>
  <c r="Q216" i="5" s="1"/>
  <c r="Q217" i="5" s="1"/>
  <c r="N121" i="3" s="1"/>
  <c r="K121" i="3" s="1"/>
  <c r="N159" i="5"/>
  <c r="Q160" i="5" s="1"/>
  <c r="Q161" i="5" s="1"/>
  <c r="N98" i="5"/>
  <c r="Q99" i="5" s="1"/>
  <c r="N134" i="5"/>
  <c r="Q135" i="5" s="1"/>
  <c r="N183" i="5"/>
  <c r="N146" i="5"/>
  <c r="Q147" i="5" s="1"/>
  <c r="N135" i="5"/>
  <c r="N26" i="5"/>
  <c r="Q27" i="5" s="1"/>
  <c r="Q40" i="5"/>
  <c r="N194" i="5"/>
  <c r="Q195" i="5" s="1"/>
  <c r="N15" i="5"/>
  <c r="N147" i="5"/>
  <c r="N27" i="5"/>
  <c r="N99" i="5"/>
  <c r="N182" i="5"/>
  <c r="Q183" i="5" s="1"/>
  <c r="N14" i="5"/>
  <c r="Q15" i="5" s="1"/>
  <c r="N195" i="5"/>
  <c r="N62" i="5"/>
  <c r="Q63" i="5" s="1"/>
  <c r="Q64" i="5" s="1"/>
  <c r="Q65" i="5" s="1"/>
  <c r="N122" i="5"/>
  <c r="Q123" i="5" s="1"/>
  <c r="N2" i="5"/>
  <c r="Q3" i="5" s="1"/>
  <c r="Q4" i="5" s="1"/>
  <c r="N111" i="5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N219" i="5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N170" i="5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N118" i="3" s="1"/>
  <c r="K118" i="3" s="1"/>
  <c r="BA50" i="7"/>
  <c r="BG50" i="7" s="1"/>
  <c r="O214" i="5"/>
  <c r="BA45" i="7"/>
  <c r="BG45" i="7" s="1"/>
  <c r="BH35" i="7" s="1"/>
  <c r="BA49" i="7"/>
  <c r="BG49" i="7" s="1"/>
  <c r="BA12" i="7"/>
  <c r="BG12" i="7" s="1"/>
  <c r="BA43" i="7"/>
  <c r="BA47" i="7"/>
  <c r="BE47" i="7" s="1"/>
  <c r="BA44" i="7"/>
  <c r="BG44" i="7" s="1"/>
  <c r="BH32" i="7" s="1"/>
  <c r="O198" i="5"/>
  <c r="R180" i="10"/>
  <c r="O60" i="5"/>
  <c r="O67" i="5"/>
  <c r="R130" i="10"/>
  <c r="R96" i="10"/>
  <c r="O35" i="5"/>
  <c r="O55" i="5"/>
  <c r="O62" i="5"/>
  <c r="R63" i="5" s="1"/>
  <c r="O45" i="5"/>
  <c r="BA16" i="7"/>
  <c r="BE16" i="7" s="1"/>
  <c r="R62" i="10"/>
  <c r="R46" i="10"/>
  <c r="O24" i="5"/>
  <c r="O133" i="5"/>
  <c r="O53" i="5"/>
  <c r="R149" i="10"/>
  <c r="BA21" i="7"/>
  <c r="BG21" i="7" s="1"/>
  <c r="BH2" i="7" s="1"/>
  <c r="O101" i="5"/>
  <c r="BA38" i="7"/>
  <c r="BE38" i="7" s="1"/>
  <c r="M48" i="5"/>
  <c r="O15" i="5"/>
  <c r="R65" i="10"/>
  <c r="O76" i="5"/>
  <c r="R41" i="10"/>
  <c r="O136" i="5"/>
  <c r="O227" i="5"/>
  <c r="O211" i="5"/>
  <c r="R57" i="10"/>
  <c r="BE36" i="7"/>
  <c r="BH23" i="7" s="1"/>
  <c r="BG36" i="7"/>
  <c r="M86" i="5"/>
  <c r="P87" i="5" s="1"/>
  <c r="O96" i="5"/>
  <c r="R150" i="10"/>
  <c r="R184" i="10"/>
  <c r="R67" i="10"/>
  <c r="R192" i="10"/>
  <c r="R10" i="10"/>
  <c r="O119" i="5"/>
  <c r="R101" i="10"/>
  <c r="O65" i="5"/>
  <c r="R12" i="10"/>
  <c r="O184" i="5"/>
  <c r="Q77" i="10"/>
  <c r="Q76" i="10"/>
  <c r="M173" i="5"/>
  <c r="O108" i="5"/>
  <c r="N17" i="5"/>
  <c r="O154" i="5"/>
  <c r="P189" i="10"/>
  <c r="O51" i="5"/>
  <c r="O28" i="5"/>
  <c r="R100" i="10"/>
  <c r="O102" i="5"/>
  <c r="BA33" i="7"/>
  <c r="BE33" i="7" s="1"/>
  <c r="O84" i="5"/>
  <c r="O124" i="5"/>
  <c r="O47" i="5"/>
  <c r="O142" i="5"/>
  <c r="O106" i="5"/>
  <c r="R131" i="10"/>
  <c r="R191" i="10"/>
  <c r="BA18" i="7"/>
  <c r="BG18" i="7" s="1"/>
  <c r="R11" i="10"/>
  <c r="O79" i="5"/>
  <c r="R118" i="10"/>
  <c r="R52" i="10"/>
  <c r="R157" i="10"/>
  <c r="BA46" i="7"/>
  <c r="BG46" i="7" s="1"/>
  <c r="O82" i="5"/>
  <c r="O228" i="5"/>
  <c r="P46" i="10"/>
  <c r="R13" i="10"/>
  <c r="O61" i="5"/>
  <c r="O95" i="5"/>
  <c r="O191" i="5"/>
  <c r="P59" i="10"/>
  <c r="R29" i="10"/>
  <c r="O58" i="5"/>
  <c r="R42" i="10"/>
  <c r="R37" i="10"/>
  <c r="O132" i="5"/>
  <c r="O143" i="5"/>
  <c r="O187" i="5"/>
  <c r="O46" i="5"/>
  <c r="BA48" i="7"/>
  <c r="BG48" i="7" s="1"/>
  <c r="R73" i="10"/>
  <c r="O168" i="5"/>
  <c r="O70" i="5"/>
  <c r="O10" i="5"/>
  <c r="R136" i="10"/>
  <c r="O216" i="5"/>
  <c r="AD28" i="5"/>
  <c r="R82" i="10"/>
  <c r="R59" i="10"/>
  <c r="O48" i="5"/>
  <c r="O34" i="5"/>
  <c r="O166" i="5"/>
  <c r="O52" i="5"/>
  <c r="N52" i="5"/>
  <c r="O167" i="5"/>
  <c r="R156" i="10"/>
  <c r="O174" i="5"/>
  <c r="O131" i="5"/>
  <c r="AD13" i="5"/>
  <c r="M127" i="5"/>
  <c r="P127" i="10"/>
  <c r="P102" i="10"/>
  <c r="M198" i="5"/>
  <c r="M102" i="5"/>
  <c r="BG20" i="7"/>
  <c r="BE20" i="7"/>
  <c r="R75" i="10"/>
  <c r="R63" i="10"/>
  <c r="R27" i="10"/>
  <c r="R39" i="10"/>
  <c r="O75" i="5"/>
  <c r="O63" i="5"/>
  <c r="R110" i="10"/>
  <c r="O39" i="5"/>
  <c r="O27" i="5"/>
  <c r="O110" i="5"/>
  <c r="R111" i="5" s="1"/>
  <c r="R147" i="10"/>
  <c r="O182" i="5"/>
  <c r="R183" i="5" s="1"/>
  <c r="R3" i="10"/>
  <c r="R146" i="10"/>
  <c r="O3" i="5"/>
  <c r="O87" i="5"/>
  <c r="O146" i="5"/>
  <c r="R147" i="5" s="1"/>
  <c r="R87" i="10"/>
  <c r="BG55" i="7"/>
  <c r="BE55" i="7"/>
  <c r="BG69" i="7"/>
  <c r="BE69" i="7"/>
  <c r="R14" i="10"/>
  <c r="P172" i="10"/>
  <c r="AD11" i="5"/>
  <c r="M172" i="5"/>
  <c r="P136" i="10"/>
  <c r="P52" i="10"/>
  <c r="M52" i="5"/>
  <c r="P77" i="10"/>
  <c r="M136" i="5"/>
  <c r="M77" i="5"/>
  <c r="M181" i="5"/>
  <c r="M13" i="5"/>
  <c r="P84" i="10"/>
  <c r="P24" i="10"/>
  <c r="M120" i="5"/>
  <c r="P178" i="10"/>
  <c r="AD47" i="5"/>
  <c r="P144" i="10"/>
  <c r="M24" i="5"/>
  <c r="O186" i="5"/>
  <c r="O175" i="5"/>
  <c r="P37" i="10"/>
  <c r="P131" i="10"/>
  <c r="AD45" i="5"/>
  <c r="M106" i="5"/>
  <c r="P121" i="10"/>
  <c r="P192" i="10"/>
  <c r="M82" i="5"/>
  <c r="M46" i="5"/>
  <c r="M11" i="5"/>
  <c r="M202" i="5"/>
  <c r="M131" i="5"/>
  <c r="P32" i="10"/>
  <c r="AD9" i="5"/>
  <c r="M45" i="5"/>
  <c r="P115" i="10"/>
  <c r="P91" i="10"/>
  <c r="AD32" i="5"/>
  <c r="P43" i="10"/>
  <c r="P18" i="10"/>
  <c r="M91" i="5"/>
  <c r="M199" i="5"/>
  <c r="M18" i="5"/>
  <c r="M223" i="5"/>
  <c r="M103" i="5"/>
  <c r="P54" i="10"/>
  <c r="P103" i="10"/>
  <c r="M43" i="5"/>
  <c r="M115" i="5"/>
  <c r="M54" i="5"/>
  <c r="BG27" i="7"/>
  <c r="BE27" i="7"/>
  <c r="BH17" i="7" s="1"/>
  <c r="R19" i="10"/>
  <c r="R90" i="10"/>
  <c r="O19" i="5"/>
  <c r="O31" i="5"/>
  <c r="O90" i="5"/>
  <c r="R31" i="10"/>
  <c r="O78" i="5"/>
  <c r="R78" i="10"/>
  <c r="R186" i="10"/>
  <c r="R175" i="10"/>
  <c r="O126" i="5"/>
  <c r="R151" i="10"/>
  <c r="O151" i="5"/>
  <c r="O210" i="5"/>
  <c r="R66" i="10"/>
  <c r="O6" i="5"/>
  <c r="O66" i="5"/>
  <c r="R55" i="10"/>
  <c r="P7" i="10"/>
  <c r="P138" i="10"/>
  <c r="P114" i="10"/>
  <c r="AD62" i="5"/>
  <c r="M7" i="5"/>
  <c r="P139" i="10"/>
  <c r="M114" i="5"/>
  <c r="M138" i="5"/>
  <c r="M139" i="5"/>
  <c r="M85" i="5"/>
  <c r="M193" i="5"/>
  <c r="M205" i="5"/>
  <c r="M169" i="5"/>
  <c r="M73" i="5"/>
  <c r="AD44" i="5"/>
  <c r="M25" i="5"/>
  <c r="M61" i="5"/>
  <c r="M229" i="5"/>
  <c r="M133" i="5"/>
  <c r="R81" i="10"/>
  <c r="R117" i="10"/>
  <c r="R164" i="10"/>
  <c r="O32" i="5"/>
  <c r="R128" i="10"/>
  <c r="O176" i="5"/>
  <c r="O153" i="5"/>
  <c r="O92" i="5"/>
  <c r="O81" i="5"/>
  <c r="O212" i="5"/>
  <c r="O116" i="5"/>
  <c r="R116" i="10"/>
  <c r="O93" i="5"/>
  <c r="R93" i="10"/>
  <c r="O129" i="5"/>
  <c r="R176" i="10"/>
  <c r="O68" i="5"/>
  <c r="R32" i="10"/>
  <c r="BG57" i="7"/>
  <c r="BE57" i="7"/>
  <c r="BE75" i="7"/>
  <c r="BG75" i="7"/>
  <c r="BE71" i="7"/>
  <c r="BG71" i="7"/>
  <c r="M125" i="5"/>
  <c r="M97" i="5"/>
  <c r="M190" i="5"/>
  <c r="AD54" i="5"/>
  <c r="P96" i="10"/>
  <c r="M22" i="5"/>
  <c r="M83" i="5"/>
  <c r="M214" i="5"/>
  <c r="M58" i="5"/>
  <c r="P156" i="10"/>
  <c r="BH65" i="7"/>
  <c r="BH58" i="7"/>
  <c r="BH76" i="7"/>
  <c r="BH66" i="7"/>
  <c r="BH75" i="7"/>
  <c r="BH71" i="7"/>
  <c r="BH59" i="7"/>
  <c r="BH53" i="7"/>
  <c r="BH73" i="7"/>
  <c r="BH74" i="7"/>
  <c r="BH70" i="7"/>
  <c r="BH69" i="7"/>
  <c r="BH68" i="7"/>
  <c r="BH67" i="7"/>
  <c r="BH55" i="7"/>
  <c r="BH72" i="7"/>
  <c r="BH56" i="7"/>
  <c r="BH60" i="7"/>
  <c r="BH57" i="7"/>
  <c r="BH64" i="7"/>
  <c r="BH63" i="7"/>
  <c r="BM53" i="7"/>
  <c r="BH61" i="7"/>
  <c r="BH62" i="7"/>
  <c r="BH54" i="7"/>
  <c r="R56" i="10"/>
  <c r="O69" i="5"/>
  <c r="O213" i="5"/>
  <c r="R104" i="10"/>
  <c r="O177" i="5"/>
  <c r="O9" i="5"/>
  <c r="O117" i="5"/>
  <c r="R140" i="10"/>
  <c r="O201" i="5"/>
  <c r="R33" i="10"/>
  <c r="O33" i="5"/>
  <c r="R69" i="10"/>
  <c r="O56" i="5"/>
  <c r="O141" i="5"/>
  <c r="R92" i="10"/>
  <c r="R177" i="10"/>
  <c r="O165" i="5"/>
  <c r="P173" i="10"/>
  <c r="R86" i="10"/>
  <c r="O171" i="5"/>
  <c r="R171" i="10"/>
  <c r="O86" i="5"/>
  <c r="R87" i="5" s="1"/>
  <c r="R26" i="10"/>
  <c r="R135" i="10"/>
  <c r="O14" i="5"/>
  <c r="R15" i="5" s="1"/>
  <c r="BG28" i="7"/>
  <c r="BH10" i="7" s="1"/>
  <c r="BE28" i="7"/>
  <c r="P134" i="10"/>
  <c r="P50" i="10"/>
  <c r="P122" i="10"/>
  <c r="M122" i="5"/>
  <c r="P123" i="5" s="1"/>
  <c r="AD34" i="5"/>
  <c r="M50" i="5"/>
  <c r="P51" i="5" s="1"/>
  <c r="P74" i="10"/>
  <c r="M134" i="5"/>
  <c r="P135" i="5" s="1"/>
  <c r="M218" i="5"/>
  <c r="P219" i="5" s="1"/>
  <c r="M74" i="5"/>
  <c r="P75" i="5" s="1"/>
  <c r="P171" i="10"/>
  <c r="O135" i="5"/>
  <c r="R6" i="10"/>
  <c r="BG31" i="7"/>
  <c r="BE31" i="7"/>
  <c r="BG72" i="7"/>
  <c r="BE72" i="7"/>
  <c r="P57" i="10"/>
  <c r="AD10" i="5"/>
  <c r="M165" i="5"/>
  <c r="M224" i="5"/>
  <c r="M128" i="5"/>
  <c r="P80" i="10"/>
  <c r="M104" i="5"/>
  <c r="BG41" i="7"/>
  <c r="BE41" i="7"/>
  <c r="P20" i="10"/>
  <c r="Q65" i="10"/>
  <c r="Q41" i="10"/>
  <c r="Q53" i="10"/>
  <c r="N65" i="5"/>
  <c r="N41" i="5"/>
  <c r="N53" i="5"/>
  <c r="N184" i="5"/>
  <c r="Q17" i="10"/>
  <c r="Q28" i="10"/>
  <c r="AD6" i="5"/>
  <c r="Q184" i="10"/>
  <c r="N40" i="5"/>
  <c r="Q52" i="10"/>
  <c r="N124" i="5"/>
  <c r="N28" i="5"/>
  <c r="N76" i="5"/>
  <c r="Q161" i="10"/>
  <c r="Q4" i="10"/>
  <c r="Q29" i="10"/>
  <c r="N4" i="5"/>
  <c r="Q40" i="10"/>
  <c r="N161" i="5"/>
  <c r="N29" i="5"/>
  <c r="N149" i="5"/>
  <c r="N77" i="5"/>
  <c r="Q149" i="10"/>
  <c r="R126" i="10"/>
  <c r="O147" i="5"/>
  <c r="M145" i="5"/>
  <c r="P36" i="10"/>
  <c r="P179" i="10"/>
  <c r="M157" i="5"/>
  <c r="M37" i="5"/>
  <c r="AD52" i="5"/>
  <c r="M168" i="5"/>
  <c r="M84" i="5"/>
  <c r="BE17" i="7"/>
  <c r="BG17" i="7"/>
  <c r="AD42" i="5"/>
  <c r="M107" i="5"/>
  <c r="M203" i="5"/>
  <c r="P35" i="10"/>
  <c r="M167" i="5"/>
  <c r="M47" i="5"/>
  <c r="P109" i="10"/>
  <c r="M142" i="5"/>
  <c r="P157" i="10"/>
  <c r="BG2" i="7"/>
  <c r="BE2" i="7"/>
  <c r="R40" i="10"/>
  <c r="O40" i="5"/>
  <c r="O208" i="5"/>
  <c r="R112" i="10"/>
  <c r="O112" i="5"/>
  <c r="BA29" i="7"/>
  <c r="BA37" i="7"/>
  <c r="P56" i="10"/>
  <c r="P104" i="10"/>
  <c r="M213" i="5"/>
  <c r="P140" i="10"/>
  <c r="M117" i="5"/>
  <c r="M201" i="5"/>
  <c r="AD50" i="5"/>
  <c r="M69" i="5"/>
  <c r="M177" i="5"/>
  <c r="M9" i="5"/>
  <c r="P177" i="10"/>
  <c r="BA14" i="7"/>
  <c r="O149" i="5"/>
  <c r="M152" i="5"/>
  <c r="P141" i="10"/>
  <c r="AD26" i="5"/>
  <c r="P68" i="10"/>
  <c r="M20" i="5"/>
  <c r="AD7" i="5"/>
  <c r="P191" i="10"/>
  <c r="P10" i="10"/>
  <c r="P82" i="10"/>
  <c r="BG23" i="7"/>
  <c r="BH3" i="7" s="1"/>
  <c r="BE23" i="7"/>
  <c r="R15" i="10"/>
  <c r="R76" i="10"/>
  <c r="O97" i="5"/>
  <c r="O41" i="5"/>
  <c r="BE10" i="7"/>
  <c r="BG10" i="7"/>
  <c r="P76" i="10"/>
  <c r="M101" i="5"/>
  <c r="P101" i="10"/>
  <c r="AD20" i="5"/>
  <c r="M76" i="5"/>
  <c r="P53" i="10"/>
  <c r="M53" i="5"/>
  <c r="R133" i="10"/>
  <c r="O161" i="5"/>
  <c r="P94" i="10"/>
  <c r="P154" i="10"/>
  <c r="P190" i="10"/>
  <c r="P83" i="10"/>
  <c r="M178" i="5"/>
  <c r="AD56" i="5"/>
  <c r="BG54" i="7"/>
  <c r="BE54" i="7"/>
  <c r="BE66" i="7"/>
  <c r="BG66" i="7"/>
  <c r="M149" i="5"/>
  <c r="R159" i="10"/>
  <c r="O159" i="5"/>
  <c r="O121" i="5"/>
  <c r="R167" i="10"/>
  <c r="R120" i="10"/>
  <c r="R48" i="10"/>
  <c r="R70" i="10"/>
  <c r="R58" i="10"/>
  <c r="R85" i="10"/>
  <c r="BG26" i="7"/>
  <c r="BH9" i="7" s="1"/>
  <c r="BE26" i="7"/>
  <c r="BE30" i="7"/>
  <c r="BH20" i="7" s="1"/>
  <c r="BG30" i="7"/>
  <c r="BH8" i="7" s="1"/>
  <c r="P23" i="10"/>
  <c r="M49" i="5"/>
  <c r="P95" i="10"/>
  <c r="AD60" i="5"/>
  <c r="R21" i="10"/>
  <c r="R153" i="10"/>
  <c r="R105" i="10"/>
  <c r="O225" i="5"/>
  <c r="O172" i="5"/>
  <c r="BE6" i="7"/>
  <c r="BG6" i="7"/>
  <c r="O30" i="5"/>
  <c r="P73" i="10"/>
  <c r="O148" i="5"/>
  <c r="R190" i="10"/>
  <c r="R94" i="10"/>
  <c r="R83" i="10"/>
  <c r="R154" i="10"/>
  <c r="O178" i="5"/>
  <c r="P146" i="10"/>
  <c r="M62" i="5"/>
  <c r="P63" i="5" s="1"/>
  <c r="P182" i="10"/>
  <c r="M146" i="5"/>
  <c r="P147" i="5" s="1"/>
  <c r="P62" i="10"/>
  <c r="AD43" i="5"/>
  <c r="M182" i="5"/>
  <c r="P183" i="5" s="1"/>
  <c r="P45" i="10"/>
  <c r="P33" i="10"/>
  <c r="P93" i="10"/>
  <c r="P152" i="10"/>
  <c r="P105" i="10"/>
  <c r="M129" i="5"/>
  <c r="P129" i="10"/>
  <c r="M225" i="5"/>
  <c r="AD61" i="5"/>
  <c r="M140" i="5"/>
  <c r="M21" i="5"/>
  <c r="M164" i="5"/>
  <c r="M93" i="5"/>
  <c r="M188" i="5"/>
  <c r="M105" i="5"/>
  <c r="M33" i="5"/>
  <c r="P69" i="10"/>
  <c r="O107" i="5"/>
  <c r="BG40" i="7"/>
  <c r="BE40" i="7"/>
  <c r="BH28" i="7" s="1"/>
  <c r="BA11" i="7"/>
  <c r="BE8" i="7"/>
  <c r="BG8" i="7"/>
  <c r="O22" i="5"/>
  <c r="O130" i="5"/>
  <c r="R34" i="10"/>
  <c r="O155" i="5"/>
  <c r="R61" i="10"/>
  <c r="R142" i="10"/>
  <c r="R168" i="10"/>
  <c r="O42" i="5"/>
  <c r="O202" i="5"/>
  <c r="R51" i="10"/>
  <c r="O17" i="5"/>
  <c r="BE3" i="7"/>
  <c r="BG3" i="7"/>
  <c r="M161" i="5"/>
  <c r="P161" i="10"/>
  <c r="AD2" i="5"/>
  <c r="P160" i="10"/>
  <c r="M160" i="5"/>
  <c r="BG65" i="7"/>
  <c r="BE65" i="7"/>
  <c r="M113" i="5"/>
  <c r="P26" i="10"/>
  <c r="P3" i="10"/>
  <c r="P183" i="10"/>
  <c r="P15" i="10"/>
  <c r="M15" i="5"/>
  <c r="M3" i="5"/>
  <c r="M183" i="5"/>
  <c r="AD36" i="5"/>
  <c r="M26" i="5"/>
  <c r="P27" i="5" s="1"/>
  <c r="P5" i="10"/>
  <c r="P112" i="10"/>
  <c r="P184" i="10"/>
  <c r="AD4" i="5"/>
  <c r="M208" i="5"/>
  <c r="M5" i="5"/>
  <c r="M112" i="5"/>
  <c r="M184" i="5"/>
  <c r="P44" i="10"/>
  <c r="AD40" i="5"/>
  <c r="P165" i="10"/>
  <c r="P8" i="10"/>
  <c r="P9" i="10"/>
  <c r="P87" i="10"/>
  <c r="P147" i="10"/>
  <c r="P14" i="10"/>
  <c r="M135" i="5"/>
  <c r="AD3" i="5"/>
  <c r="M14" i="5"/>
  <c r="P15" i="5" s="1"/>
  <c r="M87" i="5"/>
  <c r="P135" i="10"/>
  <c r="M147" i="5"/>
  <c r="P151" i="10"/>
  <c r="M66" i="5"/>
  <c r="P66" i="10"/>
  <c r="P163" i="10"/>
  <c r="P67" i="10"/>
  <c r="M67" i="5"/>
  <c r="M151" i="5"/>
  <c r="AD19" i="5"/>
  <c r="M211" i="5"/>
  <c r="M210" i="5"/>
  <c r="M163" i="5"/>
  <c r="P111" i="10"/>
  <c r="P170" i="10"/>
  <c r="M111" i="5"/>
  <c r="AD53" i="5"/>
  <c r="M170" i="5"/>
  <c r="P171" i="5" s="1"/>
  <c r="P158" i="10"/>
  <c r="M158" i="5"/>
  <c r="P159" i="5" s="1"/>
  <c r="P6" i="10"/>
  <c r="P30" i="10"/>
  <c r="AD41" i="5"/>
  <c r="P79" i="10"/>
  <c r="P186" i="10"/>
  <c r="P150" i="10"/>
  <c r="M162" i="5"/>
  <c r="M6" i="5"/>
  <c r="P162" i="10"/>
  <c r="M78" i="5"/>
  <c r="M186" i="5"/>
  <c r="M150" i="5"/>
  <c r="M79" i="5"/>
  <c r="M30" i="5"/>
  <c r="P78" i="10"/>
  <c r="P187" i="10"/>
  <c r="P126" i="10"/>
  <c r="P42" i="10"/>
  <c r="P174" i="10"/>
  <c r="AD59" i="5"/>
  <c r="M42" i="5"/>
  <c r="M187" i="5"/>
  <c r="M174" i="5"/>
  <c r="M126" i="5"/>
  <c r="M222" i="5"/>
  <c r="P130" i="10"/>
  <c r="P118" i="10"/>
  <c r="AD63" i="5"/>
  <c r="M108" i="5"/>
  <c r="M216" i="5"/>
  <c r="P22" i="10"/>
  <c r="P34" i="10"/>
  <c r="P142" i="10"/>
  <c r="P61" i="10"/>
  <c r="M155" i="5"/>
  <c r="M130" i="5"/>
  <c r="AD37" i="5"/>
  <c r="P168" i="10"/>
  <c r="R174" i="10"/>
  <c r="R17" i="10"/>
  <c r="AD51" i="5"/>
  <c r="P88" i="10"/>
  <c r="P185" i="10"/>
  <c r="P16" i="10"/>
  <c r="M88" i="5"/>
  <c r="M185" i="5"/>
  <c r="P64" i="10"/>
  <c r="P89" i="10"/>
  <c r="M64" i="5"/>
  <c r="M16" i="5"/>
  <c r="M221" i="5"/>
  <c r="M196" i="5"/>
  <c r="M89" i="5"/>
  <c r="M220" i="5"/>
  <c r="M197" i="5"/>
  <c r="R125" i="10"/>
  <c r="P85" i="10"/>
  <c r="P48" i="10"/>
  <c r="P70" i="10"/>
  <c r="M121" i="5"/>
  <c r="P58" i="10"/>
  <c r="P167" i="10"/>
  <c r="AD55" i="5"/>
  <c r="P120" i="10"/>
  <c r="P137" i="10"/>
  <c r="P4" i="10"/>
  <c r="M137" i="5"/>
  <c r="AD35" i="5"/>
  <c r="M4" i="5"/>
  <c r="M65" i="5"/>
  <c r="P65" i="10"/>
  <c r="R181" i="10"/>
  <c r="R108" i="10"/>
  <c r="R49" i="10"/>
  <c r="O192" i="5"/>
  <c r="O204" i="5"/>
  <c r="R132" i="10"/>
  <c r="O72" i="5"/>
  <c r="R103" i="10"/>
  <c r="O18" i="5"/>
  <c r="R91" i="10"/>
  <c r="R54" i="10"/>
  <c r="O43" i="5"/>
  <c r="O199" i="5"/>
  <c r="O91" i="5"/>
  <c r="O54" i="5"/>
  <c r="R115" i="10"/>
  <c r="O115" i="5"/>
  <c r="O223" i="5"/>
  <c r="R43" i="10"/>
  <c r="R18" i="10"/>
  <c r="O103" i="5"/>
  <c r="R162" i="10"/>
  <c r="O150" i="5"/>
  <c r="O162" i="5"/>
  <c r="R53" i="10"/>
  <c r="BA42" i="7"/>
  <c r="R182" i="10"/>
  <c r="P159" i="10"/>
  <c r="M159" i="5"/>
  <c r="AD25" i="5"/>
  <c r="P55" i="10"/>
  <c r="AD21" i="5"/>
  <c r="P175" i="10"/>
  <c r="M175" i="5"/>
  <c r="M55" i="5"/>
  <c r="BG39" i="7"/>
  <c r="BH27" i="7" s="1"/>
  <c r="BE39" i="7"/>
  <c r="BH26" i="7" s="1"/>
  <c r="O13" i="5"/>
  <c r="R144" i="10"/>
  <c r="R84" i="10"/>
  <c r="R24" i="10"/>
  <c r="R178" i="10"/>
  <c r="O120" i="5"/>
  <c r="O181" i="5"/>
  <c r="BA22" i="7"/>
  <c r="O158" i="5"/>
  <c r="R159" i="5" s="1"/>
  <c r="R170" i="10"/>
  <c r="R158" i="10"/>
  <c r="R111" i="10"/>
  <c r="O170" i="5"/>
  <c r="R171" i="5" s="1"/>
  <c r="O111" i="5"/>
  <c r="R183" i="10"/>
  <c r="O183" i="5"/>
  <c r="BG61" i="7"/>
  <c r="BE61" i="7"/>
  <c r="BG73" i="7"/>
  <c r="BE73" i="7"/>
  <c r="BE68" i="7"/>
  <c r="BG68" i="7"/>
  <c r="BG70" i="7"/>
  <c r="BE70" i="7"/>
  <c r="BG67" i="7"/>
  <c r="BE67" i="7"/>
  <c r="M171" i="5"/>
  <c r="P125" i="10"/>
  <c r="P145" i="10"/>
  <c r="P143" i="10"/>
  <c r="P155" i="10"/>
  <c r="P107" i="10"/>
  <c r="M12" i="5"/>
  <c r="AD57" i="5"/>
  <c r="M180" i="5"/>
  <c r="P71" i="10"/>
  <c r="P98" i="10"/>
  <c r="M2" i="5"/>
  <c r="P3" i="5" s="1"/>
  <c r="P123" i="10"/>
  <c r="M195" i="5"/>
  <c r="M194" i="5"/>
  <c r="P195" i="5" s="1"/>
  <c r="M219" i="5"/>
  <c r="M99" i="5"/>
  <c r="M123" i="5"/>
  <c r="M207" i="5"/>
  <c r="M206" i="5"/>
  <c r="P207" i="5" s="1"/>
  <c r="M38" i="5"/>
  <c r="P39" i="5" s="1"/>
  <c r="P99" i="10"/>
  <c r="P2" i="10"/>
  <c r="P38" i="10"/>
  <c r="M98" i="5"/>
  <c r="P99" i="5" s="1"/>
  <c r="AD23" i="5"/>
  <c r="P110" i="10"/>
  <c r="P63" i="10"/>
  <c r="P27" i="10"/>
  <c r="P39" i="10"/>
  <c r="P75" i="10"/>
  <c r="AD33" i="5"/>
  <c r="M39" i="5"/>
  <c r="M75" i="5"/>
  <c r="M63" i="5"/>
  <c r="M110" i="5"/>
  <c r="P111" i="5" s="1"/>
  <c r="M27" i="5"/>
  <c r="M132" i="5"/>
  <c r="O100" i="5"/>
  <c r="O127" i="5"/>
  <c r="R35" i="10"/>
  <c r="P116" i="10"/>
  <c r="AD18" i="5"/>
  <c r="M189" i="5"/>
  <c r="M56" i="5"/>
  <c r="M68" i="5"/>
  <c r="M200" i="5"/>
  <c r="M8" i="5"/>
  <c r="R163" i="10"/>
  <c r="O50" i="5"/>
  <c r="R51" i="5" s="1"/>
  <c r="R50" i="10"/>
  <c r="R134" i="10"/>
  <c r="R74" i="10"/>
  <c r="O122" i="5"/>
  <c r="R123" i="5" s="1"/>
  <c r="O74" i="5"/>
  <c r="R75" i="5" s="1"/>
  <c r="O218" i="5"/>
  <c r="R219" i="5" s="1"/>
  <c r="R122" i="10"/>
  <c r="O134" i="5"/>
  <c r="R135" i="5" s="1"/>
  <c r="BE35" i="7"/>
  <c r="BG35" i="7"/>
  <c r="O11" i="5"/>
  <c r="O57" i="5"/>
  <c r="O44" i="5"/>
  <c r="O80" i="5"/>
  <c r="R188" i="10"/>
  <c r="O200" i="5"/>
  <c r="O8" i="5"/>
  <c r="O164" i="5"/>
  <c r="R124" i="10"/>
  <c r="BA13" i="7"/>
  <c r="M90" i="5"/>
  <c r="P31" i="10"/>
  <c r="P90" i="10"/>
  <c r="M19" i="5"/>
  <c r="P19" i="10"/>
  <c r="AD29" i="5"/>
  <c r="M31" i="5"/>
  <c r="BG51" i="7"/>
  <c r="BE51" i="7"/>
  <c r="M118" i="5"/>
  <c r="AD14" i="5"/>
  <c r="P13" i="10"/>
  <c r="M10" i="5"/>
  <c r="P180" i="10"/>
  <c r="M35" i="5"/>
  <c r="M191" i="5"/>
  <c r="M71" i="5"/>
  <c r="M143" i="5"/>
  <c r="M166" i="5"/>
  <c r="BE58" i="7"/>
  <c r="BG58" i="7"/>
  <c r="BE59" i="7"/>
  <c r="BG59" i="7"/>
  <c r="BE53" i="7"/>
  <c r="BG53" i="7"/>
  <c r="BG76" i="7"/>
  <c r="BE76" i="7"/>
  <c r="P86" i="10"/>
  <c r="P40" i="10"/>
  <c r="M40" i="5"/>
  <c r="AD27" i="5"/>
  <c r="P106" i="10"/>
  <c r="M217" i="5"/>
  <c r="P166" i="10"/>
  <c r="AD58" i="5"/>
  <c r="M156" i="5"/>
  <c r="M144" i="5"/>
  <c r="M109" i="5"/>
  <c r="M36" i="5"/>
  <c r="M228" i="5"/>
  <c r="R148" i="10"/>
  <c r="BE5" i="7"/>
  <c r="BG5" i="7"/>
  <c r="R138" i="10"/>
  <c r="R114" i="10"/>
  <c r="R7" i="10"/>
  <c r="O114" i="5"/>
  <c r="R139" i="10"/>
  <c r="O138" i="5"/>
  <c r="O139" i="5"/>
  <c r="O7" i="5"/>
  <c r="BG7" i="7"/>
  <c r="BE7" i="7"/>
  <c r="AD49" i="5"/>
  <c r="P117" i="10"/>
  <c r="P81" i="10"/>
  <c r="M212" i="5"/>
  <c r="M32" i="5"/>
  <c r="M92" i="5"/>
  <c r="P164" i="10"/>
  <c r="P128" i="10"/>
  <c r="M81" i="5"/>
  <c r="M116" i="5"/>
  <c r="M153" i="5"/>
  <c r="M176" i="5"/>
  <c r="P12" i="10"/>
  <c r="P60" i="10"/>
  <c r="P11" i="10"/>
  <c r="M70" i="5"/>
  <c r="P133" i="10"/>
  <c r="AD46" i="5"/>
  <c r="M119" i="5"/>
  <c r="M34" i="5"/>
  <c r="M95" i="5"/>
  <c r="M154" i="5"/>
  <c r="M227" i="5"/>
  <c r="R119" i="10"/>
  <c r="R97" i="10"/>
  <c r="O118" i="5"/>
  <c r="R107" i="10"/>
  <c r="R155" i="10"/>
  <c r="R143" i="10"/>
  <c r="R145" i="10"/>
  <c r="O180" i="5"/>
  <c r="O12" i="5"/>
  <c r="R71" i="10"/>
  <c r="O109" i="5"/>
  <c r="O217" i="5"/>
  <c r="R166" i="10"/>
  <c r="O144" i="5"/>
  <c r="R106" i="10"/>
  <c r="O156" i="5"/>
  <c r="O36" i="5"/>
  <c r="R185" i="10"/>
  <c r="R89" i="10"/>
  <c r="R88" i="10"/>
  <c r="R16" i="10"/>
  <c r="R64" i="10"/>
  <c r="O196" i="5"/>
  <c r="O197" i="5"/>
  <c r="O220" i="5"/>
  <c r="O185" i="5"/>
  <c r="O89" i="5"/>
  <c r="O16" i="5"/>
  <c r="O88" i="5"/>
  <c r="O64" i="5"/>
  <c r="O221" i="5"/>
  <c r="R173" i="10"/>
  <c r="O173" i="5"/>
  <c r="BG62" i="7"/>
  <c r="BE62" i="7"/>
  <c r="BG9" i="7"/>
  <c r="BE9" i="7"/>
  <c r="P113" i="10"/>
  <c r="R9" i="10"/>
  <c r="R165" i="10"/>
  <c r="R44" i="10"/>
  <c r="R8" i="10"/>
  <c r="R45" i="10"/>
  <c r="R152" i="10"/>
  <c r="BG32" i="7"/>
  <c r="BE32" i="7"/>
  <c r="BA34" i="7"/>
  <c r="M96" i="5"/>
  <c r="R127" i="10"/>
  <c r="O20" i="5"/>
  <c r="R141" i="10"/>
  <c r="R68" i="10"/>
  <c r="O140" i="5"/>
  <c r="O21" i="5"/>
  <c r="O188" i="5"/>
  <c r="O203" i="5"/>
  <c r="BG19" i="7"/>
  <c r="BE19" i="7"/>
  <c r="O83" i="5"/>
  <c r="W27" i="7"/>
  <c r="R31" i="11" s="1"/>
  <c r="O222" i="5"/>
  <c r="R22" i="10"/>
  <c r="P181" i="10"/>
  <c r="P49" i="10"/>
  <c r="P108" i="10"/>
  <c r="P132" i="10"/>
  <c r="AD30" i="5"/>
  <c r="M192" i="5"/>
  <c r="M72" i="5"/>
  <c r="M204" i="5"/>
  <c r="BA15" i="7"/>
  <c r="BG4" i="7"/>
  <c r="BE4" i="7"/>
  <c r="BG52" i="7"/>
  <c r="BE52" i="7"/>
  <c r="BG56" i="7"/>
  <c r="BE56" i="7"/>
  <c r="BE74" i="7"/>
  <c r="BG74" i="7"/>
  <c r="BG25" i="7"/>
  <c r="BH6" i="7" s="1"/>
  <c r="BE25" i="7"/>
  <c r="R137" i="10"/>
  <c r="R4" i="10"/>
  <c r="O4" i="5"/>
  <c r="O137" i="5"/>
  <c r="O125" i="5"/>
  <c r="O5" i="5"/>
  <c r="R5" i="10"/>
  <c r="P119" i="10"/>
  <c r="P97" i="10"/>
  <c r="AD64" i="5"/>
  <c r="BG63" i="7"/>
  <c r="BE63" i="7"/>
  <c r="P29" i="10"/>
  <c r="M29" i="5"/>
  <c r="M100" i="5"/>
  <c r="P100" i="10"/>
  <c r="P148" i="10"/>
  <c r="AD5" i="5"/>
  <c r="M148" i="5"/>
  <c r="P41" i="10"/>
  <c r="M41" i="5"/>
  <c r="R123" i="10"/>
  <c r="R38" i="10"/>
  <c r="R98" i="10"/>
  <c r="R99" i="10"/>
  <c r="R2" i="10"/>
  <c r="O194" i="5"/>
  <c r="R195" i="5" s="1"/>
  <c r="O98" i="5"/>
  <c r="R99" i="5" s="1"/>
  <c r="O99" i="5"/>
  <c r="O219" i="5"/>
  <c r="O2" i="5"/>
  <c r="R3" i="5" s="1"/>
  <c r="O123" i="5"/>
  <c r="O195" i="5"/>
  <c r="O206" i="5"/>
  <c r="R207" i="5" s="1"/>
  <c r="O38" i="5"/>
  <c r="R39" i="5" s="1"/>
  <c r="O207" i="5"/>
  <c r="O26" i="5"/>
  <c r="R27" i="5" s="1"/>
  <c r="O169" i="5"/>
  <c r="O193" i="5"/>
  <c r="O205" i="5"/>
  <c r="O85" i="5"/>
  <c r="O73" i="5"/>
  <c r="O25" i="5"/>
  <c r="R36" i="10"/>
  <c r="O157" i="5"/>
  <c r="R179" i="10"/>
  <c r="O37" i="5"/>
  <c r="O145" i="5"/>
  <c r="P72" i="10"/>
  <c r="P193" i="10"/>
  <c r="AD24" i="5"/>
  <c r="M226" i="5"/>
  <c r="M179" i="5"/>
  <c r="M215" i="5"/>
  <c r="M23" i="5"/>
  <c r="P25" i="10"/>
  <c r="M94" i="5"/>
  <c r="P47" i="10"/>
  <c r="M59" i="5"/>
  <c r="P169" i="10"/>
  <c r="AD12" i="5"/>
  <c r="P51" i="10"/>
  <c r="M51" i="5"/>
  <c r="BA24" i="7"/>
  <c r="O229" i="5"/>
  <c r="R60" i="10"/>
  <c r="P188" i="10"/>
  <c r="AD48" i="5"/>
  <c r="M80" i="5"/>
  <c r="M57" i="5"/>
  <c r="M44" i="5"/>
  <c r="O160" i="5"/>
  <c r="O71" i="5"/>
  <c r="O128" i="5"/>
  <c r="O152" i="5"/>
  <c r="R80" i="10"/>
  <c r="O224" i="5"/>
  <c r="R20" i="10"/>
  <c r="O104" i="5"/>
  <c r="R189" i="10"/>
  <c r="O189" i="5"/>
  <c r="O105" i="5"/>
  <c r="BG60" i="7"/>
  <c r="BE60" i="7"/>
  <c r="BG64" i="7"/>
  <c r="BE64" i="7"/>
  <c r="R30" i="10"/>
  <c r="M209" i="5"/>
  <c r="P149" i="10"/>
  <c r="R172" i="10"/>
  <c r="M60" i="5"/>
  <c r="R129" i="10"/>
  <c r="O29" i="5"/>
  <c r="R102" i="10"/>
  <c r="R109" i="10"/>
  <c r="O163" i="5"/>
  <c r="R79" i="10"/>
  <c r="O190" i="5"/>
  <c r="P28" i="10"/>
  <c r="P124" i="10"/>
  <c r="M124" i="5"/>
  <c r="M28" i="5"/>
  <c r="P17" i="10"/>
  <c r="AD17" i="5"/>
  <c r="M17" i="5"/>
  <c r="R193" i="10"/>
  <c r="R47" i="10"/>
  <c r="R169" i="10"/>
  <c r="R72" i="10"/>
  <c r="O179" i="5"/>
  <c r="R25" i="10"/>
  <c r="O59" i="5"/>
  <c r="O23" i="5"/>
  <c r="O226" i="5"/>
  <c r="O94" i="5"/>
  <c r="O215" i="5"/>
  <c r="R187" i="10"/>
  <c r="R121" i="10"/>
  <c r="O49" i="5"/>
  <c r="R95" i="10"/>
  <c r="R23" i="10"/>
  <c r="P21" i="10"/>
  <c r="AD39" i="5"/>
  <c r="P153" i="10"/>
  <c r="P92" i="10"/>
  <c r="M141" i="5"/>
  <c r="P176" i="10"/>
  <c r="W23" i="7" l="1"/>
  <c r="R27" i="11" s="1"/>
  <c r="R7" i="11"/>
  <c r="W28" i="7"/>
  <c r="R32" i="11" s="1"/>
  <c r="R14" i="11"/>
  <c r="W22" i="7"/>
  <c r="R8" i="11"/>
  <c r="W29" i="7"/>
  <c r="R33" i="11" s="1"/>
  <c r="R9" i="11"/>
  <c r="W25" i="7"/>
  <c r="R29" i="11" s="1"/>
  <c r="R10" i="11"/>
  <c r="W21" i="7"/>
  <c r="R25" i="11" s="1"/>
  <c r="R6" i="11"/>
  <c r="W24" i="7"/>
  <c r="W26" i="7"/>
  <c r="R30" i="11" s="1"/>
  <c r="W30" i="7"/>
  <c r="R160" i="5"/>
  <c r="R161" i="5" s="1"/>
  <c r="R162" i="5" s="1"/>
  <c r="R163" i="5" s="1"/>
  <c r="R164" i="5" s="1"/>
  <c r="R165" i="5" s="1"/>
  <c r="R166" i="5" s="1"/>
  <c r="R167" i="5" s="1"/>
  <c r="R168" i="5" s="1"/>
  <c r="R169" i="5" s="1"/>
  <c r="O117" i="3" s="1"/>
  <c r="L117" i="3" s="1"/>
  <c r="Q184" i="5"/>
  <c r="Q185" i="5" s="1"/>
  <c r="Q186" i="5" s="1"/>
  <c r="Q187" i="5" s="1"/>
  <c r="Q188" i="5" s="1"/>
  <c r="Q189" i="5" s="1"/>
  <c r="Q190" i="5" s="1"/>
  <c r="Q191" i="5" s="1"/>
  <c r="Q192" i="5" s="1"/>
  <c r="Q193" i="5" s="1"/>
  <c r="N119" i="3" s="1"/>
  <c r="K119" i="3" s="1"/>
  <c r="Q28" i="5"/>
  <c r="Q29" i="5" s="1"/>
  <c r="Q30" i="5" s="1"/>
  <c r="Q31" i="5" s="1"/>
  <c r="Q32" i="5" s="1"/>
  <c r="Q33" i="5" s="1"/>
  <c r="Q34" i="5" s="1"/>
  <c r="Q35" i="5" s="1"/>
  <c r="Q36" i="5" s="1"/>
  <c r="Q37" i="5" s="1"/>
  <c r="N106" i="3" s="1"/>
  <c r="K106" i="3" s="1"/>
  <c r="P196" i="5"/>
  <c r="P197" i="5" s="1"/>
  <c r="P198" i="5" s="1"/>
  <c r="P199" i="5" s="1"/>
  <c r="P200" i="5" s="1"/>
  <c r="P201" i="5" s="1"/>
  <c r="P202" i="5" s="1"/>
  <c r="P203" i="5" s="1"/>
  <c r="P204" i="5" s="1"/>
  <c r="P205" i="5" s="1"/>
  <c r="M120" i="3" s="1"/>
  <c r="P28" i="5"/>
  <c r="P29" i="5" s="1"/>
  <c r="P30" i="5" s="1"/>
  <c r="P31" i="5" s="1"/>
  <c r="P32" i="5" s="1"/>
  <c r="P33" i="5" s="1"/>
  <c r="P34" i="5" s="1"/>
  <c r="P35" i="5" s="1"/>
  <c r="P36" i="5" s="1"/>
  <c r="P37" i="5" s="1"/>
  <c r="M106" i="3" s="1"/>
  <c r="P148" i="5"/>
  <c r="P149" i="5" s="1"/>
  <c r="P150" i="5" s="1"/>
  <c r="P151" i="5" s="1"/>
  <c r="P152" i="5" s="1"/>
  <c r="P153" i="5" s="1"/>
  <c r="P154" i="5" s="1"/>
  <c r="P155" i="5" s="1"/>
  <c r="P156" i="5" s="1"/>
  <c r="P157" i="5" s="1"/>
  <c r="M116" i="3" s="1"/>
  <c r="Q124" i="5"/>
  <c r="Q125" i="5" s="1"/>
  <c r="Q126" i="5" s="1"/>
  <c r="Q127" i="5" s="1"/>
  <c r="Q128" i="5" s="1"/>
  <c r="Q129" i="5" s="1"/>
  <c r="Q130" i="5" s="1"/>
  <c r="Q131" i="5" s="1"/>
  <c r="Q132" i="5" s="1"/>
  <c r="Q133" i="5" s="1"/>
  <c r="N114" i="3" s="1"/>
  <c r="K114" i="3" s="1"/>
  <c r="R88" i="5"/>
  <c r="R89" i="5" s="1"/>
  <c r="R90" i="5" s="1"/>
  <c r="R91" i="5" s="1"/>
  <c r="R92" i="5" s="1"/>
  <c r="R93" i="5" s="1"/>
  <c r="R94" i="5" s="1"/>
  <c r="R95" i="5" s="1"/>
  <c r="R96" i="5" s="1"/>
  <c r="R97" i="5" s="1"/>
  <c r="O111" i="3" s="1"/>
  <c r="L111" i="3" s="1"/>
  <c r="R40" i="5"/>
  <c r="R41" i="5" s="1"/>
  <c r="R42" i="5" s="1"/>
  <c r="R43" i="5" s="1"/>
  <c r="R44" i="5" s="1"/>
  <c r="R45" i="5" s="1"/>
  <c r="R46" i="5" s="1"/>
  <c r="R47" i="5" s="1"/>
  <c r="R48" i="5" s="1"/>
  <c r="R49" i="5" s="1"/>
  <c r="O107" i="3" s="1"/>
  <c r="L107" i="3" s="1"/>
  <c r="Q5" i="5"/>
  <c r="Q6" i="5" s="1"/>
  <c r="Q7" i="5" s="1"/>
  <c r="Q8" i="5" s="1"/>
  <c r="Q9" i="5" s="1"/>
  <c r="Q10" i="5" s="1"/>
  <c r="Q11" i="5" s="1"/>
  <c r="Q12" i="5" s="1"/>
  <c r="Q13" i="5" s="1"/>
  <c r="N104" i="3" s="1"/>
  <c r="K104" i="3" s="1"/>
  <c r="P100" i="5"/>
  <c r="P101" i="5" s="1"/>
  <c r="P102" i="5" s="1"/>
  <c r="P103" i="5" s="1"/>
  <c r="P104" i="5" s="1"/>
  <c r="P105" i="5" s="1"/>
  <c r="P106" i="5" s="1"/>
  <c r="P107" i="5" s="1"/>
  <c r="P108" i="5" s="1"/>
  <c r="P109" i="5" s="1"/>
  <c r="M112" i="3" s="1"/>
  <c r="Q196" i="5"/>
  <c r="Q197" i="5" s="1"/>
  <c r="Q198" i="5" s="1"/>
  <c r="Q199" i="5" s="1"/>
  <c r="Q200" i="5" s="1"/>
  <c r="Q201" i="5" s="1"/>
  <c r="Q202" i="5" s="1"/>
  <c r="Q203" i="5" s="1"/>
  <c r="Q204" i="5" s="1"/>
  <c r="Q205" i="5" s="1"/>
  <c r="N120" i="3" s="1"/>
  <c r="K120" i="3" s="1"/>
  <c r="P4" i="5"/>
  <c r="P5" i="5" s="1"/>
  <c r="P6" i="5" s="1"/>
  <c r="P7" i="5" s="1"/>
  <c r="P8" i="5" s="1"/>
  <c r="P9" i="5" s="1"/>
  <c r="P10" i="5" s="1"/>
  <c r="P11" i="5" s="1"/>
  <c r="P12" i="5" s="1"/>
  <c r="P13" i="5" s="1"/>
  <c r="M104" i="3" s="1"/>
  <c r="P136" i="5"/>
  <c r="P137" i="5" s="1"/>
  <c r="P138" i="5" s="1"/>
  <c r="P139" i="5" s="1"/>
  <c r="P140" i="5" s="1"/>
  <c r="P141" i="5" s="1"/>
  <c r="P142" i="5" s="1"/>
  <c r="P143" i="5" s="1"/>
  <c r="P144" i="5" s="1"/>
  <c r="P145" i="5" s="1"/>
  <c r="M115" i="3" s="1"/>
  <c r="R76" i="5"/>
  <c r="R77" i="5" s="1"/>
  <c r="R78" i="5" s="1"/>
  <c r="R79" i="5" s="1"/>
  <c r="R80" i="5" s="1"/>
  <c r="R81" i="5" s="1"/>
  <c r="R82" i="5" s="1"/>
  <c r="R83" i="5" s="1"/>
  <c r="R84" i="5" s="1"/>
  <c r="R85" i="5" s="1"/>
  <c r="O110" i="3" s="1"/>
  <c r="L110" i="3" s="1"/>
  <c r="P184" i="5"/>
  <c r="P185" i="5" s="1"/>
  <c r="P186" i="5" s="1"/>
  <c r="P187" i="5" s="1"/>
  <c r="P188" i="5" s="1"/>
  <c r="P189" i="5" s="1"/>
  <c r="P190" i="5" s="1"/>
  <c r="P191" i="5" s="1"/>
  <c r="P192" i="5" s="1"/>
  <c r="P193" i="5" s="1"/>
  <c r="M119" i="3" s="1"/>
  <c r="P52" i="5"/>
  <c r="P53" i="5" s="1"/>
  <c r="P54" i="5" s="1"/>
  <c r="P55" i="5" s="1"/>
  <c r="P56" i="5" s="1"/>
  <c r="P57" i="5" s="1"/>
  <c r="P58" i="5" s="1"/>
  <c r="P59" i="5" s="1"/>
  <c r="P60" i="5" s="1"/>
  <c r="P61" i="5" s="1"/>
  <c r="M108" i="3" s="1"/>
  <c r="R16" i="5"/>
  <c r="R17" i="5" s="1"/>
  <c r="R18" i="5" s="1"/>
  <c r="R19" i="5" s="1"/>
  <c r="R20" i="5" s="1"/>
  <c r="R21" i="5" s="1"/>
  <c r="R22" i="5" s="1"/>
  <c r="R23" i="5" s="1"/>
  <c r="R24" i="5" s="1"/>
  <c r="R25" i="5" s="1"/>
  <c r="O105" i="3" s="1"/>
  <c r="L105" i="3" s="1"/>
  <c r="Q136" i="5"/>
  <c r="Q137" i="5" s="1"/>
  <c r="Q138" i="5" s="1"/>
  <c r="Q139" i="5" s="1"/>
  <c r="Q140" i="5" s="1"/>
  <c r="Q141" i="5" s="1"/>
  <c r="Q142" i="5" s="1"/>
  <c r="Q143" i="5" s="1"/>
  <c r="Q144" i="5" s="1"/>
  <c r="Q145" i="5" s="1"/>
  <c r="N115" i="3" s="1"/>
  <c r="K115" i="3" s="1"/>
  <c r="Q100" i="5"/>
  <c r="Q101" i="5" s="1"/>
  <c r="Q102" i="5" s="1"/>
  <c r="Q103" i="5" s="1"/>
  <c r="Q104" i="5" s="1"/>
  <c r="Q105" i="5" s="1"/>
  <c r="Q106" i="5" s="1"/>
  <c r="Q107" i="5" s="1"/>
  <c r="Q108" i="5" s="1"/>
  <c r="Q109" i="5" s="1"/>
  <c r="N112" i="3" s="1"/>
  <c r="K112" i="3" s="1"/>
  <c r="Q162" i="5"/>
  <c r="Q163" i="5" s="1"/>
  <c r="Q164" i="5" s="1"/>
  <c r="Q165" i="5" s="1"/>
  <c r="Q166" i="5" s="1"/>
  <c r="Q167" i="5" s="1"/>
  <c r="Q168" i="5" s="1"/>
  <c r="Q169" i="5" s="1"/>
  <c r="N117" i="3" s="1"/>
  <c r="K117" i="3" s="1"/>
  <c r="R208" i="5"/>
  <c r="R209" i="5" s="1"/>
  <c r="R210" i="5" s="1"/>
  <c r="R211" i="5" s="1"/>
  <c r="R212" i="5" s="1"/>
  <c r="R213" i="5" s="1"/>
  <c r="R214" i="5" s="1"/>
  <c r="R215" i="5" s="1"/>
  <c r="R216" i="5" s="1"/>
  <c r="R217" i="5" s="1"/>
  <c r="O121" i="3" s="1"/>
  <c r="L121" i="3" s="1"/>
  <c r="L85" i="5"/>
  <c r="R220" i="5"/>
  <c r="R221" i="5" s="1"/>
  <c r="R222" i="5" s="1"/>
  <c r="R223" i="5" s="1"/>
  <c r="R224" i="5" s="1"/>
  <c r="R225" i="5" s="1"/>
  <c r="R226" i="5" s="1"/>
  <c r="R227" i="5" s="1"/>
  <c r="R228" i="5" s="1"/>
  <c r="R229" i="5" s="1"/>
  <c r="O122" i="3" s="1"/>
  <c r="L122" i="3" s="1"/>
  <c r="R172" i="5"/>
  <c r="R173" i="5" s="1"/>
  <c r="R174" i="5" s="1"/>
  <c r="R175" i="5" s="1"/>
  <c r="R176" i="5" s="1"/>
  <c r="R177" i="5" s="1"/>
  <c r="R178" i="5" s="1"/>
  <c r="R179" i="5" s="1"/>
  <c r="R180" i="5" s="1"/>
  <c r="R181" i="5" s="1"/>
  <c r="O118" i="3" s="1"/>
  <c r="L118" i="3" s="1"/>
  <c r="L72" i="5"/>
  <c r="R112" i="5"/>
  <c r="R113" i="5" s="1"/>
  <c r="R114" i="5" s="1"/>
  <c r="R115" i="5" s="1"/>
  <c r="R116" i="5" s="1"/>
  <c r="R117" i="5" s="1"/>
  <c r="R118" i="5" s="1"/>
  <c r="R119" i="5" s="1"/>
  <c r="R120" i="5" s="1"/>
  <c r="R121" i="5" s="1"/>
  <c r="O113" i="3" s="1"/>
  <c r="L113" i="3" s="1"/>
  <c r="R4" i="5"/>
  <c r="R5" i="5" s="1"/>
  <c r="R6" i="5" s="1"/>
  <c r="R7" i="5" s="1"/>
  <c r="R8" i="5" s="1"/>
  <c r="R9" i="5" s="1"/>
  <c r="R10" i="5" s="1"/>
  <c r="R11" i="5" s="1"/>
  <c r="R12" i="5" s="1"/>
  <c r="R13" i="5" s="1"/>
  <c r="O104" i="3" s="1"/>
  <c r="L104" i="3" s="1"/>
  <c r="Q41" i="5"/>
  <c r="Q42" i="5" s="1"/>
  <c r="Q43" i="5" s="1"/>
  <c r="Q44" i="5" s="1"/>
  <c r="Q45" i="5" s="1"/>
  <c r="Q46" i="5" s="1"/>
  <c r="Q47" i="5" s="1"/>
  <c r="Q48" i="5" s="1"/>
  <c r="Q49" i="5" s="1"/>
  <c r="N107" i="3" s="1"/>
  <c r="K107" i="3" s="1"/>
  <c r="R28" i="5"/>
  <c r="R29" i="5" s="1"/>
  <c r="R30" i="5" s="1"/>
  <c r="R31" i="5" s="1"/>
  <c r="R32" i="5" s="1"/>
  <c r="R33" i="5" s="1"/>
  <c r="R34" i="5" s="1"/>
  <c r="R35" i="5" s="1"/>
  <c r="R36" i="5" s="1"/>
  <c r="R37" i="5" s="1"/>
  <c r="O106" i="3" s="1"/>
  <c r="L106" i="3" s="1"/>
  <c r="R136" i="5"/>
  <c r="R137" i="5" s="1"/>
  <c r="R138" i="5" s="1"/>
  <c r="R139" i="5" s="1"/>
  <c r="R140" i="5" s="1"/>
  <c r="R141" i="5" s="1"/>
  <c r="R142" i="5" s="1"/>
  <c r="R143" i="5" s="1"/>
  <c r="R144" i="5" s="1"/>
  <c r="R145" i="5" s="1"/>
  <c r="O115" i="3" s="1"/>
  <c r="L115" i="3" s="1"/>
  <c r="R52" i="5"/>
  <c r="R53" i="5" s="1"/>
  <c r="R54" i="5" s="1"/>
  <c r="R55" i="5" s="1"/>
  <c r="R56" i="5" s="1"/>
  <c r="R57" i="5" s="1"/>
  <c r="R58" i="5" s="1"/>
  <c r="R59" i="5" s="1"/>
  <c r="R60" i="5" s="1"/>
  <c r="R61" i="5" s="1"/>
  <c r="O108" i="3" s="1"/>
  <c r="L108" i="3" s="1"/>
  <c r="R196" i="5"/>
  <c r="R197" i="5" s="1"/>
  <c r="R198" i="5" s="1"/>
  <c r="R199" i="5" s="1"/>
  <c r="R200" i="5" s="1"/>
  <c r="R201" i="5" s="1"/>
  <c r="R202" i="5" s="1"/>
  <c r="R203" i="5" s="1"/>
  <c r="R204" i="5" s="1"/>
  <c r="R205" i="5" s="1"/>
  <c r="O120" i="3" s="1"/>
  <c r="L120" i="3" s="1"/>
  <c r="P112" i="5"/>
  <c r="P113" i="5" s="1"/>
  <c r="P114" i="5" s="1"/>
  <c r="P115" i="5" s="1"/>
  <c r="P116" i="5" s="1"/>
  <c r="P117" i="5" s="1"/>
  <c r="P118" i="5" s="1"/>
  <c r="P119" i="5" s="1"/>
  <c r="P120" i="5" s="1"/>
  <c r="P121" i="5" s="1"/>
  <c r="M113" i="3" s="1"/>
  <c r="P208" i="5"/>
  <c r="P209" i="5" s="1"/>
  <c r="P210" i="5" s="1"/>
  <c r="P211" i="5" s="1"/>
  <c r="P212" i="5" s="1"/>
  <c r="P213" i="5" s="1"/>
  <c r="P214" i="5" s="1"/>
  <c r="P215" i="5" s="1"/>
  <c r="P216" i="5" s="1"/>
  <c r="P217" i="5" s="1"/>
  <c r="M121" i="3" s="1"/>
  <c r="L73" i="5"/>
  <c r="P172" i="5"/>
  <c r="P173" i="5" s="1"/>
  <c r="P174" i="5" s="1"/>
  <c r="P175" i="5" s="1"/>
  <c r="P176" i="5" s="1"/>
  <c r="P177" i="5" s="1"/>
  <c r="P178" i="5" s="1"/>
  <c r="P179" i="5" s="1"/>
  <c r="P180" i="5" s="1"/>
  <c r="P181" i="5" s="1"/>
  <c r="M118" i="3" s="1"/>
  <c r="P64" i="5"/>
  <c r="P65" i="5" s="1"/>
  <c r="P66" i="5" s="1"/>
  <c r="P67" i="5" s="1"/>
  <c r="P68" i="5" s="1"/>
  <c r="P69" i="5" s="1"/>
  <c r="P70" i="5" s="1"/>
  <c r="P71" i="5" s="1"/>
  <c r="P72" i="5" s="1"/>
  <c r="P73" i="5" s="1"/>
  <c r="M109" i="3" s="1"/>
  <c r="P220" i="5"/>
  <c r="P221" i="5" s="1"/>
  <c r="P222" i="5" s="1"/>
  <c r="P223" i="5" s="1"/>
  <c r="P224" i="5" s="1"/>
  <c r="P225" i="5" s="1"/>
  <c r="P226" i="5" s="1"/>
  <c r="P227" i="5" s="1"/>
  <c r="P228" i="5" s="1"/>
  <c r="P229" i="5" s="1"/>
  <c r="M122" i="3" s="1"/>
  <c r="R184" i="5"/>
  <c r="R185" i="5" s="1"/>
  <c r="R186" i="5" s="1"/>
  <c r="R187" i="5" s="1"/>
  <c r="R188" i="5" s="1"/>
  <c r="R189" i="5" s="1"/>
  <c r="R190" i="5" s="1"/>
  <c r="R191" i="5" s="1"/>
  <c r="R192" i="5" s="1"/>
  <c r="R193" i="5" s="1"/>
  <c r="O119" i="3" s="1"/>
  <c r="L119" i="3" s="1"/>
  <c r="L84" i="5"/>
  <c r="R148" i="5"/>
  <c r="R149" i="5" s="1"/>
  <c r="R150" i="5" s="1"/>
  <c r="R151" i="5" s="1"/>
  <c r="R152" i="5" s="1"/>
  <c r="R153" i="5" s="1"/>
  <c r="R154" i="5" s="1"/>
  <c r="R155" i="5" s="1"/>
  <c r="R156" i="5" s="1"/>
  <c r="R157" i="5" s="1"/>
  <c r="O116" i="3" s="1"/>
  <c r="L116" i="3" s="1"/>
  <c r="L189" i="5"/>
  <c r="L176" i="5"/>
  <c r="R64" i="5"/>
  <c r="R65" i="5" s="1"/>
  <c r="R66" i="5" s="1"/>
  <c r="R67" i="5" s="1"/>
  <c r="R68" i="5" s="1"/>
  <c r="R69" i="5" s="1"/>
  <c r="R70" i="5" s="1"/>
  <c r="R71" i="5" s="1"/>
  <c r="R72" i="5" s="1"/>
  <c r="R73" i="5" s="1"/>
  <c r="O109" i="3" s="1"/>
  <c r="L109" i="3" s="1"/>
  <c r="Q16" i="5"/>
  <c r="Q17" i="5" s="1"/>
  <c r="Q18" i="5" s="1"/>
  <c r="Q19" i="5" s="1"/>
  <c r="Q20" i="5" s="1"/>
  <c r="Q21" i="5" s="1"/>
  <c r="Q22" i="5" s="1"/>
  <c r="Q23" i="5" s="1"/>
  <c r="Q24" i="5" s="1"/>
  <c r="Q25" i="5" s="1"/>
  <c r="N105" i="3" s="1"/>
  <c r="K105" i="3" s="1"/>
  <c r="Q53" i="5"/>
  <c r="Q54" i="5" s="1"/>
  <c r="Q55" i="5" s="1"/>
  <c r="Q56" i="5" s="1"/>
  <c r="Q57" i="5" s="1"/>
  <c r="Q58" i="5" s="1"/>
  <c r="Q59" i="5" s="1"/>
  <c r="Q60" i="5" s="1"/>
  <c r="Q61" i="5" s="1"/>
  <c r="N108" i="3" s="1"/>
  <c r="K108" i="3" s="1"/>
  <c r="P124" i="5"/>
  <c r="P125" i="5" s="1"/>
  <c r="P126" i="5" s="1"/>
  <c r="P127" i="5" s="1"/>
  <c r="P128" i="5" s="1"/>
  <c r="P129" i="5" s="1"/>
  <c r="P130" i="5" s="1"/>
  <c r="P131" i="5" s="1"/>
  <c r="P132" i="5" s="1"/>
  <c r="P133" i="5" s="1"/>
  <c r="M114" i="3" s="1"/>
  <c r="P160" i="5"/>
  <c r="P161" i="5" s="1"/>
  <c r="P162" i="5" s="1"/>
  <c r="P163" i="5" s="1"/>
  <c r="P164" i="5" s="1"/>
  <c r="P165" i="5" s="1"/>
  <c r="P166" i="5" s="1"/>
  <c r="P167" i="5" s="1"/>
  <c r="P168" i="5" s="1"/>
  <c r="P169" i="5" s="1"/>
  <c r="M117" i="3" s="1"/>
  <c r="Q77" i="5"/>
  <c r="Q78" i="5" s="1"/>
  <c r="Q79" i="5" s="1"/>
  <c r="Q80" i="5" s="1"/>
  <c r="Q81" i="5" s="1"/>
  <c r="Q82" i="5" s="1"/>
  <c r="Q83" i="5" s="1"/>
  <c r="Q84" i="5" s="1"/>
  <c r="Q85" i="5" s="1"/>
  <c r="N110" i="3" s="1"/>
  <c r="K110" i="3" s="1"/>
  <c r="Q148" i="5"/>
  <c r="Q149" i="5" s="1"/>
  <c r="Q150" i="5" s="1"/>
  <c r="Q151" i="5" s="1"/>
  <c r="Q152" i="5" s="1"/>
  <c r="Q153" i="5" s="1"/>
  <c r="Q154" i="5" s="1"/>
  <c r="Q155" i="5" s="1"/>
  <c r="Q156" i="5" s="1"/>
  <c r="Q157" i="5" s="1"/>
  <c r="N116" i="3" s="1"/>
  <c r="K116" i="3" s="1"/>
  <c r="Q66" i="5"/>
  <c r="Q67" i="5" s="1"/>
  <c r="Q68" i="5" s="1"/>
  <c r="Q69" i="5" s="1"/>
  <c r="Q70" i="5" s="1"/>
  <c r="Q71" i="5" s="1"/>
  <c r="Q72" i="5" s="1"/>
  <c r="Q73" i="5" s="1"/>
  <c r="N109" i="3" s="1"/>
  <c r="K109" i="3" s="1"/>
  <c r="R124" i="5"/>
  <c r="R125" i="5" s="1"/>
  <c r="R126" i="5" s="1"/>
  <c r="R127" i="5" s="1"/>
  <c r="R128" i="5" s="1"/>
  <c r="R129" i="5" s="1"/>
  <c r="R130" i="5" s="1"/>
  <c r="R131" i="5" s="1"/>
  <c r="R132" i="5" s="1"/>
  <c r="R133" i="5" s="1"/>
  <c r="O114" i="3" s="1"/>
  <c r="L114" i="3" s="1"/>
  <c r="P16" i="5"/>
  <c r="P17" i="5" s="1"/>
  <c r="P18" i="5" s="1"/>
  <c r="P19" i="5" s="1"/>
  <c r="P20" i="5" s="1"/>
  <c r="P21" i="5" s="1"/>
  <c r="P22" i="5" s="1"/>
  <c r="P23" i="5" s="1"/>
  <c r="P24" i="5" s="1"/>
  <c r="P25" i="5" s="1"/>
  <c r="M105" i="3" s="1"/>
  <c r="P88" i="5"/>
  <c r="P89" i="5" s="1"/>
  <c r="P90" i="5" s="1"/>
  <c r="P91" i="5" s="1"/>
  <c r="P92" i="5" s="1"/>
  <c r="P93" i="5" s="1"/>
  <c r="P94" i="5" s="1"/>
  <c r="P95" i="5" s="1"/>
  <c r="P96" i="5" s="1"/>
  <c r="P97" i="5" s="1"/>
  <c r="M111" i="3" s="1"/>
  <c r="R100" i="5"/>
  <c r="R101" i="5" s="1"/>
  <c r="R102" i="5" s="1"/>
  <c r="R103" i="5" s="1"/>
  <c r="R104" i="5" s="1"/>
  <c r="R105" i="5" s="1"/>
  <c r="R106" i="5" s="1"/>
  <c r="R107" i="5" s="1"/>
  <c r="R108" i="5" s="1"/>
  <c r="R109" i="5" s="1"/>
  <c r="O112" i="3" s="1"/>
  <c r="L112" i="3" s="1"/>
  <c r="P40" i="5"/>
  <c r="P41" i="5" s="1"/>
  <c r="P42" i="5" s="1"/>
  <c r="P43" i="5" s="1"/>
  <c r="P44" i="5" s="1"/>
  <c r="P45" i="5" s="1"/>
  <c r="P46" i="5" s="1"/>
  <c r="P47" i="5" s="1"/>
  <c r="P48" i="5" s="1"/>
  <c r="P49" i="5" s="1"/>
  <c r="M107" i="3" s="1"/>
  <c r="L177" i="5"/>
  <c r="P76" i="5"/>
  <c r="P77" i="5" s="1"/>
  <c r="P78" i="5" s="1"/>
  <c r="P79" i="5" s="1"/>
  <c r="P80" i="5" s="1"/>
  <c r="P81" i="5" s="1"/>
  <c r="P82" i="5" s="1"/>
  <c r="P83" i="5" s="1"/>
  <c r="P84" i="5" s="1"/>
  <c r="P85" i="5" s="1"/>
  <c r="M110" i="3" s="1"/>
  <c r="N122" i="3"/>
  <c r="K122" i="3" s="1"/>
  <c r="N113" i="3"/>
  <c r="K113" i="3" s="1"/>
  <c r="L51" i="5"/>
  <c r="L3" i="5"/>
  <c r="L50" i="5"/>
  <c r="BE49" i="7"/>
  <c r="BH39" i="7" s="1"/>
  <c r="BN39" i="7" s="1"/>
  <c r="BO27" i="7" s="1"/>
  <c r="BE45" i="7"/>
  <c r="BH33" i="7" s="1"/>
  <c r="BN33" i="7" s="1"/>
  <c r="BE50" i="7"/>
  <c r="BH40" i="7" s="1"/>
  <c r="BL40" i="7" s="1"/>
  <c r="BO28" i="7" s="1"/>
  <c r="BG16" i="7"/>
  <c r="BE12" i="7"/>
  <c r="BH29" i="7"/>
  <c r="BN29" i="7" s="1"/>
  <c r="BO5" i="7" s="1"/>
  <c r="BG47" i="7"/>
  <c r="BH44" i="7"/>
  <c r="BL44" i="7" s="1"/>
  <c r="BO31" i="7" s="1"/>
  <c r="BH50" i="7"/>
  <c r="BN50" i="7" s="1"/>
  <c r="BH43" i="7"/>
  <c r="BL43" i="7" s="1"/>
  <c r="BO36" i="7" s="1"/>
  <c r="BE44" i="7"/>
  <c r="BH31" i="7" s="1"/>
  <c r="BL31" i="7" s="1"/>
  <c r="BH49" i="7"/>
  <c r="BN49" i="7" s="1"/>
  <c r="BH45" i="7"/>
  <c r="BL45" i="7" s="1"/>
  <c r="BH42" i="7"/>
  <c r="BL42" i="7" s="1"/>
  <c r="BG43" i="7"/>
  <c r="BH41" i="7" s="1"/>
  <c r="BN41" i="7" s="1"/>
  <c r="BE43" i="7"/>
  <c r="BH36" i="7" s="1"/>
  <c r="BN36" i="7" s="1"/>
  <c r="BG33" i="7"/>
  <c r="BG38" i="7"/>
  <c r="BE21" i="7"/>
  <c r="BH51" i="7"/>
  <c r="BN51" i="7" s="1"/>
  <c r="BH47" i="7"/>
  <c r="BN47" i="7" s="1"/>
  <c r="L173" i="5"/>
  <c r="BE46" i="7"/>
  <c r="BH34" i="7" s="1"/>
  <c r="BH12" i="7"/>
  <c r="BN12" i="7" s="1"/>
  <c r="BH16" i="7"/>
  <c r="BN16" i="7" s="1"/>
  <c r="L141" i="5"/>
  <c r="L133" i="5"/>
  <c r="BH52" i="7"/>
  <c r="BN52" i="7" s="1"/>
  <c r="BE18" i="7"/>
  <c r="L121" i="5"/>
  <c r="BE48" i="7"/>
  <c r="L125" i="5"/>
  <c r="L60" i="5"/>
  <c r="L229" i="5"/>
  <c r="L178" i="5"/>
  <c r="L61" i="5"/>
  <c r="L228" i="5"/>
  <c r="L97" i="5"/>
  <c r="L96" i="5"/>
  <c r="L210" i="5"/>
  <c r="L151" i="5"/>
  <c r="L211" i="5"/>
  <c r="L163" i="5"/>
  <c r="L66" i="5"/>
  <c r="L67" i="5"/>
  <c r="L19" i="5"/>
  <c r="L31" i="5"/>
  <c r="L90" i="5"/>
  <c r="L76" i="5"/>
  <c r="L101" i="5"/>
  <c r="BL57" i="7"/>
  <c r="BN57" i="7"/>
  <c r="BL70" i="7"/>
  <c r="BN70" i="7"/>
  <c r="BN76" i="7"/>
  <c r="BL76" i="7"/>
  <c r="L52" i="5"/>
  <c r="L136" i="5"/>
  <c r="L77" i="5"/>
  <c r="L172" i="5"/>
  <c r="L56" i="5"/>
  <c r="L200" i="5"/>
  <c r="L8" i="5"/>
  <c r="L68" i="5"/>
  <c r="L152" i="5"/>
  <c r="BG37" i="7"/>
  <c r="BH14" i="7" s="1"/>
  <c r="BE37" i="7"/>
  <c r="BH24" i="7" s="1"/>
  <c r="L157" i="5"/>
  <c r="L37" i="5"/>
  <c r="L145" i="5"/>
  <c r="L168" i="5"/>
  <c r="L13" i="5"/>
  <c r="L120" i="5"/>
  <c r="L181" i="5"/>
  <c r="BG34" i="7"/>
  <c r="BE34" i="7"/>
  <c r="BH22" i="7" s="1"/>
  <c r="BH21" i="7"/>
  <c r="L161" i="5"/>
  <c r="L160" i="5"/>
  <c r="L113" i="5"/>
  <c r="L209" i="5"/>
  <c r="BN23" i="7"/>
  <c r="BO3" i="7" s="1"/>
  <c r="BL23" i="7"/>
  <c r="L69" i="5"/>
  <c r="L201" i="5"/>
  <c r="L117" i="5"/>
  <c r="L9" i="5"/>
  <c r="L213" i="5"/>
  <c r="BE29" i="7"/>
  <c r="BH19" i="7" s="1"/>
  <c r="BG29" i="7"/>
  <c r="BH5" i="7" s="1"/>
  <c r="BH48" i="7"/>
  <c r="L159" i="5"/>
  <c r="L146" i="5"/>
  <c r="L62" i="5"/>
  <c r="L182" i="5"/>
  <c r="BE11" i="7"/>
  <c r="BG11" i="7"/>
  <c r="BL3" i="7"/>
  <c r="BN3" i="7"/>
  <c r="BN6" i="7"/>
  <c r="BL6" i="7"/>
  <c r="L148" i="5"/>
  <c r="L100" i="5"/>
  <c r="L29" i="5"/>
  <c r="BG24" i="7"/>
  <c r="BH7" i="7" s="1"/>
  <c r="BE24" i="7"/>
  <c r="BE15" i="7"/>
  <c r="BG15" i="7"/>
  <c r="BL2" i="7"/>
  <c r="BN2" i="7"/>
  <c r="BN64" i="7"/>
  <c r="BL64" i="7"/>
  <c r="BN69" i="7"/>
  <c r="BL69" i="7"/>
  <c r="BN66" i="7"/>
  <c r="BL66" i="7"/>
  <c r="L171" i="5"/>
  <c r="BL32" i="7"/>
  <c r="BN32" i="7"/>
  <c r="L41" i="5"/>
  <c r="L65" i="5"/>
  <c r="L53" i="5"/>
  <c r="L165" i="5"/>
  <c r="L224" i="5"/>
  <c r="BN61" i="7"/>
  <c r="BL61" i="7"/>
  <c r="BN55" i="7"/>
  <c r="BL55" i="7"/>
  <c r="BL59" i="7"/>
  <c r="BN59" i="7"/>
  <c r="L57" i="5"/>
  <c r="L80" i="5"/>
  <c r="L44" i="5"/>
  <c r="L149" i="5"/>
  <c r="BL26" i="7"/>
  <c r="BN26" i="7"/>
  <c r="BO9" i="7" s="1"/>
  <c r="L147" i="5"/>
  <c r="L87" i="5"/>
  <c r="L14" i="5"/>
  <c r="L135" i="5"/>
  <c r="BN9" i="7"/>
  <c r="BL9" i="7"/>
  <c r="BH18" i="7"/>
  <c r="L128" i="5"/>
  <c r="BO98" i="7"/>
  <c r="BO108" i="7"/>
  <c r="BO93" i="7"/>
  <c r="BO77" i="7"/>
  <c r="BO53" i="7"/>
  <c r="BO115" i="7"/>
  <c r="BO111" i="7"/>
  <c r="BO84" i="7"/>
  <c r="BO97" i="7"/>
  <c r="BO88" i="7"/>
  <c r="BO106" i="7"/>
  <c r="BO82" i="7"/>
  <c r="BO78" i="7"/>
  <c r="BO87" i="7"/>
  <c r="BO118" i="7"/>
  <c r="BO90" i="7"/>
  <c r="BO117" i="7"/>
  <c r="BO65" i="7"/>
  <c r="BO105" i="7"/>
  <c r="BO96" i="7"/>
  <c r="BO107" i="7"/>
  <c r="BO92" i="7"/>
  <c r="BO113" i="7"/>
  <c r="BO102" i="7"/>
  <c r="BO81" i="7"/>
  <c r="BO100" i="7"/>
  <c r="BO91" i="7"/>
  <c r="BO85" i="7"/>
  <c r="BO68" i="7"/>
  <c r="BO71" i="7"/>
  <c r="BO76" i="7"/>
  <c r="BO110" i="7"/>
  <c r="BO112" i="7"/>
  <c r="BO58" i="7"/>
  <c r="BO74" i="7"/>
  <c r="BO80" i="7"/>
  <c r="BO103" i="7"/>
  <c r="BO66" i="7"/>
  <c r="BO73" i="7"/>
  <c r="BO83" i="7"/>
  <c r="BO99" i="7"/>
  <c r="BO89" i="7"/>
  <c r="BO101" i="7"/>
  <c r="BO70" i="7"/>
  <c r="BO109" i="7"/>
  <c r="BO79" i="7"/>
  <c r="BO104" i="7"/>
  <c r="BO72" i="7"/>
  <c r="BO95" i="7"/>
  <c r="BO67" i="7"/>
  <c r="BO61" i="7"/>
  <c r="BO94" i="7"/>
  <c r="BO59" i="7"/>
  <c r="BO69" i="7"/>
  <c r="BO57" i="7"/>
  <c r="BO86" i="7"/>
  <c r="BO55" i="7"/>
  <c r="BO114" i="7"/>
  <c r="BO116" i="7"/>
  <c r="BO75" i="7"/>
  <c r="BO63" i="7"/>
  <c r="BO60" i="7"/>
  <c r="BO56" i="7"/>
  <c r="BO62" i="7"/>
  <c r="BT53" i="7"/>
  <c r="BO54" i="7"/>
  <c r="BO64" i="7"/>
  <c r="BL67" i="7"/>
  <c r="BN67" i="7"/>
  <c r="BN71" i="7"/>
  <c r="BL71" i="7"/>
  <c r="L193" i="5"/>
  <c r="L25" i="5"/>
  <c r="L205" i="5"/>
  <c r="L169" i="5"/>
  <c r="L102" i="5"/>
  <c r="L127" i="5"/>
  <c r="L198" i="5"/>
  <c r="L124" i="5"/>
  <c r="L17" i="5"/>
  <c r="L28" i="5"/>
  <c r="BL35" i="7"/>
  <c r="BN35" i="7"/>
  <c r="L59" i="5"/>
  <c r="L179" i="5"/>
  <c r="L215" i="5"/>
  <c r="L23" i="5"/>
  <c r="L226" i="5"/>
  <c r="L94" i="5"/>
  <c r="L144" i="5"/>
  <c r="L217" i="5"/>
  <c r="L36" i="5"/>
  <c r="L109" i="5"/>
  <c r="L156" i="5"/>
  <c r="BH37" i="7"/>
  <c r="L75" i="5"/>
  <c r="L27" i="5"/>
  <c r="L39" i="5"/>
  <c r="L110" i="5"/>
  <c r="L63" i="5"/>
  <c r="L206" i="5"/>
  <c r="L98" i="5"/>
  <c r="L207" i="5"/>
  <c r="L194" i="5"/>
  <c r="L219" i="5"/>
  <c r="L99" i="5"/>
  <c r="L123" i="5"/>
  <c r="L195" i="5"/>
  <c r="L2" i="5"/>
  <c r="BN27" i="7"/>
  <c r="BL27" i="7"/>
  <c r="BO17" i="7" s="1"/>
  <c r="L137" i="5"/>
  <c r="L4" i="5"/>
  <c r="L130" i="5"/>
  <c r="L155" i="5"/>
  <c r="L5" i="5"/>
  <c r="L184" i="5"/>
  <c r="L112" i="5"/>
  <c r="L208" i="5"/>
  <c r="L105" i="5"/>
  <c r="L93" i="5"/>
  <c r="L188" i="5"/>
  <c r="L225" i="5"/>
  <c r="L164" i="5"/>
  <c r="L129" i="5"/>
  <c r="L140" i="5"/>
  <c r="L33" i="5"/>
  <c r="L21" i="5"/>
  <c r="L49" i="5"/>
  <c r="BH25" i="7"/>
  <c r="BL10" i="7"/>
  <c r="BN10" i="7"/>
  <c r="BN63" i="7"/>
  <c r="BL63" i="7"/>
  <c r="BN68" i="7"/>
  <c r="BL68" i="7"/>
  <c r="BN75" i="7"/>
  <c r="BL75" i="7"/>
  <c r="L132" i="5"/>
  <c r="L45" i="5"/>
  <c r="L70" i="5"/>
  <c r="L227" i="5"/>
  <c r="L119" i="5"/>
  <c r="L154" i="5"/>
  <c r="L34" i="5"/>
  <c r="L95" i="5"/>
  <c r="BG22" i="7"/>
  <c r="BH4" i="7" s="1"/>
  <c r="BE22" i="7"/>
  <c r="L170" i="5"/>
  <c r="L111" i="5"/>
  <c r="L158" i="5"/>
  <c r="BN28" i="7"/>
  <c r="BO10" i="7" s="1"/>
  <c r="BL28" i="7"/>
  <c r="L107" i="5"/>
  <c r="L167" i="5"/>
  <c r="L203" i="5"/>
  <c r="L47" i="5"/>
  <c r="L142" i="5"/>
  <c r="BN60" i="7"/>
  <c r="BL60" i="7"/>
  <c r="BN74" i="7"/>
  <c r="BL74" i="7"/>
  <c r="BL58" i="7"/>
  <c r="BN58" i="7"/>
  <c r="L86" i="5"/>
  <c r="L153" i="5"/>
  <c r="L212" i="5"/>
  <c r="L116" i="5"/>
  <c r="L32" i="5"/>
  <c r="L92" i="5"/>
  <c r="L81" i="5"/>
  <c r="L40" i="5"/>
  <c r="L191" i="5"/>
  <c r="L35" i="5"/>
  <c r="L10" i="5"/>
  <c r="L166" i="5"/>
  <c r="L71" i="5"/>
  <c r="L143" i="5"/>
  <c r="L118" i="5"/>
  <c r="L55" i="5"/>
  <c r="L175" i="5"/>
  <c r="L221" i="5"/>
  <c r="L196" i="5"/>
  <c r="L197" i="5"/>
  <c r="L88" i="5"/>
  <c r="L16" i="5"/>
  <c r="L89" i="5"/>
  <c r="L64" i="5"/>
  <c r="L185" i="5"/>
  <c r="L220" i="5"/>
  <c r="L222" i="5"/>
  <c r="L174" i="5"/>
  <c r="L187" i="5"/>
  <c r="L126" i="5"/>
  <c r="L42" i="5"/>
  <c r="BN8" i="7"/>
  <c r="BL8" i="7"/>
  <c r="BG14" i="7"/>
  <c r="BE14" i="7"/>
  <c r="L104" i="5"/>
  <c r="BN54" i="7"/>
  <c r="BL54" i="7"/>
  <c r="BN56" i="7"/>
  <c r="BL56" i="7"/>
  <c r="BN73" i="7"/>
  <c r="BL73" i="7"/>
  <c r="BL65" i="7"/>
  <c r="BN65" i="7"/>
  <c r="L190" i="5"/>
  <c r="L214" i="5"/>
  <c r="L58" i="5"/>
  <c r="L83" i="5"/>
  <c r="L22" i="5"/>
  <c r="BH46" i="7"/>
  <c r="L199" i="5"/>
  <c r="L18" i="5"/>
  <c r="L103" i="5"/>
  <c r="L54" i="5"/>
  <c r="L223" i="5"/>
  <c r="L91" i="5"/>
  <c r="L43" i="5"/>
  <c r="L115" i="5"/>
  <c r="L106" i="5"/>
  <c r="L11" i="5"/>
  <c r="L202" i="5"/>
  <c r="L82" i="5"/>
  <c r="L46" i="5"/>
  <c r="L131" i="5"/>
  <c r="L204" i="5"/>
  <c r="L192" i="5"/>
  <c r="BG13" i="7"/>
  <c r="BE13" i="7"/>
  <c r="L48" i="5"/>
  <c r="BG42" i="7"/>
  <c r="BE42" i="7"/>
  <c r="BH30" i="7" s="1"/>
  <c r="L24" i="5"/>
  <c r="L180" i="5"/>
  <c r="L12" i="5"/>
  <c r="L216" i="5"/>
  <c r="L108" i="5"/>
  <c r="L186" i="5"/>
  <c r="L162" i="5"/>
  <c r="L79" i="5"/>
  <c r="L6" i="5"/>
  <c r="L78" i="5"/>
  <c r="L150" i="5"/>
  <c r="L30" i="5"/>
  <c r="L26" i="5"/>
  <c r="L183" i="5"/>
  <c r="L15" i="5"/>
  <c r="BN20" i="7"/>
  <c r="BL20" i="7"/>
  <c r="L20" i="5"/>
  <c r="L218" i="5"/>
  <c r="L122" i="5"/>
  <c r="L134" i="5"/>
  <c r="L74" i="5"/>
  <c r="BN62" i="7"/>
  <c r="BL62" i="7"/>
  <c r="BN72" i="7"/>
  <c r="BL72" i="7"/>
  <c r="BN53" i="7"/>
  <c r="BL53" i="7"/>
  <c r="L7" i="5"/>
  <c r="L138" i="5"/>
  <c r="L114" i="5"/>
  <c r="L139" i="5"/>
  <c r="BL17" i="7"/>
  <c r="BN17" i="7"/>
  <c r="W32" i="7" l="1"/>
  <c r="R36" i="11" s="1"/>
  <c r="W31" i="7"/>
  <c r="R35" i="11" s="1"/>
  <c r="W33" i="7"/>
  <c r="R37" i="11" s="1"/>
  <c r="W35" i="7"/>
  <c r="R39" i="11" s="1"/>
  <c r="W39" i="7"/>
  <c r="R43" i="11" s="1"/>
  <c r="W38" i="7"/>
  <c r="R42" i="11" s="1"/>
  <c r="R28" i="11"/>
  <c r="W34" i="7"/>
  <c r="R38" i="11" s="1"/>
  <c r="R26" i="11"/>
  <c r="W41" i="7"/>
  <c r="R45" i="11" s="1"/>
  <c r="W36" i="7"/>
  <c r="R40" i="11" s="1"/>
  <c r="W40" i="7"/>
  <c r="R44" i="11" s="1"/>
  <c r="R34" i="11"/>
  <c r="W37" i="7"/>
  <c r="R41" i="11" s="1"/>
  <c r="W42" i="7"/>
  <c r="BL39" i="7"/>
  <c r="BO26" i="7" s="1"/>
  <c r="BU26" i="7" s="1"/>
  <c r="BV9" i="7" s="1"/>
  <c r="BN40" i="7"/>
  <c r="BO30" i="7" s="1"/>
  <c r="BN43" i="7"/>
  <c r="BN31" i="7"/>
  <c r="BL29" i="7"/>
  <c r="BO19" i="7" s="1"/>
  <c r="BU19" i="7" s="1"/>
  <c r="BL36" i="7"/>
  <c r="BO23" i="7" s="1"/>
  <c r="BS23" i="7" s="1"/>
  <c r="BL50" i="7"/>
  <c r="BO40" i="7" s="1"/>
  <c r="BU40" i="7" s="1"/>
  <c r="BH38" i="7"/>
  <c r="BN38" i="7" s="1"/>
  <c r="BN44" i="7"/>
  <c r="BO32" i="7" s="1"/>
  <c r="BS32" i="7" s="1"/>
  <c r="BO50" i="7"/>
  <c r="BU50" i="7" s="1"/>
  <c r="BL49" i="7"/>
  <c r="BO39" i="7" s="1"/>
  <c r="BS39" i="7" s="1"/>
  <c r="BV26" i="7" s="1"/>
  <c r="BH11" i="7"/>
  <c r="BL11" i="7" s="1"/>
  <c r="BO43" i="7"/>
  <c r="BU43" i="7" s="1"/>
  <c r="BN45" i="7"/>
  <c r="BO35" i="7" s="1"/>
  <c r="BU35" i="7" s="1"/>
  <c r="BL41" i="7"/>
  <c r="BO29" i="7" s="1"/>
  <c r="BN42" i="7"/>
  <c r="BH13" i="7"/>
  <c r="BL13" i="7" s="1"/>
  <c r="BO49" i="7"/>
  <c r="BS49" i="7" s="1"/>
  <c r="BV39" i="7" s="1"/>
  <c r="BH15" i="7"/>
  <c r="BL15" i="7" s="1"/>
  <c r="BL12" i="7"/>
  <c r="BL51" i="7"/>
  <c r="BO45" i="7"/>
  <c r="BU45" i="7" s="1"/>
  <c r="BV35" i="7" s="1"/>
  <c r="BL47" i="7"/>
  <c r="BL33" i="7"/>
  <c r="BO21" i="7" s="1"/>
  <c r="BO44" i="7"/>
  <c r="BS44" i="7" s="1"/>
  <c r="BV31" i="7" s="1"/>
  <c r="BL16" i="7"/>
  <c r="BO47" i="7"/>
  <c r="BU47" i="7" s="1"/>
  <c r="BL52" i="7"/>
  <c r="BO42" i="7" s="1"/>
  <c r="BS42" i="7" s="1"/>
  <c r="BO16" i="7"/>
  <c r="BU16" i="7" s="1"/>
  <c r="BO52" i="7"/>
  <c r="BS52" i="7" s="1"/>
  <c r="BO51" i="7"/>
  <c r="BU51" i="7" s="1"/>
  <c r="P109" i="3"/>
  <c r="J109" i="3"/>
  <c r="I109" i="3" s="1"/>
  <c r="J113" i="3"/>
  <c r="I113" i="3" s="1"/>
  <c r="P113" i="3"/>
  <c r="J117" i="3"/>
  <c r="I117" i="3" s="1"/>
  <c r="P117" i="3"/>
  <c r="J115" i="3"/>
  <c r="I115" i="3" s="1"/>
  <c r="P115" i="3"/>
  <c r="J118" i="3"/>
  <c r="I118" i="3" s="1"/>
  <c r="P118" i="3"/>
  <c r="P104" i="3"/>
  <c r="J104" i="3"/>
  <c r="I104" i="3" s="1"/>
  <c r="J106" i="3"/>
  <c r="I106" i="3" s="1"/>
  <c r="P106" i="3"/>
  <c r="J105" i="3"/>
  <c r="I105" i="3" s="1"/>
  <c r="P105" i="3"/>
  <c r="P107" i="3"/>
  <c r="J107" i="3"/>
  <c r="I107" i="3" s="1"/>
  <c r="P116" i="3"/>
  <c r="J116" i="3"/>
  <c r="I116" i="3" s="1"/>
  <c r="P120" i="3"/>
  <c r="J120" i="3"/>
  <c r="I120" i="3" s="1"/>
  <c r="P112" i="3"/>
  <c r="J112" i="3"/>
  <c r="I112" i="3" s="1"/>
  <c r="J114" i="3"/>
  <c r="I114" i="3" s="1"/>
  <c r="P114" i="3"/>
  <c r="P121" i="3"/>
  <c r="J121" i="3"/>
  <c r="I121" i="3" s="1"/>
  <c r="J108" i="3"/>
  <c r="I108" i="3" s="1"/>
  <c r="P108" i="3"/>
  <c r="J119" i="3"/>
  <c r="I119" i="3" s="1"/>
  <c r="P119" i="3"/>
  <c r="J122" i="3"/>
  <c r="I122" i="3" s="1"/>
  <c r="P122" i="3"/>
  <c r="P111" i="3"/>
  <c r="J111" i="3"/>
  <c r="I111" i="3" s="1"/>
  <c r="J110" i="3"/>
  <c r="I110" i="3" s="1"/>
  <c r="P110" i="3"/>
  <c r="BU27" i="7"/>
  <c r="BS27" i="7"/>
  <c r="BV17" i="7" s="1"/>
  <c r="W44" i="7"/>
  <c r="R48" i="11" s="1"/>
  <c r="BS17" i="7"/>
  <c r="BU17" i="7"/>
  <c r="BU62" i="7"/>
  <c r="BS62" i="7"/>
  <c r="BS72" i="7"/>
  <c r="BU72" i="7"/>
  <c r="BU31" i="7"/>
  <c r="BS31" i="7"/>
  <c r="BL30" i="7"/>
  <c r="BO20" i="7" s="1"/>
  <c r="BN30" i="7"/>
  <c r="BO8" i="7" s="1"/>
  <c r="BO18" i="7"/>
  <c r="BU56" i="7"/>
  <c r="BS56" i="7"/>
  <c r="BS57" i="7"/>
  <c r="BU57" i="7"/>
  <c r="BU73" i="7"/>
  <c r="BS73" i="7"/>
  <c r="BS76" i="7"/>
  <c r="BU76" i="7"/>
  <c r="BN34" i="7"/>
  <c r="BL34" i="7"/>
  <c r="BO22" i="7" s="1"/>
  <c r="BO48" i="7"/>
  <c r="BU3" i="7"/>
  <c r="BS3" i="7"/>
  <c r="BL21" i="7"/>
  <c r="BN21" i="7"/>
  <c r="BO2" i="7" s="1"/>
  <c r="BU10" i="7"/>
  <c r="BS10" i="7"/>
  <c r="BU69" i="7"/>
  <c r="BS69" i="7"/>
  <c r="BU71" i="7"/>
  <c r="BS71" i="7"/>
  <c r="BN4" i="7"/>
  <c r="BL4" i="7"/>
  <c r="BU59" i="7"/>
  <c r="BS59" i="7"/>
  <c r="BS68" i="7"/>
  <c r="BU68" i="7"/>
  <c r="BS53" i="7"/>
  <c r="BU53" i="7"/>
  <c r="BL7" i="7"/>
  <c r="BN7" i="7"/>
  <c r="BL14" i="7"/>
  <c r="BN14" i="7"/>
  <c r="BU75" i="7"/>
  <c r="BS75" i="7"/>
  <c r="BS70" i="7"/>
  <c r="BU70" i="7"/>
  <c r="BS9" i="7"/>
  <c r="BU9" i="7"/>
  <c r="BN5" i="7"/>
  <c r="BL5" i="7"/>
  <c r="BL37" i="7"/>
  <c r="BN37" i="7"/>
  <c r="BO14" i="7" s="1"/>
  <c r="BN24" i="7"/>
  <c r="BO7" i="7" s="1"/>
  <c r="BL24" i="7"/>
  <c r="BU64" i="7"/>
  <c r="BS64" i="7"/>
  <c r="BS61" i="7"/>
  <c r="BU61" i="7"/>
  <c r="BU74" i="7"/>
  <c r="BS74" i="7"/>
  <c r="BN19" i="7"/>
  <c r="BL19" i="7"/>
  <c r="BO25" i="7"/>
  <c r="BN46" i="7"/>
  <c r="BO33" i="7" s="1"/>
  <c r="BL46" i="7"/>
  <c r="BO34" i="7" s="1"/>
  <c r="BU36" i="7"/>
  <c r="BS36" i="7"/>
  <c r="BV23" i="7" s="1"/>
  <c r="BU54" i="7"/>
  <c r="BS54" i="7"/>
  <c r="BU67" i="7"/>
  <c r="BS67" i="7"/>
  <c r="BU58" i="7"/>
  <c r="BS58" i="7"/>
  <c r="BS65" i="7"/>
  <c r="BU65" i="7"/>
  <c r="BU60" i="7"/>
  <c r="BS60" i="7"/>
  <c r="BS66" i="7"/>
  <c r="BU66" i="7"/>
  <c r="BS5" i="7"/>
  <c r="BU5" i="7"/>
  <c r="BU63" i="7"/>
  <c r="BS63" i="7"/>
  <c r="BN18" i="7"/>
  <c r="BL18" i="7"/>
  <c r="BU28" i="7"/>
  <c r="BV10" i="7" s="1"/>
  <c r="BS28" i="7"/>
  <c r="BL25" i="7"/>
  <c r="BN25" i="7"/>
  <c r="BO6" i="7" s="1"/>
  <c r="BV53" i="7"/>
  <c r="BV107" i="7"/>
  <c r="BV99" i="7"/>
  <c r="BV117" i="7"/>
  <c r="BV77" i="7"/>
  <c r="BV100" i="7"/>
  <c r="BV69" i="7"/>
  <c r="BV68" i="7"/>
  <c r="BV106" i="7"/>
  <c r="BV101" i="7"/>
  <c r="BV96" i="7"/>
  <c r="BV102" i="7"/>
  <c r="BV114" i="7"/>
  <c r="BV87" i="7"/>
  <c r="BV81" i="7"/>
  <c r="BV91" i="7"/>
  <c r="BV82" i="7"/>
  <c r="BV118" i="7"/>
  <c r="BV79" i="7"/>
  <c r="BV113" i="7"/>
  <c r="BV111" i="7"/>
  <c r="BV90" i="7"/>
  <c r="BV112" i="7"/>
  <c r="BV84" i="7"/>
  <c r="BV83" i="7"/>
  <c r="BV92" i="7"/>
  <c r="BV73" i="7"/>
  <c r="BV66" i="7"/>
  <c r="BV59" i="7"/>
  <c r="BV105" i="7"/>
  <c r="BV97" i="7"/>
  <c r="BV93" i="7"/>
  <c r="BV104" i="7"/>
  <c r="BV110" i="7"/>
  <c r="BV109" i="7"/>
  <c r="BV80" i="7"/>
  <c r="BV86" i="7"/>
  <c r="BV74" i="7"/>
  <c r="BV95" i="7"/>
  <c r="BV65" i="7"/>
  <c r="BV116" i="7"/>
  <c r="BV115" i="7"/>
  <c r="BV108" i="7"/>
  <c r="BV58" i="7"/>
  <c r="BV98" i="7"/>
  <c r="BV103" i="7"/>
  <c r="BV89" i="7"/>
  <c r="BV94" i="7"/>
  <c r="BV67" i="7"/>
  <c r="BV85" i="7"/>
  <c r="BV75" i="7"/>
  <c r="BV71" i="7"/>
  <c r="BV70" i="7"/>
  <c r="BV88" i="7"/>
  <c r="BV56" i="7"/>
  <c r="BV61" i="7"/>
  <c r="BV78" i="7"/>
  <c r="BV76" i="7"/>
  <c r="BV72" i="7"/>
  <c r="BV55" i="7"/>
  <c r="BV64" i="7"/>
  <c r="CA53" i="7"/>
  <c r="BV62" i="7"/>
  <c r="BV57" i="7"/>
  <c r="BV60" i="7"/>
  <c r="BV63" i="7"/>
  <c r="BV54" i="7"/>
  <c r="BU55" i="7"/>
  <c r="BS55" i="7"/>
  <c r="BL48" i="7"/>
  <c r="BO38" i="7" s="1"/>
  <c r="BN48" i="7"/>
  <c r="BL22" i="7"/>
  <c r="BO13" i="7" s="1"/>
  <c r="BN22" i="7"/>
  <c r="BO4" i="7" s="1"/>
  <c r="BO46" i="7"/>
  <c r="W45" i="7" l="1"/>
  <c r="R49" i="11" s="1"/>
  <c r="W49" i="7"/>
  <c r="R53" i="11" s="1"/>
  <c r="W51" i="7"/>
  <c r="R55" i="11" s="1"/>
  <c r="W46" i="7"/>
  <c r="R50" i="11" s="1"/>
  <c r="W50" i="7"/>
  <c r="R54" i="11" s="1"/>
  <c r="W52" i="7"/>
  <c r="R56" i="11" s="1"/>
  <c r="R46" i="11"/>
  <c r="W43" i="7"/>
  <c r="R47" i="11" s="1"/>
  <c r="W47" i="7"/>
  <c r="R51" i="11" s="1"/>
  <c r="W48" i="7"/>
  <c r="R52" i="11" s="1"/>
  <c r="BS26" i="7"/>
  <c r="BV16" i="7" s="1"/>
  <c r="CB16" i="7" s="1"/>
  <c r="BO41" i="7"/>
  <c r="BU41" i="7" s="1"/>
  <c r="BS19" i="7"/>
  <c r="BO12" i="7"/>
  <c r="BS12" i="7" s="1"/>
  <c r="BO37" i="7"/>
  <c r="BU37" i="7" s="1"/>
  <c r="BV14" i="7" s="1"/>
  <c r="BU32" i="7"/>
  <c r="BV18" i="7" s="1"/>
  <c r="CB18" i="7" s="1"/>
  <c r="BN13" i="7"/>
  <c r="BU23" i="7"/>
  <c r="BV3" i="7" s="1"/>
  <c r="CB3" i="7" s="1"/>
  <c r="BU39" i="7"/>
  <c r="BV27" i="7" s="1"/>
  <c r="BZ27" i="7" s="1"/>
  <c r="CC17" i="7" s="1"/>
  <c r="BS50" i="7"/>
  <c r="BV40" i="7" s="1"/>
  <c r="BZ40" i="7" s="1"/>
  <c r="CC28" i="7" s="1"/>
  <c r="BS40" i="7"/>
  <c r="BV28" i="7" s="1"/>
  <c r="CB28" i="7" s="1"/>
  <c r="CC10" i="7" s="1"/>
  <c r="BL38" i="7"/>
  <c r="BO24" i="7" s="1"/>
  <c r="BS24" i="7" s="1"/>
  <c r="BN15" i="7"/>
  <c r="BV50" i="7"/>
  <c r="BZ50" i="7" s="1"/>
  <c r="CC40" i="7" s="1"/>
  <c r="BU44" i="7"/>
  <c r="BV32" i="7" s="1"/>
  <c r="BZ32" i="7" s="1"/>
  <c r="BU49" i="7"/>
  <c r="BV49" i="7"/>
  <c r="CB49" i="7" s="1"/>
  <c r="BO11" i="7"/>
  <c r="BS11" i="7" s="1"/>
  <c r="BS35" i="7"/>
  <c r="BN11" i="7"/>
  <c r="BS43" i="7"/>
  <c r="BV36" i="7" s="1"/>
  <c r="CB36" i="7" s="1"/>
  <c r="BU52" i="7"/>
  <c r="BV45" i="7"/>
  <c r="CB45" i="7" s="1"/>
  <c r="CC35" i="7" s="1"/>
  <c r="BV43" i="7"/>
  <c r="CB43" i="7" s="1"/>
  <c r="BS45" i="7"/>
  <c r="BV44" i="7"/>
  <c r="CB44" i="7" s="1"/>
  <c r="CC32" i="7" s="1"/>
  <c r="BV47" i="7"/>
  <c r="CB47" i="7" s="1"/>
  <c r="BS47" i="7"/>
  <c r="BS16" i="7"/>
  <c r="BV30" i="7"/>
  <c r="BZ30" i="7" s="1"/>
  <c r="CC20" i="7" s="1"/>
  <c r="BV52" i="7"/>
  <c r="CB52" i="7" s="1"/>
  <c r="BO15" i="7"/>
  <c r="BS15" i="7" s="1"/>
  <c r="BS51" i="7"/>
  <c r="BV41" i="7" s="1"/>
  <c r="BU42" i="7"/>
  <c r="BV48" i="7"/>
  <c r="CB48" i="7" s="1"/>
  <c r="BV51" i="7"/>
  <c r="BZ51" i="7" s="1"/>
  <c r="BV25" i="7"/>
  <c r="CB25" i="7" s="1"/>
  <c r="CC6" i="7" s="1"/>
  <c r="BV42" i="7"/>
  <c r="BZ42" i="7" s="1"/>
  <c r="BS33" i="7"/>
  <c r="BV21" i="7" s="1"/>
  <c r="BU33" i="7"/>
  <c r="BS14" i="7"/>
  <c r="BU14" i="7"/>
  <c r="CB61" i="7"/>
  <c r="BZ61" i="7"/>
  <c r="BZ84" i="7"/>
  <c r="CB84" i="7"/>
  <c r="BZ95" i="7"/>
  <c r="CB95" i="7"/>
  <c r="BS4" i="7"/>
  <c r="BU4" i="7"/>
  <c r="CC102" i="7"/>
  <c r="CC82" i="7"/>
  <c r="CC114" i="7"/>
  <c r="CC88" i="7"/>
  <c r="CC113" i="7"/>
  <c r="CC87" i="7"/>
  <c r="CC112" i="7"/>
  <c r="CC79" i="7"/>
  <c r="CC99" i="7"/>
  <c r="CC118" i="7"/>
  <c r="CC65" i="7"/>
  <c r="CC92" i="7"/>
  <c r="CC83" i="7"/>
  <c r="CC105" i="7"/>
  <c r="CC108" i="7"/>
  <c r="CC78" i="7"/>
  <c r="CC109" i="7"/>
  <c r="CC89" i="7"/>
  <c r="CC94" i="7"/>
  <c r="CC117" i="7"/>
  <c r="CC111" i="7"/>
  <c r="CC100" i="7"/>
  <c r="CC86" i="7"/>
  <c r="CC95" i="7"/>
  <c r="CC116" i="7"/>
  <c r="CC72" i="7"/>
  <c r="CC104" i="7"/>
  <c r="CC96" i="7"/>
  <c r="CC80" i="7"/>
  <c r="CC110" i="7"/>
  <c r="CC101" i="7"/>
  <c r="CC66" i="7"/>
  <c r="CH53" i="7"/>
  <c r="CC106" i="7"/>
  <c r="CC58" i="7"/>
  <c r="CC107" i="7"/>
  <c r="CC97" i="7"/>
  <c r="CC74" i="7"/>
  <c r="CC75" i="7"/>
  <c r="CC84" i="7"/>
  <c r="CC115" i="7"/>
  <c r="CC77" i="7"/>
  <c r="CC98" i="7"/>
  <c r="CC103" i="7"/>
  <c r="CC69" i="7"/>
  <c r="CC59" i="7"/>
  <c r="CC67" i="7"/>
  <c r="CC93" i="7"/>
  <c r="CC70" i="7"/>
  <c r="CC64" i="7"/>
  <c r="CC53" i="7"/>
  <c r="CC68" i="7"/>
  <c r="CC91" i="7"/>
  <c r="CC73" i="7"/>
  <c r="CC81" i="7"/>
  <c r="CC60" i="7"/>
  <c r="CC61" i="7"/>
  <c r="CC71" i="7"/>
  <c r="CC76" i="7"/>
  <c r="CC55" i="7"/>
  <c r="CC63" i="7"/>
  <c r="CC54" i="7"/>
  <c r="CC56" i="7"/>
  <c r="CC85" i="7"/>
  <c r="CC62" i="7"/>
  <c r="CC57" i="7"/>
  <c r="CC90" i="7"/>
  <c r="BZ88" i="7"/>
  <c r="CB88" i="7"/>
  <c r="BZ103" i="7"/>
  <c r="CB103" i="7"/>
  <c r="CB74" i="7"/>
  <c r="BZ74" i="7"/>
  <c r="BZ105" i="7"/>
  <c r="CB105" i="7"/>
  <c r="CB90" i="7"/>
  <c r="BZ90" i="7"/>
  <c r="CB87" i="7"/>
  <c r="BZ87" i="7"/>
  <c r="BZ100" i="7"/>
  <c r="CB100" i="7"/>
  <c r="BZ10" i="7"/>
  <c r="CB10" i="7"/>
  <c r="CB35" i="7"/>
  <c r="BZ35" i="7"/>
  <c r="CB39" i="7"/>
  <c r="CC27" i="7" s="1"/>
  <c r="BZ39" i="7"/>
  <c r="CC26" i="7" s="1"/>
  <c r="BS2" i="7"/>
  <c r="BU2" i="7"/>
  <c r="BV46" i="7"/>
  <c r="CB26" i="7"/>
  <c r="CC9" i="7" s="1"/>
  <c r="BZ26" i="7"/>
  <c r="CB94" i="7"/>
  <c r="BZ94" i="7"/>
  <c r="BZ91" i="7"/>
  <c r="CB91" i="7"/>
  <c r="BU30" i="7"/>
  <c r="BV8" i="7" s="1"/>
  <c r="BS30" i="7"/>
  <c r="BV20" i="7" s="1"/>
  <c r="BZ56" i="7"/>
  <c r="CB56" i="7"/>
  <c r="CB112" i="7"/>
  <c r="BZ112" i="7"/>
  <c r="BU7" i="7"/>
  <c r="BS7" i="7"/>
  <c r="BS18" i="7"/>
  <c r="BU18" i="7"/>
  <c r="CB70" i="7"/>
  <c r="BZ70" i="7"/>
  <c r="CB98" i="7"/>
  <c r="BZ98" i="7"/>
  <c r="BZ86" i="7"/>
  <c r="CB86" i="7"/>
  <c r="CB59" i="7"/>
  <c r="BZ59" i="7"/>
  <c r="CB111" i="7"/>
  <c r="BZ111" i="7"/>
  <c r="CB114" i="7"/>
  <c r="BZ114" i="7"/>
  <c r="CB77" i="7"/>
  <c r="BZ77" i="7"/>
  <c r="CB9" i="7"/>
  <c r="BZ9" i="7"/>
  <c r="CB31" i="7"/>
  <c r="BZ31" i="7"/>
  <c r="BZ71" i="7"/>
  <c r="CB71" i="7"/>
  <c r="CB80" i="7"/>
  <c r="BZ80" i="7"/>
  <c r="CB113" i="7"/>
  <c r="BZ113" i="7"/>
  <c r="BZ102" i="7"/>
  <c r="CB102" i="7"/>
  <c r="BZ117" i="7"/>
  <c r="CB117" i="7"/>
  <c r="BZ23" i="7"/>
  <c r="CB23" i="7"/>
  <c r="CC3" i="7" s="1"/>
  <c r="BS21" i="7"/>
  <c r="BU21" i="7"/>
  <c r="BV2" i="7" s="1"/>
  <c r="BZ65" i="7"/>
  <c r="CB65" i="7"/>
  <c r="BS20" i="7"/>
  <c r="BU20" i="7"/>
  <c r="CB62" i="7"/>
  <c r="BZ62" i="7"/>
  <c r="CB97" i="7"/>
  <c r="BZ97" i="7"/>
  <c r="BS25" i="7"/>
  <c r="BV12" i="7" s="1"/>
  <c r="BU25" i="7"/>
  <c r="BV6" i="7" s="1"/>
  <c r="BS22" i="7"/>
  <c r="BU22" i="7"/>
  <c r="BV4" i="7" s="1"/>
  <c r="BZ17" i="7"/>
  <c r="CB17" i="7"/>
  <c r="CB55" i="7"/>
  <c r="BZ55" i="7"/>
  <c r="BZ58" i="7"/>
  <c r="CB58" i="7"/>
  <c r="CB66" i="7"/>
  <c r="BZ66" i="7"/>
  <c r="CB54" i="7"/>
  <c r="BZ54" i="7"/>
  <c r="BZ72" i="7"/>
  <c r="CB72" i="7"/>
  <c r="CB75" i="7"/>
  <c r="BZ75" i="7"/>
  <c r="CB108" i="7"/>
  <c r="BZ108" i="7"/>
  <c r="CB109" i="7"/>
  <c r="BZ109" i="7"/>
  <c r="BZ73" i="7"/>
  <c r="CB73" i="7"/>
  <c r="BZ79" i="7"/>
  <c r="CB79" i="7"/>
  <c r="CB96" i="7"/>
  <c r="BZ96" i="7"/>
  <c r="CB99" i="7"/>
  <c r="BZ99" i="7"/>
  <c r="BS6" i="7"/>
  <c r="BU6" i="7"/>
  <c r="CB57" i="7"/>
  <c r="BZ57" i="7"/>
  <c r="BZ93" i="7"/>
  <c r="CB93" i="7"/>
  <c r="CB68" i="7"/>
  <c r="BZ68" i="7"/>
  <c r="BS48" i="7"/>
  <c r="BV38" i="7" s="1"/>
  <c r="BU48" i="7"/>
  <c r="BZ89" i="7"/>
  <c r="CB89" i="7"/>
  <c r="BZ81" i="7"/>
  <c r="CB81" i="7"/>
  <c r="CB69" i="7"/>
  <c r="BZ69" i="7"/>
  <c r="BU13" i="7"/>
  <c r="BS13" i="7"/>
  <c r="BZ64" i="7"/>
  <c r="CB64" i="7"/>
  <c r="CB63" i="7"/>
  <c r="BZ63" i="7"/>
  <c r="CB76" i="7"/>
  <c r="BZ76" i="7"/>
  <c r="CB85" i="7"/>
  <c r="BZ85" i="7"/>
  <c r="CB115" i="7"/>
  <c r="BZ115" i="7"/>
  <c r="CB110" i="7"/>
  <c r="BZ110" i="7"/>
  <c r="BZ92" i="7"/>
  <c r="CB92" i="7"/>
  <c r="BZ118" i="7"/>
  <c r="CB118" i="7"/>
  <c r="CB101" i="7"/>
  <c r="BZ101" i="7"/>
  <c r="CB107" i="7"/>
  <c r="BZ107" i="7"/>
  <c r="BU29" i="7"/>
  <c r="BV5" i="7" s="1"/>
  <c r="BS29" i="7"/>
  <c r="BV19" i="7" s="1"/>
  <c r="BU46" i="7"/>
  <c r="BS46" i="7"/>
  <c r="BS38" i="7"/>
  <c r="BU38" i="7"/>
  <c r="CB60" i="7"/>
  <c r="BZ60" i="7"/>
  <c r="BZ78" i="7"/>
  <c r="CB78" i="7"/>
  <c r="BZ67" i="7"/>
  <c r="CB67" i="7"/>
  <c r="CB116" i="7"/>
  <c r="BZ116" i="7"/>
  <c r="CB104" i="7"/>
  <c r="BZ104" i="7"/>
  <c r="CB83" i="7"/>
  <c r="BZ83" i="7"/>
  <c r="CB82" i="7"/>
  <c r="BZ82" i="7"/>
  <c r="CB106" i="7"/>
  <c r="BZ106" i="7"/>
  <c r="BZ53" i="7"/>
  <c r="CB53" i="7"/>
  <c r="BU34" i="7"/>
  <c r="BS34" i="7"/>
  <c r="BS8" i="7"/>
  <c r="BU8" i="7"/>
  <c r="W60" i="7" l="1"/>
  <c r="R64" i="11" s="1"/>
  <c r="W55" i="7"/>
  <c r="R59" i="11" s="1"/>
  <c r="W56" i="7"/>
  <c r="R60" i="11" s="1"/>
  <c r="W64" i="7"/>
  <c r="R68" i="11" s="1"/>
  <c r="W61" i="7"/>
  <c r="R65" i="11" s="1"/>
  <c r="W53" i="7"/>
  <c r="R57" i="11" s="1"/>
  <c r="W63" i="7"/>
  <c r="R67" i="11" s="1"/>
  <c r="W58" i="7"/>
  <c r="R62" i="11" s="1"/>
  <c r="W62" i="7"/>
  <c r="R66" i="11" s="1"/>
  <c r="W57" i="7"/>
  <c r="R61" i="11" s="1"/>
  <c r="W59" i="7"/>
  <c r="R63" i="11" s="1"/>
  <c r="W54" i="7"/>
  <c r="R58" i="11" s="1"/>
  <c r="BU12" i="7"/>
  <c r="BS37" i="7"/>
  <c r="BV24" i="7" s="1"/>
  <c r="CB24" i="7" s="1"/>
  <c r="CC7" i="7" s="1"/>
  <c r="BS41" i="7"/>
  <c r="BV29" i="7" s="1"/>
  <c r="BZ29" i="7" s="1"/>
  <c r="CC19" i="7" s="1"/>
  <c r="CI19" i="7" s="1"/>
  <c r="BZ3" i="7"/>
  <c r="CB40" i="7"/>
  <c r="CC30" i="7" s="1"/>
  <c r="BV22" i="7"/>
  <c r="BZ22" i="7" s="1"/>
  <c r="BZ28" i="7"/>
  <c r="CB50" i="7"/>
  <c r="CB32" i="7"/>
  <c r="CB27" i="7"/>
  <c r="CC16" i="7" s="1"/>
  <c r="BZ16" i="7"/>
  <c r="BZ36" i="7"/>
  <c r="CC23" i="7" s="1"/>
  <c r="CG23" i="7" s="1"/>
  <c r="BV34" i="7"/>
  <c r="BZ34" i="7" s="1"/>
  <c r="CC22" i="7" s="1"/>
  <c r="BZ49" i="7"/>
  <c r="CC39" i="7" s="1"/>
  <c r="CI39" i="7" s="1"/>
  <c r="CJ27" i="7" s="1"/>
  <c r="AD27" i="7" s="1"/>
  <c r="BU11" i="7"/>
  <c r="BZ43" i="7"/>
  <c r="CC36" i="7" s="1"/>
  <c r="CI36" i="7" s="1"/>
  <c r="CC43" i="7"/>
  <c r="CI43" i="7" s="1"/>
  <c r="BV33" i="7"/>
  <c r="CB33" i="7" s="1"/>
  <c r="CC50" i="7"/>
  <c r="CG50" i="7" s="1"/>
  <c r="CJ40" i="7" s="1"/>
  <c r="AD40" i="7" s="1"/>
  <c r="CC49" i="7"/>
  <c r="CI49" i="7" s="1"/>
  <c r="BZ52" i="7"/>
  <c r="BZ47" i="7"/>
  <c r="CC37" i="7" s="1"/>
  <c r="BZ45" i="7"/>
  <c r="BZ44" i="7"/>
  <c r="CC31" i="7" s="1"/>
  <c r="CG31" i="7" s="1"/>
  <c r="BZ18" i="7"/>
  <c r="CC45" i="7"/>
  <c r="CI45" i="7" s="1"/>
  <c r="CJ35" i="7" s="1"/>
  <c r="AD35" i="7" s="1"/>
  <c r="BV37" i="7"/>
  <c r="CB37" i="7" s="1"/>
  <c r="CC14" i="7" s="1"/>
  <c r="CC44" i="7"/>
  <c r="CI44" i="7" s="1"/>
  <c r="CJ32" i="7" s="1"/>
  <c r="AD32" i="7" s="1"/>
  <c r="CC47" i="7"/>
  <c r="CI47" i="7" s="1"/>
  <c r="CB30" i="7"/>
  <c r="CC8" i="7" s="1"/>
  <c r="CG8" i="7" s="1"/>
  <c r="BU15" i="7"/>
  <c r="BU24" i="7"/>
  <c r="BV7" i="7" s="1"/>
  <c r="CB7" i="7" s="1"/>
  <c r="BZ48" i="7"/>
  <c r="CC38" i="7" s="1"/>
  <c r="CB41" i="7"/>
  <c r="BZ41" i="7"/>
  <c r="CC29" i="7" s="1"/>
  <c r="CI29" i="7" s="1"/>
  <c r="CJ5" i="7" s="1"/>
  <c r="CB51" i="7"/>
  <c r="CC48" i="7"/>
  <c r="CG48" i="7" s="1"/>
  <c r="BZ25" i="7"/>
  <c r="CC12" i="7" s="1"/>
  <c r="CC46" i="7"/>
  <c r="CI46" i="7" s="1"/>
  <c r="BV13" i="7"/>
  <c r="CB13" i="7" s="1"/>
  <c r="CC52" i="7"/>
  <c r="CG52" i="7" s="1"/>
  <c r="CB42" i="7"/>
  <c r="CC51" i="7"/>
  <c r="CI51" i="7" s="1"/>
  <c r="BZ14" i="7"/>
  <c r="CB14" i="7"/>
  <c r="CI40" i="7"/>
  <c r="CG40" i="7"/>
  <c r="CJ28" i="7" s="1"/>
  <c r="AD28" i="7" s="1"/>
  <c r="CI9" i="7"/>
  <c r="CG9" i="7"/>
  <c r="CI61" i="7"/>
  <c r="CG61" i="7"/>
  <c r="CG109" i="7"/>
  <c r="CI109" i="7"/>
  <c r="CB19" i="7"/>
  <c r="BZ19" i="7"/>
  <c r="BZ4" i="7"/>
  <c r="CB4" i="7"/>
  <c r="CB2" i="7"/>
  <c r="BZ2" i="7"/>
  <c r="BZ46" i="7"/>
  <c r="CC34" i="7" s="1"/>
  <c r="CB46" i="7"/>
  <c r="CI85" i="7"/>
  <c r="CG85" i="7"/>
  <c r="CI60" i="7"/>
  <c r="CG60" i="7"/>
  <c r="CG93" i="7"/>
  <c r="CI93" i="7"/>
  <c r="CG84" i="7"/>
  <c r="CI84" i="7"/>
  <c r="CG66" i="7"/>
  <c r="CI66" i="7"/>
  <c r="CI95" i="7"/>
  <c r="CG95" i="7"/>
  <c r="CG78" i="7"/>
  <c r="CI78" i="7"/>
  <c r="CG79" i="7"/>
  <c r="CI79" i="7"/>
  <c r="CB5" i="7"/>
  <c r="BZ5" i="7"/>
  <c r="BV11" i="7"/>
  <c r="CG6" i="7"/>
  <c r="CI6" i="7"/>
  <c r="CG56" i="7"/>
  <c r="CI56" i="7"/>
  <c r="CI81" i="7"/>
  <c r="CG81" i="7"/>
  <c r="CI67" i="7"/>
  <c r="CG67" i="7"/>
  <c r="CI75" i="7"/>
  <c r="CG75" i="7"/>
  <c r="CI101" i="7"/>
  <c r="CG101" i="7"/>
  <c r="CI86" i="7"/>
  <c r="CG86" i="7"/>
  <c r="CI108" i="7"/>
  <c r="CG108" i="7"/>
  <c r="CI112" i="7"/>
  <c r="CG112" i="7"/>
  <c r="CC25" i="7"/>
  <c r="CI35" i="7"/>
  <c r="CG35" i="7"/>
  <c r="CG116" i="7"/>
  <c r="CI116" i="7"/>
  <c r="CG32" i="7"/>
  <c r="CI32" i="7"/>
  <c r="CI54" i="7"/>
  <c r="CG54" i="7"/>
  <c r="CI73" i="7"/>
  <c r="CG73" i="7"/>
  <c r="CG59" i="7"/>
  <c r="CI59" i="7"/>
  <c r="CG74" i="7"/>
  <c r="CI74" i="7"/>
  <c r="CG110" i="7"/>
  <c r="CI110" i="7"/>
  <c r="CG100" i="7"/>
  <c r="CI100" i="7"/>
  <c r="CG105" i="7"/>
  <c r="CI105" i="7"/>
  <c r="CI87" i="7"/>
  <c r="CG87" i="7"/>
  <c r="BV15" i="7"/>
  <c r="BZ20" i="7"/>
  <c r="CB20" i="7"/>
  <c r="CI63" i="7"/>
  <c r="CG63" i="7"/>
  <c r="CI91" i="7"/>
  <c r="CG91" i="7"/>
  <c r="CG69" i="7"/>
  <c r="CI69" i="7"/>
  <c r="CG97" i="7"/>
  <c r="CI97" i="7"/>
  <c r="CG80" i="7"/>
  <c r="CI80" i="7"/>
  <c r="CI111" i="7"/>
  <c r="CG111" i="7"/>
  <c r="CI83" i="7"/>
  <c r="CG83" i="7"/>
  <c r="CI113" i="7"/>
  <c r="CG113" i="7"/>
  <c r="CI27" i="7"/>
  <c r="CG27" i="7"/>
  <c r="CJ17" i="7" s="1"/>
  <c r="AD17" i="7" s="1"/>
  <c r="CG62" i="7"/>
  <c r="CI62" i="7"/>
  <c r="CG115" i="7"/>
  <c r="CI115" i="7"/>
  <c r="CJ84" i="7"/>
  <c r="CJ118" i="7"/>
  <c r="CJ117" i="7"/>
  <c r="CJ86" i="7"/>
  <c r="CJ70" i="7"/>
  <c r="CJ75" i="7"/>
  <c r="CJ77" i="7"/>
  <c r="CJ60" i="7"/>
  <c r="AD60" i="7" s="1"/>
  <c r="CJ108" i="7"/>
  <c r="CJ103" i="7"/>
  <c r="CJ115" i="7"/>
  <c r="CJ69" i="7"/>
  <c r="CJ67" i="7"/>
  <c r="CJ101" i="7"/>
  <c r="CJ92" i="7"/>
  <c r="CJ64" i="7"/>
  <c r="AD64" i="7" s="1"/>
  <c r="CJ74" i="7"/>
  <c r="CJ73" i="7"/>
  <c r="CJ72" i="7"/>
  <c r="CJ76" i="7"/>
  <c r="CJ81" i="7"/>
  <c r="CJ112" i="7"/>
  <c r="CJ71" i="7"/>
  <c r="CJ53" i="7"/>
  <c r="AD53" i="7" s="1"/>
  <c r="CJ54" i="7"/>
  <c r="AD54" i="7" s="1"/>
  <c r="CJ93" i="7"/>
  <c r="CJ88" i="7"/>
  <c r="CJ68" i="7"/>
  <c r="CJ94" i="7"/>
  <c r="CJ65" i="7"/>
  <c r="CJ114" i="7"/>
  <c r="CJ89" i="7"/>
  <c r="CJ83" i="7"/>
  <c r="CJ66" i="7"/>
  <c r="CJ104" i="7"/>
  <c r="CJ56" i="7"/>
  <c r="AD56" i="7" s="1"/>
  <c r="CJ105" i="7"/>
  <c r="CJ78" i="7"/>
  <c r="CJ59" i="7"/>
  <c r="AD59" i="7" s="1"/>
  <c r="CJ90" i="7"/>
  <c r="CJ102" i="7"/>
  <c r="CJ107" i="7"/>
  <c r="CJ57" i="7"/>
  <c r="AD57" i="7" s="1"/>
  <c r="CJ106" i="7"/>
  <c r="CJ99" i="7"/>
  <c r="CJ95" i="7"/>
  <c r="CJ96" i="7"/>
  <c r="CJ111" i="7"/>
  <c r="CJ113" i="7"/>
  <c r="CJ62" i="7"/>
  <c r="AD62" i="7" s="1"/>
  <c r="CJ80" i="7"/>
  <c r="CJ79" i="7"/>
  <c r="CJ110" i="7"/>
  <c r="CJ63" i="7"/>
  <c r="AD63" i="7" s="1"/>
  <c r="CJ98" i="7"/>
  <c r="CJ82" i="7"/>
  <c r="CJ58" i="7"/>
  <c r="AD58" i="7" s="1"/>
  <c r="CJ109" i="7"/>
  <c r="CJ55" i="7"/>
  <c r="AD55" i="7" s="1"/>
  <c r="CJ116" i="7"/>
  <c r="CJ100" i="7"/>
  <c r="CJ61" i="7"/>
  <c r="AD61" i="7" s="1"/>
  <c r="CJ87" i="7"/>
  <c r="CJ91" i="7"/>
  <c r="CJ97" i="7"/>
  <c r="CJ85" i="7"/>
  <c r="CB6" i="7"/>
  <c r="BZ6" i="7"/>
  <c r="CI20" i="7"/>
  <c r="CG20" i="7"/>
  <c r="CI55" i="7"/>
  <c r="CG55" i="7"/>
  <c r="CI103" i="7"/>
  <c r="CG103" i="7"/>
  <c r="CI96" i="7"/>
  <c r="CG96" i="7"/>
  <c r="CG92" i="7"/>
  <c r="CI92" i="7"/>
  <c r="CI88" i="7"/>
  <c r="CG88" i="7"/>
  <c r="CB12" i="7"/>
  <c r="BZ12" i="7"/>
  <c r="CG17" i="7"/>
  <c r="CI17" i="7"/>
  <c r="CI90" i="7"/>
  <c r="CG90" i="7"/>
  <c r="CG76" i="7"/>
  <c r="CI76" i="7"/>
  <c r="CI53" i="7"/>
  <c r="CG53" i="7"/>
  <c r="CI98" i="7"/>
  <c r="CG98" i="7"/>
  <c r="CI58" i="7"/>
  <c r="CG58" i="7"/>
  <c r="CI104" i="7"/>
  <c r="CG104" i="7"/>
  <c r="CG94" i="7"/>
  <c r="CI94" i="7"/>
  <c r="CI65" i="7"/>
  <c r="CG65" i="7"/>
  <c r="CI114" i="7"/>
  <c r="CG114" i="7"/>
  <c r="CC41" i="7"/>
  <c r="CG10" i="7"/>
  <c r="CI10" i="7"/>
  <c r="CG70" i="7"/>
  <c r="CI70" i="7"/>
  <c r="CG99" i="7"/>
  <c r="CI99" i="7"/>
  <c r="CI102" i="7"/>
  <c r="CG102" i="7"/>
  <c r="CB38" i="7"/>
  <c r="BZ38" i="7"/>
  <c r="CB8" i="7"/>
  <c r="BZ8" i="7"/>
  <c r="CG68" i="7"/>
  <c r="CI68" i="7"/>
  <c r="CG107" i="7"/>
  <c r="CI107" i="7"/>
  <c r="CG117" i="7"/>
  <c r="CI117" i="7"/>
  <c r="CI28" i="7"/>
  <c r="CJ10" i="7" s="1"/>
  <c r="AD10" i="7" s="1"/>
  <c r="V10" i="7" s="1"/>
  <c r="S14" i="11" s="1"/>
  <c r="CG28" i="7"/>
  <c r="CI3" i="7"/>
  <c r="CG3" i="7"/>
  <c r="CG26" i="7"/>
  <c r="CI26" i="7"/>
  <c r="CJ9" i="7" s="1"/>
  <c r="AD9" i="7" s="1"/>
  <c r="V9" i="7" s="1"/>
  <c r="S13" i="11" s="1"/>
  <c r="CG57" i="7"/>
  <c r="CI57" i="7"/>
  <c r="CG71" i="7"/>
  <c r="CI71" i="7"/>
  <c r="CG64" i="7"/>
  <c r="CI64" i="7"/>
  <c r="CG77" i="7"/>
  <c r="CI77" i="7"/>
  <c r="CG106" i="7"/>
  <c r="CI106" i="7"/>
  <c r="CG72" i="7"/>
  <c r="CI72" i="7"/>
  <c r="CI89" i="7"/>
  <c r="CG89" i="7"/>
  <c r="CI118" i="7"/>
  <c r="CG118" i="7"/>
  <c r="CI82" i="7"/>
  <c r="CG82" i="7"/>
  <c r="BZ21" i="7"/>
  <c r="CB21" i="7"/>
  <c r="CC2" i="7" s="1"/>
  <c r="CB29" i="7" l="1"/>
  <c r="CC5" i="7" s="1"/>
  <c r="CI5" i="7" s="1"/>
  <c r="CG19" i="7"/>
  <c r="CB22" i="7"/>
  <c r="CC4" i="7" s="1"/>
  <c r="CG4" i="7" s="1"/>
  <c r="CC18" i="7"/>
  <c r="CI18" i="7" s="1"/>
  <c r="CC42" i="7"/>
  <c r="CG42" i="7" s="1"/>
  <c r="CJ30" i="7" s="1"/>
  <c r="AD30" i="7" s="1"/>
  <c r="CI23" i="7"/>
  <c r="CJ3" i="7" s="1"/>
  <c r="AD3" i="7" s="1"/>
  <c r="V3" i="7" s="1"/>
  <c r="S7" i="11" s="1"/>
  <c r="CG39" i="7"/>
  <c r="CJ26" i="7" s="1"/>
  <c r="AD26" i="7" s="1"/>
  <c r="V26" i="7" s="1"/>
  <c r="S30" i="11" s="1"/>
  <c r="CG43" i="7"/>
  <c r="CJ36" i="7" s="1"/>
  <c r="AD36" i="7" s="1"/>
  <c r="CB34" i="7"/>
  <c r="CC11" i="7" s="1"/>
  <c r="CG11" i="7" s="1"/>
  <c r="CG36" i="7"/>
  <c r="CJ23" i="7" s="1"/>
  <c r="AD23" i="7" s="1"/>
  <c r="V23" i="7" s="1"/>
  <c r="S27" i="11" s="1"/>
  <c r="BZ33" i="7"/>
  <c r="CC21" i="7" s="1"/>
  <c r="CI21" i="7" s="1"/>
  <c r="CJ2" i="7" s="1"/>
  <c r="AD2" i="7" s="1"/>
  <c r="V2" i="7" s="1"/>
  <c r="S6" i="11" s="1"/>
  <c r="CI50" i="7"/>
  <c r="CJ42" i="7" s="1"/>
  <c r="CJ49" i="7"/>
  <c r="AD49" i="7" s="1"/>
  <c r="V49" i="7" s="1"/>
  <c r="S53" i="11" s="1"/>
  <c r="CG49" i="7"/>
  <c r="CJ39" i="7" s="1"/>
  <c r="AD39" i="7" s="1"/>
  <c r="V39" i="7" s="1"/>
  <c r="S43" i="11" s="1"/>
  <c r="CJ43" i="7"/>
  <c r="AD43" i="7" s="1"/>
  <c r="AD97" i="7" s="1"/>
  <c r="V97" i="7" s="1"/>
  <c r="S101" i="11" s="1"/>
  <c r="CJ50" i="7"/>
  <c r="AD50" i="7" s="1"/>
  <c r="V50" i="7" s="1"/>
  <c r="S54" i="11" s="1"/>
  <c r="CI31" i="7"/>
  <c r="CI52" i="7"/>
  <c r="CC33" i="7"/>
  <c r="CI33" i="7" s="1"/>
  <c r="CG45" i="7"/>
  <c r="CJ33" i="7" s="1"/>
  <c r="BZ13" i="7"/>
  <c r="CJ44" i="7"/>
  <c r="AD44" i="7" s="1"/>
  <c r="V44" i="7" s="1"/>
  <c r="S48" i="11" s="1"/>
  <c r="BZ37" i="7"/>
  <c r="CC24" i="7" s="1"/>
  <c r="CJ45" i="7"/>
  <c r="AD45" i="7" s="1"/>
  <c r="V45" i="7" s="1"/>
  <c r="S49" i="11" s="1"/>
  <c r="CG44" i="7"/>
  <c r="CJ31" i="7" s="1"/>
  <c r="AD31" i="7" s="1"/>
  <c r="AD85" i="7" s="1"/>
  <c r="V85" i="7" s="1"/>
  <c r="S89" i="11" s="1"/>
  <c r="CJ47" i="7"/>
  <c r="AD47" i="7" s="1"/>
  <c r="V47" i="7" s="1"/>
  <c r="S51" i="11" s="1"/>
  <c r="CJ52" i="7"/>
  <c r="AD52" i="7" s="1"/>
  <c r="AD106" i="7" s="1"/>
  <c r="V106" i="7" s="1"/>
  <c r="S110" i="11" s="1"/>
  <c r="CG47" i="7"/>
  <c r="CI8" i="7"/>
  <c r="CG46" i="7"/>
  <c r="CJ34" i="7" s="1"/>
  <c r="AD34" i="7" s="1"/>
  <c r="V34" i="7" s="1"/>
  <c r="S38" i="11" s="1"/>
  <c r="BZ7" i="7"/>
  <c r="CJ46" i="7"/>
  <c r="AD46" i="7" s="1"/>
  <c r="AD100" i="7" s="1"/>
  <c r="V100" i="7" s="1"/>
  <c r="S104" i="11" s="1"/>
  <c r="CG51" i="7"/>
  <c r="CJ41" i="7" s="1"/>
  <c r="AD41" i="7" s="1"/>
  <c r="BZ24" i="7"/>
  <c r="CC15" i="7" s="1"/>
  <c r="CG29" i="7"/>
  <c r="CJ19" i="7" s="1"/>
  <c r="AD19" i="7" s="1"/>
  <c r="AD73" i="7" s="1"/>
  <c r="V73" i="7" s="1"/>
  <c r="S77" i="11" s="1"/>
  <c r="CI48" i="7"/>
  <c r="CC13" i="7"/>
  <c r="CI13" i="7" s="1"/>
  <c r="CJ18" i="7"/>
  <c r="CJ48" i="7"/>
  <c r="AD48" i="7" s="1"/>
  <c r="AD102" i="7" s="1"/>
  <c r="V102" i="7" s="1"/>
  <c r="S106" i="11" s="1"/>
  <c r="CJ51" i="7"/>
  <c r="AD51" i="7" s="1"/>
  <c r="V51" i="7" s="1"/>
  <c r="S55" i="11" s="1"/>
  <c r="CJ25" i="7"/>
  <c r="AD25" i="7" s="1"/>
  <c r="AD115" i="7"/>
  <c r="V115" i="7" s="1"/>
  <c r="S119" i="11" s="1"/>
  <c r="V61" i="7"/>
  <c r="S65" i="11" s="1"/>
  <c r="V40" i="7"/>
  <c r="S44" i="11" s="1"/>
  <c r="AD94" i="7"/>
  <c r="V94" i="7" s="1"/>
  <c r="S98" i="11" s="1"/>
  <c r="AD71" i="7"/>
  <c r="V71" i="7" s="1"/>
  <c r="S75" i="11" s="1"/>
  <c r="V17" i="7"/>
  <c r="S21" i="11" s="1"/>
  <c r="CI14" i="7"/>
  <c r="CG14" i="7"/>
  <c r="AD89" i="7"/>
  <c r="V89" i="7" s="1"/>
  <c r="S93" i="11" s="1"/>
  <c r="V35" i="7"/>
  <c r="S39" i="11" s="1"/>
  <c r="V32" i="7"/>
  <c r="S36" i="11" s="1"/>
  <c r="AD86" i="7"/>
  <c r="V86" i="7" s="1"/>
  <c r="S90" i="11" s="1"/>
  <c r="V62" i="7"/>
  <c r="S66" i="11" s="1"/>
  <c r="AD116" i="7"/>
  <c r="V116" i="7" s="1"/>
  <c r="S120" i="11" s="1"/>
  <c r="V56" i="7"/>
  <c r="S60" i="11" s="1"/>
  <c r="AD110" i="7"/>
  <c r="V110" i="7" s="1"/>
  <c r="S114" i="11" s="1"/>
  <c r="V27" i="7"/>
  <c r="S31" i="11" s="1"/>
  <c r="AD81" i="7"/>
  <c r="V81" i="7" s="1"/>
  <c r="S85" i="11" s="1"/>
  <c r="V64" i="7"/>
  <c r="S68" i="11" s="1"/>
  <c r="AD118" i="7"/>
  <c r="V118" i="7" s="1"/>
  <c r="S122" i="11" s="1"/>
  <c r="V57" i="7"/>
  <c r="S61" i="11" s="1"/>
  <c r="AD111" i="7"/>
  <c r="V111" i="7" s="1"/>
  <c r="S115" i="11" s="1"/>
  <c r="CG22" i="7"/>
  <c r="CI22" i="7"/>
  <c r="CJ4" i="7" s="1"/>
  <c r="CI25" i="7"/>
  <c r="CJ6" i="7" s="1"/>
  <c r="AD6" i="7" s="1"/>
  <c r="V6" i="7" s="1"/>
  <c r="S10" i="11" s="1"/>
  <c r="CG25" i="7"/>
  <c r="CI34" i="7"/>
  <c r="CG34" i="7"/>
  <c r="CJ22" i="7" s="1"/>
  <c r="AD22" i="7" s="1"/>
  <c r="CJ38" i="7"/>
  <c r="AD38" i="7" s="1"/>
  <c r="CB15" i="7"/>
  <c r="BZ15" i="7"/>
  <c r="CI37" i="7"/>
  <c r="CJ14" i="7" s="1"/>
  <c r="AD14" i="7" s="1"/>
  <c r="CG37" i="7"/>
  <c r="CI2" i="7"/>
  <c r="CG2" i="7"/>
  <c r="CJ16" i="7"/>
  <c r="AD16" i="7" s="1"/>
  <c r="V53" i="7"/>
  <c r="S57" i="11" s="1"/>
  <c r="AD107" i="7"/>
  <c r="V107" i="7" s="1"/>
  <c r="S111" i="11" s="1"/>
  <c r="CI7" i="7"/>
  <c r="CG7" i="7"/>
  <c r="V55" i="7"/>
  <c r="S59" i="11" s="1"/>
  <c r="AD109" i="7"/>
  <c r="V109" i="7" s="1"/>
  <c r="S113" i="11" s="1"/>
  <c r="AD117" i="7"/>
  <c r="V117" i="7" s="1"/>
  <c r="S121" i="11" s="1"/>
  <c r="V63" i="7"/>
  <c r="S67" i="11" s="1"/>
  <c r="CI41" i="7"/>
  <c r="CG41" i="7"/>
  <c r="CJ29" i="7" s="1"/>
  <c r="AD29" i="7" s="1"/>
  <c r="V58" i="7"/>
  <c r="S62" i="11" s="1"/>
  <c r="AD112" i="7"/>
  <c r="V112" i="7" s="1"/>
  <c r="S116" i="11" s="1"/>
  <c r="V54" i="7"/>
  <c r="S58" i="11" s="1"/>
  <c r="AD108" i="7"/>
  <c r="V108" i="7" s="1"/>
  <c r="S112" i="11" s="1"/>
  <c r="CG38" i="7"/>
  <c r="CI38" i="7"/>
  <c r="CI12" i="7"/>
  <c r="CG12" i="7"/>
  <c r="V60" i="7"/>
  <c r="S64" i="11" s="1"/>
  <c r="AD114" i="7"/>
  <c r="V114" i="7" s="1"/>
  <c r="S118" i="11" s="1"/>
  <c r="V28" i="7"/>
  <c r="S32" i="11" s="1"/>
  <c r="AD82" i="7"/>
  <c r="V82" i="7" s="1"/>
  <c r="S86" i="11" s="1"/>
  <c r="CG16" i="7"/>
  <c r="CI16" i="7"/>
  <c r="CI30" i="7"/>
  <c r="CJ8" i="7" s="1"/>
  <c r="AD8" i="7" s="1"/>
  <c r="V8" i="7" s="1"/>
  <c r="S12" i="11" s="1"/>
  <c r="CG30" i="7"/>
  <c r="CJ20" i="7" s="1"/>
  <c r="AD20" i="7" s="1"/>
  <c r="V59" i="7"/>
  <c r="S63" i="11" s="1"/>
  <c r="AD113" i="7"/>
  <c r="V113" i="7" s="1"/>
  <c r="S117" i="11" s="1"/>
  <c r="CB11" i="7"/>
  <c r="BZ11" i="7"/>
  <c r="CG5" i="7" l="1"/>
  <c r="AD5" i="7"/>
  <c r="V5" i="7" s="1"/>
  <c r="S9" i="11" s="1"/>
  <c r="CG18" i="7"/>
  <c r="AD4" i="7"/>
  <c r="V4" i="7" s="1"/>
  <c r="S8" i="11" s="1"/>
  <c r="CI4" i="7"/>
  <c r="AD18" i="7"/>
  <c r="V18" i="7" s="1"/>
  <c r="S22" i="11" s="1"/>
  <c r="AD42" i="7"/>
  <c r="AD96" i="7" s="1"/>
  <c r="V96" i="7" s="1"/>
  <c r="S100" i="11" s="1"/>
  <c r="CI42" i="7"/>
  <c r="AD80" i="7"/>
  <c r="V80" i="7" s="1"/>
  <c r="S84" i="11" s="1"/>
  <c r="CG33" i="7"/>
  <c r="CJ21" i="7" s="1"/>
  <c r="AD21" i="7" s="1"/>
  <c r="AD90" i="7"/>
  <c r="V90" i="7" s="1"/>
  <c r="S94" i="11" s="1"/>
  <c r="V36" i="7"/>
  <c r="S40" i="11" s="1"/>
  <c r="AD77" i="7"/>
  <c r="V77" i="7" s="1"/>
  <c r="S81" i="11" s="1"/>
  <c r="CG21" i="7"/>
  <c r="CJ11" i="7" s="1"/>
  <c r="AD11" i="7" s="1"/>
  <c r="AD65" i="7" s="1"/>
  <c r="V65" i="7" s="1"/>
  <c r="S69" i="11" s="1"/>
  <c r="V43" i="7"/>
  <c r="S47" i="11" s="1"/>
  <c r="AD103" i="7"/>
  <c r="V103" i="7" s="1"/>
  <c r="S107" i="11" s="1"/>
  <c r="AD93" i="7"/>
  <c r="V93" i="7" s="1"/>
  <c r="S97" i="11" s="1"/>
  <c r="AD104" i="7"/>
  <c r="V104" i="7" s="1"/>
  <c r="S108" i="11" s="1"/>
  <c r="AD33" i="7"/>
  <c r="AD87" i="7" s="1"/>
  <c r="V87" i="7" s="1"/>
  <c r="S91" i="11" s="1"/>
  <c r="CJ12" i="7"/>
  <c r="AD12" i="7" s="1"/>
  <c r="AD66" i="7" s="1"/>
  <c r="V66" i="7" s="1"/>
  <c r="S70" i="11" s="1"/>
  <c r="V31" i="7"/>
  <c r="S35" i="11" s="1"/>
  <c r="AD99" i="7"/>
  <c r="V99" i="7" s="1"/>
  <c r="S103" i="11" s="1"/>
  <c r="AD98" i="7"/>
  <c r="V98" i="7" s="1"/>
  <c r="S102" i="11" s="1"/>
  <c r="CI24" i="7"/>
  <c r="CJ7" i="7" s="1"/>
  <c r="AD7" i="7" s="1"/>
  <c r="V7" i="7" s="1"/>
  <c r="S11" i="11" s="1"/>
  <c r="CG24" i="7"/>
  <c r="CJ15" i="7" s="1"/>
  <c r="AD15" i="7" s="1"/>
  <c r="CG13" i="7"/>
  <c r="CJ37" i="7"/>
  <c r="AD37" i="7" s="1"/>
  <c r="AD91" i="7" s="1"/>
  <c r="V91" i="7" s="1"/>
  <c r="S95" i="11" s="1"/>
  <c r="V52" i="7"/>
  <c r="S56" i="11" s="1"/>
  <c r="AD101" i="7"/>
  <c r="V101" i="7" s="1"/>
  <c r="S105" i="11" s="1"/>
  <c r="V19" i="7"/>
  <c r="S23" i="11" s="1"/>
  <c r="V46" i="7"/>
  <c r="S50" i="11" s="1"/>
  <c r="AD105" i="7"/>
  <c r="V105" i="7" s="1"/>
  <c r="S109" i="11" s="1"/>
  <c r="CI11" i="7"/>
  <c r="AD88" i="7"/>
  <c r="V88" i="7" s="1"/>
  <c r="S92" i="11" s="1"/>
  <c r="V48" i="7"/>
  <c r="S52" i="11" s="1"/>
  <c r="AD92" i="7"/>
  <c r="V92" i="7" s="1"/>
  <c r="S96" i="11" s="1"/>
  <c r="V38" i="7"/>
  <c r="S42" i="11" s="1"/>
  <c r="V14" i="7"/>
  <c r="S18" i="11" s="1"/>
  <c r="AD68" i="7"/>
  <c r="V68" i="7" s="1"/>
  <c r="S72" i="11" s="1"/>
  <c r="V41" i="7"/>
  <c r="S45" i="11" s="1"/>
  <c r="AD95" i="7"/>
  <c r="V95" i="7" s="1"/>
  <c r="S99" i="11" s="1"/>
  <c r="V25" i="7"/>
  <c r="S29" i="11" s="1"/>
  <c r="AD79" i="7"/>
  <c r="V79" i="7" s="1"/>
  <c r="S83" i="11" s="1"/>
  <c r="AD70" i="7"/>
  <c r="V70" i="7" s="1"/>
  <c r="S74" i="11" s="1"/>
  <c r="V16" i="7"/>
  <c r="S20" i="11" s="1"/>
  <c r="CI15" i="7"/>
  <c r="CG15" i="7"/>
  <c r="V29" i="7"/>
  <c r="S33" i="11" s="1"/>
  <c r="AD83" i="7"/>
  <c r="V83" i="7" s="1"/>
  <c r="S87" i="11" s="1"/>
  <c r="CJ24" i="7"/>
  <c r="AD24" i="7" s="1"/>
  <c r="AD74" i="7"/>
  <c r="V74" i="7" s="1"/>
  <c r="S78" i="11" s="1"/>
  <c r="V20" i="7"/>
  <c r="S24" i="11" s="1"/>
  <c r="V30" i="7"/>
  <c r="S34" i="11" s="1"/>
  <c r="AD84" i="7"/>
  <c r="V84" i="7" s="1"/>
  <c r="S88" i="11" s="1"/>
  <c r="AD76" i="7"/>
  <c r="V76" i="7" s="1"/>
  <c r="S80" i="11" s="1"/>
  <c r="V22" i="7"/>
  <c r="S26" i="11" s="1"/>
  <c r="CJ13" i="7"/>
  <c r="AD13" i="7" s="1"/>
  <c r="AD72" i="7" l="1"/>
  <c r="V72" i="7" s="1"/>
  <c r="S76" i="11" s="1"/>
  <c r="V42" i="7"/>
  <c r="S46" i="11" s="1"/>
  <c r="V33" i="7"/>
  <c r="S37" i="11" s="1"/>
  <c r="V21" i="7"/>
  <c r="S25" i="11" s="1"/>
  <c r="AD75" i="7"/>
  <c r="V75" i="7" s="1"/>
  <c r="S79" i="11" s="1"/>
  <c r="V12" i="7"/>
  <c r="S16" i="11" s="1"/>
  <c r="G112" i="7"/>
  <c r="Z10" i="11"/>
  <c r="V37" i="7"/>
  <c r="S41" i="11" s="1"/>
  <c r="G113" i="7"/>
  <c r="G115" i="7"/>
  <c r="G111" i="7"/>
  <c r="G110" i="7"/>
  <c r="G108" i="7"/>
  <c r="G97" i="7"/>
  <c r="V11" i="7"/>
  <c r="S15" i="11" s="1"/>
  <c r="G118" i="7"/>
  <c r="G106" i="7"/>
  <c r="G98" i="7"/>
  <c r="G104" i="7"/>
  <c r="G102" i="7"/>
  <c r="G109" i="7"/>
  <c r="G114" i="7"/>
  <c r="G105" i="7"/>
  <c r="G117" i="7"/>
  <c r="G116" i="7"/>
  <c r="G99" i="7"/>
  <c r="G100" i="7"/>
  <c r="G103" i="7"/>
  <c r="G101" i="7"/>
  <c r="G107" i="7"/>
  <c r="V24" i="7"/>
  <c r="AD78" i="7"/>
  <c r="V78" i="7" s="1"/>
  <c r="S82" i="11" s="1"/>
  <c r="G95" i="7"/>
  <c r="G89" i="7"/>
  <c r="V15" i="7"/>
  <c r="S19" i="11" s="1"/>
  <c r="AD69" i="7"/>
  <c r="V69" i="7" s="1"/>
  <c r="S73" i="11" s="1"/>
  <c r="G88" i="7"/>
  <c r="V13" i="7"/>
  <c r="S17" i="11" s="1"/>
  <c r="AD67" i="7"/>
  <c r="V67" i="7" s="1"/>
  <c r="S71" i="11" s="1"/>
  <c r="Z9" i="11" l="1"/>
  <c r="G84" i="7"/>
  <c r="S28" i="11"/>
  <c r="G87" i="7"/>
  <c r="G94" i="7"/>
  <c r="Y10" i="11"/>
  <c r="G86" i="7"/>
  <c r="G92" i="7"/>
  <c r="G65" i="7"/>
  <c r="G96" i="7"/>
  <c r="G93" i="7"/>
  <c r="G91" i="7"/>
  <c r="G85" i="7"/>
  <c r="G90" i="7"/>
  <c r="G79" i="7"/>
  <c r="G83" i="7"/>
  <c r="G66" i="7"/>
  <c r="Y9" i="11"/>
  <c r="G67" i="7"/>
  <c r="G71" i="7"/>
  <c r="Z8" i="11"/>
  <c r="G69" i="7"/>
  <c r="G73" i="7"/>
  <c r="G78" i="7"/>
  <c r="G77" i="7"/>
  <c r="G80" i="7"/>
  <c r="G81" i="7"/>
  <c r="G82" i="7"/>
  <c r="G70" i="7"/>
  <c r="G76" i="7"/>
  <c r="G72" i="7"/>
  <c r="G74" i="7"/>
  <c r="G75" i="7"/>
  <c r="G68" i="7"/>
  <c r="Y6" i="11" l="1"/>
  <c r="Z6" i="11" s="1"/>
  <c r="AA10" i="11"/>
  <c r="AA9" i="11"/>
  <c r="Y7" i="11"/>
  <c r="Z7" i="11" s="1"/>
  <c r="Y8" i="11"/>
  <c r="AA6" i="11" l="1"/>
  <c r="AA7" i="11"/>
  <c r="AA8" i="11"/>
  <c r="L7" i="9" l="1"/>
  <c r="B8" i="9" l="1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94" i="6" l="1"/>
  <c r="D99" i="9"/>
  <c r="D94" i="6" s="1"/>
  <c r="E99" i="9"/>
  <c r="E94" i="6" s="1"/>
  <c r="C99" i="9"/>
  <c r="C94" i="6" s="1"/>
  <c r="C91" i="9"/>
  <c r="C86" i="6" s="1"/>
  <c r="B86" i="6"/>
  <c r="D91" i="9"/>
  <c r="D86" i="6" s="1"/>
  <c r="E91" i="9"/>
  <c r="E86" i="6" s="1"/>
  <c r="D75" i="9"/>
  <c r="D70" i="6" s="1"/>
  <c r="B70" i="6"/>
  <c r="E75" i="9"/>
  <c r="E70" i="6" s="1"/>
  <c r="C75" i="9"/>
  <c r="C70" i="6" s="1"/>
  <c r="D67" i="9"/>
  <c r="D62" i="6" s="1"/>
  <c r="B62" i="6"/>
  <c r="C67" i="9"/>
  <c r="C62" i="6" s="1"/>
  <c r="E67" i="9"/>
  <c r="E62" i="6" s="1"/>
  <c r="B46" i="6"/>
  <c r="D51" i="9"/>
  <c r="D46" i="6" s="1"/>
  <c r="E51" i="9"/>
  <c r="E46" i="6" s="1"/>
  <c r="C51" i="9"/>
  <c r="C46" i="6" s="1"/>
  <c r="E35" i="9"/>
  <c r="E30" i="6" s="1"/>
  <c r="B30" i="6"/>
  <c r="C35" i="9"/>
  <c r="C30" i="6" s="1"/>
  <c r="D35" i="9"/>
  <c r="D30" i="6" s="1"/>
  <c r="B22" i="6"/>
  <c r="D27" i="9"/>
  <c r="D22" i="6" s="1"/>
  <c r="C27" i="9"/>
  <c r="C22" i="6" s="1"/>
  <c r="E27" i="9"/>
  <c r="E22" i="6" s="1"/>
  <c r="B101" i="6"/>
  <c r="P103" i="21" s="1"/>
  <c r="C102" i="21" s="1"/>
  <c r="E106" i="9"/>
  <c r="E101" i="6" s="1"/>
  <c r="S103" i="21" s="1"/>
  <c r="F102" i="21" s="1"/>
  <c r="C106" i="9"/>
  <c r="C101" i="6" s="1"/>
  <c r="Q103" i="21" s="1"/>
  <c r="D102" i="21" s="1"/>
  <c r="D106" i="9"/>
  <c r="D101" i="6" s="1"/>
  <c r="R103" i="21" s="1"/>
  <c r="E102" i="21" s="1"/>
  <c r="B85" i="6"/>
  <c r="C90" i="9"/>
  <c r="C85" i="6" s="1"/>
  <c r="E90" i="9"/>
  <c r="E85" i="6" s="1"/>
  <c r="D90" i="9"/>
  <c r="D85" i="6" s="1"/>
  <c r="D82" i="9"/>
  <c r="D77" i="6" s="1"/>
  <c r="B77" i="6"/>
  <c r="E82" i="9"/>
  <c r="E77" i="6" s="1"/>
  <c r="C82" i="9"/>
  <c r="C77" i="6" s="1"/>
  <c r="B100" i="6"/>
  <c r="C105" i="9"/>
  <c r="C100" i="6" s="1"/>
  <c r="E105" i="9"/>
  <c r="E100" i="6" s="1"/>
  <c r="D105" i="9"/>
  <c r="D100" i="6" s="1"/>
  <c r="D97" i="9"/>
  <c r="D92" i="6" s="1"/>
  <c r="B92" i="6"/>
  <c r="C97" i="9"/>
  <c r="C92" i="6" s="1"/>
  <c r="E97" i="9"/>
  <c r="E92" i="6" s="1"/>
  <c r="E81" i="9"/>
  <c r="E76" i="6" s="1"/>
  <c r="D81" i="9"/>
  <c r="D76" i="6" s="1"/>
  <c r="B76" i="6"/>
  <c r="C81" i="9"/>
  <c r="C76" i="6" s="1"/>
  <c r="E65" i="9"/>
  <c r="E60" i="6" s="1"/>
  <c r="C65" i="9"/>
  <c r="C60" i="6" s="1"/>
  <c r="B60" i="6"/>
  <c r="D65" i="9"/>
  <c r="D60" i="6" s="1"/>
  <c r="B52" i="6"/>
  <c r="C57" i="9"/>
  <c r="C52" i="6" s="1"/>
  <c r="D57" i="9"/>
  <c r="D52" i="6" s="1"/>
  <c r="E57" i="9"/>
  <c r="E52" i="6" s="1"/>
  <c r="B44" i="6"/>
  <c r="D49" i="9"/>
  <c r="D44" i="6" s="1"/>
  <c r="C49" i="9"/>
  <c r="C44" i="6" s="1"/>
  <c r="E49" i="9"/>
  <c r="E44" i="6" s="1"/>
  <c r="C33" i="9"/>
  <c r="C28" i="6" s="1"/>
  <c r="D33" i="9"/>
  <c r="D28" i="6" s="1"/>
  <c r="B28" i="6"/>
  <c r="E33" i="9"/>
  <c r="E28" i="6" s="1"/>
  <c r="B20" i="6"/>
  <c r="E25" i="9"/>
  <c r="E20" i="6" s="1"/>
  <c r="C25" i="9"/>
  <c r="C20" i="6" s="1"/>
  <c r="D25" i="9"/>
  <c r="D20" i="6" s="1"/>
  <c r="E9" i="9"/>
  <c r="E4" i="6" s="1"/>
  <c r="C9" i="9"/>
  <c r="C4" i="6" s="1"/>
  <c r="B4" i="6"/>
  <c r="D9" i="9"/>
  <c r="D4" i="6" s="1"/>
  <c r="E96" i="9"/>
  <c r="E91" i="6" s="1"/>
  <c r="B91" i="6"/>
  <c r="D96" i="9"/>
  <c r="D91" i="6" s="1"/>
  <c r="C96" i="9"/>
  <c r="C91" i="6" s="1"/>
  <c r="B83" i="6"/>
  <c r="E88" i="9"/>
  <c r="E83" i="6" s="1"/>
  <c r="C88" i="9"/>
  <c r="C83" i="6" s="1"/>
  <c r="D88" i="9"/>
  <c r="D83" i="6" s="1"/>
  <c r="B67" i="6"/>
  <c r="C72" i="9"/>
  <c r="C67" i="6" s="1"/>
  <c r="D72" i="9"/>
  <c r="D67" i="6" s="1"/>
  <c r="E72" i="9"/>
  <c r="E67" i="6" s="1"/>
  <c r="D64" i="9"/>
  <c r="D59" i="6" s="1"/>
  <c r="C64" i="9"/>
  <c r="C59" i="6" s="1"/>
  <c r="E64" i="9"/>
  <c r="E59" i="6" s="1"/>
  <c r="B59" i="6"/>
  <c r="D48" i="9"/>
  <c r="D43" i="6" s="1"/>
  <c r="B43" i="6"/>
  <c r="E48" i="9"/>
  <c r="E43" i="6" s="1"/>
  <c r="C48" i="9"/>
  <c r="C43" i="6" s="1"/>
  <c r="B35" i="6"/>
  <c r="D40" i="9"/>
  <c r="D35" i="6" s="1"/>
  <c r="C40" i="9"/>
  <c r="C35" i="6" s="1"/>
  <c r="E40" i="9"/>
  <c r="E35" i="6" s="1"/>
  <c r="D24" i="9"/>
  <c r="D19" i="6" s="1"/>
  <c r="E24" i="9"/>
  <c r="E19" i="6" s="1"/>
  <c r="B19" i="6"/>
  <c r="C24" i="9"/>
  <c r="C19" i="6" s="1"/>
  <c r="B11" i="6"/>
  <c r="C16" i="9"/>
  <c r="C11" i="6" s="1"/>
  <c r="D16" i="9"/>
  <c r="D11" i="6" s="1"/>
  <c r="E16" i="9"/>
  <c r="E11" i="6" s="1"/>
  <c r="B3" i="6"/>
  <c r="B3" i="9"/>
  <c r="D8" i="9"/>
  <c r="C8" i="9"/>
  <c r="E8" i="9"/>
  <c r="C103" i="9"/>
  <c r="C98" i="6" s="1"/>
  <c r="B98" i="6"/>
  <c r="D103" i="9"/>
  <c r="D98" i="6" s="1"/>
  <c r="E103" i="9"/>
  <c r="E98" i="6" s="1"/>
  <c r="C95" i="9"/>
  <c r="C90" i="6" s="1"/>
  <c r="B90" i="6"/>
  <c r="D95" i="9"/>
  <c r="D90" i="6" s="1"/>
  <c r="E95" i="9"/>
  <c r="E90" i="6" s="1"/>
  <c r="B82" i="6"/>
  <c r="C87" i="9"/>
  <c r="C82" i="6" s="1"/>
  <c r="E87" i="9"/>
  <c r="E82" i="6" s="1"/>
  <c r="D87" i="9"/>
  <c r="D82" i="6" s="1"/>
  <c r="E79" i="9"/>
  <c r="E74" i="6" s="1"/>
  <c r="B74" i="6"/>
  <c r="D79" i="9"/>
  <c r="D74" i="6" s="1"/>
  <c r="C79" i="9"/>
  <c r="C74" i="6" s="1"/>
  <c r="B66" i="6"/>
  <c r="C71" i="9"/>
  <c r="C66" i="6" s="1"/>
  <c r="E71" i="9"/>
  <c r="E66" i="6" s="1"/>
  <c r="D71" i="9"/>
  <c r="D66" i="6" s="1"/>
  <c r="D63" i="9"/>
  <c r="D58" i="6" s="1"/>
  <c r="B58" i="6"/>
  <c r="E63" i="9"/>
  <c r="E58" i="6" s="1"/>
  <c r="C63" i="9"/>
  <c r="C58" i="6" s="1"/>
  <c r="C55" i="9"/>
  <c r="C50" i="6" s="1"/>
  <c r="D55" i="9"/>
  <c r="D50" i="6" s="1"/>
  <c r="B50" i="6"/>
  <c r="E55" i="9"/>
  <c r="E50" i="6" s="1"/>
  <c r="B42" i="6"/>
  <c r="C47" i="9"/>
  <c r="C42" i="6" s="1"/>
  <c r="D47" i="9"/>
  <c r="D42" i="6" s="1"/>
  <c r="E47" i="9"/>
  <c r="E42" i="6" s="1"/>
  <c r="B34" i="6"/>
  <c r="E39" i="9"/>
  <c r="E34" i="6" s="1"/>
  <c r="C39" i="9"/>
  <c r="C34" i="6" s="1"/>
  <c r="D39" i="9"/>
  <c r="D34" i="6" s="1"/>
  <c r="B26" i="6"/>
  <c r="E31" i="9"/>
  <c r="E26" i="6" s="1"/>
  <c r="C31" i="9"/>
  <c r="C26" i="6" s="1"/>
  <c r="D31" i="9"/>
  <c r="D26" i="6" s="1"/>
  <c r="D23" i="9"/>
  <c r="D18" i="6" s="1"/>
  <c r="B18" i="6"/>
  <c r="C23" i="9"/>
  <c r="C18" i="6" s="1"/>
  <c r="E23" i="9"/>
  <c r="E18" i="6" s="1"/>
  <c r="C15" i="9"/>
  <c r="C10" i="6" s="1"/>
  <c r="E15" i="9"/>
  <c r="E10" i="6" s="1"/>
  <c r="D15" i="9"/>
  <c r="D10" i="6" s="1"/>
  <c r="B10" i="6"/>
  <c r="B97" i="6"/>
  <c r="E102" i="9"/>
  <c r="E97" i="6" s="1"/>
  <c r="D102" i="9"/>
  <c r="D97" i="6" s="1"/>
  <c r="C102" i="9"/>
  <c r="C97" i="6" s="1"/>
  <c r="B89" i="6"/>
  <c r="D94" i="9"/>
  <c r="D89" i="6" s="1"/>
  <c r="E94" i="9"/>
  <c r="E89" i="6" s="1"/>
  <c r="C94" i="9"/>
  <c r="C89" i="6" s="1"/>
  <c r="B81" i="6"/>
  <c r="E86" i="9"/>
  <c r="E81" i="6" s="1"/>
  <c r="D86" i="9"/>
  <c r="D81" i="6" s="1"/>
  <c r="C86" i="9"/>
  <c r="C81" i="6" s="1"/>
  <c r="C78" i="9"/>
  <c r="C73" i="6" s="1"/>
  <c r="B73" i="6"/>
  <c r="D78" i="9"/>
  <c r="D73" i="6" s="1"/>
  <c r="E78" i="9"/>
  <c r="E73" i="6" s="1"/>
  <c r="C70" i="9"/>
  <c r="C65" i="6" s="1"/>
  <c r="D70" i="9"/>
  <c r="D65" i="6" s="1"/>
  <c r="B65" i="6"/>
  <c r="E70" i="9"/>
  <c r="E65" i="6" s="1"/>
  <c r="B57" i="6"/>
  <c r="C62" i="9"/>
  <c r="C57" i="6" s="1"/>
  <c r="E62" i="9"/>
  <c r="E57" i="6" s="1"/>
  <c r="D62" i="9"/>
  <c r="D57" i="6" s="1"/>
  <c r="C54" i="9"/>
  <c r="C49" i="6" s="1"/>
  <c r="B49" i="6"/>
  <c r="E54" i="9"/>
  <c r="E49" i="6" s="1"/>
  <c r="D54" i="9"/>
  <c r="D49" i="6" s="1"/>
  <c r="E46" i="9"/>
  <c r="E41" i="6" s="1"/>
  <c r="B41" i="6"/>
  <c r="D46" i="9"/>
  <c r="D41" i="6" s="1"/>
  <c r="C46" i="9"/>
  <c r="C41" i="6" s="1"/>
  <c r="D38" i="9"/>
  <c r="D33" i="6" s="1"/>
  <c r="B33" i="6"/>
  <c r="E38" i="9"/>
  <c r="E33" i="6" s="1"/>
  <c r="C38" i="9"/>
  <c r="C33" i="6" s="1"/>
  <c r="E30" i="9"/>
  <c r="E25" i="6" s="1"/>
  <c r="C30" i="9"/>
  <c r="C25" i="6" s="1"/>
  <c r="B25" i="6"/>
  <c r="D30" i="9"/>
  <c r="D25" i="6" s="1"/>
  <c r="C22" i="9"/>
  <c r="C17" i="6" s="1"/>
  <c r="B17" i="6"/>
  <c r="E22" i="9"/>
  <c r="E17" i="6" s="1"/>
  <c r="D22" i="9"/>
  <c r="D17" i="6" s="1"/>
  <c r="B9" i="6"/>
  <c r="E14" i="9"/>
  <c r="E9" i="6" s="1"/>
  <c r="C14" i="9"/>
  <c r="C9" i="6" s="1"/>
  <c r="D14" i="9"/>
  <c r="D9" i="6" s="1"/>
  <c r="B78" i="6"/>
  <c r="E83" i="9"/>
  <c r="E78" i="6" s="1"/>
  <c r="C83" i="9"/>
  <c r="C78" i="6" s="1"/>
  <c r="D83" i="9"/>
  <c r="D78" i="6" s="1"/>
  <c r="B54" i="6"/>
  <c r="D59" i="9"/>
  <c r="D54" i="6" s="1"/>
  <c r="C59" i="9"/>
  <c r="C54" i="6" s="1"/>
  <c r="E59" i="9"/>
  <c r="E54" i="6" s="1"/>
  <c r="B38" i="6"/>
  <c r="E43" i="9"/>
  <c r="E38" i="6" s="1"/>
  <c r="C43" i="9"/>
  <c r="C38" i="6" s="1"/>
  <c r="D43" i="9"/>
  <c r="D38" i="6" s="1"/>
  <c r="C11" i="9"/>
  <c r="C6" i="6" s="1"/>
  <c r="E11" i="9"/>
  <c r="E6" i="6" s="1"/>
  <c r="D11" i="9"/>
  <c r="D6" i="6" s="1"/>
  <c r="B6" i="6"/>
  <c r="B69" i="6"/>
  <c r="D74" i="9"/>
  <c r="D69" i="6" s="1"/>
  <c r="C74" i="9"/>
  <c r="C69" i="6" s="1"/>
  <c r="E74" i="9"/>
  <c r="E69" i="6" s="1"/>
  <c r="B84" i="6"/>
  <c r="E89" i="9"/>
  <c r="E84" i="6" s="1"/>
  <c r="C89" i="9"/>
  <c r="C84" i="6" s="1"/>
  <c r="D89" i="9"/>
  <c r="D84" i="6" s="1"/>
  <c r="C73" i="9"/>
  <c r="C68" i="6" s="1"/>
  <c r="D73" i="9"/>
  <c r="D68" i="6" s="1"/>
  <c r="B68" i="6"/>
  <c r="E73" i="9"/>
  <c r="E68" i="6" s="1"/>
  <c r="C41" i="9"/>
  <c r="C36" i="6" s="1"/>
  <c r="B36" i="6"/>
  <c r="E41" i="9"/>
  <c r="E36" i="6" s="1"/>
  <c r="D41" i="9"/>
  <c r="D36" i="6" s="1"/>
  <c r="C17" i="9"/>
  <c r="C12" i="6" s="1"/>
  <c r="D17" i="9"/>
  <c r="D12" i="6" s="1"/>
  <c r="B12" i="6"/>
  <c r="E17" i="9"/>
  <c r="E12" i="6" s="1"/>
  <c r="B99" i="6"/>
  <c r="C104" i="9"/>
  <c r="C99" i="6" s="1"/>
  <c r="D104" i="9"/>
  <c r="D99" i="6" s="1"/>
  <c r="E104" i="9"/>
  <c r="E99" i="6" s="1"/>
  <c r="C80" i="9"/>
  <c r="C75" i="6" s="1"/>
  <c r="D80" i="9"/>
  <c r="D75" i="6" s="1"/>
  <c r="B75" i="6"/>
  <c r="E80" i="9"/>
  <c r="E75" i="6" s="1"/>
  <c r="B51" i="6"/>
  <c r="D56" i="9"/>
  <c r="D51" i="6" s="1"/>
  <c r="C56" i="9"/>
  <c r="C51" i="6" s="1"/>
  <c r="E56" i="9"/>
  <c r="E51" i="6" s="1"/>
  <c r="B27" i="6"/>
  <c r="C32" i="9"/>
  <c r="C27" i="6" s="1"/>
  <c r="D32" i="9"/>
  <c r="D27" i="6" s="1"/>
  <c r="E32" i="9"/>
  <c r="E27" i="6" s="1"/>
  <c r="B96" i="6"/>
  <c r="D101" i="9"/>
  <c r="D96" i="6" s="1"/>
  <c r="C101" i="9"/>
  <c r="C96" i="6" s="1"/>
  <c r="E101" i="9"/>
  <c r="E96" i="6" s="1"/>
  <c r="C93" i="9"/>
  <c r="C88" i="6" s="1"/>
  <c r="D93" i="9"/>
  <c r="D88" i="6" s="1"/>
  <c r="B88" i="6"/>
  <c r="E93" i="9"/>
  <c r="E88" i="6" s="1"/>
  <c r="B80" i="6"/>
  <c r="C85" i="9"/>
  <c r="C80" i="6" s="1"/>
  <c r="D85" i="9"/>
  <c r="D80" i="6" s="1"/>
  <c r="E85" i="9"/>
  <c r="E80" i="6" s="1"/>
  <c r="C77" i="9"/>
  <c r="C72" i="6" s="1"/>
  <c r="D77" i="9"/>
  <c r="D72" i="6" s="1"/>
  <c r="B72" i="6"/>
  <c r="E77" i="9"/>
  <c r="E72" i="6" s="1"/>
  <c r="B64" i="6"/>
  <c r="E69" i="9"/>
  <c r="E64" i="6" s="1"/>
  <c r="C69" i="9"/>
  <c r="C64" i="6" s="1"/>
  <c r="D69" i="9"/>
  <c r="D64" i="6" s="1"/>
  <c r="B56" i="6"/>
  <c r="C61" i="9"/>
  <c r="C56" i="6" s="1"/>
  <c r="E61" i="9"/>
  <c r="E56" i="6" s="1"/>
  <c r="D61" i="9"/>
  <c r="D56" i="6" s="1"/>
  <c r="C53" i="9"/>
  <c r="C48" i="6" s="1"/>
  <c r="E53" i="9"/>
  <c r="E48" i="6" s="1"/>
  <c r="B48" i="6"/>
  <c r="D53" i="9"/>
  <c r="D48" i="6" s="1"/>
  <c r="B40" i="6"/>
  <c r="D45" i="9"/>
  <c r="D40" i="6" s="1"/>
  <c r="E45" i="9"/>
  <c r="E40" i="6" s="1"/>
  <c r="C45" i="9"/>
  <c r="C40" i="6" s="1"/>
  <c r="E37" i="9"/>
  <c r="E32" i="6" s="1"/>
  <c r="B32" i="6"/>
  <c r="D37" i="9"/>
  <c r="D32" i="6" s="1"/>
  <c r="C37" i="9"/>
  <c r="C32" i="6" s="1"/>
  <c r="B24" i="6"/>
  <c r="E29" i="9"/>
  <c r="E24" i="6" s="1"/>
  <c r="D29" i="9"/>
  <c r="D24" i="6" s="1"/>
  <c r="C29" i="9"/>
  <c r="C24" i="6" s="1"/>
  <c r="E21" i="9"/>
  <c r="E16" i="6" s="1"/>
  <c r="D21" i="9"/>
  <c r="D16" i="6" s="1"/>
  <c r="C21" i="9"/>
  <c r="C16" i="6" s="1"/>
  <c r="B16" i="6"/>
  <c r="C13" i="9"/>
  <c r="C8" i="6" s="1"/>
  <c r="B8" i="6"/>
  <c r="E13" i="9"/>
  <c r="E8" i="6" s="1"/>
  <c r="D13" i="9"/>
  <c r="D8" i="6" s="1"/>
  <c r="B95" i="6"/>
  <c r="D100" i="9"/>
  <c r="D95" i="6" s="1"/>
  <c r="E100" i="9"/>
  <c r="E95" i="6" s="1"/>
  <c r="C100" i="9"/>
  <c r="C95" i="6" s="1"/>
  <c r="B87" i="6"/>
  <c r="E92" i="9"/>
  <c r="E87" i="6" s="1"/>
  <c r="C92" i="9"/>
  <c r="C87" i="6" s="1"/>
  <c r="D92" i="9"/>
  <c r="D87" i="6" s="1"/>
  <c r="B79" i="6"/>
  <c r="D84" i="9"/>
  <c r="D79" i="6" s="1"/>
  <c r="E84" i="9"/>
  <c r="E79" i="6" s="1"/>
  <c r="C84" i="9"/>
  <c r="C79" i="6" s="1"/>
  <c r="B71" i="6"/>
  <c r="D76" i="9"/>
  <c r="D71" i="6" s="1"/>
  <c r="E76" i="9"/>
  <c r="E71" i="6" s="1"/>
  <c r="C76" i="9"/>
  <c r="C71" i="6" s="1"/>
  <c r="D68" i="9"/>
  <c r="D63" i="6" s="1"/>
  <c r="B63" i="6"/>
  <c r="C68" i="9"/>
  <c r="C63" i="6" s="1"/>
  <c r="E68" i="9"/>
  <c r="E63" i="6" s="1"/>
  <c r="B55" i="6"/>
  <c r="C60" i="9"/>
  <c r="C55" i="6" s="1"/>
  <c r="D60" i="9"/>
  <c r="D55" i="6" s="1"/>
  <c r="E60" i="9"/>
  <c r="E55" i="6" s="1"/>
  <c r="D52" i="9"/>
  <c r="D47" i="6" s="1"/>
  <c r="C52" i="9"/>
  <c r="C47" i="6" s="1"/>
  <c r="B47" i="6"/>
  <c r="E52" i="9"/>
  <c r="E47" i="6" s="1"/>
  <c r="B39" i="6"/>
  <c r="D44" i="9"/>
  <c r="D39" i="6" s="1"/>
  <c r="E44" i="9"/>
  <c r="E39" i="6" s="1"/>
  <c r="C44" i="9"/>
  <c r="C39" i="6" s="1"/>
  <c r="B31" i="6"/>
  <c r="D36" i="9"/>
  <c r="D31" i="6" s="1"/>
  <c r="E36" i="9"/>
  <c r="E31" i="6" s="1"/>
  <c r="C36" i="9"/>
  <c r="C31" i="6" s="1"/>
  <c r="B23" i="6"/>
  <c r="D28" i="9"/>
  <c r="D23" i="6" s="1"/>
  <c r="C28" i="9"/>
  <c r="C23" i="6" s="1"/>
  <c r="E28" i="9"/>
  <c r="E23" i="6" s="1"/>
  <c r="D20" i="9"/>
  <c r="D15" i="6" s="1"/>
  <c r="C20" i="9"/>
  <c r="C15" i="6" s="1"/>
  <c r="B15" i="6"/>
  <c r="E20" i="9"/>
  <c r="E15" i="6" s="1"/>
  <c r="C12" i="9"/>
  <c r="C7" i="6" s="1"/>
  <c r="B7" i="6"/>
  <c r="D12" i="9"/>
  <c r="D7" i="6" s="1"/>
  <c r="E12" i="9"/>
  <c r="E7" i="6" s="1"/>
  <c r="C19" i="9"/>
  <c r="C14" i="6" s="1"/>
  <c r="D19" i="9"/>
  <c r="D14" i="6" s="1"/>
  <c r="B14" i="6"/>
  <c r="E19" i="9"/>
  <c r="E14" i="6" s="1"/>
  <c r="B93" i="6"/>
  <c r="D98" i="9"/>
  <c r="D93" i="6" s="1"/>
  <c r="C98" i="9"/>
  <c r="C93" i="6" s="1"/>
  <c r="E98" i="9"/>
  <c r="E93" i="6" s="1"/>
  <c r="B61" i="6"/>
  <c r="C66" i="9"/>
  <c r="C61" i="6" s="1"/>
  <c r="D66" i="9"/>
  <c r="D61" i="6" s="1"/>
  <c r="E66" i="9"/>
  <c r="E61" i="6" s="1"/>
  <c r="D58" i="9"/>
  <c r="D53" i="6" s="1"/>
  <c r="E58" i="9"/>
  <c r="E53" i="6" s="1"/>
  <c r="B53" i="6"/>
  <c r="C58" i="9"/>
  <c r="C53" i="6" s="1"/>
  <c r="D50" i="9"/>
  <c r="D45" i="6" s="1"/>
  <c r="E50" i="9"/>
  <c r="E45" i="6" s="1"/>
  <c r="C50" i="9"/>
  <c r="C45" i="6" s="1"/>
  <c r="B45" i="6"/>
  <c r="B37" i="6"/>
  <c r="C42" i="9"/>
  <c r="C37" i="6" s="1"/>
  <c r="D42" i="9"/>
  <c r="D37" i="6" s="1"/>
  <c r="E42" i="9"/>
  <c r="E37" i="6" s="1"/>
  <c r="C34" i="9"/>
  <c r="C29" i="6" s="1"/>
  <c r="B29" i="6"/>
  <c r="D34" i="9"/>
  <c r="D29" i="6" s="1"/>
  <c r="E34" i="9"/>
  <c r="E29" i="6" s="1"/>
  <c r="B21" i="6"/>
  <c r="D26" i="9"/>
  <c r="D21" i="6" s="1"/>
  <c r="C26" i="9"/>
  <c r="C21" i="6" s="1"/>
  <c r="E26" i="9"/>
  <c r="E21" i="6" s="1"/>
  <c r="D18" i="9"/>
  <c r="D13" i="6" s="1"/>
  <c r="C18" i="9"/>
  <c r="C13" i="6" s="1"/>
  <c r="B13" i="6"/>
  <c r="E18" i="9"/>
  <c r="E13" i="6" s="1"/>
  <c r="B5" i="6"/>
  <c r="D10" i="9"/>
  <c r="D5" i="6" s="1"/>
  <c r="C10" i="9"/>
  <c r="C5" i="6" s="1"/>
  <c r="E10" i="9"/>
  <c r="E5" i="6" s="1"/>
  <c r="Q23" i="21" l="1"/>
  <c r="D22" i="21" s="1"/>
  <c r="P95" i="21"/>
  <c r="C94" i="21" s="1"/>
  <c r="S49" i="21"/>
  <c r="F48" i="21" s="1"/>
  <c r="R97" i="21"/>
  <c r="E96" i="21" s="1"/>
  <c r="D24" i="28"/>
  <c r="P26" i="21"/>
  <c r="C25" i="21" s="1"/>
  <c r="S42" i="21"/>
  <c r="F41" i="21" s="1"/>
  <c r="S82" i="21"/>
  <c r="F81" i="21" s="1"/>
  <c r="Q101" i="21"/>
  <c r="D100" i="21" s="1"/>
  <c r="Q70" i="21"/>
  <c r="D69" i="21" s="1"/>
  <c r="R56" i="21"/>
  <c r="E55" i="21" s="1"/>
  <c r="S35" i="21"/>
  <c r="F34" i="21" s="1"/>
  <c r="D13" i="28"/>
  <c r="P15" i="21"/>
  <c r="C14" i="21" s="1"/>
  <c r="Q39" i="21"/>
  <c r="D38" i="21" s="1"/>
  <c r="Q55" i="21"/>
  <c r="D54" i="21" s="1"/>
  <c r="D61" i="28"/>
  <c r="P63" i="21"/>
  <c r="C62" i="21" s="1"/>
  <c r="D14" i="28"/>
  <c r="P16" i="21"/>
  <c r="C15" i="21" s="1"/>
  <c r="R25" i="21"/>
  <c r="E24" i="21" s="1"/>
  <c r="Q41" i="21"/>
  <c r="D40" i="21" s="1"/>
  <c r="R49" i="21"/>
  <c r="E48" i="21" s="1"/>
  <c r="Q65" i="21"/>
  <c r="D64" i="21" s="1"/>
  <c r="S89" i="21"/>
  <c r="F88" i="21" s="1"/>
  <c r="R10" i="21"/>
  <c r="E9" i="21" s="1"/>
  <c r="S18" i="21"/>
  <c r="F17" i="21" s="1"/>
  <c r="R34" i="21"/>
  <c r="E33" i="21" s="1"/>
  <c r="Q58" i="21"/>
  <c r="D57" i="21" s="1"/>
  <c r="S74" i="21"/>
  <c r="F73" i="21" s="1"/>
  <c r="D80" i="28"/>
  <c r="P82" i="21"/>
  <c r="C81" i="21" s="1"/>
  <c r="Q98" i="21"/>
  <c r="D97" i="21" s="1"/>
  <c r="R77" i="21"/>
  <c r="E76" i="21" s="1"/>
  <c r="S14" i="21"/>
  <c r="F13" i="21" s="1"/>
  <c r="Q38" i="21"/>
  <c r="D37" i="21" s="1"/>
  <c r="Q86" i="21"/>
  <c r="D85" i="21" s="1"/>
  <c r="S40" i="21"/>
  <c r="F39" i="21" s="1"/>
  <c r="R80" i="21"/>
  <c r="E79" i="21" s="1"/>
  <c r="D9" i="28"/>
  <c r="P11" i="21"/>
  <c r="C10" i="21" s="1"/>
  <c r="D25" i="28"/>
  <c r="P27" i="21"/>
  <c r="C26" i="21" s="1"/>
  <c r="D49" i="28"/>
  <c r="P51" i="21"/>
  <c r="C50" i="21" s="1"/>
  <c r="Q15" i="21"/>
  <c r="D14" i="21" s="1"/>
  <c r="S31" i="21"/>
  <c r="F30" i="21" s="1"/>
  <c r="D37" i="28"/>
  <c r="P39" i="21"/>
  <c r="C38" i="21" s="1"/>
  <c r="D53" i="28"/>
  <c r="P55" i="21"/>
  <c r="C54" i="21" s="1"/>
  <c r="R16" i="21"/>
  <c r="E15" i="21" s="1"/>
  <c r="S17" i="21"/>
  <c r="F16" i="21" s="1"/>
  <c r="D23" i="28"/>
  <c r="P25" i="21"/>
  <c r="C24" i="21" s="1"/>
  <c r="S41" i="21"/>
  <c r="F40" i="21" s="1"/>
  <c r="D63" i="28"/>
  <c r="P65" i="21"/>
  <c r="C64" i="21" s="1"/>
  <c r="Q81" i="21"/>
  <c r="D80" i="21" s="1"/>
  <c r="P89" i="21"/>
  <c r="C88" i="21" s="1"/>
  <c r="S10" i="21"/>
  <c r="F9" i="21" s="1"/>
  <c r="D32" i="28"/>
  <c r="P34" i="21"/>
  <c r="C33" i="21" s="1"/>
  <c r="R50" i="21"/>
  <c r="E49" i="21" s="1"/>
  <c r="D56" i="28"/>
  <c r="P58" i="21"/>
  <c r="C57" i="21" s="1"/>
  <c r="D72" i="28"/>
  <c r="P74" i="21"/>
  <c r="C73" i="21" s="1"/>
  <c r="R98" i="21"/>
  <c r="E97" i="21" s="1"/>
  <c r="S53" i="21"/>
  <c r="F52" i="21" s="1"/>
  <c r="Q77" i="21"/>
  <c r="D76" i="21" s="1"/>
  <c r="D12" i="28"/>
  <c r="P14" i="21"/>
  <c r="C13" i="21" s="1"/>
  <c r="S86" i="21"/>
  <c r="F85" i="21" s="1"/>
  <c r="D6" i="28"/>
  <c r="P8" i="21"/>
  <c r="C7" i="21" s="1"/>
  <c r="D38" i="28"/>
  <c r="P40" i="21"/>
  <c r="C39" i="21" s="1"/>
  <c r="Q80" i="21"/>
  <c r="D79" i="21" s="1"/>
  <c r="Q27" i="21"/>
  <c r="D26" i="21" s="1"/>
  <c r="Q43" i="21"/>
  <c r="D42" i="21" s="1"/>
  <c r="Q51" i="21"/>
  <c r="D50" i="21" s="1"/>
  <c r="D65" i="28"/>
  <c r="P67" i="21"/>
  <c r="C66" i="21" s="1"/>
  <c r="R91" i="21"/>
  <c r="E90" i="21" s="1"/>
  <c r="D10" i="28"/>
  <c r="P12" i="21"/>
  <c r="C11" i="21" s="1"/>
  <c r="R20" i="21"/>
  <c r="E19" i="21" s="1"/>
  <c r="Q36" i="21"/>
  <c r="D35" i="21" s="1"/>
  <c r="D58" i="28"/>
  <c r="P60" i="21"/>
  <c r="C59" i="21" s="1"/>
  <c r="Q76" i="21"/>
  <c r="D75" i="21" s="1"/>
  <c r="P84" i="21"/>
  <c r="C83" i="21" s="1"/>
  <c r="R100" i="21"/>
  <c r="E99" i="21" s="1"/>
  <c r="D3" i="28"/>
  <c r="P5" i="21"/>
  <c r="C4" i="21" s="1"/>
  <c r="F4" i="6"/>
  <c r="T6" i="21" s="1"/>
  <c r="D19" i="28"/>
  <c r="P21" i="21"/>
  <c r="C20" i="21" s="1"/>
  <c r="Q61" i="21"/>
  <c r="D60" i="21" s="1"/>
  <c r="R85" i="21"/>
  <c r="E84" i="21" s="1"/>
  <c r="S93" i="21"/>
  <c r="F92" i="21" s="1"/>
  <c r="Q22" i="21"/>
  <c r="D21" i="21" s="1"/>
  <c r="Q54" i="21"/>
  <c r="D53" i="21" s="1"/>
  <c r="Q78" i="21"/>
  <c r="D77" i="21" s="1"/>
  <c r="R94" i="21"/>
  <c r="E93" i="21" s="1"/>
  <c r="S79" i="21"/>
  <c r="F78" i="21" s="1"/>
  <c r="R24" i="21"/>
  <c r="E23" i="21" s="1"/>
  <c r="Q48" i="21"/>
  <c r="D47" i="21" s="1"/>
  <c r="R64" i="21"/>
  <c r="E63" i="21" s="1"/>
  <c r="R88" i="21"/>
  <c r="E87" i="21" s="1"/>
  <c r="S7" i="21"/>
  <c r="F6" i="21" s="1"/>
  <c r="R15" i="21"/>
  <c r="E14" i="21" s="1"/>
  <c r="R31" i="21"/>
  <c r="E30" i="21" s="1"/>
  <c r="S55" i="21"/>
  <c r="F54" i="21" s="1"/>
  <c r="S95" i="21"/>
  <c r="F94" i="21" s="1"/>
  <c r="Q16" i="21"/>
  <c r="D15" i="21" s="1"/>
  <c r="D15" i="28"/>
  <c r="P17" i="21"/>
  <c r="C16" i="21" s="1"/>
  <c r="R41" i="21"/>
  <c r="E40" i="21" s="1"/>
  <c r="S57" i="21"/>
  <c r="F56" i="21" s="1"/>
  <c r="R65" i="21"/>
  <c r="E64" i="21" s="1"/>
  <c r="S81" i="21"/>
  <c r="F80" i="21" s="1"/>
  <c r="D8" i="28"/>
  <c r="P10" i="21"/>
  <c r="C9" i="21" s="1"/>
  <c r="Q26" i="21"/>
  <c r="D25" i="21" s="1"/>
  <c r="S34" i="21"/>
  <c r="F33" i="21" s="1"/>
  <c r="D48" i="28"/>
  <c r="P50" i="21"/>
  <c r="C49" i="21" s="1"/>
  <c r="R74" i="21"/>
  <c r="E73" i="21" s="1"/>
  <c r="S90" i="21"/>
  <c r="F89" i="21" s="1"/>
  <c r="P98" i="21"/>
  <c r="C97" i="21" s="1"/>
  <c r="Q53" i="21"/>
  <c r="D52" i="21" s="1"/>
  <c r="R14" i="21"/>
  <c r="E13" i="21" s="1"/>
  <c r="S70" i="21"/>
  <c r="F69" i="21" s="1"/>
  <c r="P86" i="21"/>
  <c r="C85" i="21" s="1"/>
  <c r="R8" i="21"/>
  <c r="E7" i="21" s="1"/>
  <c r="S80" i="21"/>
  <c r="F79" i="21" s="1"/>
  <c r="R19" i="21"/>
  <c r="E18" i="21" s="1"/>
  <c r="S27" i="21"/>
  <c r="F26" i="21" s="1"/>
  <c r="R43" i="21"/>
  <c r="E42" i="21" s="1"/>
  <c r="R67" i="21"/>
  <c r="E66" i="21" s="1"/>
  <c r="Q83" i="21"/>
  <c r="D82" i="21" s="1"/>
  <c r="P91" i="21"/>
  <c r="C90" i="21" s="1"/>
  <c r="R12" i="21"/>
  <c r="E11" i="21" s="1"/>
  <c r="S36" i="21"/>
  <c r="F35" i="21" s="1"/>
  <c r="S52" i="21"/>
  <c r="F51" i="21" s="1"/>
  <c r="R60" i="21"/>
  <c r="E59" i="21" s="1"/>
  <c r="R76" i="21"/>
  <c r="E75" i="21" s="1"/>
  <c r="P100" i="21"/>
  <c r="C99" i="21" s="1"/>
  <c r="S21" i="21"/>
  <c r="F20" i="21" s="1"/>
  <c r="Q45" i="21"/>
  <c r="D44" i="21" s="1"/>
  <c r="R61" i="21"/>
  <c r="E60" i="21" s="1"/>
  <c r="Q85" i="21"/>
  <c r="D84" i="21" s="1"/>
  <c r="S22" i="21"/>
  <c r="F21" i="21" s="1"/>
  <c r="S46" i="21"/>
  <c r="F45" i="21" s="1"/>
  <c r="D52" i="28"/>
  <c r="P54" i="21"/>
  <c r="C53" i="21" s="1"/>
  <c r="D76" i="28"/>
  <c r="P78" i="21"/>
  <c r="C77" i="21" s="1"/>
  <c r="D77" i="28"/>
  <c r="P79" i="21"/>
  <c r="C78" i="21" s="1"/>
  <c r="D22" i="28"/>
  <c r="P24" i="21"/>
  <c r="C23" i="21" s="1"/>
  <c r="S48" i="21"/>
  <c r="F47" i="21" s="1"/>
  <c r="P88" i="21"/>
  <c r="C87" i="21" s="1"/>
  <c r="D5" i="28"/>
  <c r="P7" i="21"/>
  <c r="C6" i="21" s="1"/>
  <c r="S47" i="21"/>
  <c r="F46" i="21" s="1"/>
  <c r="R9" i="21"/>
  <c r="E8" i="21" s="1"/>
  <c r="D55" i="28"/>
  <c r="P57" i="21"/>
  <c r="C56" i="21" s="1"/>
  <c r="D16" i="28"/>
  <c r="P18" i="21"/>
  <c r="C17" i="21" s="1"/>
  <c r="Q90" i="21"/>
  <c r="D89" i="21" s="1"/>
  <c r="R38" i="21"/>
  <c r="E37" i="21" s="1"/>
  <c r="Q59" i="21"/>
  <c r="D58" i="21" s="1"/>
  <c r="Q7" i="21"/>
  <c r="D6" i="21" s="1"/>
  <c r="D29" i="28"/>
  <c r="P31" i="21"/>
  <c r="C30" i="21" s="1"/>
  <c r="D45" i="28"/>
  <c r="P47" i="21"/>
  <c r="C46" i="21" s="1"/>
  <c r="R55" i="21"/>
  <c r="E54" i="21" s="1"/>
  <c r="Q95" i="21"/>
  <c r="D94" i="21" s="1"/>
  <c r="Q17" i="21"/>
  <c r="D16" i="21" s="1"/>
  <c r="Q33" i="21"/>
  <c r="D32" i="21" s="1"/>
  <c r="D39" i="28"/>
  <c r="P41" i="21"/>
  <c r="C40" i="21" s="1"/>
  <c r="R57" i="21"/>
  <c r="E56" i="21" s="1"/>
  <c r="R81" i="21"/>
  <c r="E80" i="21" s="1"/>
  <c r="Q97" i="21"/>
  <c r="D96" i="21" s="1"/>
  <c r="Q10" i="21"/>
  <c r="D9" i="21" s="1"/>
  <c r="R26" i="21"/>
  <c r="E25" i="21" s="1"/>
  <c r="S50" i="21"/>
  <c r="F49" i="21" s="1"/>
  <c r="R66" i="21"/>
  <c r="E65" i="21" s="1"/>
  <c r="Q74" i="21"/>
  <c r="D73" i="21" s="1"/>
  <c r="P90" i="21"/>
  <c r="C89" i="21" s="1"/>
  <c r="R53" i="21"/>
  <c r="E52" i="21" s="1"/>
  <c r="S101" i="21"/>
  <c r="F100" i="21" s="1"/>
  <c r="Q14" i="21"/>
  <c r="D13" i="21" s="1"/>
  <c r="D68" i="28"/>
  <c r="P70" i="21"/>
  <c r="C69" i="21" s="1"/>
  <c r="S8" i="21"/>
  <c r="F7" i="21" s="1"/>
  <c r="S56" i="21"/>
  <c r="F55" i="21" s="1"/>
  <c r="D78" i="28"/>
  <c r="P80" i="21"/>
  <c r="C79" i="21" s="1"/>
  <c r="S19" i="21"/>
  <c r="F18" i="21" s="1"/>
  <c r="D41" i="28"/>
  <c r="P43" i="21"/>
  <c r="C42" i="21" s="1"/>
  <c r="R59" i="21"/>
  <c r="E58" i="21" s="1"/>
  <c r="Q67" i="21"/>
  <c r="D66" i="21" s="1"/>
  <c r="R83" i="21"/>
  <c r="E82" i="21" s="1"/>
  <c r="S12" i="21"/>
  <c r="F11" i="21" s="1"/>
  <c r="R28" i="21"/>
  <c r="E27" i="21" s="1"/>
  <c r="D34" i="28"/>
  <c r="P36" i="21"/>
  <c r="C35" i="21" s="1"/>
  <c r="D50" i="28"/>
  <c r="P52" i="21"/>
  <c r="C51" i="21" s="1"/>
  <c r="D74" i="28"/>
  <c r="P76" i="21"/>
  <c r="C75" i="21" s="1"/>
  <c r="S92" i="21"/>
  <c r="F91" i="21" s="1"/>
  <c r="Q100" i="21"/>
  <c r="D99" i="21" s="1"/>
  <c r="S13" i="21"/>
  <c r="F12" i="21" s="1"/>
  <c r="R21" i="21"/>
  <c r="E20" i="21" s="1"/>
  <c r="S45" i="21"/>
  <c r="F44" i="21" s="1"/>
  <c r="S85" i="21"/>
  <c r="F84" i="21" s="1"/>
  <c r="R6" i="21"/>
  <c r="E5" i="21" s="1"/>
  <c r="D20" i="28"/>
  <c r="P22" i="21"/>
  <c r="C21" i="21" s="1"/>
  <c r="Q46" i="21"/>
  <c r="D45" i="21" s="1"/>
  <c r="R78" i="21"/>
  <c r="E77" i="21" s="1"/>
  <c r="R102" i="21"/>
  <c r="E101" i="21" s="1"/>
  <c r="R79" i="21"/>
  <c r="E78" i="21" s="1"/>
  <c r="R48" i="21"/>
  <c r="E47" i="21" s="1"/>
  <c r="Q72" i="21"/>
  <c r="D71" i="21" s="1"/>
  <c r="Q88" i="21"/>
  <c r="D87" i="21" s="1"/>
  <c r="R7" i="21"/>
  <c r="E6" i="21" s="1"/>
  <c r="S23" i="21"/>
  <c r="F22" i="21" s="1"/>
  <c r="Q31" i="21"/>
  <c r="D30" i="21" s="1"/>
  <c r="Q47" i="21"/>
  <c r="D46" i="21" s="1"/>
  <c r="R95" i="21"/>
  <c r="E94" i="21" s="1"/>
  <c r="S9" i="21"/>
  <c r="F8" i="21" s="1"/>
  <c r="R17" i="21"/>
  <c r="E16" i="21" s="1"/>
  <c r="S33" i="21"/>
  <c r="F32" i="21" s="1"/>
  <c r="Q57" i="21"/>
  <c r="D56" i="21" s="1"/>
  <c r="Q73" i="21"/>
  <c r="D72" i="21" s="1"/>
  <c r="D79" i="28"/>
  <c r="P81" i="21"/>
  <c r="C80" i="21" s="1"/>
  <c r="S97" i="21"/>
  <c r="F96" i="21" s="1"/>
  <c r="S26" i="21"/>
  <c r="F25" i="21" s="1"/>
  <c r="Q42" i="21"/>
  <c r="D41" i="21" s="1"/>
  <c r="Q50" i="21"/>
  <c r="D49" i="21" s="1"/>
  <c r="Q66" i="21"/>
  <c r="D65" i="21" s="1"/>
  <c r="R90" i="21"/>
  <c r="E89" i="21" s="1"/>
  <c r="S29" i="21"/>
  <c r="F28" i="21" s="1"/>
  <c r="D51" i="28"/>
  <c r="P53" i="21"/>
  <c r="C52" i="21" s="1"/>
  <c r="R101" i="21"/>
  <c r="E100" i="21" s="1"/>
  <c r="R70" i="21"/>
  <c r="E69" i="21" s="1"/>
  <c r="S71" i="21"/>
  <c r="F70" i="21" s="1"/>
  <c r="Q8" i="21"/>
  <c r="D7" i="21" s="1"/>
  <c r="Q56" i="21"/>
  <c r="D55" i="21" s="1"/>
  <c r="D17" i="28"/>
  <c r="P19" i="21"/>
  <c r="C18" i="21" s="1"/>
  <c r="Q35" i="21"/>
  <c r="D34" i="21" s="1"/>
  <c r="S43" i="21"/>
  <c r="F42" i="21" s="1"/>
  <c r="S59" i="21"/>
  <c r="F58" i="21" s="1"/>
  <c r="S83" i="21"/>
  <c r="F82" i="21" s="1"/>
  <c r="Q99" i="21"/>
  <c r="D98" i="21" s="1"/>
  <c r="Q12" i="21"/>
  <c r="D11" i="21" s="1"/>
  <c r="Q28" i="21"/>
  <c r="D27" i="21" s="1"/>
  <c r="R52" i="21"/>
  <c r="E51" i="21" s="1"/>
  <c r="R68" i="21"/>
  <c r="E67" i="21" s="1"/>
  <c r="S76" i="21"/>
  <c r="F75" i="21" s="1"/>
  <c r="R92" i="21"/>
  <c r="E91" i="21" s="1"/>
  <c r="R13" i="21"/>
  <c r="E12" i="21" s="1"/>
  <c r="D43" i="28"/>
  <c r="P45" i="21"/>
  <c r="C44" i="21" s="1"/>
  <c r="S69" i="21"/>
  <c r="F68" i="21" s="1"/>
  <c r="P85" i="21"/>
  <c r="C84" i="21" s="1"/>
  <c r="D4" i="28"/>
  <c r="P6" i="21"/>
  <c r="C5" i="21" s="1"/>
  <c r="F5" i="6"/>
  <c r="T7" i="21" s="1"/>
  <c r="R46" i="21"/>
  <c r="E45" i="21" s="1"/>
  <c r="R62" i="21"/>
  <c r="E61" i="21" s="1"/>
  <c r="S78" i="21"/>
  <c r="F77" i="21" s="1"/>
  <c r="S102" i="21"/>
  <c r="F101" i="21" s="1"/>
  <c r="R32" i="21"/>
  <c r="E31" i="21" s="1"/>
  <c r="D46" i="28"/>
  <c r="P48" i="21"/>
  <c r="C47" i="21" s="1"/>
  <c r="S72" i="21"/>
  <c r="F71" i="21" s="1"/>
  <c r="S28" i="21"/>
  <c r="F27" i="21" s="1"/>
  <c r="S44" i="21"/>
  <c r="F43" i="21" s="1"/>
  <c r="S68" i="21"/>
  <c r="F67" i="21" s="1"/>
  <c r="P92" i="21"/>
  <c r="C91" i="21" s="1"/>
  <c r="Q13" i="21"/>
  <c r="D12" i="21" s="1"/>
  <c r="R45" i="21"/>
  <c r="E44" i="21" s="1"/>
  <c r="R69" i="21"/>
  <c r="E68" i="21" s="1"/>
  <c r="S30" i="21"/>
  <c r="F29" i="21" s="1"/>
  <c r="D60" i="28"/>
  <c r="P62" i="21"/>
  <c r="C61" i="21" s="1"/>
  <c r="Q102" i="21"/>
  <c r="D101" i="21" s="1"/>
  <c r="R87" i="21"/>
  <c r="E86" i="21" s="1"/>
  <c r="D70" i="28"/>
  <c r="P72" i="21"/>
  <c r="C71" i="21" s="1"/>
  <c r="R23" i="21"/>
  <c r="E22" i="21" s="1"/>
  <c r="Q69" i="21"/>
  <c r="D68" i="21" s="1"/>
  <c r="Q93" i="21"/>
  <c r="D92" i="21" s="1"/>
  <c r="S6" i="21"/>
  <c r="F5" i="21" s="1"/>
  <c r="D28" i="28"/>
  <c r="P30" i="21"/>
  <c r="C29" i="21" s="1"/>
  <c r="S94" i="21"/>
  <c r="F93" i="21" s="1"/>
  <c r="P102" i="21"/>
  <c r="C101" i="21" s="1"/>
  <c r="S87" i="21"/>
  <c r="F86" i="21" s="1"/>
  <c r="D30" i="28"/>
  <c r="P32" i="21"/>
  <c r="C31" i="21" s="1"/>
  <c r="S64" i="21"/>
  <c r="F63" i="21" s="1"/>
  <c r="R72" i="21"/>
  <c r="E71" i="21" s="1"/>
  <c r="S96" i="21"/>
  <c r="F95" i="21" s="1"/>
  <c r="S63" i="21"/>
  <c r="F62" i="21" s="1"/>
  <c r="R33" i="21"/>
  <c r="E32" i="21" s="1"/>
  <c r="S73" i="21"/>
  <c r="F72" i="21" s="1"/>
  <c r="S66" i="21"/>
  <c r="F65" i="21" s="1"/>
  <c r="R29" i="21"/>
  <c r="E28" i="21" s="1"/>
  <c r="Q71" i="21"/>
  <c r="D70" i="21" s="1"/>
  <c r="R11" i="21"/>
  <c r="E10" i="21" s="1"/>
  <c r="Q19" i="21"/>
  <c r="D18" i="21" s="1"/>
  <c r="S75" i="21"/>
  <c r="F74" i="21" s="1"/>
  <c r="D81" i="28"/>
  <c r="P83" i="21"/>
  <c r="C82" i="21" s="1"/>
  <c r="R99" i="21"/>
  <c r="E98" i="21" s="1"/>
  <c r="Q52" i="21"/>
  <c r="D51" i="21" s="1"/>
  <c r="E3" i="6"/>
  <c r="E3" i="9"/>
  <c r="S37" i="21"/>
  <c r="F36" i="21" s="1"/>
  <c r="Q6" i="21"/>
  <c r="D5" i="21" s="1"/>
  <c r="D44" i="28"/>
  <c r="P46" i="21"/>
  <c r="C45" i="21" s="1"/>
  <c r="Q32" i="21"/>
  <c r="D31" i="21" s="1"/>
  <c r="Q96" i="21"/>
  <c r="D95" i="21" s="1"/>
  <c r="S39" i="21"/>
  <c r="F38" i="21" s="1"/>
  <c r="R47" i="21"/>
  <c r="E46" i="21" s="1"/>
  <c r="R63" i="21"/>
  <c r="E62" i="21" s="1"/>
  <c r="D7" i="28"/>
  <c r="P9" i="21"/>
  <c r="C8" i="21" s="1"/>
  <c r="S25" i="21"/>
  <c r="F24" i="21" s="1"/>
  <c r="D31" i="28"/>
  <c r="P33" i="21"/>
  <c r="C32" i="21" s="1"/>
  <c r="D47" i="28"/>
  <c r="P49" i="21"/>
  <c r="C48" i="21" s="1"/>
  <c r="R73" i="21"/>
  <c r="E72" i="21" s="1"/>
  <c r="R89" i="21"/>
  <c r="E88" i="21" s="1"/>
  <c r="P97" i="21"/>
  <c r="C96" i="21" s="1"/>
  <c r="Q18" i="21"/>
  <c r="D17" i="21" s="1"/>
  <c r="R42" i="21"/>
  <c r="E41" i="21" s="1"/>
  <c r="R58" i="21"/>
  <c r="E57" i="21" s="1"/>
  <c r="D64" i="28"/>
  <c r="P66" i="21"/>
  <c r="C65" i="21" s="1"/>
  <c r="R82" i="21"/>
  <c r="E81" i="21" s="1"/>
  <c r="Q29" i="21"/>
  <c r="D28" i="21" s="1"/>
  <c r="S77" i="21"/>
  <c r="F76" i="21" s="1"/>
  <c r="P101" i="21"/>
  <c r="C100" i="21" s="1"/>
  <c r="S38" i="21"/>
  <c r="F37" i="21" s="1"/>
  <c r="R71" i="21"/>
  <c r="E70" i="21" s="1"/>
  <c r="R40" i="21"/>
  <c r="E39" i="21" s="1"/>
  <c r="D54" i="28"/>
  <c r="P56" i="21"/>
  <c r="C55" i="21" s="1"/>
  <c r="Q11" i="21"/>
  <c r="D10" i="21" s="1"/>
  <c r="D33" i="28"/>
  <c r="P35" i="21"/>
  <c r="C34" i="21" s="1"/>
  <c r="R51" i="21"/>
  <c r="E50" i="21" s="1"/>
  <c r="D57" i="28"/>
  <c r="P59" i="21"/>
  <c r="C58" i="21" s="1"/>
  <c r="R75" i="21"/>
  <c r="E74" i="21" s="1"/>
  <c r="S99" i="21"/>
  <c r="F98" i="21" s="1"/>
  <c r="S20" i="21"/>
  <c r="F19" i="21" s="1"/>
  <c r="D26" i="28"/>
  <c r="P28" i="21"/>
  <c r="C27" i="21" s="1"/>
  <c r="R44" i="21"/>
  <c r="E43" i="21" s="1"/>
  <c r="Q68" i="21"/>
  <c r="D67" i="21" s="1"/>
  <c r="R84" i="21"/>
  <c r="E83" i="21" s="1"/>
  <c r="Q92" i="21"/>
  <c r="D91" i="21" s="1"/>
  <c r="C3" i="6"/>
  <c r="C3" i="9"/>
  <c r="C4" i="9" s="1"/>
  <c r="D11" i="28"/>
  <c r="P13" i="21"/>
  <c r="C12" i="21" s="1"/>
  <c r="Q37" i="21"/>
  <c r="D36" i="21" s="1"/>
  <c r="Q62" i="21"/>
  <c r="D61" i="21" s="1"/>
  <c r="S15" i="21"/>
  <c r="F14" i="21" s="1"/>
  <c r="D21" i="28"/>
  <c r="P23" i="21"/>
  <c r="C22" i="21" s="1"/>
  <c r="R39" i="21"/>
  <c r="E38" i="21" s="1"/>
  <c r="Q63" i="21"/>
  <c r="D62" i="21" s="1"/>
  <c r="S16" i="21"/>
  <c r="F15" i="21" s="1"/>
  <c r="Q9" i="21"/>
  <c r="D8" i="21" s="1"/>
  <c r="Q25" i="21"/>
  <c r="D24" i="21" s="1"/>
  <c r="Q49" i="21"/>
  <c r="D48" i="21" s="1"/>
  <c r="S65" i="21"/>
  <c r="F64" i="21" s="1"/>
  <c r="D71" i="28"/>
  <c r="P73" i="21"/>
  <c r="C72" i="21" s="1"/>
  <c r="Q89" i="21"/>
  <c r="D88" i="21" s="1"/>
  <c r="R18" i="21"/>
  <c r="E17" i="21" s="1"/>
  <c r="Q34" i="21"/>
  <c r="D33" i="21" s="1"/>
  <c r="D40" i="28"/>
  <c r="P42" i="21"/>
  <c r="C41" i="21" s="1"/>
  <c r="S58" i="21"/>
  <c r="F57" i="21" s="1"/>
  <c r="Q82" i="21"/>
  <c r="D81" i="21" s="1"/>
  <c r="S98" i="21"/>
  <c r="F97" i="21" s="1"/>
  <c r="D27" i="28"/>
  <c r="P29" i="21"/>
  <c r="C28" i="21" s="1"/>
  <c r="D75" i="28"/>
  <c r="P77" i="21"/>
  <c r="C76" i="21" s="1"/>
  <c r="D36" i="28"/>
  <c r="P38" i="21"/>
  <c r="C37" i="21" s="1"/>
  <c r="R86" i="21"/>
  <c r="E85" i="21" s="1"/>
  <c r="D69" i="28"/>
  <c r="P71" i="21"/>
  <c r="C70" i="21" s="1"/>
  <c r="Q40" i="21"/>
  <c r="D39" i="21" s="1"/>
  <c r="S11" i="21"/>
  <c r="F10" i="21" s="1"/>
  <c r="R27" i="21"/>
  <c r="E26" i="21" s="1"/>
  <c r="R35" i="21"/>
  <c r="E34" i="21" s="1"/>
  <c r="S51" i="21"/>
  <c r="F50" i="21" s="1"/>
  <c r="D73" i="28"/>
  <c r="P75" i="21"/>
  <c r="C74" i="21" s="1"/>
  <c r="Q91" i="21"/>
  <c r="D90" i="21" s="1"/>
  <c r="P99" i="21"/>
  <c r="C98" i="21" s="1"/>
  <c r="Q20" i="21"/>
  <c r="D19" i="21" s="1"/>
  <c r="Q44" i="21"/>
  <c r="D43" i="21" s="1"/>
  <c r="Q60" i="21"/>
  <c r="D59" i="21" s="1"/>
  <c r="D66" i="28"/>
  <c r="P68" i="21"/>
  <c r="C67" i="21" s="1"/>
  <c r="S84" i="21"/>
  <c r="F83" i="21" s="1"/>
  <c r="D3" i="6"/>
  <c r="D3" i="9"/>
  <c r="D4" i="9" s="1"/>
  <c r="R37" i="21"/>
  <c r="E36" i="21" s="1"/>
  <c r="D59" i="28"/>
  <c r="P61" i="21"/>
  <c r="C60" i="21" s="1"/>
  <c r="D67" i="28"/>
  <c r="P69" i="21"/>
  <c r="C68" i="21" s="1"/>
  <c r="R93" i="21"/>
  <c r="E92" i="21" s="1"/>
  <c r="R30" i="21"/>
  <c r="E29" i="21" s="1"/>
  <c r="S54" i="21"/>
  <c r="F53" i="21" s="1"/>
  <c r="S62" i="21"/>
  <c r="F61" i="21" s="1"/>
  <c r="Q94" i="21"/>
  <c r="D93" i="21" s="1"/>
  <c r="Q87" i="21"/>
  <c r="D86" i="21" s="1"/>
  <c r="S24" i="21"/>
  <c r="F23" i="21" s="1"/>
  <c r="S32" i="21"/>
  <c r="F31" i="21" s="1"/>
  <c r="Q64" i="21"/>
  <c r="D63" i="21" s="1"/>
  <c r="R96" i="21"/>
  <c r="E95" i="21" s="1"/>
  <c r="S67" i="21"/>
  <c r="F66" i="21" s="1"/>
  <c r="Q75" i="21"/>
  <c r="D74" i="21" s="1"/>
  <c r="S91" i="21"/>
  <c r="F90" i="21" s="1"/>
  <c r="D18" i="28"/>
  <c r="P20" i="21"/>
  <c r="C19" i="21" s="1"/>
  <c r="R36" i="21"/>
  <c r="E35" i="21" s="1"/>
  <c r="D42" i="28"/>
  <c r="P44" i="21"/>
  <c r="C43" i="21" s="1"/>
  <c r="S60" i="21"/>
  <c r="F59" i="21" s="1"/>
  <c r="Q84" i="21"/>
  <c r="D83" i="21" s="1"/>
  <c r="S100" i="21"/>
  <c r="F99" i="21" s="1"/>
  <c r="B4" i="9"/>
  <c r="Q21" i="21"/>
  <c r="D20" i="21" s="1"/>
  <c r="D35" i="28"/>
  <c r="P37" i="21"/>
  <c r="C36" i="21" s="1"/>
  <c r="S61" i="21"/>
  <c r="F60" i="21" s="1"/>
  <c r="P93" i="21"/>
  <c r="C92" i="21" s="1"/>
  <c r="R22" i="21"/>
  <c r="E21" i="21" s="1"/>
  <c r="Q30" i="21"/>
  <c r="D29" i="21" s="1"/>
  <c r="R54" i="21"/>
  <c r="E53" i="21" s="1"/>
  <c r="P94" i="21"/>
  <c r="C93" i="21" s="1"/>
  <c r="Q79" i="21"/>
  <c r="D78" i="21" s="1"/>
  <c r="P87" i="21"/>
  <c r="C86" i="21" s="1"/>
  <c r="Q24" i="21"/>
  <c r="D23" i="21" s="1"/>
  <c r="D62" i="28"/>
  <c r="P64" i="21"/>
  <c r="C63" i="21" s="1"/>
  <c r="S88" i="21"/>
  <c r="F87" i="21" s="1"/>
  <c r="P96" i="21"/>
  <c r="C95" i="21" s="1"/>
  <c r="R5" i="21" l="1"/>
  <c r="E4" i="21" s="1"/>
  <c r="H4" i="6"/>
  <c r="Q5" i="21"/>
  <c r="D4" i="21" s="1"/>
  <c r="G4" i="6"/>
  <c r="E4" i="9"/>
  <c r="F4" i="9" s="1"/>
  <c r="E3" i="11" s="1"/>
  <c r="F3" i="9"/>
  <c r="E4" i="11" s="1"/>
  <c r="S5" i="21"/>
  <c r="F4" i="21" s="1"/>
  <c r="I4" i="6"/>
  <c r="F6" i="6"/>
  <c r="G6" i="11" l="1"/>
  <c r="M6" i="11" s="1"/>
  <c r="G8" i="11"/>
  <c r="M8" i="11" s="1"/>
  <c r="G7" i="11"/>
  <c r="M7" i="11" s="1"/>
  <c r="E3" i="28"/>
  <c r="W6" i="21"/>
  <c r="I5" i="6"/>
  <c r="U6" i="21"/>
  <c r="G5" i="6"/>
  <c r="T8" i="21"/>
  <c r="F7" i="6"/>
  <c r="V6" i="21"/>
  <c r="H5" i="6"/>
  <c r="V7" i="21" l="1"/>
  <c r="H6" i="6"/>
  <c r="U7" i="21"/>
  <c r="G6" i="6"/>
  <c r="E4" i="28"/>
  <c r="W7" i="21"/>
  <c r="I6" i="6"/>
  <c r="T9" i="21"/>
  <c r="F8" i="6"/>
  <c r="M10" i="11"/>
  <c r="E5" i="28" l="1"/>
  <c r="W8" i="21"/>
  <c r="I7" i="6"/>
  <c r="U8" i="21"/>
  <c r="G7" i="6"/>
  <c r="V8" i="21"/>
  <c r="H7" i="6"/>
  <c r="T10" i="21"/>
  <c r="F9" i="6"/>
  <c r="V9" i="21" l="1"/>
  <c r="H8" i="6"/>
  <c r="U9" i="21"/>
  <c r="G8" i="6"/>
  <c r="E6" i="28"/>
  <c r="W9" i="21"/>
  <c r="I8" i="6"/>
  <c r="T11" i="21"/>
  <c r="F10" i="6"/>
  <c r="U10" i="21" l="1"/>
  <c r="G9" i="6"/>
  <c r="E7" i="28"/>
  <c r="W10" i="21"/>
  <c r="I9" i="6"/>
  <c r="T12" i="21"/>
  <c r="F11" i="6"/>
  <c r="V10" i="21"/>
  <c r="H9" i="6"/>
  <c r="V11" i="21" l="1"/>
  <c r="H10" i="6"/>
  <c r="T13" i="21"/>
  <c r="F12" i="6"/>
  <c r="E8" i="28"/>
  <c r="W11" i="21"/>
  <c r="I10" i="6"/>
  <c r="U11" i="21"/>
  <c r="G10" i="6"/>
  <c r="E9" i="28" l="1"/>
  <c r="W12" i="21"/>
  <c r="I11" i="6"/>
  <c r="U12" i="21"/>
  <c r="G11" i="6"/>
  <c r="V12" i="21"/>
  <c r="H11" i="6"/>
  <c r="T14" i="21"/>
  <c r="F13" i="6"/>
  <c r="T15" i="21" l="1"/>
  <c r="F14" i="6"/>
  <c r="V13" i="21"/>
  <c r="H12" i="6"/>
  <c r="U13" i="21"/>
  <c r="G12" i="6"/>
  <c r="E10" i="28"/>
  <c r="W13" i="21"/>
  <c r="I12" i="6"/>
  <c r="U14" i="21" l="1"/>
  <c r="G13" i="6"/>
  <c r="V14" i="21"/>
  <c r="H13" i="6"/>
  <c r="T16" i="21"/>
  <c r="F15" i="6"/>
  <c r="E11" i="28"/>
  <c r="W14" i="21"/>
  <c r="I13" i="6"/>
  <c r="T17" i="21" l="1"/>
  <c r="F16" i="6"/>
  <c r="V15" i="21"/>
  <c r="H14" i="6"/>
  <c r="U15" i="21"/>
  <c r="G14" i="6"/>
  <c r="E12" i="28"/>
  <c r="W15" i="21"/>
  <c r="I14" i="6"/>
  <c r="V16" i="21" l="1"/>
  <c r="H15" i="6"/>
  <c r="T18" i="21"/>
  <c r="F17" i="6"/>
  <c r="U16" i="21"/>
  <c r="G15" i="6"/>
  <c r="E13" i="28"/>
  <c r="W16" i="21"/>
  <c r="I15" i="6"/>
  <c r="V17" i="21" l="1"/>
  <c r="H16" i="6"/>
  <c r="U17" i="21"/>
  <c r="G16" i="6"/>
  <c r="T19" i="21"/>
  <c r="F18" i="6"/>
  <c r="E14" i="28"/>
  <c r="W17" i="21"/>
  <c r="I16" i="6"/>
  <c r="U18" i="21" l="1"/>
  <c r="G17" i="6"/>
  <c r="T20" i="21"/>
  <c r="F19" i="6"/>
  <c r="E15" i="28"/>
  <c r="W18" i="21"/>
  <c r="I17" i="6"/>
  <c r="V18" i="21"/>
  <c r="H17" i="6"/>
  <c r="E16" i="28" l="1"/>
  <c r="W19" i="21"/>
  <c r="I18" i="6"/>
  <c r="T21" i="21"/>
  <c r="F20" i="6"/>
  <c r="V19" i="21"/>
  <c r="H18" i="6"/>
  <c r="U19" i="21"/>
  <c r="G18" i="6"/>
  <c r="V20" i="21" l="1"/>
  <c r="H19" i="6"/>
  <c r="T22" i="21"/>
  <c r="F21" i="6"/>
  <c r="E17" i="28"/>
  <c r="W20" i="21"/>
  <c r="I19" i="6"/>
  <c r="U20" i="21"/>
  <c r="G19" i="6"/>
  <c r="E18" i="28" l="1"/>
  <c r="W21" i="21"/>
  <c r="I20" i="6"/>
  <c r="T23" i="21"/>
  <c r="F22" i="6"/>
  <c r="V21" i="21"/>
  <c r="H20" i="6"/>
  <c r="U21" i="21"/>
  <c r="G20" i="6"/>
  <c r="U22" i="21" l="1"/>
  <c r="G21" i="6"/>
  <c r="V22" i="21"/>
  <c r="H21" i="6"/>
  <c r="T24" i="21"/>
  <c r="F23" i="6"/>
  <c r="E19" i="28"/>
  <c r="W22" i="21"/>
  <c r="I21" i="6"/>
  <c r="T25" i="21" l="1"/>
  <c r="F24" i="6"/>
  <c r="V23" i="21"/>
  <c r="H22" i="6"/>
  <c r="E20" i="28"/>
  <c r="W23" i="21"/>
  <c r="I22" i="6"/>
  <c r="U23" i="21"/>
  <c r="G22" i="6"/>
  <c r="E21" i="28" l="1"/>
  <c r="W24" i="21"/>
  <c r="I23" i="6"/>
  <c r="V24" i="21"/>
  <c r="H23" i="6"/>
  <c r="T26" i="21"/>
  <c r="F25" i="6"/>
  <c r="U24" i="21"/>
  <c r="G23" i="6"/>
  <c r="U25" i="21" l="1"/>
  <c r="G24" i="6"/>
  <c r="T27" i="21"/>
  <c r="F26" i="6"/>
  <c r="E22" i="28"/>
  <c r="W25" i="21"/>
  <c r="I24" i="6"/>
  <c r="V25" i="21"/>
  <c r="H24" i="6"/>
  <c r="T28" i="21" l="1"/>
  <c r="F27" i="6"/>
  <c r="E23" i="28"/>
  <c r="W26" i="21"/>
  <c r="I25" i="6"/>
  <c r="U26" i="21"/>
  <c r="G25" i="6"/>
  <c r="V26" i="21"/>
  <c r="H25" i="6"/>
  <c r="U27" i="21" l="1"/>
  <c r="G26" i="6"/>
  <c r="E24" i="28"/>
  <c r="W27" i="21"/>
  <c r="I26" i="6"/>
  <c r="T29" i="21"/>
  <c r="F28" i="6"/>
  <c r="V27" i="21"/>
  <c r="H26" i="6"/>
  <c r="U28" i="21" l="1"/>
  <c r="G27" i="6"/>
  <c r="T30" i="21"/>
  <c r="F29" i="6"/>
  <c r="E25" i="28"/>
  <c r="W28" i="21"/>
  <c r="I27" i="6"/>
  <c r="V28" i="21"/>
  <c r="H27" i="6"/>
  <c r="E26" i="28" l="1"/>
  <c r="W29" i="21"/>
  <c r="I28" i="6"/>
  <c r="T31" i="21"/>
  <c r="F30" i="6"/>
  <c r="U29" i="21"/>
  <c r="G28" i="6"/>
  <c r="V29" i="21"/>
  <c r="H28" i="6"/>
  <c r="U30" i="21" l="1"/>
  <c r="G29" i="6"/>
  <c r="T32" i="21"/>
  <c r="F31" i="6"/>
  <c r="E27" i="28"/>
  <c r="W30" i="21"/>
  <c r="I29" i="6"/>
  <c r="V30" i="21"/>
  <c r="H29" i="6"/>
  <c r="E28" i="28" l="1"/>
  <c r="W31" i="21"/>
  <c r="I30" i="6"/>
  <c r="T33" i="21"/>
  <c r="F32" i="6"/>
  <c r="U31" i="21"/>
  <c r="G30" i="6"/>
  <c r="V31" i="21"/>
  <c r="H30" i="6"/>
  <c r="U32" i="21" l="1"/>
  <c r="G31" i="6"/>
  <c r="V32" i="21"/>
  <c r="H31" i="6"/>
  <c r="T34" i="21"/>
  <c r="F33" i="6"/>
  <c r="E29" i="28"/>
  <c r="W32" i="21"/>
  <c r="I31" i="6"/>
  <c r="E30" i="28" l="1"/>
  <c r="W33" i="21"/>
  <c r="I32" i="6"/>
  <c r="T35" i="21"/>
  <c r="F34" i="6"/>
  <c r="V33" i="21"/>
  <c r="H32" i="6"/>
  <c r="U33" i="21"/>
  <c r="G32" i="6"/>
  <c r="V34" i="21" l="1"/>
  <c r="H33" i="6"/>
  <c r="T36" i="21"/>
  <c r="F35" i="6"/>
  <c r="E31" i="28"/>
  <c r="W34" i="21"/>
  <c r="I33" i="6"/>
  <c r="U34" i="21"/>
  <c r="G33" i="6"/>
  <c r="E32" i="28" l="1"/>
  <c r="W35" i="21"/>
  <c r="I34" i="6"/>
  <c r="T37" i="21"/>
  <c r="F36" i="6"/>
  <c r="V35" i="21"/>
  <c r="H34" i="6"/>
  <c r="U35" i="21"/>
  <c r="G34" i="6"/>
  <c r="E33" i="28" l="1"/>
  <c r="W36" i="21"/>
  <c r="I35" i="6"/>
  <c r="V36" i="21"/>
  <c r="H35" i="6"/>
  <c r="T38" i="21"/>
  <c r="F37" i="6"/>
  <c r="U36" i="21"/>
  <c r="G35" i="6"/>
  <c r="T39" i="21" l="1"/>
  <c r="F38" i="6"/>
  <c r="E34" i="28"/>
  <c r="W37" i="21"/>
  <c r="I36" i="6"/>
  <c r="V37" i="21"/>
  <c r="H36" i="6"/>
  <c r="U37" i="21"/>
  <c r="G36" i="6"/>
  <c r="E35" i="28" l="1"/>
  <c r="W38" i="21"/>
  <c r="I37" i="6"/>
  <c r="V38" i="21"/>
  <c r="H37" i="6"/>
  <c r="T40" i="21"/>
  <c r="F39" i="6"/>
  <c r="U38" i="21"/>
  <c r="G37" i="6"/>
  <c r="T41" i="21" l="1"/>
  <c r="F40" i="6"/>
  <c r="V39" i="21"/>
  <c r="H38" i="6"/>
  <c r="E36" i="28"/>
  <c r="W39" i="21"/>
  <c r="I38" i="6"/>
  <c r="U39" i="21"/>
  <c r="G38" i="6"/>
  <c r="E37" i="28" l="1"/>
  <c r="W40" i="21"/>
  <c r="I39" i="6"/>
  <c r="V40" i="21"/>
  <c r="H39" i="6"/>
  <c r="T42" i="21"/>
  <c r="F41" i="6"/>
  <c r="U40" i="21"/>
  <c r="G39" i="6"/>
  <c r="V41" i="21" l="1"/>
  <c r="H40" i="6"/>
  <c r="E38" i="28"/>
  <c r="W41" i="21"/>
  <c r="I40" i="6"/>
  <c r="T43" i="21"/>
  <c r="F42" i="6"/>
  <c r="U41" i="21"/>
  <c r="G40" i="6"/>
  <c r="T44" i="21" l="1"/>
  <c r="F43" i="6"/>
  <c r="E39" i="28"/>
  <c r="W42" i="21"/>
  <c r="I41" i="6"/>
  <c r="V42" i="21"/>
  <c r="H41" i="6"/>
  <c r="U42" i="21"/>
  <c r="G41" i="6"/>
  <c r="V43" i="21" l="1"/>
  <c r="H42" i="6"/>
  <c r="E40" i="28"/>
  <c r="W43" i="21"/>
  <c r="I42" i="6"/>
  <c r="T45" i="21"/>
  <c r="F44" i="6"/>
  <c r="U43" i="21"/>
  <c r="G42" i="6"/>
  <c r="E41" i="28" l="1"/>
  <c r="W44" i="21"/>
  <c r="I43" i="6"/>
  <c r="V44" i="21"/>
  <c r="H43" i="6"/>
  <c r="T46" i="21"/>
  <c r="F45" i="6"/>
  <c r="U44" i="21"/>
  <c r="G43" i="6"/>
  <c r="T47" i="21" l="1"/>
  <c r="F46" i="6"/>
  <c r="V45" i="21"/>
  <c r="H44" i="6"/>
  <c r="E42" i="28"/>
  <c r="W45" i="21"/>
  <c r="I44" i="6"/>
  <c r="U45" i="21"/>
  <c r="G44" i="6"/>
  <c r="E43" i="28" l="1"/>
  <c r="W46" i="21"/>
  <c r="I45" i="6"/>
  <c r="V46" i="21"/>
  <c r="H45" i="6"/>
  <c r="T48" i="21"/>
  <c r="F47" i="6"/>
  <c r="U46" i="21"/>
  <c r="G45" i="6"/>
  <c r="T49" i="21" l="1"/>
  <c r="F48" i="6"/>
  <c r="V47" i="21"/>
  <c r="H46" i="6"/>
  <c r="E44" i="28"/>
  <c r="W47" i="21"/>
  <c r="I46" i="6"/>
  <c r="U47" i="21"/>
  <c r="G46" i="6"/>
  <c r="E45" i="28" l="1"/>
  <c r="W48" i="21"/>
  <c r="I47" i="6"/>
  <c r="V48" i="21"/>
  <c r="H47" i="6"/>
  <c r="T50" i="21"/>
  <c r="F49" i="6"/>
  <c r="U48" i="21"/>
  <c r="G47" i="6"/>
  <c r="V49" i="21" l="1"/>
  <c r="H48" i="6"/>
  <c r="E46" i="28"/>
  <c r="W49" i="21"/>
  <c r="I48" i="6"/>
  <c r="T51" i="21"/>
  <c r="F50" i="6"/>
  <c r="U49" i="21"/>
  <c r="G48" i="6"/>
  <c r="E47" i="28" l="1"/>
  <c r="W50" i="21"/>
  <c r="I49" i="6"/>
  <c r="V50" i="21"/>
  <c r="H49" i="6"/>
  <c r="T52" i="21"/>
  <c r="F51" i="6"/>
  <c r="U50" i="21"/>
  <c r="G49" i="6"/>
  <c r="V51" i="21" l="1"/>
  <c r="H50" i="6"/>
  <c r="E48" i="28"/>
  <c r="W51" i="21"/>
  <c r="I50" i="6"/>
  <c r="T53" i="21"/>
  <c r="F52" i="6"/>
  <c r="U51" i="21"/>
  <c r="G50" i="6"/>
  <c r="E49" i="28" l="1"/>
  <c r="W52" i="21"/>
  <c r="I51" i="6"/>
  <c r="V52" i="21"/>
  <c r="H51" i="6"/>
  <c r="T54" i="21"/>
  <c r="F53" i="6"/>
  <c r="U52" i="21"/>
  <c r="G51" i="6"/>
  <c r="E50" i="28" l="1"/>
  <c r="W53" i="21"/>
  <c r="I52" i="6"/>
  <c r="V53" i="21"/>
  <c r="H52" i="6"/>
  <c r="T55" i="21"/>
  <c r="F54" i="6"/>
  <c r="U53" i="21"/>
  <c r="G52" i="6"/>
  <c r="T56" i="21" l="1"/>
  <c r="F55" i="6"/>
  <c r="E51" i="28"/>
  <c r="W54" i="21"/>
  <c r="I53" i="6"/>
  <c r="V54" i="21"/>
  <c r="H53" i="6"/>
  <c r="U54" i="21"/>
  <c r="G53" i="6"/>
  <c r="T57" i="21" l="1"/>
  <c r="F56" i="6"/>
  <c r="V55" i="21"/>
  <c r="H54" i="6"/>
  <c r="E52" i="28"/>
  <c r="W55" i="21"/>
  <c r="I54" i="6"/>
  <c r="U55" i="21"/>
  <c r="G54" i="6"/>
  <c r="V56" i="21" l="1"/>
  <c r="H55" i="6"/>
  <c r="T58" i="21"/>
  <c r="F57" i="6"/>
  <c r="E53" i="28"/>
  <c r="W56" i="21"/>
  <c r="I55" i="6"/>
  <c r="U56" i="21"/>
  <c r="G55" i="6"/>
  <c r="T59" i="21" l="1"/>
  <c r="F58" i="6"/>
  <c r="V57" i="21"/>
  <c r="H56" i="6"/>
  <c r="E54" i="28"/>
  <c r="W57" i="21"/>
  <c r="I56" i="6"/>
  <c r="U57" i="21"/>
  <c r="G56" i="6"/>
  <c r="E55" i="28" l="1"/>
  <c r="W58" i="21"/>
  <c r="I57" i="6"/>
  <c r="T60" i="21"/>
  <c r="F59" i="6"/>
  <c r="V58" i="21"/>
  <c r="H57" i="6"/>
  <c r="U58" i="21"/>
  <c r="G57" i="6"/>
  <c r="V59" i="21" l="1"/>
  <c r="H58" i="6"/>
  <c r="E56" i="28"/>
  <c r="W59" i="21"/>
  <c r="I58" i="6"/>
  <c r="T61" i="21"/>
  <c r="F60" i="6"/>
  <c r="U59" i="21"/>
  <c r="G58" i="6"/>
  <c r="E57" i="28" l="1"/>
  <c r="W60" i="21"/>
  <c r="I59" i="6"/>
  <c r="T62" i="21"/>
  <c r="F61" i="6"/>
  <c r="V60" i="21"/>
  <c r="H59" i="6"/>
  <c r="U60" i="21"/>
  <c r="G59" i="6"/>
  <c r="V61" i="21" l="1"/>
  <c r="H60" i="6"/>
  <c r="E58" i="28"/>
  <c r="W61" i="21"/>
  <c r="I60" i="6"/>
  <c r="T63" i="21"/>
  <c r="F62" i="6"/>
  <c r="U61" i="21"/>
  <c r="G60" i="6"/>
  <c r="V62" i="21" l="1"/>
  <c r="H61" i="6"/>
  <c r="T64" i="21"/>
  <c r="F63" i="6"/>
  <c r="E59" i="28"/>
  <c r="W62" i="21"/>
  <c r="I61" i="6"/>
  <c r="U62" i="21"/>
  <c r="G61" i="6"/>
  <c r="E60" i="28" l="1"/>
  <c r="W63" i="21"/>
  <c r="I62" i="6"/>
  <c r="T65" i="21"/>
  <c r="F64" i="6"/>
  <c r="V63" i="21"/>
  <c r="H62" i="6"/>
  <c r="U63" i="21"/>
  <c r="G62" i="6"/>
  <c r="T66" i="21" l="1"/>
  <c r="F65" i="6"/>
  <c r="E61" i="28"/>
  <c r="W64" i="21"/>
  <c r="I63" i="6"/>
  <c r="V64" i="21"/>
  <c r="H63" i="6"/>
  <c r="U64" i="21"/>
  <c r="G63" i="6"/>
  <c r="E62" i="28" l="1"/>
  <c r="W65" i="21"/>
  <c r="I64" i="6"/>
  <c r="T67" i="21"/>
  <c r="F66" i="6"/>
  <c r="V65" i="21"/>
  <c r="H64" i="6"/>
  <c r="U65" i="21"/>
  <c r="G64" i="6"/>
  <c r="E63" i="28" l="1"/>
  <c r="W66" i="21"/>
  <c r="I65" i="6"/>
  <c r="V66" i="21"/>
  <c r="H65" i="6"/>
  <c r="T68" i="21"/>
  <c r="F67" i="6"/>
  <c r="U66" i="21"/>
  <c r="G65" i="6"/>
  <c r="T69" i="21" l="1"/>
  <c r="F68" i="6"/>
  <c r="V67" i="21"/>
  <c r="H66" i="6"/>
  <c r="E64" i="28"/>
  <c r="W67" i="21"/>
  <c r="I66" i="6"/>
  <c r="U67" i="21"/>
  <c r="G66" i="6"/>
  <c r="E65" i="28" l="1"/>
  <c r="W68" i="21"/>
  <c r="I67" i="6"/>
  <c r="V68" i="21"/>
  <c r="H67" i="6"/>
  <c r="T70" i="21"/>
  <c r="F69" i="6"/>
  <c r="U68" i="21"/>
  <c r="G67" i="6"/>
  <c r="T71" i="21" l="1"/>
  <c r="F70" i="6"/>
  <c r="V69" i="21"/>
  <c r="H68" i="6"/>
  <c r="E66" i="28"/>
  <c r="W69" i="21"/>
  <c r="I68" i="6"/>
  <c r="U69" i="21"/>
  <c r="G68" i="6"/>
  <c r="E67" i="28" l="1"/>
  <c r="W70" i="21"/>
  <c r="I69" i="6"/>
  <c r="V70" i="21"/>
  <c r="H69" i="6"/>
  <c r="T72" i="21"/>
  <c r="F71" i="6"/>
  <c r="U70" i="21"/>
  <c r="G69" i="6"/>
  <c r="E68" i="28" l="1"/>
  <c r="W71" i="21"/>
  <c r="I70" i="6"/>
  <c r="T73" i="21"/>
  <c r="F72" i="6"/>
  <c r="V71" i="21"/>
  <c r="H70" i="6"/>
  <c r="U71" i="21"/>
  <c r="G70" i="6"/>
  <c r="E69" i="28" l="1"/>
  <c r="W72" i="21"/>
  <c r="I71" i="6"/>
  <c r="V72" i="21"/>
  <c r="H71" i="6"/>
  <c r="T74" i="21"/>
  <c r="F73" i="6"/>
  <c r="U72" i="21"/>
  <c r="G71" i="6"/>
  <c r="V73" i="21" l="1"/>
  <c r="H72" i="6"/>
  <c r="T75" i="21"/>
  <c r="F74" i="6"/>
  <c r="E70" i="28"/>
  <c r="W73" i="21"/>
  <c r="I72" i="6"/>
  <c r="U73" i="21"/>
  <c r="G72" i="6"/>
  <c r="E71" i="28" l="1"/>
  <c r="W74" i="21"/>
  <c r="I73" i="6"/>
  <c r="T76" i="21"/>
  <c r="F75" i="6"/>
  <c r="V74" i="21"/>
  <c r="H73" i="6"/>
  <c r="U74" i="21"/>
  <c r="G73" i="6"/>
  <c r="E72" i="28" l="1"/>
  <c r="W75" i="21"/>
  <c r="I74" i="6"/>
  <c r="V75" i="21"/>
  <c r="H74" i="6"/>
  <c r="T77" i="21"/>
  <c r="F76" i="6"/>
  <c r="U75" i="21"/>
  <c r="G74" i="6"/>
  <c r="T78" i="21" l="1"/>
  <c r="F77" i="6"/>
  <c r="E73" i="28"/>
  <c r="W76" i="21"/>
  <c r="I75" i="6"/>
  <c r="V76" i="21"/>
  <c r="H75" i="6"/>
  <c r="U76" i="21"/>
  <c r="G75" i="6"/>
  <c r="E74" i="28" l="1"/>
  <c r="W77" i="21"/>
  <c r="I76" i="6"/>
  <c r="T79" i="21"/>
  <c r="F78" i="6"/>
  <c r="V77" i="21"/>
  <c r="H76" i="6"/>
  <c r="U77" i="21"/>
  <c r="G76" i="6"/>
  <c r="T80" i="21" l="1"/>
  <c r="F79" i="6"/>
  <c r="E75" i="28"/>
  <c r="W78" i="21"/>
  <c r="I77" i="6"/>
  <c r="V78" i="21"/>
  <c r="H77" i="6"/>
  <c r="U78" i="21"/>
  <c r="G77" i="6"/>
  <c r="V79" i="21" l="1"/>
  <c r="H78" i="6"/>
  <c r="T81" i="21"/>
  <c r="F80" i="6"/>
  <c r="E76" i="28"/>
  <c r="W79" i="21"/>
  <c r="I78" i="6"/>
  <c r="U79" i="21"/>
  <c r="G78" i="6"/>
  <c r="T82" i="21" l="1"/>
  <c r="F81" i="6"/>
  <c r="E77" i="28"/>
  <c r="W80" i="21"/>
  <c r="I79" i="6"/>
  <c r="V80" i="21"/>
  <c r="H79" i="6"/>
  <c r="U80" i="21"/>
  <c r="G79" i="6"/>
  <c r="E78" i="28" l="1"/>
  <c r="W81" i="21"/>
  <c r="I80" i="6"/>
  <c r="V81" i="21"/>
  <c r="H80" i="6"/>
  <c r="T83" i="21"/>
  <c r="F82" i="6"/>
  <c r="U81" i="21"/>
  <c r="G80" i="6"/>
  <c r="E79" i="28" l="1"/>
  <c r="W82" i="21"/>
  <c r="I81" i="6"/>
  <c r="T84" i="21"/>
  <c r="F83" i="6"/>
  <c r="V82" i="21"/>
  <c r="H81" i="6"/>
  <c r="U82" i="21"/>
  <c r="G81" i="6"/>
  <c r="E80" i="28" l="1"/>
  <c r="W83" i="21"/>
  <c r="I82" i="6"/>
  <c r="V83" i="21"/>
  <c r="H82" i="6"/>
  <c r="T85" i="21"/>
  <c r="F84" i="6"/>
  <c r="U83" i="21"/>
  <c r="G82" i="6"/>
  <c r="V84" i="21" l="1"/>
  <c r="H83" i="6"/>
  <c r="T86" i="21"/>
  <c r="F85" i="6"/>
  <c r="E81" i="28"/>
  <c r="W84" i="21"/>
  <c r="I83" i="6"/>
  <c r="U84" i="21"/>
  <c r="G83" i="6"/>
  <c r="W85" i="21" l="1"/>
  <c r="I84" i="6"/>
  <c r="T87" i="21"/>
  <c r="F86" i="6"/>
  <c r="V85" i="21"/>
  <c r="H84" i="6"/>
  <c r="U85" i="21"/>
  <c r="G84" i="6"/>
  <c r="U86" i="21" l="1"/>
  <c r="G85" i="6"/>
  <c r="V86" i="21"/>
  <c r="H85" i="6"/>
  <c r="T88" i="21"/>
  <c r="F87" i="6"/>
  <c r="W86" i="21"/>
  <c r="I85" i="6"/>
  <c r="W87" i="21" l="1"/>
  <c r="I86" i="6"/>
  <c r="T89" i="21"/>
  <c r="F88" i="6"/>
  <c r="V87" i="21"/>
  <c r="H86" i="6"/>
  <c r="U87" i="21"/>
  <c r="G86" i="6"/>
  <c r="U88" i="21" l="1"/>
  <c r="G87" i="6"/>
  <c r="V88" i="21"/>
  <c r="H87" i="6"/>
  <c r="T90" i="21"/>
  <c r="F89" i="6"/>
  <c r="W88" i="21"/>
  <c r="I87" i="6"/>
  <c r="W89" i="21" l="1"/>
  <c r="I88" i="6"/>
  <c r="T91" i="21"/>
  <c r="F90" i="6"/>
  <c r="V89" i="21"/>
  <c r="H88" i="6"/>
  <c r="U89" i="21"/>
  <c r="G88" i="6"/>
  <c r="T92" i="21" l="1"/>
  <c r="F91" i="6"/>
  <c r="W90" i="21"/>
  <c r="I89" i="6"/>
  <c r="U90" i="21"/>
  <c r="G89" i="6"/>
  <c r="V90" i="21"/>
  <c r="H89" i="6"/>
  <c r="V91" i="21" l="1"/>
  <c r="H90" i="6"/>
  <c r="U91" i="21"/>
  <c r="G90" i="6"/>
  <c r="W91" i="21"/>
  <c r="I90" i="6"/>
  <c r="T93" i="21"/>
  <c r="F92" i="6"/>
  <c r="T94" i="21" l="1"/>
  <c r="F93" i="6"/>
  <c r="W92" i="21"/>
  <c r="I91" i="6"/>
  <c r="U92" i="21"/>
  <c r="G91" i="6"/>
  <c r="V92" i="21"/>
  <c r="H91" i="6"/>
  <c r="T95" i="21" l="1"/>
  <c r="F94" i="6"/>
  <c r="V93" i="21"/>
  <c r="H92" i="6"/>
  <c r="U93" i="21"/>
  <c r="G92" i="6"/>
  <c r="W93" i="21"/>
  <c r="I92" i="6"/>
  <c r="T96" i="21" l="1"/>
  <c r="F95" i="6"/>
  <c r="W94" i="21"/>
  <c r="I93" i="6"/>
  <c r="U94" i="21"/>
  <c r="G93" i="6"/>
  <c r="V94" i="21"/>
  <c r="H93" i="6"/>
  <c r="V95" i="21" l="1"/>
  <c r="H94" i="6"/>
  <c r="U95" i="21"/>
  <c r="G94" i="6"/>
  <c r="W95" i="21"/>
  <c r="I94" i="6"/>
  <c r="T97" i="21"/>
  <c r="F96" i="6"/>
  <c r="T98" i="21" l="1"/>
  <c r="F97" i="6"/>
  <c r="W96" i="21"/>
  <c r="I95" i="6"/>
  <c r="U96" i="21"/>
  <c r="G95" i="6"/>
  <c r="V96" i="21"/>
  <c r="H95" i="6"/>
  <c r="V97" i="21" l="1"/>
  <c r="H96" i="6"/>
  <c r="U97" i="21"/>
  <c r="G96" i="6"/>
  <c r="W97" i="21"/>
  <c r="I96" i="6"/>
  <c r="T99" i="21"/>
  <c r="F98" i="6"/>
  <c r="T100" i="21" l="1"/>
  <c r="F99" i="6"/>
  <c r="V98" i="21"/>
  <c r="H97" i="6"/>
  <c r="W98" i="21"/>
  <c r="I97" i="6"/>
  <c r="U98" i="21"/>
  <c r="G97" i="6"/>
  <c r="U99" i="21" l="1"/>
  <c r="G98" i="6"/>
  <c r="W99" i="21"/>
  <c r="I98" i="6"/>
  <c r="V99" i="21"/>
  <c r="H98" i="6"/>
  <c r="T101" i="21"/>
  <c r="F100" i="6"/>
  <c r="T102" i="21" l="1"/>
  <c r="F101" i="6"/>
  <c r="T103" i="21" s="1"/>
  <c r="W100" i="21"/>
  <c r="I99" i="6"/>
  <c r="U100" i="21"/>
  <c r="G99" i="6"/>
  <c r="V100" i="21"/>
  <c r="H99" i="6"/>
  <c r="V101" i="21" l="1"/>
  <c r="H100" i="6"/>
  <c r="U101" i="21"/>
  <c r="G100" i="6"/>
  <c r="W101" i="21"/>
  <c r="I100" i="6"/>
  <c r="W102" i="21" l="1"/>
  <c r="I101" i="6"/>
  <c r="W103" i="21" s="1"/>
  <c r="U102" i="21"/>
  <c r="G101" i="6"/>
  <c r="U103" i="21" s="1"/>
  <c r="V102" i="21"/>
  <c r="H101" i="6"/>
  <c r="V103" i="21" s="1"/>
  <c r="K10" i="9" l="1"/>
  <c r="L10" i="9" s="1"/>
  <c r="K11" i="9"/>
  <c r="L11" i="9" s="1"/>
  <c r="K23" i="9"/>
  <c r="L23" i="9" s="1"/>
  <c r="K66" i="9"/>
  <c r="L66" i="9" s="1"/>
  <c r="K57" i="9"/>
  <c r="L57" i="9" s="1"/>
  <c r="K48" i="9"/>
  <c r="L48" i="9" s="1"/>
  <c r="K102" i="9"/>
  <c r="L102" i="9" s="1"/>
  <c r="K58" i="9"/>
  <c r="L58" i="9" s="1"/>
  <c r="K21" i="9"/>
  <c r="L21" i="9" s="1"/>
  <c r="K97" i="9"/>
  <c r="L97" i="9" s="1"/>
  <c r="K28" i="9"/>
  <c r="L28" i="9" s="1"/>
  <c r="K19" i="9"/>
  <c r="L19" i="9" s="1"/>
  <c r="K104" i="9"/>
  <c r="L104" i="9" s="1"/>
  <c r="K53" i="9"/>
  <c r="L53" i="9" s="1"/>
  <c r="K105" i="9"/>
  <c r="L105" i="9" s="1"/>
  <c r="K82" i="9"/>
  <c r="L82" i="9" s="1"/>
  <c r="K85" i="9"/>
  <c r="L85" i="9" s="1"/>
  <c r="K56" i="9"/>
  <c r="L56" i="9" s="1"/>
  <c r="K62" i="9"/>
  <c r="L62" i="9" s="1"/>
  <c r="K34" i="9"/>
  <c r="L34" i="9" s="1"/>
  <c r="K35" i="9"/>
  <c r="L35" i="9" s="1"/>
  <c r="K87" i="9"/>
  <c r="L87" i="9" s="1"/>
  <c r="K45" i="9"/>
  <c r="L45" i="9" s="1"/>
  <c r="K68" i="9"/>
  <c r="L68" i="9" s="1"/>
  <c r="K37" i="9"/>
  <c r="L37" i="9" s="1"/>
  <c r="K9" i="9"/>
  <c r="L9" i="9" s="1"/>
  <c r="K71" i="9"/>
  <c r="L71" i="9" s="1"/>
  <c r="K74" i="9"/>
  <c r="L74" i="9" s="1"/>
  <c r="K49" i="9"/>
  <c r="L49" i="9" s="1"/>
  <c r="K91" i="9"/>
  <c r="L91" i="9" s="1"/>
  <c r="K27" i="9"/>
  <c r="L27" i="9" s="1"/>
  <c r="K41" i="9"/>
  <c r="L41" i="9" s="1"/>
  <c r="K22" i="9"/>
  <c r="L22" i="9" s="1"/>
  <c r="K38" i="9"/>
  <c r="L38" i="9" s="1"/>
  <c r="K99" i="9"/>
  <c r="L99" i="9" s="1"/>
  <c r="K100" i="9"/>
  <c r="L100" i="9" s="1"/>
  <c r="K86" i="9"/>
  <c r="L86" i="9" s="1"/>
  <c r="K43" i="9"/>
  <c r="L43" i="9" s="1"/>
  <c r="K88" i="9"/>
  <c r="L88" i="9" s="1"/>
  <c r="K17" i="9"/>
  <c r="L17" i="9" s="1"/>
  <c r="K93" i="9"/>
  <c r="L93" i="9" s="1"/>
  <c r="K15" i="9"/>
  <c r="L15" i="9" s="1"/>
  <c r="K42" i="9"/>
  <c r="L42" i="9" s="1"/>
  <c r="K12" i="9"/>
  <c r="L12" i="9" s="1"/>
  <c r="K32" i="9"/>
  <c r="L32" i="9" s="1"/>
  <c r="K52" i="9"/>
  <c r="L52" i="9" s="1"/>
  <c r="K90" i="9"/>
  <c r="L90" i="9" s="1"/>
  <c r="K60" i="9"/>
  <c r="L60" i="9" s="1"/>
  <c r="K76" i="9"/>
  <c r="L76" i="9" s="1"/>
  <c r="K101" i="9"/>
  <c r="L101" i="9" s="1"/>
  <c r="K89" i="9"/>
  <c r="L89" i="9" s="1"/>
  <c r="K92" i="9"/>
  <c r="L92" i="9" s="1"/>
  <c r="K81" i="9"/>
  <c r="L81" i="9" s="1"/>
  <c r="K40" i="9"/>
  <c r="L40" i="9" s="1"/>
  <c r="K50" i="9"/>
  <c r="L50" i="9" s="1"/>
  <c r="K30" i="9"/>
  <c r="L30" i="9" s="1"/>
  <c r="K14" i="9"/>
  <c r="L14" i="9" s="1"/>
  <c r="K13" i="9"/>
  <c r="L13" i="9" s="1"/>
  <c r="K33" i="9"/>
  <c r="L33" i="9" s="1"/>
  <c r="K106" i="9"/>
  <c r="L106" i="9" s="1"/>
  <c r="K65" i="9"/>
  <c r="L65" i="9" s="1"/>
  <c r="K36" i="9"/>
  <c r="L36" i="9" s="1"/>
  <c r="K51" i="9"/>
  <c r="L51" i="9" s="1"/>
  <c r="K79" i="9"/>
  <c r="L79" i="9" s="1"/>
  <c r="K24" i="9"/>
  <c r="L24" i="9" s="1"/>
  <c r="K55" i="9"/>
  <c r="L55" i="9" s="1"/>
  <c r="K94" i="9"/>
  <c r="L94" i="9" s="1"/>
  <c r="K54" i="9"/>
  <c r="L54" i="9" s="1"/>
  <c r="K64" i="9"/>
  <c r="L64" i="9" s="1"/>
  <c r="K47" i="9"/>
  <c r="L47" i="9" s="1"/>
  <c r="K73" i="9"/>
  <c r="L73" i="9" s="1"/>
  <c r="K80" i="9"/>
  <c r="L80" i="9" s="1"/>
  <c r="K63" i="9"/>
  <c r="L63" i="9" s="1"/>
  <c r="K75" i="9"/>
  <c r="L75" i="9" s="1"/>
  <c r="K31" i="9"/>
  <c r="L31" i="9" s="1"/>
  <c r="K70" i="9"/>
  <c r="L70" i="9" s="1"/>
  <c r="K46" i="9"/>
  <c r="L46" i="9" s="1"/>
  <c r="K67" i="9"/>
  <c r="L67" i="9" s="1"/>
  <c r="K25" i="9"/>
  <c r="L25" i="9" s="1"/>
  <c r="K44" i="9"/>
  <c r="L44" i="9" s="1"/>
  <c r="K20" i="9"/>
  <c r="L20" i="9" s="1"/>
  <c r="K84" i="9"/>
  <c r="L84" i="9" s="1"/>
  <c r="K98" i="9"/>
  <c r="L98" i="9" s="1"/>
  <c r="K16" i="9"/>
  <c r="L16" i="9" s="1"/>
  <c r="K103" i="9"/>
  <c r="L103" i="9" s="1"/>
  <c r="K69" i="9"/>
  <c r="L69" i="9" s="1"/>
  <c r="K78" i="9"/>
  <c r="L78" i="9" s="1"/>
  <c r="K61" i="9"/>
  <c r="L61" i="9" s="1"/>
  <c r="K39" i="9"/>
  <c r="L39" i="9" s="1"/>
  <c r="K18" i="9"/>
  <c r="L18" i="9" s="1"/>
  <c r="K59" i="9"/>
  <c r="L59" i="9" s="1"/>
  <c r="K95" i="9"/>
  <c r="L95" i="9" s="1"/>
  <c r="K83" i="9"/>
  <c r="L83" i="9" s="1"/>
  <c r="K77" i="9"/>
  <c r="L77" i="9" s="1"/>
  <c r="K96" i="9"/>
  <c r="L96" i="9" s="1"/>
  <c r="K72" i="9"/>
  <c r="L72" i="9" s="1"/>
  <c r="K29" i="9"/>
  <c r="L29" i="9" s="1"/>
  <c r="K26" i="9"/>
  <c r="L26" i="9" s="1"/>
  <c r="H3" i="9" l="1"/>
  <c r="K8" i="9"/>
  <c r="L8" i="9" s="1"/>
  <c r="H1" i="28" l="1"/>
  <c r="H4" i="28" l="1"/>
  <c r="H3" i="28"/>
  <c r="Z16" i="11" l="1"/>
  <c r="Z15" i="11" l="1"/>
  <c r="Z14" i="11"/>
  <c r="Z12" i="11" l="1"/>
  <c r="Z13" i="11"/>
  <c r="G12" i="28" l="1"/>
  <c r="G14" i="28"/>
  <c r="G15" i="28" l="1"/>
  <c r="E2" i="26"/>
  <c r="J15" i="28" l="1"/>
  <c r="E3" i="26"/>
  <c r="G16" i="28"/>
  <c r="B80" i="28" l="1"/>
  <c r="B16" i="28"/>
  <c r="B48" i="28"/>
  <c r="B57" i="28"/>
  <c r="B3" i="28"/>
  <c r="B71" i="28"/>
  <c r="B63" i="28"/>
  <c r="B31" i="28"/>
  <c r="B13" i="28"/>
  <c r="B56" i="28"/>
  <c r="B19" i="28"/>
  <c r="B23" i="28"/>
  <c r="B11" i="28"/>
  <c r="B9" i="28"/>
  <c r="B6" i="28"/>
  <c r="B33" i="28"/>
  <c r="B18" i="28"/>
  <c r="B22" i="28"/>
  <c r="B8" i="28"/>
  <c r="B36" i="28"/>
  <c r="B7" i="28"/>
  <c r="B61" i="28"/>
  <c r="B60" i="28"/>
  <c r="B55" i="28"/>
  <c r="B47" i="28"/>
  <c r="B20" i="28"/>
  <c r="B74" i="28"/>
  <c r="B32" i="28"/>
  <c r="B15" i="28"/>
  <c r="B78" i="28"/>
  <c r="B66" i="28"/>
  <c r="B72" i="28"/>
  <c r="B52" i="28"/>
  <c r="B67" i="28"/>
  <c r="B30" i="28"/>
  <c r="B38" i="28"/>
  <c r="B69" i="28"/>
  <c r="B76" i="28"/>
  <c r="B49" i="28"/>
  <c r="B29" i="28"/>
  <c r="B2" i="28"/>
  <c r="B58" i="28"/>
  <c r="B54" i="28"/>
  <c r="B75" i="28"/>
  <c r="E4" i="26"/>
  <c r="B45" i="28"/>
  <c r="B17" i="28"/>
  <c r="B53" i="28"/>
  <c r="B10" i="28"/>
  <c r="B35" i="28"/>
  <c r="B65" i="28"/>
  <c r="B44" i="28"/>
  <c r="B70" i="28"/>
  <c r="B46" i="28"/>
  <c r="B51" i="28"/>
  <c r="G17" i="28"/>
  <c r="B4" i="28"/>
  <c r="B42" i="28"/>
  <c r="B34" i="28"/>
  <c r="B50" i="28"/>
  <c r="B59" i="28"/>
  <c r="B79" i="28"/>
  <c r="B40" i="28"/>
  <c r="B73" i="28"/>
  <c r="B25" i="28"/>
  <c r="B39" i="28"/>
  <c r="B27" i="28"/>
  <c r="B77" i="28"/>
  <c r="B24" i="28"/>
  <c r="B28" i="28"/>
  <c r="J16" i="28"/>
  <c r="B41" i="28"/>
  <c r="B62" i="28"/>
  <c r="B21" i="28"/>
  <c r="B68" i="28"/>
  <c r="B5" i="28"/>
  <c r="B26" i="28"/>
  <c r="B64" i="28"/>
  <c r="B14" i="28"/>
  <c r="B37" i="28"/>
  <c r="B12" i="28"/>
  <c r="B43" i="28"/>
  <c r="B81" i="28"/>
  <c r="G18" i="28" l="1"/>
  <c r="E5" i="26"/>
  <c r="J17" i="28"/>
  <c r="J18" i="28" l="1"/>
  <c r="E6" i="26"/>
  <c r="X9" i="1" l="1"/>
  <c r="X17" i="1"/>
  <c r="X2" i="1"/>
  <c r="X15" i="1"/>
  <c r="X16" i="1"/>
  <c r="X10" i="1"/>
  <c r="X3" i="1"/>
  <c r="X11" i="1"/>
  <c r="X4" i="1"/>
  <c r="X12" i="1"/>
  <c r="X8" i="1"/>
  <c r="X5" i="1"/>
  <c r="X13" i="1"/>
  <c r="X6" i="1"/>
  <c r="X14" i="1"/>
  <c r="X7" i="1"/>
</calcChain>
</file>

<file path=xl/comments1.xml><?xml version="1.0" encoding="utf-8"?>
<comments xmlns="http://schemas.openxmlformats.org/spreadsheetml/2006/main">
  <authors>
    <author>jinxin</author>
    <author>Javy</author>
  </authors>
  <commentLis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halo:</t>
        </r>
        <r>
          <rPr>
            <sz val="9"/>
            <color indexed="81"/>
            <rFont val="宋体"/>
            <family val="3"/>
            <charset val="134"/>
          </rPr>
          <t xml:space="preserve">
1=马仔宝物
2=马仔宝物碎片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辅助列</t>
        </r>
      </text>
    </comment>
    <comment ref="L1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辅助列
最高为4</t>
        </r>
      </text>
    </comment>
    <comment ref="M1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辅助列</t>
        </r>
      </text>
    </comment>
    <comment ref="B43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钥匙</t>
        </r>
      </text>
    </comment>
    <comment ref="B45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B47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B49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B53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B57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</commentList>
</comments>
</file>

<file path=xl/comments2.xml><?xml version="1.0" encoding="utf-8"?>
<comments xmlns="http://schemas.openxmlformats.org/spreadsheetml/2006/main">
  <authors>
    <author>bobuchen</author>
  </authors>
  <commentList>
    <comment ref="Z7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0表示整数，1表示百分比</t>
        </r>
      </text>
    </comment>
    <comment ref="AA9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霸体等级</t>
        </r>
      </text>
    </comment>
  </commentList>
</comments>
</file>

<file path=xl/comments3.xml><?xml version="1.0" encoding="utf-8"?>
<comments xmlns="http://schemas.openxmlformats.org/spreadsheetml/2006/main">
  <authors>
    <author>jinxin</author>
    <author>Javy</author>
  </authors>
  <commentLis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halo:</t>
        </r>
        <r>
          <rPr>
            <sz val="9"/>
            <color indexed="81"/>
            <rFont val="宋体"/>
            <family val="3"/>
            <charset val="134"/>
          </rPr>
          <t xml:space="preserve">
和道具品质ID相同</t>
        </r>
      </text>
    </comment>
    <comment ref="G1" authorId="1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道具1不能被掠夺</t>
        </r>
      </text>
    </comment>
  </commentList>
</comments>
</file>

<file path=xl/sharedStrings.xml><?xml version="1.0" encoding="utf-8"?>
<sst xmlns="http://schemas.openxmlformats.org/spreadsheetml/2006/main" count="875" uniqueCount="703">
  <si>
    <t>生命</t>
    <phoneticPr fontId="1" type="noConversion"/>
  </si>
  <si>
    <t>攻击</t>
    <phoneticPr fontId="1" type="noConversion"/>
  </si>
  <si>
    <t>防御</t>
    <phoneticPr fontId="1" type="noConversion"/>
  </si>
  <si>
    <t>闪避</t>
    <phoneticPr fontId="1" type="noConversion"/>
  </si>
  <si>
    <t>命中</t>
    <phoneticPr fontId="1" type="noConversion"/>
  </si>
  <si>
    <t>暴击率</t>
    <phoneticPr fontId="1" type="noConversion"/>
  </si>
  <si>
    <t>暴击倍数</t>
    <phoneticPr fontId="1" type="noConversion"/>
  </si>
  <si>
    <t>韧性</t>
    <phoneticPr fontId="1" type="noConversion"/>
  </si>
  <si>
    <t>减伤</t>
    <phoneticPr fontId="1" type="noConversion"/>
  </si>
  <si>
    <t>伤害加深</t>
    <phoneticPr fontId="1" type="noConversion"/>
  </si>
  <si>
    <t>马仔名称</t>
    <phoneticPr fontId="1" type="noConversion"/>
  </si>
  <si>
    <t>马仔星级</t>
    <phoneticPr fontId="1" type="noConversion"/>
  </si>
  <si>
    <t>马仔品级</t>
    <phoneticPr fontId="1" type="noConversion"/>
  </si>
  <si>
    <t>比利</t>
  </si>
  <si>
    <t>肥仔</t>
  </si>
  <si>
    <t>司徒浩南</t>
  </si>
  <si>
    <t>属性点</t>
    <phoneticPr fontId="1" type="noConversion"/>
  </si>
  <si>
    <t>马仔升星每级</t>
    <phoneticPr fontId="1" type="noConversion"/>
  </si>
  <si>
    <t>马仔培养每级</t>
    <phoneticPr fontId="1" type="noConversion"/>
  </si>
  <si>
    <t>马仔躶体</t>
    <phoneticPr fontId="1" type="noConversion"/>
  </si>
  <si>
    <t>马仔品阶</t>
    <phoneticPr fontId="1" type="noConversion"/>
  </si>
  <si>
    <t>系统名称</t>
    <phoneticPr fontId="1" type="noConversion"/>
  </si>
  <si>
    <t>100级总属性</t>
    <phoneticPr fontId="1" type="noConversion"/>
  </si>
  <si>
    <t>开始等级</t>
    <phoneticPr fontId="1" type="noConversion"/>
  </si>
  <si>
    <t>马仔躶体属性</t>
    <phoneticPr fontId="1" type="noConversion"/>
  </si>
  <si>
    <t>马仔等级每级</t>
    <phoneticPr fontId="1" type="noConversion"/>
  </si>
  <si>
    <t>马仔升级每级</t>
    <phoneticPr fontId="1" type="noConversion"/>
  </si>
  <si>
    <t>马仔名称</t>
    <phoneticPr fontId="1" type="noConversion"/>
  </si>
  <si>
    <t>马仔ID</t>
    <phoneticPr fontId="1" type="noConversion"/>
  </si>
  <si>
    <t>摩拉</t>
  </si>
  <si>
    <t>月立</t>
  </si>
  <si>
    <t>名称</t>
    <phoneticPr fontId="1" type="noConversion"/>
  </si>
  <si>
    <t>ID</t>
    <phoneticPr fontId="1" type="noConversion"/>
  </si>
  <si>
    <t>等级</t>
    <phoneticPr fontId="1" type="noConversion"/>
  </si>
  <si>
    <t>92011.png</t>
  </si>
  <si>
    <t>92134.png</t>
  </si>
  <si>
    <t>92243.png</t>
  </si>
  <si>
    <t>92131.png</t>
  </si>
  <si>
    <t>92228.png</t>
  </si>
  <si>
    <t>92264.png</t>
  </si>
  <si>
    <t>92121.png</t>
  </si>
  <si>
    <t>92245.png</t>
  </si>
  <si>
    <t>92141.png</t>
  </si>
  <si>
    <t>92232.png</t>
  </si>
  <si>
    <t>92251.png</t>
  </si>
  <si>
    <t>92271.png</t>
  </si>
  <si>
    <t>92263.png</t>
  </si>
  <si>
    <t>92122.png</t>
  </si>
  <si>
    <t>92244.png</t>
  </si>
  <si>
    <t>92142.png</t>
  </si>
  <si>
    <t>92233.png</t>
  </si>
  <si>
    <t>92272.png</t>
  </si>
  <si>
    <t>92277.png</t>
  </si>
  <si>
    <t>92283.png</t>
  </si>
  <si>
    <t>92014.png</t>
  </si>
  <si>
    <t>92223.png</t>
  </si>
  <si>
    <t>92252.png</t>
  </si>
  <si>
    <t>92273.png</t>
  </si>
  <si>
    <t>92278.png</t>
  </si>
  <si>
    <t>92253.png</t>
  </si>
  <si>
    <t>92124.png</t>
  </si>
  <si>
    <t>92235.png</t>
  </si>
  <si>
    <t>92287.png</t>
  </si>
  <si>
    <t>92254.png</t>
  </si>
  <si>
    <t>92274.png</t>
  </si>
  <si>
    <t>92026.png</t>
  </si>
  <si>
    <t>92279.png</t>
  </si>
  <si>
    <t>92288.png</t>
  </si>
  <si>
    <t>92255.png</t>
  </si>
  <si>
    <t>92236.png</t>
  </si>
  <si>
    <t>92284.png</t>
  </si>
  <si>
    <t>92280.png</t>
  </si>
  <si>
    <t>92256.png</t>
  </si>
  <si>
    <t>92289.png</t>
  </si>
  <si>
    <t>92125.png</t>
  </si>
  <si>
    <t>92275.png</t>
  </si>
  <si>
    <t>92261.png</t>
  </si>
  <si>
    <t>92285.png</t>
  </si>
  <si>
    <t>92296.png</t>
  </si>
  <si>
    <t>92281.png</t>
  </si>
  <si>
    <t>92262.png</t>
  </si>
  <si>
    <t>92276.png</t>
  </si>
  <si>
    <t>92290.png</t>
  </si>
  <si>
    <t>92282.png</t>
  </si>
  <si>
    <t>92297.png</t>
  </si>
  <si>
    <t>92286.png</t>
  </si>
  <si>
    <t>92294.png</t>
  </si>
  <si>
    <t>92298.png</t>
  </si>
  <si>
    <t>92291.png</t>
  </si>
  <si>
    <t>92295.png</t>
  </si>
  <si>
    <t>92299.png</t>
  </si>
  <si>
    <t>装备ICON</t>
    <phoneticPr fontId="1" type="noConversion"/>
  </si>
  <si>
    <t>装备质量</t>
    <phoneticPr fontId="1" type="noConversion"/>
  </si>
  <si>
    <t>合成碎片1</t>
    <phoneticPr fontId="1" type="noConversion"/>
  </si>
  <si>
    <t>碎片1数量</t>
    <phoneticPr fontId="1" type="noConversion"/>
  </si>
  <si>
    <t>合成碎片2</t>
  </si>
  <si>
    <t>碎片2数量</t>
    <phoneticPr fontId="1" type="noConversion"/>
  </si>
  <si>
    <t>合成碎片3</t>
  </si>
  <si>
    <t>碎片3数量</t>
    <phoneticPr fontId="1" type="noConversion"/>
  </si>
  <si>
    <t>马仔升级</t>
    <phoneticPr fontId="1" type="noConversion"/>
  </si>
  <si>
    <t>马仔宝物2</t>
    <phoneticPr fontId="1" type="noConversion"/>
  </si>
  <si>
    <t>马仔宝物3</t>
  </si>
  <si>
    <t>马仔宝物4</t>
  </si>
  <si>
    <t>马仔宝物5</t>
  </si>
  <si>
    <t>马仔宝物6</t>
  </si>
  <si>
    <t>辅助列</t>
    <phoneticPr fontId="1" type="noConversion"/>
  </si>
  <si>
    <t>品质</t>
    <phoneticPr fontId="1" type="noConversion"/>
  </si>
  <si>
    <t>总个数</t>
    <phoneticPr fontId="1" type="noConversion"/>
  </si>
  <si>
    <t>马仔宝物随机1</t>
    <phoneticPr fontId="1" type="noConversion"/>
  </si>
  <si>
    <t>马仔宝物随机2</t>
    <phoneticPr fontId="1" type="noConversion"/>
  </si>
  <si>
    <t>马仔宝物随机3</t>
  </si>
  <si>
    <t>马仔宝物随机4</t>
  </si>
  <si>
    <t>马仔宝物随机5</t>
  </si>
  <si>
    <t>马仔宝物随机6</t>
  </si>
  <si>
    <t>宝物ICON</t>
    <phoneticPr fontId="1" type="noConversion"/>
  </si>
  <si>
    <t>属性价值</t>
    <phoneticPr fontId="1" type="noConversion"/>
  </si>
  <si>
    <t>属性估值</t>
    <phoneticPr fontId="1" type="noConversion"/>
  </si>
  <si>
    <t>预估等级辅助</t>
    <phoneticPr fontId="1" type="noConversion"/>
  </si>
  <si>
    <t>性价比曲线参数</t>
    <phoneticPr fontId="1" type="noConversion"/>
  </si>
  <si>
    <t>总属性估值</t>
    <phoneticPr fontId="1" type="noConversion"/>
  </si>
  <si>
    <t>马仔ID</t>
  </si>
  <si>
    <t>等级</t>
    <phoneticPr fontId="1" type="noConversion"/>
  </si>
  <si>
    <t>quality1</t>
    <phoneticPr fontId="1" type="noConversion"/>
  </si>
  <si>
    <t>quality2</t>
    <phoneticPr fontId="1" type="noConversion"/>
  </si>
  <si>
    <t>quality3</t>
    <phoneticPr fontId="1" type="noConversion"/>
  </si>
  <si>
    <t>quality4</t>
    <phoneticPr fontId="1" type="noConversion"/>
  </si>
  <si>
    <t>马仔培养等级</t>
    <phoneticPr fontId="1" type="noConversion"/>
  </si>
  <si>
    <t>马仔宝物1</t>
    <phoneticPr fontId="1" type="noConversion"/>
  </si>
  <si>
    <t>马仔名称</t>
  </si>
  <si>
    <t>大天二</t>
  </si>
  <si>
    <t>生命</t>
    <phoneticPr fontId="1" type="noConversion"/>
  </si>
  <si>
    <t>攻击</t>
    <phoneticPr fontId="1" type="noConversion"/>
  </si>
  <si>
    <t>防御</t>
    <phoneticPr fontId="1" type="noConversion"/>
  </si>
  <si>
    <t>质量系数</t>
    <phoneticPr fontId="1" type="noConversion"/>
  </si>
  <si>
    <t>BUFFID</t>
  </si>
  <si>
    <t>效果描述</t>
  </si>
  <si>
    <t>永久属性ID</t>
    <phoneticPr fontId="1" type="noConversion"/>
  </si>
  <si>
    <t>永久属性数值</t>
    <phoneticPr fontId="1" type="noConversion"/>
  </si>
  <si>
    <t>名称</t>
    <phoneticPr fontId="1" type="noConversion"/>
  </si>
  <si>
    <t>宝物描述</t>
    <phoneticPr fontId="1" type="noConversion"/>
  </si>
  <si>
    <t>宝物质量</t>
    <phoneticPr fontId="1" type="noConversion"/>
  </si>
  <si>
    <t>临时BUFID</t>
    <phoneticPr fontId="1" type="noConversion"/>
  </si>
  <si>
    <t>临时BUF数值</t>
    <phoneticPr fontId="1" type="noConversion"/>
  </si>
  <si>
    <t>BUF效果</t>
    <phoneticPr fontId="1" type="noConversion"/>
  </si>
  <si>
    <t>BUFID</t>
    <phoneticPr fontId="1" type="noConversion"/>
  </si>
  <si>
    <t>ID</t>
    <phoneticPr fontId="1" type="noConversion"/>
  </si>
  <si>
    <t>技能名称</t>
  </si>
  <si>
    <t>技能等级</t>
  </si>
  <si>
    <t>ICONID</t>
  </si>
  <si>
    <t>战斗力</t>
    <phoneticPr fontId="1" type="noConversion"/>
  </si>
  <si>
    <t>评估等级</t>
    <phoneticPr fontId="1" type="noConversion"/>
  </si>
  <si>
    <t>等级</t>
    <phoneticPr fontId="1" type="noConversion"/>
  </si>
  <si>
    <t>马仔宝物</t>
    <phoneticPr fontId="1" type="noConversion"/>
  </si>
  <si>
    <t>马仔等级</t>
    <phoneticPr fontId="1" type="noConversion"/>
  </si>
  <si>
    <t>马仔培养等级</t>
    <phoneticPr fontId="1" type="noConversion"/>
  </si>
  <si>
    <t>马仔升星</t>
    <phoneticPr fontId="1" type="noConversion"/>
  </si>
  <si>
    <t>关系实例评估</t>
    <phoneticPr fontId="1" type="noConversion"/>
  </si>
  <si>
    <t>系数*成长*等级=属性</t>
    <phoneticPr fontId="1" type="noConversion"/>
  </si>
  <si>
    <t>生命成长</t>
    <phoneticPr fontId="1" type="noConversion"/>
  </si>
  <si>
    <t>攻击成长</t>
    <phoneticPr fontId="1" type="noConversion"/>
  </si>
  <si>
    <t>防御成长</t>
    <phoneticPr fontId="1" type="noConversion"/>
  </si>
  <si>
    <t>总生命成长</t>
    <phoneticPr fontId="1" type="noConversion"/>
  </si>
  <si>
    <t>总攻击成长</t>
    <phoneticPr fontId="1" type="noConversion"/>
  </si>
  <si>
    <t>总防御成长</t>
    <phoneticPr fontId="1" type="noConversion"/>
  </si>
  <si>
    <t>攻击系数</t>
    <phoneticPr fontId="1" type="noConversion"/>
  </si>
  <si>
    <t>防御系数</t>
    <phoneticPr fontId="1" type="noConversion"/>
  </si>
  <si>
    <t>生命系数</t>
    <phoneticPr fontId="1" type="noConversion"/>
  </si>
  <si>
    <t>马仔ID</t>
    <phoneticPr fontId="1" type="noConversion"/>
  </si>
  <si>
    <t>马仔名称</t>
    <phoneticPr fontId="1" type="noConversion"/>
  </si>
  <si>
    <t>马仔等级</t>
    <phoneticPr fontId="1" type="noConversion"/>
  </si>
  <si>
    <t>马仔品级</t>
    <phoneticPr fontId="1" type="noConversion"/>
  </si>
  <si>
    <t>马仔星级</t>
    <phoneticPr fontId="1" type="noConversion"/>
  </si>
  <si>
    <t>马仔培养等级</t>
    <phoneticPr fontId="1" type="noConversion"/>
  </si>
  <si>
    <t>avatarID</t>
    <phoneticPr fontId="1" type="noConversion"/>
  </si>
  <si>
    <t>马仔说明</t>
    <phoneticPr fontId="1" type="noConversion"/>
  </si>
  <si>
    <t>马仔主动技能ID</t>
    <phoneticPr fontId="1" type="noConversion"/>
  </si>
  <si>
    <t>马仔被动技能ID</t>
    <phoneticPr fontId="1" type="noConversion"/>
  </si>
  <si>
    <t>碎片ID</t>
    <phoneticPr fontId="1" type="noConversion"/>
  </si>
  <si>
    <t>合成碎片</t>
    <phoneticPr fontId="1" type="noConversion"/>
  </si>
  <si>
    <t>模型缩放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</si>
  <si>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</si>
  <si>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</si>
  <si>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</si>
  <si>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闪避值</t>
    <phoneticPr fontId="1" type="noConversion"/>
  </si>
  <si>
    <t>命中值</t>
    <phoneticPr fontId="1" type="noConversion"/>
  </si>
  <si>
    <t>暴击值</t>
    <phoneticPr fontId="1" type="noConversion"/>
  </si>
  <si>
    <t>暴击倍数</t>
    <phoneticPr fontId="1" type="noConversion"/>
  </si>
  <si>
    <t>韧性</t>
    <phoneticPr fontId="1" type="noConversion"/>
  </si>
  <si>
    <t>减伤百分比</t>
    <phoneticPr fontId="1" type="noConversion"/>
  </si>
  <si>
    <t>加成百分比</t>
    <phoneticPr fontId="1" type="noConversion"/>
  </si>
  <si>
    <t>马仔ID辅助</t>
    <phoneticPr fontId="1" type="noConversion"/>
  </si>
  <si>
    <t>马仔星级</t>
    <phoneticPr fontId="1" type="noConversion"/>
  </si>
  <si>
    <t>灵魂石ID</t>
    <phoneticPr fontId="1" type="noConversion"/>
  </si>
  <si>
    <t>灵魂石个数</t>
    <phoneticPr fontId="1" type="noConversion"/>
  </si>
  <si>
    <t>ID</t>
    <phoneticPr fontId="1" type="noConversion"/>
  </si>
  <si>
    <t>名称</t>
    <phoneticPr fontId="1" type="noConversion"/>
  </si>
  <si>
    <t>马仔升星+躶体总估值</t>
    <phoneticPr fontId="1" type="noConversion"/>
  </si>
  <si>
    <t>需求个数</t>
    <phoneticPr fontId="1" type="noConversion"/>
  </si>
  <si>
    <t>每个碎片属性估值</t>
    <phoneticPr fontId="1" type="noConversion"/>
  </si>
  <si>
    <t>总经验</t>
    <phoneticPr fontId="1" type="noConversion"/>
  </si>
  <si>
    <t>1经验估值</t>
    <phoneticPr fontId="1" type="noConversion"/>
  </si>
  <si>
    <t>马仔经验</t>
    <phoneticPr fontId="1" type="noConversion"/>
  </si>
  <si>
    <t>穿戴等级</t>
    <phoneticPr fontId="1" type="noConversion"/>
  </si>
  <si>
    <t>估值</t>
    <phoneticPr fontId="1" type="noConversion"/>
  </si>
  <si>
    <t>属性估值</t>
    <phoneticPr fontId="1" type="noConversion"/>
  </si>
  <si>
    <t>品质系数</t>
    <phoneticPr fontId="1" type="noConversion"/>
  </si>
  <si>
    <t>ID</t>
    <phoneticPr fontId="1" type="noConversion"/>
  </si>
  <si>
    <t>名称</t>
    <phoneticPr fontId="1" type="noConversion"/>
  </si>
  <si>
    <t>属性估值</t>
    <phoneticPr fontId="1" type="noConversion"/>
  </si>
  <si>
    <t>属性估值</t>
    <phoneticPr fontId="1" type="noConversion"/>
  </si>
  <si>
    <t>ID</t>
    <phoneticPr fontId="1" type="noConversion"/>
  </si>
  <si>
    <t>名称</t>
    <phoneticPr fontId="1" type="noConversion"/>
  </si>
  <si>
    <t>经验值</t>
    <phoneticPr fontId="1" type="noConversion"/>
  </si>
  <si>
    <t>属性估值</t>
    <phoneticPr fontId="1" type="noConversion"/>
  </si>
  <si>
    <t>马仔宝物</t>
    <phoneticPr fontId="1" type="noConversion"/>
  </si>
  <si>
    <t>马仔灵魂石</t>
    <phoneticPr fontId="1" type="noConversion"/>
  </si>
  <si>
    <t>需求量</t>
    <phoneticPr fontId="1" type="noConversion"/>
  </si>
  <si>
    <t>平均</t>
    <phoneticPr fontId="1" type="noConversion"/>
  </si>
  <si>
    <t>需求经验</t>
    <phoneticPr fontId="1" type="noConversion"/>
  </si>
  <si>
    <t>死亡切割</t>
  </si>
  <si>
    <t>百裂踢</t>
  </si>
  <si>
    <t>临时BUF持续时间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</si>
  <si>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</si>
  <si>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</si>
  <si>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</si>
  <si>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总生命</t>
    <phoneticPr fontId="1" type="noConversion"/>
  </si>
  <si>
    <t>总攻击</t>
    <phoneticPr fontId="1" type="noConversion"/>
  </si>
  <si>
    <t>总防御</t>
    <phoneticPr fontId="1" type="noConversion"/>
  </si>
  <si>
    <t>无重复，加成属性不会为0的装备配置</t>
    <phoneticPr fontId="1" type="noConversion"/>
  </si>
  <si>
    <t>总经验1</t>
    <phoneticPr fontId="1" type="noConversion"/>
  </si>
  <si>
    <t>总经验2</t>
  </si>
  <si>
    <t>总经验3</t>
  </si>
  <si>
    <t>总经验4</t>
  </si>
  <si>
    <t>公式系数参见《游戏配置表.xlsm》</t>
    <phoneticPr fontId="1" type="noConversion"/>
  </si>
  <si>
    <t>技能名字</t>
    <phoneticPr fontId="1" type="noConversion"/>
  </si>
  <si>
    <t>技能等级</t>
    <phoneticPr fontId="1" type="noConversion"/>
  </si>
  <si>
    <t>战斗力</t>
    <phoneticPr fontId="1" type="noConversion"/>
  </si>
  <si>
    <t>技能ICON</t>
    <phoneticPr fontId="1" type="noConversion"/>
  </si>
  <si>
    <t>9606201.png</t>
  </si>
  <si>
    <t>9607201.png</t>
  </si>
  <si>
    <t>9608201.png</t>
  </si>
  <si>
    <t>9609201.png</t>
  </si>
  <si>
    <t>9612201.png</t>
  </si>
  <si>
    <t>9613201.png</t>
  </si>
  <si>
    <t>9614201.png</t>
  </si>
  <si>
    <t>9615201.png</t>
  </si>
  <si>
    <t>9616201.png</t>
  </si>
  <si>
    <t>ID</t>
    <phoneticPr fontId="1" type="noConversion"/>
  </si>
  <si>
    <t>名字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</si>
  <si>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</si>
  <si>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</si>
  <si>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</si>
  <si>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估值</t>
    <phoneticPr fontId="1" type="noConversion"/>
  </si>
  <si>
    <t>名称</t>
    <phoneticPr fontId="1" type="noConversion"/>
  </si>
  <si>
    <t>宝物类型</t>
    <phoneticPr fontId="1" type="noConversion"/>
  </si>
  <si>
    <t>9601201.png</t>
    <phoneticPr fontId="1" type="noConversion"/>
  </si>
  <si>
    <t>9602201.png</t>
    <phoneticPr fontId="1" type="noConversion"/>
  </si>
  <si>
    <t>9603201.png</t>
    <phoneticPr fontId="1" type="noConversion"/>
  </si>
  <si>
    <t>9604201.png</t>
    <phoneticPr fontId="1" type="noConversion"/>
  </si>
  <si>
    <t>9605201.png</t>
    <phoneticPr fontId="1" type="noConversion"/>
  </si>
  <si>
    <t>援护位</t>
    <phoneticPr fontId="1" type="noConversion"/>
  </si>
  <si>
    <t>需求等级</t>
    <phoneticPr fontId="1" type="noConversion"/>
  </si>
  <si>
    <t>马仔当前星级增加的生命=生命成长*当前星级*生命系数</t>
    <phoneticPr fontId="1" type="noConversion"/>
  </si>
  <si>
    <t>马仔当前星级增加的攻击=攻击成长*当前星级*攻击系数</t>
    <phoneticPr fontId="1" type="noConversion"/>
  </si>
  <si>
    <t>马仔当前星级增加的防御=防御成长*当前星级*防御系数</t>
    <phoneticPr fontId="1" type="noConversion"/>
  </si>
  <si>
    <t>生命成长</t>
    <phoneticPr fontId="1" type="noConversion"/>
  </si>
  <si>
    <t>攻击成长</t>
    <phoneticPr fontId="1" type="noConversion"/>
  </si>
  <si>
    <t>防御成长</t>
    <phoneticPr fontId="1" type="noConversion"/>
  </si>
  <si>
    <t>马仔当前星级增加的生命=生命成长*当前星级*生命系数*当前等级</t>
    <phoneticPr fontId="1" type="noConversion"/>
  </si>
  <si>
    <t>马仔当前星级增加的攻击=攻击成长*当前星级*攻击系数*当前等级</t>
    <phoneticPr fontId="1" type="noConversion"/>
  </si>
  <si>
    <t>马仔当前星级增加的防御=防御成长*当前星级*防御系数*当前等级</t>
    <phoneticPr fontId="1" type="noConversion"/>
  </si>
  <si>
    <t>把马仔升星做强</t>
    <phoneticPr fontId="1" type="noConversion"/>
  </si>
  <si>
    <t>黑古</t>
    <phoneticPr fontId="1" type="noConversion"/>
  </si>
  <si>
    <t>黎九</t>
    <phoneticPr fontId="1" type="noConversion"/>
  </si>
  <si>
    <t>山下忠秀</t>
    <phoneticPr fontId="1" type="noConversion"/>
  </si>
  <si>
    <t>蟹仔</t>
    <phoneticPr fontId="1" type="noConversion"/>
  </si>
  <si>
    <t>马仔名字</t>
    <phoneticPr fontId="1" type="noConversion"/>
  </si>
  <si>
    <t>马仔星级</t>
    <phoneticPr fontId="1" type="noConversion"/>
  </si>
  <si>
    <t>马仔品阶</t>
    <phoneticPr fontId="1" type="noConversion"/>
  </si>
  <si>
    <t>评估等级</t>
    <phoneticPr fontId="1" type="noConversion"/>
  </si>
  <si>
    <t>战斗力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</si>
  <si>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</si>
  <si>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</si>
  <si>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</si>
  <si>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马仔装备生命</t>
    <phoneticPr fontId="1" type="noConversion"/>
  </si>
  <si>
    <t>马仔装备攻击</t>
    <phoneticPr fontId="1" type="noConversion"/>
  </si>
  <si>
    <t>马仔装备防御</t>
    <phoneticPr fontId="1" type="noConversion"/>
  </si>
  <si>
    <t>马仔装备战斗力</t>
    <phoneticPr fontId="1" type="noConversion"/>
  </si>
  <si>
    <t>参考等级</t>
    <phoneticPr fontId="1" type="noConversion"/>
  </si>
  <si>
    <t>马仔装备防御</t>
    <phoneticPr fontId="1" type="noConversion"/>
  </si>
  <si>
    <t>ID</t>
    <phoneticPr fontId="1" type="noConversion"/>
  </si>
  <si>
    <t>名称</t>
    <phoneticPr fontId="1" type="noConversion"/>
  </si>
  <si>
    <t>属性估值</t>
    <phoneticPr fontId="1" type="noConversion"/>
  </si>
  <si>
    <t>等级</t>
    <phoneticPr fontId="1" type="noConversion"/>
  </si>
  <si>
    <t>培养等级</t>
    <phoneticPr fontId="1" type="noConversion"/>
  </si>
  <si>
    <t>攻击</t>
    <phoneticPr fontId="1" type="noConversion"/>
  </si>
  <si>
    <t>品质</t>
    <phoneticPr fontId="1" type="noConversion"/>
  </si>
  <si>
    <t>攻击</t>
    <phoneticPr fontId="1" type="noConversion"/>
  </si>
  <si>
    <t>所属马仔品质</t>
    <phoneticPr fontId="1" type="noConversion"/>
  </si>
  <si>
    <t>培养等级</t>
    <phoneticPr fontId="1" type="noConversion"/>
  </si>
  <si>
    <t>所属马仔</t>
    <phoneticPr fontId="1" type="noConversion"/>
  </si>
  <si>
    <t>所属马仔品质</t>
    <phoneticPr fontId="1" type="noConversion"/>
  </si>
  <si>
    <t>主角的相对等级</t>
    <phoneticPr fontId="1" type="noConversion"/>
  </si>
  <si>
    <t>培养等级</t>
    <phoneticPr fontId="1" type="noConversion"/>
  </si>
  <si>
    <t>BUF描述效果</t>
    <phoneticPr fontId="1" type="noConversion"/>
  </si>
  <si>
    <t>时间</t>
    <phoneticPr fontId="1" type="noConversion"/>
  </si>
  <si>
    <t>等级</t>
    <phoneticPr fontId="1" type="noConversion"/>
  </si>
  <si>
    <t>防御</t>
    <phoneticPr fontId="1" type="noConversion"/>
  </si>
  <si>
    <t>总生命</t>
    <phoneticPr fontId="1" type="noConversion"/>
  </si>
  <si>
    <t>总攻击</t>
    <phoneticPr fontId="1" type="noConversion"/>
  </si>
  <si>
    <t>总防御</t>
    <phoneticPr fontId="1" type="noConversion"/>
  </si>
  <si>
    <t>平砍伤害</t>
    <phoneticPr fontId="1" type="noConversion"/>
  </si>
  <si>
    <t>平砍下数</t>
    <phoneticPr fontId="1" type="noConversion"/>
  </si>
  <si>
    <t>马仔技能开启大约等级</t>
    <phoneticPr fontId="1" type="noConversion"/>
  </si>
  <si>
    <t>正常属性占比</t>
    <phoneticPr fontId="1" type="noConversion"/>
  </si>
  <si>
    <t>血量</t>
    <phoneticPr fontId="1" type="noConversion"/>
  </si>
  <si>
    <t>下数</t>
    <phoneticPr fontId="1" type="noConversion"/>
  </si>
  <si>
    <t>攻击增益</t>
    <phoneticPr fontId="1" type="noConversion"/>
  </si>
  <si>
    <t>攻击效果</t>
    <phoneticPr fontId="1" type="noConversion"/>
  </si>
  <si>
    <t>防御加成效果</t>
    <phoneticPr fontId="1" type="noConversion"/>
  </si>
  <si>
    <t>输出增益效果</t>
    <phoneticPr fontId="1" type="noConversion"/>
  </si>
  <si>
    <t>相当血量效果</t>
    <phoneticPr fontId="1" type="noConversion"/>
  </si>
  <si>
    <t>防御增益</t>
    <phoneticPr fontId="1" type="noConversion"/>
  </si>
  <si>
    <t>攻击数值</t>
    <phoneticPr fontId="1" type="noConversion"/>
  </si>
  <si>
    <t>防御数值</t>
    <phoneticPr fontId="1" type="noConversion"/>
  </si>
  <si>
    <t>伤害加成</t>
    <phoneticPr fontId="1" type="noConversion"/>
  </si>
  <si>
    <t>BUFID</t>
    <phoneticPr fontId="1" type="noConversion"/>
  </si>
  <si>
    <t>马仔名字</t>
    <phoneticPr fontId="1" type="noConversion"/>
  </si>
  <si>
    <t>永久属性</t>
    <phoneticPr fontId="1" type="noConversion"/>
  </si>
  <si>
    <t>无属性</t>
  </si>
  <si>
    <t>共级数</t>
    <phoneticPr fontId="1" type="noConversion"/>
  </si>
  <si>
    <t>时间初始</t>
    <phoneticPr fontId="1" type="noConversion"/>
  </si>
  <si>
    <t>时间结束</t>
    <phoneticPr fontId="1" type="noConversion"/>
  </si>
  <si>
    <t>数值开始</t>
    <phoneticPr fontId="1" type="noConversion"/>
  </si>
  <si>
    <t>数值结束</t>
    <phoneticPr fontId="1" type="noConversion"/>
  </si>
  <si>
    <t>每级数值</t>
    <phoneticPr fontId="1" type="noConversion"/>
  </si>
  <si>
    <t>每级时间</t>
    <phoneticPr fontId="1" type="noConversion"/>
  </si>
  <si>
    <t>攻击</t>
  </si>
  <si>
    <t>伤害加深</t>
  </si>
  <si>
    <t>生命</t>
  </si>
  <si>
    <t>防御</t>
  </si>
  <si>
    <t>伤害减免</t>
  </si>
  <si>
    <t>暴击值</t>
  </si>
  <si>
    <t>暴击倍数</t>
  </si>
  <si>
    <t>闪避值</t>
  </si>
  <si>
    <t>永久BUF名字</t>
    <phoneticPr fontId="1" type="noConversion"/>
  </si>
  <si>
    <t>数值初始</t>
    <phoneticPr fontId="1" type="noConversion"/>
  </si>
  <si>
    <t>数值结束</t>
    <phoneticPr fontId="1" type="noConversion"/>
  </si>
  <si>
    <t>攻击力</t>
    <phoneticPr fontId="1" type="noConversion"/>
  </si>
  <si>
    <t>战斗力</t>
    <phoneticPr fontId="1" type="noConversion"/>
  </si>
  <si>
    <t>品质</t>
    <phoneticPr fontId="1" type="noConversion"/>
  </si>
  <si>
    <t>二级属性百分比</t>
    <phoneticPr fontId="1" type="noConversion"/>
  </si>
  <si>
    <t>数值</t>
    <phoneticPr fontId="1" type="noConversion"/>
  </si>
  <si>
    <t>投放</t>
    <phoneticPr fontId="1" type="noConversion"/>
  </si>
  <si>
    <t>80级属性</t>
    <phoneticPr fontId="1" type="noConversion"/>
  </si>
  <si>
    <t>参考数值</t>
    <phoneticPr fontId="1" type="noConversion"/>
  </si>
  <si>
    <t>参考战斗力</t>
    <phoneticPr fontId="1" type="noConversion"/>
  </si>
  <si>
    <t>是否是百分比</t>
    <phoneticPr fontId="1" type="noConversion"/>
  </si>
  <si>
    <t>效果辅助</t>
    <phoneticPr fontId="1" type="noConversion"/>
  </si>
  <si>
    <t>效果辅助1</t>
    <phoneticPr fontId="1" type="noConversion"/>
  </si>
  <si>
    <t>临时数值类型</t>
    <phoneticPr fontId="1" type="noConversion"/>
  </si>
  <si>
    <t>永久属性显示数值</t>
    <phoneticPr fontId="1" type="noConversion"/>
  </si>
  <si>
    <t>恢复生命百分比</t>
  </si>
  <si>
    <t>增加生命值百分比</t>
  </si>
  <si>
    <t>增加防御力数值</t>
  </si>
  <si>
    <t>增加攻击力百分比</t>
  </si>
  <si>
    <t>增加攻击力数值</t>
  </si>
  <si>
    <t>增加生命最大值数值</t>
  </si>
  <si>
    <t>增加暴击值</t>
  </si>
  <si>
    <t>清除主角技能CD</t>
  </si>
  <si>
    <t>减少敌人命中值</t>
  </si>
  <si>
    <t>减少敌人攻击力</t>
  </si>
  <si>
    <t>减少敌人防御</t>
  </si>
  <si>
    <t>无敌</t>
  </si>
  <si>
    <t>霸体</t>
  </si>
  <si>
    <t>模型变大，增加移动速度，增加攻击力，防御力</t>
  </si>
  <si>
    <t>BUF效果</t>
    <phoneticPr fontId="1" type="noConversion"/>
  </si>
  <si>
    <t>参考值</t>
    <phoneticPr fontId="1" type="noConversion"/>
  </si>
  <si>
    <t>暴击倍数</t>
    <phoneticPr fontId="1" type="noConversion"/>
  </si>
  <si>
    <t>暴击值</t>
    <phoneticPr fontId="1" type="noConversion"/>
  </si>
  <si>
    <t>加伤</t>
    <phoneticPr fontId="1" type="noConversion"/>
  </si>
  <si>
    <t>减伤</t>
    <phoneticPr fontId="1" type="noConversion"/>
  </si>
  <si>
    <t>id</t>
    <phoneticPr fontId="1" type="noConversion"/>
  </si>
  <si>
    <t>任务NPC名字</t>
    <phoneticPr fontId="1" type="noConversion"/>
  </si>
  <si>
    <t>品质</t>
    <phoneticPr fontId="1" type="noConversion"/>
  </si>
  <si>
    <t>金币奖励</t>
    <phoneticPr fontId="1" type="noConversion"/>
  </si>
  <si>
    <t>马仔经验奖励</t>
    <phoneticPr fontId="1" type="noConversion"/>
  </si>
  <si>
    <t>马仔AI</t>
    <phoneticPr fontId="1" type="noConversion"/>
  </si>
  <si>
    <t>伤害倍数</t>
    <phoneticPr fontId="1" type="noConversion"/>
  </si>
  <si>
    <t>攻击力倍数</t>
    <phoneticPr fontId="1" type="noConversion"/>
  </si>
  <si>
    <t>品质</t>
    <phoneticPr fontId="1" type="noConversion"/>
  </si>
  <si>
    <t>需求量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</si>
  <si>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</si>
  <si>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</si>
  <si>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</si>
  <si>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</si>
  <si>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</si>
  <si>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急救</t>
  </si>
  <si>
    <t>鼓舞</t>
  </si>
  <si>
    <t>鞭策</t>
  </si>
  <si>
    <t>混世魔王</t>
  </si>
  <si>
    <t>金手指</t>
  </si>
  <si>
    <t>猛虎出山</t>
  </si>
  <si>
    <t>武魂</t>
  </si>
  <si>
    <t>碎片名字1（辅助列）</t>
    <phoneticPr fontId="1" type="noConversion"/>
  </si>
  <si>
    <t>碎片名字2（辅助列）</t>
    <phoneticPr fontId="1" type="noConversion"/>
  </si>
  <si>
    <t>碎片名字3（辅助列）</t>
    <phoneticPr fontId="1" type="noConversion"/>
  </si>
  <si>
    <t>马仔ID</t>
    <phoneticPr fontId="1" type="noConversion"/>
  </si>
  <si>
    <t>亚芝</t>
  </si>
  <si>
    <t>靓坤</t>
  </si>
  <si>
    <t>乌鸦</t>
  </si>
  <si>
    <t>赌王</t>
  </si>
  <si>
    <t>宫本一</t>
  </si>
  <si>
    <t>陈浩南</t>
  </si>
  <si>
    <t>山鸡</t>
  </si>
  <si>
    <t>激励</t>
    <phoneticPr fontId="1" type="noConversion"/>
  </si>
  <si>
    <t>守护</t>
    <phoneticPr fontId="1" type="noConversion"/>
  </si>
  <si>
    <t>硬气功</t>
    <phoneticPr fontId="1" type="noConversion"/>
  </si>
  <si>
    <t>坚毅之躯</t>
    <phoneticPr fontId="1" type="noConversion"/>
  </si>
  <si>
    <t>弱点分析</t>
    <phoneticPr fontId="1" type="noConversion"/>
  </si>
  <si>
    <t>明镜止水</t>
    <phoneticPr fontId="1" type="noConversion"/>
  </si>
  <si>
    <t>阳炎</t>
    <phoneticPr fontId="1" type="noConversion"/>
  </si>
  <si>
    <t>霸气纵横</t>
    <phoneticPr fontId="1" type="noConversion"/>
  </si>
  <si>
    <t>技能说明</t>
    <phoneticPr fontId="1" type="noConversion"/>
  </si>
  <si>
    <t>精密射击</t>
    <phoneticPr fontId="1" type="noConversion"/>
  </si>
  <si>
    <t>火焰龙卷棍</t>
    <phoneticPr fontId="1" type="noConversion"/>
  </si>
  <si>
    <t>致命突袭</t>
    <phoneticPr fontId="1" type="noConversion"/>
  </si>
  <si>
    <t>蛮牛冲撞</t>
    <phoneticPr fontId="1" type="noConversion"/>
  </si>
  <si>
    <t>烈风回旋击</t>
    <phoneticPr fontId="1" type="noConversion"/>
  </si>
  <si>
    <t>猪突猛进</t>
    <phoneticPr fontId="1" type="noConversion"/>
  </si>
  <si>
    <t>毁灭漩涡</t>
    <phoneticPr fontId="1" type="noConversion"/>
  </si>
  <si>
    <t>幻影闪现</t>
    <phoneticPr fontId="1" type="noConversion"/>
  </si>
  <si>
    <t>火力覆盖</t>
    <phoneticPr fontId="1" type="noConversion"/>
  </si>
  <si>
    <t>圆月斩</t>
    <phoneticPr fontId="1" type="noConversion"/>
  </si>
  <si>
    <t>奥义天狗抄</t>
    <phoneticPr fontId="1" type="noConversion"/>
  </si>
  <si>
    <t>风神斩</t>
    <phoneticPr fontId="1" type="noConversion"/>
  </si>
  <si>
    <t>暴虐狂袭</t>
    <phoneticPr fontId="1" type="noConversion"/>
  </si>
  <si>
    <t>狂狮乱舞</t>
    <phoneticPr fontId="1" type="noConversion"/>
  </si>
  <si>
    <t>亚诺</t>
  </si>
  <si>
    <t>毒蝎耳钉</t>
  </si>
  <si>
    <t>诅咒项链</t>
  </si>
  <si>
    <t>幸运戒指</t>
  </si>
  <si>
    <t>银色手环</t>
  </si>
  <si>
    <t>镀金耳钉</t>
  </si>
  <si>
    <t>水晶项链</t>
  </si>
  <si>
    <t>白银戒指</t>
  </si>
  <si>
    <t>银针手表</t>
  </si>
  <si>
    <t>水晶耳钉</t>
  </si>
  <si>
    <t>越野手表</t>
  </si>
  <si>
    <t>鎏金手环</t>
  </si>
  <si>
    <t>银饰耳钉</t>
  </si>
  <si>
    <t>金饰项链</t>
  </si>
  <si>
    <t>黄金戒指</t>
  </si>
  <si>
    <t>白金手环</t>
  </si>
  <si>
    <t>金针手表</t>
  </si>
  <si>
    <t>青玉项链</t>
  </si>
  <si>
    <t>猫妖项链</t>
  </si>
  <si>
    <t>苍蓝戒指</t>
  </si>
  <si>
    <t>红石项链</t>
  </si>
  <si>
    <t>精准手表</t>
  </si>
  <si>
    <t>苍蓝项链</t>
  </si>
  <si>
    <t>贵族项链</t>
  </si>
  <si>
    <t>王者手环</t>
  </si>
  <si>
    <t>小迭钞票</t>
  </si>
  <si>
    <t>金块</t>
  </si>
  <si>
    <t>大迭钞票</t>
  </si>
  <si>
    <t>汉密手表</t>
  </si>
  <si>
    <t>深蓝</t>
  </si>
  <si>
    <t>星光红石</t>
  </si>
  <si>
    <t>符文手环</t>
  </si>
  <si>
    <t>圣徒项链</t>
  </si>
  <si>
    <t>小堆金块</t>
  </si>
  <si>
    <t>红石耳钉</t>
  </si>
  <si>
    <t>金饰宝盒</t>
  </si>
  <si>
    <t>千国手表</t>
  </si>
  <si>
    <t>大金块</t>
  </si>
  <si>
    <t>菠萝</t>
  </si>
  <si>
    <t>大堆钞票</t>
  </si>
  <si>
    <t>宾倪</t>
  </si>
  <si>
    <t>智能手表</t>
  </si>
  <si>
    <t>宝驼</t>
  </si>
  <si>
    <t>黑耀项链</t>
  </si>
  <si>
    <t>珍珠宝盒</t>
  </si>
  <si>
    <t>宝石手环</t>
  </si>
  <si>
    <t>红博机利</t>
  </si>
  <si>
    <t>皇家项链</t>
  </si>
  <si>
    <t>壕利手表</t>
  </si>
  <si>
    <t>大堆金块</t>
  </si>
  <si>
    <t>劳莱斯特</t>
  </si>
  <si>
    <t>翠绿之心</t>
  </si>
  <si>
    <t>巨额钞票</t>
  </si>
  <si>
    <t>古董宝盒</t>
  </si>
  <si>
    <t>海洋之泪</t>
  </si>
  <si>
    <t>巨量金块</t>
  </si>
  <si>
    <t>水晶宝盒</t>
  </si>
  <si>
    <t>房产证</t>
  </si>
  <si>
    <t>给马仔携带，提升马仔属性</t>
    <phoneticPr fontId="1" type="noConversion"/>
  </si>
  <si>
    <t>给马仔携带，提升马仔属性</t>
    <phoneticPr fontId="1" type="noConversion"/>
  </si>
  <si>
    <t>给马仔携带，提升马仔属性</t>
    <phoneticPr fontId="1" type="noConversion"/>
  </si>
  <si>
    <t>合成月立的必备材料</t>
  </si>
  <si>
    <t>合成红石项链的必备材料</t>
  </si>
  <si>
    <t>合成精准手表的必备材料</t>
  </si>
  <si>
    <t>合成苍蓝项链的必备材料</t>
  </si>
  <si>
    <t>合成贵族项链的必备材料</t>
  </si>
  <si>
    <t>合成王者手环的必备材料</t>
  </si>
  <si>
    <t>合成小迭钞票的必备材料</t>
  </si>
  <si>
    <t>合成金块的必备材料</t>
  </si>
  <si>
    <t>合成大迭钞票的必备材料</t>
  </si>
  <si>
    <t>合成汉密手表的必备材料</t>
  </si>
  <si>
    <t>合成深蓝的必备材料</t>
  </si>
  <si>
    <t>合成星光红石的必备材料</t>
  </si>
  <si>
    <t>合成符文手环的必备材料</t>
  </si>
  <si>
    <t>合成赤金戒指的必备材料</t>
  </si>
  <si>
    <t>合成法拉捷的必备材料</t>
  </si>
  <si>
    <t>合成圣徒项链的必备材料</t>
  </si>
  <si>
    <t>合成小堆金块的必备材料</t>
  </si>
  <si>
    <t>合成红石耳钉的必备材料</t>
  </si>
  <si>
    <t>合成金饰宝盒的必备材料</t>
  </si>
  <si>
    <t>合成千国手表的必备材料</t>
  </si>
  <si>
    <t>合成冬利的必备材料</t>
  </si>
  <si>
    <t>合成大金块的必备材料</t>
  </si>
  <si>
    <t>合成菠萝的必备材料</t>
  </si>
  <si>
    <t>合成大堆钞票的必备材料</t>
  </si>
  <si>
    <t>合成宾倪的必备材料</t>
  </si>
  <si>
    <t>合成智能手表的必备材料</t>
  </si>
  <si>
    <t>合成宝驼的必备材料</t>
  </si>
  <si>
    <t>合成黑耀项链的必备材料</t>
  </si>
  <si>
    <t>合成珍珠宝盒的必备材料</t>
  </si>
  <si>
    <t>合成宝石手环的必备材料</t>
  </si>
  <si>
    <t>合成红博机利的必备材料</t>
  </si>
  <si>
    <t>合成皇家项链的必备材料</t>
  </si>
  <si>
    <t>合成壕利手表的必备材料</t>
  </si>
  <si>
    <t>合成大堆金块的必备材料</t>
  </si>
  <si>
    <t>合成劳莱斯特的必备材料</t>
  </si>
  <si>
    <t>合成翠绿之心的必备材料</t>
  </si>
  <si>
    <t>合成巨额钞票的必备材料</t>
  </si>
  <si>
    <t>合成古董宝盒的必备材料</t>
  </si>
  <si>
    <t>合成海洋之泪的必备材料</t>
  </si>
  <si>
    <t>合成巨量金块的必备材料</t>
  </si>
  <si>
    <t>合成水晶宝盒的必备材料</t>
  </si>
  <si>
    <t>合成房产证的必备材料</t>
  </si>
  <si>
    <t>靓坤</t>
    <phoneticPr fontId="1" type="noConversion"/>
  </si>
  <si>
    <t>宫本一</t>
    <phoneticPr fontId="1" type="noConversion"/>
  </si>
  <si>
    <t>陈浩南</t>
    <phoneticPr fontId="1" type="noConversion"/>
  </si>
  <si>
    <t>山鸡</t>
    <phoneticPr fontId="1" type="noConversion"/>
  </si>
  <si>
    <t>价值量</t>
    <phoneticPr fontId="1" type="noConversion"/>
  </si>
  <si>
    <t>合成层级</t>
    <phoneticPr fontId="1" type="noConversion"/>
  </si>
  <si>
    <t>数量统计</t>
    <phoneticPr fontId="1" type="noConversion"/>
  </si>
  <si>
    <t>ID</t>
    <phoneticPr fontId="1" type="noConversion"/>
  </si>
  <si>
    <t>价值系数</t>
    <phoneticPr fontId="1" type="noConversion"/>
  </si>
  <si>
    <t>需求量</t>
    <phoneticPr fontId="1" type="noConversion"/>
  </si>
  <si>
    <t>购买次数</t>
    <phoneticPr fontId="1" type="noConversion"/>
  </si>
  <si>
    <t>价格</t>
    <phoneticPr fontId="1" type="noConversion"/>
  </si>
  <si>
    <t>合成道具2</t>
    <phoneticPr fontId="1" type="noConversion"/>
  </si>
  <si>
    <t>道具2数量</t>
    <phoneticPr fontId="1" type="noConversion"/>
  </si>
  <si>
    <t>合成道具3</t>
    <phoneticPr fontId="1" type="noConversion"/>
  </si>
  <si>
    <t>道具3数量</t>
    <phoneticPr fontId="1" type="noConversion"/>
  </si>
  <si>
    <t>1-1</t>
    <phoneticPr fontId="1" type="noConversion"/>
  </si>
  <si>
    <t>1-1-1-2</t>
    <phoneticPr fontId="1" type="noConversion"/>
  </si>
  <si>
    <t>1-1-2-1</t>
    <phoneticPr fontId="1" type="noConversion"/>
  </si>
  <si>
    <t>1-1-2</t>
    <phoneticPr fontId="1" type="noConversion"/>
  </si>
  <si>
    <t>1-1-2-2</t>
    <phoneticPr fontId="1" type="noConversion"/>
  </si>
  <si>
    <t>1</t>
    <phoneticPr fontId="1" type="noConversion"/>
  </si>
  <si>
    <t>1-1-1</t>
    <phoneticPr fontId="1" type="noConversion"/>
  </si>
  <si>
    <t>任务NPC头像</t>
    <phoneticPr fontId="1" type="noConversion"/>
  </si>
  <si>
    <t>1107.png</t>
    <phoneticPr fontId="1" type="noConversion"/>
  </si>
  <si>
    <t>1108.png</t>
    <phoneticPr fontId="1" type="noConversion"/>
  </si>
  <si>
    <t>2004.png</t>
    <phoneticPr fontId="1" type="noConversion"/>
  </si>
  <si>
    <t>2003.png</t>
    <phoneticPr fontId="1" type="noConversion"/>
  </si>
  <si>
    <t>碎片兑换比</t>
    <phoneticPr fontId="1" type="noConversion"/>
  </si>
  <si>
    <t>总碎片需求</t>
    <phoneticPr fontId="1" type="noConversion"/>
  </si>
  <si>
    <t>雷复轰</t>
    <phoneticPr fontId="1" type="noConversion"/>
  </si>
  <si>
    <t>增加伤害加深百分比</t>
  </si>
  <si>
    <t>增加伤害减少百分比</t>
  </si>
  <si>
    <r>
      <rPr>
        <sz val="11"/>
        <color indexed="8"/>
        <rFont val="宋体"/>
        <family val="3"/>
        <charset val="134"/>
      </rPr>
      <t>马仔追债收益=基础收益</t>
    </r>
    <r>
      <rPr>
        <sz val="11"/>
        <color indexed="25"/>
        <rFont val="宋体"/>
        <family val="3"/>
        <charset val="134"/>
      </rPr>
      <t>（</t>
    </r>
    <r>
      <rPr>
        <sz val="11"/>
        <color indexed="25"/>
        <rFont val="宋体"/>
        <family val="3"/>
        <charset val="134"/>
      </rPr>
      <t>读表，不同品质不同）</t>
    </r>
    <r>
      <rPr>
        <sz val="11"/>
        <color indexed="8"/>
        <rFont val="宋体"/>
        <family val="3"/>
        <charset val="134"/>
      </rPr>
      <t>*（1+等级系数</t>
    </r>
    <r>
      <rPr>
        <sz val="11"/>
        <color indexed="25"/>
        <rFont val="宋体"/>
        <family val="3"/>
        <charset val="134"/>
      </rPr>
      <t>(百分比)</t>
    </r>
    <r>
      <rPr>
        <sz val="11"/>
        <color indexed="8"/>
        <rFont val="宋体"/>
        <family val="3"/>
        <charset val="134"/>
      </rPr>
      <t>*（等级-1））*（1+公会等级系数</t>
    </r>
    <r>
      <rPr>
        <sz val="11"/>
        <color indexed="25"/>
        <rFont val="宋体"/>
        <family val="3"/>
        <charset val="134"/>
      </rPr>
      <t>(百分比)</t>
    </r>
    <r>
      <rPr>
        <sz val="11"/>
        <color indexed="8"/>
        <rFont val="宋体"/>
        <family val="3"/>
        <charset val="134"/>
      </rPr>
      <t>*（公会等级-1））</t>
    </r>
  </si>
  <si>
    <t>lv</t>
    <phoneticPr fontId="1" type="noConversion"/>
  </si>
  <si>
    <t>等级系数</t>
    <phoneticPr fontId="1" type="noConversion"/>
  </si>
  <si>
    <t>公会系数</t>
    <phoneticPr fontId="1" type="noConversion"/>
  </si>
  <si>
    <t>金币</t>
    <phoneticPr fontId="1" type="noConversion"/>
  </si>
  <si>
    <t>经验</t>
    <phoneticPr fontId="1" type="noConversion"/>
  </si>
  <si>
    <t>任务品质</t>
    <phoneticPr fontId="1" type="noConversion"/>
  </si>
  <si>
    <t>公会等级</t>
    <phoneticPr fontId="1" type="noConversion"/>
  </si>
  <si>
    <t>马仔升级经验</t>
    <phoneticPr fontId="1" type="noConversion"/>
  </si>
  <si>
    <t>赌王</t>
    <phoneticPr fontId="1" type="noConversion"/>
  </si>
  <si>
    <t>乌鸦</t>
    <phoneticPr fontId="1" type="noConversion"/>
  </si>
  <si>
    <t>战斗意志</t>
    <phoneticPr fontId="1" type="noConversion"/>
  </si>
  <si>
    <t>9611201.png</t>
    <phoneticPr fontId="1" type="noConversion"/>
  </si>
  <si>
    <t>9610201.png</t>
    <phoneticPr fontId="1" type="noConversion"/>
  </si>
  <si>
    <t>附加战斗力</t>
    <phoneticPr fontId="1" type="noConversion"/>
  </si>
  <si>
    <t>品质</t>
    <phoneticPr fontId="1" type="noConversion"/>
  </si>
  <si>
    <t>战斗力附加值</t>
    <phoneticPr fontId="1" type="noConversion"/>
  </si>
  <si>
    <t>金币奖励</t>
  </si>
  <si>
    <t>马仔经验奖励</t>
  </si>
  <si>
    <t>道具奖励1</t>
  </si>
  <si>
    <t>道具奖励2</t>
  </si>
  <si>
    <t>道具奖励3</t>
  </si>
  <si>
    <t>刷新后升到高一级任务的概率</t>
  </si>
  <si>
    <t>刷新后退到低一级的概率</t>
  </si>
  <si>
    <t>数值</t>
    <phoneticPr fontId="1" type="noConversion"/>
  </si>
  <si>
    <t>在短时间内向目标发起连续踢技让对手防不胜防，伤害随技能等级提升。</t>
  </si>
  <si>
    <t>以精密的射击技术对敌人的弱点发起连续射击，伤害随技能等级提升。</t>
  </si>
  <si>
    <t>以高速挥舞的长棍摩擦空气产生的烈焰吞噬目标，伤害随技能等级提升。</t>
  </si>
  <si>
    <t>以猛烈的拳法配合踢技终结目标，伤害随技能等级提升。</t>
  </si>
  <si>
    <t>以蛮牛般的力量向前方突进，给予前方目标巨大伤害，伤害随技能等级提升。</t>
  </si>
  <si>
    <t>以狂风般的速度发起的三连回旋击，伤害随技能等级提升。</t>
  </si>
  <si>
    <t>用大口径机枪向目标发起疯狂的扫射，伤害随技能等级提升。</t>
  </si>
  <si>
    <t>疯狂的向前方突进，将沿途的敌人统统击飞，伤害随技能等级提升。</t>
  </si>
  <si>
    <t>快速旋转自身，将沿途目标无情撕碎的恐怖招式，伤害随技能等级提升。</t>
  </si>
  <si>
    <t>将目标踢至空中切割的锐利踢技，伤害随技能等级提升。</t>
  </si>
  <si>
    <t>将周围敌人以高速飞舞的纸牌切开，伤害随技能等级提升。</t>
  </si>
  <si>
    <t>划出圆月般的剑气重创周围敌人，伤害随技能等级提升。</t>
  </si>
  <si>
    <t>杀手首领家族代代相传的剑术奥义，伤害随技能等级提升。</t>
  </si>
  <si>
    <t>以极快的凌厉斩击将周围的敌人斩落的高超刀法，伤害随技能等级提升。</t>
  </si>
  <si>
    <t>以锐利的撬棍将敌人挑起的棍法，伤害随技能等级提升。</t>
  </si>
  <si>
    <t>召唤出场时，主角进入无敌状态，持续Y秒。</t>
    <phoneticPr fontId="1" type="noConversion"/>
  </si>
  <si>
    <t>召唤出场时，主角进入霸体状态，持续Y秒。</t>
    <phoneticPr fontId="1" type="noConversion"/>
  </si>
  <si>
    <t>召唤出场时，为主角回复X%最大生命值。</t>
    <phoneticPr fontId="1" type="noConversion"/>
  </si>
  <si>
    <t>召唤出场时，为主角增加生命最大值百分比X%,持续Y秒。</t>
    <phoneticPr fontId="1" type="noConversion"/>
  </si>
  <si>
    <t>召唤出场时，为主角增加攻击力百分比X%,持续Y秒。</t>
    <phoneticPr fontId="1" type="noConversion"/>
  </si>
  <si>
    <t>召唤出场时，为主角增加防御力百分比X%,持续Y秒。</t>
    <phoneticPr fontId="1" type="noConversion"/>
  </si>
  <si>
    <t>召唤出场时，为主角增加暴击倍数X%，持续Y秒。</t>
    <phoneticPr fontId="1" type="noConversion"/>
  </si>
  <si>
    <t>召唤出场时，为主角增加暴击值X，持续Y秒。</t>
    <phoneticPr fontId="1" type="noConversion"/>
  </si>
  <si>
    <t>召唤出场时，为主角增加生命最大值X，持续Y秒。</t>
    <phoneticPr fontId="1" type="noConversion"/>
  </si>
  <si>
    <t>召唤出场时，为主角增加攻击力X，持续Y秒。</t>
    <phoneticPr fontId="1" type="noConversion"/>
  </si>
  <si>
    <t>召唤出场时，为主角增加防御力X，持续Y秒。</t>
    <phoneticPr fontId="1" type="noConversion"/>
  </si>
  <si>
    <t>召唤出场时，为主角增加加伤百分比X%，持续Y秒。</t>
    <phoneticPr fontId="1" type="noConversion"/>
  </si>
  <si>
    <t>召唤出场时，为主角增加减伤百分比X%，持续Y秒。</t>
    <phoneticPr fontId="1" type="noConversion"/>
  </si>
  <si>
    <t>召唤出场时，减少场上所有敌人攻击力X%，持续Y秒。</t>
    <phoneticPr fontId="1" type="noConversion"/>
  </si>
  <si>
    <t>召唤出场时，减少场上所有敌人防御力X%，持续Y秒。</t>
    <phoneticPr fontId="1" type="noConversion"/>
  </si>
  <si>
    <t>召唤出场时，减少场上所有敌人命中值X%，持续Y秒。</t>
    <phoneticPr fontId="1" type="noConversion"/>
  </si>
  <si>
    <t>召唤出场时，主角所有技能立刻全部CD完毕。</t>
    <phoneticPr fontId="1" type="noConversion"/>
  </si>
  <si>
    <t>召唤出场时，主角体型变大，移动速度、攻击力、防御力增加X%,持续Y秒。</t>
    <phoneticPr fontId="1" type="noConversion"/>
  </si>
  <si>
    <t>召唤出场时，场上所有敌人，体型变小，移动速度，攻击力，防御力降低X%，持续Y秒。</t>
    <phoneticPr fontId="1" type="noConversion"/>
  </si>
  <si>
    <t>巴闭</t>
    <phoneticPr fontId="1" type="noConversion"/>
  </si>
  <si>
    <t>耀阳</t>
    <phoneticPr fontId="1" type="noConversion"/>
  </si>
  <si>
    <t>笑面虎</t>
    <phoneticPr fontId="1" type="noConversion"/>
  </si>
  <si>
    <t>品质</t>
    <phoneticPr fontId="1" type="noConversion"/>
  </si>
  <si>
    <t>星级</t>
    <phoneticPr fontId="1" type="noConversion"/>
  </si>
  <si>
    <t>1109_datianer_BOSS</t>
  </si>
  <si>
    <t>1109.png</t>
    <phoneticPr fontId="1" type="noConversion"/>
  </si>
  <si>
    <t>韧性值</t>
  </si>
  <si>
    <t>让敌人变小，减少敌人速度，攻击力，防御力</t>
  </si>
  <si>
    <t>清除敌人的BUFF</t>
  </si>
  <si>
    <t>增加暴击倍数</t>
  </si>
  <si>
    <t>道具1数量</t>
    <phoneticPr fontId="1" type="noConversion"/>
  </si>
  <si>
    <t>道具2数量</t>
    <phoneticPr fontId="1" type="noConversion"/>
  </si>
  <si>
    <t>道具3数量</t>
    <phoneticPr fontId="1" type="noConversion"/>
  </si>
  <si>
    <t>9601101.png</t>
  </si>
  <si>
    <t>9614101.png</t>
  </si>
  <si>
    <t>震慑</t>
    <phoneticPr fontId="1" type="noConversion"/>
  </si>
  <si>
    <t>净化</t>
    <phoneticPr fontId="1" type="noConversion"/>
  </si>
  <si>
    <t>暴怒</t>
    <phoneticPr fontId="1" type="noConversion"/>
  </si>
  <si>
    <t>召唤出场时，场上所有敌人的BUFF会被全部清除。</t>
    <phoneticPr fontId="1" type="noConversion"/>
  </si>
  <si>
    <t>标准升级时间</t>
    <phoneticPr fontId="1" type="noConversion"/>
  </si>
  <si>
    <t>平均每天经验</t>
    <phoneticPr fontId="1" type="noConversion"/>
  </si>
  <si>
    <t>平均</t>
    <phoneticPr fontId="1" type="noConversion"/>
  </si>
  <si>
    <t>每天</t>
    <phoneticPr fontId="1" type="noConversion"/>
  </si>
  <si>
    <t>每日经验</t>
    <phoneticPr fontId="1" type="noConversion"/>
  </si>
  <si>
    <t>药水占比</t>
    <phoneticPr fontId="1" type="noConversion"/>
  </si>
  <si>
    <t>追债经验</t>
    <phoneticPr fontId="1" type="noConversion"/>
  </si>
  <si>
    <t>药水经验</t>
    <phoneticPr fontId="1" type="noConversion"/>
  </si>
  <si>
    <t>追债药水</t>
    <phoneticPr fontId="1" type="noConversion"/>
  </si>
  <si>
    <t>马仔经验药水</t>
  </si>
  <si>
    <t>马仔经验合剂</t>
  </si>
  <si>
    <t>马仔经验甘露</t>
  </si>
  <si>
    <t>投放</t>
    <phoneticPr fontId="1" type="noConversion"/>
  </si>
  <si>
    <t>制服太妹</t>
    <phoneticPr fontId="1" type="noConversion"/>
  </si>
  <si>
    <t>法拉捷</t>
  </si>
  <si>
    <t>冬利</t>
  </si>
  <si>
    <t>赤金戒指</t>
  </si>
  <si>
    <t>92012.png</t>
  </si>
  <si>
    <t>92013.png</t>
  </si>
  <si>
    <t>92240.png</t>
  </si>
  <si>
    <t>92227.png</t>
  </si>
  <si>
    <t>92292.png</t>
  </si>
  <si>
    <t>92293.png</t>
  </si>
  <si>
    <t>以极快的速度挥舞双节棍，给予前方目标沉重打击，伤害随技能等级提升。</t>
    <phoneticPr fontId="1" type="noConversion"/>
  </si>
  <si>
    <t>撩阴腿</t>
    <phoneticPr fontId="1" type="noConversion"/>
  </si>
  <si>
    <t>烈风腿</t>
    <phoneticPr fontId="1" type="noConversion"/>
  </si>
  <si>
    <t>对敌人的要害进行猛烈的踢技，伤害随技能等级提升。</t>
    <phoneticPr fontId="1" type="noConversion"/>
  </si>
  <si>
    <t>以迅捷的腿法将敌人踢飞的踢技，伤害随技能等级提升。</t>
    <phoneticPr fontId="1" type="noConversion"/>
  </si>
  <si>
    <t>黑虎出山</t>
    <phoneticPr fontId="1" type="noConversion"/>
  </si>
  <si>
    <t>以极快的刀法刺穿眼前之敌的阴毒招式，伤害随技能等级提升。</t>
    <phoneticPr fontId="1" type="noConversion"/>
  </si>
  <si>
    <t>生命增加</t>
    <phoneticPr fontId="1" type="noConversion"/>
  </si>
  <si>
    <t>攻击增加</t>
    <phoneticPr fontId="1" type="noConversion"/>
  </si>
  <si>
    <t>防御增加</t>
    <phoneticPr fontId="1" type="noConversion"/>
  </si>
  <si>
    <t>生命值</t>
    <phoneticPr fontId="1" type="noConversion"/>
  </si>
  <si>
    <t>攻击</t>
    <phoneticPr fontId="1" type="noConversion"/>
  </si>
  <si>
    <t>防御</t>
    <phoneticPr fontId="1" type="noConversion"/>
  </si>
  <si>
    <t>临时碎片ID</t>
    <phoneticPr fontId="1" type="noConversion"/>
  </si>
  <si>
    <t>临时碎片ID</t>
    <phoneticPr fontId="1" type="noConversion"/>
  </si>
  <si>
    <t>马仔可升级上限</t>
    <phoneticPr fontId="1" type="noConversion"/>
  </si>
  <si>
    <t>等级</t>
    <phoneticPr fontId="1" type="noConversion"/>
  </si>
  <si>
    <t>金币生产率</t>
    <phoneticPr fontId="1" type="noConversion"/>
  </si>
  <si>
    <t>金币价值</t>
    <phoneticPr fontId="1" type="noConversion"/>
  </si>
  <si>
    <t>装备等级</t>
    <phoneticPr fontId="1" type="noConversion"/>
  </si>
  <si>
    <t>钻石价值</t>
    <phoneticPr fontId="1" type="noConversion"/>
  </si>
  <si>
    <t>平均经验</t>
    <phoneticPr fontId="1" type="noConversion"/>
  </si>
  <si>
    <t>小型宝箱</t>
    <phoneticPr fontId="1" type="noConversion"/>
  </si>
  <si>
    <t>中型宝箱</t>
    <phoneticPr fontId="1" type="noConversion"/>
  </si>
  <si>
    <t>大型宝箱</t>
    <phoneticPr fontId="1" type="noConversion"/>
  </si>
  <si>
    <t>巨型宝箱</t>
    <phoneticPr fontId="1" type="noConversion"/>
  </si>
  <si>
    <t>豪华宝箱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</si>
</sst>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 * #,##0.00_ ;_ * \-#,##0.00_ ;_ * &quot;-&quot;??_ ;_ @_ "/>
    <numFmt numFmtId="176" formatCode="#,##0_ "/>
    <numFmt numFmtId="177" formatCode="#,##0_);\(#,##0\)"/>
    <numFmt numFmtId="178" formatCode="0_ "/>
    <numFmt numFmtId="179" formatCode="#,##0_);[Red]\(#,##0\)"/>
    <numFmt numFmtId="180" formatCode="#,##0.000_ "/>
    <numFmt numFmtId="181" formatCode="#,##0.00000_);[Red]\(#,##0.00000\)"/>
    <numFmt numFmtId="182" formatCode="0.00_ "/>
    <numFmt numFmtId="183" formatCode="#,##0.00_ "/>
    <numFmt numFmtId="184" formatCode="0.00_);[Red]\(0.00\)"/>
    <numFmt numFmtId="185" formatCode="_ * #,##0_ ;_ * \-#,##0_ ;_ * &quot;-&quot;??_ ;_ @_ 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0"/>
      <name val="宋体"/>
      <family val="2"/>
      <scheme val="minor"/>
    </font>
    <font>
      <sz val="11"/>
      <color indexed="8"/>
      <name val="宋体"/>
      <family val="3"/>
      <charset val="134"/>
    </font>
    <font>
      <sz val="11"/>
      <color indexed="25"/>
      <name val="宋体"/>
      <family val="3"/>
      <charset val="134"/>
    </font>
    <font>
      <sz val="11"/>
      <color theme="1"/>
      <name val="宋体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9" fillId="0" borderId="0" applyFont="0" applyFill="0" applyBorder="0" applyAlignment="0" applyProtection="0">
      <alignment vertical="center"/>
    </xf>
  </cellStyleXfs>
  <cellXfs count="139">
    <xf numFmtId="0" fontId="0" fillId="0" borderId="0" xfId="0"/>
    <xf numFmtId="0" fontId="0" fillId="2" borderId="1" xfId="0" applyFill="1" applyBorder="1"/>
    <xf numFmtId="0" fontId="0" fillId="2" borderId="1" xfId="0" applyNumberFormat="1" applyFill="1" applyBorder="1" applyAlignment="1">
      <alignment vertical="center"/>
    </xf>
    <xf numFmtId="0" fontId="0" fillId="3" borderId="1" xfId="0" applyFill="1" applyBorder="1"/>
    <xf numFmtId="0" fontId="0" fillId="4" borderId="1" xfId="0" applyFill="1" applyBorder="1"/>
    <xf numFmtId="0" fontId="0" fillId="0" borderId="2" xfId="0" applyBorder="1"/>
    <xf numFmtId="0" fontId="0" fillId="0" borderId="1" xfId="0" applyBorder="1"/>
    <xf numFmtId="0" fontId="0" fillId="0" borderId="1" xfId="0" applyBorder="1" applyAlignment="1"/>
    <xf numFmtId="176" fontId="0" fillId="0" borderId="1" xfId="0" applyNumberFormat="1" applyBorder="1"/>
    <xf numFmtId="0" fontId="0" fillId="2" borderId="3" xfId="0" applyFill="1" applyBorder="1"/>
    <xf numFmtId="0" fontId="0" fillId="0" borderId="1" xfId="0" applyBorder="1" applyAlignment="1">
      <alignment horizontal="center"/>
    </xf>
    <xf numFmtId="177" fontId="0" fillId="0" borderId="2" xfId="0" applyNumberFormat="1" applyBorder="1"/>
    <xf numFmtId="178" fontId="0" fillId="0" borderId="1" xfId="0" applyNumberFormat="1" applyBorder="1" applyAlignment="1">
      <alignment vertical="center"/>
    </xf>
    <xf numFmtId="0" fontId="0" fillId="5" borderId="1" xfId="0" applyFill="1" applyBorder="1"/>
    <xf numFmtId="179" fontId="0" fillId="0" borderId="1" xfId="0" applyNumberFormat="1" applyBorder="1"/>
    <xf numFmtId="0" fontId="0" fillId="2" borderId="4" xfId="0" applyFill="1" applyBorder="1"/>
    <xf numFmtId="0" fontId="0" fillId="2" borderId="5" xfId="0" applyFill="1" applyBorder="1"/>
    <xf numFmtId="176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4" xfId="0" applyFill="1" applyBorder="1"/>
    <xf numFmtId="0" fontId="0" fillId="2" borderId="2" xfId="0" applyNumberFormat="1" applyFill="1" applyBorder="1" applyAlignment="1">
      <alignment vertical="center"/>
    </xf>
    <xf numFmtId="0" fontId="0" fillId="2" borderId="11" xfId="0" applyFill="1" applyBorder="1"/>
    <xf numFmtId="0" fontId="0" fillId="0" borderId="11" xfId="0" applyBorder="1"/>
    <xf numFmtId="0" fontId="0" fillId="0" borderId="0" xfId="0" applyBorder="1"/>
    <xf numFmtId="178" fontId="0" fillId="0" borderId="0" xfId="0" applyNumberFormat="1"/>
    <xf numFmtId="0" fontId="0" fillId="0" borderId="1" xfId="0" applyFill="1" applyBorder="1"/>
    <xf numFmtId="0" fontId="0" fillId="0" borderId="1" xfId="0" applyFill="1" applyBorder="1" applyAlignment="1"/>
    <xf numFmtId="180" fontId="0" fillId="0" borderId="1" xfId="0" applyNumberFormat="1" applyBorder="1"/>
    <xf numFmtId="0" fontId="0" fillId="0" borderId="1" xfId="0" applyBorder="1" applyAlignment="1">
      <alignment horizontal="center"/>
    </xf>
    <xf numFmtId="0" fontId="0" fillId="2" borderId="5" xfId="0" applyNumberFormat="1" applyFill="1" applyBorder="1" applyAlignment="1">
      <alignment vertical="center"/>
    </xf>
    <xf numFmtId="179" fontId="0" fillId="0" borderId="1" xfId="0" applyNumberFormat="1" applyBorder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4" xfId="0" applyNumberFormat="1" applyFill="1" applyBorder="1" applyAlignment="1">
      <alignment horizontal="center"/>
    </xf>
    <xf numFmtId="0" fontId="0" fillId="0" borderId="0" xfId="0" applyFont="1"/>
    <xf numFmtId="179" fontId="0" fillId="0" borderId="4" xfId="0" applyNumberFormat="1" applyFill="1" applyBorder="1" applyAlignment="1">
      <alignment horizontal="center"/>
    </xf>
    <xf numFmtId="0" fontId="0" fillId="0" borderId="0" xfId="0" applyFill="1"/>
    <xf numFmtId="0" fontId="0" fillId="2" borderId="0" xfId="0" applyFill="1" applyBorder="1"/>
    <xf numFmtId="0" fontId="0" fillId="0" borderId="13" xfId="0" applyNumberFormat="1" applyBorder="1"/>
    <xf numFmtId="0" fontId="0" fillId="0" borderId="0" xfId="0" applyNumberFormat="1"/>
    <xf numFmtId="0" fontId="0" fillId="0" borderId="1" xfId="0" applyNumberFormat="1" applyBorder="1"/>
    <xf numFmtId="182" fontId="0" fillId="0" borderId="0" xfId="0" applyNumberFormat="1"/>
    <xf numFmtId="0" fontId="0" fillId="6" borderId="1" xfId="0" applyFill="1" applyBorder="1"/>
    <xf numFmtId="0" fontId="0" fillId="6" borderId="0" xfId="0" applyFill="1"/>
    <xf numFmtId="0" fontId="0" fillId="0" borderId="4" xfId="0" applyFill="1" applyBorder="1"/>
    <xf numFmtId="0" fontId="0" fillId="5" borderId="1" xfId="0" applyFill="1" applyBorder="1" applyAlignment="1"/>
    <xf numFmtId="0" fontId="0" fillId="5" borderId="1" xfId="0" applyFill="1" applyBorder="1" applyAlignment="1">
      <alignment horizontal="center"/>
    </xf>
    <xf numFmtId="0" fontId="0" fillId="0" borderId="4" xfId="0" applyFill="1" applyBorder="1" applyAlignment="1"/>
    <xf numFmtId="0" fontId="0" fillId="7" borderId="1" xfId="0" applyFill="1" applyBorder="1"/>
    <xf numFmtId="0" fontId="0" fillId="7" borderId="0" xfId="0" applyFill="1"/>
    <xf numFmtId="0" fontId="0" fillId="8" borderId="1" xfId="0" applyFill="1" applyBorder="1"/>
    <xf numFmtId="0" fontId="0" fillId="8" borderId="0" xfId="0" applyFill="1"/>
    <xf numFmtId="9" fontId="0" fillId="0" borderId="0" xfId="0" applyNumberFormat="1"/>
    <xf numFmtId="0" fontId="0" fillId="9" borderId="0" xfId="0" applyFill="1"/>
    <xf numFmtId="0" fontId="0" fillId="9" borderId="1" xfId="0" applyFill="1" applyBorder="1"/>
    <xf numFmtId="10" fontId="0" fillId="0" borderId="0" xfId="0" applyNumberFormat="1"/>
    <xf numFmtId="183" fontId="0" fillId="0" borderId="0" xfId="0" applyNumberFormat="1"/>
    <xf numFmtId="9" fontId="0" fillId="0" borderId="1" xfId="0" applyNumberFormat="1" applyBorder="1"/>
    <xf numFmtId="0" fontId="0" fillId="0" borderId="1" xfId="0" applyBorder="1" applyAlignment="1">
      <alignment horizontal="left"/>
    </xf>
    <xf numFmtId="0" fontId="0" fillId="0" borderId="5" xfId="0" applyFill="1" applyBorder="1" applyAlignment="1"/>
    <xf numFmtId="183" fontId="0" fillId="8" borderId="1" xfId="0" applyNumberFormat="1" applyFill="1" applyBorder="1"/>
    <xf numFmtId="10" fontId="0" fillId="0" borderId="1" xfId="0" applyNumberFormat="1" applyBorder="1"/>
    <xf numFmtId="0" fontId="0" fillId="10" borderId="1" xfId="0" applyFill="1" applyBorder="1"/>
    <xf numFmtId="0" fontId="0" fillId="11" borderId="1" xfId="0" applyFill="1" applyBorder="1"/>
    <xf numFmtId="0" fontId="0" fillId="0" borderId="5" xfId="0" applyBorder="1"/>
    <xf numFmtId="0" fontId="0" fillId="0" borderId="3" xfId="0" applyBorder="1"/>
    <xf numFmtId="0" fontId="0" fillId="10" borderId="1" xfId="0" applyNumberFormat="1" applyFill="1" applyBorder="1"/>
    <xf numFmtId="10" fontId="0" fillId="10" borderId="1" xfId="0" applyNumberFormat="1" applyFill="1" applyBorder="1"/>
    <xf numFmtId="176" fontId="0" fillId="10" borderId="1" xfId="0" applyNumberFormat="1" applyFill="1" applyBorder="1"/>
    <xf numFmtId="0" fontId="0" fillId="4" borderId="2" xfId="0" applyFill="1" applyBorder="1"/>
    <xf numFmtId="0" fontId="0" fillId="9" borderId="3" xfId="0" applyFill="1" applyBorder="1"/>
    <xf numFmtId="0" fontId="0" fillId="0" borderId="15" xfId="0" applyNumberFormat="1" applyBorder="1"/>
    <xf numFmtId="0" fontId="0" fillId="0" borderId="3" xfId="0" applyFill="1" applyBorder="1"/>
    <xf numFmtId="0" fontId="0" fillId="7" borderId="3" xfId="0" applyFill="1" applyBorder="1"/>
    <xf numFmtId="0" fontId="0" fillId="8" borderId="3" xfId="0" applyFill="1" applyBorder="1"/>
    <xf numFmtId="183" fontId="0" fillId="8" borderId="3" xfId="0" applyNumberFormat="1" applyFill="1" applyBorder="1"/>
    <xf numFmtId="0" fontId="0" fillId="5" borderId="1" xfId="0" applyNumberFormat="1" applyFill="1" applyBorder="1"/>
    <xf numFmtId="0" fontId="0" fillId="0" borderId="1" xfId="0" applyNumberFormat="1" applyFill="1" applyBorder="1"/>
    <xf numFmtId="0" fontId="0" fillId="0" borderId="14" xfId="0" applyNumberFormat="1" applyFill="1" applyBorder="1"/>
    <xf numFmtId="0" fontId="0" fillId="0" borderId="11" xfId="0" applyNumberFormat="1" applyFill="1" applyBorder="1"/>
    <xf numFmtId="0" fontId="0" fillId="0" borderId="0" xfId="0" applyNumberFormat="1" applyFill="1"/>
    <xf numFmtId="0" fontId="0" fillId="4" borderId="0" xfId="0" applyFill="1" applyBorder="1"/>
    <xf numFmtId="9" fontId="0" fillId="0" borderId="0" xfId="0" applyNumberFormat="1" applyBorder="1"/>
    <xf numFmtId="184" fontId="0" fillId="0" borderId="11" xfId="0" applyNumberFormat="1" applyBorder="1"/>
    <xf numFmtId="0" fontId="0" fillId="0" borderId="14" xfId="0" applyFill="1" applyBorder="1"/>
    <xf numFmtId="0" fontId="0" fillId="0" borderId="0" xfId="0" applyFill="1" applyBorder="1"/>
    <xf numFmtId="0" fontId="0" fillId="0" borderId="3" xfId="0" applyFill="1" applyBorder="1" applyAlignment="1"/>
    <xf numFmtId="0" fontId="0" fillId="0" borderId="0" xfId="0" applyAlignment="1">
      <alignment horizontal="center"/>
    </xf>
    <xf numFmtId="0" fontId="0" fillId="0" borderId="2" xfId="0" applyBorder="1" applyAlignment="1"/>
    <xf numFmtId="0" fontId="0" fillId="5" borderId="0" xfId="0" applyFill="1" applyBorder="1" applyAlignment="1">
      <alignment horizontal="center"/>
    </xf>
    <xf numFmtId="0" fontId="0" fillId="0" borderId="0" xfId="0" applyBorder="1" applyAlignment="1"/>
    <xf numFmtId="0" fontId="0" fillId="5" borderId="16" xfId="0" applyFill="1" applyBorder="1"/>
    <xf numFmtId="0" fontId="0" fillId="5" borderId="0" xfId="0" applyFill="1" applyBorder="1"/>
    <xf numFmtId="0" fontId="0" fillId="5" borderId="4" xfId="0" applyFill="1" applyBorder="1"/>
    <xf numFmtId="0" fontId="4" fillId="5" borderId="1" xfId="0" applyFont="1" applyFill="1" applyBorder="1"/>
    <xf numFmtId="0" fontId="5" fillId="0" borderId="2" xfId="0" applyFont="1" applyBorder="1"/>
    <xf numFmtId="0" fontId="5" fillId="0" borderId="0" xfId="0" applyFont="1"/>
    <xf numFmtId="49" fontId="0" fillId="0" borderId="16" xfId="0" applyNumberFormat="1" applyFill="1" applyBorder="1"/>
    <xf numFmtId="49" fontId="0" fillId="0" borderId="0" xfId="0" applyNumberFormat="1"/>
    <xf numFmtId="0" fontId="5" fillId="0" borderId="1" xfId="0" applyFont="1" applyBorder="1"/>
    <xf numFmtId="0" fontId="6" fillId="12" borderId="1" xfId="0" applyFont="1" applyFill="1" applyBorder="1"/>
    <xf numFmtId="0" fontId="7" fillId="0" borderId="0" xfId="0" applyFont="1" applyAlignment="1"/>
    <xf numFmtId="0" fontId="0" fillId="3" borderId="0" xfId="0" applyFill="1"/>
    <xf numFmtId="0" fontId="0" fillId="12" borderId="1" xfId="0" applyFill="1" applyBorder="1"/>
    <xf numFmtId="0" fontId="0" fillId="0" borderId="16" xfId="0" applyFill="1" applyBorder="1"/>
    <xf numFmtId="0" fontId="0" fillId="16" borderId="0" xfId="0" applyFill="1"/>
    <xf numFmtId="0" fontId="0" fillId="16" borderId="1" xfId="0" applyFill="1" applyBorder="1" applyAlignment="1"/>
    <xf numFmtId="0" fontId="0" fillId="13" borderId="2" xfId="0" applyFill="1" applyBorder="1"/>
    <xf numFmtId="0" fontId="0" fillId="13" borderId="1" xfId="0" applyFill="1" applyBorder="1"/>
    <xf numFmtId="0" fontId="0" fillId="0" borderId="0" xfId="0" applyBorder="1" applyAlignment="1">
      <alignment horizontal="center" vertical="center" textRotation="255"/>
    </xf>
    <xf numFmtId="0" fontId="0" fillId="16" borderId="13" xfId="0" applyNumberFormat="1" applyFill="1" applyBorder="1"/>
    <xf numFmtId="0" fontId="0" fillId="0" borderId="1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6" fillId="13" borderId="1" xfId="0" applyFont="1" applyFill="1" applyBorder="1"/>
    <xf numFmtId="0" fontId="6" fillId="14" borderId="1" xfId="0" applyFont="1" applyFill="1" applyBorder="1"/>
    <xf numFmtId="0" fontId="6" fillId="16" borderId="1" xfId="0" applyFont="1" applyFill="1" applyBorder="1"/>
    <xf numFmtId="0" fontId="6" fillId="15" borderId="1" xfId="0" applyFont="1" applyFill="1" applyBorder="1"/>
    <xf numFmtId="0" fontId="6" fillId="12" borderId="0" xfId="0" applyFont="1" applyFill="1" applyBorder="1"/>
    <xf numFmtId="0" fontId="6" fillId="19" borderId="0" xfId="0" applyFont="1" applyFill="1" applyBorder="1"/>
    <xf numFmtId="0" fontId="6" fillId="13" borderId="0" xfId="0" applyFont="1" applyFill="1" applyBorder="1"/>
    <xf numFmtId="0" fontId="6" fillId="17" borderId="0" xfId="0" applyFont="1" applyFill="1" applyBorder="1"/>
    <xf numFmtId="0" fontId="6" fillId="14" borderId="0" xfId="0" applyFont="1" applyFill="1" applyBorder="1"/>
    <xf numFmtId="0" fontId="6" fillId="15" borderId="0" xfId="0" applyFont="1" applyFill="1" applyBorder="1"/>
    <xf numFmtId="0" fontId="6" fillId="18" borderId="0" xfId="0" applyFont="1" applyFill="1" applyBorder="1"/>
    <xf numFmtId="0" fontId="6" fillId="20" borderId="0" xfId="0" applyFont="1" applyFill="1" applyBorder="1"/>
    <xf numFmtId="0" fontId="6" fillId="16" borderId="0" xfId="0" applyFont="1" applyFill="1" applyBorder="1"/>
    <xf numFmtId="0" fontId="6" fillId="21" borderId="0" xfId="0" applyFont="1" applyFill="1" applyBorder="1"/>
    <xf numFmtId="0" fontId="0" fillId="0" borderId="17" xfId="0" applyFill="1" applyBorder="1"/>
    <xf numFmtId="185" fontId="0" fillId="0" borderId="0" xfId="1" applyNumberFormat="1" applyFont="1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textRotation="255"/>
    </xf>
    <xf numFmtId="0" fontId="0" fillId="0" borderId="12" xfId="0" applyBorder="1" applyAlignment="1">
      <alignment horizontal="center"/>
    </xf>
  </cellXfs>
  <cellStyles count="2">
    <cellStyle name="常规" xfId="0" builtinId="0"/>
    <cellStyle name="千位分隔" xfId="1" builtinId="3"/>
  </cellStyles>
  <dxfs count="1287">
    <dxf>
      <fill>
        <patternFill>
          <bgColor theme="9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马仔辅助经验表!$B$7:$B$106</c:f>
              <c:numCache>
                <c:formatCode>#,##0_);[Red]\(#,##0\)</c:formatCode>
                <c:ptCount val="100"/>
                <c:pt idx="0">
                  <c:v>99</c:v>
                </c:pt>
                <c:pt idx="1">
                  <c:v>101.5</c:v>
                </c:pt>
                <c:pt idx="2">
                  <c:v>103</c:v>
                </c:pt>
                <c:pt idx="3">
                  <c:v>107</c:v>
                </c:pt>
                <c:pt idx="4">
                  <c:v>113</c:v>
                </c:pt>
                <c:pt idx="5">
                  <c:v>122.5</c:v>
                </c:pt>
                <c:pt idx="6">
                  <c:v>136.5</c:v>
                </c:pt>
                <c:pt idx="7">
                  <c:v>155.5</c:v>
                </c:pt>
                <c:pt idx="8">
                  <c:v>180.5</c:v>
                </c:pt>
                <c:pt idx="9">
                  <c:v>213</c:v>
                </c:pt>
                <c:pt idx="10">
                  <c:v>253.5</c:v>
                </c:pt>
                <c:pt idx="11">
                  <c:v>303</c:v>
                </c:pt>
                <c:pt idx="12">
                  <c:v>363.5</c:v>
                </c:pt>
                <c:pt idx="13">
                  <c:v>435.5</c:v>
                </c:pt>
                <c:pt idx="14">
                  <c:v>520.5</c:v>
                </c:pt>
                <c:pt idx="15">
                  <c:v>620</c:v>
                </c:pt>
                <c:pt idx="16">
                  <c:v>735.5</c:v>
                </c:pt>
                <c:pt idx="17">
                  <c:v>868</c:v>
                </c:pt>
                <c:pt idx="18">
                  <c:v>1019.5</c:v>
                </c:pt>
                <c:pt idx="19">
                  <c:v>1192</c:v>
                </c:pt>
                <c:pt idx="20">
                  <c:v>1386</c:v>
                </c:pt>
                <c:pt idx="21">
                  <c:v>1604</c:v>
                </c:pt>
                <c:pt idx="22">
                  <c:v>1848</c:v>
                </c:pt>
                <c:pt idx="23">
                  <c:v>2119</c:v>
                </c:pt>
                <c:pt idx="24">
                  <c:v>2419.5</c:v>
                </c:pt>
                <c:pt idx="25">
                  <c:v>2751.5</c:v>
                </c:pt>
                <c:pt idx="26">
                  <c:v>3116.5</c:v>
                </c:pt>
                <c:pt idx="27">
                  <c:v>3517</c:v>
                </c:pt>
                <c:pt idx="28">
                  <c:v>3955</c:v>
                </c:pt>
                <c:pt idx="29">
                  <c:v>4432.5</c:v>
                </c:pt>
                <c:pt idx="30">
                  <c:v>4951.5</c:v>
                </c:pt>
                <c:pt idx="31">
                  <c:v>5515.5</c:v>
                </c:pt>
                <c:pt idx="32">
                  <c:v>6125.5</c:v>
                </c:pt>
                <c:pt idx="33">
                  <c:v>6784</c:v>
                </c:pt>
                <c:pt idx="34">
                  <c:v>7494.5</c:v>
                </c:pt>
                <c:pt idx="35">
                  <c:v>8258.5</c:v>
                </c:pt>
                <c:pt idx="36">
                  <c:v>9079.5</c:v>
                </c:pt>
                <c:pt idx="37">
                  <c:v>9959</c:v>
                </c:pt>
                <c:pt idx="38">
                  <c:v>10900.5</c:v>
                </c:pt>
                <c:pt idx="39">
                  <c:v>11906.5</c:v>
                </c:pt>
                <c:pt idx="40">
                  <c:v>12980</c:v>
                </c:pt>
                <c:pt idx="41">
                  <c:v>14123.5</c:v>
                </c:pt>
                <c:pt idx="42">
                  <c:v>15340.5</c:v>
                </c:pt>
                <c:pt idx="43">
                  <c:v>16633.5</c:v>
                </c:pt>
                <c:pt idx="44">
                  <c:v>18005.5</c:v>
                </c:pt>
                <c:pt idx="45">
                  <c:v>19459.5</c:v>
                </c:pt>
                <c:pt idx="46">
                  <c:v>20999.5</c:v>
                </c:pt>
                <c:pt idx="47">
                  <c:v>22627.5</c:v>
                </c:pt>
                <c:pt idx="48">
                  <c:v>24348</c:v>
                </c:pt>
                <c:pt idx="49">
                  <c:v>26163.5</c:v>
                </c:pt>
                <c:pt idx="50">
                  <c:v>28077.5</c:v>
                </c:pt>
                <c:pt idx="51">
                  <c:v>30093.5</c:v>
                </c:pt>
                <c:pt idx="52">
                  <c:v>32215</c:v>
                </c:pt>
                <c:pt idx="53">
                  <c:v>34446</c:v>
                </c:pt>
                <c:pt idx="54">
                  <c:v>36789.5</c:v>
                </c:pt>
                <c:pt idx="55">
                  <c:v>39249.5</c:v>
                </c:pt>
                <c:pt idx="56">
                  <c:v>41829.5</c:v>
                </c:pt>
                <c:pt idx="57">
                  <c:v>44533</c:v>
                </c:pt>
                <c:pt idx="58">
                  <c:v>47365</c:v>
                </c:pt>
                <c:pt idx="59">
                  <c:v>50328</c:v>
                </c:pt>
                <c:pt idx="60">
                  <c:v>53427</c:v>
                </c:pt>
                <c:pt idx="61">
                  <c:v>56666</c:v>
                </c:pt>
                <c:pt idx="62">
                  <c:v>60048</c:v>
                </c:pt>
                <c:pt idx="63">
                  <c:v>63578.5</c:v>
                </c:pt>
                <c:pt idx="64">
                  <c:v>67260.5</c:v>
                </c:pt>
                <c:pt idx="65">
                  <c:v>71099</c:v>
                </c:pt>
                <c:pt idx="66">
                  <c:v>75098.5</c:v>
                </c:pt>
                <c:pt idx="67">
                  <c:v>79262.5</c:v>
                </c:pt>
                <c:pt idx="68">
                  <c:v>83596</c:v>
                </c:pt>
                <c:pt idx="69">
                  <c:v>88103.5</c:v>
                </c:pt>
                <c:pt idx="70">
                  <c:v>92789</c:v>
                </c:pt>
                <c:pt idx="71">
                  <c:v>97658</c:v>
                </c:pt>
                <c:pt idx="72">
                  <c:v>102714.5</c:v>
                </c:pt>
                <c:pt idx="73">
                  <c:v>107963.5</c:v>
                </c:pt>
                <c:pt idx="74">
                  <c:v>113409.5</c:v>
                </c:pt>
                <c:pt idx="75">
                  <c:v>119057.5</c:v>
                </c:pt>
                <c:pt idx="76">
                  <c:v>124912.5</c:v>
                </c:pt>
                <c:pt idx="77">
                  <c:v>130979</c:v>
                </c:pt>
                <c:pt idx="78">
                  <c:v>137262.5</c:v>
                </c:pt>
                <c:pt idx="79">
                  <c:v>143768</c:v>
                </c:pt>
                <c:pt idx="80">
                  <c:v>150500.5</c:v>
                </c:pt>
                <c:pt idx="81">
                  <c:v>157465</c:v>
                </c:pt>
                <c:pt idx="82">
                  <c:v>164667</c:v>
                </c:pt>
                <c:pt idx="83">
                  <c:v>172111.5</c:v>
                </c:pt>
                <c:pt idx="84">
                  <c:v>179804</c:v>
                </c:pt>
                <c:pt idx="85">
                  <c:v>187750</c:v>
                </c:pt>
                <c:pt idx="86">
                  <c:v>195954.5</c:v>
                </c:pt>
                <c:pt idx="87">
                  <c:v>204424</c:v>
                </c:pt>
                <c:pt idx="88">
                  <c:v>213163.5</c:v>
                </c:pt>
                <c:pt idx="89">
                  <c:v>222178</c:v>
                </c:pt>
                <c:pt idx="90">
                  <c:v>231474.5</c:v>
                </c:pt>
                <c:pt idx="91">
                  <c:v>241057.5</c:v>
                </c:pt>
                <c:pt idx="92">
                  <c:v>250933.5</c:v>
                </c:pt>
                <c:pt idx="93">
                  <c:v>261108.5</c:v>
                </c:pt>
                <c:pt idx="94">
                  <c:v>271588</c:v>
                </c:pt>
                <c:pt idx="95">
                  <c:v>282378</c:v>
                </c:pt>
                <c:pt idx="96">
                  <c:v>293485</c:v>
                </c:pt>
                <c:pt idx="97">
                  <c:v>304914.5</c:v>
                </c:pt>
                <c:pt idx="98">
                  <c:v>316672.5</c:v>
                </c:pt>
                <c:pt idx="99">
                  <c:v>328766.5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马仔辅助经验表!$C$7:$C$106</c:f>
              <c:numCache>
                <c:formatCode>#,##0_);[Red]\(#,##0\)</c:formatCode>
                <c:ptCount val="100"/>
                <c:pt idx="0">
                  <c:v>99</c:v>
                </c:pt>
                <c:pt idx="1">
                  <c:v>101.5</c:v>
                </c:pt>
                <c:pt idx="2">
                  <c:v>103</c:v>
                </c:pt>
                <c:pt idx="3">
                  <c:v>107</c:v>
                </c:pt>
                <c:pt idx="4">
                  <c:v>113</c:v>
                </c:pt>
                <c:pt idx="5">
                  <c:v>122.5</c:v>
                </c:pt>
                <c:pt idx="6">
                  <c:v>136.5</c:v>
                </c:pt>
                <c:pt idx="7">
                  <c:v>155.5</c:v>
                </c:pt>
                <c:pt idx="8">
                  <c:v>180.5</c:v>
                </c:pt>
                <c:pt idx="9">
                  <c:v>213</c:v>
                </c:pt>
                <c:pt idx="10">
                  <c:v>253.5</c:v>
                </c:pt>
                <c:pt idx="11">
                  <c:v>303</c:v>
                </c:pt>
                <c:pt idx="12">
                  <c:v>363.5</c:v>
                </c:pt>
                <c:pt idx="13">
                  <c:v>435.5</c:v>
                </c:pt>
                <c:pt idx="14">
                  <c:v>520.5</c:v>
                </c:pt>
                <c:pt idx="15">
                  <c:v>620</c:v>
                </c:pt>
                <c:pt idx="16">
                  <c:v>735.5</c:v>
                </c:pt>
                <c:pt idx="17">
                  <c:v>868</c:v>
                </c:pt>
                <c:pt idx="18">
                  <c:v>1019.5</c:v>
                </c:pt>
                <c:pt idx="19">
                  <c:v>1192</c:v>
                </c:pt>
                <c:pt idx="20">
                  <c:v>1386</c:v>
                </c:pt>
                <c:pt idx="21">
                  <c:v>1604</c:v>
                </c:pt>
                <c:pt idx="22">
                  <c:v>1848</c:v>
                </c:pt>
                <c:pt idx="23">
                  <c:v>2119</c:v>
                </c:pt>
                <c:pt idx="24">
                  <c:v>2419.5</c:v>
                </c:pt>
                <c:pt idx="25">
                  <c:v>2751.5</c:v>
                </c:pt>
                <c:pt idx="26">
                  <c:v>3116.5</c:v>
                </c:pt>
                <c:pt idx="27">
                  <c:v>3517</c:v>
                </c:pt>
                <c:pt idx="28">
                  <c:v>3955</c:v>
                </c:pt>
                <c:pt idx="29">
                  <c:v>4432.5</c:v>
                </c:pt>
                <c:pt idx="30">
                  <c:v>4951.5</c:v>
                </c:pt>
                <c:pt idx="31">
                  <c:v>5515.5</c:v>
                </c:pt>
                <c:pt idx="32">
                  <c:v>6125.5</c:v>
                </c:pt>
                <c:pt idx="33">
                  <c:v>6784</c:v>
                </c:pt>
                <c:pt idx="34">
                  <c:v>7494.5</c:v>
                </c:pt>
                <c:pt idx="35">
                  <c:v>8258.5</c:v>
                </c:pt>
                <c:pt idx="36">
                  <c:v>9079.5</c:v>
                </c:pt>
                <c:pt idx="37">
                  <c:v>9959</c:v>
                </c:pt>
                <c:pt idx="38">
                  <c:v>10900.5</c:v>
                </c:pt>
                <c:pt idx="39">
                  <c:v>11906.5</c:v>
                </c:pt>
                <c:pt idx="40">
                  <c:v>12980</c:v>
                </c:pt>
                <c:pt idx="41">
                  <c:v>14123.5</c:v>
                </c:pt>
                <c:pt idx="42">
                  <c:v>15340.5</c:v>
                </c:pt>
                <c:pt idx="43">
                  <c:v>16633.5</c:v>
                </c:pt>
                <c:pt idx="44">
                  <c:v>18005.5</c:v>
                </c:pt>
                <c:pt idx="45">
                  <c:v>19459.5</c:v>
                </c:pt>
                <c:pt idx="46">
                  <c:v>20999.5</c:v>
                </c:pt>
                <c:pt idx="47">
                  <c:v>22627.5</c:v>
                </c:pt>
                <c:pt idx="48">
                  <c:v>24348</c:v>
                </c:pt>
                <c:pt idx="49">
                  <c:v>26163.5</c:v>
                </c:pt>
                <c:pt idx="50">
                  <c:v>28077.5</c:v>
                </c:pt>
                <c:pt idx="51">
                  <c:v>30093.5</c:v>
                </c:pt>
                <c:pt idx="52">
                  <c:v>32215</c:v>
                </c:pt>
                <c:pt idx="53">
                  <c:v>34446</c:v>
                </c:pt>
                <c:pt idx="54">
                  <c:v>36789.5</c:v>
                </c:pt>
                <c:pt idx="55">
                  <c:v>39249.5</c:v>
                </c:pt>
                <c:pt idx="56">
                  <c:v>41829.5</c:v>
                </c:pt>
                <c:pt idx="57">
                  <c:v>44533</c:v>
                </c:pt>
                <c:pt idx="58">
                  <c:v>47365</c:v>
                </c:pt>
                <c:pt idx="59">
                  <c:v>50328</c:v>
                </c:pt>
                <c:pt idx="60">
                  <c:v>53427</c:v>
                </c:pt>
                <c:pt idx="61">
                  <c:v>56666</c:v>
                </c:pt>
                <c:pt idx="62">
                  <c:v>60048</c:v>
                </c:pt>
                <c:pt idx="63">
                  <c:v>63578.5</c:v>
                </c:pt>
                <c:pt idx="64">
                  <c:v>67260.5</c:v>
                </c:pt>
                <c:pt idx="65">
                  <c:v>71099</c:v>
                </c:pt>
                <c:pt idx="66">
                  <c:v>75098.5</c:v>
                </c:pt>
                <c:pt idx="67">
                  <c:v>79262.5</c:v>
                </c:pt>
                <c:pt idx="68">
                  <c:v>83596</c:v>
                </c:pt>
                <c:pt idx="69">
                  <c:v>88103.5</c:v>
                </c:pt>
                <c:pt idx="70">
                  <c:v>92789</c:v>
                </c:pt>
                <c:pt idx="71">
                  <c:v>97658</c:v>
                </c:pt>
                <c:pt idx="72">
                  <c:v>102714.5</c:v>
                </c:pt>
                <c:pt idx="73">
                  <c:v>107963.5</c:v>
                </c:pt>
                <c:pt idx="74">
                  <c:v>113409.5</c:v>
                </c:pt>
                <c:pt idx="75">
                  <c:v>119057.5</c:v>
                </c:pt>
                <c:pt idx="76">
                  <c:v>124912.5</c:v>
                </c:pt>
                <c:pt idx="77">
                  <c:v>130979</c:v>
                </c:pt>
                <c:pt idx="78">
                  <c:v>137262.5</c:v>
                </c:pt>
                <c:pt idx="79">
                  <c:v>143768</c:v>
                </c:pt>
                <c:pt idx="80">
                  <c:v>150500.5</c:v>
                </c:pt>
                <c:pt idx="81">
                  <c:v>157465</c:v>
                </c:pt>
                <c:pt idx="82">
                  <c:v>164667</c:v>
                </c:pt>
                <c:pt idx="83">
                  <c:v>172111.5</c:v>
                </c:pt>
                <c:pt idx="84">
                  <c:v>179804</c:v>
                </c:pt>
                <c:pt idx="85">
                  <c:v>187750</c:v>
                </c:pt>
                <c:pt idx="86">
                  <c:v>195954.5</c:v>
                </c:pt>
                <c:pt idx="87">
                  <c:v>204424</c:v>
                </c:pt>
                <c:pt idx="88">
                  <c:v>213163.5</c:v>
                </c:pt>
                <c:pt idx="89">
                  <c:v>222178</c:v>
                </c:pt>
                <c:pt idx="90">
                  <c:v>231474.5</c:v>
                </c:pt>
                <c:pt idx="91">
                  <c:v>241057.5</c:v>
                </c:pt>
                <c:pt idx="92">
                  <c:v>250933.5</c:v>
                </c:pt>
                <c:pt idx="93">
                  <c:v>261108.5</c:v>
                </c:pt>
                <c:pt idx="94">
                  <c:v>271588</c:v>
                </c:pt>
                <c:pt idx="95">
                  <c:v>282378</c:v>
                </c:pt>
                <c:pt idx="96">
                  <c:v>293485</c:v>
                </c:pt>
                <c:pt idx="97">
                  <c:v>304914.5</c:v>
                </c:pt>
                <c:pt idx="98">
                  <c:v>316672.5</c:v>
                </c:pt>
                <c:pt idx="99">
                  <c:v>328766.5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马仔辅助经验表!$D$7:$D$106</c:f>
              <c:numCache>
                <c:formatCode>#,##0_);[Red]\(#,##0\)</c:formatCode>
                <c:ptCount val="100"/>
                <c:pt idx="0">
                  <c:v>99</c:v>
                </c:pt>
                <c:pt idx="1">
                  <c:v>101.5</c:v>
                </c:pt>
                <c:pt idx="2">
                  <c:v>103</c:v>
                </c:pt>
                <c:pt idx="3">
                  <c:v>107</c:v>
                </c:pt>
                <c:pt idx="4">
                  <c:v>113</c:v>
                </c:pt>
                <c:pt idx="5">
                  <c:v>122.5</c:v>
                </c:pt>
                <c:pt idx="6">
                  <c:v>136.5</c:v>
                </c:pt>
                <c:pt idx="7">
                  <c:v>155.5</c:v>
                </c:pt>
                <c:pt idx="8">
                  <c:v>180.5</c:v>
                </c:pt>
                <c:pt idx="9">
                  <c:v>213</c:v>
                </c:pt>
                <c:pt idx="10">
                  <c:v>253.5</c:v>
                </c:pt>
                <c:pt idx="11">
                  <c:v>303</c:v>
                </c:pt>
                <c:pt idx="12">
                  <c:v>363.5</c:v>
                </c:pt>
                <c:pt idx="13">
                  <c:v>435.5</c:v>
                </c:pt>
                <c:pt idx="14">
                  <c:v>520.5</c:v>
                </c:pt>
                <c:pt idx="15">
                  <c:v>620</c:v>
                </c:pt>
                <c:pt idx="16">
                  <c:v>735.5</c:v>
                </c:pt>
                <c:pt idx="17">
                  <c:v>868</c:v>
                </c:pt>
                <c:pt idx="18">
                  <c:v>1019.5</c:v>
                </c:pt>
                <c:pt idx="19">
                  <c:v>1192</c:v>
                </c:pt>
                <c:pt idx="20">
                  <c:v>1386</c:v>
                </c:pt>
                <c:pt idx="21">
                  <c:v>1604</c:v>
                </c:pt>
                <c:pt idx="22">
                  <c:v>1848</c:v>
                </c:pt>
                <c:pt idx="23">
                  <c:v>2119</c:v>
                </c:pt>
                <c:pt idx="24">
                  <c:v>2419.5</c:v>
                </c:pt>
                <c:pt idx="25">
                  <c:v>2751.5</c:v>
                </c:pt>
                <c:pt idx="26">
                  <c:v>3116.5</c:v>
                </c:pt>
                <c:pt idx="27">
                  <c:v>3517</c:v>
                </c:pt>
                <c:pt idx="28">
                  <c:v>3955</c:v>
                </c:pt>
                <c:pt idx="29">
                  <c:v>4432.5</c:v>
                </c:pt>
                <c:pt idx="30">
                  <c:v>4951.5</c:v>
                </c:pt>
                <c:pt idx="31">
                  <c:v>5515.5</c:v>
                </c:pt>
                <c:pt idx="32">
                  <c:v>6125.5</c:v>
                </c:pt>
                <c:pt idx="33">
                  <c:v>6784</c:v>
                </c:pt>
                <c:pt idx="34">
                  <c:v>7494.5</c:v>
                </c:pt>
                <c:pt idx="35">
                  <c:v>8258.5</c:v>
                </c:pt>
                <c:pt idx="36">
                  <c:v>9079.5</c:v>
                </c:pt>
                <c:pt idx="37">
                  <c:v>9959</c:v>
                </c:pt>
                <c:pt idx="38">
                  <c:v>10900.5</c:v>
                </c:pt>
                <c:pt idx="39">
                  <c:v>11906.5</c:v>
                </c:pt>
                <c:pt idx="40">
                  <c:v>12980</c:v>
                </c:pt>
                <c:pt idx="41">
                  <c:v>14123.5</c:v>
                </c:pt>
                <c:pt idx="42">
                  <c:v>15340.5</c:v>
                </c:pt>
                <c:pt idx="43">
                  <c:v>16633.5</c:v>
                </c:pt>
                <c:pt idx="44">
                  <c:v>18005.5</c:v>
                </c:pt>
                <c:pt idx="45">
                  <c:v>19459.5</c:v>
                </c:pt>
                <c:pt idx="46">
                  <c:v>20999.5</c:v>
                </c:pt>
                <c:pt idx="47">
                  <c:v>22627.5</c:v>
                </c:pt>
                <c:pt idx="48">
                  <c:v>24348</c:v>
                </c:pt>
                <c:pt idx="49">
                  <c:v>26163.5</c:v>
                </c:pt>
                <c:pt idx="50">
                  <c:v>28077.5</c:v>
                </c:pt>
                <c:pt idx="51">
                  <c:v>30093.5</c:v>
                </c:pt>
                <c:pt idx="52">
                  <c:v>32215</c:v>
                </c:pt>
                <c:pt idx="53">
                  <c:v>34446</c:v>
                </c:pt>
                <c:pt idx="54">
                  <c:v>36789.5</c:v>
                </c:pt>
                <c:pt idx="55">
                  <c:v>39249.5</c:v>
                </c:pt>
                <c:pt idx="56">
                  <c:v>41829.5</c:v>
                </c:pt>
                <c:pt idx="57">
                  <c:v>44533</c:v>
                </c:pt>
                <c:pt idx="58">
                  <c:v>47365</c:v>
                </c:pt>
                <c:pt idx="59">
                  <c:v>50328</c:v>
                </c:pt>
                <c:pt idx="60">
                  <c:v>53427</c:v>
                </c:pt>
                <c:pt idx="61">
                  <c:v>56666</c:v>
                </c:pt>
                <c:pt idx="62">
                  <c:v>60048</c:v>
                </c:pt>
                <c:pt idx="63">
                  <c:v>63578.5</c:v>
                </c:pt>
                <c:pt idx="64">
                  <c:v>67260.5</c:v>
                </c:pt>
                <c:pt idx="65">
                  <c:v>71099</c:v>
                </c:pt>
                <c:pt idx="66">
                  <c:v>75098.5</c:v>
                </c:pt>
                <c:pt idx="67">
                  <c:v>79262.5</c:v>
                </c:pt>
                <c:pt idx="68">
                  <c:v>83596</c:v>
                </c:pt>
                <c:pt idx="69">
                  <c:v>88103.5</c:v>
                </c:pt>
                <c:pt idx="70">
                  <c:v>92789</c:v>
                </c:pt>
                <c:pt idx="71">
                  <c:v>97658</c:v>
                </c:pt>
                <c:pt idx="72">
                  <c:v>102714.5</c:v>
                </c:pt>
                <c:pt idx="73">
                  <c:v>107963.5</c:v>
                </c:pt>
                <c:pt idx="74">
                  <c:v>113409.5</c:v>
                </c:pt>
                <c:pt idx="75">
                  <c:v>119057.5</c:v>
                </c:pt>
                <c:pt idx="76">
                  <c:v>124912.5</c:v>
                </c:pt>
                <c:pt idx="77">
                  <c:v>130979</c:v>
                </c:pt>
                <c:pt idx="78">
                  <c:v>137262.5</c:v>
                </c:pt>
                <c:pt idx="79">
                  <c:v>143768</c:v>
                </c:pt>
                <c:pt idx="80">
                  <c:v>150500.5</c:v>
                </c:pt>
                <c:pt idx="81">
                  <c:v>157465</c:v>
                </c:pt>
                <c:pt idx="82">
                  <c:v>164667</c:v>
                </c:pt>
                <c:pt idx="83">
                  <c:v>172111.5</c:v>
                </c:pt>
                <c:pt idx="84">
                  <c:v>179804</c:v>
                </c:pt>
                <c:pt idx="85">
                  <c:v>187750</c:v>
                </c:pt>
                <c:pt idx="86">
                  <c:v>195954.5</c:v>
                </c:pt>
                <c:pt idx="87">
                  <c:v>204424</c:v>
                </c:pt>
                <c:pt idx="88">
                  <c:v>213163.5</c:v>
                </c:pt>
                <c:pt idx="89">
                  <c:v>222178</c:v>
                </c:pt>
                <c:pt idx="90">
                  <c:v>231474.5</c:v>
                </c:pt>
                <c:pt idx="91">
                  <c:v>241057.5</c:v>
                </c:pt>
                <c:pt idx="92">
                  <c:v>250933.5</c:v>
                </c:pt>
                <c:pt idx="93">
                  <c:v>261108.5</c:v>
                </c:pt>
                <c:pt idx="94">
                  <c:v>271588</c:v>
                </c:pt>
                <c:pt idx="95">
                  <c:v>282378</c:v>
                </c:pt>
                <c:pt idx="96">
                  <c:v>293485</c:v>
                </c:pt>
                <c:pt idx="97">
                  <c:v>304914.5</c:v>
                </c:pt>
                <c:pt idx="98">
                  <c:v>316672.5</c:v>
                </c:pt>
                <c:pt idx="99">
                  <c:v>328766.5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马仔辅助经验表!$E$7:$E$106</c:f>
              <c:numCache>
                <c:formatCode>#,##0_);[Red]\(#,##0\)</c:formatCode>
                <c:ptCount val="100"/>
                <c:pt idx="0">
                  <c:v>99</c:v>
                </c:pt>
                <c:pt idx="1">
                  <c:v>101.5</c:v>
                </c:pt>
                <c:pt idx="2">
                  <c:v>103</c:v>
                </c:pt>
                <c:pt idx="3">
                  <c:v>107</c:v>
                </c:pt>
                <c:pt idx="4">
                  <c:v>113</c:v>
                </c:pt>
                <c:pt idx="5">
                  <c:v>122.5</c:v>
                </c:pt>
                <c:pt idx="6">
                  <c:v>136.5</c:v>
                </c:pt>
                <c:pt idx="7">
                  <c:v>155.5</c:v>
                </c:pt>
                <c:pt idx="8">
                  <c:v>180.5</c:v>
                </c:pt>
                <c:pt idx="9">
                  <c:v>213</c:v>
                </c:pt>
                <c:pt idx="10">
                  <c:v>253.5</c:v>
                </c:pt>
                <c:pt idx="11">
                  <c:v>303</c:v>
                </c:pt>
                <c:pt idx="12">
                  <c:v>363.5</c:v>
                </c:pt>
                <c:pt idx="13">
                  <c:v>435.5</c:v>
                </c:pt>
                <c:pt idx="14">
                  <c:v>520.5</c:v>
                </c:pt>
                <c:pt idx="15">
                  <c:v>620</c:v>
                </c:pt>
                <c:pt idx="16">
                  <c:v>735.5</c:v>
                </c:pt>
                <c:pt idx="17">
                  <c:v>868</c:v>
                </c:pt>
                <c:pt idx="18">
                  <c:v>1019.5</c:v>
                </c:pt>
                <c:pt idx="19">
                  <c:v>1192</c:v>
                </c:pt>
                <c:pt idx="20">
                  <c:v>1386</c:v>
                </c:pt>
                <c:pt idx="21">
                  <c:v>1604</c:v>
                </c:pt>
                <c:pt idx="22">
                  <c:v>1848</c:v>
                </c:pt>
                <c:pt idx="23">
                  <c:v>2119</c:v>
                </c:pt>
                <c:pt idx="24">
                  <c:v>2419.5</c:v>
                </c:pt>
                <c:pt idx="25">
                  <c:v>2751.5</c:v>
                </c:pt>
                <c:pt idx="26">
                  <c:v>3116.5</c:v>
                </c:pt>
                <c:pt idx="27">
                  <c:v>3517</c:v>
                </c:pt>
                <c:pt idx="28">
                  <c:v>3955</c:v>
                </c:pt>
                <c:pt idx="29">
                  <c:v>4432.5</c:v>
                </c:pt>
                <c:pt idx="30">
                  <c:v>4951.5</c:v>
                </c:pt>
                <c:pt idx="31">
                  <c:v>5515.5</c:v>
                </c:pt>
                <c:pt idx="32">
                  <c:v>6125.5</c:v>
                </c:pt>
                <c:pt idx="33">
                  <c:v>6784</c:v>
                </c:pt>
                <c:pt idx="34">
                  <c:v>7494.5</c:v>
                </c:pt>
                <c:pt idx="35">
                  <c:v>8258.5</c:v>
                </c:pt>
                <c:pt idx="36">
                  <c:v>9079.5</c:v>
                </c:pt>
                <c:pt idx="37">
                  <c:v>9959</c:v>
                </c:pt>
                <c:pt idx="38">
                  <c:v>10900.5</c:v>
                </c:pt>
                <c:pt idx="39">
                  <c:v>11906.5</c:v>
                </c:pt>
                <c:pt idx="40">
                  <c:v>12980</c:v>
                </c:pt>
                <c:pt idx="41">
                  <c:v>14123.5</c:v>
                </c:pt>
                <c:pt idx="42">
                  <c:v>15340.5</c:v>
                </c:pt>
                <c:pt idx="43">
                  <c:v>16633.5</c:v>
                </c:pt>
                <c:pt idx="44">
                  <c:v>18005.5</c:v>
                </c:pt>
                <c:pt idx="45">
                  <c:v>19459.5</c:v>
                </c:pt>
                <c:pt idx="46">
                  <c:v>20999.5</c:v>
                </c:pt>
                <c:pt idx="47">
                  <c:v>22627.5</c:v>
                </c:pt>
                <c:pt idx="48">
                  <c:v>24348</c:v>
                </c:pt>
                <c:pt idx="49">
                  <c:v>26163.5</c:v>
                </c:pt>
                <c:pt idx="50">
                  <c:v>28077.5</c:v>
                </c:pt>
                <c:pt idx="51">
                  <c:v>30093.5</c:v>
                </c:pt>
                <c:pt idx="52">
                  <c:v>32215</c:v>
                </c:pt>
                <c:pt idx="53">
                  <c:v>34446</c:v>
                </c:pt>
                <c:pt idx="54">
                  <c:v>36789.5</c:v>
                </c:pt>
                <c:pt idx="55">
                  <c:v>39249.5</c:v>
                </c:pt>
                <c:pt idx="56">
                  <c:v>41829.5</c:v>
                </c:pt>
                <c:pt idx="57">
                  <c:v>44533</c:v>
                </c:pt>
                <c:pt idx="58">
                  <c:v>47365</c:v>
                </c:pt>
                <c:pt idx="59">
                  <c:v>50328</c:v>
                </c:pt>
                <c:pt idx="60">
                  <c:v>53427</c:v>
                </c:pt>
                <c:pt idx="61">
                  <c:v>56666</c:v>
                </c:pt>
                <c:pt idx="62">
                  <c:v>60048</c:v>
                </c:pt>
                <c:pt idx="63">
                  <c:v>63578.5</c:v>
                </c:pt>
                <c:pt idx="64">
                  <c:v>67260.5</c:v>
                </c:pt>
                <c:pt idx="65">
                  <c:v>71099</c:v>
                </c:pt>
                <c:pt idx="66">
                  <c:v>75098.5</c:v>
                </c:pt>
                <c:pt idx="67">
                  <c:v>79262.5</c:v>
                </c:pt>
                <c:pt idx="68">
                  <c:v>83596</c:v>
                </c:pt>
                <c:pt idx="69">
                  <c:v>88103.5</c:v>
                </c:pt>
                <c:pt idx="70">
                  <c:v>92789</c:v>
                </c:pt>
                <c:pt idx="71">
                  <c:v>97658</c:v>
                </c:pt>
                <c:pt idx="72">
                  <c:v>102714.5</c:v>
                </c:pt>
                <c:pt idx="73">
                  <c:v>107963.5</c:v>
                </c:pt>
                <c:pt idx="74">
                  <c:v>113409.5</c:v>
                </c:pt>
                <c:pt idx="75">
                  <c:v>119057.5</c:v>
                </c:pt>
                <c:pt idx="76">
                  <c:v>124912.5</c:v>
                </c:pt>
                <c:pt idx="77">
                  <c:v>130979</c:v>
                </c:pt>
                <c:pt idx="78">
                  <c:v>137262.5</c:v>
                </c:pt>
                <c:pt idx="79">
                  <c:v>143768</c:v>
                </c:pt>
                <c:pt idx="80">
                  <c:v>150500.5</c:v>
                </c:pt>
                <c:pt idx="81">
                  <c:v>157465</c:v>
                </c:pt>
                <c:pt idx="82">
                  <c:v>164667</c:v>
                </c:pt>
                <c:pt idx="83">
                  <c:v>172111.5</c:v>
                </c:pt>
                <c:pt idx="84">
                  <c:v>179804</c:v>
                </c:pt>
                <c:pt idx="85">
                  <c:v>187750</c:v>
                </c:pt>
                <c:pt idx="86">
                  <c:v>195954.5</c:v>
                </c:pt>
                <c:pt idx="87">
                  <c:v>204424</c:v>
                </c:pt>
                <c:pt idx="88">
                  <c:v>213163.5</c:v>
                </c:pt>
                <c:pt idx="89">
                  <c:v>222178</c:v>
                </c:pt>
                <c:pt idx="90">
                  <c:v>231474.5</c:v>
                </c:pt>
                <c:pt idx="91">
                  <c:v>241057.5</c:v>
                </c:pt>
                <c:pt idx="92">
                  <c:v>250933.5</c:v>
                </c:pt>
                <c:pt idx="93">
                  <c:v>261108.5</c:v>
                </c:pt>
                <c:pt idx="94">
                  <c:v>271588</c:v>
                </c:pt>
                <c:pt idx="95">
                  <c:v>282378</c:v>
                </c:pt>
                <c:pt idx="96">
                  <c:v>293485</c:v>
                </c:pt>
                <c:pt idx="97">
                  <c:v>304914.5</c:v>
                </c:pt>
                <c:pt idx="98">
                  <c:v>316672.5</c:v>
                </c:pt>
                <c:pt idx="99">
                  <c:v>328766.5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4634784"/>
        <c:axId val="600395216"/>
      </c:lineChart>
      <c:catAx>
        <c:axId val="854634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0395216"/>
        <c:crosses val="autoZero"/>
        <c:auto val="1"/>
        <c:lblAlgn val="ctr"/>
        <c:lblOffset val="100"/>
        <c:noMultiLvlLbl val="0"/>
      </c:catAx>
      <c:valAx>
        <c:axId val="60039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63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274320</xdr:colOff>
      <xdr:row>20</xdr:row>
      <xdr:rowOff>0</xdr:rowOff>
    </xdr:from>
    <xdr:to>
      <xdr:col>22</xdr:col>
      <xdr:colOff>579120</xdr:colOff>
      <xdr:row>35</xdr:row>
      <xdr:rowOff>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41910</xdr:rowOff>
    </xdr:from>
    <xdr:to>
      <xdr:col>2</xdr:col>
      <xdr:colOff>0</xdr:colOff>
      <xdr:row>1</xdr:row>
      <xdr:rowOff>163830</xdr:rowOff>
    </xdr:to>
    <xdr:sp macro="[0]!ThisWorkbook.copy_MazaiBaowu" textlink="">
      <xdr:nvSpPr>
        <xdr:cNvPr id="2" name="圆角矩形 1"/>
        <xdr:cNvSpPr/>
      </xdr:nvSpPr>
      <xdr:spPr>
        <a:xfrm>
          <a:off x="0" y="41910"/>
          <a:ext cx="1219200" cy="312420"/>
        </a:xfrm>
        <a:prstGeom prst="roundRect">
          <a:avLst/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更新随机宝物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027;&#35282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6947;&#2085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</sheetNames>
    <definedNames>
      <definedName name="属性权重数组" refersTo="='5、系统属性规划'!$B$45:$O$53"/>
      <definedName name="总属性参考数组" refersTo="='人物总属性查询表'!$B$4:$O$103"/>
    </definedNames>
    <sheetDataSet>
      <sheetData sheetId="0">
        <row r="1">
          <cell r="B1" t="str">
            <v>属性类型</v>
          </cell>
        </row>
        <row r="2">
          <cell r="B2" t="str">
            <v>无属性</v>
          </cell>
          <cell r="C2">
            <v>0</v>
          </cell>
        </row>
        <row r="3">
          <cell r="B3" t="str">
            <v>生命</v>
          </cell>
          <cell r="C3">
            <v>1</v>
          </cell>
        </row>
        <row r="4">
          <cell r="B4" t="str">
            <v>攻击</v>
          </cell>
          <cell r="C4">
            <v>2</v>
          </cell>
        </row>
        <row r="5">
          <cell r="B5" t="str">
            <v>防御</v>
          </cell>
          <cell r="C5">
            <v>3</v>
          </cell>
        </row>
        <row r="6">
          <cell r="B6" t="str">
            <v>无属性</v>
          </cell>
          <cell r="C6">
            <v>4</v>
          </cell>
        </row>
        <row r="7">
          <cell r="B7" t="str">
            <v>无属性</v>
          </cell>
          <cell r="C7">
            <v>5</v>
          </cell>
        </row>
        <row r="8">
          <cell r="B8" t="str">
            <v>命中值</v>
          </cell>
          <cell r="C8">
            <v>6</v>
          </cell>
          <cell r="G8" t="str">
            <v>非R</v>
          </cell>
          <cell r="H8" t="str">
            <v>小R</v>
          </cell>
          <cell r="I8" t="str">
            <v>中R</v>
          </cell>
          <cell r="J8" t="str">
            <v>大R</v>
          </cell>
          <cell r="K8" t="str">
            <v>超R</v>
          </cell>
        </row>
        <row r="9">
          <cell r="B9" t="str">
            <v>闪避值</v>
          </cell>
          <cell r="C9">
            <v>7</v>
          </cell>
          <cell r="F9" t="str">
            <v>属性权重</v>
          </cell>
          <cell r="G9">
            <v>1.2</v>
          </cell>
          <cell r="H9">
            <v>2</v>
          </cell>
          <cell r="I9">
            <v>2.5</v>
          </cell>
          <cell r="J9">
            <v>2.7</v>
          </cell>
          <cell r="K9">
            <v>3</v>
          </cell>
        </row>
        <row r="10">
          <cell r="B10" t="str">
            <v>暴击值</v>
          </cell>
          <cell r="C10">
            <v>8</v>
          </cell>
          <cell r="F10" t="str">
            <v>属性份额</v>
          </cell>
          <cell r="G10">
            <v>0.39999999999999997</v>
          </cell>
          <cell r="H10">
            <v>0.66666666666666663</v>
          </cell>
          <cell r="I10">
            <v>0.83333333333333337</v>
          </cell>
          <cell r="J10">
            <v>0.9</v>
          </cell>
          <cell r="K10">
            <v>1</v>
          </cell>
        </row>
        <row r="11">
          <cell r="B11" t="str">
            <v>韧性值</v>
          </cell>
          <cell r="C11">
            <v>9</v>
          </cell>
        </row>
        <row r="12">
          <cell r="B12" t="str">
            <v>暴击倍数</v>
          </cell>
          <cell r="C12">
            <v>10</v>
          </cell>
        </row>
        <row r="13">
          <cell r="B13" t="str">
            <v>无属性</v>
          </cell>
          <cell r="C13">
            <v>11</v>
          </cell>
        </row>
        <row r="14">
          <cell r="B14" t="str">
            <v>生命加成</v>
          </cell>
          <cell r="C14">
            <v>21</v>
          </cell>
        </row>
        <row r="15">
          <cell r="B15" t="str">
            <v>攻击加成</v>
          </cell>
          <cell r="C15">
            <v>22</v>
          </cell>
        </row>
        <row r="16">
          <cell r="B16" t="str">
            <v>防御加成</v>
          </cell>
          <cell r="C16">
            <v>23</v>
          </cell>
        </row>
        <row r="17">
          <cell r="B17" t="str">
            <v>伤害加深</v>
          </cell>
          <cell r="C17">
            <v>24</v>
          </cell>
        </row>
        <row r="18">
          <cell r="B18" t="str">
            <v>伤害减免</v>
          </cell>
          <cell r="C18">
            <v>25</v>
          </cell>
        </row>
        <row r="27">
          <cell r="B27" t="str">
            <v>职业名称</v>
          </cell>
          <cell r="C27" t="str">
            <v>职业ID</v>
          </cell>
        </row>
        <row r="28">
          <cell r="B28" t="str">
            <v>全职业</v>
          </cell>
          <cell r="C28">
            <v>0</v>
          </cell>
        </row>
        <row r="29">
          <cell r="B29" t="str">
            <v>剑手</v>
          </cell>
          <cell r="C29">
            <v>1</v>
          </cell>
        </row>
        <row r="30">
          <cell r="B30" t="str">
            <v>拳师</v>
          </cell>
          <cell r="C30">
            <v>2</v>
          </cell>
        </row>
        <row r="31">
          <cell r="B31" t="str">
            <v>枪手</v>
          </cell>
          <cell r="C31">
            <v>3</v>
          </cell>
        </row>
        <row r="32">
          <cell r="B32" t="str">
            <v>牧师</v>
          </cell>
          <cell r="C32">
            <v>4</v>
          </cell>
        </row>
      </sheetData>
      <sheetData sheetId="1">
        <row r="3">
          <cell r="M3">
            <v>0.3</v>
          </cell>
        </row>
        <row r="4">
          <cell r="M4">
            <v>1</v>
          </cell>
        </row>
        <row r="5">
          <cell r="M5">
            <v>0.3</v>
          </cell>
        </row>
        <row r="6">
          <cell r="M6">
            <v>0.3</v>
          </cell>
        </row>
        <row r="8">
          <cell r="M8">
            <v>0.1</v>
          </cell>
        </row>
        <row r="9">
          <cell r="M9">
            <v>0.2</v>
          </cell>
        </row>
        <row r="10">
          <cell r="M10">
            <v>0.3</v>
          </cell>
        </row>
        <row r="11">
          <cell r="F11">
            <v>50000</v>
          </cell>
          <cell r="G11">
            <v>50000</v>
          </cell>
          <cell r="H11">
            <v>50000</v>
          </cell>
          <cell r="I11">
            <v>50000</v>
          </cell>
          <cell r="J11">
            <v>50000</v>
          </cell>
          <cell r="K11">
            <v>20000</v>
          </cell>
          <cell r="L11">
            <v>20000</v>
          </cell>
          <cell r="M11">
            <v>10000</v>
          </cell>
          <cell r="N11">
            <v>20000</v>
          </cell>
          <cell r="O11">
            <v>20000</v>
          </cell>
        </row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  <cell r="I12" t="str">
            <v>暴击倍数</v>
          </cell>
          <cell r="J12" t="str">
            <v>韧性值</v>
          </cell>
          <cell r="K12" t="str">
            <v>伤害减免</v>
          </cell>
          <cell r="L12" t="str">
            <v>伤害加深</v>
          </cell>
          <cell r="M12" t="str">
            <v>生命加成</v>
          </cell>
          <cell r="N12" t="str">
            <v>攻击加成</v>
          </cell>
          <cell r="O12" t="str">
            <v>防御加成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  <cell r="M13">
            <v>0.4</v>
          </cell>
          <cell r="N13">
            <v>0.36</v>
          </cell>
          <cell r="O13">
            <v>0.24</v>
          </cell>
        </row>
      </sheetData>
      <sheetData sheetId="2" refreshError="1"/>
      <sheetData sheetId="3">
        <row r="6">
          <cell r="Q6">
            <v>1</v>
          </cell>
        </row>
      </sheetData>
      <sheetData sheetId="4">
        <row r="5">
          <cell r="B5">
            <v>1.3774999999999999</v>
          </cell>
          <cell r="C5">
            <v>1</v>
          </cell>
          <cell r="D5">
            <v>495.65999999999997</v>
          </cell>
          <cell r="E5">
            <v>118.80000000000001</v>
          </cell>
          <cell r="F5">
            <v>52.800000000000004</v>
          </cell>
          <cell r="G5">
            <v>66</v>
          </cell>
          <cell r="H5">
            <v>7.51</v>
          </cell>
        </row>
        <row r="6">
          <cell r="B6">
            <v>1.5049999999999999</v>
          </cell>
          <cell r="C6">
            <v>2</v>
          </cell>
          <cell r="D6">
            <v>577.43999999999994</v>
          </cell>
          <cell r="E6">
            <v>129.6</v>
          </cell>
          <cell r="F6">
            <v>57.6</v>
          </cell>
          <cell r="G6">
            <v>72</v>
          </cell>
          <cell r="H6">
            <v>8.02</v>
          </cell>
        </row>
        <row r="7">
          <cell r="B7">
            <v>1.6325000000000001</v>
          </cell>
          <cell r="C7">
            <v>3</v>
          </cell>
          <cell r="D7">
            <v>665.34000000000015</v>
          </cell>
          <cell r="E7">
            <v>140.4</v>
          </cell>
          <cell r="F7">
            <v>62.400000000000006</v>
          </cell>
          <cell r="G7">
            <v>78</v>
          </cell>
          <cell r="H7">
            <v>8.5300000000000011</v>
          </cell>
        </row>
        <row r="8">
          <cell r="B8">
            <v>1.76</v>
          </cell>
          <cell r="C8">
            <v>4</v>
          </cell>
          <cell r="D8">
            <v>759.3599999999999</v>
          </cell>
          <cell r="E8">
            <v>151.19999999999999</v>
          </cell>
          <cell r="F8">
            <v>67.2</v>
          </cell>
          <cell r="G8">
            <v>84</v>
          </cell>
          <cell r="H8">
            <v>9.0399999999999991</v>
          </cell>
        </row>
        <row r="9">
          <cell r="B9">
            <v>1.8875</v>
          </cell>
          <cell r="C9">
            <v>5</v>
          </cell>
          <cell r="D9">
            <v>859.50000000000011</v>
          </cell>
          <cell r="E9">
            <v>162</v>
          </cell>
          <cell r="F9">
            <v>72</v>
          </cell>
          <cell r="G9">
            <v>90</v>
          </cell>
          <cell r="H9">
            <v>9.5500000000000007</v>
          </cell>
        </row>
        <row r="10">
          <cell r="B10">
            <v>2.0150000000000001</v>
          </cell>
          <cell r="C10">
            <v>6</v>
          </cell>
          <cell r="D10">
            <v>1490.8920000000001</v>
          </cell>
          <cell r="E10">
            <v>266.76</v>
          </cell>
          <cell r="F10">
            <v>118.56</v>
          </cell>
          <cell r="G10">
            <v>148.19999999999999</v>
          </cell>
          <cell r="H10">
            <v>10.06</v>
          </cell>
        </row>
        <row r="11">
          <cell r="B11">
            <v>2.1425000000000001</v>
          </cell>
          <cell r="C11">
            <v>7</v>
          </cell>
          <cell r="D11">
            <v>1795.7769374999998</v>
          </cell>
          <cell r="E11">
            <v>305.80874999999997</v>
          </cell>
          <cell r="F11">
            <v>135.91499999999999</v>
          </cell>
          <cell r="G11">
            <v>169.89374999999998</v>
          </cell>
          <cell r="H11">
            <v>10.57</v>
          </cell>
        </row>
        <row r="12">
          <cell r="B12">
            <v>2.27</v>
          </cell>
          <cell r="C12">
            <v>8</v>
          </cell>
          <cell r="D12">
            <v>2138.9940000000001</v>
          </cell>
          <cell r="E12">
            <v>347.49</v>
          </cell>
          <cell r="F12">
            <v>154.44000000000003</v>
          </cell>
          <cell r="G12">
            <v>193.05</v>
          </cell>
          <cell r="H12">
            <v>11.08</v>
          </cell>
        </row>
        <row r="13">
          <cell r="B13">
            <v>2.3975</v>
          </cell>
          <cell r="C13">
            <v>9</v>
          </cell>
          <cell r="D13">
            <v>2810.0112472826086</v>
          </cell>
          <cell r="E13">
            <v>436.41244565217391</v>
          </cell>
          <cell r="F13">
            <v>193.96108695652174</v>
          </cell>
          <cell r="G13">
            <v>242.45135869565217</v>
          </cell>
          <cell r="H13">
            <v>11.59</v>
          </cell>
        </row>
        <row r="14">
          <cell r="B14">
            <v>2.5249999999999999</v>
          </cell>
          <cell r="C14">
            <v>10</v>
          </cell>
          <cell r="D14">
            <v>3580.6793478260875</v>
          </cell>
          <cell r="E14">
            <v>532.66304347826099</v>
          </cell>
          <cell r="F14">
            <v>236.73913043478265</v>
          </cell>
          <cell r="G14">
            <v>295.92391304347831</v>
          </cell>
          <cell r="H14">
            <v>12.1</v>
          </cell>
        </row>
        <row r="15">
          <cell r="B15">
            <v>2.6524999999999999</v>
          </cell>
          <cell r="C15">
            <v>11</v>
          </cell>
          <cell r="D15">
            <v>4457.2272309782602</v>
          </cell>
          <cell r="E15">
            <v>636.24179347826089</v>
          </cell>
          <cell r="F15">
            <v>282.77413043478259</v>
          </cell>
          <cell r="G15">
            <v>353.46766304347824</v>
          </cell>
          <cell r="H15">
            <v>12.61</v>
          </cell>
        </row>
        <row r="16">
          <cell r="B16">
            <v>2.7800000000000002</v>
          </cell>
          <cell r="C16">
            <v>12</v>
          </cell>
          <cell r="D16">
            <v>5445.8838260869561</v>
          </cell>
          <cell r="E16">
            <v>747.14869565217396</v>
          </cell>
          <cell r="F16">
            <v>332.06608695652176</v>
          </cell>
          <cell r="G16">
            <v>415.08260869565214</v>
          </cell>
          <cell r="H16">
            <v>13.120000000000001</v>
          </cell>
        </row>
        <row r="17">
          <cell r="B17">
            <v>2.9074999999999998</v>
          </cell>
          <cell r="C17">
            <v>13</v>
          </cell>
          <cell r="D17">
            <v>6552.878062499999</v>
          </cell>
          <cell r="E17">
            <v>865.38374999999996</v>
          </cell>
          <cell r="F17">
            <v>384.61500000000001</v>
          </cell>
          <cell r="G17">
            <v>480.76874999999995</v>
          </cell>
          <cell r="H17">
            <v>13.629999999999999</v>
          </cell>
        </row>
        <row r="18">
          <cell r="B18">
            <v>3.0350000000000001</v>
          </cell>
          <cell r="C18">
            <v>14</v>
          </cell>
          <cell r="D18">
            <v>7784.4388695652187</v>
          </cell>
          <cell r="E18">
            <v>990.94695652173925</v>
          </cell>
          <cell r="F18">
            <v>440.42086956521746</v>
          </cell>
          <cell r="G18">
            <v>550.52608695652179</v>
          </cell>
          <cell r="H18">
            <v>14.14</v>
          </cell>
        </row>
        <row r="19">
          <cell r="B19">
            <v>3.1625000000000001</v>
          </cell>
          <cell r="C19">
            <v>15</v>
          </cell>
          <cell r="D19">
            <v>9146.7951766304341</v>
          </cell>
          <cell r="E19">
            <v>1123.8383152173913</v>
          </cell>
          <cell r="F19">
            <v>499.48369565217394</v>
          </cell>
          <cell r="G19">
            <v>624.35461956521738</v>
          </cell>
          <cell r="H19">
            <v>14.65</v>
          </cell>
        </row>
        <row r="20">
          <cell r="B20">
            <v>3.29</v>
          </cell>
          <cell r="C20">
            <v>16</v>
          </cell>
          <cell r="D20">
            <v>10646.17591304348</v>
          </cell>
          <cell r="E20">
            <v>1264.0578260869565</v>
          </cell>
          <cell r="F20">
            <v>561.80347826086961</v>
          </cell>
          <cell r="G20">
            <v>702.25434782608704</v>
          </cell>
          <cell r="H20">
            <v>15.16</v>
          </cell>
        </row>
        <row r="21">
          <cell r="B21">
            <v>3.4175</v>
          </cell>
          <cell r="C21">
            <v>17</v>
          </cell>
          <cell r="D21">
            <v>12288.810008152173</v>
          </cell>
          <cell r="E21">
            <v>1411.6054891304348</v>
          </cell>
          <cell r="F21">
            <v>627.38021739130443</v>
          </cell>
          <cell r="G21">
            <v>784.22527173913045</v>
          </cell>
          <cell r="H21">
            <v>15.67</v>
          </cell>
        </row>
        <row r="22">
          <cell r="B22">
            <v>3.5449999999999999</v>
          </cell>
          <cell r="C22">
            <v>18</v>
          </cell>
          <cell r="D22">
            <v>14080.926391304352</v>
          </cell>
          <cell r="E22">
            <v>1566.4813043478266</v>
          </cell>
          <cell r="F22">
            <v>696.21391304347856</v>
          </cell>
          <cell r="G22">
            <v>870.26739130434817</v>
          </cell>
          <cell r="H22">
            <v>16.18</v>
          </cell>
        </row>
        <row r="23">
          <cell r="B23">
            <v>3.6724999999999999</v>
          </cell>
          <cell r="C23">
            <v>19</v>
          </cell>
          <cell r="D23">
            <v>16028.753991847825</v>
          </cell>
          <cell r="E23">
            <v>1728.6852717391307</v>
          </cell>
          <cell r="F23">
            <v>768.30456521739143</v>
          </cell>
          <cell r="G23">
            <v>960.38070652173917</v>
          </cell>
          <cell r="H23">
            <v>16.689999999999998</v>
          </cell>
        </row>
        <row r="24">
          <cell r="B24">
            <v>3.8</v>
          </cell>
          <cell r="C24">
            <v>20</v>
          </cell>
          <cell r="D24">
            <v>18138.521739130436</v>
          </cell>
          <cell r="E24">
            <v>1898.217391304348</v>
          </cell>
          <cell r="F24">
            <v>843.65217391304361</v>
          </cell>
          <cell r="G24">
            <v>1054.5652173913045</v>
          </cell>
          <cell r="H24">
            <v>17.2</v>
          </cell>
        </row>
        <row r="25">
          <cell r="B25">
            <v>3.9275000000000002</v>
          </cell>
          <cell r="C25">
            <v>21</v>
          </cell>
          <cell r="D25">
            <v>20416.458562500007</v>
          </cell>
          <cell r="E25">
            <v>2075.0776630434789</v>
          </cell>
          <cell r="F25">
            <v>922.25673913043511</v>
          </cell>
          <cell r="G25">
            <v>1152.8209239130438</v>
          </cell>
          <cell r="H25">
            <v>17.71</v>
          </cell>
        </row>
        <row r="26">
          <cell r="B26">
            <v>4.0549999999999997</v>
          </cell>
          <cell r="C26">
            <v>22</v>
          </cell>
          <cell r="D26">
            <v>22868.793391304349</v>
          </cell>
          <cell r="E26">
            <v>2259.266086956522</v>
          </cell>
          <cell r="F26">
            <v>1004.1182608695653</v>
          </cell>
          <cell r="G26">
            <v>1255.1478260869567</v>
          </cell>
          <cell r="H26">
            <v>18.22</v>
          </cell>
        </row>
        <row r="27">
          <cell r="B27">
            <v>4.1825000000000001</v>
          </cell>
          <cell r="C27">
            <v>23</v>
          </cell>
          <cell r="D27">
            <v>25977.209001045157</v>
          </cell>
          <cell r="E27">
            <v>2496.4749707357864</v>
          </cell>
          <cell r="F27">
            <v>1109.5444314381273</v>
          </cell>
          <cell r="G27">
            <v>1386.9305392976592</v>
          </cell>
          <cell r="H27">
            <v>18.73</v>
          </cell>
        </row>
        <row r="28">
          <cell r="B28">
            <v>4.3100000000000005</v>
          </cell>
          <cell r="C28">
            <v>24</v>
          </cell>
          <cell r="D28">
            <v>29327.9727826087</v>
          </cell>
          <cell r="E28">
            <v>2743.781237458194</v>
          </cell>
          <cell r="F28">
            <v>1219.4583277591973</v>
          </cell>
          <cell r="G28">
            <v>1524.3229096989967</v>
          </cell>
          <cell r="H28">
            <v>19.240000000000002</v>
          </cell>
        </row>
        <row r="29">
          <cell r="B29">
            <v>4.4375</v>
          </cell>
          <cell r="C29">
            <v>25</v>
          </cell>
          <cell r="D29">
            <v>32929.667511496664</v>
          </cell>
          <cell r="E29">
            <v>3001.1848871237471</v>
          </cell>
          <cell r="F29">
            <v>1333.8599498327765</v>
          </cell>
          <cell r="G29">
            <v>1667.3249372909704</v>
          </cell>
          <cell r="H29">
            <v>19.75</v>
          </cell>
        </row>
        <row r="30">
          <cell r="B30">
            <v>4.5649999999999995</v>
          </cell>
          <cell r="C30">
            <v>26</v>
          </cell>
          <cell r="D30">
            <v>37257.666363210708</v>
          </cell>
          <cell r="E30">
            <v>3310.1579197324422</v>
          </cell>
          <cell r="F30">
            <v>1471.1812976588633</v>
          </cell>
          <cell r="G30">
            <v>1838.9766220735789</v>
          </cell>
          <cell r="H30">
            <v>20.259999999999998</v>
          </cell>
        </row>
        <row r="31">
          <cell r="B31">
            <v>4.6924999999999999</v>
          </cell>
          <cell r="C31">
            <v>27</v>
          </cell>
          <cell r="D31">
            <v>41903.848113252519</v>
          </cell>
          <cell r="E31">
            <v>3631.5323352842815</v>
          </cell>
          <cell r="F31">
            <v>1614.0143712374586</v>
          </cell>
          <cell r="G31">
            <v>2017.5179640468232</v>
          </cell>
          <cell r="H31">
            <v>20.77</v>
          </cell>
        </row>
        <row r="32">
          <cell r="B32">
            <v>4.82</v>
          </cell>
          <cell r="C32">
            <v>28</v>
          </cell>
          <cell r="D32">
            <v>46878.753937123758</v>
          </cell>
          <cell r="E32">
            <v>3965.3081337792655</v>
          </cell>
          <cell r="F32">
            <v>1762.3591705685624</v>
          </cell>
          <cell r="G32">
            <v>2202.9489632107029</v>
          </cell>
          <cell r="H32">
            <v>21.28</v>
          </cell>
        </row>
        <row r="33">
          <cell r="B33">
            <v>4.9474999999999998</v>
          </cell>
          <cell r="C33">
            <v>29</v>
          </cell>
          <cell r="D33">
            <v>52192.925010326107</v>
          </cell>
          <cell r="E33">
            <v>4311.4853152173928</v>
          </cell>
          <cell r="F33">
            <v>1916.2156956521749</v>
          </cell>
          <cell r="G33">
            <v>2395.2696195652184</v>
          </cell>
          <cell r="H33">
            <v>21.79</v>
          </cell>
        </row>
        <row r="34">
          <cell r="B34">
            <v>5.0750000000000002</v>
          </cell>
          <cell r="C34">
            <v>30</v>
          </cell>
          <cell r="D34">
            <v>58580.113789715739</v>
          </cell>
          <cell r="E34">
            <v>4728.4396780936477</v>
          </cell>
          <cell r="F34">
            <v>2101.5287458193989</v>
          </cell>
          <cell r="G34">
            <v>2626.9109322742484</v>
          </cell>
          <cell r="H34">
            <v>22.3</v>
          </cell>
        </row>
        <row r="35">
          <cell r="B35">
            <v>5.2025000000000006</v>
          </cell>
          <cell r="C35">
            <v>31</v>
          </cell>
          <cell r="D35">
            <v>65439.306328846171</v>
          </cell>
          <cell r="E35">
            <v>5163.9961153846161</v>
          </cell>
          <cell r="F35">
            <v>2295.1093846153849</v>
          </cell>
          <cell r="G35">
            <v>2868.8867307692312</v>
          </cell>
          <cell r="H35">
            <v>22.810000000000002</v>
          </cell>
        </row>
        <row r="36">
          <cell r="B36">
            <v>5.33</v>
          </cell>
          <cell r="C36">
            <v>32</v>
          </cell>
          <cell r="D36">
            <v>72812.7775214047</v>
          </cell>
          <cell r="E36">
            <v>5620.1972357859549</v>
          </cell>
          <cell r="F36">
            <v>2497.8654381270912</v>
          </cell>
          <cell r="G36">
            <v>3122.3317976588637</v>
          </cell>
          <cell r="H36">
            <v>23.32</v>
          </cell>
        </row>
        <row r="37">
          <cell r="B37">
            <v>5.4575000000000005</v>
          </cell>
          <cell r="C37">
            <v>33</v>
          </cell>
          <cell r="D37">
            <v>80692.898434991686</v>
          </cell>
          <cell r="E37">
            <v>6095.1413001672272</v>
          </cell>
          <cell r="F37">
            <v>2708.9516889632123</v>
          </cell>
          <cell r="G37">
            <v>3386.1896112040149</v>
          </cell>
          <cell r="H37">
            <v>23.830000000000002</v>
          </cell>
        </row>
        <row r="38">
          <cell r="B38">
            <v>5.585</v>
          </cell>
          <cell r="C38">
            <v>34</v>
          </cell>
          <cell r="D38">
            <v>89095.600571989969</v>
          </cell>
          <cell r="E38">
            <v>6588.8283085284293</v>
          </cell>
          <cell r="F38">
            <v>2928.3681371237462</v>
          </cell>
          <cell r="G38">
            <v>3660.4601714046826</v>
          </cell>
          <cell r="H38">
            <v>24.34</v>
          </cell>
        </row>
        <row r="39">
          <cell r="B39">
            <v>5.7125000000000004</v>
          </cell>
          <cell r="C39">
            <v>35</v>
          </cell>
          <cell r="D39">
            <v>98036.81543478262</v>
          </cell>
          <cell r="E39">
            <v>7101.2582608695666</v>
          </cell>
          <cell r="F39">
            <v>3156.1147826086963</v>
          </cell>
          <cell r="G39">
            <v>3945.1434782608699</v>
          </cell>
          <cell r="H39">
            <v>24.85</v>
          </cell>
        </row>
        <row r="40">
          <cell r="B40">
            <v>5.84</v>
          </cell>
          <cell r="C40">
            <v>36</v>
          </cell>
          <cell r="D40">
            <v>107532.47452575252</v>
          </cell>
          <cell r="E40">
            <v>7632.4311571906364</v>
          </cell>
          <cell r="F40">
            <v>3392.191625418061</v>
          </cell>
          <cell r="G40">
            <v>4240.2395317725759</v>
          </cell>
          <cell r="H40">
            <v>25.36</v>
          </cell>
        </row>
        <row r="41">
          <cell r="B41">
            <v>5.9675000000000002</v>
          </cell>
          <cell r="C41">
            <v>37</v>
          </cell>
          <cell r="D41">
            <v>117598.50934728263</v>
          </cell>
          <cell r="E41">
            <v>8182.3469974916397</v>
          </cell>
          <cell r="F41">
            <v>3636.59866555184</v>
          </cell>
          <cell r="G41">
            <v>4545.7483319397998</v>
          </cell>
          <cell r="H41">
            <v>25.87</v>
          </cell>
        </row>
        <row r="42">
          <cell r="B42">
            <v>6.0949999999999998</v>
          </cell>
          <cell r="C42">
            <v>38</v>
          </cell>
          <cell r="D42">
            <v>128250.85140175585</v>
          </cell>
          <cell r="E42">
            <v>8751.0057817725756</v>
          </cell>
          <cell r="F42">
            <v>3889.3359030100337</v>
          </cell>
          <cell r="G42">
            <v>4861.6698787625419</v>
          </cell>
          <cell r="H42">
            <v>26.38</v>
          </cell>
        </row>
        <row r="43">
          <cell r="B43">
            <v>6.2225000000000001</v>
          </cell>
          <cell r="C43">
            <v>39</v>
          </cell>
          <cell r="D43">
            <v>139505.43219155521</v>
          </cell>
          <cell r="E43">
            <v>9338.4075100334449</v>
          </cell>
          <cell r="F43">
            <v>4150.4033377926426</v>
          </cell>
          <cell r="G43">
            <v>5188.0041722408032</v>
          </cell>
          <cell r="H43">
            <v>26.89</v>
          </cell>
        </row>
        <row r="44">
          <cell r="B44">
            <v>6.35</v>
          </cell>
          <cell r="C44">
            <v>40</v>
          </cell>
          <cell r="D44">
            <v>152741.95063545156</v>
          </cell>
          <cell r="E44">
            <v>10034.14274247492</v>
          </cell>
          <cell r="F44">
            <v>4459.6189966555203</v>
          </cell>
          <cell r="G44">
            <v>5574.5237458194006</v>
          </cell>
          <cell r="H44">
            <v>27.4</v>
          </cell>
        </row>
        <row r="45">
          <cell r="B45">
            <v>6.4775</v>
          </cell>
          <cell r="C45">
            <v>41</v>
          </cell>
          <cell r="D45">
            <v>166760.21205660541</v>
          </cell>
          <cell r="E45">
            <v>10754.868566889636</v>
          </cell>
          <cell r="F45">
            <v>4779.9415852842822</v>
          </cell>
          <cell r="G45">
            <v>5974.9269816053529</v>
          </cell>
          <cell r="H45">
            <v>27.91</v>
          </cell>
        </row>
        <row r="46">
          <cell r="B46">
            <v>6.6050000000000004</v>
          </cell>
          <cell r="C46">
            <v>42</v>
          </cell>
          <cell r="D46">
            <v>181581.45845819404</v>
          </cell>
          <cell r="E46">
            <v>11500.584983277597</v>
          </cell>
          <cell r="F46">
            <v>5111.3711036789318</v>
          </cell>
          <cell r="G46">
            <v>6389.2138795986639</v>
          </cell>
          <cell r="H46">
            <v>28.42</v>
          </cell>
        </row>
        <row r="47">
          <cell r="B47">
            <v>6.7324999999999999</v>
          </cell>
          <cell r="C47">
            <v>43</v>
          </cell>
          <cell r="D47">
            <v>197226.93184339468</v>
          </cell>
          <cell r="E47">
            <v>12271.291991638798</v>
          </cell>
          <cell r="F47">
            <v>5453.9075518394666</v>
          </cell>
          <cell r="G47">
            <v>6817.3844397993325</v>
          </cell>
          <cell r="H47">
            <v>28.93</v>
          </cell>
        </row>
        <row r="48">
          <cell r="B48">
            <v>6.86</v>
          </cell>
          <cell r="C48">
            <v>44</v>
          </cell>
          <cell r="D48">
            <v>213717.87421538465</v>
          </cell>
          <cell r="E48">
            <v>13066.989591973246</v>
          </cell>
          <cell r="F48">
            <v>5807.5509297658873</v>
          </cell>
          <cell r="G48">
            <v>7259.4386622073589</v>
          </cell>
          <cell r="H48">
            <v>29.44</v>
          </cell>
        </row>
        <row r="49">
          <cell r="B49">
            <v>6.9874999999999998</v>
          </cell>
          <cell r="C49">
            <v>45</v>
          </cell>
          <cell r="D49">
            <v>231075.52757734121</v>
          </cell>
          <cell r="E49">
            <v>13887.677784280941</v>
          </cell>
          <cell r="F49">
            <v>6172.3012374581958</v>
          </cell>
          <cell r="G49">
            <v>7715.3765468227448</v>
          </cell>
          <cell r="H49">
            <v>29.95</v>
          </cell>
        </row>
        <row r="50">
          <cell r="B50">
            <v>7.1150000000000002</v>
          </cell>
          <cell r="C50">
            <v>46</v>
          </cell>
          <cell r="D50">
            <v>249321.13393244156</v>
          </cell>
          <cell r="E50">
            <v>14733.356568561878</v>
          </cell>
          <cell r="F50">
            <v>6548.1584749163903</v>
          </cell>
          <cell r="G50">
            <v>8185.1980936454875</v>
          </cell>
          <cell r="H50">
            <v>30.46</v>
          </cell>
        </row>
        <row r="51">
          <cell r="B51">
            <v>7.2424999999999997</v>
          </cell>
          <cell r="C51">
            <v>47</v>
          </cell>
          <cell r="D51">
            <v>268475.93528386293</v>
          </cell>
          <cell r="E51">
            <v>15604.025944816058</v>
          </cell>
          <cell r="F51">
            <v>6935.1226421404708</v>
          </cell>
          <cell r="G51">
            <v>8668.9033026755878</v>
          </cell>
          <cell r="H51">
            <v>30.97</v>
          </cell>
        </row>
        <row r="52">
          <cell r="B52">
            <v>7.37</v>
          </cell>
          <cell r="C52">
            <v>48</v>
          </cell>
          <cell r="D52">
            <v>288561.17363478272</v>
          </cell>
          <cell r="E52">
            <v>16499.685913043486</v>
          </cell>
          <cell r="F52">
            <v>7333.1937391304382</v>
          </cell>
          <cell r="G52">
            <v>9166.4921739130477</v>
          </cell>
          <cell r="H52">
            <v>31.48</v>
          </cell>
        </row>
        <row r="53">
          <cell r="B53">
            <v>7.4975000000000005</v>
          </cell>
          <cell r="C53">
            <v>49</v>
          </cell>
          <cell r="D53">
            <v>309598.0909883781</v>
          </cell>
          <cell r="E53">
            <v>17420.336473244155</v>
          </cell>
          <cell r="F53">
            <v>7742.3717658862915</v>
          </cell>
          <cell r="G53">
            <v>9677.9647073578635</v>
          </cell>
          <cell r="H53">
            <v>31.990000000000002</v>
          </cell>
        </row>
        <row r="54">
          <cell r="B54">
            <v>7.625</v>
          </cell>
          <cell r="C54">
            <v>50</v>
          </cell>
          <cell r="D54">
            <v>333789.56046195666</v>
          </cell>
          <cell r="E54">
            <v>18486.806425585291</v>
          </cell>
          <cell r="F54">
            <v>8216.3584113712404</v>
          </cell>
          <cell r="G54">
            <v>10270.448014214051</v>
          </cell>
          <cell r="H54">
            <v>32.5</v>
          </cell>
        </row>
        <row r="55">
          <cell r="B55">
            <v>7.7525000000000004</v>
          </cell>
          <cell r="C55">
            <v>51</v>
          </cell>
          <cell r="D55">
            <v>359158.23752035969</v>
          </cell>
          <cell r="E55">
            <v>19584.514617892979</v>
          </cell>
          <cell r="F55">
            <v>8704.228719063547</v>
          </cell>
          <cell r="G55">
            <v>10880.285898829434</v>
          </cell>
          <cell r="H55">
            <v>33.010000000000005</v>
          </cell>
        </row>
        <row r="56">
          <cell r="B56">
            <v>7.88</v>
          </cell>
          <cell r="C56">
            <v>52</v>
          </cell>
          <cell r="D56">
            <v>385730.67466755857</v>
          </cell>
          <cell r="E56">
            <v>20713.461050167229</v>
          </cell>
          <cell r="F56">
            <v>9205.9826889632131</v>
          </cell>
          <cell r="G56">
            <v>11507.478361204016</v>
          </cell>
          <cell r="H56">
            <v>33.519999999999996</v>
          </cell>
        </row>
        <row r="57">
          <cell r="B57">
            <v>8.0075000000000003</v>
          </cell>
          <cell r="C57">
            <v>53</v>
          </cell>
          <cell r="D57">
            <v>413533.42440752522</v>
          </cell>
          <cell r="E57">
            <v>21873.645722408033</v>
          </cell>
          <cell r="F57">
            <v>9721.620321070237</v>
          </cell>
          <cell r="G57">
            <v>12152.025401337796</v>
          </cell>
          <cell r="H57">
            <v>34.03</v>
          </cell>
        </row>
        <row r="58">
          <cell r="B58">
            <v>8.1349999999999998</v>
          </cell>
          <cell r="C58">
            <v>54</v>
          </cell>
          <cell r="D58">
            <v>442593.03924423084</v>
          </cell>
          <cell r="E58">
            <v>23065.068634615389</v>
          </cell>
          <cell r="F58">
            <v>10251.141615384618</v>
          </cell>
          <cell r="G58">
            <v>12813.927019230772</v>
          </cell>
          <cell r="H58">
            <v>34.54</v>
          </cell>
        </row>
        <row r="59">
          <cell r="B59">
            <v>8.2624999999999993</v>
          </cell>
          <cell r="C59">
            <v>55</v>
          </cell>
          <cell r="D59">
            <v>472936.07168164715</v>
          </cell>
          <cell r="E59">
            <v>24287.729786789299</v>
          </cell>
          <cell r="F59">
            <v>10794.546571906356</v>
          </cell>
          <cell r="G59">
            <v>13493.183214882944</v>
          </cell>
          <cell r="H59">
            <v>35.049999999999997</v>
          </cell>
        </row>
        <row r="60">
          <cell r="B60">
            <v>8.39</v>
          </cell>
          <cell r="C60">
            <v>56</v>
          </cell>
          <cell r="D60">
            <v>504589.07422374596</v>
          </cell>
          <cell r="E60">
            <v>25541.629178929772</v>
          </cell>
          <cell r="F60">
            <v>11351.835190635455</v>
          </cell>
          <cell r="G60">
            <v>14189.793988294317</v>
          </cell>
          <cell r="H60">
            <v>35.56</v>
          </cell>
        </row>
        <row r="61">
          <cell r="B61">
            <v>8.5175000000000001</v>
          </cell>
          <cell r="C61">
            <v>57</v>
          </cell>
          <cell r="D61">
            <v>537578.59937449847</v>
          </cell>
          <cell r="E61">
            <v>26826.766811036796</v>
          </cell>
          <cell r="F61">
            <v>11923.007471571909</v>
          </cell>
          <cell r="G61">
            <v>14903.759339464887</v>
          </cell>
          <cell r="H61">
            <v>36.07</v>
          </cell>
        </row>
        <row r="62">
          <cell r="B62">
            <v>8.6449999999999996</v>
          </cell>
          <cell r="C62">
            <v>58</v>
          </cell>
          <cell r="D62">
            <v>571931.19963787636</v>
          </cell>
          <cell r="E62">
            <v>28143.142683110374</v>
          </cell>
          <cell r="F62">
            <v>12508.063414715723</v>
          </cell>
          <cell r="G62">
            <v>15635.079268394653</v>
          </cell>
          <cell r="H62">
            <v>36.58</v>
          </cell>
        </row>
        <row r="63">
          <cell r="B63">
            <v>8.7725000000000009</v>
          </cell>
          <cell r="C63">
            <v>59</v>
          </cell>
          <cell r="D63">
            <v>607673.42751785135</v>
          </cell>
          <cell r="E63">
            <v>29490.756795150512</v>
          </cell>
          <cell r="F63">
            <v>13107.003020066893</v>
          </cell>
          <cell r="G63">
            <v>16383.753775083616</v>
          </cell>
          <cell r="H63">
            <v>37.090000000000003</v>
          </cell>
        </row>
        <row r="64">
          <cell r="B64">
            <v>8.9</v>
          </cell>
          <cell r="C64">
            <v>60</v>
          </cell>
          <cell r="D64">
            <v>648008.34702341165</v>
          </cell>
          <cell r="E64">
            <v>31021.676187290985</v>
          </cell>
          <cell r="F64">
            <v>13787.411638795993</v>
          </cell>
          <cell r="G64">
            <v>17234.26454849499</v>
          </cell>
          <cell r="H64">
            <v>37.6</v>
          </cell>
        </row>
        <row r="65">
          <cell r="B65">
            <v>9.0274999999999999</v>
          </cell>
          <cell r="C65">
            <v>61</v>
          </cell>
          <cell r="D65">
            <v>690004.44706793502</v>
          </cell>
          <cell r="E65">
            <v>32590.081467391312</v>
          </cell>
          <cell r="F65">
            <v>14484.480652173917</v>
          </cell>
          <cell r="G65">
            <v>18105.600815217396</v>
          </cell>
          <cell r="H65">
            <v>38.11</v>
          </cell>
        </row>
        <row r="66">
          <cell r="B66">
            <v>9.1550000000000011</v>
          </cell>
          <cell r="C66">
            <v>62</v>
          </cell>
          <cell r="D66">
            <v>733693.59065618762</v>
          </cell>
          <cell r="E66">
            <v>34195.972635451515</v>
          </cell>
          <cell r="F66">
            <v>15198.210060200676</v>
          </cell>
          <cell r="G66">
            <v>18997.762575250843</v>
          </cell>
          <cell r="H66">
            <v>38.620000000000005</v>
          </cell>
        </row>
        <row r="67">
          <cell r="B67">
            <v>9.2825000000000006</v>
          </cell>
          <cell r="C67">
            <v>63</v>
          </cell>
          <cell r="D67">
            <v>779107.64079293516</v>
          </cell>
          <cell r="E67">
            <v>35839.349691471587</v>
          </cell>
          <cell r="F67">
            <v>15928.599862876261</v>
          </cell>
          <cell r="G67">
            <v>19910.749828595326</v>
          </cell>
          <cell r="H67">
            <v>39.130000000000003</v>
          </cell>
        </row>
        <row r="68">
          <cell r="B68">
            <v>9.41</v>
          </cell>
          <cell r="C68">
            <v>64</v>
          </cell>
          <cell r="D68">
            <v>826278.46048294357</v>
          </cell>
          <cell r="E68">
            <v>37520.21263545152</v>
          </cell>
          <cell r="F68">
            <v>16675.650060200678</v>
          </cell>
          <cell r="G68">
            <v>20844.562575250846</v>
          </cell>
          <cell r="H68">
            <v>39.64</v>
          </cell>
        </row>
        <row r="69">
          <cell r="B69">
            <v>9.5374999999999996</v>
          </cell>
          <cell r="C69">
            <v>65</v>
          </cell>
          <cell r="D69">
            <v>875237.91273097834</v>
          </cell>
          <cell r="E69">
            <v>39238.561467391308</v>
          </cell>
          <cell r="F69">
            <v>17439.360652173917</v>
          </cell>
          <cell r="G69">
            <v>21799.200815217395</v>
          </cell>
          <cell r="H69">
            <v>40.15</v>
          </cell>
        </row>
        <row r="70">
          <cell r="B70">
            <v>9.6650000000000009</v>
          </cell>
          <cell r="C70">
            <v>66</v>
          </cell>
          <cell r="D70">
            <v>926017.86054180656</v>
          </cell>
          <cell r="E70">
            <v>40994.396187290993</v>
          </cell>
          <cell r="F70">
            <v>18219.731638795998</v>
          </cell>
          <cell r="G70">
            <v>22774.664548494995</v>
          </cell>
          <cell r="H70">
            <v>40.660000000000004</v>
          </cell>
        </row>
        <row r="71">
          <cell r="B71">
            <v>9.7925000000000004</v>
          </cell>
          <cell r="C71">
            <v>67</v>
          </cell>
          <cell r="D71">
            <v>978650.16692019301</v>
          </cell>
          <cell r="E71">
            <v>42787.716795150533</v>
          </cell>
          <cell r="F71">
            <v>19016.763020066905</v>
          </cell>
          <cell r="G71">
            <v>23770.953775083628</v>
          </cell>
          <cell r="H71">
            <v>41.17</v>
          </cell>
        </row>
        <row r="72">
          <cell r="B72">
            <v>9.92</v>
          </cell>
          <cell r="C72">
            <v>68</v>
          </cell>
          <cell r="D72">
            <v>1033166.6948709039</v>
          </cell>
          <cell r="E72">
            <v>44618.523290969941</v>
          </cell>
          <cell r="F72">
            <v>19830.45479598664</v>
          </cell>
          <cell r="G72">
            <v>24788.068494983298</v>
          </cell>
          <cell r="H72">
            <v>41.68</v>
          </cell>
        </row>
        <row r="73">
          <cell r="B73">
            <v>10.047499999999999</v>
          </cell>
          <cell r="C73">
            <v>69</v>
          </cell>
          <cell r="D73">
            <v>1089599.307398705</v>
          </cell>
          <cell r="E73">
            <v>46486.815674749203</v>
          </cell>
          <cell r="F73">
            <v>20660.806966555203</v>
          </cell>
          <cell r="G73">
            <v>25826.008708194004</v>
          </cell>
          <cell r="H73">
            <v>42.19</v>
          </cell>
        </row>
        <row r="74">
          <cell r="B74">
            <v>10.175000000000001</v>
          </cell>
          <cell r="C74">
            <v>70</v>
          </cell>
          <cell r="D74">
            <v>1152328.276097409</v>
          </cell>
          <cell r="E74">
            <v>48575.89922658867</v>
          </cell>
          <cell r="F74">
            <v>21589.288545150521</v>
          </cell>
          <cell r="G74">
            <v>26986.610681438149</v>
          </cell>
          <cell r="H74">
            <v>42.7</v>
          </cell>
        </row>
        <row r="75">
          <cell r="B75">
            <v>10.3025</v>
          </cell>
          <cell r="C75">
            <v>71</v>
          </cell>
          <cell r="D75">
            <v>1217290.9066357866</v>
          </cell>
          <cell r="E75">
            <v>50708.716314381301</v>
          </cell>
          <cell r="F75">
            <v>22537.207250836134</v>
          </cell>
          <cell r="G75">
            <v>28171.509063545167</v>
          </cell>
          <cell r="H75">
            <v>43.21</v>
          </cell>
        </row>
        <row r="76">
          <cell r="B76">
            <v>10.43</v>
          </cell>
          <cell r="C76">
            <v>72</v>
          </cell>
          <cell r="D76">
            <v>1284524.3725193988</v>
          </cell>
          <cell r="E76">
            <v>52885.266938127126</v>
          </cell>
          <cell r="F76">
            <v>23504.563083612054</v>
          </cell>
          <cell r="G76">
            <v>29380.703854515068</v>
          </cell>
          <cell r="H76">
            <v>43.72</v>
          </cell>
        </row>
        <row r="77">
          <cell r="B77">
            <v>10.557500000000001</v>
          </cell>
          <cell r="C77">
            <v>73</v>
          </cell>
          <cell r="D77">
            <v>1354065.8472538053</v>
          </cell>
          <cell r="E77">
            <v>55105.551097826123</v>
          </cell>
          <cell r="F77">
            <v>24491.356043478278</v>
          </cell>
          <cell r="G77">
            <v>30614.195054347845</v>
          </cell>
          <cell r="H77">
            <v>44.230000000000004</v>
          </cell>
        </row>
        <row r="78">
          <cell r="B78">
            <v>10.685</v>
          </cell>
          <cell r="C78">
            <v>74</v>
          </cell>
          <cell r="D78">
            <v>1425952.504344566</v>
          </cell>
          <cell r="E78">
            <v>57369.568793478291</v>
          </cell>
          <cell r="F78">
            <v>25497.586130434796</v>
          </cell>
          <cell r="G78">
            <v>31871.982663043495</v>
          </cell>
          <cell r="H78">
            <v>44.74</v>
          </cell>
        </row>
        <row r="79">
          <cell r="B79">
            <v>10.8125</v>
          </cell>
          <cell r="C79">
            <v>75</v>
          </cell>
          <cell r="D79">
            <v>1500221.5172972416</v>
          </cell>
          <cell r="E79">
            <v>59677.320025083645</v>
          </cell>
          <cell r="F79">
            <v>26523.253344481622</v>
          </cell>
          <cell r="G79">
            <v>33154.066680602024</v>
          </cell>
          <cell r="H79">
            <v>45.25</v>
          </cell>
        </row>
        <row r="80">
          <cell r="B80">
            <v>10.94</v>
          </cell>
          <cell r="C80">
            <v>76</v>
          </cell>
          <cell r="D80">
            <v>1576910.059617392</v>
          </cell>
          <cell r="E80">
            <v>62028.804792642171</v>
          </cell>
          <cell r="F80">
            <v>27568.357685618743</v>
          </cell>
          <cell r="G80">
            <v>34460.447107023429</v>
          </cell>
          <cell r="H80">
            <v>45.76</v>
          </cell>
        </row>
        <row r="81">
          <cell r="B81">
            <v>11.067500000000001</v>
          </cell>
          <cell r="C81">
            <v>77</v>
          </cell>
          <cell r="D81">
            <v>1656055.3048105778</v>
          </cell>
          <cell r="E81">
            <v>64424.023096153876</v>
          </cell>
          <cell r="F81">
            <v>28632.899153846167</v>
          </cell>
          <cell r="G81">
            <v>35791.123942307706</v>
          </cell>
          <cell r="H81">
            <v>46.27</v>
          </cell>
        </row>
        <row r="82">
          <cell r="B82">
            <v>11.195</v>
          </cell>
          <cell r="C82">
            <v>78</v>
          </cell>
          <cell r="D82">
            <v>1737694.4263823582</v>
          </cell>
          <cell r="E82">
            <v>66862.974935618739</v>
          </cell>
          <cell r="F82">
            <v>29716.877749163887</v>
          </cell>
          <cell r="G82">
            <v>37146.097186454856</v>
          </cell>
          <cell r="H82">
            <v>46.78</v>
          </cell>
        </row>
        <row r="83">
          <cell r="B83">
            <v>11.3225</v>
          </cell>
          <cell r="C83">
            <v>79</v>
          </cell>
          <cell r="D83">
            <v>1821864.5978382952</v>
          </cell>
          <cell r="E83">
            <v>69345.660311036816</v>
          </cell>
          <cell r="F83">
            <v>30820.29347157192</v>
          </cell>
          <cell r="G83">
            <v>38525.366839464899</v>
          </cell>
          <cell r="H83">
            <v>47.29</v>
          </cell>
        </row>
        <row r="84">
          <cell r="B84">
            <v>11.45</v>
          </cell>
          <cell r="C84">
            <v>80</v>
          </cell>
          <cell r="D84">
            <v>1914300.3150501673</v>
          </cell>
          <cell r="E84">
            <v>72086.622742474923</v>
          </cell>
          <cell r="F84">
            <v>32038.498996655522</v>
          </cell>
          <cell r="G84">
            <v>40048.123745819401</v>
          </cell>
          <cell r="H84">
            <v>47.8</v>
          </cell>
        </row>
        <row r="85">
          <cell r="B85">
            <v>11.577500000000001</v>
          </cell>
          <cell r="C85">
            <v>81</v>
          </cell>
          <cell r="D85">
            <v>2009630.6837489975</v>
          </cell>
          <cell r="E85">
            <v>74877.566357859556</v>
          </cell>
          <cell r="F85">
            <v>33278.918381270916</v>
          </cell>
          <cell r="G85">
            <v>41598.647976588647</v>
          </cell>
          <cell r="H85">
            <v>48.31</v>
          </cell>
        </row>
        <row r="86">
          <cell r="B86">
            <v>11.705</v>
          </cell>
          <cell r="C86">
            <v>82</v>
          </cell>
          <cell r="D86">
            <v>2107898.1879411377</v>
          </cell>
          <cell r="E86">
            <v>77718.491157190656</v>
          </cell>
          <cell r="F86">
            <v>34541.551625418069</v>
          </cell>
          <cell r="G86">
            <v>43176.939531772587</v>
          </cell>
          <cell r="H86">
            <v>48.82</v>
          </cell>
        </row>
        <row r="87">
          <cell r="B87">
            <v>11.8325</v>
          </cell>
          <cell r="C87">
            <v>83</v>
          </cell>
          <cell r="D87">
            <v>2209145.3116329438</v>
          </cell>
          <cell r="E87">
            <v>80609.397140468252</v>
          </cell>
          <cell r="F87">
            <v>35826.398729097004</v>
          </cell>
          <cell r="G87">
            <v>44782.998411371249</v>
          </cell>
          <cell r="H87">
            <v>49.33</v>
          </cell>
        </row>
        <row r="88">
          <cell r="B88">
            <v>11.96</v>
          </cell>
          <cell r="C88">
            <v>84</v>
          </cell>
          <cell r="D88">
            <v>2313414.5388307702</v>
          </cell>
          <cell r="E88">
            <v>83550.284307692331</v>
          </cell>
          <cell r="F88">
            <v>37133.459692307704</v>
          </cell>
          <cell r="G88">
            <v>46416.824615384627</v>
          </cell>
          <cell r="H88">
            <v>49.84</v>
          </cell>
        </row>
        <row r="89">
          <cell r="B89">
            <v>12.0875</v>
          </cell>
          <cell r="C89">
            <v>85</v>
          </cell>
          <cell r="D89">
            <v>2420748.3535409695</v>
          </cell>
          <cell r="E89">
            <v>86541.152658862877</v>
          </cell>
          <cell r="F89">
            <v>38462.734515050164</v>
          </cell>
          <cell r="G89">
            <v>48078.418143812705</v>
          </cell>
          <cell r="H89">
            <v>50.35</v>
          </cell>
        </row>
        <row r="90">
          <cell r="B90">
            <v>12.215</v>
          </cell>
          <cell r="C90">
            <v>86</v>
          </cell>
          <cell r="D90">
            <v>2531189.2397698998</v>
          </cell>
          <cell r="E90">
            <v>89582.002193979948</v>
          </cell>
          <cell r="F90">
            <v>39814.22319732442</v>
          </cell>
          <cell r="G90">
            <v>49767.778996655521</v>
          </cell>
          <cell r="H90">
            <v>50.86</v>
          </cell>
        </row>
        <row r="91">
          <cell r="B91">
            <v>12.342499999999999</v>
          </cell>
          <cell r="C91">
            <v>87</v>
          </cell>
          <cell r="D91">
            <v>2644779.6815239121</v>
          </cell>
          <cell r="E91">
            <v>92672.832913043458</v>
          </cell>
          <cell r="F91">
            <v>41187.925739130427</v>
          </cell>
          <cell r="G91">
            <v>51484.90717391303</v>
          </cell>
          <cell r="H91">
            <v>51.37</v>
          </cell>
        </row>
        <row r="92">
          <cell r="B92">
            <v>12.47</v>
          </cell>
          <cell r="C92">
            <v>88</v>
          </cell>
          <cell r="D92">
            <v>2761562.162809364</v>
          </cell>
          <cell r="E92">
            <v>95813.644816053478</v>
          </cell>
          <cell r="F92">
            <v>42583.842140468216</v>
          </cell>
          <cell r="G92">
            <v>53229.80267558527</v>
          </cell>
          <cell r="H92">
            <v>51.88</v>
          </cell>
        </row>
        <row r="93">
          <cell r="B93">
            <v>12.5975</v>
          </cell>
          <cell r="C93">
            <v>89</v>
          </cell>
          <cell r="D93">
            <v>2881579.1676326082</v>
          </cell>
          <cell r="E93">
            <v>99004.437903010024</v>
          </cell>
          <cell r="F93">
            <v>44001.972401337785</v>
          </cell>
          <cell r="G93">
            <v>55002.465501672232</v>
          </cell>
          <cell r="H93">
            <v>52.39</v>
          </cell>
        </row>
        <row r="94">
          <cell r="B94">
            <v>12.725</v>
          </cell>
          <cell r="C94">
            <v>90</v>
          </cell>
          <cell r="D94">
            <v>3004873.1799999988</v>
          </cell>
          <cell r="E94">
            <v>102245.21217391299</v>
          </cell>
          <cell r="F94">
            <v>45442.316521739114</v>
          </cell>
          <cell r="G94">
            <v>56802.895652173887</v>
          </cell>
          <cell r="H94">
            <v>52.9</v>
          </cell>
        </row>
        <row r="95">
          <cell r="B95">
            <v>12.852500000000001</v>
          </cell>
          <cell r="C95">
            <v>91</v>
          </cell>
          <cell r="D95">
            <v>3131486.6839178922</v>
          </cell>
          <cell r="E95">
            <v>105535.9676287625</v>
          </cell>
          <cell r="F95">
            <v>46904.874501672224</v>
          </cell>
          <cell r="G95">
            <v>58631.09312709028</v>
          </cell>
          <cell r="H95">
            <v>53.410000000000004</v>
          </cell>
        </row>
        <row r="96">
          <cell r="B96">
            <v>12.98</v>
          </cell>
          <cell r="C96">
            <v>92</v>
          </cell>
          <cell r="D96">
            <v>3261462.1633926416</v>
          </cell>
          <cell r="E96">
            <v>108876.7042675585</v>
          </cell>
          <cell r="F96">
            <v>48389.646341137115</v>
          </cell>
          <cell r="G96">
            <v>60487.057926421388</v>
          </cell>
          <cell r="H96">
            <v>53.92</v>
          </cell>
        </row>
        <row r="97">
          <cell r="B97">
            <v>13.1075</v>
          </cell>
          <cell r="C97">
            <v>93</v>
          </cell>
          <cell r="D97">
            <v>3394842.1024305997</v>
          </cell>
          <cell r="E97">
            <v>112267.42209030094</v>
          </cell>
          <cell r="F97">
            <v>49896.632040133751</v>
          </cell>
          <cell r="G97">
            <v>62370.790050167183</v>
          </cell>
          <cell r="H97">
            <v>54.43</v>
          </cell>
        </row>
        <row r="98">
          <cell r="B98">
            <v>13.234999999999999</v>
          </cell>
          <cell r="C98">
            <v>94</v>
          </cell>
          <cell r="D98">
            <v>3531668.985038125</v>
          </cell>
          <cell r="E98">
            <v>115708.1210969899</v>
          </cell>
          <cell r="F98">
            <v>51425.831598662182</v>
          </cell>
          <cell r="G98">
            <v>64282.289498327722</v>
          </cell>
          <cell r="H98">
            <v>54.94</v>
          </cell>
        </row>
        <row r="99">
          <cell r="B99">
            <v>13.362500000000001</v>
          </cell>
          <cell r="C99">
            <v>95</v>
          </cell>
          <cell r="D99">
            <v>3671985.2952215695</v>
          </cell>
          <cell r="E99">
            <v>119198.80128762533</v>
          </cell>
          <cell r="F99">
            <v>52977.245016722372</v>
          </cell>
          <cell r="G99">
            <v>66221.556270902962</v>
          </cell>
          <cell r="H99">
            <v>55.45</v>
          </cell>
        </row>
        <row r="100">
          <cell r="B100">
            <v>13.49</v>
          </cell>
          <cell r="C100">
            <v>96</v>
          </cell>
          <cell r="D100">
            <v>3815833.5169872884</v>
          </cell>
          <cell r="E100">
            <v>122739.46266220728</v>
          </cell>
          <cell r="F100">
            <v>54550.872294314351</v>
          </cell>
          <cell r="G100">
            <v>68188.590367892932</v>
          </cell>
          <cell r="H100">
            <v>55.96</v>
          </cell>
        </row>
        <row r="101">
          <cell r="B101">
            <v>13.6175</v>
          </cell>
          <cell r="C101">
            <v>97</v>
          </cell>
          <cell r="D101">
            <v>3963256.1343416362</v>
          </cell>
          <cell r="E101">
            <v>126330.10522073571</v>
          </cell>
          <cell r="F101">
            <v>56146.713431438096</v>
          </cell>
          <cell r="G101">
            <v>70183.391789297617</v>
          </cell>
          <cell r="H101">
            <v>56.47</v>
          </cell>
        </row>
        <row r="102">
          <cell r="B102">
            <v>13.745000000000001</v>
          </cell>
          <cell r="C102">
            <v>98</v>
          </cell>
          <cell r="D102">
            <v>4114295.6312909662</v>
          </cell>
          <cell r="E102">
            <v>129970.72896321058</v>
          </cell>
          <cell r="F102">
            <v>57764.768428093594</v>
          </cell>
          <cell r="G102">
            <v>72205.960535116988</v>
          </cell>
          <cell r="H102">
            <v>56.980000000000004</v>
          </cell>
        </row>
        <row r="103">
          <cell r="B103">
            <v>13.8725</v>
          </cell>
          <cell r="C103">
            <v>99</v>
          </cell>
          <cell r="D103">
            <v>4268994.4918416347</v>
          </cell>
          <cell r="E103">
            <v>133661.33388963199</v>
          </cell>
          <cell r="F103">
            <v>59405.037284280887</v>
          </cell>
          <cell r="G103">
            <v>74256.296605351105</v>
          </cell>
          <cell r="H103">
            <v>57.49</v>
          </cell>
        </row>
      </sheetData>
      <sheetData sheetId="5">
        <row r="4">
          <cell r="B4" t="str">
            <v>等级</v>
          </cell>
          <cell r="C4" t="str">
            <v>生命</v>
          </cell>
          <cell r="D4" t="str">
            <v>攻击</v>
          </cell>
          <cell r="E4" t="str">
            <v>防御</v>
          </cell>
          <cell r="F4" t="str">
            <v>标准属性价值参考系</v>
          </cell>
        </row>
        <row r="5">
          <cell r="B5">
            <v>1</v>
          </cell>
          <cell r="C5">
            <v>495.65999999999997</v>
          </cell>
          <cell r="D5">
            <v>118.80000000000001</v>
          </cell>
          <cell r="E5">
            <v>52.800000000000004</v>
          </cell>
          <cell r="F5">
            <v>191.42640000000003</v>
          </cell>
        </row>
        <row r="6">
          <cell r="B6">
            <v>2</v>
          </cell>
          <cell r="C6">
            <v>577.43999999999994</v>
          </cell>
          <cell r="D6">
            <v>129.6</v>
          </cell>
          <cell r="E6">
            <v>57.6</v>
          </cell>
          <cell r="F6">
            <v>207.0264</v>
          </cell>
        </row>
        <row r="7">
          <cell r="B7">
            <v>3</v>
          </cell>
          <cell r="C7">
            <v>665.34000000000015</v>
          </cell>
          <cell r="D7">
            <v>140.4</v>
          </cell>
          <cell r="E7">
            <v>62.400000000000006</v>
          </cell>
          <cell r="F7">
            <v>222.62640000000002</v>
          </cell>
        </row>
        <row r="8">
          <cell r="B8">
            <v>4</v>
          </cell>
          <cell r="C8">
            <v>759.3599999999999</v>
          </cell>
          <cell r="D8">
            <v>151.19999999999999</v>
          </cell>
          <cell r="E8">
            <v>67.2</v>
          </cell>
          <cell r="F8">
            <v>238.22640000000001</v>
          </cell>
        </row>
        <row r="9">
          <cell r="B9">
            <v>5</v>
          </cell>
          <cell r="C9">
            <v>859.50000000000011</v>
          </cell>
          <cell r="D9">
            <v>162</v>
          </cell>
          <cell r="E9">
            <v>72</v>
          </cell>
          <cell r="F9">
            <v>253.82640000000001</v>
          </cell>
        </row>
        <row r="10">
          <cell r="B10">
            <v>6</v>
          </cell>
          <cell r="C10">
            <v>965.76</v>
          </cell>
          <cell r="D10">
            <v>172.79999999999998</v>
          </cell>
          <cell r="E10">
            <v>76.8</v>
          </cell>
          <cell r="F10">
            <v>269.4264</v>
          </cell>
        </row>
        <row r="11">
          <cell r="B11">
            <v>7</v>
          </cell>
          <cell r="C11">
            <v>1078.1399999999999</v>
          </cell>
          <cell r="D11">
            <v>183.6</v>
          </cell>
          <cell r="E11">
            <v>81.600000000000009</v>
          </cell>
          <cell r="F11">
            <v>285.02640000000002</v>
          </cell>
        </row>
        <row r="12">
          <cell r="B12">
            <v>8</v>
          </cell>
          <cell r="C12">
            <v>1196.6399999999999</v>
          </cell>
          <cell r="D12">
            <v>194.39999999999998</v>
          </cell>
          <cell r="E12">
            <v>86.4</v>
          </cell>
          <cell r="F12">
            <v>300.62639999999999</v>
          </cell>
        </row>
        <row r="13">
          <cell r="B13">
            <v>9</v>
          </cell>
          <cell r="C13">
            <v>1321.26</v>
          </cell>
          <cell r="D13">
            <v>205.20000000000002</v>
          </cell>
          <cell r="E13">
            <v>91.2</v>
          </cell>
          <cell r="F13">
            <v>316.22640000000001</v>
          </cell>
        </row>
        <row r="14">
          <cell r="B14">
            <v>10</v>
          </cell>
          <cell r="C14">
            <v>1452</v>
          </cell>
          <cell r="D14">
            <v>216.00000000000003</v>
          </cell>
          <cell r="E14">
            <v>96.000000000000014</v>
          </cell>
          <cell r="F14">
            <v>331.82640000000004</v>
          </cell>
        </row>
        <row r="15">
          <cell r="B15">
            <v>11</v>
          </cell>
          <cell r="C15">
            <v>1588.8599999999994</v>
          </cell>
          <cell r="D15">
            <v>226.79999999999995</v>
          </cell>
          <cell r="E15">
            <v>100.79999999999997</v>
          </cell>
          <cell r="F15">
            <v>347.42639999999994</v>
          </cell>
        </row>
        <row r="16">
          <cell r="B16">
            <v>12</v>
          </cell>
          <cell r="C16">
            <v>1731.84</v>
          </cell>
          <cell r="D16">
            <v>237.60000000000002</v>
          </cell>
          <cell r="E16">
            <v>105.60000000000001</v>
          </cell>
          <cell r="F16">
            <v>363.02640000000002</v>
          </cell>
        </row>
        <row r="17">
          <cell r="B17">
            <v>13</v>
          </cell>
          <cell r="C17">
            <v>1880.9399999999998</v>
          </cell>
          <cell r="D17">
            <v>248.4</v>
          </cell>
          <cell r="E17">
            <v>110.4</v>
          </cell>
          <cell r="F17">
            <v>378.62639999999999</v>
          </cell>
        </row>
        <row r="18">
          <cell r="B18">
            <v>14</v>
          </cell>
          <cell r="C18">
            <v>2036.1600000000003</v>
          </cell>
          <cell r="D18">
            <v>259.20000000000005</v>
          </cell>
          <cell r="E18">
            <v>115.20000000000002</v>
          </cell>
          <cell r="F18">
            <v>394.22640000000001</v>
          </cell>
        </row>
        <row r="19">
          <cell r="B19">
            <v>15</v>
          </cell>
          <cell r="C19">
            <v>2197.5</v>
          </cell>
          <cell r="D19">
            <v>270</v>
          </cell>
          <cell r="E19">
            <v>120.00000000000001</v>
          </cell>
          <cell r="F19">
            <v>409.82639999999998</v>
          </cell>
        </row>
        <row r="20">
          <cell r="B20">
            <v>16</v>
          </cell>
          <cell r="C20">
            <v>2364.9600000000005</v>
          </cell>
          <cell r="D20">
            <v>280.8</v>
          </cell>
          <cell r="E20">
            <v>124.80000000000001</v>
          </cell>
          <cell r="F20">
            <v>425.4264</v>
          </cell>
        </row>
        <row r="21">
          <cell r="B21">
            <v>17</v>
          </cell>
          <cell r="C21">
            <v>2538.54</v>
          </cell>
          <cell r="D21">
            <v>291.60000000000002</v>
          </cell>
          <cell r="E21">
            <v>129.60000000000002</v>
          </cell>
          <cell r="F21">
            <v>441.02640000000002</v>
          </cell>
        </row>
        <row r="22">
          <cell r="B22">
            <v>18</v>
          </cell>
          <cell r="C22">
            <v>2718.2400000000007</v>
          </cell>
          <cell r="D22">
            <v>302.40000000000009</v>
          </cell>
          <cell r="E22">
            <v>134.40000000000006</v>
          </cell>
          <cell r="F22">
            <v>456.6264000000001</v>
          </cell>
        </row>
        <row r="23">
          <cell r="B23">
            <v>19</v>
          </cell>
          <cell r="C23">
            <v>2904.06</v>
          </cell>
          <cell r="D23">
            <v>313.2000000000001</v>
          </cell>
          <cell r="E23">
            <v>139.20000000000005</v>
          </cell>
          <cell r="F23">
            <v>472.22640000000013</v>
          </cell>
        </row>
        <row r="24">
          <cell r="B24">
            <v>20</v>
          </cell>
          <cell r="C24">
            <v>3096.0000000000005</v>
          </cell>
          <cell r="D24">
            <v>324.00000000000006</v>
          </cell>
          <cell r="E24">
            <v>144.00000000000003</v>
          </cell>
          <cell r="F24">
            <v>487.82640000000004</v>
          </cell>
        </row>
        <row r="25">
          <cell r="B25">
            <v>21</v>
          </cell>
          <cell r="C25">
            <v>3294.0600000000009</v>
          </cell>
          <cell r="D25">
            <v>334.80000000000007</v>
          </cell>
          <cell r="E25">
            <v>148.80000000000004</v>
          </cell>
          <cell r="F25">
            <v>503.42640000000006</v>
          </cell>
        </row>
        <row r="26">
          <cell r="B26">
            <v>22</v>
          </cell>
          <cell r="C26">
            <v>3498.2400000000007</v>
          </cell>
          <cell r="D26">
            <v>345.60000000000008</v>
          </cell>
          <cell r="E26">
            <v>153.60000000000002</v>
          </cell>
          <cell r="F26">
            <v>519.02640000000008</v>
          </cell>
        </row>
        <row r="27">
          <cell r="B27">
            <v>23</v>
          </cell>
          <cell r="C27">
            <v>3708.5400000000013</v>
          </cell>
          <cell r="D27">
            <v>356.40000000000015</v>
          </cell>
          <cell r="E27">
            <v>158.40000000000006</v>
          </cell>
          <cell r="F27">
            <v>534.62640000000022</v>
          </cell>
        </row>
        <row r="28">
          <cell r="B28">
            <v>24</v>
          </cell>
          <cell r="C28">
            <v>3924.9600000000014</v>
          </cell>
          <cell r="D28">
            <v>367.2000000000001</v>
          </cell>
          <cell r="E28">
            <v>163.20000000000005</v>
          </cell>
          <cell r="F28">
            <v>550.22640000000013</v>
          </cell>
        </row>
        <row r="29">
          <cell r="B29">
            <v>25</v>
          </cell>
          <cell r="C29">
            <v>4147.5000000000009</v>
          </cell>
          <cell r="D29">
            <v>378.00000000000017</v>
          </cell>
          <cell r="E29">
            <v>168.00000000000006</v>
          </cell>
          <cell r="F29">
            <v>565.82640000000015</v>
          </cell>
        </row>
        <row r="30">
          <cell r="B30">
            <v>26</v>
          </cell>
          <cell r="C30">
            <v>4376.1600000000008</v>
          </cell>
          <cell r="D30">
            <v>388.80000000000013</v>
          </cell>
          <cell r="E30">
            <v>172.80000000000007</v>
          </cell>
          <cell r="F30">
            <v>581.42640000000017</v>
          </cell>
        </row>
        <row r="31">
          <cell r="B31">
            <v>27</v>
          </cell>
          <cell r="C31">
            <v>4610.9400000000014</v>
          </cell>
          <cell r="D31">
            <v>399.60000000000008</v>
          </cell>
          <cell r="E31">
            <v>177.60000000000005</v>
          </cell>
          <cell r="F31">
            <v>597.02640000000008</v>
          </cell>
        </row>
        <row r="32">
          <cell r="B32">
            <v>28</v>
          </cell>
          <cell r="C32">
            <v>4851.840000000002</v>
          </cell>
          <cell r="D32">
            <v>410.40000000000015</v>
          </cell>
          <cell r="E32">
            <v>182.40000000000006</v>
          </cell>
          <cell r="F32">
            <v>612.62640000000022</v>
          </cell>
        </row>
        <row r="33">
          <cell r="B33">
            <v>29</v>
          </cell>
          <cell r="C33">
            <v>5098.8600000000015</v>
          </cell>
          <cell r="D33">
            <v>421.2000000000001</v>
          </cell>
          <cell r="E33">
            <v>187.20000000000007</v>
          </cell>
          <cell r="F33">
            <v>628.22640000000013</v>
          </cell>
        </row>
        <row r="34">
          <cell r="B34">
            <v>30</v>
          </cell>
          <cell r="C34">
            <v>5418.9000000000015</v>
          </cell>
          <cell r="D34">
            <v>437.4000000000002</v>
          </cell>
          <cell r="E34">
            <v>194.40000000000006</v>
          </cell>
          <cell r="F34">
            <v>651.62640000000022</v>
          </cell>
        </row>
        <row r="35">
          <cell r="B35">
            <v>31</v>
          </cell>
          <cell r="C35">
            <v>5748.1200000000017</v>
          </cell>
          <cell r="D35">
            <v>453.60000000000008</v>
          </cell>
          <cell r="E35">
            <v>201.60000000000002</v>
          </cell>
          <cell r="F35">
            <v>675.02640000000008</v>
          </cell>
        </row>
        <row r="36">
          <cell r="B36">
            <v>32</v>
          </cell>
          <cell r="C36">
            <v>6086.5200000000023</v>
          </cell>
          <cell r="D36">
            <v>469.80000000000024</v>
          </cell>
          <cell r="E36">
            <v>208.80000000000013</v>
          </cell>
          <cell r="F36">
            <v>698.42640000000029</v>
          </cell>
        </row>
        <row r="37">
          <cell r="B37">
            <v>33</v>
          </cell>
          <cell r="C37">
            <v>6434.1000000000022</v>
          </cell>
          <cell r="D37">
            <v>486.00000000000017</v>
          </cell>
          <cell r="E37">
            <v>216.00000000000009</v>
          </cell>
          <cell r="F37">
            <v>721.82640000000026</v>
          </cell>
        </row>
        <row r="38">
          <cell r="B38">
            <v>34</v>
          </cell>
          <cell r="C38">
            <v>6790.86</v>
          </cell>
          <cell r="D38">
            <v>502.20000000000005</v>
          </cell>
          <cell r="E38">
            <v>223.20000000000002</v>
          </cell>
          <cell r="F38">
            <v>745.22640000000013</v>
          </cell>
        </row>
        <row r="39">
          <cell r="B39">
            <v>35</v>
          </cell>
          <cell r="C39">
            <v>7156.800000000002</v>
          </cell>
          <cell r="D39">
            <v>518.4000000000002</v>
          </cell>
          <cell r="E39">
            <v>230.40000000000006</v>
          </cell>
          <cell r="F39">
            <v>768.62640000000033</v>
          </cell>
        </row>
        <row r="40">
          <cell r="B40">
            <v>36</v>
          </cell>
          <cell r="C40">
            <v>7531.92</v>
          </cell>
          <cell r="D40">
            <v>534.6</v>
          </cell>
          <cell r="E40">
            <v>237.60000000000005</v>
          </cell>
          <cell r="F40">
            <v>792.02640000000008</v>
          </cell>
        </row>
        <row r="41">
          <cell r="B41">
            <v>37</v>
          </cell>
          <cell r="C41">
            <v>7916.2200000000021</v>
          </cell>
          <cell r="D41">
            <v>550.80000000000018</v>
          </cell>
          <cell r="E41">
            <v>244.80000000000007</v>
          </cell>
          <cell r="F41">
            <v>815.42640000000029</v>
          </cell>
        </row>
        <row r="42">
          <cell r="B42">
            <v>38</v>
          </cell>
          <cell r="C42">
            <v>8309.7000000000007</v>
          </cell>
          <cell r="D42">
            <v>567.00000000000011</v>
          </cell>
          <cell r="E42">
            <v>252.00000000000006</v>
          </cell>
          <cell r="F42">
            <v>838.82640000000015</v>
          </cell>
        </row>
        <row r="43">
          <cell r="B43">
            <v>39</v>
          </cell>
          <cell r="C43">
            <v>8712.3600000000024</v>
          </cell>
          <cell r="D43">
            <v>583.20000000000005</v>
          </cell>
          <cell r="E43">
            <v>259.20000000000005</v>
          </cell>
          <cell r="F43">
            <v>862.22640000000013</v>
          </cell>
        </row>
        <row r="44">
          <cell r="B44">
            <v>40</v>
          </cell>
          <cell r="C44">
            <v>9206.4000000000033</v>
          </cell>
          <cell r="D44">
            <v>604.80000000000018</v>
          </cell>
          <cell r="E44">
            <v>268.80000000000013</v>
          </cell>
          <cell r="F44">
            <v>893.42640000000029</v>
          </cell>
        </row>
        <row r="45">
          <cell r="B45">
            <v>41</v>
          </cell>
          <cell r="C45">
            <v>9712.6800000000039</v>
          </cell>
          <cell r="D45">
            <v>626.4000000000002</v>
          </cell>
          <cell r="E45">
            <v>278.40000000000009</v>
          </cell>
          <cell r="F45">
            <v>924.62640000000033</v>
          </cell>
        </row>
        <row r="46">
          <cell r="B46">
            <v>42</v>
          </cell>
          <cell r="C46">
            <v>10231.200000000004</v>
          </cell>
          <cell r="D46">
            <v>648.00000000000034</v>
          </cell>
          <cell r="E46">
            <v>288.00000000000011</v>
          </cell>
          <cell r="F46">
            <v>955.82640000000049</v>
          </cell>
        </row>
        <row r="47">
          <cell r="B47">
            <v>43</v>
          </cell>
          <cell r="C47">
            <v>10761.960000000003</v>
          </cell>
          <cell r="D47">
            <v>669.60000000000014</v>
          </cell>
          <cell r="E47">
            <v>297.60000000000014</v>
          </cell>
          <cell r="F47">
            <v>987.02640000000031</v>
          </cell>
        </row>
        <row r="48">
          <cell r="B48">
            <v>44</v>
          </cell>
          <cell r="C48">
            <v>11304.960000000003</v>
          </cell>
          <cell r="D48">
            <v>691.20000000000016</v>
          </cell>
          <cell r="E48">
            <v>307.2000000000001</v>
          </cell>
          <cell r="F48">
            <v>1018.2264000000002</v>
          </cell>
        </row>
        <row r="49">
          <cell r="B49">
            <v>45</v>
          </cell>
          <cell r="C49">
            <v>11860.200000000004</v>
          </cell>
          <cell r="D49">
            <v>712.80000000000018</v>
          </cell>
          <cell r="E49">
            <v>316.80000000000007</v>
          </cell>
          <cell r="F49">
            <v>1049.4264000000003</v>
          </cell>
        </row>
        <row r="50">
          <cell r="B50">
            <v>46</v>
          </cell>
          <cell r="C50">
            <v>12427.680000000006</v>
          </cell>
          <cell r="D50">
            <v>734.40000000000032</v>
          </cell>
          <cell r="E50">
            <v>326.40000000000015</v>
          </cell>
          <cell r="F50">
            <v>1080.6264000000006</v>
          </cell>
        </row>
        <row r="51">
          <cell r="B51">
            <v>47</v>
          </cell>
          <cell r="C51">
            <v>13007.400000000003</v>
          </cell>
          <cell r="D51">
            <v>756.00000000000023</v>
          </cell>
          <cell r="E51">
            <v>336.00000000000017</v>
          </cell>
          <cell r="F51">
            <v>1111.8264000000004</v>
          </cell>
          <cell r="H51">
            <v>47</v>
          </cell>
          <cell r="I51">
            <v>629787.29123252782</v>
          </cell>
          <cell r="J51">
            <v>38782.80000000001</v>
          </cell>
          <cell r="K51">
            <v>17236.800000000007</v>
          </cell>
          <cell r="L51">
            <v>29375</v>
          </cell>
          <cell r="M51">
            <v>29375</v>
          </cell>
          <cell r="N51">
            <v>29375</v>
          </cell>
          <cell r="O51">
            <v>0.58750000000000002</v>
          </cell>
        </row>
        <row r="52">
          <cell r="B52">
            <v>48</v>
          </cell>
          <cell r="C52">
            <v>13599.360000000006</v>
          </cell>
          <cell r="D52">
            <v>777.60000000000036</v>
          </cell>
          <cell r="E52">
            <v>345.60000000000014</v>
          </cell>
          <cell r="F52">
            <v>1143.0264000000006</v>
          </cell>
          <cell r="H52">
            <v>48</v>
          </cell>
          <cell r="I52">
            <v>656648.39644997043</v>
          </cell>
          <cell r="J52">
            <v>39890.880000000019</v>
          </cell>
          <cell r="K52">
            <v>17729.280000000006</v>
          </cell>
          <cell r="L52">
            <v>30000</v>
          </cell>
          <cell r="M52">
            <v>30000</v>
          </cell>
          <cell r="N52">
            <v>30000</v>
          </cell>
          <cell r="O52">
            <v>0.6</v>
          </cell>
        </row>
        <row r="53">
          <cell r="B53">
            <v>49</v>
          </cell>
          <cell r="C53">
            <v>14203.560000000009</v>
          </cell>
          <cell r="D53">
            <v>799.20000000000039</v>
          </cell>
          <cell r="E53">
            <v>355.20000000000022</v>
          </cell>
          <cell r="F53">
            <v>1174.2264000000007</v>
          </cell>
          <cell r="H53">
            <v>49</v>
          </cell>
          <cell r="I53">
            <v>683909.1868307034</v>
          </cell>
          <cell r="J53">
            <v>40998.960000000021</v>
          </cell>
          <cell r="K53">
            <v>18221.760000000009</v>
          </cell>
          <cell r="L53">
            <v>30625</v>
          </cell>
          <cell r="M53">
            <v>30625</v>
          </cell>
          <cell r="N53">
            <v>30625</v>
          </cell>
          <cell r="O53">
            <v>0.61250000000000004</v>
          </cell>
        </row>
        <row r="54">
          <cell r="B54">
            <v>50</v>
          </cell>
          <cell r="C54">
            <v>14917.500000000005</v>
          </cell>
          <cell r="D54">
            <v>826.20000000000027</v>
          </cell>
          <cell r="E54">
            <v>367.2000000000001</v>
          </cell>
          <cell r="F54">
            <v>1213.2264000000005</v>
          </cell>
          <cell r="H54">
            <v>50</v>
          </cell>
          <cell r="I54">
            <v>716242.40830715036</v>
          </cell>
          <cell r="J54">
            <v>42384.060000000012</v>
          </cell>
          <cell r="K54">
            <v>18837.360000000004</v>
          </cell>
          <cell r="L54">
            <v>31250</v>
          </cell>
          <cell r="M54">
            <v>31250</v>
          </cell>
          <cell r="N54">
            <v>31250</v>
          </cell>
          <cell r="O54">
            <v>0.625</v>
          </cell>
        </row>
        <row r="55">
          <cell r="B55">
            <v>51</v>
          </cell>
          <cell r="C55">
            <v>15646.740000000009</v>
          </cell>
          <cell r="D55">
            <v>853.20000000000027</v>
          </cell>
          <cell r="E55">
            <v>379.20000000000016</v>
          </cell>
          <cell r="F55">
            <v>1252.2264000000005</v>
          </cell>
          <cell r="H55">
            <v>51</v>
          </cell>
          <cell r="I55">
            <v>749077.43558025884</v>
          </cell>
          <cell r="J55">
            <v>43769.160000000011</v>
          </cell>
          <cell r="K55">
            <v>19452.960000000006</v>
          </cell>
          <cell r="L55">
            <v>31875</v>
          </cell>
          <cell r="M55">
            <v>31875</v>
          </cell>
          <cell r="N55">
            <v>31875</v>
          </cell>
          <cell r="O55">
            <v>0.63749999999999996</v>
          </cell>
        </row>
        <row r="56">
          <cell r="B56">
            <v>52</v>
          </cell>
          <cell r="C56">
            <v>16391.280000000002</v>
          </cell>
          <cell r="D56">
            <v>880.20000000000016</v>
          </cell>
          <cell r="E56">
            <v>391.2000000000001</v>
          </cell>
          <cell r="F56">
            <v>1291.2264000000002</v>
          </cell>
          <cell r="H56">
            <v>52</v>
          </cell>
          <cell r="I56">
            <v>782403.60833389161</v>
          </cell>
          <cell r="J56">
            <v>45154.26</v>
          </cell>
          <cell r="K56">
            <v>20068.560000000005</v>
          </cell>
          <cell r="L56">
            <v>32500</v>
          </cell>
          <cell r="M56">
            <v>32500</v>
          </cell>
          <cell r="N56">
            <v>32500</v>
          </cell>
          <cell r="O56">
            <v>0.65</v>
          </cell>
        </row>
        <row r="57">
          <cell r="B57">
            <v>53</v>
          </cell>
          <cell r="C57">
            <v>17151.120000000006</v>
          </cell>
          <cell r="D57">
            <v>907.20000000000027</v>
          </cell>
          <cell r="E57">
            <v>403.2000000000001</v>
          </cell>
          <cell r="F57">
            <v>1330.2264000000005</v>
          </cell>
          <cell r="H57">
            <v>53</v>
          </cell>
          <cell r="I57">
            <v>816210.17890046258</v>
          </cell>
          <cell r="J57">
            <v>46539.360000000008</v>
          </cell>
          <cell r="K57">
            <v>20684.160000000003</v>
          </cell>
          <cell r="L57">
            <v>33125</v>
          </cell>
          <cell r="M57">
            <v>33125</v>
          </cell>
          <cell r="N57">
            <v>33125</v>
          </cell>
          <cell r="O57">
            <v>0.66249999999999998</v>
          </cell>
        </row>
        <row r="58">
          <cell r="B58">
            <v>54</v>
          </cell>
          <cell r="C58">
            <v>17926.260000000002</v>
          </cell>
          <cell r="D58">
            <v>934.20000000000027</v>
          </cell>
          <cell r="E58">
            <v>415.20000000000016</v>
          </cell>
          <cell r="F58">
            <v>1369.2264000000005</v>
          </cell>
          <cell r="H58">
            <v>54</v>
          </cell>
          <cell r="I58">
            <v>850486.3182352474</v>
          </cell>
          <cell r="J58">
            <v>47924.460000000014</v>
          </cell>
          <cell r="K58">
            <v>21299.760000000006</v>
          </cell>
          <cell r="L58">
            <v>33750</v>
          </cell>
          <cell r="M58">
            <v>33750</v>
          </cell>
          <cell r="N58">
            <v>33750</v>
          </cell>
          <cell r="O58">
            <v>0.67500000000000004</v>
          </cell>
        </row>
        <row r="59">
          <cell r="B59">
            <v>55</v>
          </cell>
          <cell r="C59">
            <v>18716.7</v>
          </cell>
          <cell r="D59">
            <v>961.20000000000016</v>
          </cell>
          <cell r="E59">
            <v>427.2000000000001</v>
          </cell>
          <cell r="F59">
            <v>1408.2264000000002</v>
          </cell>
          <cell r="H59">
            <v>55</v>
          </cell>
          <cell r="I59">
            <v>885221.12189069903</v>
          </cell>
          <cell r="J59">
            <v>49309.560000000005</v>
          </cell>
          <cell r="K59">
            <v>21915.360000000004</v>
          </cell>
          <cell r="L59">
            <v>34375</v>
          </cell>
          <cell r="M59">
            <v>34375</v>
          </cell>
          <cell r="N59">
            <v>34375</v>
          </cell>
          <cell r="O59">
            <v>0.6875</v>
          </cell>
        </row>
        <row r="60">
          <cell r="B60">
            <v>56</v>
          </cell>
          <cell r="C60">
            <v>19522.440000000006</v>
          </cell>
          <cell r="D60">
            <v>988.20000000000027</v>
          </cell>
          <cell r="E60">
            <v>439.20000000000016</v>
          </cell>
          <cell r="F60">
            <v>1447.2264000000005</v>
          </cell>
          <cell r="H60">
            <v>56</v>
          </cell>
          <cell r="I60">
            <v>920403.6159907598</v>
          </cell>
          <cell r="J60">
            <v>50694.660000000011</v>
          </cell>
          <cell r="K60">
            <v>22530.960000000006</v>
          </cell>
          <cell r="L60">
            <v>35000</v>
          </cell>
          <cell r="M60">
            <v>35000</v>
          </cell>
          <cell r="N60">
            <v>35000</v>
          </cell>
          <cell r="O60">
            <v>0.7</v>
          </cell>
        </row>
        <row r="61">
          <cell r="B61">
            <v>57</v>
          </cell>
          <cell r="C61">
            <v>20343.480000000003</v>
          </cell>
          <cell r="D61">
            <v>1015.2000000000002</v>
          </cell>
          <cell r="E61">
            <v>451.2000000000001</v>
          </cell>
          <cell r="F61">
            <v>1486.2264000000002</v>
          </cell>
          <cell r="H61">
            <v>57</v>
          </cell>
          <cell r="I61">
            <v>956022.76320517482</v>
          </cell>
          <cell r="J61">
            <v>52079.76</v>
          </cell>
          <cell r="K61">
            <v>23146.560000000005</v>
          </cell>
          <cell r="L61">
            <v>35625</v>
          </cell>
          <cell r="M61">
            <v>35625</v>
          </cell>
          <cell r="N61">
            <v>35625</v>
          </cell>
          <cell r="O61">
            <v>0.71250000000000002</v>
          </cell>
        </row>
        <row r="62">
          <cell r="B62">
            <v>58</v>
          </cell>
          <cell r="C62">
            <v>21179.820000000003</v>
          </cell>
          <cell r="D62">
            <v>1042.2000000000003</v>
          </cell>
          <cell r="E62">
            <v>463.20000000000016</v>
          </cell>
          <cell r="F62">
            <v>1525.2264000000005</v>
          </cell>
          <cell r="H62">
            <v>58</v>
          </cell>
          <cell r="I62">
            <v>992067.46872380655</v>
          </cell>
          <cell r="J62">
            <v>53464.860000000008</v>
          </cell>
          <cell r="K62">
            <v>23762.160000000007</v>
          </cell>
          <cell r="L62">
            <v>36250</v>
          </cell>
          <cell r="M62">
            <v>36250</v>
          </cell>
          <cell r="N62">
            <v>36250</v>
          </cell>
          <cell r="O62">
            <v>0.72499999999999998</v>
          </cell>
        </row>
        <row r="63">
          <cell r="B63">
            <v>59</v>
          </cell>
          <cell r="C63">
            <v>22031.460000000006</v>
          </cell>
          <cell r="D63">
            <v>1069.2000000000003</v>
          </cell>
          <cell r="E63">
            <v>475.2000000000001</v>
          </cell>
          <cell r="F63">
            <v>1564.2264000000002</v>
          </cell>
          <cell r="H63">
            <v>59</v>
          </cell>
          <cell r="I63">
            <v>1028526.5862309474</v>
          </cell>
          <cell r="J63">
            <v>54849.960000000014</v>
          </cell>
          <cell r="K63">
            <v>24377.760000000006</v>
          </cell>
          <cell r="L63">
            <v>36875</v>
          </cell>
          <cell r="M63">
            <v>36875</v>
          </cell>
          <cell r="N63">
            <v>36875</v>
          </cell>
          <cell r="O63">
            <v>0.73750000000000004</v>
          </cell>
        </row>
        <row r="64">
          <cell r="B64">
            <v>60</v>
          </cell>
          <cell r="C64">
            <v>23011.200000000008</v>
          </cell>
          <cell r="D64">
            <v>1101.6000000000004</v>
          </cell>
          <cell r="E64">
            <v>489.60000000000019</v>
          </cell>
          <cell r="F64">
            <v>1611.0264000000004</v>
          </cell>
          <cell r="H64">
            <v>60</v>
          </cell>
          <cell r="I64">
            <v>1070637.145179532</v>
          </cell>
          <cell r="J64">
            <v>56512.080000000016</v>
          </cell>
          <cell r="K64">
            <v>25116.480000000007</v>
          </cell>
          <cell r="L64">
            <v>37500</v>
          </cell>
          <cell r="M64">
            <v>37500</v>
          </cell>
          <cell r="N64">
            <v>37500</v>
          </cell>
          <cell r="O64">
            <v>0.75</v>
          </cell>
        </row>
        <row r="65">
          <cell r="B65">
            <v>61</v>
          </cell>
          <cell r="C65">
            <v>24009.30000000001</v>
          </cell>
          <cell r="D65">
            <v>1134.0000000000005</v>
          </cell>
          <cell r="E65">
            <v>504.00000000000023</v>
          </cell>
          <cell r="F65">
            <v>1657.8264000000006</v>
          </cell>
          <cell r="H65">
            <v>61</v>
          </cell>
          <cell r="I65">
            <v>1113245.589210819</v>
          </cell>
          <cell r="J65">
            <v>58174.200000000019</v>
          </cell>
          <cell r="K65">
            <v>25855.200000000012</v>
          </cell>
          <cell r="L65">
            <v>38125</v>
          </cell>
          <cell r="M65">
            <v>38125</v>
          </cell>
          <cell r="N65">
            <v>38125</v>
          </cell>
          <cell r="O65">
            <v>0.76249999999999996</v>
          </cell>
        </row>
        <row r="66">
          <cell r="B66">
            <v>62</v>
          </cell>
          <cell r="C66">
            <v>25025.760000000009</v>
          </cell>
          <cell r="D66">
            <v>1166.4000000000003</v>
          </cell>
          <cell r="E66">
            <v>518.4000000000002</v>
          </cell>
          <cell r="F66">
            <v>1704.6264000000006</v>
          </cell>
          <cell r="H66">
            <v>62</v>
          </cell>
          <cell r="I66">
            <v>1156338.5581555346</v>
          </cell>
          <cell r="J66">
            <v>59836.320000000014</v>
          </cell>
          <cell r="K66">
            <v>26593.920000000009</v>
          </cell>
          <cell r="L66">
            <v>38750</v>
          </cell>
          <cell r="M66">
            <v>38750</v>
          </cell>
          <cell r="N66">
            <v>38750</v>
          </cell>
          <cell r="O66">
            <v>0.77500000000000002</v>
          </cell>
        </row>
        <row r="67">
          <cell r="B67">
            <v>63</v>
          </cell>
          <cell r="C67">
            <v>26060.580000000016</v>
          </cell>
          <cell r="D67">
            <v>1198.8000000000006</v>
          </cell>
          <cell r="E67">
            <v>532.8000000000003</v>
          </cell>
          <cell r="F67">
            <v>1751.4264000000007</v>
          </cell>
          <cell r="H67">
            <v>63</v>
          </cell>
          <cell r="I67">
            <v>1199902.6492511141</v>
          </cell>
          <cell r="J67">
            <v>61498.440000000031</v>
          </cell>
          <cell r="K67">
            <v>27332.640000000014</v>
          </cell>
          <cell r="L67">
            <v>39375</v>
          </cell>
          <cell r="M67">
            <v>39375</v>
          </cell>
          <cell r="N67">
            <v>39375</v>
          </cell>
          <cell r="O67">
            <v>0.78749999999999998</v>
          </cell>
        </row>
        <row r="68">
          <cell r="B68">
            <v>64</v>
          </cell>
          <cell r="C68">
            <v>27113.760000000017</v>
          </cell>
          <cell r="D68">
            <v>1231.2000000000005</v>
          </cell>
          <cell r="E68">
            <v>547.20000000000039</v>
          </cell>
          <cell r="F68">
            <v>1798.2264000000009</v>
          </cell>
          <cell r="H68">
            <v>64</v>
          </cell>
          <cell r="I68">
            <v>1243924.4243108754</v>
          </cell>
          <cell r="J68">
            <v>63160.560000000019</v>
          </cell>
          <cell r="K68">
            <v>28071.360000000019</v>
          </cell>
          <cell r="L68">
            <v>40000</v>
          </cell>
          <cell r="M68">
            <v>40000</v>
          </cell>
          <cell r="N68">
            <v>40000</v>
          </cell>
          <cell r="O68">
            <v>0.8</v>
          </cell>
        </row>
        <row r="69">
          <cell r="B69">
            <v>65</v>
          </cell>
          <cell r="C69">
            <v>28185.30000000001</v>
          </cell>
          <cell r="D69">
            <v>1263.6000000000004</v>
          </cell>
          <cell r="E69">
            <v>561.60000000000025</v>
          </cell>
          <cell r="F69">
            <v>1845.0264000000006</v>
          </cell>
          <cell r="H69">
            <v>65</v>
          </cell>
          <cell r="I69">
            <v>1288390.416893197</v>
          </cell>
          <cell r="J69">
            <v>64822.680000000015</v>
          </cell>
          <cell r="K69">
            <v>28810.080000000013</v>
          </cell>
          <cell r="L69">
            <v>40625</v>
          </cell>
          <cell r="M69">
            <v>40625</v>
          </cell>
          <cell r="N69">
            <v>40625</v>
          </cell>
          <cell r="O69">
            <v>0.8125</v>
          </cell>
        </row>
        <row r="70">
          <cell r="B70">
            <v>66</v>
          </cell>
          <cell r="C70">
            <v>29275.200000000019</v>
          </cell>
          <cell r="D70">
            <v>1296.0000000000009</v>
          </cell>
          <cell r="E70">
            <v>576.00000000000045</v>
          </cell>
          <cell r="F70">
            <v>1891.8264000000013</v>
          </cell>
          <cell r="H70">
            <v>66</v>
          </cell>
          <cell r="I70">
            <v>1333287.1394706951</v>
          </cell>
          <cell r="J70">
            <v>66484.800000000047</v>
          </cell>
          <cell r="K70">
            <v>29548.800000000021</v>
          </cell>
          <cell r="L70">
            <v>41250</v>
          </cell>
          <cell r="M70">
            <v>41250</v>
          </cell>
          <cell r="N70">
            <v>41250</v>
          </cell>
          <cell r="O70">
            <v>0.82499999999999996</v>
          </cell>
        </row>
        <row r="71">
          <cell r="B71">
            <v>67</v>
          </cell>
          <cell r="C71">
            <v>30383.460000000021</v>
          </cell>
          <cell r="D71">
            <v>1328.400000000001</v>
          </cell>
          <cell r="E71">
            <v>590.40000000000043</v>
          </cell>
          <cell r="F71">
            <v>1938.6264000000015</v>
          </cell>
          <cell r="H71">
            <v>67</v>
          </cell>
          <cell r="I71">
            <v>1378601.0905993942</v>
          </cell>
          <cell r="J71">
            <v>68146.920000000042</v>
          </cell>
          <cell r="K71">
            <v>30287.520000000022</v>
          </cell>
          <cell r="L71">
            <v>41875</v>
          </cell>
          <cell r="M71">
            <v>41875</v>
          </cell>
          <cell r="N71">
            <v>41875</v>
          </cell>
          <cell r="O71">
            <v>0.83750000000000002</v>
          </cell>
        </row>
        <row r="72">
          <cell r="B72">
            <v>68</v>
          </cell>
          <cell r="C72">
            <v>31510.08000000002</v>
          </cell>
          <cell r="D72">
            <v>1360.8000000000011</v>
          </cell>
          <cell r="E72">
            <v>604.80000000000041</v>
          </cell>
          <cell r="F72">
            <v>1985.4264000000014</v>
          </cell>
          <cell r="H72">
            <v>68</v>
          </cell>
          <cell r="I72">
            <v>1424318.7620879104</v>
          </cell>
          <cell r="J72">
            <v>69809.040000000052</v>
          </cell>
          <cell r="K72">
            <v>31026.24000000002</v>
          </cell>
          <cell r="L72">
            <v>42500</v>
          </cell>
          <cell r="M72">
            <v>42500</v>
          </cell>
          <cell r="N72">
            <v>42500</v>
          </cell>
          <cell r="O72">
            <v>0.85</v>
          </cell>
        </row>
        <row r="73">
          <cell r="B73">
            <v>69</v>
          </cell>
          <cell r="C73">
            <v>32655.060000000023</v>
          </cell>
          <cell r="D73">
            <v>1393.200000000001</v>
          </cell>
          <cell r="E73">
            <v>619.2000000000005</v>
          </cell>
          <cell r="F73">
            <v>2032.2264000000014</v>
          </cell>
          <cell r="H73">
            <v>69</v>
          </cell>
          <cell r="I73">
            <v>1470426.6461666226</v>
          </cell>
          <cell r="J73">
            <v>71471.160000000047</v>
          </cell>
          <cell r="K73">
            <v>31764.960000000025</v>
          </cell>
          <cell r="L73">
            <v>43125</v>
          </cell>
          <cell r="M73">
            <v>43125</v>
          </cell>
          <cell r="N73">
            <v>43125</v>
          </cell>
          <cell r="O73">
            <v>0.86250000000000004</v>
          </cell>
        </row>
        <row r="74">
          <cell r="B74">
            <v>70</v>
          </cell>
          <cell r="C74">
            <v>33946.500000000022</v>
          </cell>
          <cell r="D74">
            <v>1431.0000000000011</v>
          </cell>
          <cell r="E74">
            <v>636.00000000000057</v>
          </cell>
          <cell r="F74">
            <v>2086.8264000000017</v>
          </cell>
          <cell r="H74">
            <v>70</v>
          </cell>
          <cell r="I74">
            <v>1522657.1185760058</v>
          </cell>
          <cell r="J74">
            <v>73410.300000000061</v>
          </cell>
          <cell r="K74">
            <v>32626.800000000028</v>
          </cell>
          <cell r="L74">
            <v>43750</v>
          </cell>
          <cell r="M74">
            <v>43750</v>
          </cell>
          <cell r="N74">
            <v>43750</v>
          </cell>
          <cell r="O74">
            <v>0.875</v>
          </cell>
        </row>
        <row r="75">
          <cell r="B75">
            <v>71</v>
          </cell>
          <cell r="C75">
            <v>35259.360000000022</v>
          </cell>
          <cell r="D75">
            <v>1468.8000000000009</v>
          </cell>
          <cell r="E75">
            <v>652.80000000000041</v>
          </cell>
          <cell r="F75">
            <v>2141.4264000000012</v>
          </cell>
          <cell r="H75">
            <v>71</v>
          </cell>
          <cell r="I75">
            <v>1575342.4666299568</v>
          </cell>
          <cell r="J75">
            <v>75349.440000000046</v>
          </cell>
          <cell r="K75">
            <v>33488.640000000021</v>
          </cell>
          <cell r="L75">
            <v>44375</v>
          </cell>
          <cell r="M75">
            <v>44375</v>
          </cell>
          <cell r="N75">
            <v>44375</v>
          </cell>
          <cell r="O75">
            <v>0.88749999999999996</v>
          </cell>
        </row>
        <row r="76">
          <cell r="B76">
            <v>72</v>
          </cell>
          <cell r="C76">
            <v>36593.640000000021</v>
          </cell>
          <cell r="D76">
            <v>1506.600000000001</v>
          </cell>
          <cell r="E76">
            <v>669.60000000000036</v>
          </cell>
          <cell r="F76">
            <v>2196.0264000000016</v>
          </cell>
          <cell r="H76">
            <v>72</v>
          </cell>
          <cell r="I76">
            <v>1628467.0515304436</v>
          </cell>
          <cell r="J76">
            <v>77288.580000000045</v>
          </cell>
          <cell r="K76">
            <v>34350.480000000018</v>
          </cell>
          <cell r="L76">
            <v>45000</v>
          </cell>
          <cell r="M76">
            <v>45000</v>
          </cell>
          <cell r="N76">
            <v>45000</v>
          </cell>
          <cell r="O76">
            <v>0.9</v>
          </cell>
        </row>
        <row r="77">
          <cell r="B77">
            <v>73</v>
          </cell>
          <cell r="C77">
            <v>37949.340000000018</v>
          </cell>
          <cell r="D77">
            <v>1544.4000000000008</v>
          </cell>
          <cell r="E77">
            <v>686.40000000000043</v>
          </cell>
          <cell r="F77">
            <v>2250.626400000001</v>
          </cell>
        </row>
        <row r="78">
          <cell r="B78">
            <v>74</v>
          </cell>
          <cell r="C78">
            <v>39326.460000000021</v>
          </cell>
          <cell r="D78">
            <v>1582.200000000001</v>
          </cell>
          <cell r="E78">
            <v>703.20000000000039</v>
          </cell>
          <cell r="F78">
            <v>2305.2264000000014</v>
          </cell>
        </row>
        <row r="79">
          <cell r="B79">
            <v>75</v>
          </cell>
          <cell r="C79">
            <v>40725.000000000029</v>
          </cell>
          <cell r="D79">
            <v>1620.0000000000011</v>
          </cell>
          <cell r="E79">
            <v>720.00000000000057</v>
          </cell>
          <cell r="F79">
            <v>2359.8264000000017</v>
          </cell>
        </row>
        <row r="80">
          <cell r="B80">
            <v>76</v>
          </cell>
          <cell r="C80">
            <v>42144.960000000021</v>
          </cell>
          <cell r="D80">
            <v>1657.8000000000009</v>
          </cell>
          <cell r="E80">
            <v>736.80000000000041</v>
          </cell>
          <cell r="F80">
            <v>2414.4264000000012</v>
          </cell>
        </row>
        <row r="81">
          <cell r="B81">
            <v>77</v>
          </cell>
          <cell r="C81">
            <v>43586.340000000018</v>
          </cell>
          <cell r="D81">
            <v>1695.6000000000008</v>
          </cell>
          <cell r="E81">
            <v>753.60000000000036</v>
          </cell>
          <cell r="F81">
            <v>2469.0264000000011</v>
          </cell>
        </row>
        <row r="82">
          <cell r="B82">
            <v>78</v>
          </cell>
          <cell r="C82">
            <v>45049.140000000014</v>
          </cell>
          <cell r="D82">
            <v>1733.4000000000005</v>
          </cell>
          <cell r="E82">
            <v>770.40000000000032</v>
          </cell>
          <cell r="F82">
            <v>2523.626400000001</v>
          </cell>
        </row>
        <row r="83">
          <cell r="B83">
            <v>79</v>
          </cell>
          <cell r="C83">
            <v>46533.360000000022</v>
          </cell>
          <cell r="D83">
            <v>1771.2000000000007</v>
          </cell>
          <cell r="E83">
            <v>787.20000000000039</v>
          </cell>
          <cell r="F83">
            <v>2578.2264000000009</v>
          </cell>
        </row>
        <row r="84">
          <cell r="B84">
            <v>80</v>
          </cell>
          <cell r="C84">
            <v>48182.400000000001</v>
          </cell>
          <cell r="D84">
            <v>1814.4000000000003</v>
          </cell>
          <cell r="E84">
            <v>806.4000000000002</v>
          </cell>
          <cell r="F84">
            <v>2640.6264000000006</v>
          </cell>
        </row>
        <row r="85">
          <cell r="B85">
            <v>81</v>
          </cell>
          <cell r="C85">
            <v>49855.92000000002</v>
          </cell>
          <cell r="D85">
            <v>1857.6000000000006</v>
          </cell>
          <cell r="E85">
            <v>825.60000000000036</v>
          </cell>
          <cell r="F85">
            <v>2703.0264000000006</v>
          </cell>
        </row>
        <row r="86">
          <cell r="B86">
            <v>82</v>
          </cell>
          <cell r="C86">
            <v>51553.920000000013</v>
          </cell>
          <cell r="D86">
            <v>1900.8000000000004</v>
          </cell>
          <cell r="E86">
            <v>844.80000000000018</v>
          </cell>
          <cell r="F86">
            <v>2765.4264000000003</v>
          </cell>
        </row>
        <row r="87">
          <cell r="B87">
            <v>83</v>
          </cell>
          <cell r="C87">
            <v>53276.400000000016</v>
          </cell>
          <cell r="D87">
            <v>1944.0000000000005</v>
          </cell>
          <cell r="E87">
            <v>864.00000000000023</v>
          </cell>
          <cell r="F87">
            <v>2827.8264000000008</v>
          </cell>
        </row>
        <row r="88">
          <cell r="B88">
            <v>84</v>
          </cell>
          <cell r="C88">
            <v>55023.360000000022</v>
          </cell>
          <cell r="D88">
            <v>1987.2000000000005</v>
          </cell>
          <cell r="E88">
            <v>883.20000000000027</v>
          </cell>
          <cell r="F88">
            <v>2890.2264000000005</v>
          </cell>
        </row>
        <row r="89">
          <cell r="B89">
            <v>85</v>
          </cell>
          <cell r="C89">
            <v>56794.799999999996</v>
          </cell>
          <cell r="D89">
            <v>2030.4000000000003</v>
          </cell>
          <cell r="E89">
            <v>902.4</v>
          </cell>
          <cell r="F89">
            <v>2952.6264000000006</v>
          </cell>
        </row>
        <row r="90">
          <cell r="B90">
            <v>86</v>
          </cell>
          <cell r="C90">
            <v>58590.720000000001</v>
          </cell>
          <cell r="D90">
            <v>2073.6000000000004</v>
          </cell>
          <cell r="E90">
            <v>921.60000000000014</v>
          </cell>
          <cell r="F90">
            <v>3015.0264000000006</v>
          </cell>
        </row>
        <row r="91">
          <cell r="B91">
            <v>87</v>
          </cell>
          <cell r="C91">
            <v>60411.119999999981</v>
          </cell>
          <cell r="D91">
            <v>2116.7999999999997</v>
          </cell>
          <cell r="E91">
            <v>940.79999999999984</v>
          </cell>
          <cell r="F91">
            <v>3077.4263999999994</v>
          </cell>
        </row>
        <row r="92">
          <cell r="B92">
            <v>88</v>
          </cell>
          <cell r="C92">
            <v>62255.999999999993</v>
          </cell>
          <cell r="D92">
            <v>2159.9999999999995</v>
          </cell>
          <cell r="E92">
            <v>959.99999999999977</v>
          </cell>
          <cell r="F92">
            <v>3139.826399999999</v>
          </cell>
        </row>
        <row r="93">
          <cell r="B93">
            <v>89</v>
          </cell>
          <cell r="C93">
            <v>64125.359999999986</v>
          </cell>
          <cell r="D93">
            <v>2203.1999999999998</v>
          </cell>
          <cell r="E93">
            <v>979.19999999999982</v>
          </cell>
          <cell r="F93">
            <v>3202.2263999999996</v>
          </cell>
        </row>
        <row r="94">
          <cell r="B94">
            <v>90</v>
          </cell>
          <cell r="C94">
            <v>66019.199999999983</v>
          </cell>
          <cell r="D94">
            <v>2246.3999999999992</v>
          </cell>
          <cell r="E94">
            <v>998.39999999999964</v>
          </cell>
          <cell r="F94">
            <v>3264.6263999999987</v>
          </cell>
        </row>
        <row r="95">
          <cell r="B95">
            <v>91</v>
          </cell>
          <cell r="C95">
            <v>67937.519999999975</v>
          </cell>
          <cell r="D95">
            <v>2289.599999999999</v>
          </cell>
          <cell r="E95">
            <v>1017.5999999999996</v>
          </cell>
          <cell r="F95">
            <v>3327.0263999999984</v>
          </cell>
        </row>
        <row r="96">
          <cell r="B96">
            <v>92</v>
          </cell>
          <cell r="C96">
            <v>69880.319999999978</v>
          </cell>
          <cell r="D96">
            <v>2332.7999999999988</v>
          </cell>
          <cell r="E96">
            <v>1036.7999999999997</v>
          </cell>
          <cell r="F96">
            <v>3389.4263999999985</v>
          </cell>
        </row>
        <row r="97">
          <cell r="B97">
            <v>93</v>
          </cell>
          <cell r="C97">
            <v>71847.599999999962</v>
          </cell>
          <cell r="D97">
            <v>2375.9999999999991</v>
          </cell>
          <cell r="E97">
            <v>1055.9999999999995</v>
          </cell>
          <cell r="F97">
            <v>3451.8263999999986</v>
          </cell>
        </row>
        <row r="98">
          <cell r="B98">
            <v>94</v>
          </cell>
          <cell r="C98">
            <v>73839.359999999957</v>
          </cell>
          <cell r="D98">
            <v>2419.1999999999989</v>
          </cell>
          <cell r="E98">
            <v>1075.1999999999996</v>
          </cell>
          <cell r="F98">
            <v>3514.2263999999986</v>
          </cell>
        </row>
        <row r="99">
          <cell r="B99">
            <v>95</v>
          </cell>
          <cell r="C99">
            <v>75855.599999999962</v>
          </cell>
          <cell r="D99">
            <v>2462.3999999999987</v>
          </cell>
          <cell r="E99">
            <v>1094.3999999999994</v>
          </cell>
          <cell r="F99">
            <v>3576.6263999999983</v>
          </cell>
        </row>
        <row r="100">
          <cell r="B100">
            <v>96</v>
          </cell>
          <cell r="C100">
            <v>77896.319999999949</v>
          </cell>
          <cell r="D100">
            <v>2505.5999999999985</v>
          </cell>
          <cell r="E100">
            <v>1113.5999999999992</v>
          </cell>
          <cell r="F100">
            <v>3639.0263999999979</v>
          </cell>
        </row>
        <row r="101">
          <cell r="B101">
            <v>97</v>
          </cell>
          <cell r="C101">
            <v>79961.519999999946</v>
          </cell>
          <cell r="D101">
            <v>2548.7999999999984</v>
          </cell>
          <cell r="E101">
            <v>1132.7999999999993</v>
          </cell>
          <cell r="F101">
            <v>3701.4263999999976</v>
          </cell>
        </row>
        <row r="102">
          <cell r="B102">
            <v>98</v>
          </cell>
          <cell r="C102">
            <v>82051.199999999939</v>
          </cell>
          <cell r="D102">
            <v>2591.9999999999977</v>
          </cell>
          <cell r="E102">
            <v>1151.9999999999991</v>
          </cell>
          <cell r="F102">
            <v>3763.8263999999967</v>
          </cell>
        </row>
        <row r="103">
          <cell r="B103">
            <v>99</v>
          </cell>
          <cell r="C103">
            <v>84165.359999999928</v>
          </cell>
          <cell r="D103">
            <v>2635.199999999998</v>
          </cell>
          <cell r="E103">
            <v>1171.1999999999991</v>
          </cell>
          <cell r="F103">
            <v>3826.2263999999968</v>
          </cell>
        </row>
      </sheetData>
      <sheetData sheetId="6">
        <row r="3">
          <cell r="B3" t="str">
            <v>等级</v>
          </cell>
        </row>
        <row r="4">
          <cell r="B4">
            <v>1</v>
          </cell>
          <cell r="C4">
            <v>25425.628766174996</v>
          </cell>
          <cell r="D4">
            <v>6094.4400000000005</v>
          </cell>
          <cell r="E4">
            <v>2708.64</v>
          </cell>
          <cell r="F4">
            <v>625</v>
          </cell>
          <cell r="G4">
            <v>625</v>
          </cell>
          <cell r="H4">
            <v>625</v>
          </cell>
          <cell r="I4">
            <v>625</v>
          </cell>
          <cell r="J4">
            <v>625</v>
          </cell>
          <cell r="K4">
            <v>250</v>
          </cell>
          <cell r="L4">
            <v>250</v>
          </cell>
          <cell r="M4">
            <v>125.00000000000003</v>
          </cell>
          <cell r="N4">
            <v>250.00000000000006</v>
          </cell>
          <cell r="O4">
            <v>250</v>
          </cell>
        </row>
        <row r="5">
          <cell r="B5">
            <v>2</v>
          </cell>
          <cell r="C5">
            <v>29618.655904799994</v>
          </cell>
          <cell r="D5">
            <v>6648.48</v>
          </cell>
          <cell r="E5">
            <v>2954.88</v>
          </cell>
          <cell r="F5">
            <v>1250</v>
          </cell>
          <cell r="G5">
            <v>1250</v>
          </cell>
          <cell r="H5">
            <v>1250</v>
          </cell>
          <cell r="I5">
            <v>1250</v>
          </cell>
          <cell r="J5">
            <v>1250</v>
          </cell>
          <cell r="K5">
            <v>500</v>
          </cell>
          <cell r="L5">
            <v>500</v>
          </cell>
          <cell r="M5">
            <v>250.00000000000006</v>
          </cell>
          <cell r="N5">
            <v>500.00000000000011</v>
          </cell>
          <cell r="O5">
            <v>500</v>
          </cell>
        </row>
        <row r="6">
          <cell r="B6">
            <v>3</v>
          </cell>
          <cell r="C6">
            <v>34125.023295675004</v>
          </cell>
          <cell r="D6">
            <v>7202.5199999999995</v>
          </cell>
          <cell r="E6">
            <v>3201.12</v>
          </cell>
          <cell r="F6">
            <v>1875</v>
          </cell>
          <cell r="G6">
            <v>1875</v>
          </cell>
          <cell r="H6">
            <v>1875</v>
          </cell>
          <cell r="I6">
            <v>1875</v>
          </cell>
          <cell r="J6">
            <v>1875</v>
          </cell>
          <cell r="K6">
            <v>750</v>
          </cell>
          <cell r="L6">
            <v>750</v>
          </cell>
          <cell r="M6">
            <v>375</v>
          </cell>
          <cell r="N6">
            <v>750</v>
          </cell>
          <cell r="O6">
            <v>750</v>
          </cell>
        </row>
        <row r="7">
          <cell r="B7">
            <v>4</v>
          </cell>
          <cell r="C7">
            <v>38944.673644799994</v>
          </cell>
          <cell r="D7">
            <v>7756.5599999999986</v>
          </cell>
          <cell r="E7">
            <v>3447.36</v>
          </cell>
          <cell r="F7">
            <v>2500</v>
          </cell>
          <cell r="G7">
            <v>2500</v>
          </cell>
          <cell r="H7">
            <v>2500</v>
          </cell>
          <cell r="I7">
            <v>2500</v>
          </cell>
          <cell r="J7">
            <v>2500</v>
          </cell>
          <cell r="K7">
            <v>1000</v>
          </cell>
          <cell r="L7">
            <v>1000</v>
          </cell>
          <cell r="M7">
            <v>500.00000000000011</v>
          </cell>
          <cell r="N7">
            <v>1000.0000000000002</v>
          </cell>
          <cell r="O7">
            <v>1000</v>
          </cell>
        </row>
        <row r="8">
          <cell r="B8">
            <v>5</v>
          </cell>
          <cell r="C8">
            <v>44077.550484375002</v>
          </cell>
          <cell r="D8">
            <v>8310.6</v>
          </cell>
          <cell r="E8">
            <v>3693.6</v>
          </cell>
          <cell r="F8">
            <v>3125</v>
          </cell>
          <cell r="G8">
            <v>3125</v>
          </cell>
          <cell r="H8">
            <v>3125</v>
          </cell>
          <cell r="I8">
            <v>3125</v>
          </cell>
          <cell r="J8">
            <v>3125</v>
          </cell>
          <cell r="K8">
            <v>1250</v>
          </cell>
          <cell r="L8">
            <v>1250</v>
          </cell>
          <cell r="M8">
            <v>625</v>
          </cell>
          <cell r="N8">
            <v>1250</v>
          </cell>
          <cell r="O8">
            <v>1250</v>
          </cell>
        </row>
        <row r="9">
          <cell r="B9">
            <v>6</v>
          </cell>
          <cell r="C9">
            <v>49512.78307926</v>
          </cell>
          <cell r="D9">
            <v>8864.64</v>
          </cell>
          <cell r="E9">
            <v>3939.8399999999997</v>
          </cell>
          <cell r="F9">
            <v>3750</v>
          </cell>
          <cell r="G9">
            <v>3750</v>
          </cell>
          <cell r="H9">
            <v>3750</v>
          </cell>
          <cell r="I9">
            <v>3750</v>
          </cell>
          <cell r="J9">
            <v>3750</v>
          </cell>
          <cell r="K9">
            <v>1500</v>
          </cell>
          <cell r="L9">
            <v>1500</v>
          </cell>
          <cell r="M9">
            <v>750</v>
          </cell>
          <cell r="N9">
            <v>1500</v>
          </cell>
          <cell r="O9">
            <v>1500</v>
          </cell>
        </row>
        <row r="10">
          <cell r="B10">
            <v>7</v>
          </cell>
          <cell r="C10">
            <v>55265.575387068035</v>
          </cell>
          <cell r="D10">
            <v>9418.6799999999985</v>
          </cell>
          <cell r="E10">
            <v>4186.08</v>
          </cell>
          <cell r="F10">
            <v>4375</v>
          </cell>
          <cell r="G10">
            <v>4375</v>
          </cell>
          <cell r="H10">
            <v>4375</v>
          </cell>
          <cell r="I10">
            <v>4375</v>
          </cell>
          <cell r="J10">
            <v>4375</v>
          </cell>
          <cell r="K10">
            <v>1750</v>
          </cell>
          <cell r="L10">
            <v>1750</v>
          </cell>
          <cell r="M10">
            <v>874.99999999999977</v>
          </cell>
          <cell r="N10">
            <v>1749.9999999999995</v>
          </cell>
          <cell r="O10">
            <v>1750</v>
          </cell>
        </row>
        <row r="11">
          <cell r="B11">
            <v>8</v>
          </cell>
          <cell r="C11">
            <v>61329.28024367999</v>
          </cell>
          <cell r="D11">
            <v>9972.7199999999975</v>
          </cell>
          <cell r="E11">
            <v>4432.32</v>
          </cell>
          <cell r="F11">
            <v>5000</v>
          </cell>
          <cell r="G11">
            <v>5000</v>
          </cell>
          <cell r="H11">
            <v>5000</v>
          </cell>
          <cell r="I11">
            <v>5000</v>
          </cell>
          <cell r="J11">
            <v>5000</v>
          </cell>
          <cell r="K11">
            <v>2000</v>
          </cell>
          <cell r="L11">
            <v>2000</v>
          </cell>
          <cell r="M11">
            <v>1000.0000000000002</v>
          </cell>
          <cell r="N11">
            <v>2000.0000000000005</v>
          </cell>
          <cell r="O11">
            <v>2000</v>
          </cell>
        </row>
        <row r="12">
          <cell r="B12">
            <v>9</v>
          </cell>
          <cell r="C12">
            <v>67694.683268459674</v>
          </cell>
          <cell r="D12">
            <v>10526.76</v>
          </cell>
          <cell r="E12">
            <v>4678.5599999999995</v>
          </cell>
          <cell r="F12">
            <v>5625</v>
          </cell>
          <cell r="G12">
            <v>5625</v>
          </cell>
          <cell r="H12">
            <v>5625</v>
          </cell>
          <cell r="I12">
            <v>5625</v>
          </cell>
          <cell r="J12">
            <v>5625</v>
          </cell>
          <cell r="K12">
            <v>2250.0000000000005</v>
          </cell>
          <cell r="L12">
            <v>2250.0000000000005</v>
          </cell>
          <cell r="M12">
            <v>1125</v>
          </cell>
          <cell r="N12">
            <v>2250</v>
          </cell>
          <cell r="O12">
            <v>2250.0000000000005</v>
          </cell>
        </row>
        <row r="13">
          <cell r="B13">
            <v>10</v>
          </cell>
          <cell r="C13">
            <v>74366.304487092377</v>
          </cell>
          <cell r="D13">
            <v>11080.800000000001</v>
          </cell>
          <cell r="E13">
            <v>4924.8</v>
          </cell>
          <cell r="F13">
            <v>6250</v>
          </cell>
          <cell r="G13">
            <v>6250</v>
          </cell>
          <cell r="H13">
            <v>6250</v>
          </cell>
          <cell r="I13">
            <v>6250</v>
          </cell>
          <cell r="J13">
            <v>6250</v>
          </cell>
          <cell r="K13">
            <v>2500</v>
          </cell>
          <cell r="L13">
            <v>2500</v>
          </cell>
          <cell r="M13">
            <v>1250</v>
          </cell>
          <cell r="N13">
            <v>2500</v>
          </cell>
          <cell r="O13">
            <v>2500</v>
          </cell>
        </row>
        <row r="14">
          <cell r="B14">
            <v>11</v>
          </cell>
          <cell r="C14">
            <v>81342.982152175478</v>
          </cell>
          <cell r="D14">
            <v>11634.839999999997</v>
          </cell>
          <cell r="E14">
            <v>5171.0399999999981</v>
          </cell>
          <cell r="F14">
            <v>6875</v>
          </cell>
          <cell r="G14">
            <v>6875</v>
          </cell>
          <cell r="H14">
            <v>6875</v>
          </cell>
          <cell r="I14">
            <v>6875.0000000000009</v>
          </cell>
          <cell r="J14">
            <v>6875</v>
          </cell>
          <cell r="K14">
            <v>2750</v>
          </cell>
          <cell r="L14">
            <v>2750</v>
          </cell>
          <cell r="M14">
            <v>1375</v>
          </cell>
          <cell r="N14">
            <v>2750</v>
          </cell>
          <cell r="O14">
            <v>2750</v>
          </cell>
        </row>
        <row r="15">
          <cell r="B15">
            <v>12</v>
          </cell>
          <cell r="C15">
            <v>88623.487211102605</v>
          </cell>
          <cell r="D15">
            <v>12188.880000000001</v>
          </cell>
          <cell r="E15">
            <v>5417.28</v>
          </cell>
          <cell r="F15">
            <v>7500</v>
          </cell>
          <cell r="G15">
            <v>7500</v>
          </cell>
          <cell r="H15">
            <v>7500</v>
          </cell>
          <cell r="I15">
            <v>7500</v>
          </cell>
          <cell r="J15">
            <v>7500</v>
          </cell>
          <cell r="K15">
            <v>3000</v>
          </cell>
          <cell r="L15">
            <v>3000</v>
          </cell>
          <cell r="M15">
            <v>1500</v>
          </cell>
          <cell r="N15">
            <v>3000</v>
          </cell>
          <cell r="O15">
            <v>3000</v>
          </cell>
        </row>
        <row r="16">
          <cell r="B16">
            <v>13</v>
          </cell>
          <cell r="C16">
            <v>96206.524707572564</v>
          </cell>
          <cell r="D16">
            <v>12742.92</v>
          </cell>
          <cell r="E16">
            <v>5663.5199999999995</v>
          </cell>
          <cell r="F16">
            <v>8125</v>
          </cell>
          <cell r="G16">
            <v>8125</v>
          </cell>
          <cell r="H16">
            <v>8125</v>
          </cell>
          <cell r="I16">
            <v>8125</v>
          </cell>
          <cell r="J16">
            <v>8125</v>
          </cell>
          <cell r="K16">
            <v>3250</v>
          </cell>
          <cell r="L16">
            <v>3250</v>
          </cell>
          <cell r="M16">
            <v>1625</v>
          </cell>
          <cell r="N16">
            <v>3250</v>
          </cell>
          <cell r="O16">
            <v>3250</v>
          </cell>
        </row>
        <row r="17">
          <cell r="B17">
            <v>14</v>
          </cell>
          <cell r="C17">
            <v>104090.73518309872</v>
          </cell>
          <cell r="D17">
            <v>13296.960000000001</v>
          </cell>
          <cell r="E17">
            <v>5909.76</v>
          </cell>
          <cell r="F17">
            <v>8750</v>
          </cell>
          <cell r="G17">
            <v>8750</v>
          </cell>
          <cell r="H17">
            <v>8750</v>
          </cell>
          <cell r="I17">
            <v>8750</v>
          </cell>
          <cell r="J17">
            <v>8750</v>
          </cell>
          <cell r="K17">
            <v>3500</v>
          </cell>
          <cell r="L17">
            <v>3500</v>
          </cell>
          <cell r="M17">
            <v>1749.9999999999995</v>
          </cell>
          <cell r="N17">
            <v>3499.9999999999991</v>
          </cell>
          <cell r="O17">
            <v>3500</v>
          </cell>
        </row>
        <row r="18">
          <cell r="B18">
            <v>15</v>
          </cell>
          <cell r="C18">
            <v>112274.69607851775</v>
          </cell>
          <cell r="D18">
            <v>13851</v>
          </cell>
          <cell r="E18">
            <v>6156</v>
          </cell>
          <cell r="F18">
            <v>9375</v>
          </cell>
          <cell r="G18">
            <v>9375</v>
          </cell>
          <cell r="H18">
            <v>9375</v>
          </cell>
          <cell r="I18">
            <v>9375</v>
          </cell>
          <cell r="J18">
            <v>9375</v>
          </cell>
          <cell r="K18">
            <v>3750</v>
          </cell>
          <cell r="L18">
            <v>3750</v>
          </cell>
          <cell r="M18">
            <v>1875.0000000000002</v>
          </cell>
          <cell r="N18">
            <v>3750.0000000000005</v>
          </cell>
          <cell r="O18">
            <v>3750</v>
          </cell>
        </row>
        <row r="19">
          <cell r="B19">
            <v>16</v>
          </cell>
          <cell r="C19">
            <v>120756.92313549915</v>
          </cell>
          <cell r="D19">
            <v>14405.039999999999</v>
          </cell>
          <cell r="E19">
            <v>6402.24</v>
          </cell>
          <cell r="F19">
            <v>10000</v>
          </cell>
          <cell r="G19">
            <v>10000</v>
          </cell>
          <cell r="H19">
            <v>10000</v>
          </cell>
          <cell r="I19">
            <v>10000</v>
          </cell>
          <cell r="J19">
            <v>10000</v>
          </cell>
          <cell r="K19">
            <v>4000</v>
          </cell>
          <cell r="L19">
            <v>4000</v>
          </cell>
          <cell r="M19">
            <v>2000.0000000000005</v>
          </cell>
          <cell r="N19">
            <v>4000.0000000000009</v>
          </cell>
          <cell r="O19">
            <v>4000</v>
          </cell>
        </row>
        <row r="20">
          <cell r="B20">
            <v>17</v>
          </cell>
          <cell r="C20">
            <v>129535.87179805394</v>
          </cell>
          <cell r="D20">
            <v>14959.08</v>
          </cell>
          <cell r="E20">
            <v>6648.4800000000005</v>
          </cell>
          <cell r="F20">
            <v>10625</v>
          </cell>
          <cell r="G20">
            <v>10625</v>
          </cell>
          <cell r="H20">
            <v>10625</v>
          </cell>
          <cell r="I20">
            <v>10625</v>
          </cell>
          <cell r="J20">
            <v>10625</v>
          </cell>
          <cell r="K20">
            <v>4250</v>
          </cell>
          <cell r="L20">
            <v>4250</v>
          </cell>
          <cell r="M20">
            <v>2125</v>
          </cell>
          <cell r="N20">
            <v>4250</v>
          </cell>
          <cell r="O20">
            <v>4250</v>
          </cell>
        </row>
        <row r="21">
          <cell r="B21">
            <v>18</v>
          </cell>
          <cell r="C21">
            <v>138609.93861404416</v>
          </cell>
          <cell r="D21">
            <v>15513.120000000004</v>
          </cell>
          <cell r="E21">
            <v>6894.720000000003</v>
          </cell>
          <cell r="F21">
            <v>11250</v>
          </cell>
          <cell r="G21">
            <v>11250</v>
          </cell>
          <cell r="H21">
            <v>11250</v>
          </cell>
          <cell r="I21">
            <v>11250</v>
          </cell>
          <cell r="J21">
            <v>11250</v>
          </cell>
          <cell r="K21">
            <v>4500.0000000000009</v>
          </cell>
          <cell r="L21">
            <v>4500.0000000000009</v>
          </cell>
          <cell r="M21">
            <v>2250</v>
          </cell>
          <cell r="N21">
            <v>4500</v>
          </cell>
          <cell r="O21">
            <v>4500.0000000000009</v>
          </cell>
        </row>
        <row r="22">
          <cell r="B22">
            <v>19</v>
          </cell>
          <cell r="C22">
            <v>147977.46263669149</v>
          </cell>
          <cell r="D22">
            <v>16067.160000000003</v>
          </cell>
          <cell r="E22">
            <v>7140.9600000000019</v>
          </cell>
          <cell r="F22">
            <v>11875</v>
          </cell>
          <cell r="G22">
            <v>11875</v>
          </cell>
          <cell r="H22">
            <v>11875</v>
          </cell>
          <cell r="I22">
            <v>11875</v>
          </cell>
          <cell r="J22">
            <v>11875</v>
          </cell>
          <cell r="K22">
            <v>4750</v>
          </cell>
          <cell r="L22">
            <v>4750</v>
          </cell>
          <cell r="M22">
            <v>2375</v>
          </cell>
          <cell r="N22">
            <v>4750</v>
          </cell>
          <cell r="O22">
            <v>4750</v>
          </cell>
        </row>
        <row r="23">
          <cell r="B23">
            <v>20</v>
          </cell>
          <cell r="C23">
            <v>157636.72682608696</v>
          </cell>
          <cell r="D23">
            <v>16621.2</v>
          </cell>
          <cell r="E23">
            <v>7387.2000000000007</v>
          </cell>
          <cell r="F23">
            <v>12500</v>
          </cell>
          <cell r="G23">
            <v>12500</v>
          </cell>
          <cell r="H23">
            <v>12500</v>
          </cell>
          <cell r="I23">
            <v>12500</v>
          </cell>
          <cell r="J23">
            <v>12500</v>
          </cell>
          <cell r="K23">
            <v>5000</v>
          </cell>
          <cell r="L23">
            <v>5000</v>
          </cell>
          <cell r="M23">
            <v>2500</v>
          </cell>
          <cell r="N23">
            <v>5000</v>
          </cell>
          <cell r="O23">
            <v>5000</v>
          </cell>
        </row>
        <row r="24">
          <cell r="B24">
            <v>21</v>
          </cell>
          <cell r="C24">
            <v>167585.95945069948</v>
          </cell>
          <cell r="D24">
            <v>17175.240000000002</v>
          </cell>
          <cell r="E24">
            <v>7633.4400000000014</v>
          </cell>
          <cell r="F24">
            <v>13125</v>
          </cell>
          <cell r="G24">
            <v>13125</v>
          </cell>
          <cell r="H24">
            <v>13125</v>
          </cell>
          <cell r="I24">
            <v>13125</v>
          </cell>
          <cell r="J24">
            <v>13125</v>
          </cell>
          <cell r="K24">
            <v>5250</v>
          </cell>
          <cell r="L24">
            <v>5250</v>
          </cell>
          <cell r="M24">
            <v>2625</v>
          </cell>
          <cell r="N24">
            <v>5250</v>
          </cell>
          <cell r="O24">
            <v>5250</v>
          </cell>
        </row>
        <row r="25">
          <cell r="B25">
            <v>22</v>
          </cell>
          <cell r="C25">
            <v>177823.33548888523</v>
          </cell>
          <cell r="D25">
            <v>17729.280000000002</v>
          </cell>
          <cell r="E25">
            <v>7879.68</v>
          </cell>
          <cell r="F25">
            <v>13750</v>
          </cell>
          <cell r="G25">
            <v>13750</v>
          </cell>
          <cell r="H25">
            <v>13750</v>
          </cell>
          <cell r="I25">
            <v>13750.000000000002</v>
          </cell>
          <cell r="J25">
            <v>13750</v>
          </cell>
          <cell r="K25">
            <v>5500</v>
          </cell>
          <cell r="L25">
            <v>5500</v>
          </cell>
          <cell r="M25">
            <v>2750</v>
          </cell>
          <cell r="N25">
            <v>5500</v>
          </cell>
          <cell r="O25">
            <v>5500</v>
          </cell>
        </row>
        <row r="26">
          <cell r="B26">
            <v>23</v>
          </cell>
          <cell r="C26">
            <v>188311.53354048342</v>
          </cell>
          <cell r="D26">
            <v>18283.320000000007</v>
          </cell>
          <cell r="E26">
            <v>8125.9200000000028</v>
          </cell>
          <cell r="F26">
            <v>14375</v>
          </cell>
          <cell r="G26">
            <v>14375</v>
          </cell>
          <cell r="H26">
            <v>14375</v>
          </cell>
          <cell r="I26">
            <v>14374.999999999998</v>
          </cell>
          <cell r="J26">
            <v>14375</v>
          </cell>
          <cell r="K26">
            <v>5750</v>
          </cell>
          <cell r="L26">
            <v>5750</v>
          </cell>
          <cell r="M26">
            <v>2875</v>
          </cell>
          <cell r="N26">
            <v>5750</v>
          </cell>
          <cell r="O26">
            <v>5750</v>
          </cell>
        </row>
        <row r="27">
          <cell r="B27">
            <v>24</v>
          </cell>
          <cell r="C27">
            <v>199076.94354989222</v>
          </cell>
          <cell r="D27">
            <v>18837.360000000004</v>
          </cell>
          <cell r="E27">
            <v>8372.1600000000017</v>
          </cell>
          <cell r="F27">
            <v>15000</v>
          </cell>
          <cell r="G27">
            <v>15000</v>
          </cell>
          <cell r="H27">
            <v>15000</v>
          </cell>
          <cell r="I27">
            <v>15000</v>
          </cell>
          <cell r="J27">
            <v>15000</v>
          </cell>
          <cell r="K27">
            <v>6000</v>
          </cell>
          <cell r="L27">
            <v>6000</v>
          </cell>
          <cell r="M27">
            <v>3000</v>
          </cell>
          <cell r="N27">
            <v>6000</v>
          </cell>
          <cell r="O27">
            <v>6000</v>
          </cell>
        </row>
        <row r="28">
          <cell r="B28">
            <v>25</v>
          </cell>
          <cell r="C28">
            <v>210116.94081743428</v>
          </cell>
          <cell r="D28">
            <v>19391.400000000009</v>
          </cell>
          <cell r="E28">
            <v>8618.4000000000033</v>
          </cell>
          <cell r="F28">
            <v>15625</v>
          </cell>
          <cell r="G28">
            <v>15625</v>
          </cell>
          <cell r="H28">
            <v>15625</v>
          </cell>
          <cell r="I28">
            <v>15625</v>
          </cell>
          <cell r="J28">
            <v>15625</v>
          </cell>
          <cell r="K28">
            <v>6250</v>
          </cell>
          <cell r="L28">
            <v>6250</v>
          </cell>
          <cell r="M28">
            <v>3125</v>
          </cell>
          <cell r="N28">
            <v>6250</v>
          </cell>
          <cell r="O28">
            <v>6250</v>
          </cell>
        </row>
        <row r="29">
          <cell r="B29">
            <v>26</v>
          </cell>
          <cell r="C29">
            <v>221389.90491364009</v>
          </cell>
          <cell r="D29">
            <v>19945.440000000006</v>
          </cell>
          <cell r="E29">
            <v>8864.6400000000031</v>
          </cell>
          <cell r="F29">
            <v>16250</v>
          </cell>
          <cell r="G29">
            <v>16250</v>
          </cell>
          <cell r="H29">
            <v>16250</v>
          </cell>
          <cell r="I29">
            <v>16250</v>
          </cell>
          <cell r="J29">
            <v>16250</v>
          </cell>
          <cell r="K29">
            <v>6500</v>
          </cell>
          <cell r="L29">
            <v>6500</v>
          </cell>
          <cell r="M29">
            <v>3250</v>
          </cell>
          <cell r="N29">
            <v>6500</v>
          </cell>
          <cell r="O29">
            <v>6500</v>
          </cell>
        </row>
        <row r="30">
          <cell r="B30">
            <v>27</v>
          </cell>
          <cell r="C30">
            <v>232924.97228763651</v>
          </cell>
          <cell r="D30">
            <v>20499.480000000003</v>
          </cell>
          <cell r="E30">
            <v>9110.8800000000028</v>
          </cell>
          <cell r="F30">
            <v>16875</v>
          </cell>
          <cell r="G30">
            <v>16875</v>
          </cell>
          <cell r="H30">
            <v>16875</v>
          </cell>
          <cell r="I30">
            <v>16875</v>
          </cell>
          <cell r="J30">
            <v>16875</v>
          </cell>
          <cell r="K30">
            <v>6750</v>
          </cell>
          <cell r="L30">
            <v>6750</v>
          </cell>
          <cell r="M30">
            <v>3375</v>
          </cell>
          <cell r="N30">
            <v>6750</v>
          </cell>
          <cell r="O30">
            <v>6750</v>
          </cell>
        </row>
        <row r="31">
          <cell r="B31">
            <v>28</v>
          </cell>
          <cell r="C31">
            <v>244718.74472388739</v>
          </cell>
          <cell r="D31">
            <v>21053.520000000008</v>
          </cell>
          <cell r="E31">
            <v>9357.1200000000026</v>
          </cell>
          <cell r="F31">
            <v>17500</v>
          </cell>
          <cell r="G31">
            <v>17500</v>
          </cell>
          <cell r="H31">
            <v>17500</v>
          </cell>
          <cell r="I31">
            <v>17500</v>
          </cell>
          <cell r="J31">
            <v>17500</v>
          </cell>
          <cell r="K31">
            <v>7000</v>
          </cell>
          <cell r="L31">
            <v>7000</v>
          </cell>
          <cell r="M31">
            <v>3499.9999999999991</v>
          </cell>
          <cell r="N31">
            <v>6999.9999999999982</v>
          </cell>
          <cell r="O31">
            <v>7000</v>
          </cell>
        </row>
        <row r="32">
          <cell r="B32">
            <v>29</v>
          </cell>
          <cell r="C32">
            <v>256767.74642320591</v>
          </cell>
          <cell r="D32">
            <v>21607.560000000005</v>
          </cell>
          <cell r="E32">
            <v>9603.3600000000024</v>
          </cell>
          <cell r="F32">
            <v>18125</v>
          </cell>
          <cell r="G32">
            <v>18125</v>
          </cell>
          <cell r="H32">
            <v>18125</v>
          </cell>
          <cell r="I32">
            <v>18125</v>
          </cell>
          <cell r="J32">
            <v>18125</v>
          </cell>
          <cell r="K32">
            <v>7250</v>
          </cell>
          <cell r="L32">
            <v>7250</v>
          </cell>
          <cell r="M32">
            <v>3624.9999999999995</v>
          </cell>
          <cell r="N32">
            <v>7249.9999999999991</v>
          </cell>
          <cell r="O32">
            <v>7250</v>
          </cell>
        </row>
        <row r="33">
          <cell r="B33">
            <v>30</v>
          </cell>
          <cell r="C33">
            <v>272431.78170420078</v>
          </cell>
          <cell r="D33">
            <v>22438.62000000001</v>
          </cell>
          <cell r="E33">
            <v>9972.720000000003</v>
          </cell>
          <cell r="F33">
            <v>18750</v>
          </cell>
          <cell r="G33">
            <v>18750</v>
          </cell>
          <cell r="H33">
            <v>18750</v>
          </cell>
          <cell r="I33">
            <v>18750</v>
          </cell>
          <cell r="J33">
            <v>18750</v>
          </cell>
          <cell r="K33">
            <v>7500</v>
          </cell>
          <cell r="L33">
            <v>7500</v>
          </cell>
          <cell r="M33">
            <v>3750.0000000000005</v>
          </cell>
          <cell r="N33">
            <v>7500.0000000000009</v>
          </cell>
          <cell r="O33">
            <v>7500</v>
          </cell>
        </row>
        <row r="34">
          <cell r="B34">
            <v>31</v>
          </cell>
          <cell r="C34">
            <v>288485.87196386803</v>
          </cell>
          <cell r="D34">
            <v>23269.680000000004</v>
          </cell>
          <cell r="E34">
            <v>10342.08</v>
          </cell>
          <cell r="F34">
            <v>19375</v>
          </cell>
          <cell r="G34">
            <v>19375</v>
          </cell>
          <cell r="H34">
            <v>19375</v>
          </cell>
          <cell r="I34">
            <v>19375</v>
          </cell>
          <cell r="J34">
            <v>19375</v>
          </cell>
          <cell r="K34">
            <v>7750</v>
          </cell>
          <cell r="L34">
            <v>7750</v>
          </cell>
          <cell r="M34">
            <v>3875.0000000000005</v>
          </cell>
          <cell r="N34">
            <v>7750.0000000000009</v>
          </cell>
          <cell r="O34">
            <v>7750</v>
          </cell>
        </row>
        <row r="35">
          <cell r="B35">
            <v>32</v>
          </cell>
          <cell r="C35">
            <v>304922.24811464932</v>
          </cell>
          <cell r="D35">
            <v>24100.740000000013</v>
          </cell>
          <cell r="E35">
            <v>10711.440000000006</v>
          </cell>
          <cell r="F35">
            <v>20000</v>
          </cell>
          <cell r="G35">
            <v>20000</v>
          </cell>
          <cell r="H35">
            <v>20000</v>
          </cell>
          <cell r="I35">
            <v>20000</v>
          </cell>
          <cell r="J35">
            <v>20000</v>
          </cell>
          <cell r="K35">
            <v>8000</v>
          </cell>
          <cell r="L35">
            <v>8000</v>
          </cell>
          <cell r="M35">
            <v>4000.0000000000009</v>
          </cell>
          <cell r="N35">
            <v>8000.0000000000018</v>
          </cell>
          <cell r="O35">
            <v>8000</v>
          </cell>
        </row>
        <row r="36">
          <cell r="B36">
            <v>33</v>
          </cell>
          <cell r="C36">
            <v>321737.88910271024</v>
          </cell>
          <cell r="D36">
            <v>24931.800000000007</v>
          </cell>
          <cell r="E36">
            <v>11080.800000000003</v>
          </cell>
          <cell r="F36">
            <v>20625</v>
          </cell>
          <cell r="G36">
            <v>20625</v>
          </cell>
          <cell r="H36">
            <v>20625</v>
          </cell>
          <cell r="I36">
            <v>20625</v>
          </cell>
          <cell r="J36">
            <v>20625</v>
          </cell>
          <cell r="K36">
            <v>8250</v>
          </cell>
          <cell r="L36">
            <v>8250</v>
          </cell>
          <cell r="M36">
            <v>4125</v>
          </cell>
          <cell r="N36">
            <v>8250</v>
          </cell>
          <cell r="O36">
            <v>8250</v>
          </cell>
        </row>
        <row r="37">
          <cell r="B37">
            <v>34</v>
          </cell>
          <cell r="C37">
            <v>338927.42981737189</v>
          </cell>
          <cell r="D37">
            <v>25762.86</v>
          </cell>
          <cell r="E37">
            <v>11450.16</v>
          </cell>
          <cell r="F37">
            <v>21250</v>
          </cell>
          <cell r="G37">
            <v>21250</v>
          </cell>
          <cell r="H37">
            <v>21250</v>
          </cell>
          <cell r="I37">
            <v>21250</v>
          </cell>
          <cell r="J37">
            <v>21250</v>
          </cell>
          <cell r="K37">
            <v>8500</v>
          </cell>
          <cell r="L37">
            <v>8500</v>
          </cell>
          <cell r="M37">
            <v>4250</v>
          </cell>
          <cell r="N37">
            <v>8500</v>
          </cell>
          <cell r="O37">
            <v>8500</v>
          </cell>
        </row>
        <row r="38">
          <cell r="B38">
            <v>35</v>
          </cell>
          <cell r="C38">
            <v>356485.39997194981</v>
          </cell>
          <cell r="D38">
            <v>26593.920000000009</v>
          </cell>
          <cell r="E38">
            <v>11819.520000000002</v>
          </cell>
          <cell r="F38">
            <v>21875</v>
          </cell>
          <cell r="G38">
            <v>21875</v>
          </cell>
          <cell r="H38">
            <v>21875</v>
          </cell>
          <cell r="I38">
            <v>21875</v>
          </cell>
          <cell r="J38">
            <v>21875</v>
          </cell>
          <cell r="K38">
            <v>8750.0000000000018</v>
          </cell>
          <cell r="L38">
            <v>8750.0000000000018</v>
          </cell>
          <cell r="M38">
            <v>4375</v>
          </cell>
          <cell r="N38">
            <v>8750</v>
          </cell>
          <cell r="O38">
            <v>8750.0000000000018</v>
          </cell>
        </row>
        <row r="39">
          <cell r="B39">
            <v>36</v>
          </cell>
          <cell r="C39">
            <v>374406.22768834064</v>
          </cell>
          <cell r="D39">
            <v>27424.98</v>
          </cell>
          <cell r="E39">
            <v>12188.880000000003</v>
          </cell>
          <cell r="F39">
            <v>22500</v>
          </cell>
          <cell r="G39">
            <v>22500</v>
          </cell>
          <cell r="H39">
            <v>22500</v>
          </cell>
          <cell r="I39">
            <v>22500</v>
          </cell>
          <cell r="J39">
            <v>22500</v>
          </cell>
          <cell r="K39">
            <v>9000.0000000000018</v>
          </cell>
          <cell r="L39">
            <v>9000.0000000000018</v>
          </cell>
          <cell r="M39">
            <v>4500</v>
          </cell>
          <cell r="N39">
            <v>9000</v>
          </cell>
          <cell r="O39">
            <v>9000.0000000000018</v>
          </cell>
        </row>
        <row r="40">
          <cell r="B40">
            <v>37</v>
          </cell>
          <cell r="C40">
            <v>392684.24308161181</v>
          </cell>
          <cell r="D40">
            <v>28256.040000000008</v>
          </cell>
          <cell r="E40">
            <v>12558.240000000003</v>
          </cell>
          <cell r="F40">
            <v>23125</v>
          </cell>
          <cell r="G40">
            <v>23125</v>
          </cell>
          <cell r="H40">
            <v>23125</v>
          </cell>
          <cell r="I40">
            <v>23125</v>
          </cell>
          <cell r="J40">
            <v>23125</v>
          </cell>
          <cell r="K40">
            <v>9250.0000000000018</v>
          </cell>
          <cell r="L40">
            <v>9250.0000000000018</v>
          </cell>
          <cell r="M40">
            <v>4625</v>
          </cell>
          <cell r="N40">
            <v>9250</v>
          </cell>
          <cell r="O40">
            <v>9250.0000000000018</v>
          </cell>
        </row>
        <row r="41">
          <cell r="B41">
            <v>38</v>
          </cell>
          <cell r="C41">
            <v>411313.68184458802</v>
          </cell>
          <cell r="D41">
            <v>29087.100000000006</v>
          </cell>
          <cell r="E41">
            <v>12927.600000000002</v>
          </cell>
          <cell r="F41">
            <v>23750</v>
          </cell>
          <cell r="G41">
            <v>23750</v>
          </cell>
          <cell r="H41">
            <v>23750</v>
          </cell>
          <cell r="I41">
            <v>23750</v>
          </cell>
          <cell r="J41">
            <v>23750</v>
          </cell>
          <cell r="K41">
            <v>9500</v>
          </cell>
          <cell r="L41">
            <v>9500</v>
          </cell>
          <cell r="M41">
            <v>4750</v>
          </cell>
          <cell r="N41">
            <v>9500</v>
          </cell>
          <cell r="O41">
            <v>9500</v>
          </cell>
        </row>
        <row r="42">
          <cell r="B42">
            <v>39</v>
          </cell>
          <cell r="C42">
            <v>430288.68883244053</v>
          </cell>
          <cell r="D42">
            <v>29918.16</v>
          </cell>
          <cell r="E42">
            <v>13296.960000000001</v>
          </cell>
          <cell r="F42">
            <v>24375</v>
          </cell>
          <cell r="G42">
            <v>24375</v>
          </cell>
          <cell r="H42">
            <v>24375</v>
          </cell>
          <cell r="I42">
            <v>24375</v>
          </cell>
          <cell r="J42">
            <v>24375</v>
          </cell>
          <cell r="K42">
            <v>9750</v>
          </cell>
          <cell r="L42">
            <v>9750</v>
          </cell>
          <cell r="M42">
            <v>4875</v>
          </cell>
          <cell r="N42">
            <v>9750</v>
          </cell>
          <cell r="O42">
            <v>9750</v>
          </cell>
        </row>
        <row r="43">
          <cell r="B43">
            <v>40</v>
          </cell>
          <cell r="C43">
            <v>453653.80202247505</v>
          </cell>
          <cell r="D43">
            <v>31026.240000000009</v>
          </cell>
          <cell r="E43">
            <v>13789.440000000006</v>
          </cell>
          <cell r="F43">
            <v>25000</v>
          </cell>
          <cell r="G43">
            <v>25000</v>
          </cell>
          <cell r="H43">
            <v>25000</v>
          </cell>
          <cell r="I43">
            <v>25000</v>
          </cell>
          <cell r="J43">
            <v>25000</v>
          </cell>
          <cell r="K43">
            <v>10000</v>
          </cell>
          <cell r="L43">
            <v>10000</v>
          </cell>
          <cell r="M43">
            <v>5000</v>
          </cell>
          <cell r="N43">
            <v>10000</v>
          </cell>
          <cell r="O43">
            <v>10000</v>
          </cell>
        </row>
        <row r="44">
          <cell r="B44">
            <v>41</v>
          </cell>
          <cell r="C44">
            <v>477484.03763013281</v>
          </cell>
          <cell r="D44">
            <v>32134.320000000007</v>
          </cell>
          <cell r="E44">
            <v>14281.920000000004</v>
          </cell>
          <cell r="F44">
            <v>25625</v>
          </cell>
          <cell r="G44">
            <v>25625</v>
          </cell>
          <cell r="H44">
            <v>25625</v>
          </cell>
          <cell r="I44">
            <v>25624.999999999996</v>
          </cell>
          <cell r="J44">
            <v>25625</v>
          </cell>
          <cell r="K44">
            <v>10250</v>
          </cell>
          <cell r="L44">
            <v>10250</v>
          </cell>
          <cell r="M44">
            <v>5125</v>
          </cell>
          <cell r="N44">
            <v>10250</v>
          </cell>
          <cell r="O44">
            <v>10250</v>
          </cell>
        </row>
        <row r="45">
          <cell r="B45">
            <v>42</v>
          </cell>
          <cell r="C45">
            <v>501771.5696497485</v>
          </cell>
          <cell r="D45">
            <v>33242.400000000016</v>
          </cell>
          <cell r="E45">
            <v>14774.400000000005</v>
          </cell>
          <cell r="F45">
            <v>26250</v>
          </cell>
          <cell r="G45">
            <v>26250</v>
          </cell>
          <cell r="H45">
            <v>26250</v>
          </cell>
          <cell r="I45">
            <v>26250</v>
          </cell>
          <cell r="J45">
            <v>26250</v>
          </cell>
          <cell r="K45">
            <v>10500</v>
          </cell>
          <cell r="L45">
            <v>10500</v>
          </cell>
          <cell r="M45">
            <v>5250</v>
          </cell>
          <cell r="N45">
            <v>10500</v>
          </cell>
          <cell r="O45">
            <v>10500</v>
          </cell>
        </row>
        <row r="46">
          <cell r="B46">
            <v>43</v>
          </cell>
          <cell r="C46">
            <v>526508.46147357661</v>
          </cell>
          <cell r="D46">
            <v>34350.480000000003</v>
          </cell>
          <cell r="E46">
            <v>15266.880000000006</v>
          </cell>
          <cell r="F46">
            <v>26875</v>
          </cell>
          <cell r="G46">
            <v>26875</v>
          </cell>
          <cell r="H46">
            <v>26875</v>
          </cell>
          <cell r="I46">
            <v>26875</v>
          </cell>
          <cell r="J46">
            <v>26875</v>
          </cell>
          <cell r="K46">
            <v>10750</v>
          </cell>
          <cell r="L46">
            <v>10750</v>
          </cell>
          <cell r="M46">
            <v>5375</v>
          </cell>
          <cell r="N46">
            <v>10750</v>
          </cell>
          <cell r="O46">
            <v>10750</v>
          </cell>
        </row>
        <row r="47">
          <cell r="B47">
            <v>44</v>
          </cell>
          <cell r="C47">
            <v>551686.67067124194</v>
          </cell>
          <cell r="D47">
            <v>35458.560000000005</v>
          </cell>
          <cell r="E47">
            <v>15759.360000000004</v>
          </cell>
          <cell r="F47">
            <v>27500</v>
          </cell>
          <cell r="G47">
            <v>27500</v>
          </cell>
          <cell r="H47">
            <v>27500</v>
          </cell>
          <cell r="I47">
            <v>27500.000000000004</v>
          </cell>
          <cell r="J47">
            <v>27500</v>
          </cell>
          <cell r="K47">
            <v>11000</v>
          </cell>
          <cell r="L47">
            <v>11000</v>
          </cell>
          <cell r="M47">
            <v>5500</v>
          </cell>
          <cell r="N47">
            <v>11000</v>
          </cell>
          <cell r="O47">
            <v>11000</v>
          </cell>
        </row>
        <row r="48">
          <cell r="B48">
            <v>45</v>
          </cell>
          <cell r="C48">
            <v>577298.05376919033</v>
          </cell>
          <cell r="D48">
            <v>36566.640000000007</v>
          </cell>
          <cell r="E48">
            <v>16251.840000000002</v>
          </cell>
          <cell r="F48">
            <v>28125</v>
          </cell>
          <cell r="G48">
            <v>28125</v>
          </cell>
          <cell r="H48">
            <v>28125</v>
          </cell>
          <cell r="I48">
            <v>28125</v>
          </cell>
          <cell r="J48">
            <v>28125</v>
          </cell>
          <cell r="K48">
            <v>11250</v>
          </cell>
          <cell r="L48">
            <v>11250</v>
          </cell>
          <cell r="M48">
            <v>5625</v>
          </cell>
          <cell r="N48">
            <v>11250</v>
          </cell>
          <cell r="O48">
            <v>11250</v>
          </cell>
        </row>
        <row r="49">
          <cell r="B49">
            <v>46</v>
          </cell>
          <cell r="C49">
            <v>603334.37103013904</v>
          </cell>
          <cell r="D49">
            <v>37674.720000000016</v>
          </cell>
          <cell r="E49">
            <v>16744.320000000007</v>
          </cell>
          <cell r="F49">
            <v>28750</v>
          </cell>
          <cell r="G49">
            <v>28750</v>
          </cell>
          <cell r="H49">
            <v>28750</v>
          </cell>
          <cell r="I49">
            <v>28749.999999999996</v>
          </cell>
          <cell r="J49">
            <v>28750</v>
          </cell>
          <cell r="K49">
            <v>11500</v>
          </cell>
          <cell r="L49">
            <v>11500</v>
          </cell>
          <cell r="M49">
            <v>5750</v>
          </cell>
          <cell r="N49">
            <v>11500</v>
          </cell>
          <cell r="O49">
            <v>11500</v>
          </cell>
        </row>
        <row r="50">
          <cell r="B50">
            <v>47</v>
          </cell>
          <cell r="C50">
            <v>629787.29123252782</v>
          </cell>
          <cell r="D50">
            <v>38782.80000000001</v>
          </cell>
          <cell r="E50">
            <v>17236.800000000007</v>
          </cell>
          <cell r="F50">
            <v>29375</v>
          </cell>
          <cell r="G50">
            <v>29375</v>
          </cell>
          <cell r="H50">
            <v>29375</v>
          </cell>
          <cell r="I50">
            <v>29375</v>
          </cell>
          <cell r="J50">
            <v>29375</v>
          </cell>
          <cell r="K50">
            <v>11750</v>
          </cell>
          <cell r="L50">
            <v>11750</v>
          </cell>
          <cell r="M50">
            <v>5875</v>
          </cell>
          <cell r="N50">
            <v>11750</v>
          </cell>
          <cell r="O50">
            <v>11750</v>
          </cell>
        </row>
        <row r="51">
          <cell r="B51">
            <v>48</v>
          </cell>
          <cell r="C51">
            <v>656648.39644997043</v>
          </cell>
          <cell r="D51">
            <v>39890.880000000019</v>
          </cell>
          <cell r="E51">
            <v>17729.280000000006</v>
          </cell>
          <cell r="F51">
            <v>30000</v>
          </cell>
          <cell r="G51">
            <v>30000</v>
          </cell>
          <cell r="H51">
            <v>30000</v>
          </cell>
          <cell r="I51">
            <v>30000</v>
          </cell>
          <cell r="J51">
            <v>30000</v>
          </cell>
          <cell r="K51">
            <v>12000</v>
          </cell>
          <cell r="L51">
            <v>12000</v>
          </cell>
          <cell r="M51">
            <v>6000</v>
          </cell>
          <cell r="N51">
            <v>12000</v>
          </cell>
          <cell r="O51">
            <v>12000</v>
          </cell>
        </row>
        <row r="52">
          <cell r="B52">
            <v>49</v>
          </cell>
          <cell r="C52">
            <v>683909.1868307034</v>
          </cell>
          <cell r="D52">
            <v>40998.960000000021</v>
          </cell>
          <cell r="E52">
            <v>18221.760000000009</v>
          </cell>
          <cell r="F52">
            <v>30625</v>
          </cell>
          <cell r="G52">
            <v>30625</v>
          </cell>
          <cell r="H52">
            <v>30625</v>
          </cell>
          <cell r="I52">
            <v>30625.000000000004</v>
          </cell>
          <cell r="J52">
            <v>30625</v>
          </cell>
          <cell r="K52">
            <v>12250</v>
          </cell>
          <cell r="L52">
            <v>12250</v>
          </cell>
          <cell r="M52">
            <v>6125</v>
          </cell>
          <cell r="N52">
            <v>12250</v>
          </cell>
          <cell r="O52">
            <v>12250</v>
          </cell>
        </row>
        <row r="53">
          <cell r="B53">
            <v>50</v>
          </cell>
          <cell r="C53">
            <v>716242.40830715036</v>
          </cell>
          <cell r="D53">
            <v>42384.060000000012</v>
          </cell>
          <cell r="E53">
            <v>18837.360000000004</v>
          </cell>
          <cell r="F53">
            <v>31250</v>
          </cell>
          <cell r="G53">
            <v>31250</v>
          </cell>
          <cell r="H53">
            <v>31250</v>
          </cell>
          <cell r="I53">
            <v>31250</v>
          </cell>
          <cell r="J53">
            <v>31250</v>
          </cell>
          <cell r="K53">
            <v>12500</v>
          </cell>
          <cell r="L53">
            <v>12500</v>
          </cell>
          <cell r="M53">
            <v>6250</v>
          </cell>
          <cell r="N53">
            <v>12500</v>
          </cell>
          <cell r="O53">
            <v>12500</v>
          </cell>
        </row>
        <row r="54">
          <cell r="B54">
            <v>51</v>
          </cell>
          <cell r="C54">
            <v>749077.43558025884</v>
          </cell>
          <cell r="D54">
            <v>43769.160000000011</v>
          </cell>
          <cell r="E54">
            <v>19452.960000000006</v>
          </cell>
          <cell r="F54">
            <v>31875</v>
          </cell>
          <cell r="G54">
            <v>31875</v>
          </cell>
          <cell r="H54">
            <v>31875</v>
          </cell>
          <cell r="I54">
            <v>31874.999999999996</v>
          </cell>
          <cell r="J54">
            <v>31875</v>
          </cell>
          <cell r="K54">
            <v>12750</v>
          </cell>
          <cell r="L54">
            <v>12750</v>
          </cell>
          <cell r="M54">
            <v>6375</v>
          </cell>
          <cell r="N54">
            <v>12750</v>
          </cell>
          <cell r="O54">
            <v>12750</v>
          </cell>
        </row>
        <row r="55">
          <cell r="B55">
            <v>52</v>
          </cell>
          <cell r="C55">
            <v>782403.60833389161</v>
          </cell>
          <cell r="D55">
            <v>45154.26</v>
          </cell>
          <cell r="E55">
            <v>20068.560000000005</v>
          </cell>
          <cell r="F55">
            <v>32500</v>
          </cell>
          <cell r="G55">
            <v>32500</v>
          </cell>
          <cell r="H55">
            <v>32500</v>
          </cell>
          <cell r="I55">
            <v>32500</v>
          </cell>
          <cell r="J55">
            <v>32500</v>
          </cell>
          <cell r="K55">
            <v>13000</v>
          </cell>
          <cell r="L55">
            <v>13000</v>
          </cell>
          <cell r="M55">
            <v>6500</v>
          </cell>
          <cell r="N55">
            <v>13000</v>
          </cell>
          <cell r="O55">
            <v>13000</v>
          </cell>
        </row>
        <row r="56">
          <cell r="B56">
            <v>53</v>
          </cell>
          <cell r="C56">
            <v>816210.17890046258</v>
          </cell>
          <cell r="D56">
            <v>46539.360000000008</v>
          </cell>
          <cell r="E56">
            <v>20684.160000000003</v>
          </cell>
          <cell r="F56">
            <v>33125</v>
          </cell>
          <cell r="G56">
            <v>33125</v>
          </cell>
          <cell r="H56">
            <v>33125</v>
          </cell>
          <cell r="I56">
            <v>33125</v>
          </cell>
          <cell r="J56">
            <v>33125</v>
          </cell>
          <cell r="K56">
            <v>13250</v>
          </cell>
          <cell r="L56">
            <v>13250</v>
          </cell>
          <cell r="M56">
            <v>6625</v>
          </cell>
          <cell r="N56">
            <v>13250</v>
          </cell>
          <cell r="O56">
            <v>13250</v>
          </cell>
        </row>
        <row r="57">
          <cell r="B57">
            <v>54</v>
          </cell>
          <cell r="C57">
            <v>850486.3182352474</v>
          </cell>
          <cell r="D57">
            <v>47924.460000000014</v>
          </cell>
          <cell r="E57">
            <v>21299.760000000006</v>
          </cell>
          <cell r="F57">
            <v>33750</v>
          </cell>
          <cell r="G57">
            <v>33750</v>
          </cell>
          <cell r="H57">
            <v>33750</v>
          </cell>
          <cell r="I57">
            <v>33750</v>
          </cell>
          <cell r="J57">
            <v>33750</v>
          </cell>
          <cell r="K57">
            <v>13500</v>
          </cell>
          <cell r="L57">
            <v>13500</v>
          </cell>
          <cell r="M57">
            <v>6750</v>
          </cell>
          <cell r="N57">
            <v>13500</v>
          </cell>
          <cell r="O57">
            <v>13500</v>
          </cell>
        </row>
        <row r="58">
          <cell r="B58">
            <v>55</v>
          </cell>
          <cell r="C58">
            <v>885221.12189069903</v>
          </cell>
          <cell r="D58">
            <v>49309.560000000005</v>
          </cell>
          <cell r="E58">
            <v>21915.360000000004</v>
          </cell>
          <cell r="F58">
            <v>34375</v>
          </cell>
          <cell r="G58">
            <v>34375</v>
          </cell>
          <cell r="H58">
            <v>34375</v>
          </cell>
          <cell r="I58">
            <v>34375</v>
          </cell>
          <cell r="J58">
            <v>34375</v>
          </cell>
          <cell r="K58">
            <v>13750</v>
          </cell>
          <cell r="L58">
            <v>13750</v>
          </cell>
          <cell r="M58">
            <v>6875</v>
          </cell>
          <cell r="N58">
            <v>13750</v>
          </cell>
          <cell r="O58">
            <v>13750</v>
          </cell>
        </row>
        <row r="59">
          <cell r="B59">
            <v>56</v>
          </cell>
          <cell r="C59">
            <v>920403.6159907598</v>
          </cell>
          <cell r="D59">
            <v>50694.660000000011</v>
          </cell>
          <cell r="E59">
            <v>22530.960000000006</v>
          </cell>
          <cell r="F59">
            <v>35000</v>
          </cell>
          <cell r="G59">
            <v>35000</v>
          </cell>
          <cell r="H59">
            <v>35000</v>
          </cell>
          <cell r="I59">
            <v>35000</v>
          </cell>
          <cell r="J59">
            <v>35000</v>
          </cell>
          <cell r="K59">
            <v>14000</v>
          </cell>
          <cell r="L59">
            <v>14000</v>
          </cell>
          <cell r="M59">
            <v>6999.9999999999982</v>
          </cell>
          <cell r="N59">
            <v>13999.999999999996</v>
          </cell>
          <cell r="O59">
            <v>14000</v>
          </cell>
        </row>
        <row r="60">
          <cell r="B60">
            <v>57</v>
          </cell>
          <cell r="C60">
            <v>956022.76320517482</v>
          </cell>
          <cell r="D60">
            <v>52079.76</v>
          </cell>
          <cell r="E60">
            <v>23146.560000000005</v>
          </cell>
          <cell r="F60">
            <v>35625</v>
          </cell>
          <cell r="G60">
            <v>35625</v>
          </cell>
          <cell r="H60">
            <v>35625</v>
          </cell>
          <cell r="I60">
            <v>35625</v>
          </cell>
          <cell r="J60">
            <v>35625</v>
          </cell>
          <cell r="K60">
            <v>14250</v>
          </cell>
          <cell r="L60">
            <v>14250</v>
          </cell>
          <cell r="M60">
            <v>7125</v>
          </cell>
          <cell r="N60">
            <v>14250</v>
          </cell>
          <cell r="O60">
            <v>14250</v>
          </cell>
        </row>
        <row r="61">
          <cell r="B61">
            <v>58</v>
          </cell>
          <cell r="C61">
            <v>992067.46872380655</v>
          </cell>
          <cell r="D61">
            <v>53464.860000000008</v>
          </cell>
          <cell r="E61">
            <v>23762.160000000007</v>
          </cell>
          <cell r="F61">
            <v>36250</v>
          </cell>
          <cell r="G61">
            <v>36250</v>
          </cell>
          <cell r="H61">
            <v>36250</v>
          </cell>
          <cell r="I61">
            <v>36250</v>
          </cell>
          <cell r="J61">
            <v>36250</v>
          </cell>
          <cell r="K61">
            <v>14500</v>
          </cell>
          <cell r="L61">
            <v>14500</v>
          </cell>
          <cell r="M61">
            <v>7249.9999999999991</v>
          </cell>
          <cell r="N61">
            <v>14499.999999999998</v>
          </cell>
          <cell r="O61">
            <v>14500</v>
          </cell>
        </row>
        <row r="62">
          <cell r="B62">
            <v>59</v>
          </cell>
          <cell r="C62">
            <v>1028526.5862309474</v>
          </cell>
          <cell r="D62">
            <v>54849.960000000014</v>
          </cell>
          <cell r="E62">
            <v>24377.760000000006</v>
          </cell>
          <cell r="F62">
            <v>36875</v>
          </cell>
          <cell r="G62">
            <v>36875</v>
          </cell>
          <cell r="H62">
            <v>36875</v>
          </cell>
          <cell r="I62">
            <v>36875</v>
          </cell>
          <cell r="J62">
            <v>36875</v>
          </cell>
          <cell r="K62">
            <v>14750</v>
          </cell>
          <cell r="L62">
            <v>14750</v>
          </cell>
          <cell r="M62">
            <v>7375</v>
          </cell>
          <cell r="N62">
            <v>14750</v>
          </cell>
          <cell r="O62">
            <v>14750</v>
          </cell>
        </row>
        <row r="63">
          <cell r="B63">
            <v>60</v>
          </cell>
          <cell r="C63">
            <v>1070637.145179532</v>
          </cell>
          <cell r="D63">
            <v>56512.080000000016</v>
          </cell>
          <cell r="E63">
            <v>25116.480000000007</v>
          </cell>
          <cell r="F63">
            <v>37500</v>
          </cell>
          <cell r="G63">
            <v>37500</v>
          </cell>
          <cell r="H63">
            <v>37500</v>
          </cell>
          <cell r="I63">
            <v>37500</v>
          </cell>
          <cell r="J63">
            <v>37500</v>
          </cell>
          <cell r="K63">
            <v>15000</v>
          </cell>
          <cell r="L63">
            <v>15000</v>
          </cell>
          <cell r="M63">
            <v>7500.0000000000009</v>
          </cell>
          <cell r="N63">
            <v>15000.000000000002</v>
          </cell>
          <cell r="O63">
            <v>15000</v>
          </cell>
        </row>
        <row r="64">
          <cell r="B64">
            <v>61</v>
          </cell>
          <cell r="C64">
            <v>1113245.589210819</v>
          </cell>
          <cell r="D64">
            <v>58174.200000000019</v>
          </cell>
          <cell r="E64">
            <v>25855.200000000012</v>
          </cell>
          <cell r="F64">
            <v>38125</v>
          </cell>
          <cell r="G64">
            <v>38125</v>
          </cell>
          <cell r="H64">
            <v>38125</v>
          </cell>
          <cell r="I64">
            <v>38125</v>
          </cell>
          <cell r="J64">
            <v>38125</v>
          </cell>
          <cell r="K64">
            <v>15250</v>
          </cell>
          <cell r="L64">
            <v>15250</v>
          </cell>
          <cell r="M64">
            <v>7625</v>
          </cell>
          <cell r="N64">
            <v>15250</v>
          </cell>
          <cell r="O64">
            <v>15250</v>
          </cell>
        </row>
        <row r="65">
          <cell r="B65">
            <v>62</v>
          </cell>
          <cell r="C65">
            <v>1156338.5581555346</v>
          </cell>
          <cell r="D65">
            <v>59836.320000000014</v>
          </cell>
          <cell r="E65">
            <v>26593.920000000009</v>
          </cell>
          <cell r="F65">
            <v>38750</v>
          </cell>
          <cell r="G65">
            <v>38750</v>
          </cell>
          <cell r="H65">
            <v>38750</v>
          </cell>
          <cell r="I65">
            <v>38750</v>
          </cell>
          <cell r="J65">
            <v>38750</v>
          </cell>
          <cell r="K65">
            <v>15500</v>
          </cell>
          <cell r="L65">
            <v>15500</v>
          </cell>
          <cell r="M65">
            <v>7750.0000000000009</v>
          </cell>
          <cell r="N65">
            <v>15500.000000000002</v>
          </cell>
          <cell r="O65">
            <v>15500</v>
          </cell>
        </row>
        <row r="66">
          <cell r="B66">
            <v>63</v>
          </cell>
          <cell r="C66">
            <v>1199902.6492511141</v>
          </cell>
          <cell r="D66">
            <v>61498.440000000031</v>
          </cell>
          <cell r="E66">
            <v>27332.640000000014</v>
          </cell>
          <cell r="F66">
            <v>39375</v>
          </cell>
          <cell r="G66">
            <v>39375</v>
          </cell>
          <cell r="H66">
            <v>39375</v>
          </cell>
          <cell r="I66">
            <v>39375</v>
          </cell>
          <cell r="J66">
            <v>39375</v>
          </cell>
          <cell r="K66">
            <v>15750</v>
          </cell>
          <cell r="L66">
            <v>15750</v>
          </cell>
          <cell r="M66">
            <v>7875</v>
          </cell>
          <cell r="N66">
            <v>15750</v>
          </cell>
          <cell r="O66">
            <v>15750</v>
          </cell>
        </row>
        <row r="67">
          <cell r="B67">
            <v>64</v>
          </cell>
          <cell r="C67">
            <v>1243924.4243108754</v>
          </cell>
          <cell r="D67">
            <v>63160.560000000019</v>
          </cell>
          <cell r="E67">
            <v>28071.360000000019</v>
          </cell>
          <cell r="F67">
            <v>40000</v>
          </cell>
          <cell r="G67">
            <v>40000</v>
          </cell>
          <cell r="H67">
            <v>40000</v>
          </cell>
          <cell r="I67">
            <v>40000</v>
          </cell>
          <cell r="J67">
            <v>40000</v>
          </cell>
          <cell r="K67">
            <v>16000</v>
          </cell>
          <cell r="L67">
            <v>16000</v>
          </cell>
          <cell r="M67">
            <v>8000.0000000000018</v>
          </cell>
          <cell r="N67">
            <v>16000.000000000004</v>
          </cell>
          <cell r="O67">
            <v>16000</v>
          </cell>
        </row>
        <row r="68">
          <cell r="B68">
            <v>65</v>
          </cell>
          <cell r="C68">
            <v>1288390.416893197</v>
          </cell>
          <cell r="D68">
            <v>64822.680000000015</v>
          </cell>
          <cell r="E68">
            <v>28810.080000000013</v>
          </cell>
          <cell r="F68">
            <v>40625</v>
          </cell>
          <cell r="G68">
            <v>40625</v>
          </cell>
          <cell r="H68">
            <v>40625</v>
          </cell>
          <cell r="I68">
            <v>40625</v>
          </cell>
          <cell r="J68">
            <v>40625</v>
          </cell>
          <cell r="K68">
            <v>16250</v>
          </cell>
          <cell r="L68">
            <v>16250</v>
          </cell>
          <cell r="M68">
            <v>8125</v>
          </cell>
          <cell r="N68">
            <v>16250</v>
          </cell>
          <cell r="O68">
            <v>16250</v>
          </cell>
        </row>
        <row r="69">
          <cell r="B69">
            <v>66</v>
          </cell>
          <cell r="C69">
            <v>1333287.1394706951</v>
          </cell>
          <cell r="D69">
            <v>66484.800000000047</v>
          </cell>
          <cell r="E69">
            <v>29548.800000000021</v>
          </cell>
          <cell r="F69">
            <v>41250</v>
          </cell>
          <cell r="G69">
            <v>41250</v>
          </cell>
          <cell r="H69">
            <v>41250</v>
          </cell>
          <cell r="I69">
            <v>41250</v>
          </cell>
          <cell r="J69">
            <v>41250</v>
          </cell>
          <cell r="K69">
            <v>16500</v>
          </cell>
          <cell r="L69">
            <v>16500</v>
          </cell>
          <cell r="M69">
            <v>8250</v>
          </cell>
          <cell r="N69">
            <v>16500</v>
          </cell>
          <cell r="O69">
            <v>16500</v>
          </cell>
        </row>
        <row r="70">
          <cell r="B70">
            <v>67</v>
          </cell>
          <cell r="C70">
            <v>1378601.0905993942</v>
          </cell>
          <cell r="D70">
            <v>68146.920000000042</v>
          </cell>
          <cell r="E70">
            <v>30287.520000000022</v>
          </cell>
          <cell r="F70">
            <v>41875</v>
          </cell>
          <cell r="G70">
            <v>41875</v>
          </cell>
          <cell r="H70">
            <v>41875</v>
          </cell>
          <cell r="I70">
            <v>41875</v>
          </cell>
          <cell r="J70">
            <v>41875</v>
          </cell>
          <cell r="K70">
            <v>16750</v>
          </cell>
          <cell r="L70">
            <v>16750</v>
          </cell>
          <cell r="M70">
            <v>8375</v>
          </cell>
          <cell r="N70">
            <v>16750</v>
          </cell>
          <cell r="O70">
            <v>16750</v>
          </cell>
        </row>
        <row r="71">
          <cell r="B71">
            <v>68</v>
          </cell>
          <cell r="C71">
            <v>1424318.7620879104</v>
          </cell>
          <cell r="D71">
            <v>69809.040000000052</v>
          </cell>
          <cell r="E71">
            <v>31026.24000000002</v>
          </cell>
          <cell r="F71">
            <v>42500</v>
          </cell>
          <cell r="G71">
            <v>42500</v>
          </cell>
          <cell r="H71">
            <v>42500</v>
          </cell>
          <cell r="I71">
            <v>42500</v>
          </cell>
          <cell r="J71">
            <v>42500</v>
          </cell>
          <cell r="K71">
            <v>17000</v>
          </cell>
          <cell r="L71">
            <v>17000</v>
          </cell>
          <cell r="M71">
            <v>8500</v>
          </cell>
          <cell r="N71">
            <v>17000</v>
          </cell>
          <cell r="O71">
            <v>17000</v>
          </cell>
        </row>
        <row r="72">
          <cell r="B72">
            <v>69</v>
          </cell>
          <cell r="C72">
            <v>1470426.6461666226</v>
          </cell>
          <cell r="D72">
            <v>71471.160000000047</v>
          </cell>
          <cell r="E72">
            <v>31764.960000000025</v>
          </cell>
          <cell r="F72">
            <v>43125</v>
          </cell>
          <cell r="G72">
            <v>43125</v>
          </cell>
          <cell r="H72">
            <v>43125</v>
          </cell>
          <cell r="I72">
            <v>43125</v>
          </cell>
          <cell r="J72">
            <v>43125</v>
          </cell>
          <cell r="K72">
            <v>17250</v>
          </cell>
          <cell r="L72">
            <v>17250</v>
          </cell>
          <cell r="M72">
            <v>8625</v>
          </cell>
          <cell r="N72">
            <v>17250</v>
          </cell>
          <cell r="O72">
            <v>17250</v>
          </cell>
        </row>
        <row r="73">
          <cell r="B73">
            <v>70</v>
          </cell>
          <cell r="C73">
            <v>1522657.1185760058</v>
          </cell>
          <cell r="D73">
            <v>73410.300000000061</v>
          </cell>
          <cell r="E73">
            <v>32626.800000000028</v>
          </cell>
          <cell r="F73">
            <v>43750</v>
          </cell>
          <cell r="G73">
            <v>43750</v>
          </cell>
          <cell r="H73">
            <v>43750</v>
          </cell>
          <cell r="I73">
            <v>43750</v>
          </cell>
          <cell r="J73">
            <v>43750</v>
          </cell>
          <cell r="K73">
            <v>17500.000000000004</v>
          </cell>
          <cell r="L73">
            <v>17500.000000000004</v>
          </cell>
          <cell r="M73">
            <v>8750</v>
          </cell>
          <cell r="N73">
            <v>17500</v>
          </cell>
          <cell r="O73">
            <v>17500.000000000004</v>
          </cell>
        </row>
        <row r="74">
          <cell r="B74">
            <v>71</v>
          </cell>
          <cell r="C74">
            <v>1575342.4666299568</v>
          </cell>
          <cell r="D74">
            <v>75349.440000000046</v>
          </cell>
          <cell r="E74">
            <v>33488.640000000021</v>
          </cell>
          <cell r="F74">
            <v>44375</v>
          </cell>
          <cell r="G74">
            <v>44375</v>
          </cell>
          <cell r="H74">
            <v>44375</v>
          </cell>
          <cell r="I74">
            <v>44375</v>
          </cell>
          <cell r="J74">
            <v>44375</v>
          </cell>
          <cell r="K74">
            <v>17750</v>
          </cell>
          <cell r="L74">
            <v>17750</v>
          </cell>
          <cell r="M74">
            <v>8875</v>
          </cell>
          <cell r="N74">
            <v>17750</v>
          </cell>
          <cell r="O74">
            <v>17750</v>
          </cell>
        </row>
        <row r="75">
          <cell r="B75">
            <v>72</v>
          </cell>
          <cell r="C75">
            <v>1628467.0515304436</v>
          </cell>
          <cell r="D75">
            <v>77288.580000000045</v>
          </cell>
          <cell r="E75">
            <v>34350.480000000018</v>
          </cell>
          <cell r="F75">
            <v>45000</v>
          </cell>
          <cell r="G75">
            <v>45000</v>
          </cell>
          <cell r="H75">
            <v>45000</v>
          </cell>
          <cell r="I75">
            <v>45000</v>
          </cell>
          <cell r="J75">
            <v>45000</v>
          </cell>
          <cell r="K75">
            <v>18000.000000000004</v>
          </cell>
          <cell r="L75">
            <v>18000.000000000004</v>
          </cell>
          <cell r="M75">
            <v>9000</v>
          </cell>
          <cell r="N75">
            <v>18000</v>
          </cell>
          <cell r="O75">
            <v>18000.000000000004</v>
          </cell>
        </row>
        <row r="76">
          <cell r="B76">
            <v>73</v>
          </cell>
          <cell r="C76">
            <v>1682015.2581518283</v>
          </cell>
          <cell r="D76">
            <v>79227.72000000003</v>
          </cell>
          <cell r="E76">
            <v>35212.320000000022</v>
          </cell>
          <cell r="F76">
            <v>45625</v>
          </cell>
          <cell r="G76">
            <v>45625</v>
          </cell>
          <cell r="H76">
            <v>45625</v>
          </cell>
          <cell r="I76">
            <v>45625</v>
          </cell>
          <cell r="J76">
            <v>45625</v>
          </cell>
          <cell r="K76">
            <v>18250</v>
          </cell>
          <cell r="L76">
            <v>18250</v>
          </cell>
          <cell r="M76">
            <v>9125</v>
          </cell>
          <cell r="N76">
            <v>18250</v>
          </cell>
          <cell r="O76">
            <v>18250</v>
          </cell>
        </row>
        <row r="77">
          <cell r="B77">
            <v>74</v>
          </cell>
          <cell r="C77">
            <v>1735971.5034049053</v>
          </cell>
          <cell r="D77">
            <v>81166.860000000044</v>
          </cell>
          <cell r="E77">
            <v>36074.160000000018</v>
          </cell>
          <cell r="F77">
            <v>46250</v>
          </cell>
          <cell r="G77">
            <v>46250</v>
          </cell>
          <cell r="H77">
            <v>46250</v>
          </cell>
          <cell r="I77">
            <v>46250</v>
          </cell>
          <cell r="J77">
            <v>46250</v>
          </cell>
          <cell r="K77">
            <v>18500.000000000004</v>
          </cell>
          <cell r="L77">
            <v>18500.000000000004</v>
          </cell>
          <cell r="M77">
            <v>9250</v>
          </cell>
          <cell r="N77">
            <v>18500</v>
          </cell>
          <cell r="O77">
            <v>18500.000000000004</v>
          </cell>
        </row>
        <row r="78">
          <cell r="B78">
            <v>75</v>
          </cell>
          <cell r="C78">
            <v>1790320.2446009414</v>
          </cell>
          <cell r="D78">
            <v>83106.000000000058</v>
          </cell>
          <cell r="E78">
            <v>36936.000000000029</v>
          </cell>
          <cell r="F78">
            <v>46875</v>
          </cell>
          <cell r="G78">
            <v>46875</v>
          </cell>
          <cell r="H78">
            <v>46875</v>
          </cell>
          <cell r="I78">
            <v>46875</v>
          </cell>
          <cell r="J78">
            <v>46875</v>
          </cell>
          <cell r="K78">
            <v>18750</v>
          </cell>
          <cell r="L78">
            <v>18750</v>
          </cell>
          <cell r="M78">
            <v>9375</v>
          </cell>
          <cell r="N78">
            <v>18750</v>
          </cell>
          <cell r="O78">
            <v>18750</v>
          </cell>
        </row>
        <row r="79">
          <cell r="B79">
            <v>76</v>
          </cell>
          <cell r="C79">
            <v>1845045.987815713</v>
          </cell>
          <cell r="D79">
            <v>85045.140000000043</v>
          </cell>
          <cell r="E79">
            <v>37797.840000000018</v>
          </cell>
          <cell r="F79">
            <v>47500</v>
          </cell>
          <cell r="G79">
            <v>47500</v>
          </cell>
          <cell r="H79">
            <v>47500</v>
          </cell>
          <cell r="I79">
            <v>47500</v>
          </cell>
          <cell r="J79">
            <v>47500</v>
          </cell>
          <cell r="K79">
            <v>19000</v>
          </cell>
          <cell r="L79">
            <v>19000</v>
          </cell>
          <cell r="M79">
            <v>9500</v>
          </cell>
          <cell r="N79">
            <v>19000</v>
          </cell>
          <cell r="O79">
            <v>19000</v>
          </cell>
        </row>
        <row r="80">
          <cell r="B80">
            <v>77</v>
          </cell>
          <cell r="C80">
            <v>1900133.2962535466</v>
          </cell>
          <cell r="D80">
            <v>86984.280000000042</v>
          </cell>
          <cell r="E80">
            <v>38659.680000000015</v>
          </cell>
          <cell r="F80">
            <v>48125</v>
          </cell>
          <cell r="G80">
            <v>48125</v>
          </cell>
          <cell r="H80">
            <v>48125</v>
          </cell>
          <cell r="I80">
            <v>48125</v>
          </cell>
          <cell r="J80">
            <v>48125</v>
          </cell>
          <cell r="K80">
            <v>19250</v>
          </cell>
          <cell r="L80">
            <v>19250</v>
          </cell>
          <cell r="M80">
            <v>9625</v>
          </cell>
          <cell r="N80">
            <v>19250</v>
          </cell>
          <cell r="O80">
            <v>19250</v>
          </cell>
        </row>
        <row r="81">
          <cell r="B81">
            <v>78</v>
          </cell>
          <cell r="C81">
            <v>1955566.7986113571</v>
          </cell>
          <cell r="D81">
            <v>88923.420000000027</v>
          </cell>
          <cell r="E81">
            <v>39521.520000000011</v>
          </cell>
          <cell r="F81">
            <v>48750</v>
          </cell>
          <cell r="G81">
            <v>48750</v>
          </cell>
          <cell r="H81">
            <v>48750</v>
          </cell>
          <cell r="I81">
            <v>48750</v>
          </cell>
          <cell r="J81">
            <v>48750</v>
          </cell>
          <cell r="K81">
            <v>19500</v>
          </cell>
          <cell r="L81">
            <v>19500</v>
          </cell>
          <cell r="M81">
            <v>9750</v>
          </cell>
          <cell r="N81">
            <v>19500</v>
          </cell>
          <cell r="O81">
            <v>19500</v>
          </cell>
        </row>
        <row r="82">
          <cell r="B82">
            <v>79</v>
          </cell>
          <cell r="C82">
            <v>2011331.1974426862</v>
          </cell>
          <cell r="D82">
            <v>90862.560000000027</v>
          </cell>
          <cell r="E82">
            <v>40383.360000000015</v>
          </cell>
          <cell r="F82">
            <v>49375</v>
          </cell>
          <cell r="G82">
            <v>49375</v>
          </cell>
          <cell r="H82">
            <v>49375</v>
          </cell>
          <cell r="I82">
            <v>49375</v>
          </cell>
          <cell r="J82">
            <v>49375</v>
          </cell>
          <cell r="K82">
            <v>19750</v>
          </cell>
          <cell r="L82">
            <v>19750</v>
          </cell>
          <cell r="M82">
            <v>9875</v>
          </cell>
          <cell r="N82">
            <v>19750</v>
          </cell>
          <cell r="O82">
            <v>19750</v>
          </cell>
        </row>
        <row r="83">
          <cell r="B83">
            <v>80</v>
          </cell>
          <cell r="C83">
            <v>2073582.6544695653</v>
          </cell>
          <cell r="D83">
            <v>93078.720000000016</v>
          </cell>
          <cell r="E83">
            <v>41368.320000000007</v>
          </cell>
          <cell r="F83">
            <v>50000</v>
          </cell>
          <cell r="G83">
            <v>50000</v>
          </cell>
          <cell r="H83">
            <v>50000</v>
          </cell>
          <cell r="I83">
            <v>50000</v>
          </cell>
          <cell r="J83">
            <v>50000</v>
          </cell>
          <cell r="K83">
            <v>20000</v>
          </cell>
          <cell r="L83">
            <v>20000</v>
          </cell>
          <cell r="M83">
            <v>10000</v>
          </cell>
          <cell r="N83">
            <v>20000</v>
          </cell>
          <cell r="O83">
            <v>20000</v>
          </cell>
        </row>
        <row r="84">
          <cell r="B84">
            <v>81</v>
          </cell>
          <cell r="C84">
            <v>2136211.7499630288</v>
          </cell>
          <cell r="D84">
            <v>95294.880000000019</v>
          </cell>
          <cell r="E84">
            <v>42353.280000000013</v>
          </cell>
          <cell r="F84">
            <v>50625</v>
          </cell>
          <cell r="G84">
            <v>50625</v>
          </cell>
          <cell r="H84">
            <v>50625</v>
          </cell>
          <cell r="I84">
            <v>50625</v>
          </cell>
          <cell r="J84">
            <v>50625</v>
          </cell>
          <cell r="K84">
            <v>20250</v>
          </cell>
          <cell r="L84">
            <v>20250</v>
          </cell>
          <cell r="M84">
            <v>10125</v>
          </cell>
          <cell r="N84">
            <v>20250</v>
          </cell>
          <cell r="O84">
            <v>20250</v>
          </cell>
        </row>
        <row r="85">
          <cell r="B85">
            <v>82</v>
          </cell>
          <cell r="C85">
            <v>2199201.2744877017</v>
          </cell>
          <cell r="D85">
            <v>97511.040000000023</v>
          </cell>
          <cell r="E85">
            <v>43338.240000000005</v>
          </cell>
          <cell r="F85">
            <v>51250</v>
          </cell>
          <cell r="G85">
            <v>51250</v>
          </cell>
          <cell r="H85">
            <v>51250</v>
          </cell>
          <cell r="I85">
            <v>51249.999999999993</v>
          </cell>
          <cell r="J85">
            <v>51250</v>
          </cell>
          <cell r="K85">
            <v>20500</v>
          </cell>
          <cell r="L85">
            <v>20500</v>
          </cell>
          <cell r="M85">
            <v>10250</v>
          </cell>
          <cell r="N85">
            <v>20500</v>
          </cell>
          <cell r="O85">
            <v>20500</v>
          </cell>
        </row>
        <row r="86">
          <cell r="B86">
            <v>83</v>
          </cell>
          <cell r="C86">
            <v>2262534.1300538229</v>
          </cell>
          <cell r="D86">
            <v>99727.200000000012</v>
          </cell>
          <cell r="E86">
            <v>44323.200000000012</v>
          </cell>
          <cell r="F86">
            <v>51875</v>
          </cell>
          <cell r="G86">
            <v>51875</v>
          </cell>
          <cell r="H86">
            <v>51875</v>
          </cell>
          <cell r="I86">
            <v>51875.000000000007</v>
          </cell>
          <cell r="J86">
            <v>51875</v>
          </cell>
          <cell r="K86">
            <v>20750</v>
          </cell>
          <cell r="L86">
            <v>20750</v>
          </cell>
          <cell r="M86">
            <v>10375</v>
          </cell>
          <cell r="N86">
            <v>20750</v>
          </cell>
          <cell r="O86">
            <v>20750</v>
          </cell>
        </row>
        <row r="87">
          <cell r="B87">
            <v>84</v>
          </cell>
          <cell r="C87">
            <v>2326193.3396761417</v>
          </cell>
          <cell r="D87">
            <v>101943.36000000002</v>
          </cell>
          <cell r="E87">
            <v>45308.160000000011</v>
          </cell>
          <cell r="F87">
            <v>52500</v>
          </cell>
          <cell r="G87">
            <v>52500</v>
          </cell>
          <cell r="H87">
            <v>52500</v>
          </cell>
          <cell r="I87">
            <v>52500</v>
          </cell>
          <cell r="J87">
            <v>52500</v>
          </cell>
          <cell r="K87">
            <v>21000</v>
          </cell>
          <cell r="L87">
            <v>21000</v>
          </cell>
          <cell r="M87">
            <v>10500</v>
          </cell>
          <cell r="N87">
            <v>21000</v>
          </cell>
          <cell r="O87">
            <v>21000</v>
          </cell>
        </row>
        <row r="88">
          <cell r="B88">
            <v>85</v>
          </cell>
          <cell r="C88">
            <v>2390162.056932814</v>
          </cell>
          <cell r="D88">
            <v>104159.52</v>
          </cell>
          <cell r="E88">
            <v>46293.119999999995</v>
          </cell>
          <cell r="F88">
            <v>53125</v>
          </cell>
          <cell r="G88">
            <v>53125</v>
          </cell>
          <cell r="H88">
            <v>53125</v>
          </cell>
          <cell r="I88">
            <v>53125</v>
          </cell>
          <cell r="J88">
            <v>53125</v>
          </cell>
          <cell r="K88">
            <v>21250</v>
          </cell>
          <cell r="L88">
            <v>21250</v>
          </cell>
          <cell r="M88">
            <v>10625</v>
          </cell>
          <cell r="N88">
            <v>21250</v>
          </cell>
          <cell r="O88">
            <v>21250</v>
          </cell>
        </row>
        <row r="89">
          <cell r="B89">
            <v>86</v>
          </cell>
          <cell r="C89">
            <v>2454423.5755243152</v>
          </cell>
          <cell r="D89">
            <v>106375.68000000001</v>
          </cell>
          <cell r="E89">
            <v>47278.080000000002</v>
          </cell>
          <cell r="F89">
            <v>53750</v>
          </cell>
          <cell r="G89">
            <v>53750</v>
          </cell>
          <cell r="H89">
            <v>53750</v>
          </cell>
          <cell r="I89">
            <v>53750</v>
          </cell>
          <cell r="J89">
            <v>53750</v>
          </cell>
          <cell r="K89">
            <v>21500</v>
          </cell>
          <cell r="L89">
            <v>21500</v>
          </cell>
          <cell r="M89">
            <v>10750</v>
          </cell>
          <cell r="N89">
            <v>21500</v>
          </cell>
          <cell r="O89">
            <v>21500</v>
          </cell>
        </row>
        <row r="90">
          <cell r="B90">
            <v>87</v>
          </cell>
          <cell r="C90">
            <v>2518961.3388323309</v>
          </cell>
          <cell r="D90">
            <v>108591.83999999998</v>
          </cell>
          <cell r="E90">
            <v>48263.039999999986</v>
          </cell>
          <cell r="F90">
            <v>54375</v>
          </cell>
          <cell r="G90">
            <v>54375</v>
          </cell>
          <cell r="H90">
            <v>54375</v>
          </cell>
          <cell r="I90">
            <v>54374.999999999993</v>
          </cell>
          <cell r="J90">
            <v>54375</v>
          </cell>
          <cell r="K90">
            <v>21750</v>
          </cell>
          <cell r="L90">
            <v>21750</v>
          </cell>
          <cell r="M90">
            <v>10875</v>
          </cell>
          <cell r="N90">
            <v>21750</v>
          </cell>
          <cell r="O90">
            <v>21750</v>
          </cell>
        </row>
        <row r="91">
          <cell r="B91">
            <v>88</v>
          </cell>
          <cell r="C91">
            <v>2583758.9494786672</v>
          </cell>
          <cell r="D91">
            <v>110807.99999999997</v>
          </cell>
          <cell r="E91">
            <v>49247.999999999985</v>
          </cell>
          <cell r="F91">
            <v>55000</v>
          </cell>
          <cell r="G91">
            <v>55000</v>
          </cell>
          <cell r="H91">
            <v>55000</v>
          </cell>
          <cell r="I91">
            <v>55000.000000000007</v>
          </cell>
          <cell r="J91">
            <v>55000</v>
          </cell>
          <cell r="K91">
            <v>22000</v>
          </cell>
          <cell r="L91">
            <v>22000</v>
          </cell>
          <cell r="M91">
            <v>11000</v>
          </cell>
          <cell r="N91">
            <v>22000</v>
          </cell>
          <cell r="O91">
            <v>22000</v>
          </cell>
        </row>
        <row r="92">
          <cell r="B92">
            <v>89</v>
          </cell>
          <cell r="C92">
            <v>2648800.1788841435</v>
          </cell>
          <cell r="D92">
            <v>113024.15999999999</v>
          </cell>
          <cell r="E92">
            <v>50232.959999999985</v>
          </cell>
          <cell r="F92">
            <v>55625</v>
          </cell>
          <cell r="G92">
            <v>55625</v>
          </cell>
          <cell r="H92">
            <v>55625</v>
          </cell>
          <cell r="I92">
            <v>55625</v>
          </cell>
          <cell r="J92">
            <v>55625</v>
          </cell>
          <cell r="K92">
            <v>22250</v>
          </cell>
          <cell r="L92">
            <v>22250</v>
          </cell>
          <cell r="M92">
            <v>11125</v>
          </cell>
          <cell r="N92">
            <v>22250</v>
          </cell>
          <cell r="O92">
            <v>22250</v>
          </cell>
        </row>
        <row r="93">
          <cell r="B93">
            <v>90</v>
          </cell>
          <cell r="C93">
            <v>2714068.9768274995</v>
          </cell>
          <cell r="D93">
            <v>115240.31999999995</v>
          </cell>
          <cell r="E93">
            <v>51217.919999999976</v>
          </cell>
          <cell r="F93">
            <v>56250</v>
          </cell>
          <cell r="G93">
            <v>56250</v>
          </cell>
          <cell r="H93">
            <v>56250</v>
          </cell>
          <cell r="I93">
            <v>56250</v>
          </cell>
          <cell r="J93">
            <v>56250</v>
          </cell>
          <cell r="K93">
            <v>22500</v>
          </cell>
          <cell r="L93">
            <v>22500</v>
          </cell>
          <cell r="M93">
            <v>11250</v>
          </cell>
          <cell r="N93">
            <v>22500</v>
          </cell>
          <cell r="O93">
            <v>22500</v>
          </cell>
        </row>
        <row r="94">
          <cell r="B94">
            <v>91</v>
          </cell>
          <cell r="C94">
            <v>2779549.4810042954</v>
          </cell>
          <cell r="D94">
            <v>117456.47999999994</v>
          </cell>
          <cell r="E94">
            <v>52202.879999999976</v>
          </cell>
          <cell r="F94">
            <v>56875</v>
          </cell>
          <cell r="G94">
            <v>56875</v>
          </cell>
          <cell r="H94">
            <v>56875</v>
          </cell>
          <cell r="I94">
            <v>56875</v>
          </cell>
          <cell r="J94">
            <v>56875</v>
          </cell>
          <cell r="K94">
            <v>22750</v>
          </cell>
          <cell r="L94">
            <v>22750</v>
          </cell>
          <cell r="M94">
            <v>11375</v>
          </cell>
          <cell r="N94">
            <v>22750</v>
          </cell>
          <cell r="O94">
            <v>22750</v>
          </cell>
        </row>
        <row r="95">
          <cell r="B95">
            <v>92</v>
          </cell>
          <cell r="C95">
            <v>2845226.0265858159</v>
          </cell>
          <cell r="D95">
            <v>119672.63999999993</v>
          </cell>
          <cell r="E95">
            <v>53187.839999999982</v>
          </cell>
          <cell r="F95">
            <v>57500</v>
          </cell>
          <cell r="G95">
            <v>57500</v>
          </cell>
          <cell r="H95">
            <v>57500</v>
          </cell>
          <cell r="I95">
            <v>57499.999999999993</v>
          </cell>
          <cell r="J95">
            <v>57500</v>
          </cell>
          <cell r="K95">
            <v>23000</v>
          </cell>
          <cell r="L95">
            <v>23000</v>
          </cell>
          <cell r="M95">
            <v>11500</v>
          </cell>
          <cell r="N95">
            <v>23000</v>
          </cell>
          <cell r="O95">
            <v>23000</v>
          </cell>
        </row>
        <row r="96">
          <cell r="B96">
            <v>93</v>
          </cell>
          <cell r="C96">
            <v>2911083.1557779629</v>
          </cell>
          <cell r="D96">
            <v>121888.79999999994</v>
          </cell>
          <cell r="E96">
            <v>54172.799999999974</v>
          </cell>
          <cell r="F96">
            <v>58125</v>
          </cell>
          <cell r="G96">
            <v>58125</v>
          </cell>
          <cell r="H96">
            <v>58125</v>
          </cell>
          <cell r="I96">
            <v>58125.000000000007</v>
          </cell>
          <cell r="J96">
            <v>58125</v>
          </cell>
          <cell r="K96">
            <v>23250</v>
          </cell>
          <cell r="L96">
            <v>23250</v>
          </cell>
          <cell r="M96">
            <v>11625</v>
          </cell>
          <cell r="N96">
            <v>23250</v>
          </cell>
          <cell r="O96">
            <v>23250</v>
          </cell>
        </row>
        <row r="97">
          <cell r="B97">
            <v>94</v>
          </cell>
          <cell r="C97">
            <v>2977105.627380169</v>
          </cell>
          <cell r="D97">
            <v>124104.95999999993</v>
          </cell>
          <cell r="E97">
            <v>55157.759999999973</v>
          </cell>
          <cell r="F97">
            <v>58750</v>
          </cell>
          <cell r="G97">
            <v>58750</v>
          </cell>
          <cell r="H97">
            <v>58750</v>
          </cell>
          <cell r="I97">
            <v>58750</v>
          </cell>
          <cell r="J97">
            <v>58750</v>
          </cell>
          <cell r="K97">
            <v>23500</v>
          </cell>
          <cell r="L97">
            <v>23500</v>
          </cell>
          <cell r="M97">
            <v>11750</v>
          </cell>
          <cell r="N97">
            <v>23500</v>
          </cell>
          <cell r="O97">
            <v>23500</v>
          </cell>
        </row>
        <row r="98">
          <cell r="B98">
            <v>95</v>
          </cell>
          <cell r="C98">
            <v>3043278.4263442908</v>
          </cell>
          <cell r="D98">
            <v>126321.11999999992</v>
          </cell>
          <cell r="E98">
            <v>56142.719999999965</v>
          </cell>
          <cell r="F98">
            <v>59375</v>
          </cell>
          <cell r="G98">
            <v>59375</v>
          </cell>
          <cell r="H98">
            <v>59375</v>
          </cell>
          <cell r="I98">
            <v>59375</v>
          </cell>
          <cell r="J98">
            <v>59375</v>
          </cell>
          <cell r="K98">
            <v>23750</v>
          </cell>
          <cell r="L98">
            <v>23750</v>
          </cell>
          <cell r="M98">
            <v>11875</v>
          </cell>
          <cell r="N98">
            <v>23750</v>
          </cell>
          <cell r="O98">
            <v>23750</v>
          </cell>
        </row>
        <row r="99">
          <cell r="B99">
            <v>96</v>
          </cell>
          <cell r="C99">
            <v>3109586.773333509</v>
          </cell>
          <cell r="D99">
            <v>128537.27999999991</v>
          </cell>
          <cell r="E99">
            <v>57127.679999999957</v>
          </cell>
          <cell r="F99">
            <v>60000</v>
          </cell>
          <cell r="G99">
            <v>60000</v>
          </cell>
          <cell r="H99">
            <v>60000</v>
          </cell>
          <cell r="I99">
            <v>60000</v>
          </cell>
          <cell r="J99">
            <v>60000</v>
          </cell>
          <cell r="K99">
            <v>24000</v>
          </cell>
          <cell r="L99">
            <v>24000</v>
          </cell>
          <cell r="M99">
            <v>12000</v>
          </cell>
          <cell r="N99">
            <v>24000</v>
          </cell>
          <cell r="O99">
            <v>24000</v>
          </cell>
        </row>
        <row r="100">
          <cell r="B100">
            <v>97</v>
          </cell>
          <cell r="C100">
            <v>3176016.1342812413</v>
          </cell>
          <cell r="D100">
            <v>130753.43999999992</v>
          </cell>
          <cell r="E100">
            <v>58112.639999999963</v>
          </cell>
          <cell r="F100">
            <v>60625</v>
          </cell>
          <cell r="G100">
            <v>60625</v>
          </cell>
          <cell r="H100">
            <v>60625</v>
          </cell>
          <cell r="I100">
            <v>60624.999999999993</v>
          </cell>
          <cell r="J100">
            <v>60625</v>
          </cell>
          <cell r="K100">
            <v>24250</v>
          </cell>
          <cell r="L100">
            <v>24250</v>
          </cell>
          <cell r="M100">
            <v>12125</v>
          </cell>
          <cell r="N100">
            <v>24250</v>
          </cell>
          <cell r="O100">
            <v>24250</v>
          </cell>
        </row>
        <row r="101">
          <cell r="B101">
            <v>98</v>
          </cell>
          <cell r="C101">
            <v>3242552.229950028</v>
          </cell>
          <cell r="D101">
            <v>132969.59999999989</v>
          </cell>
          <cell r="E101">
            <v>59097.599999999948</v>
          </cell>
          <cell r="F101">
            <v>61250</v>
          </cell>
          <cell r="G101">
            <v>61250</v>
          </cell>
          <cell r="H101">
            <v>61250</v>
          </cell>
          <cell r="I101">
            <v>61250.000000000007</v>
          </cell>
          <cell r="J101">
            <v>61250</v>
          </cell>
          <cell r="K101">
            <v>24500</v>
          </cell>
          <cell r="L101">
            <v>24500</v>
          </cell>
          <cell r="M101">
            <v>12250</v>
          </cell>
          <cell r="N101">
            <v>24500</v>
          </cell>
          <cell r="O101">
            <v>24500</v>
          </cell>
        </row>
        <row r="102">
          <cell r="B102">
            <v>99</v>
          </cell>
          <cell r="C102">
            <v>3309181.0454904428</v>
          </cell>
          <cell r="D102">
            <v>135185.75999999989</v>
          </cell>
          <cell r="E102">
            <v>60082.559999999954</v>
          </cell>
          <cell r="F102">
            <v>61875</v>
          </cell>
          <cell r="G102">
            <v>61875</v>
          </cell>
          <cell r="H102">
            <v>61875</v>
          </cell>
          <cell r="I102">
            <v>61875</v>
          </cell>
          <cell r="J102">
            <v>61875</v>
          </cell>
          <cell r="K102">
            <v>24750</v>
          </cell>
          <cell r="L102">
            <v>24750</v>
          </cell>
          <cell r="M102">
            <v>12375</v>
          </cell>
          <cell r="N102">
            <v>24750</v>
          </cell>
          <cell r="O102">
            <v>24750</v>
          </cell>
        </row>
        <row r="103">
          <cell r="B103">
            <v>100</v>
          </cell>
          <cell r="C103">
            <v>3375888.8399999975</v>
          </cell>
          <cell r="D103">
            <v>137401.9199999999</v>
          </cell>
          <cell r="E103">
            <v>61067.519999999953</v>
          </cell>
          <cell r="F103">
            <v>62500</v>
          </cell>
          <cell r="G103">
            <v>62500</v>
          </cell>
          <cell r="H103">
            <v>62500</v>
          </cell>
          <cell r="I103">
            <v>62500</v>
          </cell>
          <cell r="J103">
            <v>62500</v>
          </cell>
          <cell r="K103">
            <v>25000</v>
          </cell>
          <cell r="L103">
            <v>25000</v>
          </cell>
          <cell r="M103">
            <v>12500</v>
          </cell>
          <cell r="N103">
            <v>25000</v>
          </cell>
          <cell r="O103">
            <v>25000</v>
          </cell>
        </row>
      </sheetData>
      <sheetData sheetId="7">
        <row r="2">
          <cell r="C2" t="str">
            <v>生命</v>
          </cell>
        </row>
        <row r="4">
          <cell r="B4" t="str">
            <v>100级数值投放比</v>
          </cell>
          <cell r="C4">
            <v>72</v>
          </cell>
          <cell r="D4">
            <v>1.6</v>
          </cell>
          <cell r="E4">
            <v>1</v>
          </cell>
          <cell r="F4">
            <v>0.8</v>
          </cell>
          <cell r="G4">
            <v>0.8</v>
          </cell>
          <cell r="H4">
            <v>0.8</v>
          </cell>
          <cell r="I4">
            <v>0.4</v>
          </cell>
          <cell r="J4">
            <v>0.8</v>
          </cell>
          <cell r="K4">
            <v>0.8</v>
          </cell>
        </row>
        <row r="5">
          <cell r="B5" t="str">
            <v>100级数值属性投放比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</row>
        <row r="6">
          <cell r="B6" t="str">
            <v>100级投放值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</row>
        <row r="10">
          <cell r="I10" t="str">
            <v xml:space="preserve"> </v>
          </cell>
        </row>
        <row r="11">
          <cell r="C11">
            <v>2</v>
          </cell>
        </row>
        <row r="12">
          <cell r="C12">
            <v>0.32477482097307919</v>
          </cell>
          <cell r="D12">
            <v>1.3264418285649903E-2</v>
          </cell>
          <cell r="E12">
            <v>1.3264418285649903E-2</v>
          </cell>
          <cell r="F12">
            <v>2</v>
          </cell>
          <cell r="G12">
            <v>2</v>
          </cell>
          <cell r="H12">
            <v>0.16610938359592531</v>
          </cell>
          <cell r="I12">
            <v>0.18064765064314731</v>
          </cell>
          <cell r="J12">
            <v>0.16610938359592531</v>
          </cell>
          <cell r="K12">
            <v>9.9665630157555168E-2</v>
          </cell>
          <cell r="L12">
            <v>9.9665630157555168E-2</v>
          </cell>
          <cell r="M12">
            <v>4.9010270855015817E-2</v>
          </cell>
          <cell r="N12">
            <v>5.5369794531975068E-2</v>
          </cell>
          <cell r="O12">
            <v>0.12458203769694393</v>
          </cell>
        </row>
        <row r="13">
          <cell r="C13">
            <v>24.484663705489183</v>
          </cell>
          <cell r="D13">
            <v>1</v>
          </cell>
          <cell r="E13">
            <v>1</v>
          </cell>
          <cell r="F13">
            <v>150.77932231402096</v>
          </cell>
          <cell r="G13">
            <v>150.77932231402096</v>
          </cell>
          <cell r="H13">
            <v>12.522930144296684</v>
          </cell>
          <cell r="I13">
            <v>13.618965170796882</v>
          </cell>
          <cell r="J13">
            <v>12.522930144296684</v>
          </cell>
          <cell r="K13">
            <v>7.5137580865780089</v>
          </cell>
          <cell r="L13">
            <v>7.5137580865780089</v>
          </cell>
          <cell r="M13">
            <v>3.6948677129729486</v>
          </cell>
          <cell r="N13">
            <v>4.1743100480988922</v>
          </cell>
          <cell r="O13">
            <v>9.3921976082225083</v>
          </cell>
        </row>
        <row r="14">
          <cell r="C14">
            <v>4.0841892379179845E-2</v>
          </cell>
          <cell r="D14">
            <v>1</v>
          </cell>
          <cell r="E14">
            <v>1</v>
          </cell>
          <cell r="F14">
            <v>6.6322091428249515E-3</v>
          </cell>
          <cell r="G14">
            <v>6.6322091428249515E-3</v>
          </cell>
          <cell r="H14">
            <v>7.9853515788829169E-2</v>
          </cell>
          <cell r="I14">
            <v>7.3427017945849354E-2</v>
          </cell>
          <cell r="J14">
            <v>7.9853515788829169E-2</v>
          </cell>
          <cell r="K14">
            <v>0.13308919298138197</v>
          </cell>
          <cell r="L14">
            <v>0.13308919298138197</v>
          </cell>
          <cell r="M14">
            <v>0.27064568414423268</v>
          </cell>
          <cell r="N14">
            <v>0.23956054736648763</v>
          </cell>
          <cell r="O14">
            <v>0.1064713543851056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B18" t="str">
            <v>系统名称</v>
          </cell>
          <cell r="C18" t="str">
            <v>生命权重</v>
          </cell>
          <cell r="D18" t="str">
            <v>攻击权重</v>
          </cell>
          <cell r="E18" t="str">
            <v>防御权重</v>
          </cell>
          <cell r="F18" t="str">
            <v>闪避权重</v>
          </cell>
          <cell r="G18" t="str">
            <v>命中权重</v>
          </cell>
          <cell r="H18" t="str">
            <v>暴击率权重</v>
          </cell>
          <cell r="I18" t="str">
            <v>暴击倍数权重</v>
          </cell>
          <cell r="J18" t="str">
            <v>韧性权重</v>
          </cell>
          <cell r="K18" t="str">
            <v>减伤百分比权重</v>
          </cell>
          <cell r="L18" t="str">
            <v>加伤百分比权重</v>
          </cell>
          <cell r="M18" t="str">
            <v>生命百分比</v>
          </cell>
          <cell r="N18" t="str">
            <v>攻击百分比</v>
          </cell>
          <cell r="O18" t="str">
            <v>防御百分比</v>
          </cell>
        </row>
        <row r="19">
          <cell r="B19" t="str">
            <v>龙魂</v>
          </cell>
          <cell r="C19">
            <v>1.2</v>
          </cell>
          <cell r="D19">
            <v>0.8</v>
          </cell>
          <cell r="E19">
            <v>1</v>
          </cell>
          <cell r="F19">
            <v>1</v>
          </cell>
          <cell r="G19">
            <v>1</v>
          </cell>
          <cell r="H19">
            <v>1.5</v>
          </cell>
          <cell r="I19">
            <v>1.6666666666666667</v>
          </cell>
          <cell r="J19">
            <v>1.5</v>
          </cell>
          <cell r="K19">
            <v>0.5</v>
          </cell>
          <cell r="L19">
            <v>0.5</v>
          </cell>
          <cell r="M19">
            <v>1</v>
          </cell>
          <cell r="N19">
            <v>0</v>
          </cell>
          <cell r="O19">
            <v>0</v>
          </cell>
        </row>
        <row r="20">
          <cell r="B20" t="str">
            <v>装备</v>
          </cell>
          <cell r="C20">
            <v>1</v>
          </cell>
          <cell r="D20">
            <v>1.2</v>
          </cell>
          <cell r="E20">
            <v>1.2</v>
          </cell>
          <cell r="F20">
            <v>1</v>
          </cell>
          <cell r="G20">
            <v>1</v>
          </cell>
          <cell r="H20">
            <v>1</v>
          </cell>
          <cell r="I20">
            <v>0</v>
          </cell>
          <cell r="J20">
            <v>1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B21" t="str">
            <v>命格</v>
          </cell>
          <cell r="C21">
            <v>1</v>
          </cell>
          <cell r="D21">
            <v>1</v>
          </cell>
          <cell r="E21">
            <v>1</v>
          </cell>
          <cell r="F21">
            <v>1.2</v>
          </cell>
          <cell r="G21">
            <v>1.2</v>
          </cell>
          <cell r="H21">
            <v>3</v>
          </cell>
          <cell r="I21">
            <v>3.3333333333333335</v>
          </cell>
          <cell r="J21">
            <v>3</v>
          </cell>
          <cell r="K21">
            <v>1.2</v>
          </cell>
          <cell r="L21">
            <v>1.2</v>
          </cell>
          <cell r="M21">
            <v>1</v>
          </cell>
          <cell r="N21">
            <v>1.3333333333333335</v>
          </cell>
          <cell r="O21">
            <v>3</v>
          </cell>
        </row>
        <row r="22">
          <cell r="B22" t="str">
            <v>称号</v>
          </cell>
          <cell r="C22">
            <v>1</v>
          </cell>
          <cell r="D22">
            <v>1</v>
          </cell>
          <cell r="E22">
            <v>1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B23" t="str">
            <v>时装</v>
          </cell>
          <cell r="C23">
            <v>1</v>
          </cell>
          <cell r="D23">
            <v>1</v>
          </cell>
          <cell r="E23">
            <v>1.2</v>
          </cell>
          <cell r="F23">
            <v>0</v>
          </cell>
          <cell r="G23">
            <v>1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O23">
            <v>0</v>
          </cell>
        </row>
        <row r="24">
          <cell r="B24" t="str">
            <v>祥云</v>
          </cell>
          <cell r="C24">
            <v>1.2</v>
          </cell>
          <cell r="D24">
            <v>0.8</v>
          </cell>
          <cell r="E24">
            <v>0.8</v>
          </cell>
          <cell r="F24">
            <v>0.7</v>
          </cell>
          <cell r="G24">
            <v>0.7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</v>
          </cell>
        </row>
        <row r="25">
          <cell r="B25" t="str">
            <v>翅膀</v>
          </cell>
          <cell r="C25">
            <v>0.8</v>
          </cell>
          <cell r="D25">
            <v>1.2</v>
          </cell>
          <cell r="E25">
            <v>0.8</v>
          </cell>
          <cell r="F25">
            <v>0.5</v>
          </cell>
          <cell r="G25">
            <v>0</v>
          </cell>
          <cell r="H25">
            <v>0.6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N25">
            <v>1</v>
          </cell>
        </row>
        <row r="26">
          <cell r="B26" t="str">
            <v>躶体</v>
          </cell>
          <cell r="C26">
            <v>1</v>
          </cell>
          <cell r="D26">
            <v>1</v>
          </cell>
          <cell r="E26">
            <v>1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B27" t="str">
            <v>马仔</v>
          </cell>
          <cell r="C27">
            <v>1</v>
          </cell>
          <cell r="D27">
            <v>1.2</v>
          </cell>
          <cell r="E27">
            <v>1.2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29">
          <cell r="B29" t="str">
            <v>积和运算</v>
          </cell>
          <cell r="C29" t="str">
            <v>总属性真实权重</v>
          </cell>
        </row>
        <row r="30">
          <cell r="C30">
            <v>52.900000000000006</v>
          </cell>
          <cell r="D30">
            <v>56.099999999999994</v>
          </cell>
          <cell r="E30">
            <v>57.699999999999996</v>
          </cell>
          <cell r="F30">
            <v>32</v>
          </cell>
          <cell r="G30">
            <v>32</v>
          </cell>
          <cell r="H30">
            <v>54</v>
          </cell>
          <cell r="I30">
            <v>46.666666666666671</v>
          </cell>
          <cell r="J30">
            <v>54</v>
          </cell>
          <cell r="K30">
            <v>16</v>
          </cell>
          <cell r="L30">
            <v>16</v>
          </cell>
          <cell r="M30">
            <v>18</v>
          </cell>
          <cell r="N30">
            <v>13.333333333333336</v>
          </cell>
          <cell r="O30">
            <v>30</v>
          </cell>
        </row>
        <row r="31">
          <cell r="B31" t="str">
            <v>系统名称</v>
          </cell>
          <cell r="C31" t="str">
            <v>生命权重</v>
          </cell>
          <cell r="D31" t="str">
            <v>攻击权重</v>
          </cell>
          <cell r="E31" t="str">
            <v>防御权重</v>
          </cell>
          <cell r="F31" t="str">
            <v>闪避权重</v>
          </cell>
          <cell r="G31" t="str">
            <v>命中权重</v>
          </cell>
          <cell r="H31" t="str">
            <v>暴击率权重</v>
          </cell>
          <cell r="I31" t="str">
            <v>暴击倍数权重</v>
          </cell>
          <cell r="J31" t="str">
            <v>韧性权重</v>
          </cell>
          <cell r="K31" t="str">
            <v>减伤权重</v>
          </cell>
          <cell r="L31" t="str">
            <v>伤害加深权重</v>
          </cell>
          <cell r="M31" t="str">
            <v>生命百分比</v>
          </cell>
          <cell r="N31" t="str">
            <v>攻击百分比</v>
          </cell>
          <cell r="O31" t="str">
            <v>防御百分比</v>
          </cell>
        </row>
        <row r="32">
          <cell r="B32" t="str">
            <v>龙魂</v>
          </cell>
          <cell r="C32">
            <v>0.18147448015122872</v>
          </cell>
          <cell r="D32">
            <v>0.11408199643493763</v>
          </cell>
          <cell r="E32">
            <v>0.13864818024263434</v>
          </cell>
          <cell r="F32">
            <v>0.25</v>
          </cell>
          <cell r="G32">
            <v>0.25</v>
          </cell>
          <cell r="H32">
            <v>0.22222222222222221</v>
          </cell>
          <cell r="I32">
            <v>0.2857142857142857</v>
          </cell>
          <cell r="J32">
            <v>0.22222222222222221</v>
          </cell>
          <cell r="K32">
            <v>0.25</v>
          </cell>
          <cell r="L32">
            <v>0.25</v>
          </cell>
          <cell r="M32">
            <v>0.44444444444444442</v>
          </cell>
          <cell r="N32">
            <v>0</v>
          </cell>
          <cell r="O32">
            <v>0</v>
          </cell>
        </row>
        <row r="33">
          <cell r="B33" t="str">
            <v>装备</v>
          </cell>
          <cell r="C33">
            <v>0.22684310018903589</v>
          </cell>
          <cell r="D33">
            <v>0.25668449197860965</v>
          </cell>
          <cell r="E33">
            <v>0.24956672443674177</v>
          </cell>
          <cell r="F33">
            <v>0.375</v>
          </cell>
          <cell r="G33">
            <v>0.375</v>
          </cell>
          <cell r="H33">
            <v>0.22222222222222221</v>
          </cell>
          <cell r="I33">
            <v>0</v>
          </cell>
          <cell r="J33">
            <v>0.22222222222222221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</row>
        <row r="34">
          <cell r="B34" t="str">
            <v>命格</v>
          </cell>
          <cell r="C34">
            <v>0.18903591682419657</v>
          </cell>
          <cell r="D34">
            <v>0.17825311942959005</v>
          </cell>
          <cell r="E34">
            <v>0.1733102253032929</v>
          </cell>
          <cell r="F34">
            <v>0.375</v>
          </cell>
          <cell r="G34">
            <v>0.375</v>
          </cell>
          <cell r="H34">
            <v>0.55555555555555558</v>
          </cell>
          <cell r="I34">
            <v>0.7142857142857143</v>
          </cell>
          <cell r="J34">
            <v>0.55555555555555558</v>
          </cell>
          <cell r="K34">
            <v>0.75</v>
          </cell>
          <cell r="L34">
            <v>0.75</v>
          </cell>
          <cell r="M34">
            <v>0.55555555555555558</v>
          </cell>
          <cell r="N34">
            <v>1</v>
          </cell>
          <cell r="O34">
            <v>1</v>
          </cell>
        </row>
        <row r="35">
          <cell r="B35" t="str">
            <v>称号</v>
          </cell>
          <cell r="C35">
            <v>5.6710775047258974E-3</v>
          </cell>
          <cell r="D35">
            <v>5.3475935828877011E-3</v>
          </cell>
          <cell r="E35">
            <v>5.1993067590987872E-3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B36" t="str">
            <v>时装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B37" t="str">
            <v>祥云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B38" t="str">
            <v>翅膀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B39" t="str">
            <v>躶体</v>
          </cell>
          <cell r="C39">
            <v>1.8903591682419656E-2</v>
          </cell>
          <cell r="D39">
            <v>1.7825311942959002E-2</v>
          </cell>
          <cell r="E39">
            <v>1.7331022530329292E-2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B40" t="str">
            <v>马仔</v>
          </cell>
          <cell r="C40">
            <v>0.37807183364839314</v>
          </cell>
          <cell r="D40">
            <v>0.42780748663101609</v>
          </cell>
          <cell r="E40">
            <v>0.41594454072790299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2">
          <cell r="B42" t="str">
            <v>系统总属性总占比</v>
          </cell>
        </row>
        <row r="43">
          <cell r="B43">
            <v>1</v>
          </cell>
          <cell r="C43">
            <v>2</v>
          </cell>
          <cell r="D43">
            <v>3</v>
          </cell>
          <cell r="E43">
            <v>4</v>
          </cell>
          <cell r="F43">
            <v>5</v>
          </cell>
          <cell r="G43">
            <v>6</v>
          </cell>
          <cell r="H43">
            <v>7</v>
          </cell>
          <cell r="I43">
            <v>8</v>
          </cell>
          <cell r="J43">
            <v>9</v>
          </cell>
          <cell r="K43">
            <v>10</v>
          </cell>
          <cell r="L43">
            <v>11</v>
          </cell>
          <cell r="M43">
            <v>12</v>
          </cell>
          <cell r="N43">
            <v>13</v>
          </cell>
          <cell r="O43">
            <v>14</v>
          </cell>
        </row>
        <row r="44">
          <cell r="B44" t="str">
            <v>系统名称</v>
          </cell>
          <cell r="C44" t="str">
            <v>生命权重</v>
          </cell>
          <cell r="D44" t="str">
            <v>攻击权重</v>
          </cell>
          <cell r="E44" t="str">
            <v>防御权重</v>
          </cell>
          <cell r="F44" t="str">
            <v>闪避权重</v>
          </cell>
          <cell r="G44" t="str">
            <v>命中权重</v>
          </cell>
          <cell r="H44" t="str">
            <v>暴击率权重</v>
          </cell>
          <cell r="I44" t="str">
            <v>暴击倍数权重</v>
          </cell>
          <cell r="J44" t="str">
            <v>韧性权重</v>
          </cell>
          <cell r="K44" t="str">
            <v>减伤权重</v>
          </cell>
          <cell r="L44" t="str">
            <v>伤害加深权重</v>
          </cell>
          <cell r="M44" t="str">
            <v>生命百分比</v>
          </cell>
          <cell r="N44" t="str">
            <v>攻击百分比</v>
          </cell>
          <cell r="O44" t="str">
            <v>防御百分比</v>
          </cell>
        </row>
        <row r="45">
          <cell r="B45" t="str">
            <v>龙魂</v>
          </cell>
          <cell r="C45">
            <v>0.18147448015122875</v>
          </cell>
          <cell r="D45">
            <v>0.11408199643493763</v>
          </cell>
          <cell r="E45">
            <v>0.13864818024263434</v>
          </cell>
          <cell r="F45">
            <v>0.25</v>
          </cell>
          <cell r="G45">
            <v>0.25</v>
          </cell>
          <cell r="H45">
            <v>0.22222222222222221</v>
          </cell>
          <cell r="I45">
            <v>0.2857142857142857</v>
          </cell>
          <cell r="J45">
            <v>0.22222222222222221</v>
          </cell>
          <cell r="K45">
            <v>0.25</v>
          </cell>
          <cell r="L45">
            <v>0.25</v>
          </cell>
          <cell r="M45">
            <v>0.44444444444444442</v>
          </cell>
          <cell r="N45">
            <v>0</v>
          </cell>
          <cell r="O45">
            <v>0</v>
          </cell>
        </row>
        <row r="46">
          <cell r="B46" t="str">
            <v>装备</v>
          </cell>
          <cell r="C46">
            <v>0.22684310018903592</v>
          </cell>
          <cell r="D46">
            <v>0.25668449197860965</v>
          </cell>
          <cell r="E46">
            <v>0.24956672443674177</v>
          </cell>
          <cell r="F46">
            <v>0.375</v>
          </cell>
          <cell r="G46">
            <v>0.375</v>
          </cell>
          <cell r="H46">
            <v>0.22222222222222221</v>
          </cell>
          <cell r="I46">
            <v>0</v>
          </cell>
          <cell r="J46">
            <v>0.22222222222222221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B47" t="str">
            <v>命格</v>
          </cell>
          <cell r="C47">
            <v>0.1890359168241966</v>
          </cell>
          <cell r="D47">
            <v>0.17825311942959005</v>
          </cell>
          <cell r="E47">
            <v>0.1733102253032929</v>
          </cell>
          <cell r="F47">
            <v>0.375</v>
          </cell>
          <cell r="G47">
            <v>0.375</v>
          </cell>
          <cell r="H47">
            <v>0.55555555555555558</v>
          </cell>
          <cell r="I47">
            <v>0.5</v>
          </cell>
          <cell r="J47">
            <v>0.55555555555555558</v>
          </cell>
          <cell r="K47">
            <v>0.5</v>
          </cell>
          <cell r="L47">
            <v>0.5</v>
          </cell>
          <cell r="M47">
            <v>0.55555555555555558</v>
          </cell>
          <cell r="N47">
            <v>0.4</v>
          </cell>
          <cell r="O47">
            <v>0.6</v>
          </cell>
        </row>
        <row r="48">
          <cell r="B48" t="str">
            <v>称号</v>
          </cell>
          <cell r="C48">
            <v>5.6710775047258983E-3</v>
          </cell>
          <cell r="D48">
            <v>5.3475935828877011E-3</v>
          </cell>
          <cell r="E48">
            <v>5.1993067590987872E-3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B49" t="str">
            <v>时装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B50" t="str">
            <v>祥云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B51" t="str">
            <v>翅膀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B52" t="str">
            <v>躶体</v>
          </cell>
          <cell r="C52">
            <v>1.890359168241966E-2</v>
          </cell>
          <cell r="D52">
            <v>1.7825311942959002E-2</v>
          </cell>
          <cell r="E52">
            <v>1.7331022530329292E-2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B53" t="str">
            <v>马仔</v>
          </cell>
          <cell r="C53">
            <v>0.3780718336483932</v>
          </cell>
          <cell r="D53">
            <v>0.42780748663101609</v>
          </cell>
          <cell r="E53">
            <v>0.41594454072790299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  <row r="56">
          <cell r="B56">
            <v>1</v>
          </cell>
          <cell r="C56">
            <v>2</v>
          </cell>
          <cell r="D56">
            <v>3</v>
          </cell>
          <cell r="E56">
            <v>4</v>
          </cell>
          <cell r="F56">
            <v>5</v>
          </cell>
          <cell r="G56">
            <v>6</v>
          </cell>
          <cell r="H56">
            <v>7</v>
          </cell>
          <cell r="I56">
            <v>8</v>
          </cell>
          <cell r="J56">
            <v>9</v>
          </cell>
          <cell r="K56">
            <v>10</v>
          </cell>
          <cell r="L56">
            <v>11</v>
          </cell>
          <cell r="M56">
            <v>12</v>
          </cell>
          <cell r="N56">
            <v>13</v>
          </cell>
          <cell r="O56">
            <v>14</v>
          </cell>
        </row>
        <row r="57">
          <cell r="B57" t="str">
            <v>系统名称</v>
          </cell>
          <cell r="C57" t="str">
            <v>生命权重</v>
          </cell>
          <cell r="D57" t="str">
            <v>攻击权重</v>
          </cell>
          <cell r="E57" t="str">
            <v>防御权重</v>
          </cell>
          <cell r="F57" t="str">
            <v>闪避权重</v>
          </cell>
          <cell r="G57" t="str">
            <v>命中权重</v>
          </cell>
          <cell r="H57" t="str">
            <v>暴击率权重</v>
          </cell>
          <cell r="I57" t="str">
            <v>暴击倍数权重</v>
          </cell>
          <cell r="J57" t="str">
            <v>韧性权重</v>
          </cell>
          <cell r="K57" t="str">
            <v>减伤权重</v>
          </cell>
          <cell r="L57" t="str">
            <v>伤害加深权重</v>
          </cell>
          <cell r="M57" t="str">
            <v>生命百分比</v>
          </cell>
          <cell r="N57" t="str">
            <v>攻击百分比</v>
          </cell>
          <cell r="O57" t="str">
            <v>防御百分比</v>
          </cell>
        </row>
        <row r="58">
          <cell r="B58" t="str">
            <v>龙魂</v>
          </cell>
          <cell r="C58">
            <v>0.1658</v>
          </cell>
          <cell r="D58">
            <v>0.1031</v>
          </cell>
          <cell r="E58">
            <v>0.12559999999999999</v>
          </cell>
          <cell r="F58">
            <v>0.20250000000000001</v>
          </cell>
          <cell r="G58">
            <v>0.25</v>
          </cell>
          <cell r="H58">
            <v>0.2034</v>
          </cell>
          <cell r="I58">
            <v>0.2</v>
          </cell>
          <cell r="J58">
            <v>0.2034</v>
          </cell>
          <cell r="K58">
            <v>0.16669999999999999</v>
          </cell>
          <cell r="L58">
            <v>0.16669999999999999</v>
          </cell>
          <cell r="M58">
            <v>0</v>
          </cell>
          <cell r="N58">
            <v>0</v>
          </cell>
          <cell r="O58">
            <v>0</v>
          </cell>
        </row>
        <row r="59">
          <cell r="B59" t="str">
            <v>装备</v>
          </cell>
          <cell r="C59">
            <v>0.20730000000000001</v>
          </cell>
          <cell r="D59">
            <v>0.2319</v>
          </cell>
          <cell r="E59">
            <v>0.2261</v>
          </cell>
          <cell r="F59">
            <v>0.30380000000000001</v>
          </cell>
          <cell r="G59">
            <v>0.375</v>
          </cell>
          <cell r="H59">
            <v>0.2034</v>
          </cell>
          <cell r="I59">
            <v>0</v>
          </cell>
          <cell r="J59">
            <v>0.2034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</row>
        <row r="60">
          <cell r="B60" t="str">
            <v>命格</v>
          </cell>
          <cell r="C60">
            <v>0.17269999999999999</v>
          </cell>
          <cell r="D60">
            <v>0.161</v>
          </cell>
          <cell r="E60">
            <v>0.157</v>
          </cell>
          <cell r="F60">
            <v>0.30380000000000001</v>
          </cell>
          <cell r="G60">
            <v>0.375</v>
          </cell>
          <cell r="H60">
            <v>0.50849999999999995</v>
          </cell>
          <cell r="I60">
            <v>0.5</v>
          </cell>
          <cell r="J60">
            <v>0.50849999999999995</v>
          </cell>
          <cell r="K60">
            <v>0.5</v>
          </cell>
          <cell r="L60">
            <v>0.5</v>
          </cell>
          <cell r="M60">
            <v>0</v>
          </cell>
          <cell r="N60">
            <v>0.4</v>
          </cell>
          <cell r="O60">
            <v>0.6</v>
          </cell>
        </row>
        <row r="61">
          <cell r="B61" t="str">
            <v>称号</v>
          </cell>
          <cell r="C61">
            <v>5.1999999999999998E-3</v>
          </cell>
          <cell r="D61">
            <v>4.7999999999999996E-3</v>
          </cell>
          <cell r="E61">
            <v>4.7000000000000002E-3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</row>
        <row r="62">
          <cell r="B62" t="str">
            <v>时装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</row>
        <row r="63">
          <cell r="B63" t="str">
            <v>祥云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</row>
        <row r="64">
          <cell r="B64" t="str">
            <v>翅膀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</row>
        <row r="65">
          <cell r="B65" t="str">
            <v>躶体</v>
          </cell>
          <cell r="C65">
            <v>1.7299999999999999E-2</v>
          </cell>
          <cell r="D65">
            <v>1.61E-2</v>
          </cell>
          <cell r="E65">
            <v>1.5699999999999999E-2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B66" t="str">
            <v>马仔</v>
          </cell>
          <cell r="C66">
            <v>0.43180000000000002</v>
          </cell>
          <cell r="D66">
            <v>0.48309999999999997</v>
          </cell>
          <cell r="E66">
            <v>0.47099999999999997</v>
          </cell>
          <cell r="F66">
            <v>0.18990000000000001</v>
          </cell>
          <cell r="G66">
            <v>0</v>
          </cell>
          <cell r="H66">
            <v>8.4699999999999998E-2</v>
          </cell>
          <cell r="I66">
            <v>0.3</v>
          </cell>
          <cell r="J66">
            <v>8.4699999999999998E-2</v>
          </cell>
          <cell r="K66">
            <v>0.33329999999999999</v>
          </cell>
          <cell r="L66">
            <v>0.33329999999999999</v>
          </cell>
          <cell r="M66">
            <v>1</v>
          </cell>
          <cell r="N66">
            <v>0.6</v>
          </cell>
          <cell r="O66">
            <v>0.4</v>
          </cell>
        </row>
      </sheetData>
      <sheetData sheetId="8" refreshError="1"/>
      <sheetData sheetId="9">
        <row r="4">
          <cell r="D4" t="str">
            <v>45级紫装</v>
          </cell>
          <cell r="E4" t="str">
            <v>45级橙装</v>
          </cell>
        </row>
        <row r="5">
          <cell r="D5" t="str">
            <v>60级紫装</v>
          </cell>
          <cell r="E5" t="str">
            <v>60级橙装</v>
          </cell>
          <cell r="F5" t="str">
            <v>60级红装</v>
          </cell>
        </row>
        <row r="6">
          <cell r="D6" t="str">
            <v>70级紫装</v>
          </cell>
          <cell r="E6" t="str">
            <v>70级橙装</v>
          </cell>
          <cell r="F6" t="str">
            <v>70级红装</v>
          </cell>
        </row>
        <row r="7">
          <cell r="E7" t="str">
            <v>80级橙装</v>
          </cell>
          <cell r="F7" t="str">
            <v>80级红装</v>
          </cell>
        </row>
        <row r="8">
          <cell r="F8" t="str">
            <v>装备总套数</v>
          </cell>
        </row>
        <row r="10">
          <cell r="B10">
            <v>15</v>
          </cell>
          <cell r="D10" t="str">
            <v>一、</v>
          </cell>
          <cell r="E10" t="str">
            <v>升星</v>
          </cell>
          <cell r="F10">
            <v>5</v>
          </cell>
        </row>
        <row r="11">
          <cell r="B11">
            <v>12</v>
          </cell>
          <cell r="E11" t="str">
            <v>强化</v>
          </cell>
          <cell r="F11">
            <v>12</v>
          </cell>
        </row>
        <row r="12">
          <cell r="B12">
            <v>10</v>
          </cell>
          <cell r="E12" t="str">
            <v>装备</v>
          </cell>
          <cell r="F12">
            <v>1</v>
          </cell>
        </row>
        <row r="13">
          <cell r="B13">
            <v>100</v>
          </cell>
        </row>
        <row r="14">
          <cell r="B14">
            <v>6</v>
          </cell>
        </row>
        <row r="15">
          <cell r="B15" t="str">
            <v>装备</v>
          </cell>
        </row>
        <row r="16">
          <cell r="B16">
            <v>0.1</v>
          </cell>
        </row>
        <row r="18">
          <cell r="C18" t="str">
            <v>装备等级</v>
          </cell>
          <cell r="D18" t="str">
            <v>权重</v>
          </cell>
          <cell r="E18" t="str">
            <v>属性权重</v>
          </cell>
          <cell r="F18" t="str">
            <v>百分比</v>
          </cell>
        </row>
        <row r="19">
          <cell r="C19">
            <v>1</v>
          </cell>
          <cell r="D19">
            <v>0</v>
          </cell>
          <cell r="E19">
            <v>0</v>
          </cell>
          <cell r="F19">
            <v>0</v>
          </cell>
        </row>
        <row r="20">
          <cell r="C20">
            <v>5</v>
          </cell>
          <cell r="D20">
            <v>5</v>
          </cell>
          <cell r="E20">
            <v>0.60000000000000009</v>
          </cell>
          <cell r="F20">
            <v>0.05</v>
          </cell>
        </row>
        <row r="21">
          <cell r="C21">
            <v>15</v>
          </cell>
          <cell r="D21">
            <v>10</v>
          </cell>
          <cell r="E21">
            <v>1.2000000000000002</v>
          </cell>
          <cell r="F21">
            <v>0.1</v>
          </cell>
        </row>
        <row r="22">
          <cell r="C22">
            <v>30</v>
          </cell>
          <cell r="D22">
            <v>20</v>
          </cell>
          <cell r="E22">
            <v>2</v>
          </cell>
          <cell r="F22">
            <v>0.2</v>
          </cell>
        </row>
        <row r="23">
          <cell r="C23">
            <v>45</v>
          </cell>
          <cell r="D23">
            <v>40</v>
          </cell>
          <cell r="E23">
            <v>4</v>
          </cell>
          <cell r="F23">
            <v>0.4</v>
          </cell>
        </row>
        <row r="24">
          <cell r="C24">
            <v>60</v>
          </cell>
          <cell r="D24">
            <v>60</v>
          </cell>
          <cell r="E24">
            <v>6</v>
          </cell>
          <cell r="F24">
            <v>0.6</v>
          </cell>
        </row>
        <row r="25">
          <cell r="C25">
            <v>70</v>
          </cell>
          <cell r="D25">
            <v>80</v>
          </cell>
          <cell r="E25">
            <v>9</v>
          </cell>
          <cell r="F25">
            <v>0.8</v>
          </cell>
        </row>
        <row r="26">
          <cell r="C26">
            <v>80</v>
          </cell>
          <cell r="D26">
            <v>100</v>
          </cell>
          <cell r="E26">
            <v>12</v>
          </cell>
          <cell r="F26">
            <v>1</v>
          </cell>
        </row>
        <row r="27">
          <cell r="C27">
            <v>90</v>
          </cell>
          <cell r="D27">
            <v>100</v>
          </cell>
          <cell r="E27">
            <v>12</v>
          </cell>
          <cell r="F27">
            <v>1</v>
          </cell>
        </row>
        <row r="28">
          <cell r="C28">
            <v>100</v>
          </cell>
          <cell r="D28">
            <v>100</v>
          </cell>
          <cell r="E28">
            <v>12</v>
          </cell>
          <cell r="F28">
            <v>1</v>
          </cell>
        </row>
        <row r="34">
          <cell r="K34">
            <v>0.12</v>
          </cell>
          <cell r="L34">
            <v>0.18000000000000002</v>
          </cell>
          <cell r="M34">
            <v>0.26</v>
          </cell>
          <cell r="N34">
            <v>0.34</v>
          </cell>
          <cell r="O34">
            <v>0.4</v>
          </cell>
        </row>
        <row r="49">
          <cell r="D49" t="str">
            <v>装备总属性推导</v>
          </cell>
        </row>
        <row r="50">
          <cell r="C50" t="str">
            <v>装备属性（含附加属性）</v>
          </cell>
          <cell r="D50" t="str">
            <v>搜索值</v>
          </cell>
          <cell r="E50" t="str">
            <v>装备等级</v>
          </cell>
          <cell r="F50" t="str">
            <v>品质</v>
          </cell>
        </row>
        <row r="51">
          <cell r="D51" t="str">
            <v>50</v>
          </cell>
          <cell r="E51">
            <v>5</v>
          </cell>
          <cell r="F51">
            <v>0</v>
          </cell>
          <cell r="G51">
            <v>0.01</v>
          </cell>
          <cell r="H51">
            <v>391.98159819840561</v>
          </cell>
          <cell r="I51">
            <v>19.90988663101605</v>
          </cell>
          <cell r="J51">
            <v>8.6034634315424618</v>
          </cell>
          <cell r="K51">
            <v>15.625</v>
          </cell>
          <cell r="L51">
            <v>15.625</v>
          </cell>
          <cell r="M51">
            <v>9.2592592592592595</v>
          </cell>
          <cell r="N51">
            <v>0</v>
          </cell>
          <cell r="O51">
            <v>9.2592592592592595</v>
          </cell>
        </row>
        <row r="52">
          <cell r="D52" t="str">
            <v>51</v>
          </cell>
          <cell r="E52">
            <v>5</v>
          </cell>
          <cell r="F52">
            <v>1</v>
          </cell>
          <cell r="G52">
            <v>1.4999999999999999E-2</v>
          </cell>
          <cell r="H52">
            <v>587.97239729760838</v>
          </cell>
          <cell r="I52">
            <v>29.864829946524072</v>
          </cell>
          <cell r="J52">
            <v>12.905195147313693</v>
          </cell>
          <cell r="K52">
            <v>23.4375</v>
          </cell>
          <cell r="L52">
            <v>23.4375</v>
          </cell>
          <cell r="M52">
            <v>13.888888888888888</v>
          </cell>
          <cell r="N52">
            <v>0</v>
          </cell>
          <cell r="O52">
            <v>13.888888888888888</v>
          </cell>
        </row>
        <row r="53">
          <cell r="D53" t="str">
            <v>151</v>
          </cell>
          <cell r="E53">
            <v>15</v>
          </cell>
          <cell r="F53">
            <v>1</v>
          </cell>
          <cell r="G53">
            <v>0.03</v>
          </cell>
          <cell r="H53">
            <v>1175.9447945952168</v>
          </cell>
          <cell r="I53">
            <v>59.729659893048144</v>
          </cell>
          <cell r="J53">
            <v>25.810390294627386</v>
          </cell>
          <cell r="K53">
            <v>46.875</v>
          </cell>
          <cell r="L53">
            <v>46.875</v>
          </cell>
          <cell r="M53">
            <v>27.777777777777775</v>
          </cell>
          <cell r="N53">
            <v>0</v>
          </cell>
          <cell r="O53">
            <v>27.777777777777775</v>
          </cell>
        </row>
        <row r="54">
          <cell r="D54" t="str">
            <v>152</v>
          </cell>
          <cell r="E54">
            <v>15</v>
          </cell>
          <cell r="F54">
            <v>2</v>
          </cell>
          <cell r="G54">
            <v>4.3333333333333335E-2</v>
          </cell>
          <cell r="H54">
            <v>1698.5869255264242</v>
          </cell>
          <cell r="I54">
            <v>86.276175401069551</v>
          </cell>
          <cell r="J54">
            <v>37.281674870017333</v>
          </cell>
          <cell r="K54">
            <v>67.708333333333329</v>
          </cell>
          <cell r="L54">
            <v>67.708333333333329</v>
          </cell>
          <cell r="M54">
            <v>40.123456790123463</v>
          </cell>
          <cell r="N54">
            <v>0</v>
          </cell>
          <cell r="O54">
            <v>40.123456790123463</v>
          </cell>
        </row>
        <row r="55">
          <cell r="D55" t="str">
            <v>153</v>
          </cell>
          <cell r="E55">
            <v>15</v>
          </cell>
          <cell r="F55">
            <v>3</v>
          </cell>
          <cell r="G55">
            <v>5.6666666666666664E-2</v>
          </cell>
          <cell r="H55">
            <v>2221.2290564576315</v>
          </cell>
          <cell r="I55">
            <v>112.82269090909095</v>
          </cell>
          <cell r="J55">
            <v>48.752959445407278</v>
          </cell>
          <cell r="K55">
            <v>88.541666666666671</v>
          </cell>
          <cell r="L55">
            <v>88.541666666666671</v>
          </cell>
          <cell r="M55">
            <v>52.469135802469133</v>
          </cell>
          <cell r="N55">
            <v>0</v>
          </cell>
          <cell r="O55">
            <v>52.469135802469133</v>
          </cell>
        </row>
        <row r="56">
          <cell r="D56" t="str">
            <v>154</v>
          </cell>
          <cell r="E56">
            <v>15</v>
          </cell>
          <cell r="F56">
            <v>4</v>
          </cell>
          <cell r="G56">
            <v>6.6666666666666666E-2</v>
          </cell>
          <cell r="H56">
            <v>2613.2106546560367</v>
          </cell>
          <cell r="I56">
            <v>132.73257754010697</v>
          </cell>
          <cell r="J56">
            <v>57.35642287694975</v>
          </cell>
          <cell r="K56">
            <v>104.16666666666667</v>
          </cell>
          <cell r="L56">
            <v>104.16666666666667</v>
          </cell>
          <cell r="M56">
            <v>61.728395061728399</v>
          </cell>
          <cell r="N56">
            <v>0</v>
          </cell>
          <cell r="O56">
            <v>61.728395061728399</v>
          </cell>
        </row>
        <row r="57">
          <cell r="D57" t="str">
            <v>301</v>
          </cell>
          <cell r="E57">
            <v>30</v>
          </cell>
          <cell r="F57">
            <v>1</v>
          </cell>
          <cell r="G57">
            <v>0.06</v>
          </cell>
          <cell r="H57">
            <v>2351.8895891904335</v>
          </cell>
          <cell r="I57">
            <v>119.45931978609629</v>
          </cell>
          <cell r="J57">
            <v>51.620780589254771</v>
          </cell>
          <cell r="K57">
            <v>93.75</v>
          </cell>
          <cell r="L57">
            <v>93.75</v>
          </cell>
          <cell r="M57">
            <v>55.55555555555555</v>
          </cell>
          <cell r="N57">
            <v>0</v>
          </cell>
          <cell r="O57">
            <v>55.55555555555555</v>
          </cell>
        </row>
        <row r="58">
          <cell r="D58" t="str">
            <v>302</v>
          </cell>
          <cell r="E58">
            <v>30</v>
          </cell>
          <cell r="F58">
            <v>2</v>
          </cell>
          <cell r="G58">
            <v>8.666666666666667E-2</v>
          </cell>
          <cell r="H58">
            <v>3397.1738510528485</v>
          </cell>
          <cell r="I58">
            <v>172.5523508021391</v>
          </cell>
          <cell r="J58">
            <v>74.563349740034667</v>
          </cell>
          <cell r="K58">
            <v>135.41666666666666</v>
          </cell>
          <cell r="L58">
            <v>135.41666666666666</v>
          </cell>
          <cell r="M58">
            <v>80.246913580246925</v>
          </cell>
          <cell r="N58">
            <v>0</v>
          </cell>
          <cell r="O58">
            <v>80.246913580246925</v>
          </cell>
        </row>
        <row r="59">
          <cell r="D59" t="str">
            <v>303</v>
          </cell>
          <cell r="E59">
            <v>30</v>
          </cell>
          <cell r="F59">
            <v>3</v>
          </cell>
          <cell r="G59">
            <v>0.11333333333333333</v>
          </cell>
          <cell r="H59">
            <v>4442.458112915263</v>
          </cell>
          <cell r="I59">
            <v>225.6453818181819</v>
          </cell>
          <cell r="J59">
            <v>97.505918890814556</v>
          </cell>
          <cell r="K59">
            <v>177.08333333333334</v>
          </cell>
          <cell r="L59">
            <v>177.08333333333334</v>
          </cell>
          <cell r="M59">
            <v>104.93827160493827</v>
          </cell>
          <cell r="N59">
            <v>0</v>
          </cell>
          <cell r="O59">
            <v>104.93827160493827</v>
          </cell>
        </row>
        <row r="60">
          <cell r="D60" t="str">
            <v>304</v>
          </cell>
          <cell r="E60">
            <v>30</v>
          </cell>
          <cell r="F60">
            <v>4</v>
          </cell>
          <cell r="G60">
            <v>0.13333333333333333</v>
          </cell>
          <cell r="H60">
            <v>5226.4213093120734</v>
          </cell>
          <cell r="I60">
            <v>265.46515508021395</v>
          </cell>
          <cell r="J60">
            <v>114.7128457538995</v>
          </cell>
          <cell r="K60">
            <v>208.33333333333334</v>
          </cell>
          <cell r="L60">
            <v>208.33333333333334</v>
          </cell>
          <cell r="M60">
            <v>123.4567901234568</v>
          </cell>
          <cell r="N60">
            <v>0</v>
          </cell>
          <cell r="O60">
            <v>123.4567901234568</v>
          </cell>
        </row>
        <row r="61">
          <cell r="D61" t="str">
            <v>451</v>
          </cell>
          <cell r="E61">
            <v>45</v>
          </cell>
          <cell r="F61">
            <v>1</v>
          </cell>
          <cell r="G61">
            <v>0.12</v>
          </cell>
          <cell r="H61">
            <v>4703.7791783808671</v>
          </cell>
          <cell r="I61">
            <v>238.91863957219257</v>
          </cell>
          <cell r="J61">
            <v>103.24156117850954</v>
          </cell>
          <cell r="K61">
            <v>187.5</v>
          </cell>
          <cell r="L61">
            <v>187.5</v>
          </cell>
          <cell r="M61">
            <v>111.1111111111111</v>
          </cell>
          <cell r="N61">
            <v>0</v>
          </cell>
          <cell r="O61">
            <v>111.1111111111111</v>
          </cell>
        </row>
        <row r="62">
          <cell r="D62" t="str">
            <v>452</v>
          </cell>
          <cell r="E62">
            <v>45</v>
          </cell>
          <cell r="F62">
            <v>2</v>
          </cell>
          <cell r="G62">
            <v>0.17333333333333334</v>
          </cell>
          <cell r="H62">
            <v>6794.347702105697</v>
          </cell>
          <cell r="I62">
            <v>345.1047016042782</v>
          </cell>
          <cell r="J62">
            <v>149.12669948006933</v>
          </cell>
          <cell r="K62">
            <v>270.83333333333331</v>
          </cell>
          <cell r="L62">
            <v>270.83333333333331</v>
          </cell>
          <cell r="M62">
            <v>160.49382716049385</v>
          </cell>
          <cell r="N62">
            <v>0</v>
          </cell>
          <cell r="O62">
            <v>160.49382716049385</v>
          </cell>
        </row>
        <row r="63">
          <cell r="D63" t="str">
            <v>453</v>
          </cell>
          <cell r="E63">
            <v>45</v>
          </cell>
          <cell r="F63">
            <v>3</v>
          </cell>
          <cell r="G63">
            <v>0.22666666666666666</v>
          </cell>
          <cell r="H63">
            <v>8884.9162258305259</v>
          </cell>
          <cell r="I63">
            <v>451.29076363636381</v>
          </cell>
          <cell r="J63">
            <v>195.01183778162911</v>
          </cell>
          <cell r="K63">
            <v>354.16666666666669</v>
          </cell>
          <cell r="L63">
            <v>354.16666666666669</v>
          </cell>
          <cell r="M63">
            <v>209.87654320987653</v>
          </cell>
          <cell r="N63">
            <v>0</v>
          </cell>
          <cell r="O63">
            <v>209.87654320987653</v>
          </cell>
        </row>
        <row r="64">
          <cell r="D64" t="str">
            <v>454</v>
          </cell>
          <cell r="E64">
            <v>45</v>
          </cell>
          <cell r="F64">
            <v>4</v>
          </cell>
          <cell r="G64">
            <v>0.26666666666666666</v>
          </cell>
          <cell r="H64">
            <v>10452.842618624147</v>
          </cell>
          <cell r="I64">
            <v>530.93031016042789</v>
          </cell>
          <cell r="J64">
            <v>229.425691507799</v>
          </cell>
          <cell r="K64">
            <v>416.66666666666669</v>
          </cell>
          <cell r="L64">
            <v>416.66666666666669</v>
          </cell>
          <cell r="M64">
            <v>246.9135802469136</v>
          </cell>
          <cell r="N64">
            <v>0</v>
          </cell>
          <cell r="O64">
            <v>246.9135802469136</v>
          </cell>
        </row>
        <row r="65">
          <cell r="D65" t="str">
            <v>601</v>
          </cell>
          <cell r="E65">
            <v>60</v>
          </cell>
          <cell r="F65">
            <v>1</v>
          </cell>
          <cell r="G65">
            <v>0.18</v>
          </cell>
          <cell r="H65">
            <v>7055.6687675713001</v>
          </cell>
          <cell r="I65">
            <v>358.37795935828882</v>
          </cell>
          <cell r="J65">
            <v>154.86234176776432</v>
          </cell>
          <cell r="K65">
            <v>281.25</v>
          </cell>
          <cell r="L65">
            <v>281.25</v>
          </cell>
          <cell r="M65">
            <v>166.66666666666666</v>
          </cell>
          <cell r="N65">
            <v>0</v>
          </cell>
          <cell r="O65">
            <v>166.66666666666666</v>
          </cell>
        </row>
        <row r="66">
          <cell r="D66" t="str">
            <v>602</v>
          </cell>
          <cell r="E66">
            <v>60</v>
          </cell>
          <cell r="F66">
            <v>2</v>
          </cell>
          <cell r="G66">
            <v>0.26</v>
          </cell>
          <cell r="H66">
            <v>10191.521553158544</v>
          </cell>
          <cell r="I66">
            <v>517.65705240641728</v>
          </cell>
          <cell r="J66">
            <v>223.69004922010402</v>
          </cell>
          <cell r="K66">
            <v>406.25</v>
          </cell>
          <cell r="L66">
            <v>406.25</v>
          </cell>
          <cell r="M66">
            <v>240.74074074074076</v>
          </cell>
          <cell r="N66">
            <v>0</v>
          </cell>
          <cell r="O66">
            <v>240.74074074074076</v>
          </cell>
        </row>
        <row r="67">
          <cell r="D67" t="str">
            <v>603</v>
          </cell>
          <cell r="E67">
            <v>60</v>
          </cell>
          <cell r="F67">
            <v>3</v>
          </cell>
          <cell r="G67">
            <v>0.33999999999999997</v>
          </cell>
          <cell r="H67">
            <v>13327.374338745787</v>
          </cell>
          <cell r="I67">
            <v>676.93614545454557</v>
          </cell>
          <cell r="J67">
            <v>292.51775667244368</v>
          </cell>
          <cell r="K67">
            <v>531.24999999999989</v>
          </cell>
          <cell r="L67">
            <v>531.24999999999989</v>
          </cell>
          <cell r="M67">
            <v>314.81481481481478</v>
          </cell>
          <cell r="N67">
            <v>0</v>
          </cell>
          <cell r="O67">
            <v>314.81481481481478</v>
          </cell>
        </row>
        <row r="68">
          <cell r="D68" t="str">
            <v>604</v>
          </cell>
          <cell r="E68">
            <v>60</v>
          </cell>
          <cell r="F68">
            <v>4</v>
          </cell>
          <cell r="G68">
            <v>0.39999999999999997</v>
          </cell>
          <cell r="H68">
            <v>15679.263927936221</v>
          </cell>
          <cell r="I68">
            <v>796.3954652406419</v>
          </cell>
          <cell r="J68">
            <v>344.13853726169845</v>
          </cell>
          <cell r="K68">
            <v>624.99999999999989</v>
          </cell>
          <cell r="L68">
            <v>624.99999999999989</v>
          </cell>
          <cell r="M68">
            <v>370.37037037037038</v>
          </cell>
          <cell r="N68">
            <v>0</v>
          </cell>
          <cell r="O68">
            <v>370.37037037037038</v>
          </cell>
        </row>
        <row r="69">
          <cell r="D69" t="str">
            <v>701</v>
          </cell>
          <cell r="E69">
            <v>70</v>
          </cell>
          <cell r="F69">
            <v>1</v>
          </cell>
          <cell r="G69">
            <v>0.24</v>
          </cell>
          <cell r="H69">
            <v>9407.5583567617341</v>
          </cell>
          <cell r="I69">
            <v>477.83727914438515</v>
          </cell>
          <cell r="J69">
            <v>206.48312235701908</v>
          </cell>
          <cell r="K69">
            <v>375</v>
          </cell>
          <cell r="L69">
            <v>375</v>
          </cell>
          <cell r="M69">
            <v>222.2222222222222</v>
          </cell>
          <cell r="N69">
            <v>0</v>
          </cell>
          <cell r="O69">
            <v>222.2222222222222</v>
          </cell>
        </row>
        <row r="70">
          <cell r="D70" t="str">
            <v>702</v>
          </cell>
          <cell r="E70">
            <v>70</v>
          </cell>
          <cell r="F70">
            <v>2</v>
          </cell>
          <cell r="G70">
            <v>0.34666666666666668</v>
          </cell>
          <cell r="H70">
            <v>13588.695404211394</v>
          </cell>
          <cell r="I70">
            <v>690.20940320855641</v>
          </cell>
          <cell r="J70">
            <v>298.25339896013867</v>
          </cell>
          <cell r="K70">
            <v>541.66666666666663</v>
          </cell>
          <cell r="L70">
            <v>541.66666666666663</v>
          </cell>
          <cell r="M70">
            <v>320.9876543209877</v>
          </cell>
          <cell r="N70">
            <v>0</v>
          </cell>
          <cell r="O70">
            <v>320.9876543209877</v>
          </cell>
        </row>
        <row r="71">
          <cell r="D71" t="str">
            <v>703</v>
          </cell>
          <cell r="E71">
            <v>70</v>
          </cell>
          <cell r="F71">
            <v>3</v>
          </cell>
          <cell r="G71">
            <v>0.45333333333333331</v>
          </cell>
          <cell r="H71">
            <v>17769.832451661052</v>
          </cell>
          <cell r="I71">
            <v>902.58152727272761</v>
          </cell>
          <cell r="J71">
            <v>390.02367556325822</v>
          </cell>
          <cell r="K71">
            <v>708.33333333333337</v>
          </cell>
          <cell r="L71">
            <v>708.33333333333337</v>
          </cell>
          <cell r="M71">
            <v>419.75308641975306</v>
          </cell>
          <cell r="N71">
            <v>0</v>
          </cell>
          <cell r="O71">
            <v>419.75308641975306</v>
          </cell>
        </row>
        <row r="72">
          <cell r="D72" t="str">
            <v>704</v>
          </cell>
          <cell r="E72">
            <v>70</v>
          </cell>
          <cell r="F72">
            <v>4</v>
          </cell>
          <cell r="G72">
            <v>0.53333333333333333</v>
          </cell>
          <cell r="H72">
            <v>20905.685237248294</v>
          </cell>
          <cell r="I72">
            <v>1061.8606203208558</v>
          </cell>
          <cell r="J72">
            <v>458.851383015598</v>
          </cell>
          <cell r="K72">
            <v>833.33333333333337</v>
          </cell>
          <cell r="L72">
            <v>833.33333333333337</v>
          </cell>
          <cell r="M72">
            <v>493.82716049382719</v>
          </cell>
          <cell r="N72">
            <v>0</v>
          </cell>
          <cell r="O72">
            <v>493.82716049382719</v>
          </cell>
        </row>
        <row r="73">
          <cell r="D73" t="str">
            <v>801</v>
          </cell>
          <cell r="E73">
            <v>80</v>
          </cell>
          <cell r="F73">
            <v>1</v>
          </cell>
          <cell r="G73">
            <v>0.3</v>
          </cell>
          <cell r="H73">
            <v>11759.447945952166</v>
          </cell>
          <cell r="I73">
            <v>597.29659893048142</v>
          </cell>
          <cell r="J73">
            <v>258.10390294627388</v>
          </cell>
          <cell r="K73">
            <v>468.75</v>
          </cell>
          <cell r="L73">
            <v>468.75</v>
          </cell>
          <cell r="M73">
            <v>277.77777777777777</v>
          </cell>
          <cell r="N73">
            <v>0</v>
          </cell>
          <cell r="O73">
            <v>277.77777777777777</v>
          </cell>
        </row>
        <row r="74">
          <cell r="D74" t="str">
            <v>802</v>
          </cell>
          <cell r="E74">
            <v>80</v>
          </cell>
          <cell r="F74">
            <v>2</v>
          </cell>
          <cell r="G74">
            <v>0.43333333333333335</v>
          </cell>
          <cell r="H74">
            <v>16985.869255264242</v>
          </cell>
          <cell r="I74">
            <v>862.76175401069543</v>
          </cell>
          <cell r="J74">
            <v>372.81674870017338</v>
          </cell>
          <cell r="K74">
            <v>677.08333333333337</v>
          </cell>
          <cell r="L74">
            <v>677.08333333333337</v>
          </cell>
          <cell r="M74">
            <v>401.23456790123458</v>
          </cell>
          <cell r="N74">
            <v>0</v>
          </cell>
          <cell r="O74">
            <v>401.23456790123458</v>
          </cell>
        </row>
        <row r="75">
          <cell r="D75" t="str">
            <v>803</v>
          </cell>
          <cell r="E75">
            <v>80</v>
          </cell>
          <cell r="F75">
            <v>3</v>
          </cell>
          <cell r="G75">
            <v>0.56666666666666665</v>
          </cell>
          <cell r="H75">
            <v>22212.290564576313</v>
          </cell>
          <cell r="I75">
            <v>1128.2269090909094</v>
          </cell>
          <cell r="J75">
            <v>487.52959445407282</v>
          </cell>
          <cell r="K75">
            <v>885.41666666666663</v>
          </cell>
          <cell r="L75">
            <v>885.41666666666663</v>
          </cell>
          <cell r="M75">
            <v>524.69135802469134</v>
          </cell>
          <cell r="N75">
            <v>0</v>
          </cell>
          <cell r="O75">
            <v>524.69135802469134</v>
          </cell>
        </row>
        <row r="76">
          <cell r="D76" t="str">
            <v>804</v>
          </cell>
          <cell r="E76">
            <v>80</v>
          </cell>
          <cell r="F76">
            <v>4</v>
          </cell>
          <cell r="G76">
            <v>0.66666666666666663</v>
          </cell>
          <cell r="H76">
            <v>26132.106546560371</v>
          </cell>
          <cell r="I76">
            <v>1327.3257754010699</v>
          </cell>
          <cell r="J76">
            <v>573.56422876949739</v>
          </cell>
          <cell r="K76">
            <v>1041.6666666666667</v>
          </cell>
          <cell r="L76">
            <v>1041.6666666666667</v>
          </cell>
          <cell r="M76">
            <v>617.28395061728395</v>
          </cell>
          <cell r="N76">
            <v>0</v>
          </cell>
          <cell r="O76">
            <v>617.28395061728395</v>
          </cell>
        </row>
        <row r="79">
          <cell r="C79" t="str">
            <v>装备强化每级属性</v>
          </cell>
          <cell r="D79" t="str">
            <v>搜索值</v>
          </cell>
          <cell r="E79" t="str">
            <v>装备等级</v>
          </cell>
          <cell r="F79" t="str">
            <v>品质</v>
          </cell>
          <cell r="G79" t="str">
            <v>属性</v>
          </cell>
        </row>
        <row r="80">
          <cell r="D80" t="str">
            <v>50</v>
          </cell>
          <cell r="E80">
            <v>5</v>
          </cell>
          <cell r="F80">
            <v>0</v>
          </cell>
          <cell r="G80">
            <v>0.12</v>
          </cell>
          <cell r="H80">
            <v>58.79723972976084</v>
          </cell>
          <cell r="I80">
            <v>2.9864829946524072</v>
          </cell>
          <cell r="J80">
            <v>1.2905195147313693</v>
          </cell>
          <cell r="K80">
            <v>2.34375</v>
          </cell>
          <cell r="L80">
            <v>2.34375</v>
          </cell>
          <cell r="M80">
            <v>1.3888888888888888</v>
          </cell>
          <cell r="N80">
            <v>0</v>
          </cell>
          <cell r="O80">
            <v>1.3888888888888888</v>
          </cell>
        </row>
        <row r="81">
          <cell r="D81" t="str">
            <v>51</v>
          </cell>
          <cell r="E81">
            <v>5</v>
          </cell>
          <cell r="F81">
            <v>1</v>
          </cell>
          <cell r="G81">
            <v>0.18000000000000002</v>
          </cell>
          <cell r="H81">
            <v>88.195859594641263</v>
          </cell>
          <cell r="I81">
            <v>4.4797244919786117</v>
          </cell>
          <cell r="J81">
            <v>1.9357792720970539</v>
          </cell>
          <cell r="K81">
            <v>3.5156250000000009</v>
          </cell>
          <cell r="L81">
            <v>3.5156250000000009</v>
          </cell>
          <cell r="M81">
            <v>2.0833333333333335</v>
          </cell>
          <cell r="N81">
            <v>0</v>
          </cell>
          <cell r="O81">
            <v>2.0833333333333335</v>
          </cell>
        </row>
        <row r="82">
          <cell r="D82" t="str">
            <v>151</v>
          </cell>
          <cell r="E82">
            <v>15</v>
          </cell>
          <cell r="F82">
            <v>1</v>
          </cell>
          <cell r="G82">
            <v>0.36000000000000004</v>
          </cell>
          <cell r="H82">
            <v>176.39171918928253</v>
          </cell>
          <cell r="I82">
            <v>8.9594489839572233</v>
          </cell>
          <cell r="J82">
            <v>3.8715585441941078</v>
          </cell>
          <cell r="K82">
            <v>7.0312500000000018</v>
          </cell>
          <cell r="L82">
            <v>7.0312500000000018</v>
          </cell>
          <cell r="M82">
            <v>4.166666666666667</v>
          </cell>
          <cell r="N82">
            <v>0</v>
          </cell>
          <cell r="O82">
            <v>4.166666666666667</v>
          </cell>
        </row>
        <row r="83">
          <cell r="D83" t="str">
            <v>152</v>
          </cell>
          <cell r="E83">
            <v>15</v>
          </cell>
          <cell r="F83">
            <v>2</v>
          </cell>
          <cell r="G83">
            <v>0.52</v>
          </cell>
          <cell r="H83">
            <v>254.78803882896358</v>
          </cell>
          <cell r="I83">
            <v>12.941426310160432</v>
          </cell>
          <cell r="J83">
            <v>5.5922512305026002</v>
          </cell>
          <cell r="K83">
            <v>10.15625</v>
          </cell>
          <cell r="L83">
            <v>10.15625</v>
          </cell>
          <cell r="M83">
            <v>6.018518518518519</v>
          </cell>
          <cell r="N83">
            <v>0</v>
          </cell>
          <cell r="O83">
            <v>6.018518518518519</v>
          </cell>
        </row>
        <row r="84">
          <cell r="D84" t="str">
            <v>153</v>
          </cell>
          <cell r="E84">
            <v>15</v>
          </cell>
          <cell r="F84">
            <v>3</v>
          </cell>
          <cell r="G84">
            <v>0.68</v>
          </cell>
          <cell r="H84">
            <v>333.18435846864475</v>
          </cell>
          <cell r="I84">
            <v>16.923403636363641</v>
          </cell>
          <cell r="J84">
            <v>7.3129439168110935</v>
          </cell>
          <cell r="K84">
            <v>13.281250000000004</v>
          </cell>
          <cell r="L84">
            <v>13.281250000000004</v>
          </cell>
          <cell r="M84">
            <v>7.8703703703703711</v>
          </cell>
          <cell r="N84">
            <v>0</v>
          </cell>
          <cell r="O84">
            <v>7.8703703703703711</v>
          </cell>
        </row>
        <row r="85">
          <cell r="D85" t="str">
            <v>154</v>
          </cell>
          <cell r="E85">
            <v>15</v>
          </cell>
          <cell r="F85">
            <v>4</v>
          </cell>
          <cell r="G85">
            <v>0.8</v>
          </cell>
          <cell r="H85">
            <v>391.98159819840561</v>
          </cell>
          <cell r="I85">
            <v>19.90988663101605</v>
          </cell>
          <cell r="J85">
            <v>8.6034634315424618</v>
          </cell>
          <cell r="K85">
            <v>15.625</v>
          </cell>
          <cell r="L85">
            <v>15.625</v>
          </cell>
          <cell r="M85">
            <v>9.2592592592592595</v>
          </cell>
          <cell r="N85">
            <v>0</v>
          </cell>
          <cell r="O85">
            <v>9.2592592592592595</v>
          </cell>
        </row>
        <row r="86">
          <cell r="D86" t="str">
            <v>301</v>
          </cell>
          <cell r="E86">
            <v>30</v>
          </cell>
          <cell r="F86">
            <v>1</v>
          </cell>
          <cell r="G86">
            <v>0.72000000000000008</v>
          </cell>
          <cell r="H86">
            <v>352.78343837856505</v>
          </cell>
          <cell r="I86">
            <v>17.918897967914447</v>
          </cell>
          <cell r="J86">
            <v>7.7431170883882157</v>
          </cell>
          <cell r="K86">
            <v>14.062500000000004</v>
          </cell>
          <cell r="L86">
            <v>14.062500000000004</v>
          </cell>
          <cell r="M86">
            <v>8.3333333333333339</v>
          </cell>
          <cell r="N86">
            <v>0</v>
          </cell>
          <cell r="O86">
            <v>8.3333333333333339</v>
          </cell>
        </row>
        <row r="87">
          <cell r="D87" t="str">
            <v>302</v>
          </cell>
          <cell r="E87">
            <v>30</v>
          </cell>
          <cell r="F87">
            <v>2</v>
          </cell>
          <cell r="G87">
            <v>1.04</v>
          </cell>
          <cell r="H87">
            <v>509.57607765792716</v>
          </cell>
          <cell r="I87">
            <v>25.882852620320865</v>
          </cell>
          <cell r="J87">
            <v>11.1845024610052</v>
          </cell>
          <cell r="K87">
            <v>20.3125</v>
          </cell>
          <cell r="L87">
            <v>20.3125</v>
          </cell>
          <cell r="M87">
            <v>12.037037037037038</v>
          </cell>
          <cell r="N87">
            <v>0</v>
          </cell>
          <cell r="O87">
            <v>12.037037037037038</v>
          </cell>
        </row>
        <row r="88">
          <cell r="D88" t="str">
            <v>303</v>
          </cell>
          <cell r="E88">
            <v>30</v>
          </cell>
          <cell r="F88">
            <v>3</v>
          </cell>
          <cell r="G88">
            <v>1.36</v>
          </cell>
          <cell r="H88">
            <v>666.36871693728949</v>
          </cell>
          <cell r="I88">
            <v>33.846807272727283</v>
          </cell>
          <cell r="J88">
            <v>14.625887833622187</v>
          </cell>
          <cell r="K88">
            <v>26.562500000000007</v>
          </cell>
          <cell r="L88">
            <v>26.562500000000007</v>
          </cell>
          <cell r="M88">
            <v>15.740740740740742</v>
          </cell>
          <cell r="N88">
            <v>0</v>
          </cell>
          <cell r="O88">
            <v>15.740740740740742</v>
          </cell>
        </row>
        <row r="89">
          <cell r="D89" t="str">
            <v>304</v>
          </cell>
          <cell r="E89">
            <v>30</v>
          </cell>
          <cell r="F89">
            <v>4</v>
          </cell>
          <cell r="G89">
            <v>1.6</v>
          </cell>
          <cell r="H89">
            <v>783.96319639681121</v>
          </cell>
          <cell r="I89">
            <v>39.819773262032101</v>
          </cell>
          <cell r="J89">
            <v>17.206926863084924</v>
          </cell>
          <cell r="K89">
            <v>31.25</v>
          </cell>
          <cell r="L89">
            <v>31.25</v>
          </cell>
          <cell r="M89">
            <v>18.518518518518519</v>
          </cell>
          <cell r="N89">
            <v>0</v>
          </cell>
          <cell r="O89">
            <v>18.518518518518519</v>
          </cell>
        </row>
        <row r="90">
          <cell r="D90" t="str">
            <v>451</v>
          </cell>
          <cell r="E90">
            <v>45</v>
          </cell>
          <cell r="F90">
            <v>1</v>
          </cell>
          <cell r="G90">
            <v>1.4400000000000002</v>
          </cell>
          <cell r="H90">
            <v>705.5668767571301</v>
          </cell>
          <cell r="I90">
            <v>35.837795935828893</v>
          </cell>
          <cell r="J90">
            <v>15.486234176776431</v>
          </cell>
          <cell r="K90">
            <v>28.125000000000007</v>
          </cell>
          <cell r="L90">
            <v>28.125000000000007</v>
          </cell>
          <cell r="M90">
            <v>16.666666666666668</v>
          </cell>
          <cell r="N90">
            <v>0</v>
          </cell>
          <cell r="O90">
            <v>16.666666666666668</v>
          </cell>
        </row>
        <row r="91">
          <cell r="D91" t="str">
            <v>452</v>
          </cell>
          <cell r="E91">
            <v>45</v>
          </cell>
          <cell r="F91">
            <v>2</v>
          </cell>
          <cell r="G91">
            <v>2.08</v>
          </cell>
          <cell r="H91">
            <v>1019.1521553158543</v>
          </cell>
          <cell r="I91">
            <v>51.765705240641729</v>
          </cell>
          <cell r="J91">
            <v>22.369004922010401</v>
          </cell>
          <cell r="K91">
            <v>40.625</v>
          </cell>
          <cell r="L91">
            <v>40.625</v>
          </cell>
          <cell r="M91">
            <v>24.074074074074076</v>
          </cell>
          <cell r="N91">
            <v>0</v>
          </cell>
          <cell r="O91">
            <v>24.074074074074076</v>
          </cell>
        </row>
        <row r="92">
          <cell r="D92" t="str">
            <v>453</v>
          </cell>
          <cell r="E92">
            <v>45</v>
          </cell>
          <cell r="F92">
            <v>3</v>
          </cell>
          <cell r="G92">
            <v>2.72</v>
          </cell>
          <cell r="H92">
            <v>1332.737433874579</v>
          </cell>
          <cell r="I92">
            <v>67.693614545454565</v>
          </cell>
          <cell r="J92">
            <v>29.251775667244374</v>
          </cell>
          <cell r="K92">
            <v>53.125000000000014</v>
          </cell>
          <cell r="L92">
            <v>53.125000000000014</v>
          </cell>
          <cell r="M92">
            <v>31.481481481481485</v>
          </cell>
          <cell r="N92">
            <v>0</v>
          </cell>
          <cell r="O92">
            <v>31.481481481481485</v>
          </cell>
        </row>
        <row r="93">
          <cell r="D93" t="str">
            <v>454</v>
          </cell>
          <cell r="E93">
            <v>45</v>
          </cell>
          <cell r="F93">
            <v>4</v>
          </cell>
          <cell r="G93">
            <v>3.2</v>
          </cell>
          <cell r="H93">
            <v>1567.9263927936224</v>
          </cell>
          <cell r="I93">
            <v>79.639546524064201</v>
          </cell>
          <cell r="J93">
            <v>34.413853726169847</v>
          </cell>
          <cell r="K93">
            <v>62.5</v>
          </cell>
          <cell r="L93">
            <v>62.5</v>
          </cell>
          <cell r="M93">
            <v>37.037037037037038</v>
          </cell>
          <cell r="N93">
            <v>0</v>
          </cell>
          <cell r="O93">
            <v>37.037037037037038</v>
          </cell>
        </row>
        <row r="94">
          <cell r="D94" t="str">
            <v>601</v>
          </cell>
          <cell r="E94">
            <v>60</v>
          </cell>
          <cell r="F94">
            <v>1</v>
          </cell>
          <cell r="G94">
            <v>2.16</v>
          </cell>
          <cell r="H94">
            <v>1058.3503151356949</v>
          </cell>
          <cell r="I94">
            <v>53.75669390374334</v>
          </cell>
          <cell r="J94">
            <v>23.229351265164645</v>
          </cell>
          <cell r="K94">
            <v>42.1875</v>
          </cell>
          <cell r="L94">
            <v>42.1875</v>
          </cell>
          <cell r="M94">
            <v>25.000000000000004</v>
          </cell>
          <cell r="N94">
            <v>0</v>
          </cell>
          <cell r="O94">
            <v>25.000000000000004</v>
          </cell>
        </row>
        <row r="95">
          <cell r="D95" t="str">
            <v>602</v>
          </cell>
          <cell r="E95">
            <v>60</v>
          </cell>
          <cell r="F95">
            <v>2</v>
          </cell>
          <cell r="G95">
            <v>3.12</v>
          </cell>
          <cell r="H95">
            <v>1528.7282329737818</v>
          </cell>
          <cell r="I95">
            <v>77.648557860962597</v>
          </cell>
          <cell r="J95">
            <v>33.553507383015599</v>
          </cell>
          <cell r="K95">
            <v>60.9375</v>
          </cell>
          <cell r="L95">
            <v>60.9375</v>
          </cell>
          <cell r="M95">
            <v>36.111111111111114</v>
          </cell>
          <cell r="N95">
            <v>0</v>
          </cell>
          <cell r="O95">
            <v>36.111111111111114</v>
          </cell>
        </row>
        <row r="96">
          <cell r="D96" t="str">
            <v>603</v>
          </cell>
          <cell r="E96">
            <v>60</v>
          </cell>
          <cell r="F96">
            <v>3</v>
          </cell>
          <cell r="G96">
            <v>4.08</v>
          </cell>
          <cell r="H96">
            <v>1999.1061508118685</v>
          </cell>
          <cell r="I96">
            <v>101.54042181818185</v>
          </cell>
          <cell r="J96">
            <v>43.877663500866561</v>
          </cell>
          <cell r="K96">
            <v>79.6875</v>
          </cell>
          <cell r="L96">
            <v>79.6875</v>
          </cell>
          <cell r="M96">
            <v>47.222222222222221</v>
          </cell>
          <cell r="N96">
            <v>0</v>
          </cell>
          <cell r="O96">
            <v>47.222222222222221</v>
          </cell>
        </row>
        <row r="97">
          <cell r="D97" t="str">
            <v>604</v>
          </cell>
          <cell r="E97">
            <v>60</v>
          </cell>
          <cell r="F97">
            <v>4</v>
          </cell>
          <cell r="G97">
            <v>4.8</v>
          </cell>
          <cell r="H97">
            <v>2351.8895891904331</v>
          </cell>
          <cell r="I97">
            <v>119.45931978609629</v>
          </cell>
          <cell r="J97">
            <v>51.620780589254778</v>
          </cell>
          <cell r="K97">
            <v>93.75</v>
          </cell>
          <cell r="L97">
            <v>93.75</v>
          </cell>
          <cell r="M97">
            <v>55.555555555555557</v>
          </cell>
          <cell r="N97">
            <v>0</v>
          </cell>
          <cell r="O97">
            <v>55.555555555555557</v>
          </cell>
        </row>
        <row r="98">
          <cell r="D98" t="str">
            <v>701</v>
          </cell>
          <cell r="E98">
            <v>70</v>
          </cell>
          <cell r="F98">
            <v>1</v>
          </cell>
          <cell r="G98">
            <v>2.8800000000000003</v>
          </cell>
          <cell r="H98">
            <v>1411.1337535142602</v>
          </cell>
          <cell r="I98">
            <v>71.675591871657787</v>
          </cell>
          <cell r="J98">
            <v>30.972468353552863</v>
          </cell>
          <cell r="K98">
            <v>56.250000000000014</v>
          </cell>
          <cell r="L98">
            <v>56.250000000000014</v>
          </cell>
          <cell r="M98">
            <v>33.333333333333336</v>
          </cell>
          <cell r="N98">
            <v>0</v>
          </cell>
          <cell r="O98">
            <v>33.333333333333336</v>
          </cell>
        </row>
        <row r="99">
          <cell r="D99" t="str">
            <v>702</v>
          </cell>
          <cell r="E99">
            <v>70</v>
          </cell>
          <cell r="F99">
            <v>2</v>
          </cell>
          <cell r="G99">
            <v>4.16</v>
          </cell>
          <cell r="H99">
            <v>2038.3043106317086</v>
          </cell>
          <cell r="I99">
            <v>103.53141048128346</v>
          </cell>
          <cell r="J99">
            <v>44.738009844020802</v>
          </cell>
          <cell r="K99">
            <v>81.25</v>
          </cell>
          <cell r="L99">
            <v>81.25</v>
          </cell>
          <cell r="M99">
            <v>48.148148148148152</v>
          </cell>
          <cell r="N99">
            <v>0</v>
          </cell>
          <cell r="O99">
            <v>48.148148148148152</v>
          </cell>
        </row>
        <row r="100">
          <cell r="D100" t="str">
            <v>703</v>
          </cell>
          <cell r="E100">
            <v>70</v>
          </cell>
          <cell r="F100">
            <v>3</v>
          </cell>
          <cell r="G100">
            <v>5.44</v>
          </cell>
          <cell r="H100">
            <v>2665.474867749158</v>
          </cell>
          <cell r="I100">
            <v>135.38722909090913</v>
          </cell>
          <cell r="J100">
            <v>58.503551334488748</v>
          </cell>
          <cell r="K100">
            <v>106.25000000000003</v>
          </cell>
          <cell r="L100">
            <v>106.25000000000003</v>
          </cell>
          <cell r="M100">
            <v>62.962962962962969</v>
          </cell>
          <cell r="N100">
            <v>0</v>
          </cell>
          <cell r="O100">
            <v>62.962962962962969</v>
          </cell>
        </row>
        <row r="101">
          <cell r="D101" t="str">
            <v>704</v>
          </cell>
          <cell r="E101">
            <v>70</v>
          </cell>
          <cell r="F101">
            <v>4</v>
          </cell>
          <cell r="G101">
            <v>6.4</v>
          </cell>
          <cell r="H101">
            <v>3135.8527855872449</v>
          </cell>
          <cell r="I101">
            <v>159.2790930481284</v>
          </cell>
          <cell r="J101">
            <v>68.827707452339695</v>
          </cell>
          <cell r="K101">
            <v>125</v>
          </cell>
          <cell r="L101">
            <v>125</v>
          </cell>
          <cell r="M101">
            <v>74.074074074074076</v>
          </cell>
          <cell r="N101">
            <v>0</v>
          </cell>
          <cell r="O101">
            <v>74.074074074074076</v>
          </cell>
        </row>
        <row r="102">
          <cell r="D102" t="str">
            <v>801</v>
          </cell>
          <cell r="E102">
            <v>80</v>
          </cell>
          <cell r="F102">
            <v>1</v>
          </cell>
          <cell r="G102">
            <v>3.6</v>
          </cell>
          <cell r="H102">
            <v>1763.9171918928248</v>
          </cell>
          <cell r="I102">
            <v>89.594489839572219</v>
          </cell>
          <cell r="J102">
            <v>38.715585441941087</v>
          </cell>
          <cell r="K102">
            <v>70.3125</v>
          </cell>
          <cell r="L102">
            <v>70.3125</v>
          </cell>
          <cell r="M102">
            <v>41.666666666666671</v>
          </cell>
          <cell r="N102">
            <v>0</v>
          </cell>
          <cell r="O102">
            <v>41.666666666666671</v>
          </cell>
        </row>
        <row r="103">
          <cell r="D103" t="str">
            <v>802</v>
          </cell>
          <cell r="E103">
            <v>80</v>
          </cell>
          <cell r="F103">
            <v>2</v>
          </cell>
          <cell r="G103">
            <v>5.2</v>
          </cell>
          <cell r="H103">
            <v>2547.8803882896364</v>
          </cell>
          <cell r="I103">
            <v>129.41426310160432</v>
          </cell>
          <cell r="J103">
            <v>55.922512305026011</v>
          </cell>
          <cell r="K103">
            <v>101.5625</v>
          </cell>
          <cell r="L103">
            <v>101.5625</v>
          </cell>
          <cell r="M103">
            <v>60.185185185185183</v>
          </cell>
          <cell r="N103">
            <v>0</v>
          </cell>
          <cell r="O103">
            <v>60.185185185185183</v>
          </cell>
        </row>
      </sheetData>
      <sheetData sheetId="10" refreshError="1"/>
      <sheetData sheetId="11">
        <row r="1">
          <cell r="B1">
            <v>19</v>
          </cell>
        </row>
        <row r="2">
          <cell r="B2">
            <v>20</v>
          </cell>
        </row>
        <row r="7">
          <cell r="N7">
            <v>8.8888888888888882E-4</v>
          </cell>
          <cell r="O7">
            <v>1.7777777777777776E-3</v>
          </cell>
          <cell r="P7">
            <v>3.5555555555555553E-3</v>
          </cell>
          <cell r="Q7">
            <v>5.3333333333333332E-3</v>
          </cell>
        </row>
        <row r="9">
          <cell r="B9" t="str">
            <v>马仔</v>
          </cell>
        </row>
        <row r="21">
          <cell r="N21">
            <v>6.6666666666666662E-3</v>
          </cell>
          <cell r="O21">
            <v>6.6666666666666662E-3</v>
          </cell>
          <cell r="P21">
            <v>6.6666666666666662E-3</v>
          </cell>
          <cell r="Q21">
            <v>6.6666666666666662E-3</v>
          </cell>
        </row>
        <row r="23">
          <cell r="B23" t="str">
            <v>马仔品阶</v>
          </cell>
          <cell r="C23" t="str">
            <v>品阶权重</v>
          </cell>
        </row>
        <row r="24">
          <cell r="B24">
            <v>1</v>
          </cell>
          <cell r="C24">
            <v>1</v>
          </cell>
          <cell r="I24">
            <v>1.111111111111111E-2</v>
          </cell>
          <cell r="J24">
            <v>0.66666666666666663</v>
          </cell>
        </row>
        <row r="25">
          <cell r="B25">
            <v>2</v>
          </cell>
          <cell r="C25">
            <v>2</v>
          </cell>
          <cell r="I25">
            <v>2.222222222222222E-2</v>
          </cell>
          <cell r="J25">
            <v>0.66666666666666663</v>
          </cell>
        </row>
        <row r="26">
          <cell r="B26">
            <v>3</v>
          </cell>
          <cell r="C26">
            <v>4</v>
          </cell>
          <cell r="I26">
            <v>4.4444444444444439E-2</v>
          </cell>
          <cell r="J26">
            <v>0.66666666666666663</v>
          </cell>
        </row>
        <row r="27">
          <cell r="B27">
            <v>4</v>
          </cell>
          <cell r="C27">
            <v>6</v>
          </cell>
          <cell r="I27">
            <v>6.6666666666666666E-2</v>
          </cell>
          <cell r="J27">
            <v>0.66666666666666663</v>
          </cell>
        </row>
        <row r="31">
          <cell r="N31">
            <v>5.5555555555555559E-2</v>
          </cell>
          <cell r="O31">
            <v>0.11111111111111112</v>
          </cell>
          <cell r="P31">
            <v>0.22222222222222224</v>
          </cell>
          <cell r="Q31">
            <v>0.33333333333333337</v>
          </cell>
        </row>
        <row r="50"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</row>
      </sheetData>
      <sheetData sheetId="12">
        <row r="1">
          <cell r="B1">
            <v>0.3</v>
          </cell>
        </row>
        <row r="4">
          <cell r="D4">
            <v>0</v>
          </cell>
          <cell r="E4">
            <v>0</v>
          </cell>
          <cell r="F4">
            <v>0</v>
          </cell>
        </row>
        <row r="5">
          <cell r="D5">
            <v>1</v>
          </cell>
          <cell r="E5">
            <v>0.19380669946781492</v>
          </cell>
          <cell r="F5">
            <v>5.8142009840344476E-2</v>
          </cell>
        </row>
        <row r="6">
          <cell r="D6">
            <v>2</v>
          </cell>
          <cell r="E6">
            <v>0.2325680393613779</v>
          </cell>
          <cell r="F6">
            <v>6.9770411808413368E-2</v>
          </cell>
        </row>
        <row r="7">
          <cell r="D7">
            <v>3</v>
          </cell>
          <cell r="E7">
            <v>0.27908164723365347</v>
          </cell>
          <cell r="F7">
            <v>8.3724494170096045E-2</v>
          </cell>
        </row>
        <row r="8">
          <cell r="D8">
            <v>4</v>
          </cell>
          <cell r="E8">
            <v>0.33489797668038418</v>
          </cell>
          <cell r="F8">
            <v>0.10046939300411525</v>
          </cell>
        </row>
        <row r="9">
          <cell r="D9">
            <v>5</v>
          </cell>
          <cell r="E9">
            <v>0.40187757201646102</v>
          </cell>
          <cell r="F9">
            <v>0.12056327160493829</v>
          </cell>
        </row>
        <row r="10">
          <cell r="D10">
            <v>6</v>
          </cell>
          <cell r="E10">
            <v>0.48225308641975323</v>
          </cell>
          <cell r="F10">
            <v>0.14467592592592596</v>
          </cell>
        </row>
        <row r="11">
          <cell r="D11">
            <v>7</v>
          </cell>
          <cell r="E11">
            <v>0.57870370370370383</v>
          </cell>
          <cell r="F11">
            <v>0.17361111111111113</v>
          </cell>
        </row>
        <row r="12">
          <cell r="D12">
            <v>8</v>
          </cell>
          <cell r="E12">
            <v>0.69444444444444453</v>
          </cell>
          <cell r="F12">
            <v>0.20833333333333334</v>
          </cell>
        </row>
        <row r="13">
          <cell r="D13">
            <v>9</v>
          </cell>
          <cell r="E13">
            <v>0.83333333333333337</v>
          </cell>
          <cell r="F13">
            <v>0.25</v>
          </cell>
        </row>
        <row r="14">
          <cell r="D14">
            <v>10</v>
          </cell>
          <cell r="E14">
            <v>1</v>
          </cell>
          <cell r="F14">
            <v>0.3</v>
          </cell>
        </row>
      </sheetData>
      <sheetData sheetId="13" refreshError="1"/>
      <sheetData sheetId="14">
        <row r="2">
          <cell r="B2">
            <v>8</v>
          </cell>
        </row>
        <row r="37">
          <cell r="E37">
            <v>1</v>
          </cell>
          <cell r="F37">
            <v>52264.213093120743</v>
          </cell>
          <cell r="G37">
            <v>1474.8064171122999</v>
          </cell>
          <cell r="H37">
            <v>796.61698440207999</v>
          </cell>
          <cell r="I37">
            <v>2083.333333333333</v>
          </cell>
          <cell r="J37">
            <v>2083.333333333333</v>
          </cell>
          <cell r="K37">
            <v>1851.8518518518517</v>
          </cell>
          <cell r="L37">
            <v>1190.4761904761904</v>
          </cell>
          <cell r="M37">
            <v>1851.8518518518517</v>
          </cell>
          <cell r="N37">
            <v>0</v>
          </cell>
          <cell r="O37">
            <v>0</v>
          </cell>
        </row>
        <row r="38">
          <cell r="E38">
            <v>2</v>
          </cell>
          <cell r="F38">
            <v>52264.213093120743</v>
          </cell>
          <cell r="G38">
            <v>1474.8064171122999</v>
          </cell>
          <cell r="H38">
            <v>796.61698440207999</v>
          </cell>
          <cell r="I38">
            <v>2083.333333333333</v>
          </cell>
          <cell r="J38">
            <v>2083.333333333333</v>
          </cell>
          <cell r="K38">
            <v>1851.8518518518517</v>
          </cell>
          <cell r="L38">
            <v>1190.4761904761904</v>
          </cell>
          <cell r="M38">
            <v>1851.8518518518517</v>
          </cell>
          <cell r="N38">
            <v>0</v>
          </cell>
          <cell r="O38">
            <v>0</v>
          </cell>
        </row>
        <row r="39">
          <cell r="E39">
            <v>3</v>
          </cell>
          <cell r="F39">
            <v>52264.213093120743</v>
          </cell>
          <cell r="G39">
            <v>1474.8064171122999</v>
          </cell>
          <cell r="H39">
            <v>796.61698440207999</v>
          </cell>
          <cell r="I39">
            <v>2083.333333333333</v>
          </cell>
          <cell r="J39">
            <v>2083.333333333333</v>
          </cell>
          <cell r="K39">
            <v>1851.8518518518517</v>
          </cell>
          <cell r="L39">
            <v>1190.4761904761904</v>
          </cell>
          <cell r="M39">
            <v>1851.8518518518517</v>
          </cell>
          <cell r="N39">
            <v>0</v>
          </cell>
          <cell r="O39">
            <v>0</v>
          </cell>
        </row>
        <row r="40">
          <cell r="E40">
            <v>4</v>
          </cell>
          <cell r="F40">
            <v>52264.213093120743</v>
          </cell>
          <cell r="G40">
            <v>1474.8064171122999</v>
          </cell>
          <cell r="H40">
            <v>796.61698440207999</v>
          </cell>
          <cell r="I40">
            <v>2083.333333333333</v>
          </cell>
          <cell r="J40">
            <v>2083.333333333333</v>
          </cell>
          <cell r="K40">
            <v>1851.8518518518517</v>
          </cell>
          <cell r="L40">
            <v>1190.4761904761904</v>
          </cell>
          <cell r="M40">
            <v>1851.8518518518517</v>
          </cell>
          <cell r="N40">
            <v>0</v>
          </cell>
          <cell r="O40">
            <v>0</v>
          </cell>
        </row>
        <row r="41">
          <cell r="E41">
            <v>5</v>
          </cell>
          <cell r="F41">
            <v>52264.213093120743</v>
          </cell>
          <cell r="G41">
            <v>1474.8064171122999</v>
          </cell>
          <cell r="H41">
            <v>796.61698440207999</v>
          </cell>
          <cell r="I41">
            <v>2083.333333333333</v>
          </cell>
          <cell r="J41">
            <v>2083.333333333333</v>
          </cell>
          <cell r="K41">
            <v>1851.8518518518517</v>
          </cell>
          <cell r="L41">
            <v>1190.4761904761904</v>
          </cell>
          <cell r="M41">
            <v>1851.8518518518517</v>
          </cell>
          <cell r="N41">
            <v>0</v>
          </cell>
          <cell r="O41">
            <v>0</v>
          </cell>
        </row>
        <row r="42">
          <cell r="E42">
            <v>6</v>
          </cell>
          <cell r="F42">
            <v>52264.213093120743</v>
          </cell>
          <cell r="G42">
            <v>1474.8064171122999</v>
          </cell>
          <cell r="H42">
            <v>796.61698440207999</v>
          </cell>
          <cell r="I42">
            <v>2083.333333333333</v>
          </cell>
          <cell r="J42">
            <v>2083.333333333333</v>
          </cell>
          <cell r="K42">
            <v>1851.8518518518517</v>
          </cell>
          <cell r="L42">
            <v>1190.4761904761904</v>
          </cell>
          <cell r="M42">
            <v>1851.8518518518517</v>
          </cell>
          <cell r="N42">
            <v>0</v>
          </cell>
          <cell r="O42">
            <v>0</v>
          </cell>
        </row>
        <row r="43">
          <cell r="E43" t="str">
            <v>ALL</v>
          </cell>
          <cell r="F43">
            <v>313585.27855872444</v>
          </cell>
          <cell r="G43">
            <v>8848.8385026737997</v>
          </cell>
          <cell r="H43">
            <v>4779.7019064124797</v>
          </cell>
          <cell r="I43">
            <v>12499.999999999996</v>
          </cell>
          <cell r="J43">
            <v>12499.999999999996</v>
          </cell>
          <cell r="K43">
            <v>11111.111111111111</v>
          </cell>
          <cell r="L43">
            <v>7142.8571428571431</v>
          </cell>
          <cell r="M43">
            <v>11111.111111111111</v>
          </cell>
          <cell r="N43">
            <v>0</v>
          </cell>
          <cell r="O43">
            <v>0</v>
          </cell>
        </row>
        <row r="65">
          <cell r="F65">
            <v>2726.8285092062993</v>
          </cell>
          <cell r="G65">
            <v>0</v>
          </cell>
          <cell r="H65">
            <v>136.56291161178513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F66">
            <v>4090.2427638094487</v>
          </cell>
          <cell r="G66">
            <v>252.82395721925138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</row>
        <row r="67">
          <cell r="F67">
            <v>8180.4855276188973</v>
          </cell>
          <cell r="G67">
            <v>0</v>
          </cell>
          <cell r="H67">
            <v>273.12582322357025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</row>
        <row r="68">
          <cell r="F68">
            <v>9543.8997822220481</v>
          </cell>
          <cell r="G68">
            <v>505.64791443850277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</row>
        <row r="69">
          <cell r="F69">
            <v>16360.971055237795</v>
          </cell>
          <cell r="G69">
            <v>0</v>
          </cell>
          <cell r="H69">
            <v>546.2516464471405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</row>
        <row r="70">
          <cell r="F70">
            <v>21814.628073650394</v>
          </cell>
          <cell r="G70">
            <v>1011.2958288770055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</row>
      </sheetData>
      <sheetData sheetId="15">
        <row r="1">
          <cell r="B1">
            <v>8</v>
          </cell>
        </row>
        <row r="4">
          <cell r="B4" t="str">
            <v>命格</v>
          </cell>
        </row>
        <row r="6">
          <cell r="D6">
            <v>1</v>
          </cell>
          <cell r="E6">
            <v>0.125</v>
          </cell>
          <cell r="F6">
            <v>0.125</v>
          </cell>
        </row>
        <row r="7">
          <cell r="D7">
            <v>7</v>
          </cell>
          <cell r="E7">
            <v>0.875</v>
          </cell>
          <cell r="F7">
            <v>0.875</v>
          </cell>
        </row>
        <row r="8">
          <cell r="D8">
            <v>1</v>
          </cell>
          <cell r="F8">
            <v>0.125</v>
          </cell>
          <cell r="G8">
            <v>1</v>
          </cell>
        </row>
        <row r="12">
          <cell r="C12" t="str">
            <v>品质ID</v>
          </cell>
          <cell r="D12" t="str">
            <v>品质颜色</v>
          </cell>
          <cell r="E12" t="str">
            <v>占比系数</v>
          </cell>
          <cell r="F12" t="str">
            <v>百分比</v>
          </cell>
          <cell r="G12" t="str">
            <v>命格属性</v>
          </cell>
          <cell r="H12" t="str">
            <v>每级别命格属性</v>
          </cell>
        </row>
        <row r="13">
          <cell r="C13">
            <v>1</v>
          </cell>
          <cell r="D13" t="str">
            <v>绿</v>
          </cell>
          <cell r="E13">
            <v>1</v>
          </cell>
          <cell r="F13">
            <v>9.5259868922420346E-2</v>
          </cell>
          <cell r="G13">
            <v>1.1907483615302543E-2</v>
          </cell>
          <cell r="H13">
            <v>1.1907483615302543E-2</v>
          </cell>
        </row>
        <row r="14">
          <cell r="C14">
            <v>2</v>
          </cell>
          <cell r="D14" t="str">
            <v>蓝</v>
          </cell>
          <cell r="E14">
            <v>1.8</v>
          </cell>
          <cell r="F14">
            <v>0.17146776406035663</v>
          </cell>
          <cell r="G14">
            <v>2.1433470507544579E-2</v>
          </cell>
          <cell r="H14">
            <v>2.1433470507544579E-2</v>
          </cell>
        </row>
        <row r="15">
          <cell r="C15">
            <v>3</v>
          </cell>
          <cell r="D15" t="str">
            <v>紫</v>
          </cell>
          <cell r="E15">
            <v>3.24</v>
          </cell>
          <cell r="F15">
            <v>0.30864197530864196</v>
          </cell>
          <cell r="G15">
            <v>3.8580246913580245E-2</v>
          </cell>
          <cell r="H15">
            <v>3.8580246913580245E-2</v>
          </cell>
        </row>
        <row r="16">
          <cell r="C16">
            <v>4</v>
          </cell>
          <cell r="D16" t="str">
            <v>橙</v>
          </cell>
          <cell r="E16">
            <v>5.8320000000000007</v>
          </cell>
          <cell r="F16">
            <v>0.55555555555555547</v>
          </cell>
          <cell r="G16">
            <v>6.9444444444444434E-2</v>
          </cell>
          <cell r="H16">
            <v>6.9444444444444434E-2</v>
          </cell>
        </row>
        <row r="17">
          <cell r="C17">
            <v>5</v>
          </cell>
          <cell r="D17" t="str">
            <v>红</v>
          </cell>
          <cell r="E17">
            <v>10.497600000000002</v>
          </cell>
          <cell r="F17">
            <v>1</v>
          </cell>
          <cell r="G17">
            <v>0.125</v>
          </cell>
          <cell r="H17">
            <v>0.125</v>
          </cell>
        </row>
      </sheetData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怪物表"/>
      <sheetName val="怪物信息配置表"/>
      <sheetName val="远征副本等级难度系数控制"/>
      <sheetName val="英雄之路怪物"/>
      <sheetName val="配置说明"/>
      <sheetName val="怪物信息表"/>
      <sheetName val="人物成长模拟表"/>
      <sheetName val="人物&amp;怪物成长分析"/>
      <sheetName val="副本难度推算"/>
      <sheetName val="怪物并表"/>
      <sheetName val="普通副本怪物"/>
      <sheetName val="精英副本怪物"/>
      <sheetName val="金币副本怪物"/>
      <sheetName val="材料副本怪物"/>
      <sheetName val="马仔经验副本怪物"/>
      <sheetName val="命运副本怪物"/>
      <sheetName val="BOSS副本怪物"/>
      <sheetName val="BOSS副本数值"/>
    </sheetNames>
    <sheetDataSet>
      <sheetData sheetId="0"/>
      <sheetData sheetId="1">
        <row r="2">
          <cell r="B2">
            <v>1001</v>
          </cell>
          <cell r="C2">
            <v>1000</v>
          </cell>
          <cell r="D2">
            <v>50</v>
          </cell>
          <cell r="E2">
            <v>11.875</v>
          </cell>
          <cell r="F2" t="str">
            <v>ai_monster</v>
          </cell>
          <cell r="G2" t="str">
            <v>ai_BOSS_01</v>
          </cell>
          <cell r="H2" t="str">
            <v>1001_quanbing_BOSS</v>
          </cell>
        </row>
        <row r="3">
          <cell r="B3">
            <v>1002</v>
          </cell>
          <cell r="C3">
            <v>1000</v>
          </cell>
          <cell r="D3">
            <v>50</v>
          </cell>
          <cell r="E3">
            <v>11.875</v>
          </cell>
          <cell r="F3" t="str">
            <v>ai_monster</v>
          </cell>
          <cell r="G3" t="str">
            <v>ai_BOSS_01</v>
          </cell>
          <cell r="H3" t="str">
            <v>1002_nvjiubao_BOSS</v>
          </cell>
        </row>
        <row r="4">
          <cell r="B4">
            <v>1003</v>
          </cell>
          <cell r="C4">
            <v>1000</v>
          </cell>
          <cell r="D4">
            <v>50</v>
          </cell>
          <cell r="E4">
            <v>11.875</v>
          </cell>
          <cell r="F4" t="str">
            <v>ai_monster_02</v>
          </cell>
          <cell r="G4" t="str">
            <v>ai_BOSS_01</v>
          </cell>
          <cell r="H4" t="str">
            <v>1003_FDB_BOSS</v>
          </cell>
        </row>
        <row r="5">
          <cell r="B5">
            <v>1004</v>
          </cell>
          <cell r="C5">
            <v>1000</v>
          </cell>
          <cell r="D5">
            <v>50</v>
          </cell>
          <cell r="E5">
            <v>11.875</v>
          </cell>
          <cell r="F5" t="str">
            <v>ai_monster</v>
          </cell>
          <cell r="G5" t="str">
            <v>ai_BOSS_01</v>
          </cell>
          <cell r="H5" t="str">
            <v>1004_pangzi_BOSS</v>
          </cell>
        </row>
        <row r="6">
          <cell r="B6">
            <v>1005</v>
          </cell>
          <cell r="C6">
            <v>1000</v>
          </cell>
          <cell r="D6">
            <v>50</v>
          </cell>
          <cell r="E6">
            <v>11.875</v>
          </cell>
          <cell r="F6" t="str">
            <v>ai_monster_02</v>
          </cell>
          <cell r="G6" t="str">
            <v>ai_BOSS_01</v>
          </cell>
          <cell r="H6" t="str">
            <v>1005_JQB_BOSS</v>
          </cell>
        </row>
        <row r="7">
          <cell r="B7">
            <v>1006</v>
          </cell>
          <cell r="C7">
            <v>1000</v>
          </cell>
          <cell r="D7">
            <v>50</v>
          </cell>
          <cell r="E7">
            <v>11.875</v>
          </cell>
          <cell r="F7" t="str">
            <v>ai_monster_03</v>
          </cell>
          <cell r="G7" t="str">
            <v>1006_jingcha_BOSS</v>
          </cell>
          <cell r="H7" t="str">
            <v>1006_jingcha_BOSS</v>
          </cell>
        </row>
        <row r="8">
          <cell r="B8">
            <v>1007</v>
          </cell>
          <cell r="C8">
            <v>1000</v>
          </cell>
          <cell r="D8">
            <v>50</v>
          </cell>
          <cell r="E8">
            <v>11.875</v>
          </cell>
          <cell r="F8" t="str">
            <v>ai_monster_03</v>
          </cell>
          <cell r="G8" t="str">
            <v>ai_BOSS_01</v>
          </cell>
          <cell r="H8" t="str">
            <v>ai_BOSS_01</v>
          </cell>
        </row>
        <row r="9">
          <cell r="B9">
            <v>1008</v>
          </cell>
          <cell r="C9">
            <v>1000</v>
          </cell>
          <cell r="D9">
            <v>50</v>
          </cell>
          <cell r="E9">
            <v>11.875</v>
          </cell>
          <cell r="F9" t="str">
            <v>ai_monster</v>
          </cell>
          <cell r="G9" t="str">
            <v>ai_BOSS_01</v>
          </cell>
          <cell r="H9" t="str">
            <v>ai_BOSS_01</v>
          </cell>
        </row>
        <row r="10">
          <cell r="B10">
            <v>1009</v>
          </cell>
          <cell r="C10">
            <v>1000</v>
          </cell>
          <cell r="D10">
            <v>50</v>
          </cell>
          <cell r="E10">
            <v>11.875</v>
          </cell>
          <cell r="F10" t="str">
            <v>ai_monster</v>
          </cell>
          <cell r="G10" t="str">
            <v>ai_BOSS_01</v>
          </cell>
          <cell r="H10" t="str">
            <v>1009_tiequan_BOSS</v>
          </cell>
        </row>
        <row r="11">
          <cell r="B11">
            <v>1010</v>
          </cell>
          <cell r="C11">
            <v>1000</v>
          </cell>
          <cell r="D11">
            <v>50</v>
          </cell>
          <cell r="E11">
            <v>11.875</v>
          </cell>
          <cell r="F11" t="str">
            <v>ai_monster</v>
          </cell>
          <cell r="G11" t="str">
            <v>ai_BOSS_01</v>
          </cell>
          <cell r="H11" t="str">
            <v>1010_gunnan_BOSS</v>
          </cell>
        </row>
        <row r="12">
          <cell r="B12">
            <v>1012</v>
          </cell>
          <cell r="C12">
            <v>1000</v>
          </cell>
          <cell r="D12">
            <v>50</v>
          </cell>
          <cell r="E12">
            <v>11.875</v>
          </cell>
          <cell r="F12" t="str">
            <v>ai_monster_03</v>
          </cell>
          <cell r="G12" t="str">
            <v>ai_BOSS_01</v>
          </cell>
          <cell r="H12" t="str">
            <v>1012_jianke_BOSS</v>
          </cell>
        </row>
        <row r="13">
          <cell r="B13">
            <v>1013</v>
          </cell>
          <cell r="C13">
            <v>1000</v>
          </cell>
          <cell r="D13">
            <v>50</v>
          </cell>
          <cell r="E13">
            <v>11.875</v>
          </cell>
          <cell r="F13" t="str">
            <v>ai_monster_02</v>
          </cell>
          <cell r="G13" t="str">
            <v>ai_BOSS_01</v>
          </cell>
          <cell r="H13" t="str">
            <v>1013_nvrenzhe_BOSS</v>
          </cell>
        </row>
        <row r="14">
          <cell r="B14">
            <v>1011</v>
          </cell>
          <cell r="C14">
            <v>1000</v>
          </cell>
          <cell r="D14">
            <v>50</v>
          </cell>
          <cell r="E14">
            <v>11.875</v>
          </cell>
          <cell r="F14" t="str">
            <v>ai_monster</v>
          </cell>
          <cell r="G14" t="str">
            <v>ai_BOSS_01</v>
          </cell>
          <cell r="H14" t="str">
            <v>1011_jichenan_BOSS</v>
          </cell>
        </row>
        <row r="15">
          <cell r="B15">
            <v>1014</v>
          </cell>
          <cell r="C15">
            <v>800</v>
          </cell>
          <cell r="D15">
            <v>50</v>
          </cell>
          <cell r="E15">
            <v>9.375</v>
          </cell>
          <cell r="F15" t="str">
            <v>ai_monster_03</v>
          </cell>
          <cell r="G15" t="str">
            <v>ai_BOSS_01</v>
          </cell>
          <cell r="H15" t="str">
            <v>1014_xiangpu_BOSS</v>
          </cell>
        </row>
        <row r="16">
          <cell r="B16">
            <v>1015</v>
          </cell>
          <cell r="C16">
            <v>800</v>
          </cell>
          <cell r="D16">
            <v>50</v>
          </cell>
          <cell r="E16">
            <v>9.375</v>
          </cell>
          <cell r="F16" t="str">
            <v>ai_monster_03</v>
          </cell>
          <cell r="G16" t="str">
            <v>ai_BOSS_01</v>
          </cell>
          <cell r="H16" t="str">
            <v>ai_BOSS_01</v>
          </cell>
        </row>
        <row r="17">
          <cell r="B17">
            <v>1101</v>
          </cell>
          <cell r="C17">
            <v>1000</v>
          </cell>
          <cell r="D17">
            <v>50</v>
          </cell>
          <cell r="E17">
            <v>11.875</v>
          </cell>
          <cell r="F17" t="str">
            <v>ai_monster</v>
          </cell>
          <cell r="G17" t="str">
            <v>ai_BOSS_01</v>
          </cell>
          <cell r="H17" t="str">
            <v>1101_liangkun_BOSS</v>
          </cell>
        </row>
        <row r="18">
          <cell r="B18">
            <v>1102</v>
          </cell>
          <cell r="C18">
            <v>1000</v>
          </cell>
          <cell r="D18">
            <v>50</v>
          </cell>
          <cell r="E18">
            <v>11.875</v>
          </cell>
          <cell r="F18" t="str">
            <v>ai_monster_02</v>
          </cell>
          <cell r="G18" t="str">
            <v>ai_BOSS_01</v>
          </cell>
          <cell r="H18" t="str">
            <v>1102_wuya_BOSS</v>
          </cell>
        </row>
        <row r="19">
          <cell r="B19">
            <v>1103</v>
          </cell>
          <cell r="C19">
            <v>800</v>
          </cell>
          <cell r="D19">
            <v>50</v>
          </cell>
          <cell r="E19">
            <v>9.375</v>
          </cell>
          <cell r="F19" t="str">
            <v>ai_monster</v>
          </cell>
          <cell r="G19" t="str">
            <v>ai_BOSS_01</v>
          </cell>
          <cell r="H19" t="str">
            <v>1103_situ_BOSS</v>
          </cell>
        </row>
        <row r="20">
          <cell r="B20">
            <v>1104</v>
          </cell>
          <cell r="C20">
            <v>800</v>
          </cell>
          <cell r="D20">
            <v>50</v>
          </cell>
          <cell r="E20">
            <v>9.375</v>
          </cell>
          <cell r="F20" t="str">
            <v>ai_monster</v>
          </cell>
          <cell r="G20" t="str">
            <v>ai_BOSS_01</v>
          </cell>
          <cell r="H20" t="str">
            <v>1104_duwang_BOSS</v>
          </cell>
        </row>
        <row r="21">
          <cell r="B21">
            <v>1105</v>
          </cell>
          <cell r="C21">
            <v>800</v>
          </cell>
          <cell r="D21">
            <v>50</v>
          </cell>
          <cell r="E21">
            <v>9.375</v>
          </cell>
          <cell r="F21" t="str">
            <v>ai_monster_02</v>
          </cell>
          <cell r="G21" t="str">
            <v>ai_BOSS_01</v>
          </cell>
          <cell r="H21" t="str">
            <v>1105_leigong_BOSS</v>
          </cell>
        </row>
        <row r="22">
          <cell r="B22">
            <v>1106</v>
          </cell>
          <cell r="C22">
            <v>800</v>
          </cell>
          <cell r="D22">
            <v>50</v>
          </cell>
          <cell r="E22">
            <v>9.375</v>
          </cell>
          <cell r="F22" t="str">
            <v>ai_monster</v>
          </cell>
          <cell r="G22" t="str">
            <v>ai_BOSS_01</v>
          </cell>
          <cell r="H22" t="str">
            <v>1106_shankou_BOSS</v>
          </cell>
        </row>
        <row r="23">
          <cell r="B23">
            <v>1107</v>
          </cell>
          <cell r="C23">
            <v>500</v>
          </cell>
          <cell r="D23">
            <v>50</v>
          </cell>
          <cell r="E23">
            <v>5.625</v>
          </cell>
          <cell r="F23" t="str">
            <v>ai_monster</v>
          </cell>
          <cell r="G23" t="str">
            <v>1107_CHN_BOSS</v>
          </cell>
          <cell r="H23" t="str">
            <v>1107_CHN_BOSS</v>
          </cell>
        </row>
        <row r="24">
          <cell r="B24">
            <v>1108</v>
          </cell>
          <cell r="C24">
            <v>500</v>
          </cell>
          <cell r="D24">
            <v>50</v>
          </cell>
          <cell r="E24">
            <v>5.625</v>
          </cell>
          <cell r="F24" t="str">
            <v>ai_monster</v>
          </cell>
          <cell r="G24" t="str">
            <v>1108_shanji_BOSS</v>
          </cell>
          <cell r="H24" t="str">
            <v>1108_shanji_BOSS</v>
          </cell>
        </row>
        <row r="25">
          <cell r="B25">
            <v>1109</v>
          </cell>
          <cell r="C25">
            <v>500</v>
          </cell>
          <cell r="D25">
            <v>50</v>
          </cell>
          <cell r="E25">
            <v>5.625</v>
          </cell>
          <cell r="F25" t="str">
            <v>ai_monster</v>
          </cell>
          <cell r="G25" t="str">
            <v>1109_datianer_BOSS</v>
          </cell>
          <cell r="H25" t="str">
            <v>1109_datianer_BOSS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</sheetNames>
    <sheetDataSet>
      <sheetData sheetId="0"/>
      <sheetData sheetId="1"/>
      <sheetData sheetId="2">
        <row r="3">
          <cell r="K3">
            <v>20</v>
          </cell>
        </row>
        <row r="4">
          <cell r="K4">
            <v>0</v>
          </cell>
        </row>
        <row r="5">
          <cell r="K5">
            <v>3.9445677061810437E-3</v>
          </cell>
        </row>
        <row r="6">
          <cell r="K6">
            <v>0</v>
          </cell>
        </row>
        <row r="7">
          <cell r="K7">
            <v>0</v>
          </cell>
        </row>
        <row r="8">
          <cell r="K8">
            <v>1.1429132071755332E-2</v>
          </cell>
        </row>
        <row r="9">
          <cell r="K9">
            <v>-3.0342828509084953E-3</v>
          </cell>
        </row>
        <row r="10">
          <cell r="K10">
            <v>1.3805986971633653E-2</v>
          </cell>
        </row>
        <row r="11">
          <cell r="K11">
            <v>7.6362785081197128E-3</v>
          </cell>
        </row>
        <row r="12">
          <cell r="K12">
            <v>1.8256268486299448E-2</v>
          </cell>
        </row>
        <row r="13">
          <cell r="K13">
            <v>4.5927052792990482E-3</v>
          </cell>
        </row>
        <row r="14">
          <cell r="K14">
            <v>1.6755803876123999E-2</v>
          </cell>
        </row>
        <row r="15">
          <cell r="K15">
            <v>1.2163098596824953E-2</v>
          </cell>
        </row>
        <row r="16">
          <cell r="K16">
            <v>-2.5386052258103531E-2</v>
          </cell>
        </row>
        <row r="17">
          <cell r="K17">
            <v>2.7303885231876761E-2</v>
          </cell>
        </row>
        <row r="18">
          <cell r="K18">
            <v>1.3677177260330133E-2</v>
          </cell>
        </row>
        <row r="19">
          <cell r="K19">
            <v>4.4917667017320362E-2</v>
          </cell>
        </row>
        <row r="20">
          <cell r="K20">
            <v>4.3454057642598687E-2</v>
          </cell>
        </row>
        <row r="21">
          <cell r="K21">
            <v>6.8941048478269235E-2</v>
          </cell>
        </row>
        <row r="22">
          <cell r="K22">
            <v>3.8306190186681077E-2</v>
          </cell>
        </row>
        <row r="23">
          <cell r="K23">
            <v>6.3916494665177695E-2</v>
          </cell>
        </row>
        <row r="24">
          <cell r="K24">
            <v>7.7918689713971548E-2</v>
          </cell>
        </row>
        <row r="25">
          <cell r="K25">
            <v>9.4338529951046357E-2</v>
          </cell>
        </row>
        <row r="26">
          <cell r="K26">
            <v>0.16349325585749946</v>
          </cell>
        </row>
        <row r="27">
          <cell r="K27">
            <v>0.13538813054373336</v>
          </cell>
        </row>
        <row r="28">
          <cell r="K28">
            <v>0.21602667109452101</v>
          </cell>
        </row>
        <row r="29">
          <cell r="K29">
            <v>0.21673181760776961</v>
          </cell>
        </row>
        <row r="30">
          <cell r="K30">
            <v>0.28120235596192833</v>
          </cell>
        </row>
        <row r="31">
          <cell r="K31">
            <v>0.21325645264961574</v>
          </cell>
        </row>
        <row r="32">
          <cell r="K32">
            <v>0.27752552057141772</v>
          </cell>
        </row>
        <row r="33">
          <cell r="K33">
            <v>0.31240528000596091</v>
          </cell>
        </row>
        <row r="34">
          <cell r="K34">
            <v>0.40479480609621937</v>
          </cell>
        </row>
        <row r="35">
          <cell r="K35">
            <v>0.50924825289467257</v>
          </cell>
        </row>
        <row r="36">
          <cell r="K36">
            <v>0.45998724333621055</v>
          </cell>
        </row>
        <row r="37">
          <cell r="K37">
            <v>0.6317473144191339</v>
          </cell>
        </row>
        <row r="38">
          <cell r="K38">
            <v>0.60282897688048043</v>
          </cell>
        </row>
        <row r="39">
          <cell r="K39">
            <v>0.72482388247729956</v>
          </cell>
        </row>
        <row r="40">
          <cell r="K40">
            <v>0.62033794316086177</v>
          </cell>
        </row>
        <row r="41">
          <cell r="K41">
            <v>0.81241603540969376</v>
          </cell>
        </row>
        <row r="42">
          <cell r="K42">
            <v>0.82344195201328518</v>
          </cell>
        </row>
        <row r="43">
          <cell r="K43">
            <v>0.97359582615639106</v>
          </cell>
        </row>
        <row r="44">
          <cell r="K44">
            <v>1.1458513919640054</v>
          </cell>
        </row>
        <row r="45">
          <cell r="K45">
            <v>1.0838356097031341</v>
          </cell>
        </row>
        <row r="46">
          <cell r="K46">
            <v>1.3593878364433654</v>
          </cell>
        </row>
        <row r="47">
          <cell r="K47">
            <v>1.3870658626466179</v>
          </cell>
        </row>
        <row r="48">
          <cell r="K48">
            <v>1.6016886460383921</v>
          </cell>
        </row>
        <row r="49">
          <cell r="K49">
            <v>1.4367540598579178</v>
          </cell>
        </row>
        <row r="50">
          <cell r="K50">
            <v>1.7664343037123595</v>
          </cell>
        </row>
        <row r="51">
          <cell r="K51">
            <v>1.7926953661168108</v>
          </cell>
        </row>
        <row r="52">
          <cell r="K52">
            <v>2.0544085797554157</v>
          </cell>
        </row>
        <row r="53">
          <cell r="K53">
            <v>2.2075680681676784</v>
          </cell>
        </row>
        <row r="54">
          <cell r="K54">
            <v>2.2183166858357382</v>
          </cell>
        </row>
        <row r="55">
          <cell r="K55">
            <v>2.125539143858802</v>
          </cell>
        </row>
        <row r="56">
          <cell r="K56">
            <v>2.7215688507766904</v>
          </cell>
        </row>
        <row r="57">
          <cell r="K57">
            <v>2.9130639602839641</v>
          </cell>
        </row>
        <row r="58">
          <cell r="K58">
            <v>3.1151662582794546</v>
          </cell>
        </row>
        <row r="59">
          <cell r="K59">
            <v>3.3046813592689279</v>
          </cell>
        </row>
        <row r="60">
          <cell r="K60">
            <v>3.5243680186248847</v>
          </cell>
        </row>
        <row r="61">
          <cell r="K61">
            <v>3.7556990137879058</v>
          </cell>
        </row>
        <row r="62">
          <cell r="K62">
            <v>3.7162874156716872</v>
          </cell>
        </row>
        <row r="63">
          <cell r="K63">
            <v>4.2328191787174303</v>
          </cell>
        </row>
        <row r="64">
          <cell r="K64">
            <v>4.1245001144036824</v>
          </cell>
        </row>
        <row r="65">
          <cell r="K65">
            <v>4.7822255188248688</v>
          </cell>
        </row>
        <row r="66">
          <cell r="K66">
            <v>5.0769738328393421</v>
          </cell>
        </row>
        <row r="67">
          <cell r="K67">
            <v>5.3762864167228139</v>
          </cell>
        </row>
        <row r="68">
          <cell r="K68">
            <v>5.6569184321733754</v>
          </cell>
        </row>
        <row r="69">
          <cell r="K69">
            <v>5.9758056167321376</v>
          </cell>
        </row>
        <row r="70">
          <cell r="K70">
            <v>6.309844295082832</v>
          </cell>
        </row>
        <row r="71">
          <cell r="K71">
            <v>6.6593638475252828</v>
          </cell>
        </row>
        <row r="72">
          <cell r="K72">
            <v>7.0248348173449529</v>
          </cell>
        </row>
        <row r="73">
          <cell r="K73">
            <v>6.8526580263280135</v>
          </cell>
        </row>
        <row r="74">
          <cell r="K74">
            <v>7.7671316597426729</v>
          </cell>
        </row>
        <row r="75">
          <cell r="K75">
            <v>8.1587335885296604</v>
          </cell>
        </row>
        <row r="76">
          <cell r="K76">
            <v>8.56794774126665</v>
          </cell>
        </row>
        <row r="77">
          <cell r="K77">
            <v>8.9858505911523086</v>
          </cell>
        </row>
        <row r="78">
          <cell r="K78">
            <v>10.173712906201539</v>
          </cell>
        </row>
        <row r="79">
          <cell r="K79">
            <v>10.676060499186141</v>
          </cell>
        </row>
        <row r="80">
          <cell r="K80">
            <v>11.197851987411546</v>
          </cell>
        </row>
        <row r="81">
          <cell r="K81">
            <v>11.739510064252554</v>
          </cell>
        </row>
        <row r="82">
          <cell r="K82">
            <v>12.301551354945033</v>
          </cell>
        </row>
        <row r="83">
          <cell r="K83">
            <v>12.860285707387431</v>
          </cell>
        </row>
        <row r="84">
          <cell r="K84">
            <v>13.463369428173399</v>
          </cell>
        </row>
        <row r="85">
          <cell r="K85">
            <v>14.088204477870731</v>
          </cell>
        </row>
        <row r="86">
          <cell r="K86">
            <v>14.735306512983788</v>
          </cell>
        </row>
        <row r="87">
          <cell r="K87">
            <v>15.386393166539662</v>
          </cell>
        </row>
        <row r="88">
          <cell r="K88">
            <v>16.857654929218839</v>
          </cell>
        </row>
        <row r="89">
          <cell r="K89">
            <v>17.602637944433031</v>
          </cell>
        </row>
        <row r="90">
          <cell r="K90">
            <v>18.371856815352345</v>
          </cell>
        </row>
        <row r="91">
          <cell r="K91">
            <v>19.165920954209206</v>
          </cell>
        </row>
        <row r="92">
          <cell r="K92">
            <v>19.985299139643946</v>
          </cell>
        </row>
        <row r="93">
          <cell r="K93">
            <v>20.791473755107301</v>
          </cell>
        </row>
        <row r="94">
          <cell r="K94">
            <v>21.661442589845009</v>
          </cell>
        </row>
        <row r="95">
          <cell r="K95">
            <v>22.558222167459324</v>
          </cell>
        </row>
        <row r="96">
          <cell r="K96">
            <v>23.482420759603642</v>
          </cell>
        </row>
        <row r="97">
          <cell r="K97">
            <v>24.434599847804169</v>
          </cell>
        </row>
        <row r="98">
          <cell r="K98">
            <v>25.415274123459934</v>
          </cell>
        </row>
        <row r="99">
          <cell r="K99">
            <v>26.425005068097153</v>
          </cell>
        </row>
        <row r="100">
          <cell r="K100">
            <v>27.464400953369218</v>
          </cell>
        </row>
        <row r="101">
          <cell r="K101">
            <v>28.533976470675157</v>
          </cell>
        </row>
        <row r="102">
          <cell r="K102">
            <v>29.634293101541179</v>
          </cell>
        </row>
      </sheetData>
      <sheetData sheetId="3">
        <row r="2">
          <cell r="M2">
            <v>50</v>
          </cell>
        </row>
        <row r="3">
          <cell r="M3">
            <v>56</v>
          </cell>
        </row>
        <row r="4">
          <cell r="M4">
            <v>62</v>
          </cell>
        </row>
        <row r="5">
          <cell r="M5">
            <v>68</v>
          </cell>
        </row>
        <row r="6">
          <cell r="M6">
            <v>74</v>
          </cell>
        </row>
        <row r="7">
          <cell r="M7">
            <v>80</v>
          </cell>
        </row>
        <row r="8">
          <cell r="M8">
            <v>86</v>
          </cell>
        </row>
        <row r="9">
          <cell r="M9">
            <v>92</v>
          </cell>
        </row>
        <row r="10">
          <cell r="M10">
            <v>98</v>
          </cell>
        </row>
        <row r="11">
          <cell r="M11">
            <v>104</v>
          </cell>
        </row>
        <row r="12">
          <cell r="M12">
            <v>110</v>
          </cell>
        </row>
        <row r="13">
          <cell r="M13">
            <v>116</v>
          </cell>
        </row>
        <row r="14">
          <cell r="M14">
            <v>122</v>
          </cell>
        </row>
        <row r="15">
          <cell r="M15">
            <v>128</v>
          </cell>
        </row>
        <row r="16">
          <cell r="M16">
            <v>134</v>
          </cell>
        </row>
        <row r="17">
          <cell r="M17">
            <v>140</v>
          </cell>
        </row>
        <row r="18">
          <cell r="M18">
            <v>146</v>
          </cell>
        </row>
        <row r="19">
          <cell r="M19">
            <v>152</v>
          </cell>
        </row>
        <row r="20">
          <cell r="M20">
            <v>158</v>
          </cell>
        </row>
        <row r="21">
          <cell r="M21">
            <v>182</v>
          </cell>
        </row>
        <row r="22">
          <cell r="M22">
            <v>210</v>
          </cell>
        </row>
        <row r="23">
          <cell r="M23">
            <v>239</v>
          </cell>
        </row>
        <row r="24">
          <cell r="M24">
            <v>270</v>
          </cell>
        </row>
        <row r="25">
          <cell r="M25">
            <v>302</v>
          </cell>
        </row>
        <row r="26">
          <cell r="M26">
            <v>335</v>
          </cell>
        </row>
        <row r="27">
          <cell r="M27">
            <v>370</v>
          </cell>
        </row>
        <row r="28">
          <cell r="M28">
            <v>406</v>
          </cell>
        </row>
        <row r="29">
          <cell r="M29">
            <v>443</v>
          </cell>
        </row>
        <row r="30">
          <cell r="M30">
            <v>482</v>
          </cell>
        </row>
        <row r="31">
          <cell r="M31">
            <v>522</v>
          </cell>
        </row>
        <row r="32">
          <cell r="M32">
            <v>563</v>
          </cell>
        </row>
        <row r="33">
          <cell r="M33">
            <v>606</v>
          </cell>
        </row>
        <row r="34">
          <cell r="M34">
            <v>651</v>
          </cell>
        </row>
        <row r="35">
          <cell r="M35">
            <v>696</v>
          </cell>
        </row>
        <row r="36">
          <cell r="M36">
            <v>743</v>
          </cell>
        </row>
        <row r="37">
          <cell r="M37">
            <v>791</v>
          </cell>
        </row>
        <row r="38">
          <cell r="M38">
            <v>841</v>
          </cell>
        </row>
        <row r="39">
          <cell r="M39">
            <v>892</v>
          </cell>
        </row>
        <row r="40">
          <cell r="M40">
            <v>944</v>
          </cell>
        </row>
        <row r="41">
          <cell r="M41">
            <v>998</v>
          </cell>
        </row>
        <row r="42">
          <cell r="M42">
            <v>1053</v>
          </cell>
        </row>
        <row r="43">
          <cell r="M43">
            <v>1110</v>
          </cell>
        </row>
        <row r="44">
          <cell r="M44">
            <v>1167</v>
          </cell>
        </row>
        <row r="45">
          <cell r="M45">
            <v>1226</v>
          </cell>
        </row>
        <row r="46">
          <cell r="M46">
            <v>1287</v>
          </cell>
        </row>
        <row r="47">
          <cell r="M47">
            <v>1349</v>
          </cell>
        </row>
        <row r="48">
          <cell r="M48">
            <v>1412</v>
          </cell>
        </row>
        <row r="49">
          <cell r="M49">
            <v>1477</v>
          </cell>
        </row>
        <row r="50">
          <cell r="M50">
            <v>1543</v>
          </cell>
        </row>
        <row r="51">
          <cell r="M51">
            <v>1610</v>
          </cell>
        </row>
        <row r="52">
          <cell r="M52">
            <v>1679</v>
          </cell>
        </row>
        <row r="53">
          <cell r="M53">
            <v>1749</v>
          </cell>
        </row>
        <row r="54">
          <cell r="M54">
            <v>1820</v>
          </cell>
        </row>
        <row r="55">
          <cell r="M55">
            <v>1893</v>
          </cell>
        </row>
        <row r="56">
          <cell r="M56">
            <v>1967</v>
          </cell>
        </row>
        <row r="57">
          <cell r="M57">
            <v>2042</v>
          </cell>
        </row>
        <row r="58">
          <cell r="M58">
            <v>2119</v>
          </cell>
        </row>
        <row r="59">
          <cell r="M59">
            <v>2198</v>
          </cell>
        </row>
        <row r="60">
          <cell r="M60">
            <v>2277</v>
          </cell>
        </row>
        <row r="61">
          <cell r="M61">
            <v>2358</v>
          </cell>
        </row>
        <row r="62">
          <cell r="M62">
            <v>2440</v>
          </cell>
        </row>
        <row r="63">
          <cell r="M63">
            <v>2524</v>
          </cell>
        </row>
        <row r="64">
          <cell r="M64">
            <v>2609</v>
          </cell>
        </row>
        <row r="65">
          <cell r="M65">
            <v>2695</v>
          </cell>
        </row>
        <row r="66">
          <cell r="M66">
            <v>2783</v>
          </cell>
        </row>
        <row r="67">
          <cell r="M67">
            <v>2872</v>
          </cell>
        </row>
        <row r="68">
          <cell r="M68">
            <v>2963</v>
          </cell>
        </row>
        <row r="69">
          <cell r="M69">
            <v>3054</v>
          </cell>
        </row>
        <row r="70">
          <cell r="M70">
            <v>3147</v>
          </cell>
        </row>
        <row r="71">
          <cell r="M71">
            <v>3242</v>
          </cell>
        </row>
        <row r="72">
          <cell r="M72">
            <v>3338</v>
          </cell>
        </row>
        <row r="73">
          <cell r="M73">
            <v>3435</v>
          </cell>
        </row>
        <row r="74">
          <cell r="M74">
            <v>3534</v>
          </cell>
        </row>
        <row r="75">
          <cell r="M75">
            <v>3634</v>
          </cell>
        </row>
        <row r="76">
          <cell r="M76">
            <v>3735</v>
          </cell>
        </row>
        <row r="77">
          <cell r="M77">
            <v>3838</v>
          </cell>
        </row>
        <row r="78">
          <cell r="M78">
            <v>3942</v>
          </cell>
        </row>
        <row r="79">
          <cell r="M79">
            <v>4047</v>
          </cell>
        </row>
        <row r="80">
          <cell r="M80">
            <v>4154</v>
          </cell>
        </row>
        <row r="81">
          <cell r="M81">
            <v>4262</v>
          </cell>
        </row>
        <row r="82">
          <cell r="M82">
            <v>4371</v>
          </cell>
        </row>
        <row r="83">
          <cell r="M83">
            <v>4482</v>
          </cell>
        </row>
        <row r="84">
          <cell r="M84">
            <v>4595</v>
          </cell>
        </row>
        <row r="85">
          <cell r="M85">
            <v>4708</v>
          </cell>
        </row>
        <row r="86">
          <cell r="M86">
            <v>4823</v>
          </cell>
        </row>
        <row r="87">
          <cell r="M87">
            <v>4939</v>
          </cell>
        </row>
        <row r="88">
          <cell r="M88">
            <v>5057</v>
          </cell>
        </row>
        <row r="89">
          <cell r="M89">
            <v>5176</v>
          </cell>
        </row>
        <row r="90">
          <cell r="M90">
            <v>5296</v>
          </cell>
        </row>
        <row r="91">
          <cell r="M91">
            <v>5418</v>
          </cell>
        </row>
        <row r="92">
          <cell r="M92">
            <v>5541</v>
          </cell>
        </row>
        <row r="93">
          <cell r="M93">
            <v>5666</v>
          </cell>
        </row>
        <row r="94">
          <cell r="M94">
            <v>5791</v>
          </cell>
        </row>
        <row r="95">
          <cell r="M95">
            <v>5918</v>
          </cell>
        </row>
        <row r="96">
          <cell r="M96">
            <v>6047</v>
          </cell>
        </row>
        <row r="97">
          <cell r="M97">
            <v>6177</v>
          </cell>
        </row>
        <row r="98">
          <cell r="M98">
            <v>6308</v>
          </cell>
        </row>
        <row r="99">
          <cell r="M99">
            <v>6441</v>
          </cell>
        </row>
        <row r="100">
          <cell r="M100">
            <v>6575</v>
          </cell>
        </row>
        <row r="101">
          <cell r="M101">
            <v>6710</v>
          </cell>
        </row>
      </sheetData>
      <sheetData sheetId="4"/>
      <sheetData sheetId="5"/>
      <sheetData sheetId="6"/>
      <sheetData sheetId="7"/>
      <sheetData sheetId="8"/>
      <sheetData sheetId="9">
        <row r="14">
          <cell r="N14">
            <v>8981.1586021505373</v>
          </cell>
        </row>
      </sheetData>
      <sheetData sheetId="10"/>
      <sheetData sheetId="11"/>
      <sheetData sheetId="12"/>
      <sheetData sheetId="13"/>
      <sheetData sheetId="14"/>
      <sheetData sheetId="15">
        <row r="13">
          <cell r="C13">
            <v>10000</v>
          </cell>
        </row>
      </sheetData>
      <sheetData sheetId="16">
        <row r="7">
          <cell r="L7">
            <v>2029.2631578947369</v>
          </cell>
        </row>
        <row r="8">
          <cell r="L8">
            <v>2021.0526315789473</v>
          </cell>
        </row>
        <row r="9">
          <cell r="L9">
            <v>3545.6842105263158</v>
          </cell>
        </row>
        <row r="10">
          <cell r="L10">
            <v>4484.0526315789475</v>
          </cell>
        </row>
        <row r="11">
          <cell r="L11">
            <v>5533.6842105263158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经验表"/>
      <sheetName val="D_角色属性"/>
      <sheetName val="D_VIP对应表"/>
      <sheetName val="D_VIP描述表"/>
      <sheetName val="D_VIP重置表"/>
      <sheetName val="D_VIP充值表"/>
      <sheetName val="D_BUFF表"/>
      <sheetName val="D_我要变强"/>
      <sheetName val="D_改名消耗"/>
      <sheetName val="角色辅助表"/>
      <sheetName val="VIP辅助表"/>
      <sheetName val="VIP描述辅助表"/>
      <sheetName val="VIP礼包奖辅助表"/>
    </sheetNames>
    <sheetDataSet>
      <sheetData sheetId="0">
        <row r="3">
          <cell r="C3">
            <v>203</v>
          </cell>
        </row>
        <row r="4">
          <cell r="C4">
            <v>206</v>
          </cell>
        </row>
        <row r="5">
          <cell r="C5">
            <v>214</v>
          </cell>
        </row>
        <row r="6">
          <cell r="C6">
            <v>226</v>
          </cell>
        </row>
        <row r="7">
          <cell r="C7">
            <v>245</v>
          </cell>
        </row>
        <row r="8">
          <cell r="C8">
            <v>273</v>
          </cell>
        </row>
        <row r="9">
          <cell r="C9">
            <v>311</v>
          </cell>
        </row>
        <row r="10">
          <cell r="C10">
            <v>361</v>
          </cell>
        </row>
        <row r="11">
          <cell r="C11">
            <v>426</v>
          </cell>
        </row>
        <row r="12">
          <cell r="C12">
            <v>507</v>
          </cell>
        </row>
        <row r="13">
          <cell r="C13">
            <v>606</v>
          </cell>
        </row>
        <row r="14">
          <cell r="C14">
            <v>727</v>
          </cell>
        </row>
        <row r="15">
          <cell r="C15">
            <v>871</v>
          </cell>
        </row>
        <row r="16">
          <cell r="C16">
            <v>1041</v>
          </cell>
        </row>
        <row r="17">
          <cell r="C17">
            <v>1240</v>
          </cell>
        </row>
        <row r="18">
          <cell r="C18">
            <v>1471</v>
          </cell>
        </row>
        <row r="19">
          <cell r="C19">
            <v>1736</v>
          </cell>
        </row>
        <row r="20">
          <cell r="C20">
            <v>2039</v>
          </cell>
        </row>
        <row r="21">
          <cell r="C21">
            <v>2384</v>
          </cell>
        </row>
        <row r="22">
          <cell r="C22">
            <v>2772</v>
          </cell>
        </row>
        <row r="23">
          <cell r="C23">
            <v>3208</v>
          </cell>
        </row>
        <row r="24">
          <cell r="C24">
            <v>3696</v>
          </cell>
        </row>
        <row r="25">
          <cell r="C25">
            <v>4238</v>
          </cell>
        </row>
        <row r="26">
          <cell r="C26">
            <v>4839</v>
          </cell>
        </row>
        <row r="27">
          <cell r="C27">
            <v>5503</v>
          </cell>
        </row>
        <row r="28">
          <cell r="C28">
            <v>6233</v>
          </cell>
        </row>
        <row r="29">
          <cell r="C29">
            <v>7034</v>
          </cell>
        </row>
        <row r="30">
          <cell r="C30">
            <v>7910</v>
          </cell>
        </row>
        <row r="31">
          <cell r="C31">
            <v>8865</v>
          </cell>
        </row>
        <row r="32">
          <cell r="C32">
            <v>9903</v>
          </cell>
        </row>
        <row r="33">
          <cell r="C33">
            <v>11031</v>
          </cell>
        </row>
        <row r="34">
          <cell r="C34">
            <v>12251</v>
          </cell>
        </row>
        <row r="35">
          <cell r="C35">
            <v>13568</v>
          </cell>
        </row>
        <row r="36">
          <cell r="C36">
            <v>14989</v>
          </cell>
        </row>
        <row r="37">
          <cell r="C37">
            <v>16517</v>
          </cell>
        </row>
        <row r="38">
          <cell r="C38">
            <v>18159</v>
          </cell>
        </row>
        <row r="39">
          <cell r="C39">
            <v>19918</v>
          </cell>
        </row>
        <row r="40">
          <cell r="C40">
            <v>21801</v>
          </cell>
        </row>
        <row r="41">
          <cell r="C41">
            <v>23813</v>
          </cell>
        </row>
        <row r="42">
          <cell r="C42">
            <v>25960</v>
          </cell>
        </row>
        <row r="43">
          <cell r="C43">
            <v>28247</v>
          </cell>
        </row>
        <row r="44">
          <cell r="C44">
            <v>30681</v>
          </cell>
        </row>
        <row r="45">
          <cell r="C45">
            <v>33267</v>
          </cell>
        </row>
        <row r="46">
          <cell r="C46">
            <v>36011</v>
          </cell>
        </row>
        <row r="47">
          <cell r="C47">
            <v>38919</v>
          </cell>
        </row>
        <row r="48">
          <cell r="C48">
            <v>41999</v>
          </cell>
        </row>
        <row r="49">
          <cell r="C49">
            <v>45255</v>
          </cell>
        </row>
        <row r="50">
          <cell r="C50">
            <v>48696</v>
          </cell>
        </row>
        <row r="51">
          <cell r="C51">
            <v>52327</v>
          </cell>
        </row>
        <row r="52">
          <cell r="C52">
            <v>56155</v>
          </cell>
        </row>
        <row r="53">
          <cell r="C53">
            <v>60187</v>
          </cell>
        </row>
        <row r="54">
          <cell r="C54">
            <v>64430</v>
          </cell>
        </row>
        <row r="55">
          <cell r="C55">
            <v>68892</v>
          </cell>
        </row>
        <row r="56">
          <cell r="C56">
            <v>73579</v>
          </cell>
        </row>
        <row r="57">
          <cell r="C57">
            <v>78499</v>
          </cell>
        </row>
        <row r="58">
          <cell r="C58">
            <v>83659</v>
          </cell>
        </row>
        <row r="59">
          <cell r="C59">
            <v>89066</v>
          </cell>
        </row>
        <row r="60">
          <cell r="C60">
            <v>94730</v>
          </cell>
        </row>
        <row r="61">
          <cell r="C61">
            <v>100656</v>
          </cell>
        </row>
        <row r="62">
          <cell r="C62">
            <v>106854</v>
          </cell>
        </row>
        <row r="63">
          <cell r="C63">
            <v>113332</v>
          </cell>
        </row>
        <row r="64">
          <cell r="C64">
            <v>120096</v>
          </cell>
        </row>
        <row r="65">
          <cell r="C65">
            <v>127157</v>
          </cell>
        </row>
        <row r="66">
          <cell r="C66">
            <v>134521</v>
          </cell>
        </row>
        <row r="67">
          <cell r="C67">
            <v>142198</v>
          </cell>
        </row>
        <row r="68">
          <cell r="C68">
            <v>150197</v>
          </cell>
        </row>
        <row r="69">
          <cell r="C69">
            <v>158525</v>
          </cell>
        </row>
        <row r="70">
          <cell r="C70">
            <v>167192</v>
          </cell>
        </row>
        <row r="71">
          <cell r="C71">
            <v>176207</v>
          </cell>
        </row>
        <row r="72">
          <cell r="C72">
            <v>185578</v>
          </cell>
        </row>
        <row r="73">
          <cell r="C73">
            <v>195316</v>
          </cell>
        </row>
        <row r="74">
          <cell r="C74">
            <v>205429</v>
          </cell>
        </row>
        <row r="75">
          <cell r="C75">
            <v>215927</v>
          </cell>
        </row>
        <row r="76">
          <cell r="C76">
            <v>226819</v>
          </cell>
        </row>
        <row r="77">
          <cell r="C77">
            <v>238115</v>
          </cell>
        </row>
        <row r="78">
          <cell r="C78">
            <v>249825</v>
          </cell>
        </row>
        <row r="79">
          <cell r="C79">
            <v>261958</v>
          </cell>
        </row>
        <row r="80">
          <cell r="C80">
            <v>274525</v>
          </cell>
        </row>
        <row r="81">
          <cell r="C81">
            <v>287536</v>
          </cell>
        </row>
        <row r="82">
          <cell r="C82">
            <v>301001</v>
          </cell>
        </row>
        <row r="83">
          <cell r="C83">
            <v>314930</v>
          </cell>
        </row>
        <row r="84">
          <cell r="C84">
            <v>329334</v>
          </cell>
        </row>
        <row r="85">
          <cell r="C85">
            <v>344223</v>
          </cell>
        </row>
        <row r="86">
          <cell r="C86">
            <v>359608</v>
          </cell>
        </row>
        <row r="87">
          <cell r="C87">
            <v>375500</v>
          </cell>
        </row>
        <row r="88">
          <cell r="C88">
            <v>391909</v>
          </cell>
        </row>
        <row r="89">
          <cell r="C89">
            <v>408848</v>
          </cell>
        </row>
        <row r="90">
          <cell r="C90">
            <v>426327</v>
          </cell>
        </row>
        <row r="91">
          <cell r="C91">
            <v>444356</v>
          </cell>
        </row>
        <row r="92">
          <cell r="C92">
            <v>462949</v>
          </cell>
        </row>
        <row r="93">
          <cell r="C93">
            <v>482115</v>
          </cell>
        </row>
        <row r="94">
          <cell r="C94">
            <v>501867</v>
          </cell>
        </row>
        <row r="95">
          <cell r="C95">
            <v>522217</v>
          </cell>
        </row>
        <row r="96">
          <cell r="C96">
            <v>543176</v>
          </cell>
        </row>
        <row r="97">
          <cell r="C97">
            <v>564756</v>
          </cell>
        </row>
        <row r="98">
          <cell r="C98">
            <v>586970</v>
          </cell>
        </row>
        <row r="99">
          <cell r="C99">
            <v>609829</v>
          </cell>
        </row>
        <row r="100">
          <cell r="C100">
            <v>633345</v>
          </cell>
        </row>
        <row r="101">
          <cell r="C101">
            <v>657533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A2">
            <v>1</v>
          </cell>
          <cell r="D2" t="str">
            <v>无敌</v>
          </cell>
          <cell r="E2">
            <v>0</v>
          </cell>
        </row>
        <row r="3">
          <cell r="A3">
            <v>2</v>
          </cell>
          <cell r="D3" t="str">
            <v>霸体</v>
          </cell>
          <cell r="E3">
            <v>0</v>
          </cell>
        </row>
        <row r="4">
          <cell r="A4">
            <v>3</v>
          </cell>
          <cell r="D4" t="str">
            <v>恢复生命百分比</v>
          </cell>
          <cell r="E4">
            <v>1</v>
          </cell>
        </row>
        <row r="5">
          <cell r="A5">
            <v>4</v>
          </cell>
          <cell r="D5" t="str">
            <v>增加生命值百分比</v>
          </cell>
          <cell r="E5">
            <v>1</v>
          </cell>
        </row>
        <row r="6">
          <cell r="A6">
            <v>5</v>
          </cell>
          <cell r="D6" t="str">
            <v>增加攻击力百分比</v>
          </cell>
          <cell r="E6">
            <v>1</v>
          </cell>
        </row>
        <row r="7">
          <cell r="A7">
            <v>6</v>
          </cell>
          <cell r="D7" t="str">
            <v>增加防御百分比</v>
          </cell>
          <cell r="E7">
            <v>1</v>
          </cell>
        </row>
        <row r="8">
          <cell r="A8">
            <v>7</v>
          </cell>
          <cell r="D8" t="str">
            <v>增加暴击倍数</v>
          </cell>
        </row>
        <row r="9">
          <cell r="A9">
            <v>8</v>
          </cell>
          <cell r="D9" t="str">
            <v>增加暴击值</v>
          </cell>
          <cell r="E9">
            <v>0</v>
          </cell>
        </row>
        <row r="10">
          <cell r="A10">
            <v>9</v>
          </cell>
          <cell r="D10" t="str">
            <v>增加生命最大值数值</v>
          </cell>
          <cell r="E10">
            <v>0</v>
          </cell>
        </row>
        <row r="11">
          <cell r="A11">
            <v>10</v>
          </cell>
          <cell r="D11" t="str">
            <v>增加攻击力数值</v>
          </cell>
          <cell r="E11">
            <v>0</v>
          </cell>
        </row>
        <row r="12">
          <cell r="A12">
            <v>11</v>
          </cell>
          <cell r="D12" t="str">
            <v>增加防御力数值</v>
          </cell>
          <cell r="E12">
            <v>0</v>
          </cell>
        </row>
        <row r="13">
          <cell r="A13">
            <v>12</v>
          </cell>
          <cell r="D13" t="str">
            <v>增加伤害加深百分比</v>
          </cell>
          <cell r="E13">
            <v>1</v>
          </cell>
        </row>
        <row r="14">
          <cell r="A14">
            <v>13</v>
          </cell>
          <cell r="D14" t="str">
            <v>增加伤害减少百分比</v>
          </cell>
          <cell r="E14">
            <v>1</v>
          </cell>
        </row>
        <row r="15">
          <cell r="A15">
            <v>14</v>
          </cell>
          <cell r="D15" t="str">
            <v>清除敌人的BUFF</v>
          </cell>
          <cell r="E15">
            <v>0</v>
          </cell>
        </row>
        <row r="16">
          <cell r="A16">
            <v>15</v>
          </cell>
          <cell r="D16" t="str">
            <v>减少敌人攻击力</v>
          </cell>
          <cell r="E16">
            <v>1</v>
          </cell>
        </row>
        <row r="17">
          <cell r="A17">
            <v>16</v>
          </cell>
          <cell r="D17" t="str">
            <v>减少敌人防御</v>
          </cell>
          <cell r="E17">
            <v>1</v>
          </cell>
        </row>
        <row r="18">
          <cell r="A18">
            <v>17</v>
          </cell>
          <cell r="D18" t="str">
            <v>减少敌人命中值</v>
          </cell>
          <cell r="E18">
            <v>1</v>
          </cell>
        </row>
        <row r="19">
          <cell r="A19">
            <v>18</v>
          </cell>
          <cell r="D19" t="str">
            <v>清除主角技能CD</v>
          </cell>
          <cell r="E19">
            <v>0</v>
          </cell>
        </row>
        <row r="20">
          <cell r="A20">
            <v>19</v>
          </cell>
          <cell r="D20" t="str">
            <v>模型变大，增加移动速度，增加攻击力，防御力</v>
          </cell>
          <cell r="E20">
            <v>1</v>
          </cell>
        </row>
        <row r="21">
          <cell r="A21">
            <v>20</v>
          </cell>
          <cell r="D21" t="str">
            <v>让敌人变小，减少敌人速度，攻击力，防御力</v>
          </cell>
          <cell r="E21">
            <v>1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道具表"/>
      <sheetName val="D_合成表"/>
      <sheetName val="道具配置辅助表"/>
      <sheetName val="D_获取途径"/>
      <sheetName val="道具说明"/>
      <sheetName val="道具表价值评估"/>
    </sheetNames>
    <sheetDataSet>
      <sheetData sheetId="0">
        <row r="1">
          <cell r="A1" t="str">
            <v>道具ID</v>
          </cell>
          <cell r="B1" t="str">
            <v>道具名称</v>
          </cell>
        </row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马仔追债礼包</v>
          </cell>
        </row>
        <row r="121">
          <cell r="A121">
            <v>86002</v>
          </cell>
          <cell r="B121" t="str">
            <v>马仔追债礼包</v>
          </cell>
        </row>
        <row r="122">
          <cell r="A122">
            <v>86003</v>
          </cell>
          <cell r="B122" t="str">
            <v>马仔追债礼包</v>
          </cell>
        </row>
        <row r="123">
          <cell r="A123">
            <v>86004</v>
          </cell>
          <cell r="B123" t="str">
            <v>马仔追债礼包</v>
          </cell>
        </row>
        <row r="124">
          <cell r="A124">
            <v>86005</v>
          </cell>
          <cell r="B124" t="str">
            <v>马仔追债礼包</v>
          </cell>
        </row>
        <row r="125">
          <cell r="A125">
            <v>86110</v>
          </cell>
          <cell r="B125" t="str">
            <v>马仔装备礼包</v>
          </cell>
        </row>
        <row r="126">
          <cell r="A126">
            <v>86120</v>
          </cell>
          <cell r="B126" t="str">
            <v>马仔装备礼包</v>
          </cell>
        </row>
        <row r="127">
          <cell r="A127">
            <v>86130</v>
          </cell>
          <cell r="B127" t="str">
            <v>马仔装备礼包</v>
          </cell>
        </row>
        <row r="128">
          <cell r="A128">
            <v>86140</v>
          </cell>
          <cell r="B128" t="str">
            <v>马仔装备礼包</v>
          </cell>
        </row>
        <row r="129">
          <cell r="A129">
            <v>86150</v>
          </cell>
          <cell r="B129" t="str">
            <v>马仔装备礼包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部位材料包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78214</v>
          </cell>
          <cell r="B137" t="str">
            <v>限时碎片(陈浩南)</v>
          </cell>
        </row>
        <row r="138">
          <cell r="A138">
            <v>78215</v>
          </cell>
          <cell r="B138" t="str">
            <v>限时碎片(山鸡)</v>
          </cell>
        </row>
        <row r="139">
          <cell r="A139">
            <v>78216</v>
          </cell>
          <cell r="B139" t="str">
            <v>限时碎片(大天二)</v>
          </cell>
        </row>
        <row r="140">
          <cell r="A140">
            <v>83309</v>
          </cell>
          <cell r="B140" t="str">
            <v>堂口贡献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AE20"/>
  <sheetViews>
    <sheetView topLeftCell="D1" workbookViewId="0">
      <selection activeCell="A15" sqref="A15:XFD17"/>
    </sheetView>
  </sheetViews>
  <sheetFormatPr defaultRowHeight="13.5"/>
  <cols>
    <col min="6" max="6" width="12.625" customWidth="1"/>
    <col min="9" max="9" width="16.125" bestFit="1" customWidth="1"/>
    <col min="10" max="10" width="13.875" bestFit="1" customWidth="1"/>
    <col min="11" max="13" width="10.5" customWidth="1"/>
    <col min="14" max="14" width="8.5" bestFit="1" customWidth="1"/>
    <col min="15" max="16" width="5.5" bestFit="1" customWidth="1"/>
    <col min="17" max="19" width="7.5" bestFit="1" customWidth="1"/>
    <col min="20" max="20" width="9.5" bestFit="1" customWidth="1"/>
    <col min="21" max="21" width="5.5" bestFit="1" customWidth="1"/>
    <col min="22" max="23" width="11.625" bestFit="1" customWidth="1"/>
    <col min="24" max="24" width="20.5" bestFit="1" customWidth="1"/>
    <col min="25" max="25" width="11.625" bestFit="1" customWidth="1"/>
    <col min="27" max="27" width="5.25" bestFit="1" customWidth="1"/>
    <col min="31" max="31" width="13.875" bestFit="1" customWidth="1"/>
  </cols>
  <sheetData>
    <row r="1" spans="1:31">
      <c r="A1" s="1" t="s">
        <v>167</v>
      </c>
      <c r="B1" s="1" t="s">
        <v>168</v>
      </c>
      <c r="C1" s="1" t="s">
        <v>169</v>
      </c>
      <c r="D1" s="1" t="s">
        <v>170</v>
      </c>
      <c r="E1" s="1" t="s">
        <v>171</v>
      </c>
      <c r="F1" s="1" t="s">
        <v>172</v>
      </c>
      <c r="G1" s="1" t="s">
        <v>173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2" t="s">
        <v>182</v>
      </c>
      <c r="Q1" s="3" t="s">
        <v>183</v>
      </c>
      <c r="R1" s="3" t="s">
        <v>184</v>
      </c>
      <c r="S1" s="3" t="s">
        <v>185</v>
      </c>
      <c r="T1" s="3" t="s">
        <v>186</v>
      </c>
      <c r="U1" s="3" t="s">
        <v>187</v>
      </c>
      <c r="V1" s="4" t="s">
        <v>188</v>
      </c>
      <c r="W1" s="4" t="s">
        <v>189</v>
      </c>
      <c r="X1" s="23" t="s">
        <v>387</v>
      </c>
      <c r="Y1" s="105" t="s">
        <v>588</v>
      </c>
      <c r="Z1" t="s">
        <v>190</v>
      </c>
      <c r="AA1" s="117" t="s">
        <v>665</v>
      </c>
    </row>
    <row r="2" spans="1:31">
      <c r="A2" s="5">
        <f t="shared" ref="A2:A20" si="0">Z2+0</f>
        <v>101101</v>
      </c>
      <c r="B2" s="5" t="s">
        <v>666</v>
      </c>
      <c r="C2" s="5">
        <v>1</v>
      </c>
      <c r="D2" s="5">
        <v>0</v>
      </c>
      <c r="E2" s="5">
        <v>1</v>
      </c>
      <c r="F2" s="5">
        <v>0</v>
      </c>
      <c r="G2" s="6">
        <v>1002</v>
      </c>
      <c r="H2" s="6"/>
      <c r="I2" s="29">
        <v>9601101</v>
      </c>
      <c r="J2" s="43">
        <v>9601201</v>
      </c>
      <c r="K2" s="6">
        <v>78101</v>
      </c>
      <c r="L2" s="5">
        <f t="shared" ref="L2:L20" si="1">E2*10</f>
        <v>10</v>
      </c>
      <c r="M2" s="5">
        <v>1.2</v>
      </c>
      <c r="N2" s="11">
        <f>VLOOKUP($B2,马仔辅助表!$E$12:$S$30,马仔辅助表!J$9,FALSE)</f>
        <v>435.53510910933949</v>
      </c>
      <c r="O2" s="11">
        <f>VLOOKUP($B2,马仔辅助表!$E$12:$S$30,马仔辅助表!K$9,FALSE)</f>
        <v>22.122096256684493</v>
      </c>
      <c r="P2" s="11">
        <f>VLOOKUP($B2,马仔辅助表!$E$12:$S$30,马仔辅助表!L$9,FALSE)</f>
        <v>9.5594038128249572</v>
      </c>
      <c r="Q2" s="11">
        <f>VLOOKUP($B2,马仔辅助表!$E$12:$S$30,马仔辅助表!M$9,FALSE)</f>
        <v>0</v>
      </c>
      <c r="R2" s="11">
        <f>VLOOKUP($B2,马仔辅助表!$E$12:$S$30,马仔辅助表!N$9,FALSE)</f>
        <v>0</v>
      </c>
      <c r="S2" s="11">
        <v>0</v>
      </c>
      <c r="T2" s="11">
        <v>0</v>
      </c>
      <c r="U2" s="11">
        <v>0</v>
      </c>
      <c r="V2" s="11">
        <v>0</v>
      </c>
      <c r="W2" s="11">
        <v>0</v>
      </c>
      <c r="X2" t="str">
        <f>VLOOKUP(G2,[2]怪物信息配置表!$B$2:$H$25,7,FALSE)</f>
        <v>1002_nvjiubao_BOSS</v>
      </c>
      <c r="Y2">
        <f>VLOOKUP(D2,$AD$4:$AE$7,2,FALSE)*D2</f>
        <v>0</v>
      </c>
      <c r="Z2">
        <f>101100+ROW()-1</f>
        <v>101101</v>
      </c>
      <c r="AA2">
        <v>1</v>
      </c>
    </row>
    <row r="3" spans="1:31">
      <c r="A3" s="5">
        <f t="shared" si="0"/>
        <v>101102</v>
      </c>
      <c r="B3" s="5" t="s">
        <v>275</v>
      </c>
      <c r="C3" s="5">
        <v>1</v>
      </c>
      <c r="D3" s="5">
        <v>0</v>
      </c>
      <c r="E3" s="5">
        <v>1</v>
      </c>
      <c r="F3" s="5">
        <v>0</v>
      </c>
      <c r="G3" s="6">
        <v>1005</v>
      </c>
      <c r="H3" s="6"/>
      <c r="I3" s="29">
        <v>9602101</v>
      </c>
      <c r="J3" s="43">
        <v>9602201</v>
      </c>
      <c r="K3" s="6">
        <v>78102</v>
      </c>
      <c r="L3" s="5">
        <f t="shared" si="1"/>
        <v>10</v>
      </c>
      <c r="M3" s="5">
        <v>1.1499999999999999</v>
      </c>
      <c r="N3" s="11">
        <f>VLOOKUP($B3,马仔辅助表!$E$12:$S$30,马仔辅助表!J$9,FALSE)</f>
        <v>435.53510910933949</v>
      </c>
      <c r="O3" s="11">
        <f>VLOOKUP($B3,马仔辅助表!$E$12:$S$30,马仔辅助表!K$9,FALSE)</f>
        <v>22.122096256684493</v>
      </c>
      <c r="P3" s="11">
        <f>VLOOKUP($B3,马仔辅助表!$E$12:$S$30,马仔辅助表!L$9,FALSE)</f>
        <v>9.5594038128249572</v>
      </c>
      <c r="Q3" s="11">
        <f>VLOOKUP($B3,马仔辅助表!$E$12:$S$30,马仔辅助表!M$9,FALSE)</f>
        <v>0</v>
      </c>
      <c r="R3" s="11">
        <f>VLOOKUP($B3,马仔辅助表!$E$12:$S$30,马仔辅助表!N$9,FALSE)</f>
        <v>0</v>
      </c>
      <c r="S3" s="11">
        <v>0</v>
      </c>
      <c r="T3" s="11">
        <v>0</v>
      </c>
      <c r="U3" s="11">
        <v>0</v>
      </c>
      <c r="V3" s="11">
        <v>0</v>
      </c>
      <c r="W3" s="11">
        <v>0</v>
      </c>
      <c r="X3" t="str">
        <f>VLOOKUP(G3,[2]怪物信息配置表!$B$2:$H$25,7,FALSE)</f>
        <v>1005_JQB_BOSS</v>
      </c>
      <c r="Y3">
        <f t="shared" ref="Y3:Y20" si="2">VLOOKUP(D3,$AD$4:$AE$7,2,FALSE)*D3</f>
        <v>0</v>
      </c>
      <c r="Z3">
        <f t="shared" ref="Z3:Z20" si="3">101100+ROW()-1</f>
        <v>101102</v>
      </c>
      <c r="AA3">
        <v>0</v>
      </c>
      <c r="AD3" s="6" t="s">
        <v>589</v>
      </c>
      <c r="AE3" s="6" t="s">
        <v>590</v>
      </c>
    </row>
    <row r="4" spans="1:31">
      <c r="A4" s="5">
        <f t="shared" si="0"/>
        <v>101103</v>
      </c>
      <c r="B4" s="5" t="s">
        <v>13</v>
      </c>
      <c r="C4" s="5">
        <v>1</v>
      </c>
      <c r="D4" s="5">
        <v>0</v>
      </c>
      <c r="E4" s="5">
        <v>1</v>
      </c>
      <c r="F4" s="5">
        <v>0</v>
      </c>
      <c r="G4" s="6">
        <v>1010</v>
      </c>
      <c r="H4" s="6"/>
      <c r="I4" s="29">
        <v>9603101</v>
      </c>
      <c r="J4" s="43">
        <v>9603201</v>
      </c>
      <c r="K4" s="6">
        <v>78103</v>
      </c>
      <c r="L4" s="5">
        <f t="shared" si="1"/>
        <v>10</v>
      </c>
      <c r="M4" s="5">
        <v>1.2</v>
      </c>
      <c r="N4" s="11">
        <f>VLOOKUP($B4,马仔辅助表!$E$12:$S$30,马仔辅助表!J$9,FALSE)</f>
        <v>435.53510910933949</v>
      </c>
      <c r="O4" s="11">
        <f>VLOOKUP($B4,马仔辅助表!$E$12:$S$30,马仔辅助表!K$9,FALSE)</f>
        <v>22.122096256684493</v>
      </c>
      <c r="P4" s="11">
        <f>VLOOKUP($B4,马仔辅助表!$E$12:$S$30,马仔辅助表!L$9,FALSE)</f>
        <v>9.5594038128249572</v>
      </c>
      <c r="Q4" s="11">
        <f>VLOOKUP($B4,马仔辅助表!$E$12:$S$30,马仔辅助表!M$9,FALSE)</f>
        <v>0</v>
      </c>
      <c r="R4" s="11">
        <f>VLOOKUP($B4,马仔辅助表!$E$12:$S$30,马仔辅助表!N$9,FALSE)</f>
        <v>0</v>
      </c>
      <c r="S4" s="11">
        <v>0</v>
      </c>
      <c r="T4" s="11">
        <v>0</v>
      </c>
      <c r="U4" s="11">
        <v>0</v>
      </c>
      <c r="V4" s="11">
        <v>0</v>
      </c>
      <c r="W4" s="11">
        <v>0</v>
      </c>
      <c r="X4" t="str">
        <f>VLOOKUP(G4,[2]怪物信息配置表!$B$2:$H$25,7,FALSE)</f>
        <v>1010_gunnan_BOSS</v>
      </c>
      <c r="Y4">
        <f t="shared" si="2"/>
        <v>0</v>
      </c>
      <c r="Z4">
        <f t="shared" si="3"/>
        <v>101103</v>
      </c>
      <c r="AA4">
        <v>1</v>
      </c>
      <c r="AD4" s="6">
        <v>0</v>
      </c>
      <c r="AE4" s="6">
        <v>0</v>
      </c>
    </row>
    <row r="5" spans="1:31">
      <c r="A5" s="5">
        <f t="shared" si="0"/>
        <v>101104</v>
      </c>
      <c r="B5" s="5" t="s">
        <v>273</v>
      </c>
      <c r="C5" s="5">
        <v>1</v>
      </c>
      <c r="D5" s="5">
        <v>0</v>
      </c>
      <c r="E5" s="5">
        <v>1</v>
      </c>
      <c r="F5" s="5">
        <v>0</v>
      </c>
      <c r="G5" s="6">
        <v>1011</v>
      </c>
      <c r="H5" s="6"/>
      <c r="I5" s="29">
        <v>9604101</v>
      </c>
      <c r="J5" s="43">
        <v>9604201</v>
      </c>
      <c r="K5" s="6">
        <v>78104</v>
      </c>
      <c r="L5" s="5">
        <f t="shared" si="1"/>
        <v>10</v>
      </c>
      <c r="M5" s="5">
        <v>1.2</v>
      </c>
      <c r="N5" s="11">
        <f>VLOOKUP($B5,马仔辅助表!$E$12:$S$30,马仔辅助表!J$9,FALSE)</f>
        <v>435.53510910933949</v>
      </c>
      <c r="O5" s="11">
        <f>VLOOKUP($B5,马仔辅助表!$E$12:$S$30,马仔辅助表!K$9,FALSE)</f>
        <v>22.122096256684493</v>
      </c>
      <c r="P5" s="11">
        <f>VLOOKUP($B5,马仔辅助表!$E$12:$S$30,马仔辅助表!L$9,FALSE)</f>
        <v>9.5594038128249572</v>
      </c>
      <c r="Q5" s="11">
        <f>VLOOKUP($B5,马仔辅助表!$E$12:$S$30,马仔辅助表!M$9,FALSE)</f>
        <v>0</v>
      </c>
      <c r="R5" s="11">
        <f>VLOOKUP($B5,马仔辅助表!$E$12:$S$30,马仔辅助表!N$9,FALSE)</f>
        <v>0</v>
      </c>
      <c r="S5" s="11">
        <v>0</v>
      </c>
      <c r="T5" s="11">
        <v>0</v>
      </c>
      <c r="U5" s="11">
        <v>0</v>
      </c>
      <c r="V5" s="11">
        <v>0</v>
      </c>
      <c r="W5" s="11">
        <v>0</v>
      </c>
      <c r="X5" t="str">
        <f>VLOOKUP(G5,[2]怪物信息配置表!$B$2:$H$25,7,FALSE)</f>
        <v>1011_jichenan_BOSS</v>
      </c>
      <c r="Y5">
        <f t="shared" si="2"/>
        <v>0</v>
      </c>
      <c r="Z5">
        <f t="shared" si="3"/>
        <v>101104</v>
      </c>
      <c r="AA5">
        <v>0</v>
      </c>
      <c r="AD5" s="6">
        <v>1</v>
      </c>
      <c r="AE5" s="6">
        <v>100</v>
      </c>
    </row>
    <row r="6" spans="1:31">
      <c r="A6" s="5">
        <f t="shared" si="0"/>
        <v>101105</v>
      </c>
      <c r="B6" s="5" t="s">
        <v>272</v>
      </c>
      <c r="C6" s="5">
        <v>1</v>
      </c>
      <c r="D6" s="5">
        <v>0</v>
      </c>
      <c r="E6" s="5">
        <v>1</v>
      </c>
      <c r="F6" s="5">
        <v>0</v>
      </c>
      <c r="G6" s="6">
        <v>1001</v>
      </c>
      <c r="H6" s="6"/>
      <c r="I6" s="29">
        <v>9605101</v>
      </c>
      <c r="J6" s="43">
        <v>9605201</v>
      </c>
      <c r="K6" s="6">
        <v>78105</v>
      </c>
      <c r="L6" s="5">
        <f t="shared" si="1"/>
        <v>10</v>
      </c>
      <c r="M6" s="5">
        <v>1.2</v>
      </c>
      <c r="N6" s="11">
        <f>VLOOKUP($B6,马仔辅助表!$E$12:$S$30,马仔辅助表!J$9,FALSE)</f>
        <v>435.53510910933949</v>
      </c>
      <c r="O6" s="11">
        <f>VLOOKUP($B6,马仔辅助表!$E$12:$S$30,马仔辅助表!K$9,FALSE)</f>
        <v>22.122096256684493</v>
      </c>
      <c r="P6" s="11">
        <f>VLOOKUP($B6,马仔辅助表!$E$12:$S$30,马仔辅助表!L$9,FALSE)</f>
        <v>9.5594038128249572</v>
      </c>
      <c r="Q6" s="11">
        <f>VLOOKUP($B6,马仔辅助表!$E$12:$S$30,马仔辅助表!M$9,FALSE)</f>
        <v>0</v>
      </c>
      <c r="R6" s="11">
        <f>VLOOKUP($B6,马仔辅助表!$E$12:$S$30,马仔辅助表!N$9,FALSE)</f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t="str">
        <f>VLOOKUP(G6,[2]怪物信息配置表!$B$2:$H$25,7,FALSE)</f>
        <v>1001_quanbing_BOSS</v>
      </c>
      <c r="Y6">
        <f t="shared" si="2"/>
        <v>0</v>
      </c>
      <c r="Z6">
        <f t="shared" si="3"/>
        <v>101105</v>
      </c>
      <c r="AA6">
        <v>0</v>
      </c>
      <c r="AD6" s="6">
        <v>2</v>
      </c>
      <c r="AE6" s="6">
        <v>200</v>
      </c>
    </row>
    <row r="7" spans="1:31">
      <c r="A7" s="5">
        <f t="shared" si="0"/>
        <v>101106</v>
      </c>
      <c r="B7" s="5" t="s">
        <v>541</v>
      </c>
      <c r="C7" s="5">
        <v>1</v>
      </c>
      <c r="D7" s="5">
        <v>1</v>
      </c>
      <c r="E7" s="5">
        <v>1</v>
      </c>
      <c r="F7" s="5">
        <v>0</v>
      </c>
      <c r="G7" s="6">
        <v>1101</v>
      </c>
      <c r="H7" s="6"/>
      <c r="I7" s="29">
        <v>9606101</v>
      </c>
      <c r="J7" s="43">
        <v>9606201</v>
      </c>
      <c r="K7" s="6">
        <v>78106</v>
      </c>
      <c r="L7" s="5">
        <f t="shared" si="1"/>
        <v>10</v>
      </c>
      <c r="M7" s="5">
        <v>1.2</v>
      </c>
      <c r="N7" s="11">
        <f>VLOOKUP($B7,马仔辅助表!$E$12:$S$30,马仔辅助表!J$9,FALSE)</f>
        <v>871.07021821867897</v>
      </c>
      <c r="O7" s="11">
        <f>VLOOKUP($B7,马仔辅助表!$E$12:$S$30,马仔辅助表!K$9,FALSE)</f>
        <v>44.244192513368986</v>
      </c>
      <c r="P7" s="11">
        <f>VLOOKUP($B7,马仔辅助表!$E$12:$S$30,马仔辅助表!L$9,FALSE)</f>
        <v>19.118807625649914</v>
      </c>
      <c r="Q7" s="11">
        <f>VLOOKUP($B7,马仔辅助表!$E$12:$S$30,马仔辅助表!M$9,FALSE)</f>
        <v>0</v>
      </c>
      <c r="R7" s="11">
        <f>VLOOKUP($B7,马仔辅助表!$E$12:$S$30,马仔辅助表!N$9,FALSE)</f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t="str">
        <f>VLOOKUP(G7,[2]怪物信息配置表!$B$2:$H$25,7,FALSE)</f>
        <v>1101_liangkun_BOSS</v>
      </c>
      <c r="Y7">
        <f t="shared" si="2"/>
        <v>100</v>
      </c>
      <c r="Z7">
        <f t="shared" si="3"/>
        <v>101106</v>
      </c>
      <c r="AA7">
        <v>1</v>
      </c>
      <c r="AD7" s="6">
        <v>3</v>
      </c>
      <c r="AE7" s="6">
        <v>300</v>
      </c>
    </row>
    <row r="8" spans="1:31">
      <c r="A8" s="5">
        <f t="shared" si="0"/>
        <v>101107</v>
      </c>
      <c r="B8" s="5" t="s">
        <v>571</v>
      </c>
      <c r="C8" s="5">
        <v>1</v>
      </c>
      <c r="D8" s="5">
        <v>1</v>
      </c>
      <c r="E8" s="5">
        <v>1</v>
      </c>
      <c r="F8" s="5">
        <v>0</v>
      </c>
      <c r="G8" s="6">
        <v>1105</v>
      </c>
      <c r="H8" s="5"/>
      <c r="I8" s="29">
        <v>9607101</v>
      </c>
      <c r="J8" s="43">
        <v>9607201</v>
      </c>
      <c r="K8" s="6">
        <v>78107</v>
      </c>
      <c r="L8" s="5">
        <f t="shared" si="1"/>
        <v>10</v>
      </c>
      <c r="M8" s="5">
        <v>1.2</v>
      </c>
      <c r="N8" s="11">
        <f>VLOOKUP($B8,马仔辅助表!$E$12:$S$30,马仔辅助表!J$9,FALSE)</f>
        <v>871.07021821867897</v>
      </c>
      <c r="O8" s="11">
        <f>VLOOKUP($B8,马仔辅助表!$E$12:$S$30,马仔辅助表!K$9,FALSE)</f>
        <v>44.244192513368986</v>
      </c>
      <c r="P8" s="11">
        <f>VLOOKUP($B8,马仔辅助表!$E$12:$S$30,马仔辅助表!L$9,FALSE)</f>
        <v>19.118807625649914</v>
      </c>
      <c r="Q8" s="11">
        <f>VLOOKUP($B8,马仔辅助表!$E$12:$S$30,马仔辅助表!M$9,FALSE)</f>
        <v>0</v>
      </c>
      <c r="R8" s="11">
        <f>VLOOKUP($B8,马仔辅助表!$E$12:$S$30,马仔辅助表!N$9,FALSE)</f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t="str">
        <f>VLOOKUP(G8,[2]怪物信息配置表!$B$2:$H$25,7,FALSE)</f>
        <v>1105_leigong_BOSS</v>
      </c>
      <c r="Y8">
        <f t="shared" si="2"/>
        <v>100</v>
      </c>
      <c r="Z8">
        <f t="shared" si="3"/>
        <v>101107</v>
      </c>
      <c r="AA8">
        <v>1</v>
      </c>
    </row>
    <row r="9" spans="1:31">
      <c r="A9" s="5">
        <f t="shared" si="0"/>
        <v>101108</v>
      </c>
      <c r="B9" s="5" t="s">
        <v>14</v>
      </c>
      <c r="C9" s="5">
        <v>1</v>
      </c>
      <c r="D9" s="5">
        <v>1</v>
      </c>
      <c r="E9" s="5">
        <v>1</v>
      </c>
      <c r="F9" s="5">
        <v>0</v>
      </c>
      <c r="G9" s="6">
        <v>1004</v>
      </c>
      <c r="H9" s="6"/>
      <c r="I9" s="29">
        <v>9608101</v>
      </c>
      <c r="J9" s="43">
        <v>9608201</v>
      </c>
      <c r="K9" s="6">
        <v>78108</v>
      </c>
      <c r="L9" s="5">
        <f t="shared" si="1"/>
        <v>10</v>
      </c>
      <c r="M9" s="5">
        <v>1.2</v>
      </c>
      <c r="N9" s="11">
        <f>VLOOKUP($B9,马仔辅助表!$E$12:$S$30,马仔辅助表!J$9,FALSE)</f>
        <v>871.07021821867897</v>
      </c>
      <c r="O9" s="11">
        <f>VLOOKUP($B9,马仔辅助表!$E$12:$S$30,马仔辅助表!K$9,FALSE)</f>
        <v>44.244192513368986</v>
      </c>
      <c r="P9" s="11">
        <f>VLOOKUP($B9,马仔辅助表!$E$12:$S$30,马仔辅助表!L$9,FALSE)</f>
        <v>19.118807625649914</v>
      </c>
      <c r="Q9" s="11">
        <f>VLOOKUP($B9,马仔辅助表!$E$12:$S$30,马仔辅助表!M$9,FALSE)</f>
        <v>0</v>
      </c>
      <c r="R9" s="11">
        <f>VLOOKUP($B9,马仔辅助表!$E$12:$S$30,马仔辅助表!N$9,FALSE)</f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t="str">
        <f>VLOOKUP(G9,[2]怪物信息配置表!$B$2:$H$25,7,FALSE)</f>
        <v>1004_pangzi_BOSS</v>
      </c>
      <c r="Y9">
        <f t="shared" si="2"/>
        <v>100</v>
      </c>
      <c r="Z9">
        <f t="shared" si="3"/>
        <v>101108</v>
      </c>
      <c r="AA9">
        <v>1</v>
      </c>
    </row>
    <row r="10" spans="1:31">
      <c r="A10" s="5">
        <f t="shared" si="0"/>
        <v>101109</v>
      </c>
      <c r="B10" s="5" t="s">
        <v>15</v>
      </c>
      <c r="C10" s="5">
        <v>1</v>
      </c>
      <c r="D10" s="5">
        <v>2</v>
      </c>
      <c r="E10" s="5">
        <v>1</v>
      </c>
      <c r="F10" s="5">
        <v>0</v>
      </c>
      <c r="G10" s="6">
        <v>1103</v>
      </c>
      <c r="H10" s="6"/>
      <c r="I10" s="29">
        <v>9609101</v>
      </c>
      <c r="J10" s="43">
        <v>9609201</v>
      </c>
      <c r="K10" s="6">
        <v>78109</v>
      </c>
      <c r="L10" s="5">
        <f t="shared" si="1"/>
        <v>10</v>
      </c>
      <c r="M10" s="5">
        <v>1.25</v>
      </c>
      <c r="N10" s="11">
        <f>VLOOKUP($B10,马仔辅助表!$E$12:$S$30,马仔辅助表!J$9,FALSE)</f>
        <v>1742.1404364373579</v>
      </c>
      <c r="O10" s="11">
        <f>VLOOKUP($B10,马仔辅助表!$E$12:$S$30,马仔辅助表!K$9,FALSE)</f>
        <v>88.488385026737973</v>
      </c>
      <c r="P10" s="11">
        <f>VLOOKUP($B10,马仔辅助表!$E$12:$S$30,马仔辅助表!L$9,FALSE)</f>
        <v>38.237615251299829</v>
      </c>
      <c r="Q10" s="11">
        <f>VLOOKUP($B10,马仔辅助表!$E$12:$S$30,马仔辅助表!M$9,FALSE)</f>
        <v>0</v>
      </c>
      <c r="R10" s="11">
        <f>VLOOKUP($B10,马仔辅助表!$E$12:$S$30,马仔辅助表!N$9,FALSE)</f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t="str">
        <f>VLOOKUP(G10,[2]怪物信息配置表!$B$2:$H$25,7,FALSE)</f>
        <v>1103_situ_BOSS</v>
      </c>
      <c r="Y10">
        <f t="shared" si="2"/>
        <v>400</v>
      </c>
      <c r="Z10">
        <f t="shared" si="3"/>
        <v>101109</v>
      </c>
      <c r="AA10">
        <v>1</v>
      </c>
    </row>
    <row r="11" spans="1:31">
      <c r="A11" s="5">
        <f t="shared" si="0"/>
        <v>101110</v>
      </c>
      <c r="B11" s="5" t="s">
        <v>584</v>
      </c>
      <c r="C11" s="5">
        <v>1</v>
      </c>
      <c r="D11" s="5">
        <v>2</v>
      </c>
      <c r="E11" s="5">
        <v>1</v>
      </c>
      <c r="F11" s="5">
        <v>0</v>
      </c>
      <c r="G11" s="6">
        <v>1102</v>
      </c>
      <c r="H11" s="6"/>
      <c r="I11" s="29">
        <v>9610101</v>
      </c>
      <c r="J11" s="43">
        <v>9610201</v>
      </c>
      <c r="K11" s="6">
        <v>78110</v>
      </c>
      <c r="L11" s="5">
        <f t="shared" si="1"/>
        <v>10</v>
      </c>
      <c r="M11" s="5">
        <v>1.2</v>
      </c>
      <c r="N11" s="11">
        <f>VLOOKUP($B11,马仔辅助表!$E$12:$S$30,马仔辅助表!J$9,FALSE)</f>
        <v>1742.1404364373579</v>
      </c>
      <c r="O11" s="11">
        <f>VLOOKUP($B11,马仔辅助表!$E$12:$S$30,马仔辅助表!K$9,FALSE)</f>
        <v>88.488385026737973</v>
      </c>
      <c r="P11" s="11">
        <f>VLOOKUP($B11,马仔辅助表!$E$12:$S$30,马仔辅助表!L$9,FALSE)</f>
        <v>38.237615251299829</v>
      </c>
      <c r="Q11" s="11">
        <f>VLOOKUP($B11,马仔辅助表!$E$12:$S$30,马仔辅助表!M$9,FALSE)</f>
        <v>0</v>
      </c>
      <c r="R11" s="11">
        <f>VLOOKUP($B11,马仔辅助表!$E$12:$S$30,马仔辅助表!N$9,FALSE)</f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t="str">
        <f>VLOOKUP(G11,[2]怪物信息配置表!$B$2:$H$25,7,FALSE)</f>
        <v>1102_wuya_BOSS</v>
      </c>
      <c r="Y11">
        <f t="shared" si="2"/>
        <v>400</v>
      </c>
      <c r="Z11">
        <f t="shared" si="3"/>
        <v>101110</v>
      </c>
      <c r="AA11">
        <v>1</v>
      </c>
    </row>
    <row r="12" spans="1:31">
      <c r="A12" s="5">
        <f t="shared" si="0"/>
        <v>101111</v>
      </c>
      <c r="B12" s="5" t="s">
        <v>583</v>
      </c>
      <c r="C12" s="5">
        <v>1</v>
      </c>
      <c r="D12" s="5">
        <v>2</v>
      </c>
      <c r="E12" s="5">
        <v>1</v>
      </c>
      <c r="F12" s="5">
        <v>0</v>
      </c>
      <c r="G12" s="6">
        <v>1104</v>
      </c>
      <c r="H12" s="6"/>
      <c r="I12" s="29">
        <v>9611101</v>
      </c>
      <c r="J12" s="43">
        <v>9611201</v>
      </c>
      <c r="K12" s="6">
        <v>78111</v>
      </c>
      <c r="L12" s="5">
        <f t="shared" si="1"/>
        <v>10</v>
      </c>
      <c r="M12" s="5">
        <v>1.2</v>
      </c>
      <c r="N12" s="11">
        <f>VLOOKUP($B12,马仔辅助表!$E$12:$S$30,马仔辅助表!J$9,FALSE)</f>
        <v>1742.1404364373579</v>
      </c>
      <c r="O12" s="11">
        <f>VLOOKUP($B12,马仔辅助表!$E$12:$S$30,马仔辅助表!K$9,FALSE)</f>
        <v>88.488385026737973</v>
      </c>
      <c r="P12" s="11">
        <f>VLOOKUP($B12,马仔辅助表!$E$12:$S$30,马仔辅助表!L$9,FALSE)</f>
        <v>38.237615251299829</v>
      </c>
      <c r="Q12" s="11">
        <f>VLOOKUP($B12,马仔辅助表!$E$12:$S$30,马仔辅助表!M$9,FALSE)</f>
        <v>0</v>
      </c>
      <c r="R12" s="11">
        <f>VLOOKUP($B12,马仔辅助表!$E$12:$S$30,马仔辅助表!N$9,FALSE)</f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t="str">
        <f>VLOOKUP(G12,[2]怪物信息配置表!$B$2:$H$25,7,FALSE)</f>
        <v>1104_duwang_BOSS</v>
      </c>
      <c r="Y12">
        <f t="shared" si="2"/>
        <v>400</v>
      </c>
      <c r="Z12">
        <f t="shared" si="3"/>
        <v>101111</v>
      </c>
      <c r="AA12">
        <v>1</v>
      </c>
    </row>
    <row r="13" spans="1:31">
      <c r="A13" s="5">
        <f t="shared" si="0"/>
        <v>101112</v>
      </c>
      <c r="B13" s="5" t="s">
        <v>274</v>
      </c>
      <c r="C13" s="5">
        <v>1</v>
      </c>
      <c r="D13" s="5">
        <v>2</v>
      </c>
      <c r="E13" s="5">
        <v>1</v>
      </c>
      <c r="F13" s="5">
        <v>0</v>
      </c>
      <c r="G13" s="6">
        <v>1012</v>
      </c>
      <c r="H13" s="6"/>
      <c r="I13" s="29">
        <v>9612101</v>
      </c>
      <c r="J13" s="43">
        <v>9612201</v>
      </c>
      <c r="K13" s="6">
        <v>78112</v>
      </c>
      <c r="L13" s="5">
        <f t="shared" si="1"/>
        <v>10</v>
      </c>
      <c r="M13" s="5">
        <v>1.2</v>
      </c>
      <c r="N13" s="11">
        <f>VLOOKUP($B13,马仔辅助表!$E$12:$S$30,马仔辅助表!J$9,FALSE)</f>
        <v>1742.1404364373579</v>
      </c>
      <c r="O13" s="11">
        <f>VLOOKUP($B13,马仔辅助表!$E$12:$S$30,马仔辅助表!K$9,FALSE)</f>
        <v>88.488385026737973</v>
      </c>
      <c r="P13" s="11">
        <f>VLOOKUP($B13,马仔辅助表!$E$12:$S$30,马仔辅助表!L$9,FALSE)</f>
        <v>38.237615251299829</v>
      </c>
      <c r="Q13" s="11">
        <f>VLOOKUP($B13,马仔辅助表!$E$12:$S$30,马仔辅助表!M$9,FALSE)</f>
        <v>0</v>
      </c>
      <c r="R13" s="11">
        <f>VLOOKUP($B13,马仔辅助表!$E$12:$S$30,马仔辅助表!N$9,FALSE)</f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t="str">
        <f>VLOOKUP(G13,[2]怪物信息配置表!$B$2:$H$25,7,FALSE)</f>
        <v>1012_jianke_BOSS</v>
      </c>
      <c r="Y13">
        <f t="shared" si="2"/>
        <v>400</v>
      </c>
      <c r="Z13">
        <f t="shared" si="3"/>
        <v>101112</v>
      </c>
      <c r="AA13">
        <v>1</v>
      </c>
    </row>
    <row r="14" spans="1:31">
      <c r="A14" s="5">
        <f t="shared" si="0"/>
        <v>101113</v>
      </c>
      <c r="B14" s="5" t="s">
        <v>542</v>
      </c>
      <c r="C14" s="5">
        <v>1</v>
      </c>
      <c r="D14" s="5">
        <v>2</v>
      </c>
      <c r="E14" s="5">
        <v>1</v>
      </c>
      <c r="F14" s="5">
        <v>0</v>
      </c>
      <c r="G14" s="6">
        <v>1106</v>
      </c>
      <c r="H14" s="6"/>
      <c r="I14" s="29">
        <v>9613101</v>
      </c>
      <c r="J14" s="43">
        <v>9613201</v>
      </c>
      <c r="K14" s="6">
        <v>78113</v>
      </c>
      <c r="L14" s="5">
        <f t="shared" si="1"/>
        <v>10</v>
      </c>
      <c r="M14" s="5">
        <v>1.2</v>
      </c>
      <c r="N14" s="11">
        <f>VLOOKUP($B14,马仔辅助表!$E$12:$S$30,马仔辅助表!J$9,FALSE)</f>
        <v>1742.1404364373579</v>
      </c>
      <c r="O14" s="11">
        <f>VLOOKUP($B14,马仔辅助表!$E$12:$S$30,马仔辅助表!K$9,FALSE)</f>
        <v>88.488385026737973</v>
      </c>
      <c r="P14" s="11">
        <f>VLOOKUP($B14,马仔辅助表!$E$12:$S$30,马仔辅助表!L$9,FALSE)</f>
        <v>38.237615251299829</v>
      </c>
      <c r="Q14" s="11">
        <f>VLOOKUP($B14,马仔辅助表!$E$12:$S$30,马仔辅助表!M$9,FALSE)</f>
        <v>0</v>
      </c>
      <c r="R14" s="11">
        <f>VLOOKUP($B14,马仔辅助表!$E$12:$S$30,马仔辅助表!N$9,FALSE)</f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t="str">
        <f>VLOOKUP(G14,[2]怪物信息配置表!$B$2:$H$25,7,FALSE)</f>
        <v>1106_shankou_BOSS</v>
      </c>
      <c r="Y14">
        <f t="shared" si="2"/>
        <v>400</v>
      </c>
      <c r="Z14">
        <f t="shared" si="3"/>
        <v>101113</v>
      </c>
      <c r="AA14">
        <v>1</v>
      </c>
    </row>
    <row r="15" spans="1:31">
      <c r="A15" s="5">
        <f t="shared" si="0"/>
        <v>101114</v>
      </c>
      <c r="B15" s="5" t="s">
        <v>543</v>
      </c>
      <c r="C15" s="5">
        <v>1</v>
      </c>
      <c r="D15" s="5">
        <v>3</v>
      </c>
      <c r="E15" s="5">
        <v>1</v>
      </c>
      <c r="F15" s="5">
        <v>0</v>
      </c>
      <c r="G15" s="6">
        <v>1107</v>
      </c>
      <c r="H15" s="6"/>
      <c r="I15" s="29">
        <v>9614101</v>
      </c>
      <c r="J15" s="43">
        <v>9614201</v>
      </c>
      <c r="K15" s="6">
        <v>78114</v>
      </c>
      <c r="L15" s="5">
        <f t="shared" si="1"/>
        <v>10</v>
      </c>
      <c r="M15" s="5">
        <v>1.2</v>
      </c>
      <c r="N15" s="11">
        <f>VLOOKUP($B15,马仔辅助表!$E$12:$S$30,马仔辅助表!J$9,FALSE)</f>
        <v>2613.2106546560367</v>
      </c>
      <c r="O15" s="11">
        <f>VLOOKUP($B15,马仔辅助表!$E$12:$S$30,马仔辅助表!K$9,FALSE)</f>
        <v>132.732577540107</v>
      </c>
      <c r="P15" s="11">
        <f>VLOOKUP($B15,马仔辅助表!$E$12:$S$30,马仔辅助表!L$9,FALSE)</f>
        <v>57.35642287694975</v>
      </c>
      <c r="Q15" s="11">
        <f>VLOOKUP($B15,马仔辅助表!$E$12:$S$30,马仔辅助表!M$9,FALSE)</f>
        <v>0</v>
      </c>
      <c r="R15" s="11">
        <f>VLOOKUP($B15,马仔辅助表!$E$12:$S$30,马仔辅助表!N$9,FALSE)</f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t="str">
        <f>VLOOKUP(G15,[2]怪物信息配置表!$B$2:$H$25,7,FALSE)</f>
        <v>1107_CHN_BOSS</v>
      </c>
      <c r="Y15">
        <f t="shared" si="2"/>
        <v>900</v>
      </c>
      <c r="Z15">
        <f t="shared" si="3"/>
        <v>101114</v>
      </c>
      <c r="AA15">
        <v>1</v>
      </c>
    </row>
    <row r="16" spans="1:31">
      <c r="A16" s="5">
        <f t="shared" si="0"/>
        <v>101115</v>
      </c>
      <c r="B16" s="5" t="s">
        <v>544</v>
      </c>
      <c r="C16" s="5">
        <v>1</v>
      </c>
      <c r="D16" s="5">
        <v>3</v>
      </c>
      <c r="E16" s="5">
        <v>1</v>
      </c>
      <c r="F16" s="5">
        <v>0</v>
      </c>
      <c r="G16" s="6">
        <v>1108</v>
      </c>
      <c r="H16" s="6"/>
      <c r="I16" s="29">
        <v>9615101</v>
      </c>
      <c r="J16" s="43">
        <v>9615201</v>
      </c>
      <c r="K16" s="6">
        <v>78115</v>
      </c>
      <c r="L16" s="5">
        <f t="shared" si="1"/>
        <v>10</v>
      </c>
      <c r="M16" s="5">
        <v>1.2</v>
      </c>
      <c r="N16" s="11">
        <f>VLOOKUP($B16,马仔辅助表!$E$12:$S$30,马仔辅助表!J$9,FALSE)</f>
        <v>2613.2106546560367</v>
      </c>
      <c r="O16" s="11">
        <f>VLOOKUP($B16,马仔辅助表!$E$12:$S$30,马仔辅助表!K$9,FALSE)</f>
        <v>132.732577540107</v>
      </c>
      <c r="P16" s="11">
        <f>VLOOKUP($B16,马仔辅助表!$E$12:$S$30,马仔辅助表!L$9,FALSE)</f>
        <v>57.35642287694975</v>
      </c>
      <c r="Q16" s="11">
        <f>VLOOKUP($B16,马仔辅助表!$E$12:$S$30,马仔辅助表!M$9,FALSE)</f>
        <v>0</v>
      </c>
      <c r="R16" s="11">
        <f>VLOOKUP($B16,马仔辅助表!$E$12:$S$30,马仔辅助表!N$9,FALSE)</f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t="str">
        <f>VLOOKUP(G16,[2]怪物信息配置表!$B$2:$H$25,7,FALSE)</f>
        <v>1108_shanji_BOSS</v>
      </c>
      <c r="Y16">
        <f t="shared" si="2"/>
        <v>900</v>
      </c>
      <c r="Z16">
        <f t="shared" si="3"/>
        <v>101115</v>
      </c>
      <c r="AA16">
        <v>1</v>
      </c>
    </row>
    <row r="17" spans="1:27">
      <c r="A17" s="5">
        <f t="shared" si="0"/>
        <v>101116</v>
      </c>
      <c r="B17" s="5" t="s">
        <v>129</v>
      </c>
      <c r="C17" s="5">
        <v>1</v>
      </c>
      <c r="D17" s="5">
        <v>3</v>
      </c>
      <c r="E17" s="5">
        <v>1</v>
      </c>
      <c r="F17" s="5">
        <v>0</v>
      </c>
      <c r="G17" s="6">
        <v>1109</v>
      </c>
      <c r="H17" s="6"/>
      <c r="I17" s="29">
        <v>9616101</v>
      </c>
      <c r="J17" s="43">
        <v>9616201</v>
      </c>
      <c r="K17" s="6">
        <v>78116</v>
      </c>
      <c r="L17" s="5">
        <f t="shared" si="1"/>
        <v>10</v>
      </c>
      <c r="M17" s="5">
        <v>1.2</v>
      </c>
      <c r="N17" s="11">
        <f>VLOOKUP($B17,马仔辅助表!$E$12:$S$30,马仔辅助表!J$9,FALSE)</f>
        <v>2613.2106546560367</v>
      </c>
      <c r="O17" s="11">
        <f>VLOOKUP($B17,马仔辅助表!$E$12:$S$30,马仔辅助表!K$9,FALSE)</f>
        <v>132.732577540107</v>
      </c>
      <c r="P17" s="11">
        <f>VLOOKUP($B17,马仔辅助表!$E$12:$S$30,马仔辅助表!L$9,FALSE)</f>
        <v>57.35642287694975</v>
      </c>
      <c r="Q17" s="11">
        <f>VLOOKUP($B17,马仔辅助表!$E$12:$S$30,马仔辅助表!M$9,FALSE)</f>
        <v>0</v>
      </c>
      <c r="R17" s="11">
        <f>VLOOKUP($B17,马仔辅助表!$E$12:$S$30,马仔辅助表!N$9,FALSE)</f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t="str">
        <f>VLOOKUP(G17,[2]怪物信息配置表!$B$2:$H$25,7,FALSE)</f>
        <v>1109_datianer_BOSS</v>
      </c>
      <c r="Y17">
        <f t="shared" si="2"/>
        <v>900</v>
      </c>
      <c r="Z17">
        <f t="shared" si="3"/>
        <v>101116</v>
      </c>
      <c r="AA17">
        <v>1</v>
      </c>
    </row>
    <row r="18" spans="1:27">
      <c r="A18" s="6">
        <f t="shared" si="0"/>
        <v>101117</v>
      </c>
      <c r="B18" s="29" t="s">
        <v>633</v>
      </c>
      <c r="C18" s="6">
        <v>1</v>
      </c>
      <c r="D18" s="29">
        <v>1</v>
      </c>
      <c r="E18" s="5">
        <v>1</v>
      </c>
      <c r="F18" s="6">
        <v>0</v>
      </c>
      <c r="G18" s="6">
        <v>1110</v>
      </c>
      <c r="H18" s="6"/>
      <c r="I18" s="29">
        <v>9617101</v>
      </c>
      <c r="J18" s="43">
        <v>9617201</v>
      </c>
      <c r="K18" s="6">
        <v>78117</v>
      </c>
      <c r="L18" s="107">
        <f t="shared" si="1"/>
        <v>10</v>
      </c>
      <c r="M18" s="5">
        <v>1.2</v>
      </c>
      <c r="N18" s="11">
        <f>VLOOKUP($B18,马仔辅助表!$E$12:$S$30,马仔辅助表!J$9,FALSE)</f>
        <v>871.07021821867897</v>
      </c>
      <c r="O18" s="11">
        <f>VLOOKUP($B18,马仔辅助表!$E$12:$S$30,马仔辅助表!K$9,FALSE)</f>
        <v>44.244192513368986</v>
      </c>
      <c r="P18" s="11">
        <f>VLOOKUP($B18,马仔辅助表!$E$12:$S$30,马仔辅助表!L$9,FALSE)</f>
        <v>19.118807625649914</v>
      </c>
      <c r="Q18" s="11">
        <f>VLOOKUP($B18,马仔辅助表!$E$12:$S$30,马仔辅助表!M$9,FALSE)</f>
        <v>0</v>
      </c>
      <c r="R18" s="11">
        <f>VLOOKUP($B18,马仔辅助表!$E$12:$S$30,马仔辅助表!N$9,FALSE)</f>
        <v>0</v>
      </c>
      <c r="S18" s="11">
        <v>0</v>
      </c>
      <c r="T18" s="11">
        <v>0</v>
      </c>
      <c r="U18" s="11">
        <v>0</v>
      </c>
      <c r="V18" s="11">
        <v>0</v>
      </c>
      <c r="W18" s="11">
        <v>0</v>
      </c>
      <c r="X18" t="s">
        <v>638</v>
      </c>
      <c r="Y18">
        <f t="shared" si="2"/>
        <v>100</v>
      </c>
      <c r="Z18">
        <f t="shared" si="3"/>
        <v>101117</v>
      </c>
      <c r="AA18">
        <v>1</v>
      </c>
    </row>
    <row r="19" spans="1:27">
      <c r="A19" s="6">
        <f t="shared" si="0"/>
        <v>101118</v>
      </c>
      <c r="B19" s="29" t="s">
        <v>634</v>
      </c>
      <c r="C19" s="6">
        <v>1</v>
      </c>
      <c r="D19" s="29">
        <v>2</v>
      </c>
      <c r="E19" s="5">
        <v>1</v>
      </c>
      <c r="F19" s="6">
        <v>0</v>
      </c>
      <c r="G19" s="6">
        <v>1113</v>
      </c>
      <c r="H19" s="6"/>
      <c r="I19" s="29">
        <v>9618101</v>
      </c>
      <c r="J19" s="43">
        <v>9618201</v>
      </c>
      <c r="K19" s="6">
        <v>78118</v>
      </c>
      <c r="L19" s="5">
        <f t="shared" si="1"/>
        <v>10</v>
      </c>
      <c r="M19" s="5">
        <v>1.2</v>
      </c>
      <c r="N19" s="11">
        <f>VLOOKUP($B19,马仔辅助表!$E$12:$S$30,马仔辅助表!J$9,FALSE)</f>
        <v>1742.1404364373579</v>
      </c>
      <c r="O19" s="11">
        <f>VLOOKUP($B19,马仔辅助表!$E$12:$S$30,马仔辅助表!K$9,FALSE)</f>
        <v>88.488385026737973</v>
      </c>
      <c r="P19" s="11">
        <f>VLOOKUP($B19,马仔辅助表!$E$12:$S$30,马仔辅助表!L$9,FALSE)</f>
        <v>38.237615251299829</v>
      </c>
      <c r="Q19" s="11">
        <f>VLOOKUP($B19,马仔辅助表!$E$12:$S$30,马仔辅助表!M$9,FALSE)</f>
        <v>0</v>
      </c>
      <c r="R19" s="11">
        <f>VLOOKUP($B19,马仔辅助表!$E$12:$S$30,马仔辅助表!N$9,FALSE)</f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t="s">
        <v>638</v>
      </c>
      <c r="Y19">
        <f t="shared" si="2"/>
        <v>400</v>
      </c>
      <c r="Z19">
        <f t="shared" si="3"/>
        <v>101118</v>
      </c>
      <c r="AA19">
        <v>1</v>
      </c>
    </row>
    <row r="20" spans="1:27">
      <c r="A20" s="6">
        <f t="shared" si="0"/>
        <v>101119</v>
      </c>
      <c r="B20" s="29" t="s">
        <v>635</v>
      </c>
      <c r="C20" s="6">
        <v>1</v>
      </c>
      <c r="D20" s="29">
        <v>2</v>
      </c>
      <c r="E20" s="5">
        <v>1</v>
      </c>
      <c r="F20" s="6">
        <v>0</v>
      </c>
      <c r="G20" s="6">
        <v>1111</v>
      </c>
      <c r="H20" s="6"/>
      <c r="I20" s="29">
        <v>9619101</v>
      </c>
      <c r="J20" s="43">
        <v>9619201</v>
      </c>
      <c r="K20" s="6">
        <v>78119</v>
      </c>
      <c r="L20" s="107">
        <f t="shared" si="1"/>
        <v>10</v>
      </c>
      <c r="M20" s="5">
        <v>1.2</v>
      </c>
      <c r="N20" s="11">
        <f>VLOOKUP($B20,马仔辅助表!$E$12:$S$30,马仔辅助表!J$9,FALSE)</f>
        <v>1742.1404364373579</v>
      </c>
      <c r="O20" s="11">
        <f>VLOOKUP($B20,马仔辅助表!$E$12:$S$30,马仔辅助表!K$9,FALSE)</f>
        <v>88.488385026737973</v>
      </c>
      <c r="P20" s="11">
        <f>VLOOKUP($B20,马仔辅助表!$E$12:$S$30,马仔辅助表!L$9,FALSE)</f>
        <v>38.237615251299829</v>
      </c>
      <c r="Q20" s="11">
        <f>VLOOKUP($B20,马仔辅助表!$E$12:$S$30,马仔辅助表!M$9,FALSE)</f>
        <v>0</v>
      </c>
      <c r="R20" s="11">
        <f>VLOOKUP($B20,马仔辅助表!$E$12:$S$30,马仔辅助表!N$9,FALSE)</f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t="s">
        <v>638</v>
      </c>
      <c r="Y20">
        <f t="shared" si="2"/>
        <v>400</v>
      </c>
      <c r="Z20">
        <f t="shared" si="3"/>
        <v>101119</v>
      </c>
      <c r="AA20">
        <v>1</v>
      </c>
    </row>
  </sheetData>
  <phoneticPr fontId="1" type="noConversion"/>
  <conditionalFormatting sqref="D3:D20">
    <cfRule type="expression" dxfId="1286" priority="16">
      <formula>$H3=5</formula>
    </cfRule>
    <cfRule type="expression" dxfId="1285" priority="17">
      <formula>$H3=4</formula>
    </cfRule>
    <cfRule type="expression" dxfId="1284" priority="18">
      <formula>$H3=3</formula>
    </cfRule>
    <cfRule type="expression" dxfId="1283" priority="19">
      <formula>$H3=2</formula>
    </cfRule>
    <cfRule type="expression" dxfId="1282" priority="20">
      <formula>$H3=1</formula>
    </cfRule>
  </conditionalFormatting>
  <conditionalFormatting sqref="B2:C20">
    <cfRule type="expression" dxfId="1281" priority="21">
      <formula>$H2=5</formula>
    </cfRule>
    <cfRule type="expression" dxfId="1280" priority="22">
      <formula>$H2=4</formula>
    </cfRule>
    <cfRule type="expression" dxfId="1279" priority="23">
      <formula>$H2=3</formula>
    </cfRule>
    <cfRule type="expression" dxfId="1278" priority="24">
      <formula>$H2=2</formula>
    </cfRule>
    <cfRule type="expression" dxfId="1277" priority="25">
      <formula>$H2=1</formula>
    </cfRule>
  </conditionalFormatting>
  <conditionalFormatting sqref="A2:D20 G2:W20">
    <cfRule type="expression" dxfId="1276" priority="26">
      <formula>$D2=5</formula>
    </cfRule>
    <cfRule type="expression" dxfId="1275" priority="27">
      <formula>$D2=4</formula>
    </cfRule>
    <cfRule type="expression" dxfId="1274" priority="28">
      <formula>$D2=3</formula>
    </cfRule>
    <cfRule type="expression" dxfId="1273" priority="29">
      <formula>$D2=2</formula>
    </cfRule>
    <cfRule type="expression" dxfId="1272" priority="30">
      <formula>$D2=1</formula>
    </cfRule>
  </conditionalFormatting>
  <conditionalFormatting sqref="E2:F20">
    <cfRule type="expression" dxfId="1271" priority="11">
      <formula>$D2=4</formula>
    </cfRule>
  </conditionalFormatting>
  <conditionalFormatting sqref="A2:W20">
    <cfRule type="expression" dxfId="1270" priority="12">
      <formula>$D2=3</formula>
    </cfRule>
    <cfRule type="expression" dxfId="1269" priority="13">
      <formula>$D2=2</formula>
    </cfRule>
    <cfRule type="expression" dxfId="1268" priority="14">
      <formula>$D2=1</formula>
    </cfRule>
    <cfRule type="expression" dxfId="1267" priority="15">
      <formula>$D2=0</formula>
    </cfRule>
  </conditionalFormatting>
  <conditionalFormatting sqref="H8">
    <cfRule type="expression" dxfId="1266" priority="6">
      <formula>$H8=5</formula>
    </cfRule>
    <cfRule type="expression" dxfId="1265" priority="7">
      <formula>$H8=4</formula>
    </cfRule>
    <cfRule type="expression" dxfId="1264" priority="8">
      <formula>$H8=3</formula>
    </cfRule>
    <cfRule type="expression" dxfId="1263" priority="9">
      <formula>$H8=2</formula>
    </cfRule>
    <cfRule type="expression" dxfId="1262" priority="10">
      <formula>$H8=1</formula>
    </cfRule>
  </conditionalFormatting>
  <conditionalFormatting sqref="B11">
    <cfRule type="expression" dxfId="1261" priority="1">
      <formula>$H11=5</formula>
    </cfRule>
    <cfRule type="expression" dxfId="1260" priority="2">
      <formula>$H11=4</formula>
    </cfRule>
    <cfRule type="expression" dxfId="1259" priority="3">
      <formula>$H11=3</formula>
    </cfRule>
    <cfRule type="expression" dxfId="1258" priority="4">
      <formula>$H11=2</formula>
    </cfRule>
    <cfRule type="expression" dxfId="1257" priority="5">
      <formula>$H11=1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1"/>
  <sheetViews>
    <sheetView tabSelected="1" workbookViewId="0">
      <selection activeCell="B8" sqref="B8"/>
    </sheetView>
  </sheetViews>
  <sheetFormatPr defaultRowHeight="13.5"/>
  <cols>
    <col min="2" max="5" width="13.875" bestFit="1" customWidth="1"/>
    <col min="6" max="6" width="11.625" bestFit="1" customWidth="1"/>
  </cols>
  <sheetData>
    <row r="1" spans="1:9">
      <c r="A1" s="1" t="s">
        <v>121</v>
      </c>
      <c r="B1" s="1" t="s">
        <v>122</v>
      </c>
      <c r="C1" s="16" t="s">
        <v>123</v>
      </c>
      <c r="D1" s="15" t="s">
        <v>124</v>
      </c>
      <c r="E1" s="15" t="s">
        <v>125</v>
      </c>
      <c r="F1" s="15" t="s">
        <v>229</v>
      </c>
      <c r="G1" s="15" t="s">
        <v>230</v>
      </c>
      <c r="H1" s="15" t="s">
        <v>231</v>
      </c>
      <c r="I1" s="15" t="s">
        <v>232</v>
      </c>
    </row>
    <row r="2" spans="1:9">
      <c r="A2" s="5">
        <f>马仔辅助经验表!A7</f>
        <v>1</v>
      </c>
      <c r="B2" s="5">
        <f>INT(马仔辅助经验表!B7)</f>
        <v>99</v>
      </c>
      <c r="C2" s="5">
        <f>INT(马仔辅助经验表!C7)</f>
        <v>99</v>
      </c>
      <c r="D2" s="5">
        <f>INT(马仔辅助经验表!D7)</f>
        <v>99</v>
      </c>
      <c r="E2" s="5">
        <f>INT(马仔辅助经验表!E7)</f>
        <v>99</v>
      </c>
      <c r="F2" s="17">
        <v>0</v>
      </c>
      <c r="G2">
        <v>0</v>
      </c>
      <c r="H2">
        <v>0</v>
      </c>
      <c r="I2">
        <v>0</v>
      </c>
    </row>
    <row r="3" spans="1:9">
      <c r="A3" s="5">
        <f>马仔辅助经验表!A8</f>
        <v>2</v>
      </c>
      <c r="B3" s="5">
        <f>INT(马仔辅助经验表!B8)</f>
        <v>101</v>
      </c>
      <c r="C3" s="5">
        <f>INT(马仔辅助经验表!C8)</f>
        <v>101</v>
      </c>
      <c r="D3" s="5">
        <f>INT(马仔辅助经验表!D8)</f>
        <v>101</v>
      </c>
      <c r="E3" s="5">
        <f>INT(马仔辅助经验表!E8)</f>
        <v>101</v>
      </c>
      <c r="F3" s="17">
        <f>IF($A3=1,B2,B2+F2)</f>
        <v>99</v>
      </c>
      <c r="G3">
        <f t="shared" ref="G3:I3" si="0">IF($A3=1,C2,C2+G2)</f>
        <v>99</v>
      </c>
      <c r="H3">
        <f t="shared" si="0"/>
        <v>99</v>
      </c>
      <c r="I3">
        <f t="shared" si="0"/>
        <v>99</v>
      </c>
    </row>
    <row r="4" spans="1:9">
      <c r="A4" s="5">
        <f>马仔辅助经验表!A9</f>
        <v>3</v>
      </c>
      <c r="B4" s="5">
        <f>INT(马仔辅助经验表!B9)</f>
        <v>103</v>
      </c>
      <c r="C4" s="5">
        <f>INT(马仔辅助经验表!C9)</f>
        <v>103</v>
      </c>
      <c r="D4" s="5">
        <f>INT(马仔辅助经验表!D9)</f>
        <v>103</v>
      </c>
      <c r="E4" s="5">
        <f>INT(马仔辅助经验表!E9)</f>
        <v>103</v>
      </c>
      <c r="F4" s="17">
        <f t="shared" ref="F4:F67" si="1">IF($A4=1,B3,B3+F3)</f>
        <v>200</v>
      </c>
      <c r="G4">
        <f t="shared" ref="G4:G67" si="2">IF($A4=1,C3,C3+G3)</f>
        <v>200</v>
      </c>
      <c r="H4">
        <f t="shared" ref="H4:H67" si="3">IF($A4=1,D3,D3+H3)</f>
        <v>200</v>
      </c>
      <c r="I4">
        <f t="shared" ref="I4:I67" si="4">IF($A4=1,E3,E3+I3)</f>
        <v>200</v>
      </c>
    </row>
    <row r="5" spans="1:9">
      <c r="A5" s="5">
        <f>马仔辅助经验表!A10</f>
        <v>4</v>
      </c>
      <c r="B5" s="5">
        <f>INT(马仔辅助经验表!B10)</f>
        <v>107</v>
      </c>
      <c r="C5" s="5">
        <f>INT(马仔辅助经验表!C10)</f>
        <v>107</v>
      </c>
      <c r="D5" s="5">
        <f>INT(马仔辅助经验表!D10)</f>
        <v>107</v>
      </c>
      <c r="E5" s="5">
        <f>INT(马仔辅助经验表!E10)</f>
        <v>107</v>
      </c>
      <c r="F5" s="17">
        <f t="shared" si="1"/>
        <v>303</v>
      </c>
      <c r="G5">
        <f t="shared" si="2"/>
        <v>303</v>
      </c>
      <c r="H5">
        <f t="shared" si="3"/>
        <v>303</v>
      </c>
      <c r="I5">
        <f t="shared" si="4"/>
        <v>303</v>
      </c>
    </row>
    <row r="6" spans="1:9">
      <c r="A6" s="5">
        <f>马仔辅助经验表!A11</f>
        <v>5</v>
      </c>
      <c r="B6" s="5">
        <f>INT(马仔辅助经验表!B11)</f>
        <v>113</v>
      </c>
      <c r="C6" s="5">
        <f>INT(马仔辅助经验表!C11)</f>
        <v>113</v>
      </c>
      <c r="D6" s="5">
        <f>INT(马仔辅助经验表!D11)</f>
        <v>113</v>
      </c>
      <c r="E6" s="5">
        <f>INT(马仔辅助经验表!E11)</f>
        <v>113</v>
      </c>
      <c r="F6" s="17">
        <f t="shared" si="1"/>
        <v>410</v>
      </c>
      <c r="G6">
        <f t="shared" si="2"/>
        <v>410</v>
      </c>
      <c r="H6">
        <f t="shared" si="3"/>
        <v>410</v>
      </c>
      <c r="I6">
        <f t="shared" si="4"/>
        <v>410</v>
      </c>
    </row>
    <row r="7" spans="1:9">
      <c r="A7" s="5">
        <f>马仔辅助经验表!A12</f>
        <v>6</v>
      </c>
      <c r="B7" s="5">
        <f>INT(马仔辅助经验表!B12)</f>
        <v>122</v>
      </c>
      <c r="C7" s="5">
        <f>INT(马仔辅助经验表!C12)</f>
        <v>122</v>
      </c>
      <c r="D7" s="5">
        <f>INT(马仔辅助经验表!D12)</f>
        <v>122</v>
      </c>
      <c r="E7" s="5">
        <f>INT(马仔辅助经验表!E12)</f>
        <v>122</v>
      </c>
      <c r="F7" s="17">
        <f t="shared" si="1"/>
        <v>523</v>
      </c>
      <c r="G7">
        <f t="shared" si="2"/>
        <v>523</v>
      </c>
      <c r="H7">
        <f t="shared" si="3"/>
        <v>523</v>
      </c>
      <c r="I7">
        <f t="shared" si="4"/>
        <v>523</v>
      </c>
    </row>
    <row r="8" spans="1:9">
      <c r="A8" s="5">
        <f>马仔辅助经验表!A13</f>
        <v>7</v>
      </c>
      <c r="B8" s="5">
        <f>INT(马仔辅助经验表!B13)</f>
        <v>136</v>
      </c>
      <c r="C8" s="5">
        <f>INT(马仔辅助经验表!C13)</f>
        <v>136</v>
      </c>
      <c r="D8" s="5">
        <f>INT(马仔辅助经验表!D13)</f>
        <v>136</v>
      </c>
      <c r="E8" s="5">
        <f>INT(马仔辅助经验表!E13)</f>
        <v>136</v>
      </c>
      <c r="F8" s="17">
        <f t="shared" si="1"/>
        <v>645</v>
      </c>
      <c r="G8">
        <f t="shared" si="2"/>
        <v>645</v>
      </c>
      <c r="H8">
        <f t="shared" si="3"/>
        <v>645</v>
      </c>
      <c r="I8">
        <f t="shared" si="4"/>
        <v>645</v>
      </c>
    </row>
    <row r="9" spans="1:9">
      <c r="A9" s="5">
        <f>马仔辅助经验表!A14</f>
        <v>8</v>
      </c>
      <c r="B9" s="5">
        <f>INT(马仔辅助经验表!B14)</f>
        <v>155</v>
      </c>
      <c r="C9" s="5">
        <f>INT(马仔辅助经验表!C14)</f>
        <v>155</v>
      </c>
      <c r="D9" s="5">
        <f>INT(马仔辅助经验表!D14)</f>
        <v>155</v>
      </c>
      <c r="E9" s="5">
        <f>INT(马仔辅助经验表!E14)</f>
        <v>155</v>
      </c>
      <c r="F9" s="17">
        <f t="shared" si="1"/>
        <v>781</v>
      </c>
      <c r="G9">
        <f t="shared" si="2"/>
        <v>781</v>
      </c>
      <c r="H9">
        <f t="shared" si="3"/>
        <v>781</v>
      </c>
      <c r="I9">
        <f t="shared" si="4"/>
        <v>781</v>
      </c>
    </row>
    <row r="10" spans="1:9">
      <c r="A10" s="5">
        <f>马仔辅助经验表!A15</f>
        <v>9</v>
      </c>
      <c r="B10" s="5">
        <f>INT(马仔辅助经验表!B15)</f>
        <v>180</v>
      </c>
      <c r="C10" s="5">
        <f>INT(马仔辅助经验表!C15)</f>
        <v>180</v>
      </c>
      <c r="D10" s="5">
        <f>INT(马仔辅助经验表!D15)</f>
        <v>180</v>
      </c>
      <c r="E10" s="5">
        <f>INT(马仔辅助经验表!E15)</f>
        <v>180</v>
      </c>
      <c r="F10" s="17">
        <f t="shared" si="1"/>
        <v>936</v>
      </c>
      <c r="G10">
        <f t="shared" si="2"/>
        <v>936</v>
      </c>
      <c r="H10">
        <f t="shared" si="3"/>
        <v>936</v>
      </c>
      <c r="I10">
        <f t="shared" si="4"/>
        <v>936</v>
      </c>
    </row>
    <row r="11" spans="1:9">
      <c r="A11" s="5">
        <f>马仔辅助经验表!A16</f>
        <v>10</v>
      </c>
      <c r="B11" s="5">
        <f>INT(马仔辅助经验表!B16)</f>
        <v>213</v>
      </c>
      <c r="C11" s="5">
        <f>INT(马仔辅助经验表!C16)</f>
        <v>213</v>
      </c>
      <c r="D11" s="5">
        <f>INT(马仔辅助经验表!D16)</f>
        <v>213</v>
      </c>
      <c r="E11" s="5">
        <f>INT(马仔辅助经验表!E16)</f>
        <v>213</v>
      </c>
      <c r="F11" s="17">
        <f t="shared" si="1"/>
        <v>1116</v>
      </c>
      <c r="G11">
        <f t="shared" si="2"/>
        <v>1116</v>
      </c>
      <c r="H11">
        <f t="shared" si="3"/>
        <v>1116</v>
      </c>
      <c r="I11">
        <f t="shared" si="4"/>
        <v>1116</v>
      </c>
    </row>
    <row r="12" spans="1:9">
      <c r="A12" s="5">
        <f>马仔辅助经验表!A17</f>
        <v>11</v>
      </c>
      <c r="B12" s="5">
        <f>INT(马仔辅助经验表!B17)</f>
        <v>253</v>
      </c>
      <c r="C12" s="5">
        <f>INT(马仔辅助经验表!C17)</f>
        <v>253</v>
      </c>
      <c r="D12" s="5">
        <f>INT(马仔辅助经验表!D17)</f>
        <v>253</v>
      </c>
      <c r="E12" s="5">
        <f>INT(马仔辅助经验表!E17)</f>
        <v>253</v>
      </c>
      <c r="F12" s="17">
        <f t="shared" si="1"/>
        <v>1329</v>
      </c>
      <c r="G12">
        <f t="shared" si="2"/>
        <v>1329</v>
      </c>
      <c r="H12">
        <f t="shared" si="3"/>
        <v>1329</v>
      </c>
      <c r="I12">
        <f t="shared" si="4"/>
        <v>1329</v>
      </c>
    </row>
    <row r="13" spans="1:9">
      <c r="A13" s="5">
        <f>马仔辅助经验表!A18</f>
        <v>12</v>
      </c>
      <c r="B13" s="5">
        <f>INT(马仔辅助经验表!B18)</f>
        <v>303</v>
      </c>
      <c r="C13" s="5">
        <f>INT(马仔辅助经验表!C18)</f>
        <v>303</v>
      </c>
      <c r="D13" s="5">
        <f>INT(马仔辅助经验表!D18)</f>
        <v>303</v>
      </c>
      <c r="E13" s="5">
        <f>INT(马仔辅助经验表!E18)</f>
        <v>303</v>
      </c>
      <c r="F13" s="17">
        <f t="shared" si="1"/>
        <v>1582</v>
      </c>
      <c r="G13">
        <f t="shared" si="2"/>
        <v>1582</v>
      </c>
      <c r="H13">
        <f t="shared" si="3"/>
        <v>1582</v>
      </c>
      <c r="I13">
        <f t="shared" si="4"/>
        <v>1582</v>
      </c>
    </row>
    <row r="14" spans="1:9">
      <c r="A14" s="5">
        <f>马仔辅助经验表!A19</f>
        <v>13</v>
      </c>
      <c r="B14" s="5">
        <f>INT(马仔辅助经验表!B19)</f>
        <v>363</v>
      </c>
      <c r="C14" s="5">
        <f>INT(马仔辅助经验表!C19)</f>
        <v>363</v>
      </c>
      <c r="D14" s="5">
        <f>INT(马仔辅助经验表!D19)</f>
        <v>363</v>
      </c>
      <c r="E14" s="5">
        <f>INT(马仔辅助经验表!E19)</f>
        <v>363</v>
      </c>
      <c r="F14" s="17">
        <f t="shared" si="1"/>
        <v>1885</v>
      </c>
      <c r="G14">
        <f t="shared" si="2"/>
        <v>1885</v>
      </c>
      <c r="H14">
        <f t="shared" si="3"/>
        <v>1885</v>
      </c>
      <c r="I14">
        <f t="shared" si="4"/>
        <v>1885</v>
      </c>
    </row>
    <row r="15" spans="1:9">
      <c r="A15" s="5">
        <f>马仔辅助经验表!A20</f>
        <v>14</v>
      </c>
      <c r="B15" s="5">
        <f>INT(马仔辅助经验表!B20)</f>
        <v>435</v>
      </c>
      <c r="C15" s="5">
        <f>INT(马仔辅助经验表!C20)</f>
        <v>435</v>
      </c>
      <c r="D15" s="5">
        <f>INT(马仔辅助经验表!D20)</f>
        <v>435</v>
      </c>
      <c r="E15" s="5">
        <f>INT(马仔辅助经验表!E20)</f>
        <v>435</v>
      </c>
      <c r="F15" s="17">
        <f t="shared" si="1"/>
        <v>2248</v>
      </c>
      <c r="G15">
        <f t="shared" si="2"/>
        <v>2248</v>
      </c>
      <c r="H15">
        <f t="shared" si="3"/>
        <v>2248</v>
      </c>
      <c r="I15">
        <f t="shared" si="4"/>
        <v>2248</v>
      </c>
    </row>
    <row r="16" spans="1:9">
      <c r="A16" s="5">
        <f>马仔辅助经验表!A21</f>
        <v>15</v>
      </c>
      <c r="B16" s="5">
        <f>INT(马仔辅助经验表!B21)</f>
        <v>520</v>
      </c>
      <c r="C16" s="5">
        <f>INT(马仔辅助经验表!C21)</f>
        <v>520</v>
      </c>
      <c r="D16" s="5">
        <f>INT(马仔辅助经验表!D21)</f>
        <v>520</v>
      </c>
      <c r="E16" s="5">
        <f>INT(马仔辅助经验表!E21)</f>
        <v>520</v>
      </c>
      <c r="F16" s="17">
        <f t="shared" si="1"/>
        <v>2683</v>
      </c>
      <c r="G16">
        <f t="shared" si="2"/>
        <v>2683</v>
      </c>
      <c r="H16">
        <f t="shared" si="3"/>
        <v>2683</v>
      </c>
      <c r="I16">
        <f t="shared" si="4"/>
        <v>2683</v>
      </c>
    </row>
    <row r="17" spans="1:9">
      <c r="A17" s="5">
        <f>马仔辅助经验表!A22</f>
        <v>16</v>
      </c>
      <c r="B17" s="5">
        <f>INT(马仔辅助经验表!B22)</f>
        <v>620</v>
      </c>
      <c r="C17" s="5">
        <f>INT(马仔辅助经验表!C22)</f>
        <v>620</v>
      </c>
      <c r="D17" s="5">
        <f>INT(马仔辅助经验表!D22)</f>
        <v>620</v>
      </c>
      <c r="E17" s="5">
        <f>INT(马仔辅助经验表!E22)</f>
        <v>620</v>
      </c>
      <c r="F17" s="17">
        <f t="shared" si="1"/>
        <v>3203</v>
      </c>
      <c r="G17">
        <f t="shared" si="2"/>
        <v>3203</v>
      </c>
      <c r="H17">
        <f t="shared" si="3"/>
        <v>3203</v>
      </c>
      <c r="I17">
        <f t="shared" si="4"/>
        <v>3203</v>
      </c>
    </row>
    <row r="18" spans="1:9">
      <c r="A18" s="5">
        <f>马仔辅助经验表!A23</f>
        <v>17</v>
      </c>
      <c r="B18" s="5">
        <f>INT(马仔辅助经验表!B23)</f>
        <v>735</v>
      </c>
      <c r="C18" s="5">
        <f>INT(马仔辅助经验表!C23)</f>
        <v>735</v>
      </c>
      <c r="D18" s="5">
        <f>INT(马仔辅助经验表!D23)</f>
        <v>735</v>
      </c>
      <c r="E18" s="5">
        <f>INT(马仔辅助经验表!E23)</f>
        <v>735</v>
      </c>
      <c r="F18" s="17">
        <f t="shared" si="1"/>
        <v>3823</v>
      </c>
      <c r="G18">
        <f t="shared" si="2"/>
        <v>3823</v>
      </c>
      <c r="H18">
        <f t="shared" si="3"/>
        <v>3823</v>
      </c>
      <c r="I18">
        <f t="shared" si="4"/>
        <v>3823</v>
      </c>
    </row>
    <row r="19" spans="1:9">
      <c r="A19" s="5">
        <f>马仔辅助经验表!A24</f>
        <v>18</v>
      </c>
      <c r="B19" s="5">
        <f>INT(马仔辅助经验表!B24)</f>
        <v>868</v>
      </c>
      <c r="C19" s="5">
        <f>INT(马仔辅助经验表!C24)</f>
        <v>868</v>
      </c>
      <c r="D19" s="5">
        <f>INT(马仔辅助经验表!D24)</f>
        <v>868</v>
      </c>
      <c r="E19" s="5">
        <f>INT(马仔辅助经验表!E24)</f>
        <v>868</v>
      </c>
      <c r="F19" s="17">
        <f t="shared" si="1"/>
        <v>4558</v>
      </c>
      <c r="G19">
        <f t="shared" si="2"/>
        <v>4558</v>
      </c>
      <c r="H19">
        <f t="shared" si="3"/>
        <v>4558</v>
      </c>
      <c r="I19">
        <f t="shared" si="4"/>
        <v>4558</v>
      </c>
    </row>
    <row r="20" spans="1:9">
      <c r="A20" s="5">
        <f>马仔辅助经验表!A25</f>
        <v>19</v>
      </c>
      <c r="B20" s="5">
        <f>INT(马仔辅助经验表!B25)</f>
        <v>1019</v>
      </c>
      <c r="C20" s="5">
        <f>INT(马仔辅助经验表!C25)</f>
        <v>1019</v>
      </c>
      <c r="D20" s="5">
        <f>INT(马仔辅助经验表!D25)</f>
        <v>1019</v>
      </c>
      <c r="E20" s="5">
        <f>INT(马仔辅助经验表!E25)</f>
        <v>1019</v>
      </c>
      <c r="F20" s="17">
        <f t="shared" si="1"/>
        <v>5426</v>
      </c>
      <c r="G20">
        <f t="shared" si="2"/>
        <v>5426</v>
      </c>
      <c r="H20">
        <f t="shared" si="3"/>
        <v>5426</v>
      </c>
      <c r="I20">
        <f t="shared" si="4"/>
        <v>5426</v>
      </c>
    </row>
    <row r="21" spans="1:9">
      <c r="A21" s="5">
        <f>马仔辅助经验表!A26</f>
        <v>20</v>
      </c>
      <c r="B21" s="5">
        <f>INT(马仔辅助经验表!B26)</f>
        <v>1192</v>
      </c>
      <c r="C21" s="5">
        <f>INT(马仔辅助经验表!C26)</f>
        <v>1192</v>
      </c>
      <c r="D21" s="5">
        <f>INT(马仔辅助经验表!D26)</f>
        <v>1192</v>
      </c>
      <c r="E21" s="5">
        <f>INT(马仔辅助经验表!E26)</f>
        <v>1192</v>
      </c>
      <c r="F21" s="17">
        <f t="shared" si="1"/>
        <v>6445</v>
      </c>
      <c r="G21">
        <f t="shared" si="2"/>
        <v>6445</v>
      </c>
      <c r="H21">
        <f t="shared" si="3"/>
        <v>6445</v>
      </c>
      <c r="I21">
        <f t="shared" si="4"/>
        <v>6445</v>
      </c>
    </row>
    <row r="22" spans="1:9">
      <c r="A22" s="5">
        <f>马仔辅助经验表!A27</f>
        <v>21</v>
      </c>
      <c r="B22" s="5">
        <f>INT(马仔辅助经验表!B27)</f>
        <v>1386</v>
      </c>
      <c r="C22" s="5">
        <f>INT(马仔辅助经验表!C27)</f>
        <v>1386</v>
      </c>
      <c r="D22" s="5">
        <f>INT(马仔辅助经验表!D27)</f>
        <v>1386</v>
      </c>
      <c r="E22" s="5">
        <f>INT(马仔辅助经验表!E27)</f>
        <v>1386</v>
      </c>
      <c r="F22" s="17">
        <f t="shared" si="1"/>
        <v>7637</v>
      </c>
      <c r="G22">
        <f t="shared" si="2"/>
        <v>7637</v>
      </c>
      <c r="H22">
        <f t="shared" si="3"/>
        <v>7637</v>
      </c>
      <c r="I22">
        <f t="shared" si="4"/>
        <v>7637</v>
      </c>
    </row>
    <row r="23" spans="1:9">
      <c r="A23" s="5">
        <f>马仔辅助经验表!A28</f>
        <v>22</v>
      </c>
      <c r="B23" s="5">
        <f>INT(马仔辅助经验表!B28)</f>
        <v>1604</v>
      </c>
      <c r="C23" s="5">
        <f>INT(马仔辅助经验表!C28)</f>
        <v>1604</v>
      </c>
      <c r="D23" s="5">
        <f>INT(马仔辅助经验表!D28)</f>
        <v>1604</v>
      </c>
      <c r="E23" s="5">
        <f>INT(马仔辅助经验表!E28)</f>
        <v>1604</v>
      </c>
      <c r="F23" s="17">
        <f t="shared" si="1"/>
        <v>9023</v>
      </c>
      <c r="G23">
        <f t="shared" si="2"/>
        <v>9023</v>
      </c>
      <c r="H23">
        <f t="shared" si="3"/>
        <v>9023</v>
      </c>
      <c r="I23">
        <f t="shared" si="4"/>
        <v>9023</v>
      </c>
    </row>
    <row r="24" spans="1:9">
      <c r="A24" s="5">
        <f>马仔辅助经验表!A29</f>
        <v>23</v>
      </c>
      <c r="B24" s="5">
        <f>INT(马仔辅助经验表!B29)</f>
        <v>1848</v>
      </c>
      <c r="C24" s="5">
        <f>INT(马仔辅助经验表!C29)</f>
        <v>1848</v>
      </c>
      <c r="D24" s="5">
        <f>INT(马仔辅助经验表!D29)</f>
        <v>1848</v>
      </c>
      <c r="E24" s="5">
        <f>INT(马仔辅助经验表!E29)</f>
        <v>1848</v>
      </c>
      <c r="F24" s="17">
        <f t="shared" si="1"/>
        <v>10627</v>
      </c>
      <c r="G24">
        <f t="shared" si="2"/>
        <v>10627</v>
      </c>
      <c r="H24">
        <f t="shared" si="3"/>
        <v>10627</v>
      </c>
      <c r="I24">
        <f t="shared" si="4"/>
        <v>10627</v>
      </c>
    </row>
    <row r="25" spans="1:9">
      <c r="A25" s="5">
        <f>马仔辅助经验表!A30</f>
        <v>24</v>
      </c>
      <c r="B25" s="5">
        <f>INT(马仔辅助经验表!B30)</f>
        <v>2119</v>
      </c>
      <c r="C25" s="5">
        <f>INT(马仔辅助经验表!C30)</f>
        <v>2119</v>
      </c>
      <c r="D25" s="5">
        <f>INT(马仔辅助经验表!D30)</f>
        <v>2119</v>
      </c>
      <c r="E25" s="5">
        <f>INT(马仔辅助经验表!E30)</f>
        <v>2119</v>
      </c>
      <c r="F25" s="17">
        <f t="shared" si="1"/>
        <v>12475</v>
      </c>
      <c r="G25">
        <f t="shared" si="2"/>
        <v>12475</v>
      </c>
      <c r="H25">
        <f t="shared" si="3"/>
        <v>12475</v>
      </c>
      <c r="I25">
        <f t="shared" si="4"/>
        <v>12475</v>
      </c>
    </row>
    <row r="26" spans="1:9">
      <c r="A26" s="5">
        <f>马仔辅助经验表!A31</f>
        <v>25</v>
      </c>
      <c r="B26" s="5">
        <f>INT(马仔辅助经验表!B31)</f>
        <v>2419</v>
      </c>
      <c r="C26" s="5">
        <f>INT(马仔辅助经验表!C31)</f>
        <v>2419</v>
      </c>
      <c r="D26" s="5">
        <f>INT(马仔辅助经验表!D31)</f>
        <v>2419</v>
      </c>
      <c r="E26" s="5">
        <f>INT(马仔辅助经验表!E31)</f>
        <v>2419</v>
      </c>
      <c r="F26" s="17">
        <f t="shared" si="1"/>
        <v>14594</v>
      </c>
      <c r="G26">
        <f t="shared" si="2"/>
        <v>14594</v>
      </c>
      <c r="H26">
        <f t="shared" si="3"/>
        <v>14594</v>
      </c>
      <c r="I26">
        <f t="shared" si="4"/>
        <v>14594</v>
      </c>
    </row>
    <row r="27" spans="1:9">
      <c r="A27" s="5">
        <f>马仔辅助经验表!A32</f>
        <v>26</v>
      </c>
      <c r="B27" s="5">
        <f>INT(马仔辅助经验表!B32)</f>
        <v>2751</v>
      </c>
      <c r="C27" s="5">
        <f>INT(马仔辅助经验表!C32)</f>
        <v>2751</v>
      </c>
      <c r="D27" s="5">
        <f>INT(马仔辅助经验表!D32)</f>
        <v>2751</v>
      </c>
      <c r="E27" s="5">
        <f>INT(马仔辅助经验表!E32)</f>
        <v>2751</v>
      </c>
      <c r="F27" s="17">
        <f t="shared" si="1"/>
        <v>17013</v>
      </c>
      <c r="G27">
        <f t="shared" si="2"/>
        <v>17013</v>
      </c>
      <c r="H27">
        <f t="shared" si="3"/>
        <v>17013</v>
      </c>
      <c r="I27">
        <f t="shared" si="4"/>
        <v>17013</v>
      </c>
    </row>
    <row r="28" spans="1:9">
      <c r="A28" s="5">
        <f>马仔辅助经验表!A33</f>
        <v>27</v>
      </c>
      <c r="B28" s="5">
        <f>INT(马仔辅助经验表!B33)</f>
        <v>3116</v>
      </c>
      <c r="C28" s="5">
        <f>INT(马仔辅助经验表!C33)</f>
        <v>3116</v>
      </c>
      <c r="D28" s="5">
        <f>INT(马仔辅助经验表!D33)</f>
        <v>3116</v>
      </c>
      <c r="E28" s="5">
        <f>INT(马仔辅助经验表!E33)</f>
        <v>3116</v>
      </c>
      <c r="F28" s="17">
        <f t="shared" si="1"/>
        <v>19764</v>
      </c>
      <c r="G28">
        <f t="shared" si="2"/>
        <v>19764</v>
      </c>
      <c r="H28">
        <f t="shared" si="3"/>
        <v>19764</v>
      </c>
      <c r="I28">
        <f t="shared" si="4"/>
        <v>19764</v>
      </c>
    </row>
    <row r="29" spans="1:9">
      <c r="A29" s="5">
        <f>马仔辅助经验表!A34</f>
        <v>28</v>
      </c>
      <c r="B29" s="5">
        <f>INT(马仔辅助经验表!B34)</f>
        <v>3517</v>
      </c>
      <c r="C29" s="5">
        <f>INT(马仔辅助经验表!C34)</f>
        <v>3517</v>
      </c>
      <c r="D29" s="5">
        <f>INT(马仔辅助经验表!D34)</f>
        <v>3517</v>
      </c>
      <c r="E29" s="5">
        <f>INT(马仔辅助经验表!E34)</f>
        <v>3517</v>
      </c>
      <c r="F29" s="17">
        <f t="shared" si="1"/>
        <v>22880</v>
      </c>
      <c r="G29">
        <f t="shared" si="2"/>
        <v>22880</v>
      </c>
      <c r="H29">
        <f t="shared" si="3"/>
        <v>22880</v>
      </c>
      <c r="I29">
        <f t="shared" si="4"/>
        <v>22880</v>
      </c>
    </row>
    <row r="30" spans="1:9">
      <c r="A30" s="5">
        <f>马仔辅助经验表!A35</f>
        <v>29</v>
      </c>
      <c r="B30" s="5">
        <f>INT(马仔辅助经验表!B35)</f>
        <v>3955</v>
      </c>
      <c r="C30" s="5">
        <f>INT(马仔辅助经验表!C35)</f>
        <v>3955</v>
      </c>
      <c r="D30" s="5">
        <f>INT(马仔辅助经验表!D35)</f>
        <v>3955</v>
      </c>
      <c r="E30" s="5">
        <f>INT(马仔辅助经验表!E35)</f>
        <v>3955</v>
      </c>
      <c r="F30" s="17">
        <f t="shared" si="1"/>
        <v>26397</v>
      </c>
      <c r="G30">
        <f t="shared" si="2"/>
        <v>26397</v>
      </c>
      <c r="H30">
        <f t="shared" si="3"/>
        <v>26397</v>
      </c>
      <c r="I30">
        <f t="shared" si="4"/>
        <v>26397</v>
      </c>
    </row>
    <row r="31" spans="1:9">
      <c r="A31" s="5">
        <f>马仔辅助经验表!A36</f>
        <v>30</v>
      </c>
      <c r="B31" s="5">
        <f>INT(马仔辅助经验表!B36)</f>
        <v>4432</v>
      </c>
      <c r="C31" s="5">
        <f>INT(马仔辅助经验表!C36)</f>
        <v>4432</v>
      </c>
      <c r="D31" s="5">
        <f>INT(马仔辅助经验表!D36)</f>
        <v>4432</v>
      </c>
      <c r="E31" s="5">
        <f>INT(马仔辅助经验表!E36)</f>
        <v>4432</v>
      </c>
      <c r="F31" s="17">
        <f t="shared" si="1"/>
        <v>30352</v>
      </c>
      <c r="G31">
        <f t="shared" si="2"/>
        <v>30352</v>
      </c>
      <c r="H31">
        <f t="shared" si="3"/>
        <v>30352</v>
      </c>
      <c r="I31">
        <f t="shared" si="4"/>
        <v>30352</v>
      </c>
    </row>
    <row r="32" spans="1:9">
      <c r="A32" s="5">
        <f>马仔辅助经验表!A37</f>
        <v>31</v>
      </c>
      <c r="B32" s="5">
        <f>INT(马仔辅助经验表!B37)</f>
        <v>4951</v>
      </c>
      <c r="C32" s="5">
        <f>INT(马仔辅助经验表!C37)</f>
        <v>4951</v>
      </c>
      <c r="D32" s="5">
        <f>INT(马仔辅助经验表!D37)</f>
        <v>4951</v>
      </c>
      <c r="E32" s="5">
        <f>INT(马仔辅助经验表!E37)</f>
        <v>4951</v>
      </c>
      <c r="F32" s="17">
        <f t="shared" si="1"/>
        <v>34784</v>
      </c>
      <c r="G32">
        <f t="shared" si="2"/>
        <v>34784</v>
      </c>
      <c r="H32">
        <f t="shared" si="3"/>
        <v>34784</v>
      </c>
      <c r="I32">
        <f t="shared" si="4"/>
        <v>34784</v>
      </c>
    </row>
    <row r="33" spans="1:9">
      <c r="A33" s="5">
        <f>马仔辅助经验表!A38</f>
        <v>32</v>
      </c>
      <c r="B33" s="5">
        <f>INT(马仔辅助经验表!B38)</f>
        <v>5515</v>
      </c>
      <c r="C33" s="5">
        <f>INT(马仔辅助经验表!C38)</f>
        <v>5515</v>
      </c>
      <c r="D33" s="5">
        <f>INT(马仔辅助经验表!D38)</f>
        <v>5515</v>
      </c>
      <c r="E33" s="5">
        <f>INT(马仔辅助经验表!E38)</f>
        <v>5515</v>
      </c>
      <c r="F33" s="17">
        <f t="shared" si="1"/>
        <v>39735</v>
      </c>
      <c r="G33">
        <f t="shared" si="2"/>
        <v>39735</v>
      </c>
      <c r="H33">
        <f t="shared" si="3"/>
        <v>39735</v>
      </c>
      <c r="I33">
        <f t="shared" si="4"/>
        <v>39735</v>
      </c>
    </row>
    <row r="34" spans="1:9">
      <c r="A34" s="5">
        <f>马仔辅助经验表!A39</f>
        <v>33</v>
      </c>
      <c r="B34" s="5">
        <f>INT(马仔辅助经验表!B39)</f>
        <v>6125</v>
      </c>
      <c r="C34" s="5">
        <f>INT(马仔辅助经验表!C39)</f>
        <v>6125</v>
      </c>
      <c r="D34" s="5">
        <f>INT(马仔辅助经验表!D39)</f>
        <v>6125</v>
      </c>
      <c r="E34" s="5">
        <f>INT(马仔辅助经验表!E39)</f>
        <v>6125</v>
      </c>
      <c r="F34" s="17">
        <f t="shared" si="1"/>
        <v>45250</v>
      </c>
      <c r="G34">
        <f t="shared" si="2"/>
        <v>45250</v>
      </c>
      <c r="H34">
        <f t="shared" si="3"/>
        <v>45250</v>
      </c>
      <c r="I34">
        <f t="shared" si="4"/>
        <v>45250</v>
      </c>
    </row>
    <row r="35" spans="1:9">
      <c r="A35" s="5">
        <f>马仔辅助经验表!A40</f>
        <v>34</v>
      </c>
      <c r="B35" s="5">
        <f>INT(马仔辅助经验表!B40)</f>
        <v>6784</v>
      </c>
      <c r="C35" s="5">
        <f>INT(马仔辅助经验表!C40)</f>
        <v>6784</v>
      </c>
      <c r="D35" s="5">
        <f>INT(马仔辅助经验表!D40)</f>
        <v>6784</v>
      </c>
      <c r="E35" s="5">
        <f>INT(马仔辅助经验表!E40)</f>
        <v>6784</v>
      </c>
      <c r="F35" s="17">
        <f t="shared" si="1"/>
        <v>51375</v>
      </c>
      <c r="G35">
        <f t="shared" si="2"/>
        <v>51375</v>
      </c>
      <c r="H35">
        <f t="shared" si="3"/>
        <v>51375</v>
      </c>
      <c r="I35">
        <f t="shared" si="4"/>
        <v>51375</v>
      </c>
    </row>
    <row r="36" spans="1:9">
      <c r="A36" s="5">
        <f>马仔辅助经验表!A41</f>
        <v>35</v>
      </c>
      <c r="B36" s="5">
        <f>INT(马仔辅助经验表!B41)</f>
        <v>7494</v>
      </c>
      <c r="C36" s="5">
        <f>INT(马仔辅助经验表!C41)</f>
        <v>7494</v>
      </c>
      <c r="D36" s="5">
        <f>INT(马仔辅助经验表!D41)</f>
        <v>7494</v>
      </c>
      <c r="E36" s="5">
        <f>INT(马仔辅助经验表!E41)</f>
        <v>7494</v>
      </c>
      <c r="F36" s="17">
        <f t="shared" si="1"/>
        <v>58159</v>
      </c>
      <c r="G36">
        <f t="shared" si="2"/>
        <v>58159</v>
      </c>
      <c r="H36">
        <f t="shared" si="3"/>
        <v>58159</v>
      </c>
      <c r="I36">
        <f t="shared" si="4"/>
        <v>58159</v>
      </c>
    </row>
    <row r="37" spans="1:9">
      <c r="A37" s="5">
        <f>马仔辅助经验表!A42</f>
        <v>36</v>
      </c>
      <c r="B37" s="5">
        <f>INT(马仔辅助经验表!B42)</f>
        <v>8258</v>
      </c>
      <c r="C37" s="5">
        <f>INT(马仔辅助经验表!C42)</f>
        <v>8258</v>
      </c>
      <c r="D37" s="5">
        <f>INT(马仔辅助经验表!D42)</f>
        <v>8258</v>
      </c>
      <c r="E37" s="5">
        <f>INT(马仔辅助经验表!E42)</f>
        <v>8258</v>
      </c>
      <c r="F37" s="17">
        <f t="shared" si="1"/>
        <v>65653</v>
      </c>
      <c r="G37">
        <f t="shared" si="2"/>
        <v>65653</v>
      </c>
      <c r="H37">
        <f t="shared" si="3"/>
        <v>65653</v>
      </c>
      <c r="I37">
        <f t="shared" si="4"/>
        <v>65653</v>
      </c>
    </row>
    <row r="38" spans="1:9">
      <c r="A38" s="5">
        <f>马仔辅助经验表!A43</f>
        <v>37</v>
      </c>
      <c r="B38" s="5">
        <f>INT(马仔辅助经验表!B43)</f>
        <v>9079</v>
      </c>
      <c r="C38" s="5">
        <f>INT(马仔辅助经验表!C43)</f>
        <v>9079</v>
      </c>
      <c r="D38" s="5">
        <f>INT(马仔辅助经验表!D43)</f>
        <v>9079</v>
      </c>
      <c r="E38" s="5">
        <f>INT(马仔辅助经验表!E43)</f>
        <v>9079</v>
      </c>
      <c r="F38" s="17">
        <f t="shared" si="1"/>
        <v>73911</v>
      </c>
      <c r="G38">
        <f t="shared" si="2"/>
        <v>73911</v>
      </c>
      <c r="H38">
        <f t="shared" si="3"/>
        <v>73911</v>
      </c>
      <c r="I38">
        <f t="shared" si="4"/>
        <v>73911</v>
      </c>
    </row>
    <row r="39" spans="1:9">
      <c r="A39" s="5">
        <f>马仔辅助经验表!A44</f>
        <v>38</v>
      </c>
      <c r="B39" s="5">
        <f>INT(马仔辅助经验表!B44)</f>
        <v>9959</v>
      </c>
      <c r="C39" s="5">
        <f>INT(马仔辅助经验表!C44)</f>
        <v>9959</v>
      </c>
      <c r="D39" s="5">
        <f>INT(马仔辅助经验表!D44)</f>
        <v>9959</v>
      </c>
      <c r="E39" s="5">
        <f>INT(马仔辅助经验表!E44)</f>
        <v>9959</v>
      </c>
      <c r="F39" s="17">
        <f t="shared" si="1"/>
        <v>82990</v>
      </c>
      <c r="G39">
        <f t="shared" si="2"/>
        <v>82990</v>
      </c>
      <c r="H39">
        <f t="shared" si="3"/>
        <v>82990</v>
      </c>
      <c r="I39">
        <f t="shared" si="4"/>
        <v>82990</v>
      </c>
    </row>
    <row r="40" spans="1:9">
      <c r="A40" s="5">
        <f>马仔辅助经验表!A45</f>
        <v>39</v>
      </c>
      <c r="B40" s="5">
        <f>INT(马仔辅助经验表!B45)</f>
        <v>10900</v>
      </c>
      <c r="C40" s="5">
        <f>INT(马仔辅助经验表!C45)</f>
        <v>10900</v>
      </c>
      <c r="D40" s="5">
        <f>INT(马仔辅助经验表!D45)</f>
        <v>10900</v>
      </c>
      <c r="E40" s="5">
        <f>INT(马仔辅助经验表!E45)</f>
        <v>10900</v>
      </c>
      <c r="F40" s="17">
        <f t="shared" si="1"/>
        <v>92949</v>
      </c>
      <c r="G40">
        <f t="shared" si="2"/>
        <v>92949</v>
      </c>
      <c r="H40">
        <f t="shared" si="3"/>
        <v>92949</v>
      </c>
      <c r="I40">
        <f t="shared" si="4"/>
        <v>92949</v>
      </c>
    </row>
    <row r="41" spans="1:9">
      <c r="A41" s="5">
        <f>马仔辅助经验表!A46</f>
        <v>40</v>
      </c>
      <c r="B41" s="5">
        <f>INT(马仔辅助经验表!B46)</f>
        <v>11906</v>
      </c>
      <c r="C41" s="5">
        <f>INT(马仔辅助经验表!C46)</f>
        <v>11906</v>
      </c>
      <c r="D41" s="5">
        <f>INT(马仔辅助经验表!D46)</f>
        <v>11906</v>
      </c>
      <c r="E41" s="5">
        <f>INT(马仔辅助经验表!E46)</f>
        <v>11906</v>
      </c>
      <c r="F41" s="17">
        <f t="shared" si="1"/>
        <v>103849</v>
      </c>
      <c r="G41">
        <f t="shared" si="2"/>
        <v>103849</v>
      </c>
      <c r="H41">
        <f t="shared" si="3"/>
        <v>103849</v>
      </c>
      <c r="I41">
        <f t="shared" si="4"/>
        <v>103849</v>
      </c>
    </row>
    <row r="42" spans="1:9">
      <c r="A42" s="5">
        <f>马仔辅助经验表!A47</f>
        <v>41</v>
      </c>
      <c r="B42" s="5">
        <f>INT(马仔辅助经验表!B47)</f>
        <v>12980</v>
      </c>
      <c r="C42" s="5">
        <f>INT(马仔辅助经验表!C47)</f>
        <v>12980</v>
      </c>
      <c r="D42" s="5">
        <f>INT(马仔辅助经验表!D47)</f>
        <v>12980</v>
      </c>
      <c r="E42" s="5">
        <f>INT(马仔辅助经验表!E47)</f>
        <v>12980</v>
      </c>
      <c r="F42" s="17">
        <f t="shared" si="1"/>
        <v>115755</v>
      </c>
      <c r="G42">
        <f t="shared" si="2"/>
        <v>115755</v>
      </c>
      <c r="H42">
        <f t="shared" si="3"/>
        <v>115755</v>
      </c>
      <c r="I42">
        <f t="shared" si="4"/>
        <v>115755</v>
      </c>
    </row>
    <row r="43" spans="1:9">
      <c r="A43" s="5">
        <f>马仔辅助经验表!A48</f>
        <v>42</v>
      </c>
      <c r="B43" s="5">
        <f>INT(马仔辅助经验表!B48)</f>
        <v>14123</v>
      </c>
      <c r="C43" s="5">
        <f>INT(马仔辅助经验表!C48)</f>
        <v>14123</v>
      </c>
      <c r="D43" s="5">
        <f>INT(马仔辅助经验表!D48)</f>
        <v>14123</v>
      </c>
      <c r="E43" s="5">
        <f>INT(马仔辅助经验表!E48)</f>
        <v>14123</v>
      </c>
      <c r="F43" s="17">
        <f t="shared" si="1"/>
        <v>128735</v>
      </c>
      <c r="G43">
        <f t="shared" si="2"/>
        <v>128735</v>
      </c>
      <c r="H43">
        <f t="shared" si="3"/>
        <v>128735</v>
      </c>
      <c r="I43">
        <f t="shared" si="4"/>
        <v>128735</v>
      </c>
    </row>
    <row r="44" spans="1:9">
      <c r="A44" s="5">
        <f>马仔辅助经验表!A49</f>
        <v>43</v>
      </c>
      <c r="B44" s="5">
        <f>INT(马仔辅助经验表!B49)</f>
        <v>15340</v>
      </c>
      <c r="C44" s="5">
        <f>INT(马仔辅助经验表!C49)</f>
        <v>15340</v>
      </c>
      <c r="D44" s="5">
        <f>INT(马仔辅助经验表!D49)</f>
        <v>15340</v>
      </c>
      <c r="E44" s="5">
        <f>INT(马仔辅助经验表!E49)</f>
        <v>15340</v>
      </c>
      <c r="F44" s="17">
        <f t="shared" si="1"/>
        <v>142858</v>
      </c>
      <c r="G44">
        <f t="shared" si="2"/>
        <v>142858</v>
      </c>
      <c r="H44">
        <f t="shared" si="3"/>
        <v>142858</v>
      </c>
      <c r="I44">
        <f t="shared" si="4"/>
        <v>142858</v>
      </c>
    </row>
    <row r="45" spans="1:9">
      <c r="A45" s="5">
        <f>马仔辅助经验表!A50</f>
        <v>44</v>
      </c>
      <c r="B45" s="5">
        <f>INT(马仔辅助经验表!B50)</f>
        <v>16633</v>
      </c>
      <c r="C45" s="5">
        <f>INT(马仔辅助经验表!C50)</f>
        <v>16633</v>
      </c>
      <c r="D45" s="5">
        <f>INT(马仔辅助经验表!D50)</f>
        <v>16633</v>
      </c>
      <c r="E45" s="5">
        <f>INT(马仔辅助经验表!E50)</f>
        <v>16633</v>
      </c>
      <c r="F45" s="17">
        <f t="shared" si="1"/>
        <v>158198</v>
      </c>
      <c r="G45">
        <f t="shared" si="2"/>
        <v>158198</v>
      </c>
      <c r="H45">
        <f t="shared" si="3"/>
        <v>158198</v>
      </c>
      <c r="I45">
        <f t="shared" si="4"/>
        <v>158198</v>
      </c>
    </row>
    <row r="46" spans="1:9">
      <c r="A46" s="5">
        <f>马仔辅助经验表!A51</f>
        <v>45</v>
      </c>
      <c r="B46" s="5">
        <f>INT(马仔辅助经验表!B51)</f>
        <v>18005</v>
      </c>
      <c r="C46" s="5">
        <f>INT(马仔辅助经验表!C51)</f>
        <v>18005</v>
      </c>
      <c r="D46" s="5">
        <f>INT(马仔辅助经验表!D51)</f>
        <v>18005</v>
      </c>
      <c r="E46" s="5">
        <f>INT(马仔辅助经验表!E51)</f>
        <v>18005</v>
      </c>
      <c r="F46" s="17">
        <f t="shared" si="1"/>
        <v>174831</v>
      </c>
      <c r="G46">
        <f t="shared" si="2"/>
        <v>174831</v>
      </c>
      <c r="H46">
        <f t="shared" si="3"/>
        <v>174831</v>
      </c>
      <c r="I46">
        <f t="shared" si="4"/>
        <v>174831</v>
      </c>
    </row>
    <row r="47" spans="1:9">
      <c r="A47" s="5">
        <f>马仔辅助经验表!A52</f>
        <v>46</v>
      </c>
      <c r="B47" s="5">
        <f>INT(马仔辅助经验表!B52)</f>
        <v>19459</v>
      </c>
      <c r="C47" s="5">
        <f>INT(马仔辅助经验表!C52)</f>
        <v>19459</v>
      </c>
      <c r="D47" s="5">
        <f>INT(马仔辅助经验表!D52)</f>
        <v>19459</v>
      </c>
      <c r="E47" s="5">
        <f>INT(马仔辅助经验表!E52)</f>
        <v>19459</v>
      </c>
      <c r="F47" s="17">
        <f t="shared" si="1"/>
        <v>192836</v>
      </c>
      <c r="G47">
        <f t="shared" si="2"/>
        <v>192836</v>
      </c>
      <c r="H47">
        <f t="shared" si="3"/>
        <v>192836</v>
      </c>
      <c r="I47">
        <f t="shared" si="4"/>
        <v>192836</v>
      </c>
    </row>
    <row r="48" spans="1:9">
      <c r="A48" s="5">
        <f>马仔辅助经验表!A53</f>
        <v>47</v>
      </c>
      <c r="B48" s="5">
        <f>INT(马仔辅助经验表!B53)</f>
        <v>20999</v>
      </c>
      <c r="C48" s="5">
        <f>INT(马仔辅助经验表!C53)</f>
        <v>20999</v>
      </c>
      <c r="D48" s="5">
        <f>INT(马仔辅助经验表!D53)</f>
        <v>20999</v>
      </c>
      <c r="E48" s="5">
        <f>INT(马仔辅助经验表!E53)</f>
        <v>20999</v>
      </c>
      <c r="F48" s="17">
        <f t="shared" si="1"/>
        <v>212295</v>
      </c>
      <c r="G48">
        <f t="shared" si="2"/>
        <v>212295</v>
      </c>
      <c r="H48">
        <f t="shared" si="3"/>
        <v>212295</v>
      </c>
      <c r="I48">
        <f t="shared" si="4"/>
        <v>212295</v>
      </c>
    </row>
    <row r="49" spans="1:9">
      <c r="A49" s="5">
        <f>马仔辅助经验表!A54</f>
        <v>48</v>
      </c>
      <c r="B49" s="5">
        <f>INT(马仔辅助经验表!B54)</f>
        <v>22627</v>
      </c>
      <c r="C49" s="5">
        <f>INT(马仔辅助经验表!C54)</f>
        <v>22627</v>
      </c>
      <c r="D49" s="5">
        <f>INT(马仔辅助经验表!D54)</f>
        <v>22627</v>
      </c>
      <c r="E49" s="5">
        <f>INT(马仔辅助经验表!E54)</f>
        <v>22627</v>
      </c>
      <c r="F49" s="17">
        <f t="shared" si="1"/>
        <v>233294</v>
      </c>
      <c r="G49">
        <f t="shared" si="2"/>
        <v>233294</v>
      </c>
      <c r="H49">
        <f t="shared" si="3"/>
        <v>233294</v>
      </c>
      <c r="I49">
        <f t="shared" si="4"/>
        <v>233294</v>
      </c>
    </row>
    <row r="50" spans="1:9">
      <c r="A50" s="5">
        <f>马仔辅助经验表!A55</f>
        <v>49</v>
      </c>
      <c r="B50" s="5">
        <f>INT(马仔辅助经验表!B55)</f>
        <v>24348</v>
      </c>
      <c r="C50" s="5">
        <f>INT(马仔辅助经验表!C55)</f>
        <v>24348</v>
      </c>
      <c r="D50" s="5">
        <f>INT(马仔辅助经验表!D55)</f>
        <v>24348</v>
      </c>
      <c r="E50" s="5">
        <f>INT(马仔辅助经验表!E55)</f>
        <v>24348</v>
      </c>
      <c r="F50" s="17">
        <f t="shared" si="1"/>
        <v>255921</v>
      </c>
      <c r="G50">
        <f t="shared" si="2"/>
        <v>255921</v>
      </c>
      <c r="H50">
        <f t="shared" si="3"/>
        <v>255921</v>
      </c>
      <c r="I50">
        <f t="shared" si="4"/>
        <v>255921</v>
      </c>
    </row>
    <row r="51" spans="1:9">
      <c r="A51" s="5">
        <f>马仔辅助经验表!A56</f>
        <v>50</v>
      </c>
      <c r="B51" s="5">
        <f>INT(马仔辅助经验表!B56)</f>
        <v>26163</v>
      </c>
      <c r="C51" s="5">
        <f>INT(马仔辅助经验表!C56)</f>
        <v>26163</v>
      </c>
      <c r="D51" s="5">
        <f>INT(马仔辅助经验表!D56)</f>
        <v>26163</v>
      </c>
      <c r="E51" s="5">
        <f>INT(马仔辅助经验表!E56)</f>
        <v>26163</v>
      </c>
      <c r="F51" s="17">
        <f t="shared" si="1"/>
        <v>280269</v>
      </c>
      <c r="G51">
        <f t="shared" si="2"/>
        <v>280269</v>
      </c>
      <c r="H51">
        <f t="shared" si="3"/>
        <v>280269</v>
      </c>
      <c r="I51">
        <f t="shared" si="4"/>
        <v>280269</v>
      </c>
    </row>
    <row r="52" spans="1:9">
      <c r="A52" s="5">
        <f>马仔辅助经验表!A57</f>
        <v>51</v>
      </c>
      <c r="B52" s="5">
        <f>INT(马仔辅助经验表!B57)</f>
        <v>28077</v>
      </c>
      <c r="C52" s="5">
        <f>INT(马仔辅助经验表!C57)</f>
        <v>28077</v>
      </c>
      <c r="D52" s="5">
        <f>INT(马仔辅助经验表!D57)</f>
        <v>28077</v>
      </c>
      <c r="E52" s="5">
        <f>INT(马仔辅助经验表!E57)</f>
        <v>28077</v>
      </c>
      <c r="F52" s="17">
        <f t="shared" si="1"/>
        <v>306432</v>
      </c>
      <c r="G52">
        <f t="shared" si="2"/>
        <v>306432</v>
      </c>
      <c r="H52">
        <f t="shared" si="3"/>
        <v>306432</v>
      </c>
      <c r="I52">
        <f t="shared" si="4"/>
        <v>306432</v>
      </c>
    </row>
    <row r="53" spans="1:9">
      <c r="A53" s="5">
        <f>马仔辅助经验表!A58</f>
        <v>52</v>
      </c>
      <c r="B53" s="5">
        <f>INT(马仔辅助经验表!B58)</f>
        <v>30093</v>
      </c>
      <c r="C53" s="5">
        <f>INT(马仔辅助经验表!C58)</f>
        <v>30093</v>
      </c>
      <c r="D53" s="5">
        <f>INT(马仔辅助经验表!D58)</f>
        <v>30093</v>
      </c>
      <c r="E53" s="5">
        <f>INT(马仔辅助经验表!E58)</f>
        <v>30093</v>
      </c>
      <c r="F53" s="17">
        <f t="shared" si="1"/>
        <v>334509</v>
      </c>
      <c r="G53">
        <f t="shared" si="2"/>
        <v>334509</v>
      </c>
      <c r="H53">
        <f t="shared" si="3"/>
        <v>334509</v>
      </c>
      <c r="I53">
        <f t="shared" si="4"/>
        <v>334509</v>
      </c>
    </row>
    <row r="54" spans="1:9">
      <c r="A54" s="5">
        <f>马仔辅助经验表!A59</f>
        <v>53</v>
      </c>
      <c r="B54" s="5">
        <f>INT(马仔辅助经验表!B59)</f>
        <v>32215</v>
      </c>
      <c r="C54" s="5">
        <f>INT(马仔辅助经验表!C59)</f>
        <v>32215</v>
      </c>
      <c r="D54" s="5">
        <f>INT(马仔辅助经验表!D59)</f>
        <v>32215</v>
      </c>
      <c r="E54" s="5">
        <f>INT(马仔辅助经验表!E59)</f>
        <v>32215</v>
      </c>
      <c r="F54" s="17">
        <f t="shared" si="1"/>
        <v>364602</v>
      </c>
      <c r="G54">
        <f t="shared" si="2"/>
        <v>364602</v>
      </c>
      <c r="H54">
        <f t="shared" si="3"/>
        <v>364602</v>
      </c>
      <c r="I54">
        <f t="shared" si="4"/>
        <v>364602</v>
      </c>
    </row>
    <row r="55" spans="1:9">
      <c r="A55" s="5">
        <f>马仔辅助经验表!A60</f>
        <v>54</v>
      </c>
      <c r="B55" s="5">
        <f>INT(马仔辅助经验表!B60)</f>
        <v>34446</v>
      </c>
      <c r="C55" s="5">
        <f>INT(马仔辅助经验表!C60)</f>
        <v>34446</v>
      </c>
      <c r="D55" s="5">
        <f>INT(马仔辅助经验表!D60)</f>
        <v>34446</v>
      </c>
      <c r="E55" s="5">
        <f>INT(马仔辅助经验表!E60)</f>
        <v>34446</v>
      </c>
      <c r="F55" s="17">
        <f t="shared" si="1"/>
        <v>396817</v>
      </c>
      <c r="G55">
        <f t="shared" si="2"/>
        <v>396817</v>
      </c>
      <c r="H55">
        <f t="shared" si="3"/>
        <v>396817</v>
      </c>
      <c r="I55">
        <f t="shared" si="4"/>
        <v>396817</v>
      </c>
    </row>
    <row r="56" spans="1:9">
      <c r="A56" s="5">
        <f>马仔辅助经验表!A61</f>
        <v>55</v>
      </c>
      <c r="B56" s="5">
        <f>INT(马仔辅助经验表!B61)</f>
        <v>36789</v>
      </c>
      <c r="C56" s="5">
        <f>INT(马仔辅助经验表!C61)</f>
        <v>36789</v>
      </c>
      <c r="D56" s="5">
        <f>INT(马仔辅助经验表!D61)</f>
        <v>36789</v>
      </c>
      <c r="E56" s="5">
        <f>INT(马仔辅助经验表!E61)</f>
        <v>36789</v>
      </c>
      <c r="F56" s="17">
        <f t="shared" si="1"/>
        <v>431263</v>
      </c>
      <c r="G56">
        <f t="shared" si="2"/>
        <v>431263</v>
      </c>
      <c r="H56">
        <f t="shared" si="3"/>
        <v>431263</v>
      </c>
      <c r="I56">
        <f t="shared" si="4"/>
        <v>431263</v>
      </c>
    </row>
    <row r="57" spans="1:9">
      <c r="A57" s="5">
        <f>马仔辅助经验表!A62</f>
        <v>56</v>
      </c>
      <c r="B57" s="5">
        <f>INT(马仔辅助经验表!B62)</f>
        <v>39249</v>
      </c>
      <c r="C57" s="5">
        <f>INT(马仔辅助经验表!C62)</f>
        <v>39249</v>
      </c>
      <c r="D57" s="5">
        <f>INT(马仔辅助经验表!D62)</f>
        <v>39249</v>
      </c>
      <c r="E57" s="5">
        <f>INT(马仔辅助经验表!E62)</f>
        <v>39249</v>
      </c>
      <c r="F57" s="17">
        <f t="shared" si="1"/>
        <v>468052</v>
      </c>
      <c r="G57">
        <f t="shared" si="2"/>
        <v>468052</v>
      </c>
      <c r="H57">
        <f t="shared" si="3"/>
        <v>468052</v>
      </c>
      <c r="I57">
        <f t="shared" si="4"/>
        <v>468052</v>
      </c>
    </row>
    <row r="58" spans="1:9">
      <c r="A58" s="5">
        <f>马仔辅助经验表!A63</f>
        <v>57</v>
      </c>
      <c r="B58" s="5">
        <f>INT(马仔辅助经验表!B63)</f>
        <v>41829</v>
      </c>
      <c r="C58" s="5">
        <f>INT(马仔辅助经验表!C63)</f>
        <v>41829</v>
      </c>
      <c r="D58" s="5">
        <f>INT(马仔辅助经验表!D63)</f>
        <v>41829</v>
      </c>
      <c r="E58" s="5">
        <f>INT(马仔辅助经验表!E63)</f>
        <v>41829</v>
      </c>
      <c r="F58" s="17">
        <f t="shared" si="1"/>
        <v>507301</v>
      </c>
      <c r="G58">
        <f t="shared" si="2"/>
        <v>507301</v>
      </c>
      <c r="H58">
        <f t="shared" si="3"/>
        <v>507301</v>
      </c>
      <c r="I58">
        <f t="shared" si="4"/>
        <v>507301</v>
      </c>
    </row>
    <row r="59" spans="1:9">
      <c r="A59" s="5">
        <f>马仔辅助经验表!A64</f>
        <v>58</v>
      </c>
      <c r="B59" s="5">
        <f>INT(马仔辅助经验表!B64)</f>
        <v>44533</v>
      </c>
      <c r="C59" s="5">
        <f>INT(马仔辅助经验表!C64)</f>
        <v>44533</v>
      </c>
      <c r="D59" s="5">
        <f>INT(马仔辅助经验表!D64)</f>
        <v>44533</v>
      </c>
      <c r="E59" s="5">
        <f>INT(马仔辅助经验表!E64)</f>
        <v>44533</v>
      </c>
      <c r="F59" s="17">
        <f t="shared" si="1"/>
        <v>549130</v>
      </c>
      <c r="G59">
        <f t="shared" si="2"/>
        <v>549130</v>
      </c>
      <c r="H59">
        <f t="shared" si="3"/>
        <v>549130</v>
      </c>
      <c r="I59">
        <f t="shared" si="4"/>
        <v>549130</v>
      </c>
    </row>
    <row r="60" spans="1:9">
      <c r="A60" s="5">
        <f>马仔辅助经验表!A65</f>
        <v>59</v>
      </c>
      <c r="B60" s="5">
        <f>INT(马仔辅助经验表!B65)</f>
        <v>47365</v>
      </c>
      <c r="C60" s="5">
        <f>INT(马仔辅助经验表!C65)</f>
        <v>47365</v>
      </c>
      <c r="D60" s="5">
        <f>INT(马仔辅助经验表!D65)</f>
        <v>47365</v>
      </c>
      <c r="E60" s="5">
        <f>INT(马仔辅助经验表!E65)</f>
        <v>47365</v>
      </c>
      <c r="F60" s="17">
        <f t="shared" si="1"/>
        <v>593663</v>
      </c>
      <c r="G60">
        <f t="shared" si="2"/>
        <v>593663</v>
      </c>
      <c r="H60">
        <f t="shared" si="3"/>
        <v>593663</v>
      </c>
      <c r="I60">
        <f t="shared" si="4"/>
        <v>593663</v>
      </c>
    </row>
    <row r="61" spans="1:9">
      <c r="A61" s="5">
        <f>马仔辅助经验表!A66</f>
        <v>60</v>
      </c>
      <c r="B61" s="5">
        <f>INT(马仔辅助经验表!B66)</f>
        <v>50328</v>
      </c>
      <c r="C61" s="5">
        <f>INT(马仔辅助经验表!C66)</f>
        <v>50328</v>
      </c>
      <c r="D61" s="5">
        <f>INT(马仔辅助经验表!D66)</f>
        <v>50328</v>
      </c>
      <c r="E61" s="5">
        <f>INT(马仔辅助经验表!E66)</f>
        <v>50328</v>
      </c>
      <c r="F61" s="17">
        <f t="shared" si="1"/>
        <v>641028</v>
      </c>
      <c r="G61">
        <f t="shared" si="2"/>
        <v>641028</v>
      </c>
      <c r="H61">
        <f t="shared" si="3"/>
        <v>641028</v>
      </c>
      <c r="I61">
        <f t="shared" si="4"/>
        <v>641028</v>
      </c>
    </row>
    <row r="62" spans="1:9">
      <c r="A62" s="5">
        <f>马仔辅助经验表!A67</f>
        <v>61</v>
      </c>
      <c r="B62" s="5">
        <f>INT(马仔辅助经验表!B67)</f>
        <v>53427</v>
      </c>
      <c r="C62" s="5">
        <f>INT(马仔辅助经验表!C67)</f>
        <v>53427</v>
      </c>
      <c r="D62" s="5">
        <f>INT(马仔辅助经验表!D67)</f>
        <v>53427</v>
      </c>
      <c r="E62" s="5">
        <f>INT(马仔辅助经验表!E67)</f>
        <v>53427</v>
      </c>
      <c r="F62" s="17">
        <f t="shared" si="1"/>
        <v>691356</v>
      </c>
      <c r="G62">
        <f t="shared" si="2"/>
        <v>691356</v>
      </c>
      <c r="H62">
        <f t="shared" si="3"/>
        <v>691356</v>
      </c>
      <c r="I62">
        <f t="shared" si="4"/>
        <v>691356</v>
      </c>
    </row>
    <row r="63" spans="1:9">
      <c r="A63" s="5">
        <f>马仔辅助经验表!A68</f>
        <v>62</v>
      </c>
      <c r="B63" s="5">
        <f>INT(马仔辅助经验表!B68)</f>
        <v>56666</v>
      </c>
      <c r="C63" s="5">
        <f>INT(马仔辅助经验表!C68)</f>
        <v>56666</v>
      </c>
      <c r="D63" s="5">
        <f>INT(马仔辅助经验表!D68)</f>
        <v>56666</v>
      </c>
      <c r="E63" s="5">
        <f>INT(马仔辅助经验表!E68)</f>
        <v>56666</v>
      </c>
      <c r="F63" s="17">
        <f t="shared" si="1"/>
        <v>744783</v>
      </c>
      <c r="G63">
        <f t="shared" si="2"/>
        <v>744783</v>
      </c>
      <c r="H63">
        <f t="shared" si="3"/>
        <v>744783</v>
      </c>
      <c r="I63">
        <f t="shared" si="4"/>
        <v>744783</v>
      </c>
    </row>
    <row r="64" spans="1:9">
      <c r="A64" s="5">
        <f>马仔辅助经验表!A69</f>
        <v>63</v>
      </c>
      <c r="B64" s="5">
        <f>INT(马仔辅助经验表!B69)</f>
        <v>60048</v>
      </c>
      <c r="C64" s="5">
        <f>INT(马仔辅助经验表!C69)</f>
        <v>60048</v>
      </c>
      <c r="D64" s="5">
        <f>INT(马仔辅助经验表!D69)</f>
        <v>60048</v>
      </c>
      <c r="E64" s="5">
        <f>INT(马仔辅助经验表!E69)</f>
        <v>60048</v>
      </c>
      <c r="F64" s="17">
        <f t="shared" si="1"/>
        <v>801449</v>
      </c>
      <c r="G64">
        <f t="shared" si="2"/>
        <v>801449</v>
      </c>
      <c r="H64">
        <f t="shared" si="3"/>
        <v>801449</v>
      </c>
      <c r="I64">
        <f t="shared" si="4"/>
        <v>801449</v>
      </c>
    </row>
    <row r="65" spans="1:9">
      <c r="A65" s="5">
        <f>马仔辅助经验表!A70</f>
        <v>64</v>
      </c>
      <c r="B65" s="5">
        <f>INT(马仔辅助经验表!B70)</f>
        <v>63578</v>
      </c>
      <c r="C65" s="5">
        <f>INT(马仔辅助经验表!C70)</f>
        <v>63578</v>
      </c>
      <c r="D65" s="5">
        <f>INT(马仔辅助经验表!D70)</f>
        <v>63578</v>
      </c>
      <c r="E65" s="5">
        <f>INT(马仔辅助经验表!E70)</f>
        <v>63578</v>
      </c>
      <c r="F65" s="17">
        <f t="shared" si="1"/>
        <v>861497</v>
      </c>
      <c r="G65">
        <f t="shared" si="2"/>
        <v>861497</v>
      </c>
      <c r="H65">
        <f t="shared" si="3"/>
        <v>861497</v>
      </c>
      <c r="I65">
        <f t="shared" si="4"/>
        <v>861497</v>
      </c>
    </row>
    <row r="66" spans="1:9">
      <c r="A66" s="5">
        <f>马仔辅助经验表!A71</f>
        <v>65</v>
      </c>
      <c r="B66" s="5">
        <f>INT(马仔辅助经验表!B71)</f>
        <v>67260</v>
      </c>
      <c r="C66" s="5">
        <f>INT(马仔辅助经验表!C71)</f>
        <v>67260</v>
      </c>
      <c r="D66" s="5">
        <f>INT(马仔辅助经验表!D71)</f>
        <v>67260</v>
      </c>
      <c r="E66" s="5">
        <f>INT(马仔辅助经验表!E71)</f>
        <v>67260</v>
      </c>
      <c r="F66" s="17">
        <f t="shared" si="1"/>
        <v>925075</v>
      </c>
      <c r="G66">
        <f t="shared" si="2"/>
        <v>925075</v>
      </c>
      <c r="H66">
        <f t="shared" si="3"/>
        <v>925075</v>
      </c>
      <c r="I66">
        <f t="shared" si="4"/>
        <v>925075</v>
      </c>
    </row>
    <row r="67" spans="1:9">
      <c r="A67" s="5">
        <f>马仔辅助经验表!A72</f>
        <v>66</v>
      </c>
      <c r="B67" s="5">
        <f>INT(马仔辅助经验表!B72)</f>
        <v>71099</v>
      </c>
      <c r="C67" s="5">
        <f>INT(马仔辅助经验表!C72)</f>
        <v>71099</v>
      </c>
      <c r="D67" s="5">
        <f>INT(马仔辅助经验表!D72)</f>
        <v>71099</v>
      </c>
      <c r="E67" s="5">
        <f>INT(马仔辅助经验表!E72)</f>
        <v>71099</v>
      </c>
      <c r="F67" s="17">
        <f t="shared" si="1"/>
        <v>992335</v>
      </c>
      <c r="G67">
        <f t="shared" si="2"/>
        <v>992335</v>
      </c>
      <c r="H67">
        <f t="shared" si="3"/>
        <v>992335</v>
      </c>
      <c r="I67">
        <f t="shared" si="4"/>
        <v>992335</v>
      </c>
    </row>
    <row r="68" spans="1:9">
      <c r="A68" s="5">
        <f>马仔辅助经验表!A73</f>
        <v>67</v>
      </c>
      <c r="B68" s="5">
        <f>INT(马仔辅助经验表!B73)</f>
        <v>75098</v>
      </c>
      <c r="C68" s="5">
        <f>INT(马仔辅助经验表!C73)</f>
        <v>75098</v>
      </c>
      <c r="D68" s="5">
        <f>INT(马仔辅助经验表!D73)</f>
        <v>75098</v>
      </c>
      <c r="E68" s="5">
        <f>INT(马仔辅助经验表!E73)</f>
        <v>75098</v>
      </c>
      <c r="F68" s="17">
        <f t="shared" ref="F68:F101" si="5">IF($A68=1,B67,B67+F67)</f>
        <v>1063434</v>
      </c>
      <c r="G68">
        <f t="shared" ref="G68:G101" si="6">IF($A68=1,C67,C67+G67)</f>
        <v>1063434</v>
      </c>
      <c r="H68">
        <f t="shared" ref="H68:H101" si="7">IF($A68=1,D67,D67+H67)</f>
        <v>1063434</v>
      </c>
      <c r="I68">
        <f t="shared" ref="I68:I101" si="8">IF($A68=1,E67,E67+I67)</f>
        <v>1063434</v>
      </c>
    </row>
    <row r="69" spans="1:9">
      <c r="A69" s="5">
        <f>马仔辅助经验表!A74</f>
        <v>68</v>
      </c>
      <c r="B69" s="5">
        <f>INT(马仔辅助经验表!B74)</f>
        <v>79262</v>
      </c>
      <c r="C69" s="5">
        <f>INT(马仔辅助经验表!C74)</f>
        <v>79262</v>
      </c>
      <c r="D69" s="5">
        <f>INT(马仔辅助经验表!D74)</f>
        <v>79262</v>
      </c>
      <c r="E69" s="5">
        <f>INT(马仔辅助经验表!E74)</f>
        <v>79262</v>
      </c>
      <c r="F69" s="17">
        <f t="shared" si="5"/>
        <v>1138532</v>
      </c>
      <c r="G69">
        <f t="shared" si="6"/>
        <v>1138532</v>
      </c>
      <c r="H69">
        <f t="shared" si="7"/>
        <v>1138532</v>
      </c>
      <c r="I69">
        <f t="shared" si="8"/>
        <v>1138532</v>
      </c>
    </row>
    <row r="70" spans="1:9">
      <c r="A70" s="5">
        <f>马仔辅助经验表!A75</f>
        <v>69</v>
      </c>
      <c r="B70" s="5">
        <f>INT(马仔辅助经验表!B75)</f>
        <v>83596</v>
      </c>
      <c r="C70" s="5">
        <f>INT(马仔辅助经验表!C75)</f>
        <v>83596</v>
      </c>
      <c r="D70" s="5">
        <f>INT(马仔辅助经验表!D75)</f>
        <v>83596</v>
      </c>
      <c r="E70" s="5">
        <f>INT(马仔辅助经验表!E75)</f>
        <v>83596</v>
      </c>
      <c r="F70" s="17">
        <f t="shared" si="5"/>
        <v>1217794</v>
      </c>
      <c r="G70">
        <f t="shared" si="6"/>
        <v>1217794</v>
      </c>
      <c r="H70">
        <f t="shared" si="7"/>
        <v>1217794</v>
      </c>
      <c r="I70">
        <f t="shared" si="8"/>
        <v>1217794</v>
      </c>
    </row>
    <row r="71" spans="1:9">
      <c r="A71" s="5">
        <f>马仔辅助经验表!A76</f>
        <v>70</v>
      </c>
      <c r="B71" s="5">
        <f>INT(马仔辅助经验表!B76)</f>
        <v>88103</v>
      </c>
      <c r="C71" s="5">
        <f>INT(马仔辅助经验表!C76)</f>
        <v>88103</v>
      </c>
      <c r="D71" s="5">
        <f>INT(马仔辅助经验表!D76)</f>
        <v>88103</v>
      </c>
      <c r="E71" s="5">
        <f>INT(马仔辅助经验表!E76)</f>
        <v>88103</v>
      </c>
      <c r="F71" s="17">
        <f t="shared" si="5"/>
        <v>1301390</v>
      </c>
      <c r="G71">
        <f t="shared" si="6"/>
        <v>1301390</v>
      </c>
      <c r="H71">
        <f t="shared" si="7"/>
        <v>1301390</v>
      </c>
      <c r="I71">
        <f t="shared" si="8"/>
        <v>1301390</v>
      </c>
    </row>
    <row r="72" spans="1:9">
      <c r="A72" s="5">
        <f>马仔辅助经验表!A77</f>
        <v>71</v>
      </c>
      <c r="B72" s="5">
        <f>INT(马仔辅助经验表!B77)</f>
        <v>92789</v>
      </c>
      <c r="C72" s="5">
        <f>INT(马仔辅助经验表!C77)</f>
        <v>92789</v>
      </c>
      <c r="D72" s="5">
        <f>INT(马仔辅助经验表!D77)</f>
        <v>92789</v>
      </c>
      <c r="E72" s="5">
        <f>INT(马仔辅助经验表!E77)</f>
        <v>92789</v>
      </c>
      <c r="F72" s="17">
        <f t="shared" si="5"/>
        <v>1389493</v>
      </c>
      <c r="G72">
        <f t="shared" si="6"/>
        <v>1389493</v>
      </c>
      <c r="H72">
        <f t="shared" si="7"/>
        <v>1389493</v>
      </c>
      <c r="I72">
        <f t="shared" si="8"/>
        <v>1389493</v>
      </c>
    </row>
    <row r="73" spans="1:9">
      <c r="A73" s="5">
        <f>马仔辅助经验表!A78</f>
        <v>72</v>
      </c>
      <c r="B73" s="5">
        <f>INT(马仔辅助经验表!B78)</f>
        <v>97658</v>
      </c>
      <c r="C73" s="5">
        <f>INT(马仔辅助经验表!C78)</f>
        <v>97658</v>
      </c>
      <c r="D73" s="5">
        <f>INT(马仔辅助经验表!D78)</f>
        <v>97658</v>
      </c>
      <c r="E73" s="5">
        <f>INT(马仔辅助经验表!E78)</f>
        <v>97658</v>
      </c>
      <c r="F73" s="17">
        <f t="shared" si="5"/>
        <v>1482282</v>
      </c>
      <c r="G73">
        <f t="shared" si="6"/>
        <v>1482282</v>
      </c>
      <c r="H73">
        <f t="shared" si="7"/>
        <v>1482282</v>
      </c>
      <c r="I73">
        <f t="shared" si="8"/>
        <v>1482282</v>
      </c>
    </row>
    <row r="74" spans="1:9">
      <c r="A74" s="5">
        <f>马仔辅助经验表!A79</f>
        <v>73</v>
      </c>
      <c r="B74" s="5">
        <f>INT(马仔辅助经验表!B79)</f>
        <v>102714</v>
      </c>
      <c r="C74" s="5">
        <f>INT(马仔辅助经验表!C79)</f>
        <v>102714</v>
      </c>
      <c r="D74" s="5">
        <f>INT(马仔辅助经验表!D79)</f>
        <v>102714</v>
      </c>
      <c r="E74" s="5">
        <f>INT(马仔辅助经验表!E79)</f>
        <v>102714</v>
      </c>
      <c r="F74" s="17">
        <f t="shared" si="5"/>
        <v>1579940</v>
      </c>
      <c r="G74">
        <f t="shared" si="6"/>
        <v>1579940</v>
      </c>
      <c r="H74">
        <f t="shared" si="7"/>
        <v>1579940</v>
      </c>
      <c r="I74">
        <f t="shared" si="8"/>
        <v>1579940</v>
      </c>
    </row>
    <row r="75" spans="1:9">
      <c r="A75" s="5">
        <f>马仔辅助经验表!A80</f>
        <v>74</v>
      </c>
      <c r="B75" s="5">
        <f>INT(马仔辅助经验表!B80)</f>
        <v>107963</v>
      </c>
      <c r="C75" s="5">
        <f>INT(马仔辅助经验表!C80)</f>
        <v>107963</v>
      </c>
      <c r="D75" s="5">
        <f>INT(马仔辅助经验表!D80)</f>
        <v>107963</v>
      </c>
      <c r="E75" s="5">
        <f>INT(马仔辅助经验表!E80)</f>
        <v>107963</v>
      </c>
      <c r="F75" s="17">
        <f t="shared" si="5"/>
        <v>1682654</v>
      </c>
      <c r="G75">
        <f t="shared" si="6"/>
        <v>1682654</v>
      </c>
      <c r="H75">
        <f t="shared" si="7"/>
        <v>1682654</v>
      </c>
      <c r="I75">
        <f t="shared" si="8"/>
        <v>1682654</v>
      </c>
    </row>
    <row r="76" spans="1:9">
      <c r="A76" s="5">
        <f>马仔辅助经验表!A81</f>
        <v>75</v>
      </c>
      <c r="B76" s="5">
        <f>INT(马仔辅助经验表!B81)</f>
        <v>113409</v>
      </c>
      <c r="C76" s="5">
        <f>INT(马仔辅助经验表!C81)</f>
        <v>113409</v>
      </c>
      <c r="D76" s="5">
        <f>INT(马仔辅助经验表!D81)</f>
        <v>113409</v>
      </c>
      <c r="E76" s="5">
        <f>INT(马仔辅助经验表!E81)</f>
        <v>113409</v>
      </c>
      <c r="F76" s="17">
        <f t="shared" si="5"/>
        <v>1790617</v>
      </c>
      <c r="G76">
        <f t="shared" si="6"/>
        <v>1790617</v>
      </c>
      <c r="H76">
        <f t="shared" si="7"/>
        <v>1790617</v>
      </c>
      <c r="I76">
        <f t="shared" si="8"/>
        <v>1790617</v>
      </c>
    </row>
    <row r="77" spans="1:9">
      <c r="A77" s="5">
        <f>马仔辅助经验表!A82</f>
        <v>76</v>
      </c>
      <c r="B77" s="5">
        <f>INT(马仔辅助经验表!B82)</f>
        <v>119057</v>
      </c>
      <c r="C77" s="5">
        <f>INT(马仔辅助经验表!C82)</f>
        <v>119057</v>
      </c>
      <c r="D77" s="5">
        <f>INT(马仔辅助经验表!D82)</f>
        <v>119057</v>
      </c>
      <c r="E77" s="5">
        <f>INT(马仔辅助经验表!E82)</f>
        <v>119057</v>
      </c>
      <c r="F77" s="17">
        <f t="shared" si="5"/>
        <v>1904026</v>
      </c>
      <c r="G77">
        <f t="shared" si="6"/>
        <v>1904026</v>
      </c>
      <c r="H77">
        <f t="shared" si="7"/>
        <v>1904026</v>
      </c>
      <c r="I77">
        <f t="shared" si="8"/>
        <v>1904026</v>
      </c>
    </row>
    <row r="78" spans="1:9">
      <c r="A78" s="5">
        <f>马仔辅助经验表!A83</f>
        <v>77</v>
      </c>
      <c r="B78" s="5">
        <f>INT(马仔辅助经验表!B83)</f>
        <v>124912</v>
      </c>
      <c r="C78" s="5">
        <f>INT(马仔辅助经验表!C83)</f>
        <v>124912</v>
      </c>
      <c r="D78" s="5">
        <f>INT(马仔辅助经验表!D83)</f>
        <v>124912</v>
      </c>
      <c r="E78" s="5">
        <f>INT(马仔辅助经验表!E83)</f>
        <v>124912</v>
      </c>
      <c r="F78" s="17">
        <f t="shared" si="5"/>
        <v>2023083</v>
      </c>
      <c r="G78">
        <f t="shared" si="6"/>
        <v>2023083</v>
      </c>
      <c r="H78">
        <f t="shared" si="7"/>
        <v>2023083</v>
      </c>
      <c r="I78">
        <f t="shared" si="8"/>
        <v>2023083</v>
      </c>
    </row>
    <row r="79" spans="1:9">
      <c r="A79" s="5">
        <f>马仔辅助经验表!A84</f>
        <v>78</v>
      </c>
      <c r="B79" s="5">
        <f>INT(马仔辅助经验表!B84)</f>
        <v>130979</v>
      </c>
      <c r="C79" s="5">
        <f>INT(马仔辅助经验表!C84)</f>
        <v>130979</v>
      </c>
      <c r="D79" s="5">
        <f>INT(马仔辅助经验表!D84)</f>
        <v>130979</v>
      </c>
      <c r="E79" s="5">
        <f>INT(马仔辅助经验表!E84)</f>
        <v>130979</v>
      </c>
      <c r="F79" s="17">
        <f t="shared" si="5"/>
        <v>2147995</v>
      </c>
      <c r="G79">
        <f t="shared" si="6"/>
        <v>2147995</v>
      </c>
      <c r="H79">
        <f t="shared" si="7"/>
        <v>2147995</v>
      </c>
      <c r="I79">
        <f t="shared" si="8"/>
        <v>2147995</v>
      </c>
    </row>
    <row r="80" spans="1:9">
      <c r="A80" s="5">
        <f>马仔辅助经验表!A85</f>
        <v>79</v>
      </c>
      <c r="B80" s="5">
        <f>INT(马仔辅助经验表!B85)</f>
        <v>137262</v>
      </c>
      <c r="C80" s="5">
        <f>INT(马仔辅助经验表!C85)</f>
        <v>137262</v>
      </c>
      <c r="D80" s="5">
        <f>INT(马仔辅助经验表!D85)</f>
        <v>137262</v>
      </c>
      <c r="E80" s="5">
        <f>INT(马仔辅助经验表!E85)</f>
        <v>137262</v>
      </c>
      <c r="F80" s="17">
        <f t="shared" si="5"/>
        <v>2278974</v>
      </c>
      <c r="G80">
        <f t="shared" si="6"/>
        <v>2278974</v>
      </c>
      <c r="H80">
        <f t="shared" si="7"/>
        <v>2278974</v>
      </c>
      <c r="I80">
        <f t="shared" si="8"/>
        <v>2278974</v>
      </c>
    </row>
    <row r="81" spans="1:9">
      <c r="A81" s="5">
        <f>马仔辅助经验表!A86</f>
        <v>80</v>
      </c>
      <c r="B81" s="5">
        <f>INT(马仔辅助经验表!B86)</f>
        <v>143768</v>
      </c>
      <c r="C81" s="5">
        <f>INT(马仔辅助经验表!C86)</f>
        <v>143768</v>
      </c>
      <c r="D81" s="5">
        <f>INT(马仔辅助经验表!D86)</f>
        <v>143768</v>
      </c>
      <c r="E81" s="5">
        <f>INT(马仔辅助经验表!E86)</f>
        <v>143768</v>
      </c>
      <c r="F81" s="17">
        <f t="shared" si="5"/>
        <v>2416236</v>
      </c>
      <c r="G81">
        <f t="shared" si="6"/>
        <v>2416236</v>
      </c>
      <c r="H81">
        <f t="shared" si="7"/>
        <v>2416236</v>
      </c>
      <c r="I81">
        <f t="shared" si="8"/>
        <v>2416236</v>
      </c>
    </row>
    <row r="82" spans="1:9">
      <c r="A82" s="5">
        <f>马仔辅助经验表!A87</f>
        <v>81</v>
      </c>
      <c r="B82" s="5">
        <f>INT(马仔辅助经验表!B87)</f>
        <v>150500</v>
      </c>
      <c r="C82" s="5">
        <f>INT(马仔辅助经验表!C87)</f>
        <v>150500</v>
      </c>
      <c r="D82" s="5">
        <f>INT(马仔辅助经验表!D87)</f>
        <v>150500</v>
      </c>
      <c r="E82" s="5">
        <f>INT(马仔辅助经验表!E87)</f>
        <v>150500</v>
      </c>
      <c r="F82" s="17">
        <f t="shared" si="5"/>
        <v>2560004</v>
      </c>
      <c r="G82">
        <f t="shared" si="6"/>
        <v>2560004</v>
      </c>
      <c r="H82">
        <f t="shared" si="7"/>
        <v>2560004</v>
      </c>
      <c r="I82">
        <f t="shared" si="8"/>
        <v>2560004</v>
      </c>
    </row>
    <row r="83" spans="1:9">
      <c r="A83" s="5">
        <f>马仔辅助经验表!A88</f>
        <v>82</v>
      </c>
      <c r="B83" s="5">
        <f>INT(马仔辅助经验表!B88)</f>
        <v>157465</v>
      </c>
      <c r="C83" s="5">
        <f>INT(马仔辅助经验表!C88)</f>
        <v>157465</v>
      </c>
      <c r="D83" s="5">
        <f>INT(马仔辅助经验表!D88)</f>
        <v>157465</v>
      </c>
      <c r="E83" s="5">
        <f>INT(马仔辅助经验表!E88)</f>
        <v>157465</v>
      </c>
      <c r="F83" s="17">
        <f t="shared" si="5"/>
        <v>2710504</v>
      </c>
      <c r="G83">
        <f t="shared" si="6"/>
        <v>2710504</v>
      </c>
      <c r="H83">
        <f t="shared" si="7"/>
        <v>2710504</v>
      </c>
      <c r="I83">
        <f t="shared" si="8"/>
        <v>2710504</v>
      </c>
    </row>
    <row r="84" spans="1:9">
      <c r="A84" s="5">
        <f>马仔辅助经验表!A89</f>
        <v>83</v>
      </c>
      <c r="B84" s="5">
        <f>INT(马仔辅助经验表!B89)</f>
        <v>164667</v>
      </c>
      <c r="C84" s="5">
        <f>INT(马仔辅助经验表!C89)</f>
        <v>164667</v>
      </c>
      <c r="D84" s="5">
        <f>INT(马仔辅助经验表!D89)</f>
        <v>164667</v>
      </c>
      <c r="E84" s="5">
        <f>INT(马仔辅助经验表!E89)</f>
        <v>164667</v>
      </c>
      <c r="F84" s="17">
        <f t="shared" si="5"/>
        <v>2867969</v>
      </c>
      <c r="G84">
        <f t="shared" si="6"/>
        <v>2867969</v>
      </c>
      <c r="H84">
        <f t="shared" si="7"/>
        <v>2867969</v>
      </c>
      <c r="I84">
        <f t="shared" si="8"/>
        <v>2867969</v>
      </c>
    </row>
    <row r="85" spans="1:9">
      <c r="A85" s="5">
        <f>马仔辅助经验表!A90</f>
        <v>84</v>
      </c>
      <c r="B85" s="5">
        <f>INT(马仔辅助经验表!B90)</f>
        <v>172111</v>
      </c>
      <c r="C85" s="5">
        <f>INT(马仔辅助经验表!C90)</f>
        <v>172111</v>
      </c>
      <c r="D85" s="5">
        <f>INT(马仔辅助经验表!D90)</f>
        <v>172111</v>
      </c>
      <c r="E85" s="5">
        <f>INT(马仔辅助经验表!E90)</f>
        <v>172111</v>
      </c>
      <c r="F85" s="17">
        <f t="shared" si="5"/>
        <v>3032636</v>
      </c>
      <c r="G85">
        <f t="shared" si="6"/>
        <v>3032636</v>
      </c>
      <c r="H85">
        <f t="shared" si="7"/>
        <v>3032636</v>
      </c>
      <c r="I85">
        <f t="shared" si="8"/>
        <v>3032636</v>
      </c>
    </row>
    <row r="86" spans="1:9">
      <c r="A86" s="5">
        <f>马仔辅助经验表!A91</f>
        <v>85</v>
      </c>
      <c r="B86" s="5">
        <f>INT(马仔辅助经验表!B91)</f>
        <v>179804</v>
      </c>
      <c r="C86" s="5">
        <f>INT(马仔辅助经验表!C91)</f>
        <v>179804</v>
      </c>
      <c r="D86" s="5">
        <f>INT(马仔辅助经验表!D91)</f>
        <v>179804</v>
      </c>
      <c r="E86" s="5">
        <f>INT(马仔辅助经验表!E91)</f>
        <v>179804</v>
      </c>
      <c r="F86" s="17">
        <f t="shared" si="5"/>
        <v>3204747</v>
      </c>
      <c r="G86">
        <f t="shared" si="6"/>
        <v>3204747</v>
      </c>
      <c r="H86">
        <f t="shared" si="7"/>
        <v>3204747</v>
      </c>
      <c r="I86">
        <f t="shared" si="8"/>
        <v>3204747</v>
      </c>
    </row>
    <row r="87" spans="1:9">
      <c r="A87" s="5">
        <f>马仔辅助经验表!A92</f>
        <v>86</v>
      </c>
      <c r="B87" s="5">
        <f>INT(马仔辅助经验表!B92)</f>
        <v>187750</v>
      </c>
      <c r="C87" s="5">
        <f>INT(马仔辅助经验表!C92)</f>
        <v>187750</v>
      </c>
      <c r="D87" s="5">
        <f>INT(马仔辅助经验表!D92)</f>
        <v>187750</v>
      </c>
      <c r="E87" s="5">
        <f>INT(马仔辅助经验表!E92)</f>
        <v>187750</v>
      </c>
      <c r="F87" s="17">
        <f t="shared" si="5"/>
        <v>3384551</v>
      </c>
      <c r="G87">
        <f t="shared" si="6"/>
        <v>3384551</v>
      </c>
      <c r="H87">
        <f t="shared" si="7"/>
        <v>3384551</v>
      </c>
      <c r="I87">
        <f t="shared" si="8"/>
        <v>3384551</v>
      </c>
    </row>
    <row r="88" spans="1:9">
      <c r="A88" s="5">
        <f>马仔辅助经验表!A93</f>
        <v>87</v>
      </c>
      <c r="B88" s="5">
        <f>INT(马仔辅助经验表!B93)</f>
        <v>195954</v>
      </c>
      <c r="C88" s="5">
        <f>INT(马仔辅助经验表!C93)</f>
        <v>195954</v>
      </c>
      <c r="D88" s="5">
        <f>INT(马仔辅助经验表!D93)</f>
        <v>195954</v>
      </c>
      <c r="E88" s="5">
        <f>INT(马仔辅助经验表!E93)</f>
        <v>195954</v>
      </c>
      <c r="F88" s="17">
        <f t="shared" si="5"/>
        <v>3572301</v>
      </c>
      <c r="G88">
        <f t="shared" si="6"/>
        <v>3572301</v>
      </c>
      <c r="H88">
        <f t="shared" si="7"/>
        <v>3572301</v>
      </c>
      <c r="I88">
        <f t="shared" si="8"/>
        <v>3572301</v>
      </c>
    </row>
    <row r="89" spans="1:9">
      <c r="A89" s="5">
        <f>马仔辅助经验表!A94</f>
        <v>88</v>
      </c>
      <c r="B89" s="5">
        <f>INT(马仔辅助经验表!B94)</f>
        <v>204424</v>
      </c>
      <c r="C89" s="5">
        <f>INT(马仔辅助经验表!C94)</f>
        <v>204424</v>
      </c>
      <c r="D89" s="5">
        <f>INT(马仔辅助经验表!D94)</f>
        <v>204424</v>
      </c>
      <c r="E89" s="5">
        <f>INT(马仔辅助经验表!E94)</f>
        <v>204424</v>
      </c>
      <c r="F89" s="17">
        <f t="shared" si="5"/>
        <v>3768255</v>
      </c>
      <c r="G89">
        <f t="shared" si="6"/>
        <v>3768255</v>
      </c>
      <c r="H89">
        <f t="shared" si="7"/>
        <v>3768255</v>
      </c>
      <c r="I89">
        <f t="shared" si="8"/>
        <v>3768255</v>
      </c>
    </row>
    <row r="90" spans="1:9">
      <c r="A90" s="5">
        <f>马仔辅助经验表!A95</f>
        <v>89</v>
      </c>
      <c r="B90" s="5">
        <f>INT(马仔辅助经验表!B95)</f>
        <v>213163</v>
      </c>
      <c r="C90" s="5">
        <f>INT(马仔辅助经验表!C95)</f>
        <v>213163</v>
      </c>
      <c r="D90" s="5">
        <f>INT(马仔辅助经验表!D95)</f>
        <v>213163</v>
      </c>
      <c r="E90" s="5">
        <f>INT(马仔辅助经验表!E95)</f>
        <v>213163</v>
      </c>
      <c r="F90" s="17">
        <f t="shared" si="5"/>
        <v>3972679</v>
      </c>
      <c r="G90">
        <f t="shared" si="6"/>
        <v>3972679</v>
      </c>
      <c r="H90">
        <f t="shared" si="7"/>
        <v>3972679</v>
      </c>
      <c r="I90">
        <f t="shared" si="8"/>
        <v>3972679</v>
      </c>
    </row>
    <row r="91" spans="1:9">
      <c r="A91" s="5">
        <f>马仔辅助经验表!A96</f>
        <v>90</v>
      </c>
      <c r="B91" s="5">
        <f>INT(马仔辅助经验表!B96)</f>
        <v>222178</v>
      </c>
      <c r="C91" s="5">
        <f>INT(马仔辅助经验表!C96)</f>
        <v>222178</v>
      </c>
      <c r="D91" s="5">
        <f>INT(马仔辅助经验表!D96)</f>
        <v>222178</v>
      </c>
      <c r="E91" s="5">
        <f>INT(马仔辅助经验表!E96)</f>
        <v>222178</v>
      </c>
      <c r="F91" s="17">
        <f t="shared" si="5"/>
        <v>4185842</v>
      </c>
      <c r="G91">
        <f t="shared" si="6"/>
        <v>4185842</v>
      </c>
      <c r="H91">
        <f t="shared" si="7"/>
        <v>4185842</v>
      </c>
      <c r="I91">
        <f t="shared" si="8"/>
        <v>4185842</v>
      </c>
    </row>
    <row r="92" spans="1:9">
      <c r="A92" s="5">
        <f>马仔辅助经验表!A97</f>
        <v>91</v>
      </c>
      <c r="B92" s="5">
        <f>INT(马仔辅助经验表!B97)</f>
        <v>231474</v>
      </c>
      <c r="C92" s="5">
        <f>INT(马仔辅助经验表!C97)</f>
        <v>231474</v>
      </c>
      <c r="D92" s="5">
        <f>INT(马仔辅助经验表!D97)</f>
        <v>231474</v>
      </c>
      <c r="E92" s="5">
        <f>INT(马仔辅助经验表!E97)</f>
        <v>231474</v>
      </c>
      <c r="F92" s="17">
        <f t="shared" si="5"/>
        <v>4408020</v>
      </c>
      <c r="G92">
        <f t="shared" si="6"/>
        <v>4408020</v>
      </c>
      <c r="H92">
        <f t="shared" si="7"/>
        <v>4408020</v>
      </c>
      <c r="I92">
        <f t="shared" si="8"/>
        <v>4408020</v>
      </c>
    </row>
    <row r="93" spans="1:9">
      <c r="A93" s="5">
        <f>马仔辅助经验表!A98</f>
        <v>92</v>
      </c>
      <c r="B93" s="5">
        <f>INT(马仔辅助经验表!B98)</f>
        <v>241057</v>
      </c>
      <c r="C93" s="5">
        <f>INT(马仔辅助经验表!C98)</f>
        <v>241057</v>
      </c>
      <c r="D93" s="5">
        <f>INT(马仔辅助经验表!D98)</f>
        <v>241057</v>
      </c>
      <c r="E93" s="5">
        <f>INT(马仔辅助经验表!E98)</f>
        <v>241057</v>
      </c>
      <c r="F93" s="17">
        <f t="shared" si="5"/>
        <v>4639494</v>
      </c>
      <c r="G93">
        <f t="shared" si="6"/>
        <v>4639494</v>
      </c>
      <c r="H93">
        <f t="shared" si="7"/>
        <v>4639494</v>
      </c>
      <c r="I93">
        <f t="shared" si="8"/>
        <v>4639494</v>
      </c>
    </row>
    <row r="94" spans="1:9">
      <c r="A94" s="5">
        <f>马仔辅助经验表!A99</f>
        <v>93</v>
      </c>
      <c r="B94" s="5">
        <f>INT(马仔辅助经验表!B99)</f>
        <v>250933</v>
      </c>
      <c r="C94" s="5">
        <f>INT(马仔辅助经验表!C99)</f>
        <v>250933</v>
      </c>
      <c r="D94" s="5">
        <f>INT(马仔辅助经验表!D99)</f>
        <v>250933</v>
      </c>
      <c r="E94" s="5">
        <f>INT(马仔辅助经验表!E99)</f>
        <v>250933</v>
      </c>
      <c r="F94" s="17">
        <f t="shared" si="5"/>
        <v>4880551</v>
      </c>
      <c r="G94">
        <f t="shared" si="6"/>
        <v>4880551</v>
      </c>
      <c r="H94">
        <f t="shared" si="7"/>
        <v>4880551</v>
      </c>
      <c r="I94">
        <f t="shared" si="8"/>
        <v>4880551</v>
      </c>
    </row>
    <row r="95" spans="1:9">
      <c r="A95" s="5">
        <f>马仔辅助经验表!A100</f>
        <v>94</v>
      </c>
      <c r="B95" s="5">
        <f>INT(马仔辅助经验表!B100)</f>
        <v>261108</v>
      </c>
      <c r="C95" s="5">
        <f>INT(马仔辅助经验表!C100)</f>
        <v>261108</v>
      </c>
      <c r="D95" s="5">
        <f>INT(马仔辅助经验表!D100)</f>
        <v>261108</v>
      </c>
      <c r="E95" s="5">
        <f>INT(马仔辅助经验表!E100)</f>
        <v>261108</v>
      </c>
      <c r="F95" s="17">
        <f t="shared" si="5"/>
        <v>5131484</v>
      </c>
      <c r="G95">
        <f t="shared" si="6"/>
        <v>5131484</v>
      </c>
      <c r="H95">
        <f t="shared" si="7"/>
        <v>5131484</v>
      </c>
      <c r="I95">
        <f t="shared" si="8"/>
        <v>5131484</v>
      </c>
    </row>
    <row r="96" spans="1:9">
      <c r="A96" s="5">
        <f>马仔辅助经验表!A101</f>
        <v>95</v>
      </c>
      <c r="B96" s="5">
        <f>INT(马仔辅助经验表!B101)</f>
        <v>271588</v>
      </c>
      <c r="C96" s="5">
        <f>INT(马仔辅助经验表!C101)</f>
        <v>271588</v>
      </c>
      <c r="D96" s="5">
        <f>INT(马仔辅助经验表!D101)</f>
        <v>271588</v>
      </c>
      <c r="E96" s="5">
        <f>INT(马仔辅助经验表!E101)</f>
        <v>271588</v>
      </c>
      <c r="F96" s="17">
        <f t="shared" si="5"/>
        <v>5392592</v>
      </c>
      <c r="G96">
        <f t="shared" si="6"/>
        <v>5392592</v>
      </c>
      <c r="H96">
        <f t="shared" si="7"/>
        <v>5392592</v>
      </c>
      <c r="I96">
        <f t="shared" si="8"/>
        <v>5392592</v>
      </c>
    </row>
    <row r="97" spans="1:9">
      <c r="A97" s="5">
        <f>马仔辅助经验表!A102</f>
        <v>96</v>
      </c>
      <c r="B97" s="5">
        <f>INT(马仔辅助经验表!B102)</f>
        <v>282378</v>
      </c>
      <c r="C97" s="5">
        <f>INT(马仔辅助经验表!C102)</f>
        <v>282378</v>
      </c>
      <c r="D97" s="5">
        <f>INT(马仔辅助经验表!D102)</f>
        <v>282378</v>
      </c>
      <c r="E97" s="5">
        <f>INT(马仔辅助经验表!E102)</f>
        <v>282378</v>
      </c>
      <c r="F97" s="17">
        <f t="shared" si="5"/>
        <v>5664180</v>
      </c>
      <c r="G97">
        <f t="shared" si="6"/>
        <v>5664180</v>
      </c>
      <c r="H97">
        <f t="shared" si="7"/>
        <v>5664180</v>
      </c>
      <c r="I97">
        <f t="shared" si="8"/>
        <v>5664180</v>
      </c>
    </row>
    <row r="98" spans="1:9">
      <c r="A98" s="5">
        <f>马仔辅助经验表!A103</f>
        <v>97</v>
      </c>
      <c r="B98" s="5">
        <f>INT(马仔辅助经验表!B103)</f>
        <v>293485</v>
      </c>
      <c r="C98" s="5">
        <f>INT(马仔辅助经验表!C103)</f>
        <v>293485</v>
      </c>
      <c r="D98" s="5">
        <f>INT(马仔辅助经验表!D103)</f>
        <v>293485</v>
      </c>
      <c r="E98" s="5">
        <f>INT(马仔辅助经验表!E103)</f>
        <v>293485</v>
      </c>
      <c r="F98" s="17">
        <f t="shared" si="5"/>
        <v>5946558</v>
      </c>
      <c r="G98">
        <f t="shared" si="6"/>
        <v>5946558</v>
      </c>
      <c r="H98">
        <f t="shared" si="7"/>
        <v>5946558</v>
      </c>
      <c r="I98">
        <f t="shared" si="8"/>
        <v>5946558</v>
      </c>
    </row>
    <row r="99" spans="1:9">
      <c r="A99" s="5">
        <f>马仔辅助经验表!A104</f>
        <v>98</v>
      </c>
      <c r="B99" s="5">
        <f>INT(马仔辅助经验表!B104)</f>
        <v>304914</v>
      </c>
      <c r="C99" s="5">
        <f>INT(马仔辅助经验表!C104)</f>
        <v>304914</v>
      </c>
      <c r="D99" s="5">
        <f>INT(马仔辅助经验表!D104)</f>
        <v>304914</v>
      </c>
      <c r="E99" s="5">
        <f>INT(马仔辅助经验表!E104)</f>
        <v>304914</v>
      </c>
      <c r="F99" s="17">
        <f t="shared" si="5"/>
        <v>6240043</v>
      </c>
      <c r="G99">
        <f t="shared" si="6"/>
        <v>6240043</v>
      </c>
      <c r="H99">
        <f t="shared" si="7"/>
        <v>6240043</v>
      </c>
      <c r="I99">
        <f t="shared" si="8"/>
        <v>6240043</v>
      </c>
    </row>
    <row r="100" spans="1:9">
      <c r="A100" s="5">
        <f>马仔辅助经验表!A105</f>
        <v>99</v>
      </c>
      <c r="B100" s="5">
        <f>INT(马仔辅助经验表!B105)</f>
        <v>316672</v>
      </c>
      <c r="C100" s="5">
        <f>INT(马仔辅助经验表!C105)</f>
        <v>316672</v>
      </c>
      <c r="D100" s="5">
        <f>INT(马仔辅助经验表!D105)</f>
        <v>316672</v>
      </c>
      <c r="E100" s="5">
        <f>INT(马仔辅助经验表!E105)</f>
        <v>316672</v>
      </c>
      <c r="F100" s="17">
        <f t="shared" si="5"/>
        <v>6544957</v>
      </c>
      <c r="G100">
        <f t="shared" si="6"/>
        <v>6544957</v>
      </c>
      <c r="H100">
        <f t="shared" si="7"/>
        <v>6544957</v>
      </c>
      <c r="I100">
        <f t="shared" si="8"/>
        <v>6544957</v>
      </c>
    </row>
    <row r="101" spans="1:9">
      <c r="A101" s="5">
        <f>马仔辅助经验表!A106</f>
        <v>100</v>
      </c>
      <c r="B101" s="5">
        <f>INT(马仔辅助经验表!B106)</f>
        <v>328766</v>
      </c>
      <c r="C101" s="5">
        <f>INT(马仔辅助经验表!C106)</f>
        <v>328766</v>
      </c>
      <c r="D101" s="5">
        <f>INT(马仔辅助经验表!D106)</f>
        <v>328766</v>
      </c>
      <c r="E101" s="5">
        <f>INT(马仔辅助经验表!E106)</f>
        <v>328766</v>
      </c>
      <c r="F101" s="17">
        <f t="shared" si="5"/>
        <v>6861629</v>
      </c>
      <c r="G101">
        <f t="shared" si="6"/>
        <v>6861629</v>
      </c>
      <c r="H101">
        <f t="shared" si="7"/>
        <v>6861629</v>
      </c>
      <c r="I101">
        <f t="shared" si="8"/>
        <v>6861629</v>
      </c>
    </row>
  </sheetData>
  <phoneticPr fontId="1" type="noConversion"/>
  <conditionalFormatting sqref="A2:E101">
    <cfRule type="expression" dxfId="1256" priority="6">
      <formula>$I2=5</formula>
    </cfRule>
    <cfRule type="expression" dxfId="1255" priority="7">
      <formula>$I2=4</formula>
    </cfRule>
    <cfRule type="expression" dxfId="1254" priority="8">
      <formula>$I2=3</formula>
    </cfRule>
    <cfRule type="expression" dxfId="1253" priority="9">
      <formula>$I2=2</formula>
    </cfRule>
    <cfRule type="expression" dxfId="1252" priority="10">
      <formula>$I2=1</formula>
    </cfRule>
  </conditionalFormatting>
  <conditionalFormatting sqref="A2:E101">
    <cfRule type="expression" dxfId="1251" priority="1">
      <formula>$C2=5</formula>
    </cfRule>
    <cfRule type="expression" dxfId="1250" priority="2">
      <formula>$C2=4</formula>
    </cfRule>
    <cfRule type="expression" dxfId="1249" priority="3">
      <formula>$C2=3</formula>
    </cfRule>
    <cfRule type="expression" dxfId="1248" priority="4">
      <formula>$C2=2</formula>
    </cfRule>
    <cfRule type="expression" dxfId="1247" priority="5">
      <formula>$C2=1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6"/>
  <sheetViews>
    <sheetView workbookViewId="0">
      <selection activeCell="G3" sqref="G3"/>
    </sheetView>
  </sheetViews>
  <sheetFormatPr defaultRowHeight="13.5"/>
  <cols>
    <col min="1" max="1" width="16.125" bestFit="1" customWidth="1"/>
    <col min="2" max="2" width="12.875" customWidth="1"/>
    <col min="3" max="6" width="12.75" bestFit="1" customWidth="1"/>
  </cols>
  <sheetData>
    <row r="1" spans="1:12">
      <c r="A1" s="135" t="s">
        <v>99</v>
      </c>
      <c r="B1" s="135"/>
      <c r="C1" s="135"/>
      <c r="D1" s="135"/>
      <c r="E1" s="135"/>
      <c r="F1" t="s">
        <v>217</v>
      </c>
    </row>
    <row r="2" spans="1:12">
      <c r="A2" s="10" t="s">
        <v>119</v>
      </c>
      <c r="B2" s="10">
        <f>马仔辅助表!$T$83*100</f>
        <v>392.82323547106427</v>
      </c>
      <c r="C2" s="10">
        <f>马仔辅助表!$T$88*100</f>
        <v>1571.2929418842571</v>
      </c>
      <c r="D2" s="10">
        <f>马仔辅助表!$T$91*100</f>
        <v>1571.2929418842571</v>
      </c>
      <c r="E2" s="10">
        <f>马仔辅助表!$T$95*100</f>
        <v>2356.9394128263857</v>
      </c>
      <c r="H2" t="s">
        <v>697</v>
      </c>
    </row>
    <row r="3" spans="1:12">
      <c r="A3" s="32" t="s">
        <v>199</v>
      </c>
      <c r="B3" s="34">
        <f>SUM(B7:B85)</f>
        <v>2416259.5</v>
      </c>
      <c r="C3" s="34">
        <f t="shared" ref="C3:D3" si="0">SUM(C7:C85)</f>
        <v>2416259.5</v>
      </c>
      <c r="D3" s="34">
        <f t="shared" si="0"/>
        <v>2416259.5</v>
      </c>
      <c r="E3" s="34">
        <f>SUM(E7:E85)</f>
        <v>2416259.5</v>
      </c>
      <c r="F3" s="38">
        <f>SUM(B3:E3)/4</f>
        <v>2416259.5</v>
      </c>
      <c r="G3" s="38">
        <v>8000</v>
      </c>
      <c r="H3">
        <f>AVERAGE(L36:L106)</f>
        <v>12539.496719518733</v>
      </c>
    </row>
    <row r="4" spans="1:12">
      <c r="A4" s="32" t="s">
        <v>200</v>
      </c>
      <c r="B4" s="35">
        <f>B2/B3</f>
        <v>1.625749367859968E-4</v>
      </c>
      <c r="C4" s="35">
        <f t="shared" ref="C4:E4" si="1">C2/C3</f>
        <v>6.5029974714398721E-4</v>
      </c>
      <c r="D4" s="35">
        <f>D2/D3</f>
        <v>6.5029974714398721E-4</v>
      </c>
      <c r="E4" s="35">
        <f t="shared" si="1"/>
        <v>9.7544962071598087E-4</v>
      </c>
      <c r="F4" s="36">
        <f>SUM(B4:E4)/4</f>
        <v>6.09656012947488E-4</v>
      </c>
    </row>
    <row r="5" spans="1:12">
      <c r="A5" s="6" t="s">
        <v>118</v>
      </c>
      <c r="B5" s="6">
        <v>1.4</v>
      </c>
      <c r="C5" s="6">
        <v>1.4</v>
      </c>
      <c r="D5" s="6">
        <v>1.4</v>
      </c>
      <c r="E5" s="6">
        <v>1.4</v>
      </c>
    </row>
    <row r="6" spans="1:12">
      <c r="A6" s="6" t="s">
        <v>33</v>
      </c>
      <c r="B6" s="5">
        <v>1</v>
      </c>
      <c r="C6" s="5">
        <v>2</v>
      </c>
      <c r="D6" s="5">
        <v>3</v>
      </c>
      <c r="E6" s="5">
        <v>4</v>
      </c>
      <c r="F6" s="5">
        <v>1</v>
      </c>
      <c r="G6" s="5">
        <v>2</v>
      </c>
      <c r="H6" s="5">
        <v>3</v>
      </c>
      <c r="I6" s="5">
        <v>4</v>
      </c>
      <c r="K6" t="s">
        <v>653</v>
      </c>
      <c r="L6" t="s">
        <v>654</v>
      </c>
    </row>
    <row r="7" spans="1:12">
      <c r="A7" s="6">
        <v>1</v>
      </c>
      <c r="B7" s="14">
        <v>99</v>
      </c>
      <c r="C7" s="14">
        <f>B7</f>
        <v>99</v>
      </c>
      <c r="D7" s="14">
        <f>B7</f>
        <v>99</v>
      </c>
      <c r="E7" s="14">
        <f>B7</f>
        <v>99</v>
      </c>
      <c r="F7">
        <f>60*$A7^$B$5</f>
        <v>60</v>
      </c>
      <c r="G7">
        <f>60*$A7^$C$5</f>
        <v>60</v>
      </c>
      <c r="H7">
        <f>60*$A7^$D$5</f>
        <v>60</v>
      </c>
      <c r="I7">
        <f t="shared" ref="I7:I22" si="2">60*$A7^$B$5</f>
        <v>60</v>
      </c>
      <c r="K7">
        <f>[3]升级时间!$K3</f>
        <v>20</v>
      </c>
      <c r="L7">
        <f>IFERROR(B7/K7,0)</f>
        <v>4.95</v>
      </c>
    </row>
    <row r="8" spans="1:12">
      <c r="A8" s="6">
        <v>2</v>
      </c>
      <c r="B8" s="14">
        <f>[4]D_经验表!$C3/2</f>
        <v>101.5</v>
      </c>
      <c r="C8" s="14">
        <f t="shared" ref="C8:C71" si="3">B8</f>
        <v>101.5</v>
      </c>
      <c r="D8" s="14">
        <f t="shared" ref="D8:D71" si="4">B8</f>
        <v>101.5</v>
      </c>
      <c r="E8" s="14">
        <f t="shared" ref="E8:E71" si="5">B8</f>
        <v>101.5</v>
      </c>
      <c r="F8">
        <f t="shared" ref="F8:F71" si="6">60*$A8^$B$5</f>
        <v>158.3409492927473</v>
      </c>
      <c r="G8">
        <f t="shared" ref="G8:G71" si="7">60*$A8^$C$5</f>
        <v>158.3409492927473</v>
      </c>
      <c r="H8">
        <f t="shared" ref="H8:H71" si="8">60*$A8^$D$5</f>
        <v>158.3409492927473</v>
      </c>
      <c r="I8">
        <f t="shared" si="2"/>
        <v>158.3409492927473</v>
      </c>
      <c r="K8">
        <f>[3]升级时间!$K4</f>
        <v>0</v>
      </c>
      <c r="L8">
        <f t="shared" ref="L8:L71" si="9">IFERROR(B8/K8,0)</f>
        <v>0</v>
      </c>
    </row>
    <row r="9" spans="1:12">
      <c r="A9" s="6">
        <v>3</v>
      </c>
      <c r="B9" s="14">
        <f>[4]D_经验表!$C4/2</f>
        <v>103</v>
      </c>
      <c r="C9" s="14">
        <f t="shared" si="3"/>
        <v>103</v>
      </c>
      <c r="D9" s="14">
        <f t="shared" si="4"/>
        <v>103</v>
      </c>
      <c r="E9" s="14">
        <f t="shared" si="5"/>
        <v>103</v>
      </c>
      <c r="F9">
        <f t="shared" si="6"/>
        <v>279.33220330476473</v>
      </c>
      <c r="G9">
        <f t="shared" si="7"/>
        <v>279.33220330476473</v>
      </c>
      <c r="H9">
        <f t="shared" si="8"/>
        <v>279.33220330476473</v>
      </c>
      <c r="I9">
        <f t="shared" si="2"/>
        <v>279.33220330476473</v>
      </c>
      <c r="K9">
        <f>[3]升级时间!$K5</f>
        <v>3.9445677061810437E-3</v>
      </c>
      <c r="L9">
        <f t="shared" si="9"/>
        <v>26111.860074958644</v>
      </c>
    </row>
    <row r="10" spans="1:12">
      <c r="A10" s="6">
        <v>4</v>
      </c>
      <c r="B10" s="14">
        <f>[4]D_经验表!$C5/2</f>
        <v>107</v>
      </c>
      <c r="C10" s="14">
        <f t="shared" si="3"/>
        <v>107</v>
      </c>
      <c r="D10" s="14">
        <f t="shared" si="4"/>
        <v>107</v>
      </c>
      <c r="E10" s="14">
        <f t="shared" si="5"/>
        <v>107</v>
      </c>
      <c r="F10">
        <f t="shared" si="6"/>
        <v>417.86427038213952</v>
      </c>
      <c r="G10">
        <f t="shared" si="7"/>
        <v>417.86427038213952</v>
      </c>
      <c r="H10">
        <f t="shared" si="8"/>
        <v>417.86427038213952</v>
      </c>
      <c r="I10">
        <f t="shared" si="2"/>
        <v>417.86427038213952</v>
      </c>
      <c r="K10">
        <f>[3]升级时间!$K6</f>
        <v>0</v>
      </c>
      <c r="L10">
        <f t="shared" si="9"/>
        <v>0</v>
      </c>
    </row>
    <row r="11" spans="1:12">
      <c r="A11" s="6">
        <v>5</v>
      </c>
      <c r="B11" s="14">
        <f>[4]D_经验表!$C6/2</f>
        <v>113</v>
      </c>
      <c r="C11" s="14">
        <f t="shared" si="3"/>
        <v>113</v>
      </c>
      <c r="D11" s="14">
        <f t="shared" si="4"/>
        <v>113</v>
      </c>
      <c r="E11" s="14">
        <f t="shared" si="5"/>
        <v>113</v>
      </c>
      <c r="F11">
        <f t="shared" si="6"/>
        <v>571.09618161476351</v>
      </c>
      <c r="G11">
        <f t="shared" si="7"/>
        <v>571.09618161476351</v>
      </c>
      <c r="H11">
        <f t="shared" si="8"/>
        <v>571.09618161476351</v>
      </c>
      <c r="I11">
        <f t="shared" si="2"/>
        <v>571.09618161476351</v>
      </c>
      <c r="K11">
        <f>[3]升级时间!$K7</f>
        <v>0</v>
      </c>
      <c r="L11">
        <f t="shared" si="9"/>
        <v>0</v>
      </c>
    </row>
    <row r="12" spans="1:12">
      <c r="A12" s="6">
        <v>6</v>
      </c>
      <c r="B12" s="14">
        <f>[4]D_经验表!$C7/2</f>
        <v>122.5</v>
      </c>
      <c r="C12" s="14">
        <f t="shared" si="3"/>
        <v>122.5</v>
      </c>
      <c r="D12" s="14">
        <f t="shared" si="4"/>
        <v>122.5</v>
      </c>
      <c r="E12" s="14">
        <f t="shared" si="5"/>
        <v>122.5</v>
      </c>
      <c r="F12">
        <f t="shared" si="6"/>
        <v>737.16210398851888</v>
      </c>
      <c r="G12">
        <f t="shared" si="7"/>
        <v>737.16210398851888</v>
      </c>
      <c r="H12">
        <f t="shared" si="8"/>
        <v>737.16210398851888</v>
      </c>
      <c r="I12">
        <f t="shared" si="2"/>
        <v>737.16210398851888</v>
      </c>
      <c r="K12">
        <f>[3]升级时间!$K8</f>
        <v>1.1429132071755332E-2</v>
      </c>
      <c r="L12">
        <f t="shared" si="9"/>
        <v>10718.224203807451</v>
      </c>
    </row>
    <row r="13" spans="1:12">
      <c r="A13" s="6">
        <v>7</v>
      </c>
      <c r="B13" s="14">
        <f>[4]D_经验表!$C8/2</f>
        <v>136.5</v>
      </c>
      <c r="C13" s="14">
        <f t="shared" si="3"/>
        <v>136.5</v>
      </c>
      <c r="D13" s="14">
        <f t="shared" si="4"/>
        <v>136.5</v>
      </c>
      <c r="E13" s="14">
        <f t="shared" si="5"/>
        <v>136.5</v>
      </c>
      <c r="F13">
        <f t="shared" si="6"/>
        <v>914.72069828276722</v>
      </c>
      <c r="G13">
        <f t="shared" si="7"/>
        <v>914.72069828276722</v>
      </c>
      <c r="H13">
        <f t="shared" si="8"/>
        <v>914.72069828276722</v>
      </c>
      <c r="I13">
        <f t="shared" si="2"/>
        <v>914.72069828276722</v>
      </c>
      <c r="K13">
        <f>[3]升级时间!$K9</f>
        <v>-3.0342828509084953E-3</v>
      </c>
      <c r="L13">
        <f t="shared" si="9"/>
        <v>-44985.918158266133</v>
      </c>
    </row>
    <row r="14" spans="1:12">
      <c r="A14" s="6">
        <v>8</v>
      </c>
      <c r="B14" s="14">
        <f>[4]D_经验表!$C9/2</f>
        <v>155.5</v>
      </c>
      <c r="C14" s="14">
        <f t="shared" si="3"/>
        <v>155.5</v>
      </c>
      <c r="D14" s="14">
        <f t="shared" si="4"/>
        <v>155.5</v>
      </c>
      <c r="E14" s="14">
        <f t="shared" si="5"/>
        <v>155.5</v>
      </c>
      <c r="F14">
        <f t="shared" si="6"/>
        <v>1102.7504207971531</v>
      </c>
      <c r="G14">
        <f t="shared" si="7"/>
        <v>1102.7504207971531</v>
      </c>
      <c r="H14">
        <f t="shared" si="8"/>
        <v>1102.7504207971531</v>
      </c>
      <c r="I14">
        <f t="shared" si="2"/>
        <v>1102.7504207971531</v>
      </c>
      <c r="K14">
        <f>[3]升级时间!$K10</f>
        <v>1.3805986971633653E-2</v>
      </c>
      <c r="L14">
        <f t="shared" si="9"/>
        <v>11263.229519156919</v>
      </c>
    </row>
    <row r="15" spans="1:12">
      <c r="A15" s="6">
        <v>9</v>
      </c>
      <c r="B15" s="14">
        <f>[4]D_经验表!$C10/2</f>
        <v>180.5</v>
      </c>
      <c r="C15" s="14">
        <f t="shared" si="3"/>
        <v>180.5</v>
      </c>
      <c r="D15" s="14">
        <f t="shared" si="4"/>
        <v>180.5</v>
      </c>
      <c r="E15" s="14">
        <f t="shared" si="5"/>
        <v>180.5</v>
      </c>
      <c r="F15">
        <f t="shared" si="6"/>
        <v>1300.4413300515735</v>
      </c>
      <c r="G15">
        <f t="shared" si="7"/>
        <v>1300.4413300515735</v>
      </c>
      <c r="H15">
        <f t="shared" si="8"/>
        <v>1300.4413300515735</v>
      </c>
      <c r="I15">
        <f t="shared" si="2"/>
        <v>1300.4413300515735</v>
      </c>
      <c r="K15">
        <f>[3]升级时间!$K11</f>
        <v>7.6362785081197128E-3</v>
      </c>
      <c r="L15">
        <f t="shared" si="9"/>
        <v>23637.168263058109</v>
      </c>
    </row>
    <row r="16" spans="1:12">
      <c r="A16" s="6">
        <v>10</v>
      </c>
      <c r="B16" s="14">
        <f>[4]D_经验表!$C11/2</f>
        <v>213</v>
      </c>
      <c r="C16" s="14">
        <f t="shared" si="3"/>
        <v>213</v>
      </c>
      <c r="D16" s="14">
        <f t="shared" si="4"/>
        <v>213</v>
      </c>
      <c r="E16" s="14">
        <f t="shared" si="5"/>
        <v>213</v>
      </c>
      <c r="F16">
        <f t="shared" si="6"/>
        <v>1507.131858905748</v>
      </c>
      <c r="G16">
        <f t="shared" si="7"/>
        <v>1507.131858905748</v>
      </c>
      <c r="H16">
        <f t="shared" si="8"/>
        <v>1507.131858905748</v>
      </c>
      <c r="I16">
        <f t="shared" si="2"/>
        <v>1507.131858905748</v>
      </c>
      <c r="K16">
        <f>[3]升级时间!$K12</f>
        <v>1.8256268486299448E-2</v>
      </c>
      <c r="L16">
        <f t="shared" si="9"/>
        <v>11667.225433272271</v>
      </c>
    </row>
    <row r="17" spans="1:12">
      <c r="A17" s="6">
        <v>11</v>
      </c>
      <c r="B17" s="14">
        <f>[4]D_经验表!$C12/2</f>
        <v>253.5</v>
      </c>
      <c r="C17" s="14">
        <f t="shared" si="3"/>
        <v>253.5</v>
      </c>
      <c r="D17" s="14">
        <f t="shared" si="4"/>
        <v>253.5</v>
      </c>
      <c r="E17" s="14">
        <f t="shared" si="5"/>
        <v>253.5</v>
      </c>
      <c r="F17">
        <f t="shared" si="6"/>
        <v>1722.2690992840562</v>
      </c>
      <c r="G17">
        <f t="shared" si="7"/>
        <v>1722.2690992840562</v>
      </c>
      <c r="H17">
        <f t="shared" si="8"/>
        <v>1722.2690992840562</v>
      </c>
      <c r="I17">
        <f t="shared" si="2"/>
        <v>1722.2690992840562</v>
      </c>
      <c r="K17">
        <f>[3]升级时间!$K13</f>
        <v>4.5927052792990482E-3</v>
      </c>
      <c r="L17">
        <f t="shared" si="9"/>
        <v>55196.226316244247</v>
      </c>
    </row>
    <row r="18" spans="1:12">
      <c r="A18" s="6">
        <v>12</v>
      </c>
      <c r="B18" s="14">
        <f>[4]D_经验表!$C13/2</f>
        <v>303</v>
      </c>
      <c r="C18" s="14">
        <f t="shared" si="3"/>
        <v>303</v>
      </c>
      <c r="D18" s="14">
        <f t="shared" si="4"/>
        <v>303</v>
      </c>
      <c r="E18" s="14">
        <f t="shared" si="5"/>
        <v>303</v>
      </c>
      <c r="F18">
        <f t="shared" si="6"/>
        <v>1945.3824554696832</v>
      </c>
      <c r="G18">
        <f t="shared" si="7"/>
        <v>1945.3824554696832</v>
      </c>
      <c r="H18">
        <f t="shared" si="8"/>
        <v>1945.3824554696832</v>
      </c>
      <c r="I18">
        <f t="shared" si="2"/>
        <v>1945.3824554696832</v>
      </c>
      <c r="K18">
        <f>[3]升级时间!$K14</f>
        <v>1.6755803876123999E-2</v>
      </c>
      <c r="L18">
        <f t="shared" si="9"/>
        <v>18083.286378862227</v>
      </c>
    </row>
    <row r="19" spans="1:12">
      <c r="A19" s="6">
        <v>13</v>
      </c>
      <c r="B19" s="14">
        <f>[4]D_经验表!$C14/2</f>
        <v>363.5</v>
      </c>
      <c r="C19" s="14">
        <f t="shared" si="3"/>
        <v>363.5</v>
      </c>
      <c r="D19" s="14">
        <f t="shared" si="4"/>
        <v>363.5</v>
      </c>
      <c r="E19" s="14">
        <f t="shared" si="5"/>
        <v>363.5</v>
      </c>
      <c r="F19">
        <f t="shared" si="6"/>
        <v>2176.0653999934862</v>
      </c>
      <c r="G19">
        <f t="shared" si="7"/>
        <v>2176.0653999934862</v>
      </c>
      <c r="H19">
        <f t="shared" si="8"/>
        <v>2176.0653999934862</v>
      </c>
      <c r="I19">
        <f t="shared" si="2"/>
        <v>2176.0653999934862</v>
      </c>
      <c r="K19">
        <f>[3]升级时间!$K15</f>
        <v>1.2163098596824953E-2</v>
      </c>
      <c r="L19">
        <f t="shared" si="9"/>
        <v>29885.476723413867</v>
      </c>
    </row>
    <row r="20" spans="1:12">
      <c r="A20" s="6">
        <v>14</v>
      </c>
      <c r="B20" s="14">
        <f>[4]D_经验表!$C15/2</f>
        <v>435.5</v>
      </c>
      <c r="C20" s="14">
        <f t="shared" si="3"/>
        <v>435.5</v>
      </c>
      <c r="D20" s="14">
        <f t="shared" si="4"/>
        <v>435.5</v>
      </c>
      <c r="E20" s="14">
        <f t="shared" si="5"/>
        <v>435.5</v>
      </c>
      <c r="F20">
        <f t="shared" si="6"/>
        <v>2413.9623950636337</v>
      </c>
      <c r="G20">
        <f t="shared" si="7"/>
        <v>2413.9623950636337</v>
      </c>
      <c r="H20">
        <f t="shared" si="8"/>
        <v>2413.9623950636337</v>
      </c>
      <c r="I20">
        <f t="shared" si="2"/>
        <v>2413.9623950636337</v>
      </c>
      <c r="K20">
        <f>[3]升级时间!$K16</f>
        <v>-2.5386052258103531E-2</v>
      </c>
      <c r="L20">
        <f t="shared" si="9"/>
        <v>-17155.089557533829</v>
      </c>
    </row>
    <row r="21" spans="1:12">
      <c r="A21" s="6">
        <v>15</v>
      </c>
      <c r="B21" s="14">
        <f>[4]D_经验表!$C16/2</f>
        <v>520.5</v>
      </c>
      <c r="C21" s="14">
        <f t="shared" si="3"/>
        <v>520.5</v>
      </c>
      <c r="D21" s="14">
        <f t="shared" si="4"/>
        <v>520.5</v>
      </c>
      <c r="E21" s="14">
        <f t="shared" si="5"/>
        <v>520.5</v>
      </c>
      <c r="F21">
        <f t="shared" si="6"/>
        <v>2658.7592451564983</v>
      </c>
      <c r="G21">
        <f t="shared" si="7"/>
        <v>2658.7592451564983</v>
      </c>
      <c r="H21">
        <f t="shared" si="8"/>
        <v>2658.7592451564983</v>
      </c>
      <c r="I21">
        <f t="shared" si="2"/>
        <v>2658.7592451564983</v>
      </c>
      <c r="K21">
        <f>[3]升级时间!$K17</f>
        <v>2.7303885231876761E-2</v>
      </c>
      <c r="L21">
        <f t="shared" si="9"/>
        <v>19063.221061020511</v>
      </c>
    </row>
    <row r="22" spans="1:12">
      <c r="A22" s="6">
        <v>16</v>
      </c>
      <c r="B22" s="14">
        <f>[4]D_经验表!$C17/2</f>
        <v>620</v>
      </c>
      <c r="C22" s="14">
        <f t="shared" si="3"/>
        <v>620</v>
      </c>
      <c r="D22" s="14">
        <f t="shared" si="4"/>
        <v>620</v>
      </c>
      <c r="E22" s="14">
        <f t="shared" si="5"/>
        <v>620</v>
      </c>
      <c r="F22">
        <f t="shared" si="6"/>
        <v>2910.1758076999631</v>
      </c>
      <c r="G22">
        <f t="shared" si="7"/>
        <v>2910.1758076999631</v>
      </c>
      <c r="H22">
        <f t="shared" si="8"/>
        <v>2910.1758076999631</v>
      </c>
      <c r="I22">
        <f t="shared" si="2"/>
        <v>2910.1758076999631</v>
      </c>
      <c r="K22">
        <f>[3]升级时间!$K18</f>
        <v>1.3677177260330133E-2</v>
      </c>
      <c r="L22">
        <f t="shared" si="9"/>
        <v>45330.991051660523</v>
      </c>
    </row>
    <row r="23" spans="1:12">
      <c r="A23" s="6">
        <v>17</v>
      </c>
      <c r="B23" s="14">
        <f>[4]D_经验表!$C18/2</f>
        <v>735.5</v>
      </c>
      <c r="C23" s="14">
        <f t="shared" si="3"/>
        <v>735.5</v>
      </c>
      <c r="D23" s="14">
        <f t="shared" si="4"/>
        <v>735.5</v>
      </c>
      <c r="E23" s="14">
        <f t="shared" si="5"/>
        <v>735.5</v>
      </c>
      <c r="F23">
        <f t="shared" si="6"/>
        <v>3167.9603716296865</v>
      </c>
      <c r="G23">
        <f t="shared" si="7"/>
        <v>3167.9603716296865</v>
      </c>
      <c r="H23">
        <f t="shared" si="8"/>
        <v>3167.9603716296865</v>
      </c>
      <c r="I23">
        <f t="shared" ref="I23:I86" si="10">60*$A23^$B$5</f>
        <v>3167.9603716296865</v>
      </c>
      <c r="K23">
        <f>[3]升级时间!$K19</f>
        <v>4.4917667017320362E-2</v>
      </c>
      <c r="L23">
        <f t="shared" si="9"/>
        <v>16374.403410497463</v>
      </c>
    </row>
    <row r="24" spans="1:12">
      <c r="A24" s="6">
        <v>18</v>
      </c>
      <c r="B24" s="14">
        <f>[4]D_经验表!$C19/2</f>
        <v>868</v>
      </c>
      <c r="C24" s="14">
        <f t="shared" si="3"/>
        <v>868</v>
      </c>
      <c r="D24" s="14">
        <f t="shared" si="4"/>
        <v>868</v>
      </c>
      <c r="E24" s="14">
        <f t="shared" si="5"/>
        <v>868</v>
      </c>
      <c r="F24">
        <f t="shared" si="6"/>
        <v>3431.88524499815</v>
      </c>
      <c r="G24">
        <f t="shared" si="7"/>
        <v>3431.88524499815</v>
      </c>
      <c r="H24">
        <f t="shared" si="8"/>
        <v>3431.88524499815</v>
      </c>
      <c r="I24">
        <f t="shared" si="10"/>
        <v>3431.88524499815</v>
      </c>
      <c r="K24">
        <f>[3]升级时间!$K20</f>
        <v>4.3454057642598687E-2</v>
      </c>
      <c r="L24">
        <f t="shared" si="9"/>
        <v>19975.119634146344</v>
      </c>
    </row>
    <row r="25" spans="1:12">
      <c r="A25" s="6">
        <v>19</v>
      </c>
      <c r="B25" s="14">
        <f>[4]D_经验表!$C20/2</f>
        <v>1019.5</v>
      </c>
      <c r="C25" s="14">
        <f t="shared" si="3"/>
        <v>1019.5</v>
      </c>
      <c r="D25" s="14">
        <f t="shared" si="4"/>
        <v>1019.5</v>
      </c>
      <c r="E25" s="14">
        <f t="shared" si="5"/>
        <v>1019.5</v>
      </c>
      <c r="F25">
        <f t="shared" si="6"/>
        <v>3701.7432378946596</v>
      </c>
      <c r="G25">
        <f t="shared" si="7"/>
        <v>3701.7432378946596</v>
      </c>
      <c r="H25">
        <f t="shared" si="8"/>
        <v>3701.7432378946596</v>
      </c>
      <c r="I25">
        <f t="shared" si="10"/>
        <v>3701.7432378946596</v>
      </c>
      <c r="K25">
        <f>[3]升级时间!$K21</f>
        <v>6.8941048478269235E-2</v>
      </c>
      <c r="L25">
        <f t="shared" si="9"/>
        <v>14787.996737841237</v>
      </c>
    </row>
    <row r="26" spans="1:12">
      <c r="A26" s="6">
        <v>20</v>
      </c>
      <c r="B26" s="14">
        <f>[4]D_经验表!$C21/2</f>
        <v>1192</v>
      </c>
      <c r="C26" s="14">
        <f t="shared" si="3"/>
        <v>1192</v>
      </c>
      <c r="D26" s="14">
        <f t="shared" si="4"/>
        <v>1192</v>
      </c>
      <c r="E26" s="14">
        <f t="shared" si="5"/>
        <v>1192</v>
      </c>
      <c r="F26">
        <f t="shared" si="6"/>
        <v>3977.3448208079808</v>
      </c>
      <c r="G26">
        <f t="shared" si="7"/>
        <v>3977.3448208079808</v>
      </c>
      <c r="H26">
        <f t="shared" si="8"/>
        <v>3977.3448208079808</v>
      </c>
      <c r="I26">
        <f t="shared" si="10"/>
        <v>3977.3448208079808</v>
      </c>
      <c r="K26">
        <f>[3]升级时间!$K22</f>
        <v>3.8306190186681077E-2</v>
      </c>
      <c r="L26">
        <f t="shared" si="9"/>
        <v>31117.686049980875</v>
      </c>
    </row>
    <row r="27" spans="1:12">
      <c r="A27" s="6">
        <v>21</v>
      </c>
      <c r="B27" s="14">
        <f>[4]D_经验表!$C22/2</f>
        <v>1386</v>
      </c>
      <c r="C27" s="14">
        <f t="shared" si="3"/>
        <v>1386</v>
      </c>
      <c r="D27" s="14">
        <f t="shared" si="4"/>
        <v>1386</v>
      </c>
      <c r="E27" s="14">
        <f t="shared" si="5"/>
        <v>1386</v>
      </c>
      <c r="F27">
        <f t="shared" si="6"/>
        <v>4258.5158009966372</v>
      </c>
      <c r="G27">
        <f t="shared" si="7"/>
        <v>4258.5158009966372</v>
      </c>
      <c r="H27">
        <f t="shared" si="8"/>
        <v>4258.5158009966372</v>
      </c>
      <c r="I27">
        <f t="shared" si="10"/>
        <v>4258.5158009966372</v>
      </c>
      <c r="K27">
        <f>[3]升级时间!$K23</f>
        <v>6.3916494665177695E-2</v>
      </c>
      <c r="L27">
        <f t="shared" si="9"/>
        <v>21684.543360215055</v>
      </c>
    </row>
    <row r="28" spans="1:12">
      <c r="A28" s="6">
        <v>22</v>
      </c>
      <c r="B28" s="14">
        <f>[4]D_经验表!$C23/2</f>
        <v>1604</v>
      </c>
      <c r="C28" s="14">
        <f t="shared" si="3"/>
        <v>1604</v>
      </c>
      <c r="D28" s="14">
        <f t="shared" si="4"/>
        <v>1604</v>
      </c>
      <c r="E28" s="14">
        <f t="shared" si="5"/>
        <v>1604</v>
      </c>
      <c r="F28">
        <f t="shared" si="6"/>
        <v>4545.0954019700375</v>
      </c>
      <c r="G28">
        <f t="shared" si="7"/>
        <v>4545.0954019700375</v>
      </c>
      <c r="H28">
        <f t="shared" si="8"/>
        <v>4545.0954019700375</v>
      </c>
      <c r="I28">
        <f t="shared" si="10"/>
        <v>4545.0954019700375</v>
      </c>
      <c r="K28">
        <f>[3]升级时间!$K24</f>
        <v>7.7918689713971548E-2</v>
      </c>
      <c r="L28">
        <f t="shared" si="9"/>
        <v>20585.561768146465</v>
      </c>
    </row>
    <row r="29" spans="1:12">
      <c r="A29" s="6">
        <v>23</v>
      </c>
      <c r="B29" s="14">
        <f>[4]D_经验表!$C24/2</f>
        <v>1848</v>
      </c>
      <c r="C29" s="14">
        <f t="shared" si="3"/>
        <v>1848</v>
      </c>
      <c r="D29" s="14">
        <f t="shared" si="4"/>
        <v>1848</v>
      </c>
      <c r="E29" s="14">
        <f t="shared" si="5"/>
        <v>1848</v>
      </c>
      <c r="F29">
        <f t="shared" si="6"/>
        <v>4836.9346607938569</v>
      </c>
      <c r="G29">
        <f t="shared" si="7"/>
        <v>4836.9346607938569</v>
      </c>
      <c r="H29">
        <f t="shared" si="8"/>
        <v>4836.9346607938569</v>
      </c>
      <c r="I29">
        <f t="shared" si="10"/>
        <v>4836.9346607938569</v>
      </c>
      <c r="K29">
        <f>[3]升级时间!$K25</f>
        <v>9.4338529951046357E-2</v>
      </c>
      <c r="L29">
        <f t="shared" si="9"/>
        <v>19589.026890274359</v>
      </c>
    </row>
    <row r="30" spans="1:12">
      <c r="A30" s="6">
        <v>24</v>
      </c>
      <c r="B30" s="14">
        <f>[4]D_经验表!$C25/2</f>
        <v>2119</v>
      </c>
      <c r="C30" s="14">
        <f t="shared" si="3"/>
        <v>2119</v>
      </c>
      <c r="D30" s="14">
        <f t="shared" si="4"/>
        <v>2119</v>
      </c>
      <c r="E30" s="14">
        <f t="shared" si="5"/>
        <v>2119</v>
      </c>
      <c r="F30">
        <f t="shared" si="6"/>
        <v>5133.8950789420905</v>
      </c>
      <c r="G30">
        <f t="shared" si="7"/>
        <v>5133.8950789420905</v>
      </c>
      <c r="H30">
        <f t="shared" si="8"/>
        <v>5133.8950789420905</v>
      </c>
      <c r="I30">
        <f t="shared" si="10"/>
        <v>5133.8950789420905</v>
      </c>
      <c r="K30">
        <f>[3]升级时间!$K26</f>
        <v>0.16349325585749946</v>
      </c>
      <c r="L30">
        <f t="shared" si="9"/>
        <v>12960.779262032178</v>
      </c>
    </row>
    <row r="31" spans="1:12">
      <c r="A31" s="6">
        <v>25</v>
      </c>
      <c r="B31" s="14">
        <f>[4]D_经验表!$C26/2</f>
        <v>2419.5</v>
      </c>
      <c r="C31" s="14">
        <f t="shared" si="3"/>
        <v>2419.5</v>
      </c>
      <c r="D31" s="14">
        <f t="shared" si="4"/>
        <v>2419.5</v>
      </c>
      <c r="E31" s="14">
        <f t="shared" si="5"/>
        <v>2419.5</v>
      </c>
      <c r="F31">
        <f t="shared" si="6"/>
        <v>5435.8474775827144</v>
      </c>
      <c r="G31">
        <f t="shared" si="7"/>
        <v>5435.8474775827144</v>
      </c>
      <c r="H31">
        <f t="shared" si="8"/>
        <v>5435.8474775827144</v>
      </c>
      <c r="I31">
        <f t="shared" si="10"/>
        <v>5435.8474775827144</v>
      </c>
      <c r="K31">
        <f>[3]升级时间!$K27</f>
        <v>0.13538813054373336</v>
      </c>
      <c r="L31">
        <f t="shared" si="9"/>
        <v>17870.842815267679</v>
      </c>
    </row>
    <row r="32" spans="1:12">
      <c r="A32" s="6">
        <v>26</v>
      </c>
      <c r="B32" s="14">
        <f>[4]D_经验表!$C27/2</f>
        <v>2751.5</v>
      </c>
      <c r="C32" s="14">
        <f t="shared" si="3"/>
        <v>2751.5</v>
      </c>
      <c r="D32" s="14">
        <f t="shared" si="4"/>
        <v>2751.5</v>
      </c>
      <c r="E32" s="14">
        <f t="shared" si="5"/>
        <v>2751.5</v>
      </c>
      <c r="F32">
        <f t="shared" si="6"/>
        <v>5742.671019301175</v>
      </c>
      <c r="G32">
        <f t="shared" si="7"/>
        <v>5742.671019301175</v>
      </c>
      <c r="H32">
        <f t="shared" si="8"/>
        <v>5742.671019301175</v>
      </c>
      <c r="I32">
        <f t="shared" si="10"/>
        <v>5742.671019301175</v>
      </c>
      <c r="K32">
        <f>[3]升级时间!$K28</f>
        <v>0.21602667109452101</v>
      </c>
      <c r="L32">
        <f t="shared" si="9"/>
        <v>12736.853213814973</v>
      </c>
    </row>
    <row r="33" spans="1:12">
      <c r="A33" s="6">
        <v>27</v>
      </c>
      <c r="B33" s="14">
        <f>[4]D_经验表!$C28/2</f>
        <v>3116.5</v>
      </c>
      <c r="C33" s="14">
        <f t="shared" si="3"/>
        <v>3116.5</v>
      </c>
      <c r="D33" s="14">
        <f t="shared" si="4"/>
        <v>3116.5</v>
      </c>
      <c r="E33" s="14">
        <f t="shared" si="5"/>
        <v>3116.5</v>
      </c>
      <c r="F33">
        <f t="shared" si="6"/>
        <v>6054.2523665314147</v>
      </c>
      <c r="G33">
        <f t="shared" si="7"/>
        <v>6054.2523665314147</v>
      </c>
      <c r="H33">
        <f t="shared" si="8"/>
        <v>6054.2523665314147</v>
      </c>
      <c r="I33">
        <f t="shared" si="10"/>
        <v>6054.2523665314147</v>
      </c>
      <c r="K33">
        <f>[3]升级时间!$K29</f>
        <v>0.21673181760776961</v>
      </c>
      <c r="L33">
        <f t="shared" si="9"/>
        <v>14379.522279650169</v>
      </c>
    </row>
    <row r="34" spans="1:12">
      <c r="A34" s="6">
        <v>28</v>
      </c>
      <c r="B34" s="14">
        <f>[4]D_经验表!$C29/2</f>
        <v>3517</v>
      </c>
      <c r="C34" s="14">
        <f t="shared" si="3"/>
        <v>3517</v>
      </c>
      <c r="D34" s="14">
        <f t="shared" si="4"/>
        <v>3517</v>
      </c>
      <c r="E34" s="14">
        <f t="shared" si="5"/>
        <v>3517</v>
      </c>
      <c r="F34">
        <f t="shared" si="6"/>
        <v>6370.4849531894979</v>
      </c>
      <c r="G34">
        <f t="shared" si="7"/>
        <v>6370.4849531894979</v>
      </c>
      <c r="H34">
        <f t="shared" si="8"/>
        <v>6370.4849531894979</v>
      </c>
      <c r="I34">
        <f t="shared" si="10"/>
        <v>6370.4849531894979</v>
      </c>
      <c r="K34">
        <f>[3]升级时间!$K30</f>
        <v>0.28120235596192833</v>
      </c>
      <c r="L34">
        <f t="shared" si="9"/>
        <v>12507.007588784792</v>
      </c>
    </row>
    <row r="35" spans="1:12">
      <c r="A35" s="6">
        <v>29</v>
      </c>
      <c r="B35" s="14">
        <f>[4]D_经验表!$C30/2</f>
        <v>3955</v>
      </c>
      <c r="C35" s="14">
        <f t="shared" si="3"/>
        <v>3955</v>
      </c>
      <c r="D35" s="14">
        <f t="shared" si="4"/>
        <v>3955</v>
      </c>
      <c r="E35" s="14">
        <f t="shared" si="5"/>
        <v>3955</v>
      </c>
      <c r="F35">
        <f t="shared" si="6"/>
        <v>6691.2683507486663</v>
      </c>
      <c r="G35">
        <f t="shared" si="7"/>
        <v>6691.2683507486663</v>
      </c>
      <c r="H35">
        <f t="shared" si="8"/>
        <v>6691.2683507486663</v>
      </c>
      <c r="I35">
        <f t="shared" si="10"/>
        <v>6691.2683507486663</v>
      </c>
      <c r="K35">
        <f>[3]升级时间!$K31</f>
        <v>0.21325645264961574</v>
      </c>
      <c r="L35">
        <f t="shared" si="9"/>
        <v>18545.745982646244</v>
      </c>
    </row>
    <row r="36" spans="1:12">
      <c r="A36" s="6">
        <v>30</v>
      </c>
      <c r="B36" s="14">
        <f>[4]D_经验表!$C31/2</f>
        <v>4432.5</v>
      </c>
      <c r="C36" s="14">
        <f t="shared" si="3"/>
        <v>4432.5</v>
      </c>
      <c r="D36" s="14">
        <f t="shared" si="4"/>
        <v>4432.5</v>
      </c>
      <c r="E36" s="14">
        <f t="shared" si="5"/>
        <v>4432.5</v>
      </c>
      <c r="F36">
        <f t="shared" si="6"/>
        <v>7016.5077136491382</v>
      </c>
      <c r="G36">
        <f t="shared" si="7"/>
        <v>7016.5077136491382</v>
      </c>
      <c r="H36">
        <f t="shared" si="8"/>
        <v>7016.5077136491382</v>
      </c>
      <c r="I36">
        <f t="shared" si="10"/>
        <v>7016.5077136491382</v>
      </c>
      <c r="K36">
        <f>[3]升级时间!$K32</f>
        <v>0.27752552057141772</v>
      </c>
      <c r="L36">
        <f t="shared" si="9"/>
        <v>15971.504137254115</v>
      </c>
    </row>
    <row r="37" spans="1:12">
      <c r="A37" s="6">
        <v>31</v>
      </c>
      <c r="B37" s="14">
        <f>[4]D_经验表!$C32/2</f>
        <v>4951.5</v>
      </c>
      <c r="C37" s="14">
        <f t="shared" si="3"/>
        <v>4951.5</v>
      </c>
      <c r="D37" s="14">
        <f t="shared" si="4"/>
        <v>4951.5</v>
      </c>
      <c r="E37" s="14">
        <f t="shared" si="5"/>
        <v>4951.5</v>
      </c>
      <c r="F37">
        <f t="shared" si="6"/>
        <v>7346.1132917795494</v>
      </c>
      <c r="G37">
        <f t="shared" si="7"/>
        <v>7346.1132917795494</v>
      </c>
      <c r="H37">
        <f t="shared" si="8"/>
        <v>7346.1132917795494</v>
      </c>
      <c r="I37">
        <f t="shared" si="10"/>
        <v>7346.1132917795494</v>
      </c>
      <c r="K37">
        <f>[3]升级时间!$K33</f>
        <v>0.31240528000596091</v>
      </c>
      <c r="L37">
        <f t="shared" si="9"/>
        <v>15849.604078092156</v>
      </c>
    </row>
    <row r="38" spans="1:12">
      <c r="A38" s="6">
        <v>32</v>
      </c>
      <c r="B38" s="14">
        <f>[4]D_经验表!$C33/2</f>
        <v>5515.5</v>
      </c>
      <c r="C38" s="14">
        <f t="shared" si="3"/>
        <v>5515.5</v>
      </c>
      <c r="D38" s="14">
        <f t="shared" si="4"/>
        <v>5515.5</v>
      </c>
      <c r="E38" s="14">
        <f t="shared" si="5"/>
        <v>5515.5</v>
      </c>
      <c r="F38">
        <f t="shared" si="6"/>
        <v>7679.9999999999982</v>
      </c>
      <c r="G38">
        <f t="shared" si="7"/>
        <v>7679.9999999999982</v>
      </c>
      <c r="H38">
        <f t="shared" si="8"/>
        <v>7679.9999999999982</v>
      </c>
      <c r="I38">
        <f t="shared" si="10"/>
        <v>7679.9999999999982</v>
      </c>
      <c r="K38">
        <f>[3]升级时间!$K34</f>
        <v>0.40479480609621937</v>
      </c>
      <c r="L38">
        <f t="shared" si="9"/>
        <v>13625.421860499293</v>
      </c>
    </row>
    <row r="39" spans="1:12">
      <c r="A39" s="6">
        <v>33</v>
      </c>
      <c r="B39" s="14">
        <f>[4]D_经验表!$C34/2</f>
        <v>6125.5</v>
      </c>
      <c r="C39" s="14">
        <f t="shared" si="3"/>
        <v>6125.5</v>
      </c>
      <c r="D39" s="14">
        <f t="shared" si="4"/>
        <v>6125.5</v>
      </c>
      <c r="E39" s="14">
        <f t="shared" si="5"/>
        <v>6125.5</v>
      </c>
      <c r="F39">
        <f t="shared" si="6"/>
        <v>8018.0870364454622</v>
      </c>
      <c r="G39">
        <f t="shared" si="7"/>
        <v>8018.0870364454622</v>
      </c>
      <c r="H39">
        <f t="shared" si="8"/>
        <v>8018.0870364454622</v>
      </c>
      <c r="I39">
        <f t="shared" si="10"/>
        <v>8018.0870364454622</v>
      </c>
      <c r="K39">
        <f>[3]升级时间!$K35</f>
        <v>0.50924825289467257</v>
      </c>
      <c r="L39">
        <f t="shared" si="9"/>
        <v>12028.514511697171</v>
      </c>
    </row>
    <row r="40" spans="1:12">
      <c r="A40" s="6">
        <v>34</v>
      </c>
      <c r="B40" s="14">
        <f>[4]D_经验表!$C35/2</f>
        <v>6784</v>
      </c>
      <c r="C40" s="14">
        <f t="shared" si="3"/>
        <v>6784</v>
      </c>
      <c r="D40" s="14">
        <f t="shared" si="4"/>
        <v>6784</v>
      </c>
      <c r="E40" s="14">
        <f t="shared" si="5"/>
        <v>6784</v>
      </c>
      <c r="F40">
        <f t="shared" si="6"/>
        <v>8360.2975427608199</v>
      </c>
      <c r="G40">
        <f t="shared" si="7"/>
        <v>8360.2975427608199</v>
      </c>
      <c r="H40">
        <f t="shared" si="8"/>
        <v>8360.2975427608199</v>
      </c>
      <c r="I40">
        <f t="shared" si="10"/>
        <v>8360.2975427608199</v>
      </c>
      <c r="K40">
        <f>[3]升级时间!$K36</f>
        <v>0.45998724333621055</v>
      </c>
      <c r="L40">
        <f t="shared" si="9"/>
        <v>14748.235083209662</v>
      </c>
    </row>
    <row r="41" spans="1:12">
      <c r="A41" s="6">
        <v>35</v>
      </c>
      <c r="B41" s="14">
        <f>[4]D_经验表!$C36/2</f>
        <v>7494.5</v>
      </c>
      <c r="C41" s="14">
        <f t="shared" si="3"/>
        <v>7494.5</v>
      </c>
      <c r="D41" s="14">
        <f t="shared" si="4"/>
        <v>7494.5</v>
      </c>
      <c r="E41" s="14">
        <f t="shared" si="5"/>
        <v>7494.5</v>
      </c>
      <c r="F41">
        <f t="shared" si="6"/>
        <v>8706.5583005546414</v>
      </c>
      <c r="G41">
        <f t="shared" si="7"/>
        <v>8706.5583005546414</v>
      </c>
      <c r="H41">
        <f t="shared" si="8"/>
        <v>8706.5583005546414</v>
      </c>
      <c r="I41">
        <f t="shared" si="10"/>
        <v>8706.5583005546414</v>
      </c>
      <c r="K41">
        <f>[3]升级时间!$K37</f>
        <v>0.6317473144191339</v>
      </c>
      <c r="L41">
        <f t="shared" si="9"/>
        <v>11863.129179885616</v>
      </c>
    </row>
    <row r="42" spans="1:12">
      <c r="A42" s="6">
        <v>36</v>
      </c>
      <c r="B42" s="14">
        <f>[4]D_经验表!$C37/2</f>
        <v>8258.5</v>
      </c>
      <c r="C42" s="14">
        <f t="shared" si="3"/>
        <v>8258.5</v>
      </c>
      <c r="D42" s="14">
        <f t="shared" si="4"/>
        <v>8258.5</v>
      </c>
      <c r="E42" s="14">
        <f t="shared" si="5"/>
        <v>8258.5</v>
      </c>
      <c r="F42">
        <f t="shared" si="6"/>
        <v>9056.799459279664</v>
      </c>
      <c r="G42">
        <f t="shared" si="7"/>
        <v>9056.799459279664</v>
      </c>
      <c r="H42">
        <f t="shared" si="8"/>
        <v>9056.799459279664</v>
      </c>
      <c r="I42">
        <f t="shared" si="10"/>
        <v>9056.799459279664</v>
      </c>
      <c r="K42">
        <f>[3]升级时间!$K38</f>
        <v>0.60282897688048043</v>
      </c>
      <c r="L42">
        <f t="shared" si="9"/>
        <v>13699.573704529083</v>
      </c>
    </row>
    <row r="43" spans="1:12">
      <c r="A43" s="6">
        <v>37</v>
      </c>
      <c r="B43" s="14">
        <f>[4]D_经验表!$C38/2</f>
        <v>9079.5</v>
      </c>
      <c r="C43" s="14">
        <f t="shared" si="3"/>
        <v>9079.5</v>
      </c>
      <c r="D43" s="14">
        <f t="shared" si="4"/>
        <v>9079.5</v>
      </c>
      <c r="E43" s="14">
        <f t="shared" si="5"/>
        <v>9079.5</v>
      </c>
      <c r="F43">
        <f t="shared" si="6"/>
        <v>9410.9542914978501</v>
      </c>
      <c r="G43">
        <f t="shared" si="7"/>
        <v>9410.9542914978501</v>
      </c>
      <c r="H43">
        <f t="shared" si="8"/>
        <v>9410.9542914978501</v>
      </c>
      <c r="I43">
        <f t="shared" si="10"/>
        <v>9410.9542914978501</v>
      </c>
      <c r="K43">
        <f>[3]升级时间!$K39</f>
        <v>0.72482388247729956</v>
      </c>
      <c r="L43">
        <f t="shared" si="9"/>
        <v>12526.49122014044</v>
      </c>
    </row>
    <row r="44" spans="1:12">
      <c r="A44" s="6">
        <v>38</v>
      </c>
      <c r="B44" s="14">
        <f>[4]D_经验表!$C39/2</f>
        <v>9959</v>
      </c>
      <c r="C44" s="14">
        <f t="shared" si="3"/>
        <v>9959</v>
      </c>
      <c r="D44" s="14">
        <f t="shared" si="4"/>
        <v>9959</v>
      </c>
      <c r="E44" s="14">
        <f t="shared" si="5"/>
        <v>9959</v>
      </c>
      <c r="F44">
        <f t="shared" si="6"/>
        <v>9768.958972104143</v>
      </c>
      <c r="G44">
        <f t="shared" si="7"/>
        <v>9768.958972104143</v>
      </c>
      <c r="H44">
        <f t="shared" si="8"/>
        <v>9768.958972104143</v>
      </c>
      <c r="I44">
        <f t="shared" si="10"/>
        <v>9768.958972104143</v>
      </c>
      <c r="K44">
        <f>[3]升级时间!$K40</f>
        <v>0.62033794316086177</v>
      </c>
      <c r="L44">
        <f t="shared" si="9"/>
        <v>16054.152595043668</v>
      </c>
    </row>
    <row r="45" spans="1:12">
      <c r="A45" s="6">
        <v>39</v>
      </c>
      <c r="B45" s="14">
        <f>[4]D_经验表!$C40/2</f>
        <v>10900.5</v>
      </c>
      <c r="C45" s="14">
        <f t="shared" si="3"/>
        <v>10900.5</v>
      </c>
      <c r="D45" s="14">
        <f t="shared" si="4"/>
        <v>10900.5</v>
      </c>
      <c r="E45" s="14">
        <f t="shared" si="5"/>
        <v>10900.5</v>
      </c>
      <c r="F45">
        <f t="shared" si="6"/>
        <v>10130.75237859074</v>
      </c>
      <c r="G45">
        <f t="shared" si="7"/>
        <v>10130.75237859074</v>
      </c>
      <c r="H45">
        <f t="shared" si="8"/>
        <v>10130.75237859074</v>
      </c>
      <c r="I45">
        <f t="shared" si="10"/>
        <v>10130.75237859074</v>
      </c>
      <c r="K45">
        <f>[3]升级时间!$K41</f>
        <v>0.81241603540969376</v>
      </c>
      <c r="L45">
        <f t="shared" si="9"/>
        <v>13417.386566604364</v>
      </c>
    </row>
    <row r="46" spans="1:12">
      <c r="A46" s="6">
        <v>40</v>
      </c>
      <c r="B46" s="14">
        <f>[4]D_经验表!$C41/2</f>
        <v>11906.5</v>
      </c>
      <c r="C46" s="14">
        <f t="shared" si="3"/>
        <v>11906.5</v>
      </c>
      <c r="D46" s="14">
        <f t="shared" si="4"/>
        <v>11906.5</v>
      </c>
      <c r="E46" s="14">
        <f t="shared" si="5"/>
        <v>11906.5</v>
      </c>
      <c r="F46">
        <f t="shared" si="6"/>
        <v>10496.275909855462</v>
      </c>
      <c r="G46">
        <f t="shared" si="7"/>
        <v>10496.275909855462</v>
      </c>
      <c r="H46">
        <f t="shared" si="8"/>
        <v>10496.275909855462</v>
      </c>
      <c r="I46">
        <f t="shared" si="10"/>
        <v>10496.275909855462</v>
      </c>
      <c r="K46">
        <f>[3]升级时间!$K42</f>
        <v>0.82344195201328518</v>
      </c>
      <c r="L46">
        <f t="shared" si="9"/>
        <v>14459.428464737613</v>
      </c>
    </row>
    <row r="47" spans="1:12">
      <c r="A47" s="6">
        <v>41</v>
      </c>
      <c r="B47" s="14">
        <f>[4]D_经验表!$C42/2</f>
        <v>12980</v>
      </c>
      <c r="C47" s="14">
        <f t="shared" si="3"/>
        <v>12980</v>
      </c>
      <c r="D47" s="14">
        <f t="shared" si="4"/>
        <v>12980</v>
      </c>
      <c r="E47" s="14">
        <f t="shared" si="5"/>
        <v>12980</v>
      </c>
      <c r="F47">
        <f t="shared" si="6"/>
        <v>10865.473321409296</v>
      </c>
      <c r="G47">
        <f t="shared" si="7"/>
        <v>10865.473321409296</v>
      </c>
      <c r="H47">
        <f t="shared" si="8"/>
        <v>10865.473321409296</v>
      </c>
      <c r="I47">
        <f t="shared" si="10"/>
        <v>10865.473321409296</v>
      </c>
      <c r="K47">
        <f>[3]升级时间!$K43</f>
        <v>0.97359582615639106</v>
      </c>
      <c r="L47">
        <f t="shared" si="9"/>
        <v>13332.021000175273</v>
      </c>
    </row>
    <row r="48" spans="1:12">
      <c r="A48" s="6">
        <v>42</v>
      </c>
      <c r="B48" s="14">
        <f>[4]D_经验表!$C43/2</f>
        <v>14123.5</v>
      </c>
      <c r="C48" s="14">
        <f t="shared" si="3"/>
        <v>14123.5</v>
      </c>
      <c r="D48" s="14">
        <f t="shared" si="4"/>
        <v>14123.5</v>
      </c>
      <c r="E48" s="14">
        <f t="shared" si="5"/>
        <v>14123.5</v>
      </c>
      <c r="F48">
        <f t="shared" si="6"/>
        <v>11238.290575132864</v>
      </c>
      <c r="G48">
        <f t="shared" si="7"/>
        <v>11238.290575132864</v>
      </c>
      <c r="H48">
        <f t="shared" si="8"/>
        <v>11238.290575132864</v>
      </c>
      <c r="I48">
        <f t="shared" si="10"/>
        <v>11238.290575132864</v>
      </c>
      <c r="K48">
        <f>[3]升级时间!$K44</f>
        <v>1.1458513919640054</v>
      </c>
      <c r="L48">
        <f t="shared" si="9"/>
        <v>12325.769379039739</v>
      </c>
    </row>
    <row r="49" spans="1:12">
      <c r="A49" s="6">
        <v>43</v>
      </c>
      <c r="B49" s="14">
        <f>[4]D_经验表!$C44/2</f>
        <v>15340.5</v>
      </c>
      <c r="C49" s="14">
        <f t="shared" si="3"/>
        <v>15340.5</v>
      </c>
      <c r="D49" s="14">
        <f t="shared" si="4"/>
        <v>15340.5</v>
      </c>
      <c r="E49" s="14">
        <f t="shared" si="5"/>
        <v>15340.5</v>
      </c>
      <c r="F49">
        <f t="shared" si="6"/>
        <v>11614.675701979726</v>
      </c>
      <c r="G49">
        <f t="shared" si="7"/>
        <v>11614.675701979726</v>
      </c>
      <c r="H49">
        <f t="shared" si="8"/>
        <v>11614.675701979726</v>
      </c>
      <c r="I49">
        <f t="shared" si="10"/>
        <v>11614.675701979726</v>
      </c>
      <c r="K49">
        <f>[3]升级时间!$K45</f>
        <v>1.0838356097031341</v>
      </c>
      <c r="L49">
        <f t="shared" si="9"/>
        <v>14153.89922850183</v>
      </c>
    </row>
    <row r="50" spans="1:12">
      <c r="A50" s="6">
        <v>44</v>
      </c>
      <c r="B50" s="14">
        <f>[4]D_经验表!$C45/2</f>
        <v>16633.5</v>
      </c>
      <c r="C50" s="14">
        <f t="shared" si="3"/>
        <v>16633.5</v>
      </c>
      <c r="D50" s="14">
        <f t="shared" si="4"/>
        <v>16633.5</v>
      </c>
      <c r="E50" s="14">
        <f t="shared" si="5"/>
        <v>16633.5</v>
      </c>
      <c r="F50">
        <f t="shared" si="6"/>
        <v>11994.578676233947</v>
      </c>
      <c r="G50">
        <f t="shared" si="7"/>
        <v>11994.578676233947</v>
      </c>
      <c r="H50">
        <f t="shared" si="8"/>
        <v>11994.578676233947</v>
      </c>
      <c r="I50">
        <f t="shared" si="10"/>
        <v>11994.578676233947</v>
      </c>
      <c r="K50">
        <f>[3]升级时间!$K46</f>
        <v>1.3593878364433654</v>
      </c>
      <c r="L50">
        <f t="shared" si="9"/>
        <v>12236.022387488078</v>
      </c>
    </row>
    <row r="51" spans="1:12">
      <c r="A51" s="6">
        <v>45</v>
      </c>
      <c r="B51" s="14">
        <f>[4]D_经验表!$C46/2</f>
        <v>18005.5</v>
      </c>
      <c r="C51" s="14">
        <f t="shared" si="3"/>
        <v>18005.5</v>
      </c>
      <c r="D51" s="14">
        <f t="shared" si="4"/>
        <v>18005.5</v>
      </c>
      <c r="E51" s="14">
        <f t="shared" si="5"/>
        <v>18005.5</v>
      </c>
      <c r="F51">
        <f t="shared" si="6"/>
        <v>12377.951300107961</v>
      </c>
      <c r="G51">
        <f t="shared" si="7"/>
        <v>12377.951300107961</v>
      </c>
      <c r="H51">
        <f t="shared" si="8"/>
        <v>12377.951300107961</v>
      </c>
      <c r="I51">
        <f t="shared" si="10"/>
        <v>12377.951300107961</v>
      </c>
      <c r="K51">
        <f>[3]升级时间!$K47</f>
        <v>1.3870658626466179</v>
      </c>
      <c r="L51">
        <f t="shared" si="9"/>
        <v>12980.998584771063</v>
      </c>
    </row>
    <row r="52" spans="1:12">
      <c r="A52" s="6">
        <v>46</v>
      </c>
      <c r="B52" s="14">
        <f>[4]D_经验表!$C47/2</f>
        <v>19459.5</v>
      </c>
      <c r="C52" s="14">
        <f t="shared" si="3"/>
        <v>19459.5</v>
      </c>
      <c r="D52" s="14">
        <f t="shared" si="4"/>
        <v>19459.5</v>
      </c>
      <c r="E52" s="14">
        <f t="shared" si="5"/>
        <v>19459.5</v>
      </c>
      <c r="F52">
        <f t="shared" si="6"/>
        <v>12764.747097618203</v>
      </c>
      <c r="G52">
        <f t="shared" si="7"/>
        <v>12764.747097618203</v>
      </c>
      <c r="H52">
        <f t="shared" si="8"/>
        <v>12764.747097618203</v>
      </c>
      <c r="I52">
        <f t="shared" si="10"/>
        <v>12764.747097618203</v>
      </c>
      <c r="K52">
        <f>[3]升级时间!$K48</f>
        <v>1.6016886460383921</v>
      </c>
      <c r="L52">
        <f t="shared" si="9"/>
        <v>12149.36501431225</v>
      </c>
    </row>
    <row r="53" spans="1:12">
      <c r="A53" s="6">
        <v>47</v>
      </c>
      <c r="B53" s="14">
        <f>[4]D_经验表!$C48/2</f>
        <v>20999.5</v>
      </c>
      <c r="C53" s="14">
        <f t="shared" si="3"/>
        <v>20999.5</v>
      </c>
      <c r="D53" s="14">
        <f t="shared" si="4"/>
        <v>20999.5</v>
      </c>
      <c r="E53" s="14">
        <f t="shared" si="5"/>
        <v>20999.5</v>
      </c>
      <c r="F53">
        <f t="shared" si="6"/>
        <v>13154.921216806142</v>
      </c>
      <c r="G53">
        <f t="shared" si="7"/>
        <v>13154.921216806142</v>
      </c>
      <c r="H53">
        <f t="shared" si="8"/>
        <v>13154.921216806142</v>
      </c>
      <c r="I53">
        <f t="shared" si="10"/>
        <v>13154.921216806142</v>
      </c>
      <c r="K53">
        <f>[3]升级时间!$K49</f>
        <v>1.4367540598579178</v>
      </c>
      <c r="L53">
        <f t="shared" si="9"/>
        <v>14615.932250838159</v>
      </c>
    </row>
    <row r="54" spans="1:12">
      <c r="A54" s="6">
        <v>48</v>
      </c>
      <c r="B54" s="14">
        <f>[4]D_经验表!$C49/2</f>
        <v>22627.5</v>
      </c>
      <c r="C54" s="14">
        <f t="shared" si="3"/>
        <v>22627.5</v>
      </c>
      <c r="D54" s="14">
        <f t="shared" si="4"/>
        <v>22627.5</v>
      </c>
      <c r="E54" s="14">
        <f t="shared" si="5"/>
        <v>22627.5</v>
      </c>
      <c r="F54">
        <f t="shared" si="6"/>
        <v>13548.430339484243</v>
      </c>
      <c r="G54">
        <f t="shared" si="7"/>
        <v>13548.430339484243</v>
      </c>
      <c r="H54">
        <f t="shared" si="8"/>
        <v>13548.430339484243</v>
      </c>
      <c r="I54">
        <f t="shared" si="10"/>
        <v>13548.430339484243</v>
      </c>
      <c r="K54">
        <f>[3]升级时间!$K50</f>
        <v>1.7664343037123595</v>
      </c>
      <c r="L54">
        <f t="shared" si="9"/>
        <v>12809.70367957969</v>
      </c>
    </row>
    <row r="55" spans="1:12">
      <c r="A55" s="6">
        <v>49</v>
      </c>
      <c r="B55" s="14">
        <f>[4]D_经验表!$C50/2</f>
        <v>24348</v>
      </c>
      <c r="C55" s="14">
        <f t="shared" si="3"/>
        <v>24348</v>
      </c>
      <c r="D55" s="14">
        <f t="shared" si="4"/>
        <v>24348</v>
      </c>
      <c r="E55" s="14">
        <f t="shared" si="5"/>
        <v>24348</v>
      </c>
      <c r="F55">
        <f t="shared" si="6"/>
        <v>13945.232597781889</v>
      </c>
      <c r="G55">
        <f t="shared" si="7"/>
        <v>13945.232597781889</v>
      </c>
      <c r="H55">
        <f t="shared" si="8"/>
        <v>13945.232597781889</v>
      </c>
      <c r="I55">
        <f t="shared" si="10"/>
        <v>13945.232597781889</v>
      </c>
      <c r="K55">
        <f>[3]升级时间!$K51</f>
        <v>1.7926953661168108</v>
      </c>
      <c r="L55">
        <f t="shared" si="9"/>
        <v>13581.783308081302</v>
      </c>
    </row>
    <row r="56" spans="1:12">
      <c r="A56" s="6">
        <v>50</v>
      </c>
      <c r="B56" s="14">
        <f>[4]D_经验表!$C51/2</f>
        <v>26163.5</v>
      </c>
      <c r="C56" s="14">
        <f t="shared" si="3"/>
        <v>26163.5</v>
      </c>
      <c r="D56" s="14">
        <f t="shared" si="4"/>
        <v>26163.5</v>
      </c>
      <c r="E56" s="14">
        <f t="shared" si="5"/>
        <v>26163.5</v>
      </c>
      <c r="F56">
        <f t="shared" si="6"/>
        <v>14345.287496850551</v>
      </c>
      <c r="G56">
        <f t="shared" si="7"/>
        <v>14345.287496850551</v>
      </c>
      <c r="H56">
        <f t="shared" si="8"/>
        <v>14345.287496850551</v>
      </c>
      <c r="I56">
        <f t="shared" si="10"/>
        <v>14345.287496850551</v>
      </c>
      <c r="K56">
        <f>[3]升级时间!$K52</f>
        <v>2.0544085797554157</v>
      </c>
      <c r="L56">
        <f t="shared" si="9"/>
        <v>12735.29533405417</v>
      </c>
    </row>
    <row r="57" spans="1:12">
      <c r="A57" s="6">
        <v>51</v>
      </c>
      <c r="B57" s="14">
        <f>[4]D_经验表!$C52/2</f>
        <v>28077.5</v>
      </c>
      <c r="C57" s="14">
        <f t="shared" si="3"/>
        <v>28077.5</v>
      </c>
      <c r="D57" s="14">
        <f t="shared" si="4"/>
        <v>28077.5</v>
      </c>
      <c r="E57" s="14">
        <f t="shared" si="5"/>
        <v>28077.5</v>
      </c>
      <c r="F57">
        <f t="shared" si="6"/>
        <v>14748.555843158358</v>
      </c>
      <c r="G57">
        <f t="shared" si="7"/>
        <v>14748.555843158358</v>
      </c>
      <c r="H57">
        <f t="shared" si="8"/>
        <v>14748.555843158358</v>
      </c>
      <c r="I57">
        <f t="shared" si="10"/>
        <v>14748.555843158358</v>
      </c>
      <c r="K57">
        <f>[3]升级时间!$K53</f>
        <v>2.2075680681676784</v>
      </c>
      <c r="L57">
        <f t="shared" si="9"/>
        <v>12718.747115827253</v>
      </c>
    </row>
    <row r="58" spans="1:12">
      <c r="A58" s="6">
        <v>52</v>
      </c>
      <c r="B58" s="14">
        <f>[4]D_经验表!$C53/2</f>
        <v>30093.5</v>
      </c>
      <c r="C58" s="14">
        <f t="shared" si="3"/>
        <v>30093.5</v>
      </c>
      <c r="D58" s="14">
        <f t="shared" si="4"/>
        <v>30093.5</v>
      </c>
      <c r="E58" s="14">
        <f t="shared" si="5"/>
        <v>30093.5</v>
      </c>
      <c r="F58">
        <f t="shared" si="6"/>
        <v>15154.999677868283</v>
      </c>
      <c r="G58">
        <f t="shared" si="7"/>
        <v>15154.999677868283</v>
      </c>
      <c r="H58">
        <f t="shared" si="8"/>
        <v>15154.999677868283</v>
      </c>
      <c r="I58">
        <f t="shared" si="10"/>
        <v>15154.999677868283</v>
      </c>
      <c r="K58">
        <f>[3]升级时间!$K54</f>
        <v>2.2183166858357382</v>
      </c>
      <c r="L58">
        <f t="shared" si="9"/>
        <v>13565.916982075283</v>
      </c>
    </row>
    <row r="59" spans="1:12">
      <c r="A59" s="6">
        <v>53</v>
      </c>
      <c r="B59" s="14">
        <f>[4]D_经验表!$C54/2</f>
        <v>32215</v>
      </c>
      <c r="C59" s="14">
        <f t="shared" si="3"/>
        <v>32215</v>
      </c>
      <c r="D59" s="14">
        <f t="shared" si="4"/>
        <v>32215</v>
      </c>
      <c r="E59" s="14">
        <f t="shared" si="5"/>
        <v>32215</v>
      </c>
      <c r="F59">
        <f t="shared" si="6"/>
        <v>15564.582214847927</v>
      </c>
      <c r="G59">
        <f t="shared" si="7"/>
        <v>15564.582214847927</v>
      </c>
      <c r="H59">
        <f t="shared" si="8"/>
        <v>15564.582214847927</v>
      </c>
      <c r="I59">
        <f t="shared" si="10"/>
        <v>15564.582214847927</v>
      </c>
      <c r="K59">
        <f>[3]升级时间!$K55</f>
        <v>2.125539143858802</v>
      </c>
      <c r="L59">
        <f t="shared" si="9"/>
        <v>15156.154659902146</v>
      </c>
    </row>
    <row r="60" spans="1:12">
      <c r="A60" s="6">
        <v>54</v>
      </c>
      <c r="B60" s="14">
        <f>[4]D_经验表!$C55/2</f>
        <v>34446</v>
      </c>
      <c r="C60" s="14">
        <f t="shared" si="3"/>
        <v>34446</v>
      </c>
      <c r="D60" s="14">
        <f t="shared" si="4"/>
        <v>34446</v>
      </c>
      <c r="E60" s="14">
        <f t="shared" si="5"/>
        <v>34446</v>
      </c>
      <c r="F60">
        <f t="shared" si="6"/>
        <v>15977.267782907436</v>
      </c>
      <c r="G60">
        <f t="shared" si="7"/>
        <v>15977.267782907436</v>
      </c>
      <c r="H60">
        <f t="shared" si="8"/>
        <v>15977.267782907436</v>
      </c>
      <c r="I60">
        <f t="shared" si="10"/>
        <v>15977.267782907436</v>
      </c>
      <c r="K60">
        <f>[3]升级时间!$K56</f>
        <v>2.7215688507766904</v>
      </c>
      <c r="L60">
        <f t="shared" si="9"/>
        <v>12656.670431163146</v>
      </c>
    </row>
    <row r="61" spans="1:12">
      <c r="A61" s="6">
        <v>55</v>
      </c>
      <c r="B61" s="14">
        <f>[4]D_经验表!$C56/2</f>
        <v>36789.5</v>
      </c>
      <c r="C61" s="14">
        <f t="shared" si="3"/>
        <v>36789.5</v>
      </c>
      <c r="D61" s="14">
        <f t="shared" si="4"/>
        <v>36789.5</v>
      </c>
      <c r="E61" s="14">
        <f t="shared" si="5"/>
        <v>36789.5</v>
      </c>
      <c r="F61">
        <f t="shared" si="6"/>
        <v>16393.021771903717</v>
      </c>
      <c r="G61">
        <f t="shared" si="7"/>
        <v>16393.021771903717</v>
      </c>
      <c r="H61">
        <f t="shared" si="8"/>
        <v>16393.021771903717</v>
      </c>
      <c r="I61">
        <f t="shared" si="10"/>
        <v>16393.021771903717</v>
      </c>
      <c r="K61">
        <f>[3]升级时间!$K57</f>
        <v>2.9130639602839641</v>
      </c>
      <c r="L61">
        <f t="shared" si="9"/>
        <v>12629.142545985766</v>
      </c>
    </row>
    <row r="62" spans="1:12">
      <c r="A62" s="6">
        <v>56</v>
      </c>
      <c r="B62" s="14">
        <f>[4]D_经验表!$C57/2</f>
        <v>39249.5</v>
      </c>
      <c r="C62" s="14">
        <f t="shared" si="3"/>
        <v>39249.5</v>
      </c>
      <c r="D62" s="14">
        <f t="shared" si="4"/>
        <v>39249.5</v>
      </c>
      <c r="E62" s="14">
        <f t="shared" si="5"/>
        <v>39249.5</v>
      </c>
      <c r="F62">
        <f t="shared" si="6"/>
        <v>16811.810582386468</v>
      </c>
      <c r="G62">
        <f t="shared" si="7"/>
        <v>16811.810582386468</v>
      </c>
      <c r="H62">
        <f t="shared" si="8"/>
        <v>16811.810582386468</v>
      </c>
      <c r="I62">
        <f t="shared" si="10"/>
        <v>16811.810582386468</v>
      </c>
      <c r="K62">
        <f>[3]升级时间!$K58</f>
        <v>3.1151662582794546</v>
      </c>
      <c r="L62">
        <f t="shared" si="9"/>
        <v>12599.488035568924</v>
      </c>
    </row>
    <row r="63" spans="1:12">
      <c r="A63" s="6">
        <v>57</v>
      </c>
      <c r="B63" s="14">
        <f>[4]D_经验表!$C58/2</f>
        <v>41829.5</v>
      </c>
      <c r="C63" s="14">
        <f t="shared" si="3"/>
        <v>41829.5</v>
      </c>
      <c r="D63" s="14">
        <f t="shared" si="4"/>
        <v>41829.5</v>
      </c>
      <c r="E63" s="14">
        <f t="shared" si="5"/>
        <v>41829.5</v>
      </c>
      <c r="F63">
        <f t="shared" si="6"/>
        <v>17233.601578493828</v>
      </c>
      <c r="G63">
        <f t="shared" si="7"/>
        <v>17233.601578493828</v>
      </c>
      <c r="H63">
        <f t="shared" si="8"/>
        <v>17233.601578493828</v>
      </c>
      <c r="I63">
        <f t="shared" si="10"/>
        <v>17233.601578493828</v>
      </c>
      <c r="K63">
        <f>[3]升级时间!$K59</f>
        <v>3.3046813592689279</v>
      </c>
      <c r="L63">
        <f t="shared" si="9"/>
        <v>12657.649997836297</v>
      </c>
    </row>
    <row r="64" spans="1:12">
      <c r="A64" s="6">
        <v>58</v>
      </c>
      <c r="B64" s="14">
        <f>[4]D_经验表!$C59/2</f>
        <v>44533</v>
      </c>
      <c r="C64" s="14">
        <f t="shared" si="3"/>
        <v>44533</v>
      </c>
      <c r="D64" s="14">
        <f t="shared" si="4"/>
        <v>44533</v>
      </c>
      <c r="E64" s="14">
        <f t="shared" si="5"/>
        <v>44533</v>
      </c>
      <c r="F64">
        <f t="shared" si="6"/>
        <v>17658.363043834313</v>
      </c>
      <c r="G64">
        <f t="shared" si="7"/>
        <v>17658.363043834313</v>
      </c>
      <c r="H64">
        <f t="shared" si="8"/>
        <v>17658.363043834313</v>
      </c>
      <c r="I64">
        <f t="shared" si="10"/>
        <v>17658.363043834313</v>
      </c>
      <c r="K64">
        <f>[3]升级时间!$K60</f>
        <v>3.5243680186248847</v>
      </c>
      <c r="L64">
        <f t="shared" si="9"/>
        <v>12635.740582328743</v>
      </c>
    </row>
    <row r="65" spans="1:12">
      <c r="A65" s="6">
        <v>59</v>
      </c>
      <c r="B65" s="14">
        <f>[4]D_经验表!$C60/2</f>
        <v>47365</v>
      </c>
      <c r="C65" s="14">
        <f t="shared" si="3"/>
        <v>47365</v>
      </c>
      <c r="D65" s="14">
        <f t="shared" si="4"/>
        <v>47365</v>
      </c>
      <c r="E65" s="14">
        <f t="shared" si="5"/>
        <v>47365</v>
      </c>
      <c r="F65">
        <f t="shared" si="6"/>
        <v>18086.064140117531</v>
      </c>
      <c r="G65">
        <f t="shared" si="7"/>
        <v>18086.064140117531</v>
      </c>
      <c r="H65">
        <f t="shared" si="8"/>
        <v>18086.064140117531</v>
      </c>
      <c r="I65">
        <f t="shared" si="10"/>
        <v>18086.064140117531</v>
      </c>
      <c r="K65">
        <f>[3]升级时间!$K61</f>
        <v>3.7556990137879058</v>
      </c>
      <c r="L65">
        <f t="shared" si="9"/>
        <v>12611.500502599867</v>
      </c>
    </row>
    <row r="66" spans="1:12">
      <c r="A66" s="6">
        <v>60</v>
      </c>
      <c r="B66" s="14">
        <f>[4]D_经验表!$C61/2</f>
        <v>50328</v>
      </c>
      <c r="C66" s="14">
        <f t="shared" si="3"/>
        <v>50328</v>
      </c>
      <c r="D66" s="14">
        <f t="shared" si="4"/>
        <v>50328</v>
      </c>
      <c r="E66" s="14">
        <f t="shared" si="5"/>
        <v>50328</v>
      </c>
      <c r="F66">
        <f t="shared" si="6"/>
        <v>18516.674868318129</v>
      </c>
      <c r="G66">
        <f t="shared" si="7"/>
        <v>18516.674868318129</v>
      </c>
      <c r="H66">
        <f t="shared" si="8"/>
        <v>18516.674868318129</v>
      </c>
      <c r="I66">
        <f t="shared" si="10"/>
        <v>18516.674868318129</v>
      </c>
      <c r="K66">
        <f>[3]升级时间!$K62</f>
        <v>3.7162874156716872</v>
      </c>
      <c r="L66">
        <f t="shared" si="9"/>
        <v>13542.547809344731</v>
      </c>
    </row>
    <row r="67" spans="1:12">
      <c r="A67" s="6">
        <v>61</v>
      </c>
      <c r="B67" s="14">
        <f>[4]D_经验表!$C62/2</f>
        <v>53427</v>
      </c>
      <c r="C67" s="14">
        <f t="shared" si="3"/>
        <v>53427</v>
      </c>
      <c r="D67" s="14">
        <f t="shared" si="4"/>
        <v>53427</v>
      </c>
      <c r="E67" s="14">
        <f t="shared" si="5"/>
        <v>53427</v>
      </c>
      <c r="F67">
        <f t="shared" si="6"/>
        <v>18950.166032178749</v>
      </c>
      <c r="G67">
        <f t="shared" si="7"/>
        <v>18950.166032178749</v>
      </c>
      <c r="H67">
        <f t="shared" si="8"/>
        <v>18950.166032178749</v>
      </c>
      <c r="I67">
        <f t="shared" si="10"/>
        <v>18950.166032178749</v>
      </c>
      <c r="K67">
        <f>[3]升级时间!$K63</f>
        <v>4.2328191787174303</v>
      </c>
      <c r="L67">
        <f t="shared" si="9"/>
        <v>12622.084181774262</v>
      </c>
    </row>
    <row r="68" spans="1:12">
      <c r="A68" s="6">
        <v>62</v>
      </c>
      <c r="B68" s="14">
        <f>[4]D_经验表!$C63/2</f>
        <v>56666</v>
      </c>
      <c r="C68" s="14">
        <f t="shared" si="3"/>
        <v>56666</v>
      </c>
      <c r="D68" s="14">
        <f t="shared" si="4"/>
        <v>56666</v>
      </c>
      <c r="E68" s="14">
        <f t="shared" si="5"/>
        <v>56666</v>
      </c>
      <c r="F68">
        <f t="shared" si="6"/>
        <v>19386.509203874048</v>
      </c>
      <c r="G68">
        <f t="shared" si="7"/>
        <v>19386.509203874048</v>
      </c>
      <c r="H68">
        <f t="shared" si="8"/>
        <v>19386.509203874048</v>
      </c>
      <c r="I68">
        <f t="shared" si="10"/>
        <v>19386.509203874048</v>
      </c>
      <c r="K68">
        <f>[3]升级时间!$K64</f>
        <v>4.1245001144036824</v>
      </c>
      <c r="L68">
        <f t="shared" si="9"/>
        <v>13738.877058606346</v>
      </c>
    </row>
    <row r="69" spans="1:12">
      <c r="A69" s="6">
        <v>63</v>
      </c>
      <c r="B69" s="14">
        <f>[4]D_经验表!$C64/2</f>
        <v>60048</v>
      </c>
      <c r="C69" s="14">
        <f t="shared" si="3"/>
        <v>60048</v>
      </c>
      <c r="D69" s="14">
        <f t="shared" si="4"/>
        <v>60048</v>
      </c>
      <c r="E69" s="14">
        <f t="shared" si="5"/>
        <v>60048</v>
      </c>
      <c r="F69">
        <f t="shared" si="6"/>
        <v>19825.676691675759</v>
      </c>
      <c r="G69">
        <f t="shared" si="7"/>
        <v>19825.676691675759</v>
      </c>
      <c r="H69">
        <f t="shared" si="8"/>
        <v>19825.676691675759</v>
      </c>
      <c r="I69">
        <f t="shared" si="10"/>
        <v>19825.676691675759</v>
      </c>
      <c r="K69">
        <f>[3]升级时间!$K65</f>
        <v>4.7822255188248688</v>
      </c>
      <c r="L69">
        <f t="shared" si="9"/>
        <v>12556.496920445426</v>
      </c>
    </row>
    <row r="70" spans="1:12">
      <c r="A70" s="6">
        <v>64</v>
      </c>
      <c r="B70" s="14">
        <f>[4]D_经验表!$C65/2</f>
        <v>63578.5</v>
      </c>
      <c r="C70" s="14">
        <f t="shared" si="3"/>
        <v>63578.5</v>
      </c>
      <c r="D70" s="14">
        <f t="shared" si="4"/>
        <v>63578.5</v>
      </c>
      <c r="E70" s="14">
        <f t="shared" si="5"/>
        <v>63578.5</v>
      </c>
      <c r="F70">
        <f t="shared" si="6"/>
        <v>20267.641509471636</v>
      </c>
      <c r="G70">
        <f t="shared" si="7"/>
        <v>20267.641509471636</v>
      </c>
      <c r="H70">
        <f t="shared" si="8"/>
        <v>20267.641509471636</v>
      </c>
      <c r="I70">
        <f t="shared" si="10"/>
        <v>20267.641509471636</v>
      </c>
      <c r="K70">
        <f>[3]升级时间!$K66</f>
        <v>5.0769738328393421</v>
      </c>
      <c r="L70">
        <f t="shared" si="9"/>
        <v>12522.912682503067</v>
      </c>
    </row>
    <row r="71" spans="1:12">
      <c r="A71" s="6">
        <v>65</v>
      </c>
      <c r="B71" s="14">
        <f>[4]D_经验表!$C66/2</f>
        <v>67260.5</v>
      </c>
      <c r="C71" s="14">
        <f t="shared" si="3"/>
        <v>67260.5</v>
      </c>
      <c r="D71" s="14">
        <f t="shared" si="4"/>
        <v>67260.5</v>
      </c>
      <c r="E71" s="14">
        <f t="shared" si="5"/>
        <v>67260.5</v>
      </c>
      <c r="F71">
        <f t="shared" si="6"/>
        <v>20712.377348004713</v>
      </c>
      <c r="G71">
        <f t="shared" si="7"/>
        <v>20712.377348004713</v>
      </c>
      <c r="H71">
        <f t="shared" si="8"/>
        <v>20712.377348004713</v>
      </c>
      <c r="I71">
        <f t="shared" si="10"/>
        <v>20712.377348004713</v>
      </c>
      <c r="K71">
        <f>[3]升级时间!$K67</f>
        <v>5.3762864167228139</v>
      </c>
      <c r="L71">
        <f t="shared" si="9"/>
        <v>12510.58719468289</v>
      </c>
    </row>
    <row r="72" spans="1:12">
      <c r="A72" s="6">
        <v>66</v>
      </c>
      <c r="B72" s="14">
        <f>[4]D_经验表!$C67/2</f>
        <v>71099</v>
      </c>
      <c r="C72" s="14">
        <f t="shared" ref="C72:C106" si="11">B72</f>
        <v>71099</v>
      </c>
      <c r="D72" s="14">
        <f t="shared" ref="D72:D106" si="12">B72</f>
        <v>71099</v>
      </c>
      <c r="E72" s="14">
        <f t="shared" ref="E72:E106" si="13">B72</f>
        <v>71099</v>
      </c>
      <c r="F72">
        <f t="shared" ref="F72:F106" si="14">60*$A72^$B$5</f>
        <v>21159.858547710763</v>
      </c>
      <c r="G72">
        <f t="shared" ref="G72:G106" si="15">60*$A72^$C$5</f>
        <v>21159.858547710763</v>
      </c>
      <c r="H72">
        <f t="shared" ref="H72:H106" si="16">60*$A72^$D$5</f>
        <v>21159.858547710763</v>
      </c>
      <c r="I72">
        <f t="shared" si="10"/>
        <v>21159.858547710763</v>
      </c>
      <c r="K72">
        <f>[3]升级时间!$K68</f>
        <v>5.6569184321733754</v>
      </c>
      <c r="L72">
        <f t="shared" ref="L72:L106" si="17">IFERROR(B72/K72,0)</f>
        <v>12568.503656624924</v>
      </c>
    </row>
    <row r="73" spans="1:12">
      <c r="A73" s="6">
        <v>67</v>
      </c>
      <c r="B73" s="14">
        <f>[4]D_经验表!$C68/2</f>
        <v>75098.5</v>
      </c>
      <c r="C73" s="14">
        <f t="shared" si="11"/>
        <v>75098.5</v>
      </c>
      <c r="D73" s="14">
        <f t="shared" si="12"/>
        <v>75098.5</v>
      </c>
      <c r="E73" s="14">
        <f t="shared" si="13"/>
        <v>75098.5</v>
      </c>
      <c r="F73">
        <f t="shared" si="14"/>
        <v>21610.060073042223</v>
      </c>
      <c r="G73">
        <f t="shared" si="15"/>
        <v>21610.060073042223</v>
      </c>
      <c r="H73">
        <f t="shared" si="16"/>
        <v>21610.060073042223</v>
      </c>
      <c r="I73">
        <f t="shared" si="10"/>
        <v>21610.060073042223</v>
      </c>
      <c r="K73">
        <f>[3]升级时间!$K69</f>
        <v>5.9758056167321376</v>
      </c>
      <c r="L73">
        <f t="shared" si="17"/>
        <v>12567.092174103804</v>
      </c>
    </row>
    <row r="74" spans="1:12">
      <c r="A74" s="6">
        <v>68</v>
      </c>
      <c r="B74" s="14">
        <f>[4]D_经验表!$C69/2</f>
        <v>79262.5</v>
      </c>
      <c r="C74" s="14">
        <f t="shared" si="11"/>
        <v>79262.5</v>
      </c>
      <c r="D74" s="14">
        <f t="shared" si="12"/>
        <v>79262.5</v>
      </c>
      <c r="E74" s="14">
        <f t="shared" si="13"/>
        <v>79262.5</v>
      </c>
      <c r="F74">
        <f t="shared" si="14"/>
        <v>22062.957488176187</v>
      </c>
      <c r="G74">
        <f t="shared" si="15"/>
        <v>22062.957488176187</v>
      </c>
      <c r="H74">
        <f t="shared" si="16"/>
        <v>22062.957488176187</v>
      </c>
      <c r="I74">
        <f t="shared" si="10"/>
        <v>22062.957488176187</v>
      </c>
      <c r="K74">
        <f>[3]升级时间!$K70</f>
        <v>6.309844295082832</v>
      </c>
      <c r="L74">
        <f t="shared" si="17"/>
        <v>12561.720431321592</v>
      </c>
    </row>
    <row r="75" spans="1:12">
      <c r="A75" s="6">
        <v>69</v>
      </c>
      <c r="B75" s="14">
        <f>[4]D_经验表!$C70/2</f>
        <v>83596</v>
      </c>
      <c r="C75" s="14">
        <f t="shared" si="11"/>
        <v>83596</v>
      </c>
      <c r="D75" s="14">
        <f t="shared" si="12"/>
        <v>83596</v>
      </c>
      <c r="E75" s="14">
        <f t="shared" si="13"/>
        <v>83596</v>
      </c>
      <c r="F75">
        <f t="shared" si="14"/>
        <v>22518.526934012229</v>
      </c>
      <c r="G75">
        <f t="shared" si="15"/>
        <v>22518.526934012229</v>
      </c>
      <c r="H75">
        <f t="shared" si="16"/>
        <v>22518.526934012229</v>
      </c>
      <c r="I75">
        <f t="shared" si="10"/>
        <v>22518.526934012229</v>
      </c>
      <c r="K75">
        <f>[3]升级时间!$K71</f>
        <v>6.6593638475252828</v>
      </c>
      <c r="L75">
        <f t="shared" si="17"/>
        <v>12553.151008720675</v>
      </c>
    </row>
    <row r="76" spans="1:12">
      <c r="A76" s="6">
        <v>70</v>
      </c>
      <c r="B76" s="14">
        <f>[4]D_经验表!$C71/2</f>
        <v>88103.5</v>
      </c>
      <c r="C76" s="14">
        <f t="shared" si="11"/>
        <v>88103.5</v>
      </c>
      <c r="D76" s="14">
        <f t="shared" si="12"/>
        <v>88103.5</v>
      </c>
      <c r="E76" s="14">
        <f t="shared" si="13"/>
        <v>88103.5</v>
      </c>
      <c r="F76">
        <f t="shared" si="14"/>
        <v>22976.745106374536</v>
      </c>
      <c r="G76">
        <f t="shared" si="15"/>
        <v>22976.745106374536</v>
      </c>
      <c r="H76">
        <f t="shared" si="16"/>
        <v>22976.745106374536</v>
      </c>
      <c r="I76">
        <f t="shared" si="10"/>
        <v>22976.745106374536</v>
      </c>
      <c r="K76">
        <f>[3]升级时间!$K72</f>
        <v>7.0248348173449529</v>
      </c>
      <c r="L76">
        <f t="shared" si="17"/>
        <v>12541.718387806712</v>
      </c>
    </row>
    <row r="77" spans="1:12">
      <c r="A77" s="6">
        <v>71</v>
      </c>
      <c r="B77" s="14">
        <f>[4]D_经验表!$C72/2</f>
        <v>92789</v>
      </c>
      <c r="C77" s="14">
        <f t="shared" si="11"/>
        <v>92789</v>
      </c>
      <c r="D77" s="14">
        <f t="shared" si="12"/>
        <v>92789</v>
      </c>
      <c r="E77" s="14">
        <f t="shared" si="13"/>
        <v>92789</v>
      </c>
      <c r="F77">
        <f t="shared" si="14"/>
        <v>23437.589235338059</v>
      </c>
      <c r="G77">
        <f t="shared" si="15"/>
        <v>23437.589235338059</v>
      </c>
      <c r="H77">
        <f t="shared" si="16"/>
        <v>23437.589235338059</v>
      </c>
      <c r="I77">
        <f t="shared" si="10"/>
        <v>23437.589235338059</v>
      </c>
      <c r="K77">
        <f>[3]升级时间!$K73</f>
        <v>6.8526580263280135</v>
      </c>
      <c r="L77">
        <f t="shared" si="17"/>
        <v>13540.585221603542</v>
      </c>
    </row>
    <row r="78" spans="1:12">
      <c r="A78" s="6">
        <v>72</v>
      </c>
      <c r="B78" s="14">
        <f>[4]D_经验表!$C73/2</f>
        <v>97658</v>
      </c>
      <c r="C78" s="14">
        <f t="shared" si="11"/>
        <v>97658</v>
      </c>
      <c r="D78" s="14">
        <f t="shared" si="12"/>
        <v>97658</v>
      </c>
      <c r="E78" s="14">
        <f t="shared" si="13"/>
        <v>97658</v>
      </c>
      <c r="F78">
        <f t="shared" si="14"/>
        <v>23901.037065606379</v>
      </c>
      <c r="G78">
        <f t="shared" si="15"/>
        <v>23901.037065606379</v>
      </c>
      <c r="H78">
        <f t="shared" si="16"/>
        <v>23901.037065606379</v>
      </c>
      <c r="I78">
        <f t="shared" si="10"/>
        <v>23901.037065606379</v>
      </c>
      <c r="K78">
        <f>[3]升级时间!$K74</f>
        <v>7.7671316597426729</v>
      </c>
      <c r="L78">
        <f t="shared" si="17"/>
        <v>12573.238652070877</v>
      </c>
    </row>
    <row r="79" spans="1:12">
      <c r="A79" s="6">
        <v>73</v>
      </c>
      <c r="B79" s="14">
        <f>[4]D_经验表!$C74/2</f>
        <v>102714.5</v>
      </c>
      <c r="C79" s="14">
        <f t="shared" si="11"/>
        <v>102714.5</v>
      </c>
      <c r="D79" s="14">
        <f t="shared" si="12"/>
        <v>102714.5</v>
      </c>
      <c r="E79" s="14">
        <f t="shared" si="13"/>
        <v>102714.5</v>
      </c>
      <c r="F79">
        <f t="shared" si="14"/>
        <v>24367.066837873423</v>
      </c>
      <c r="G79">
        <f t="shared" si="15"/>
        <v>24367.066837873423</v>
      </c>
      <c r="H79">
        <f t="shared" si="16"/>
        <v>24367.066837873423</v>
      </c>
      <c r="I79">
        <f t="shared" si="10"/>
        <v>24367.066837873423</v>
      </c>
      <c r="K79">
        <f>[3]升级时间!$K75</f>
        <v>8.1587335885296604</v>
      </c>
      <c r="L79">
        <f t="shared" si="17"/>
        <v>12589.515135585014</v>
      </c>
    </row>
    <row r="80" spans="1:12">
      <c r="A80" s="6">
        <v>74</v>
      </c>
      <c r="B80" s="14">
        <f>[4]D_经验表!$C75/2</f>
        <v>107963.5</v>
      </c>
      <c r="C80" s="14">
        <f t="shared" si="11"/>
        <v>107963.5</v>
      </c>
      <c r="D80" s="14">
        <f t="shared" si="12"/>
        <v>107963.5</v>
      </c>
      <c r="E80" s="14">
        <f t="shared" si="13"/>
        <v>107963.5</v>
      </c>
      <c r="F80">
        <f t="shared" si="14"/>
        <v>24835.657271107088</v>
      </c>
      <c r="G80">
        <f t="shared" si="15"/>
        <v>24835.657271107088</v>
      </c>
      <c r="H80">
        <f t="shared" si="16"/>
        <v>24835.657271107088</v>
      </c>
      <c r="I80">
        <f t="shared" si="10"/>
        <v>24835.657271107088</v>
      </c>
      <c r="K80">
        <f>[3]升级时间!$K76</f>
        <v>8.56794774126665</v>
      </c>
      <c r="L80">
        <f t="shared" si="17"/>
        <v>12600.858835775196</v>
      </c>
    </row>
    <row r="81" spans="1:12">
      <c r="A81" s="6">
        <v>75</v>
      </c>
      <c r="B81" s="14">
        <f>[4]D_经验表!$C76/2</f>
        <v>113409.5</v>
      </c>
      <c r="C81" s="14">
        <f t="shared" si="11"/>
        <v>113409.5</v>
      </c>
      <c r="D81" s="14">
        <f t="shared" si="12"/>
        <v>113409.5</v>
      </c>
      <c r="E81" s="14">
        <f t="shared" si="13"/>
        <v>113409.5</v>
      </c>
      <c r="F81">
        <f t="shared" si="14"/>
        <v>25306.78754569712</v>
      </c>
      <c r="G81">
        <f t="shared" si="15"/>
        <v>25306.78754569712</v>
      </c>
      <c r="H81">
        <f t="shared" si="16"/>
        <v>25306.78754569712</v>
      </c>
      <c r="I81">
        <f t="shared" si="10"/>
        <v>25306.78754569712</v>
      </c>
      <c r="K81">
        <f>[3]升级时间!$K77</f>
        <v>8.9858505911523086</v>
      </c>
      <c r="L81">
        <f t="shared" si="17"/>
        <v>12620.897582212841</v>
      </c>
    </row>
    <row r="82" spans="1:12">
      <c r="A82" s="6">
        <v>76</v>
      </c>
      <c r="B82" s="14">
        <f>[4]D_经验表!$C77/2</f>
        <v>119057.5</v>
      </c>
      <c r="C82" s="14">
        <f t="shared" si="11"/>
        <v>119057.5</v>
      </c>
      <c r="D82" s="14">
        <f t="shared" si="12"/>
        <v>119057.5</v>
      </c>
      <c r="E82" s="14">
        <f t="shared" si="13"/>
        <v>119057.5</v>
      </c>
      <c r="F82">
        <f t="shared" si="14"/>
        <v>25780.437287414523</v>
      </c>
      <c r="G82">
        <f t="shared" si="15"/>
        <v>25780.437287414523</v>
      </c>
      <c r="H82">
        <f t="shared" si="16"/>
        <v>25780.437287414523</v>
      </c>
      <c r="I82">
        <f t="shared" si="10"/>
        <v>25780.437287414523</v>
      </c>
      <c r="K82">
        <f>[3]升级时间!$K78</f>
        <v>10.173712906201539</v>
      </c>
      <c r="L82">
        <f t="shared" si="17"/>
        <v>11702.463112304527</v>
      </c>
    </row>
    <row r="83" spans="1:12">
      <c r="A83" s="6">
        <v>77</v>
      </c>
      <c r="B83" s="14">
        <f>[4]D_经验表!$C78/2</f>
        <v>124912.5</v>
      </c>
      <c r="C83" s="14">
        <f t="shared" si="11"/>
        <v>124912.5</v>
      </c>
      <c r="D83" s="14">
        <f t="shared" si="12"/>
        <v>124912.5</v>
      </c>
      <c r="E83" s="14">
        <f t="shared" si="13"/>
        <v>124912.5</v>
      </c>
      <c r="F83">
        <f t="shared" si="14"/>
        <v>26256.586552132423</v>
      </c>
      <c r="G83">
        <f t="shared" si="15"/>
        <v>26256.586552132423</v>
      </c>
      <c r="H83">
        <f t="shared" si="16"/>
        <v>26256.586552132423</v>
      </c>
      <c r="I83">
        <f t="shared" si="10"/>
        <v>26256.586552132423</v>
      </c>
      <c r="K83">
        <f>[3]升级时间!$K79</f>
        <v>10.676060499186141</v>
      </c>
      <c r="L83">
        <f t="shared" si="17"/>
        <v>11700.242801127097</v>
      </c>
    </row>
    <row r="84" spans="1:12">
      <c r="A84" s="6">
        <v>78</v>
      </c>
      <c r="B84" s="14">
        <f>[4]D_经验表!$C79/2</f>
        <v>130979</v>
      </c>
      <c r="C84" s="14">
        <f t="shared" si="11"/>
        <v>130979</v>
      </c>
      <c r="D84" s="14">
        <f t="shared" si="12"/>
        <v>130979</v>
      </c>
      <c r="E84" s="14">
        <f t="shared" si="13"/>
        <v>130979</v>
      </c>
      <c r="F84">
        <f t="shared" si="14"/>
        <v>26735.215811263599</v>
      </c>
      <c r="G84">
        <f t="shared" si="15"/>
        <v>26735.215811263599</v>
      </c>
      <c r="H84">
        <f t="shared" si="16"/>
        <v>26735.215811263599</v>
      </c>
      <c r="I84">
        <f t="shared" si="10"/>
        <v>26735.215811263599</v>
      </c>
      <c r="K84">
        <f>[3]升级时间!$K80</f>
        <v>11.197851987411546</v>
      </c>
      <c r="L84">
        <f t="shared" si="17"/>
        <v>11696.796863116657</v>
      </c>
    </row>
    <row r="85" spans="1:12">
      <c r="A85" s="6">
        <v>79</v>
      </c>
      <c r="B85" s="14">
        <f>[4]D_经验表!$C80/2</f>
        <v>137262.5</v>
      </c>
      <c r="C85" s="14">
        <f t="shared" si="11"/>
        <v>137262.5</v>
      </c>
      <c r="D85" s="14">
        <f t="shared" si="12"/>
        <v>137262.5</v>
      </c>
      <c r="E85" s="14">
        <f t="shared" si="13"/>
        <v>137262.5</v>
      </c>
      <c r="F85">
        <f t="shared" si="14"/>
        <v>27216.305937871992</v>
      </c>
      <c r="G85">
        <f t="shared" si="15"/>
        <v>27216.305937871992</v>
      </c>
      <c r="H85">
        <f t="shared" si="16"/>
        <v>27216.305937871992</v>
      </c>
      <c r="I85">
        <f t="shared" si="10"/>
        <v>27216.305937871992</v>
      </c>
      <c r="K85">
        <f>[3]升级时间!$K81</f>
        <v>11.739510064252554</v>
      </c>
      <c r="L85">
        <f t="shared" si="17"/>
        <v>11692.353364726163</v>
      </c>
    </row>
    <row r="86" spans="1:12" s="46" customFormat="1">
      <c r="A86" s="45">
        <v>80</v>
      </c>
      <c r="B86" s="14">
        <f>[4]D_经验表!$C81/2</f>
        <v>143768</v>
      </c>
      <c r="C86" s="14">
        <f t="shared" si="11"/>
        <v>143768</v>
      </c>
      <c r="D86" s="14">
        <f t="shared" si="12"/>
        <v>143768</v>
      </c>
      <c r="E86" s="14">
        <f t="shared" si="13"/>
        <v>143768</v>
      </c>
      <c r="F86" s="46">
        <f t="shared" si="14"/>
        <v>27699.838193418484</v>
      </c>
      <c r="G86" s="46">
        <f t="shared" si="15"/>
        <v>27699.838193418484</v>
      </c>
      <c r="H86" s="46">
        <f t="shared" si="16"/>
        <v>27699.838193418484</v>
      </c>
      <c r="I86" s="46">
        <f t="shared" si="10"/>
        <v>27699.838193418484</v>
      </c>
      <c r="K86">
        <f>[3]升级时间!$K82</f>
        <v>12.301551354945033</v>
      </c>
      <c r="L86">
        <f t="shared" si="17"/>
        <v>11686.981247467416</v>
      </c>
    </row>
    <row r="87" spans="1:12">
      <c r="A87" s="6">
        <v>81</v>
      </c>
      <c r="B87" s="14">
        <f>[4]D_经验表!$C82/2</f>
        <v>150500.5</v>
      </c>
      <c r="C87" s="14">
        <f t="shared" si="11"/>
        <v>150500.5</v>
      </c>
      <c r="D87" s="14">
        <f t="shared" si="12"/>
        <v>150500.5</v>
      </c>
      <c r="E87" s="14">
        <f t="shared" si="13"/>
        <v>150500.5</v>
      </c>
      <c r="F87">
        <f t="shared" si="14"/>
        <v>28185.794215105096</v>
      </c>
      <c r="G87">
        <f t="shared" si="15"/>
        <v>28185.794215105096</v>
      </c>
      <c r="H87">
        <f t="shared" si="16"/>
        <v>28185.794215105096</v>
      </c>
      <c r="I87">
        <f t="shared" ref="I87:I106" si="18">60*$A87^$B$5</f>
        <v>28185.794215105096</v>
      </c>
      <c r="K87">
        <f>[3]升级时间!$K83</f>
        <v>12.860285707387431</v>
      </c>
      <c r="L87">
        <f t="shared" si="17"/>
        <v>11702.733782465413</v>
      </c>
    </row>
    <row r="88" spans="1:12">
      <c r="A88" s="6">
        <v>82</v>
      </c>
      <c r="B88" s="14">
        <f>[4]D_经验表!$C83/2</f>
        <v>157465</v>
      </c>
      <c r="C88" s="14">
        <f t="shared" si="11"/>
        <v>157465</v>
      </c>
      <c r="D88" s="14">
        <f t="shared" si="12"/>
        <v>157465</v>
      </c>
      <c r="E88" s="14">
        <f t="shared" si="13"/>
        <v>157465</v>
      </c>
      <c r="F88">
        <f t="shared" si="14"/>
        <v>28674.156003782806</v>
      </c>
      <c r="G88">
        <f t="shared" si="15"/>
        <v>28674.156003782806</v>
      </c>
      <c r="H88">
        <f t="shared" si="16"/>
        <v>28674.156003782806</v>
      </c>
      <c r="I88">
        <f t="shared" si="18"/>
        <v>28674.156003782806</v>
      </c>
      <c r="K88">
        <f>[3]升级时间!$K84</f>
        <v>13.463369428173399</v>
      </c>
      <c r="L88">
        <f t="shared" si="17"/>
        <v>11695.809198438044</v>
      </c>
    </row>
    <row r="89" spans="1:12">
      <c r="A89" s="6">
        <v>83</v>
      </c>
      <c r="B89" s="14">
        <f>[4]D_经验表!$C84/2</f>
        <v>164667</v>
      </c>
      <c r="C89" s="14">
        <f t="shared" si="11"/>
        <v>164667</v>
      </c>
      <c r="D89" s="14">
        <f t="shared" si="12"/>
        <v>164667</v>
      </c>
      <c r="E89" s="14">
        <f t="shared" si="13"/>
        <v>164667</v>
      </c>
      <c r="F89">
        <f t="shared" si="14"/>
        <v>29164.905912391841</v>
      </c>
      <c r="G89">
        <f t="shared" si="15"/>
        <v>29164.905912391841</v>
      </c>
      <c r="H89">
        <f t="shared" si="16"/>
        <v>29164.905912391841</v>
      </c>
      <c r="I89">
        <f t="shared" si="18"/>
        <v>29164.905912391841</v>
      </c>
      <c r="K89">
        <f>[3]升级时间!$K85</f>
        <v>14.088204477870731</v>
      </c>
      <c r="L89">
        <f t="shared" si="17"/>
        <v>11688.288614681402</v>
      </c>
    </row>
    <row r="90" spans="1:12">
      <c r="A90" s="6">
        <v>84</v>
      </c>
      <c r="B90" s="14">
        <f>[4]D_经验表!$C85/2</f>
        <v>172111.5</v>
      </c>
      <c r="C90" s="14">
        <f t="shared" si="11"/>
        <v>172111.5</v>
      </c>
      <c r="D90" s="14">
        <f t="shared" si="12"/>
        <v>172111.5</v>
      </c>
      <c r="E90" s="14">
        <f t="shared" si="13"/>
        <v>172111.5</v>
      </c>
      <c r="F90">
        <f t="shared" si="14"/>
        <v>29658.026634904552</v>
      </c>
      <c r="G90">
        <f t="shared" si="15"/>
        <v>29658.026634904552</v>
      </c>
      <c r="H90">
        <f t="shared" si="16"/>
        <v>29658.026634904552</v>
      </c>
      <c r="I90">
        <f t="shared" si="18"/>
        <v>29658.026634904552</v>
      </c>
      <c r="K90">
        <f>[3]升级时间!$K86</f>
        <v>14.735306512983788</v>
      </c>
      <c r="L90">
        <f t="shared" si="17"/>
        <v>11680.211731486319</v>
      </c>
    </row>
    <row r="91" spans="1:12">
      <c r="A91" s="6">
        <v>85</v>
      </c>
      <c r="B91" s="14">
        <f>[4]D_经验表!$C86/2</f>
        <v>179804</v>
      </c>
      <c r="C91" s="14">
        <f t="shared" si="11"/>
        <v>179804</v>
      </c>
      <c r="D91" s="14">
        <f t="shared" si="12"/>
        <v>179804</v>
      </c>
      <c r="E91" s="14">
        <f t="shared" si="13"/>
        <v>179804</v>
      </c>
      <c r="F91">
        <f t="shared" si="14"/>
        <v>30153.501195743349</v>
      </c>
      <c r="G91">
        <f t="shared" si="15"/>
        <v>30153.501195743349</v>
      </c>
      <c r="H91">
        <f t="shared" si="16"/>
        <v>30153.501195743349</v>
      </c>
      <c r="I91">
        <f t="shared" si="18"/>
        <v>30153.501195743349</v>
      </c>
      <c r="K91">
        <f>[3]升级时间!$K87</f>
        <v>15.386393166539662</v>
      </c>
      <c r="L91">
        <f t="shared" si="17"/>
        <v>11685.909625071488</v>
      </c>
    </row>
    <row r="92" spans="1:12">
      <c r="A92" s="6">
        <v>86</v>
      </c>
      <c r="B92" s="14">
        <f>[4]D_经验表!$C87/2</f>
        <v>187750</v>
      </c>
      <c r="C92" s="14">
        <f t="shared" si="11"/>
        <v>187750</v>
      </c>
      <c r="D92" s="14">
        <f t="shared" si="12"/>
        <v>187750</v>
      </c>
      <c r="E92" s="14">
        <f t="shared" si="13"/>
        <v>187750</v>
      </c>
      <c r="F92">
        <f t="shared" si="14"/>
        <v>30651.312939647913</v>
      </c>
      <c r="G92">
        <f t="shared" si="15"/>
        <v>30651.312939647913</v>
      </c>
      <c r="H92">
        <f t="shared" si="16"/>
        <v>30651.312939647913</v>
      </c>
      <c r="I92">
        <f t="shared" si="18"/>
        <v>30651.312939647913</v>
      </c>
      <c r="K92">
        <f>[3]升级时间!$K88</f>
        <v>16.857654929218839</v>
      </c>
      <c r="L92">
        <f t="shared" si="17"/>
        <v>11137.373542661553</v>
      </c>
    </row>
    <row r="93" spans="1:12">
      <c r="A93" s="6">
        <v>87</v>
      </c>
      <c r="B93" s="14">
        <f>[4]D_经验表!$C88/2</f>
        <v>195954.5</v>
      </c>
      <c r="C93" s="14">
        <f t="shared" si="11"/>
        <v>195954.5</v>
      </c>
      <c r="D93" s="14">
        <f t="shared" si="12"/>
        <v>195954.5</v>
      </c>
      <c r="E93" s="14">
        <f t="shared" si="13"/>
        <v>195954.5</v>
      </c>
      <c r="F93">
        <f t="shared" si="14"/>
        <v>31151.445521967733</v>
      </c>
      <c r="G93">
        <f t="shared" si="15"/>
        <v>31151.445521967733</v>
      </c>
      <c r="H93">
        <f t="shared" si="16"/>
        <v>31151.445521967733</v>
      </c>
      <c r="I93">
        <f t="shared" si="18"/>
        <v>31151.445521967733</v>
      </c>
      <c r="K93">
        <f>[3]升级时间!$K89</f>
        <v>17.602637944433031</v>
      </c>
      <c r="L93">
        <f t="shared" si="17"/>
        <v>11132.109892765937</v>
      </c>
    </row>
    <row r="94" spans="1:12">
      <c r="A94" s="6">
        <v>88</v>
      </c>
      <c r="B94" s="14">
        <f>[4]D_经验表!$C89/2</f>
        <v>204424</v>
      </c>
      <c r="C94" s="14">
        <f t="shared" si="11"/>
        <v>204424</v>
      </c>
      <c r="D94" s="14">
        <f t="shared" si="12"/>
        <v>204424</v>
      </c>
      <c r="E94" s="14">
        <f t="shared" si="13"/>
        <v>204424</v>
      </c>
      <c r="F94">
        <f t="shared" si="14"/>
        <v>31653.882899357126</v>
      </c>
      <c r="G94">
        <f t="shared" si="15"/>
        <v>31653.882899357126</v>
      </c>
      <c r="H94">
        <f t="shared" si="16"/>
        <v>31653.882899357126</v>
      </c>
      <c r="I94">
        <f t="shared" si="18"/>
        <v>31653.882899357126</v>
      </c>
      <c r="K94">
        <f>[3]升级时间!$K90</f>
        <v>18.371856815352345</v>
      </c>
      <c r="L94">
        <f t="shared" si="17"/>
        <v>11127.019008180718</v>
      </c>
    </row>
    <row r="95" spans="1:12">
      <c r="A95" s="6">
        <v>89</v>
      </c>
      <c r="B95" s="14">
        <f>[4]D_经验表!$C90/2</f>
        <v>213163.5</v>
      </c>
      <c r="C95" s="14">
        <f t="shared" si="11"/>
        <v>213163.5</v>
      </c>
      <c r="D95" s="14">
        <f t="shared" si="12"/>
        <v>213163.5</v>
      </c>
      <c r="E95" s="14">
        <f t="shared" si="13"/>
        <v>213163.5</v>
      </c>
      <c r="F95">
        <f t="shared" si="14"/>
        <v>32158.60932085196</v>
      </c>
      <c r="G95">
        <f t="shared" si="15"/>
        <v>32158.60932085196</v>
      </c>
      <c r="H95">
        <f t="shared" si="16"/>
        <v>32158.60932085196</v>
      </c>
      <c r="I95">
        <f t="shared" si="18"/>
        <v>32158.60932085196</v>
      </c>
      <c r="K95">
        <f>[3]升级时间!$K91</f>
        <v>19.165920954209206</v>
      </c>
      <c r="L95">
        <f t="shared" si="17"/>
        <v>11122.006634029511</v>
      </c>
    </row>
    <row r="96" spans="1:12">
      <c r="A96" s="6">
        <v>90</v>
      </c>
      <c r="B96" s="14">
        <f>[4]D_经验表!$C91/2</f>
        <v>222178</v>
      </c>
      <c r="C96" s="14">
        <f t="shared" si="11"/>
        <v>222178</v>
      </c>
      <c r="D96" s="14">
        <f t="shared" si="12"/>
        <v>222178</v>
      </c>
      <c r="E96" s="14">
        <f t="shared" si="13"/>
        <v>222178</v>
      </c>
      <c r="F96">
        <f t="shared" si="14"/>
        <v>32665.609319308172</v>
      </c>
      <c r="G96">
        <f t="shared" si="15"/>
        <v>32665.609319308172</v>
      </c>
      <c r="H96">
        <f t="shared" si="16"/>
        <v>32665.609319308172</v>
      </c>
      <c r="I96">
        <f t="shared" si="18"/>
        <v>32665.609319308172</v>
      </c>
      <c r="K96">
        <f>[3]升级时间!$K92</f>
        <v>19.985299139643946</v>
      </c>
      <c r="L96">
        <f t="shared" si="17"/>
        <v>11117.071525803456</v>
      </c>
    </row>
    <row r="97" spans="1:12">
      <c r="A97" s="6">
        <v>91</v>
      </c>
      <c r="B97" s="14">
        <f>[4]D_经验表!$C92/2</f>
        <v>231474.5</v>
      </c>
      <c r="C97" s="14">
        <f t="shared" si="11"/>
        <v>231474.5</v>
      </c>
      <c r="D97" s="14">
        <f t="shared" si="12"/>
        <v>231474.5</v>
      </c>
      <c r="E97" s="14">
        <f t="shared" si="13"/>
        <v>231474.5</v>
      </c>
      <c r="F97">
        <f t="shared" si="14"/>
        <v>33174.86770318351</v>
      </c>
      <c r="G97">
        <f t="shared" si="15"/>
        <v>33174.86770318351</v>
      </c>
      <c r="H97">
        <f t="shared" si="16"/>
        <v>33174.86770318351</v>
      </c>
      <c r="I97">
        <f t="shared" si="18"/>
        <v>33174.86770318351</v>
      </c>
      <c r="K97">
        <f>[3]升级时间!$K93</f>
        <v>20.791473755107301</v>
      </c>
      <c r="L97">
        <f t="shared" si="17"/>
        <v>11133.145380958849</v>
      </c>
    </row>
    <row r="98" spans="1:12">
      <c r="A98" s="6">
        <v>92</v>
      </c>
      <c r="B98" s="14">
        <f>[4]D_经验表!$C93/2</f>
        <v>241057.5</v>
      </c>
      <c r="C98" s="14">
        <f t="shared" si="11"/>
        <v>241057.5</v>
      </c>
      <c r="D98" s="14">
        <f t="shared" si="12"/>
        <v>241057.5</v>
      </c>
      <c r="E98" s="14">
        <f t="shared" si="13"/>
        <v>241057.5</v>
      </c>
      <c r="F98">
        <f t="shared" si="14"/>
        <v>33686.369548645125</v>
      </c>
      <c r="G98">
        <f t="shared" si="15"/>
        <v>33686.369548645125</v>
      </c>
      <c r="H98">
        <f t="shared" si="16"/>
        <v>33686.369548645125</v>
      </c>
      <c r="I98">
        <f t="shared" si="18"/>
        <v>33686.369548645125</v>
      </c>
      <c r="K98">
        <f>[3]升级时间!$K94</f>
        <v>21.661442589845009</v>
      </c>
      <c r="L98">
        <f t="shared" si="17"/>
        <v>11128.41395489555</v>
      </c>
    </row>
    <row r="99" spans="1:12">
      <c r="A99" s="6">
        <v>93</v>
      </c>
      <c r="B99" s="14">
        <f>[4]D_经验表!$C94/2</f>
        <v>250933.5</v>
      </c>
      <c r="C99" s="14">
        <f t="shared" si="11"/>
        <v>250933.5</v>
      </c>
      <c r="D99" s="14">
        <f t="shared" si="12"/>
        <v>250933.5</v>
      </c>
      <c r="E99" s="14">
        <f t="shared" si="13"/>
        <v>250933.5</v>
      </c>
      <c r="F99">
        <f t="shared" si="14"/>
        <v>34200.100191986683</v>
      </c>
      <c r="G99">
        <f t="shared" si="15"/>
        <v>34200.100191986683</v>
      </c>
      <c r="H99">
        <f t="shared" si="16"/>
        <v>34200.100191986683</v>
      </c>
      <c r="I99">
        <f t="shared" si="18"/>
        <v>34200.100191986683</v>
      </c>
      <c r="K99">
        <f>[3]升级时间!$K95</f>
        <v>22.558222167459324</v>
      </c>
      <c r="L99">
        <f t="shared" si="17"/>
        <v>11123.815437990343</v>
      </c>
    </row>
    <row r="100" spans="1:12">
      <c r="A100" s="6">
        <v>94</v>
      </c>
      <c r="B100" s="14">
        <f>[4]D_经验表!$C95/2</f>
        <v>261108.5</v>
      </c>
      <c r="C100" s="14">
        <f t="shared" si="11"/>
        <v>261108.5</v>
      </c>
      <c r="D100" s="14">
        <f t="shared" si="12"/>
        <v>261108.5</v>
      </c>
      <c r="E100" s="14">
        <f t="shared" si="13"/>
        <v>261108.5</v>
      </c>
      <c r="F100">
        <f t="shared" si="14"/>
        <v>34716.045222339788</v>
      </c>
      <c r="G100">
        <f t="shared" si="15"/>
        <v>34716.045222339788</v>
      </c>
      <c r="H100">
        <f t="shared" si="16"/>
        <v>34716.045222339788</v>
      </c>
      <c r="I100">
        <f t="shared" si="18"/>
        <v>34716.045222339788</v>
      </c>
      <c r="K100">
        <f>[3]升级时间!$K96</f>
        <v>23.482420759603642</v>
      </c>
      <c r="L100">
        <f t="shared" si="17"/>
        <v>11119.317836650809</v>
      </c>
    </row>
    <row r="101" spans="1:12">
      <c r="A101" s="6">
        <v>95</v>
      </c>
      <c r="B101" s="14">
        <f>[4]D_经验表!$C96/2</f>
        <v>271588</v>
      </c>
      <c r="C101" s="14">
        <f t="shared" si="11"/>
        <v>271588</v>
      </c>
      <c r="D101" s="14">
        <f t="shared" si="12"/>
        <v>271588</v>
      </c>
      <c r="E101" s="14">
        <f t="shared" si="13"/>
        <v>271588</v>
      </c>
      <c r="F101">
        <f t="shared" si="14"/>
        <v>35234.190474665185</v>
      </c>
      <c r="G101">
        <f t="shared" si="15"/>
        <v>35234.190474665185</v>
      </c>
      <c r="H101">
        <f t="shared" si="16"/>
        <v>35234.190474665185</v>
      </c>
      <c r="I101">
        <f t="shared" si="18"/>
        <v>35234.190474665185</v>
      </c>
      <c r="K101">
        <f>[3]升级时间!$K97</f>
        <v>24.434599847804169</v>
      </c>
      <c r="L101">
        <f t="shared" si="17"/>
        <v>11114.894522179229</v>
      </c>
    </row>
    <row r="102" spans="1:12">
      <c r="A102" s="6">
        <v>96</v>
      </c>
      <c r="B102" s="14">
        <f>[4]D_经验表!$C97/2</f>
        <v>282378</v>
      </c>
      <c r="C102" s="14">
        <f t="shared" si="11"/>
        <v>282378</v>
      </c>
      <c r="D102" s="14">
        <f t="shared" si="12"/>
        <v>282378</v>
      </c>
      <c r="E102" s="14">
        <f t="shared" si="13"/>
        <v>282378</v>
      </c>
      <c r="F102">
        <f t="shared" si="14"/>
        <v>35754.522023009871</v>
      </c>
      <c r="G102">
        <f t="shared" si="15"/>
        <v>35754.522023009871</v>
      </c>
      <c r="H102">
        <f t="shared" si="16"/>
        <v>35754.522023009871</v>
      </c>
      <c r="I102">
        <f t="shared" si="18"/>
        <v>35754.522023009871</v>
      </c>
      <c r="K102">
        <f>[3]升级时间!$K98</f>
        <v>25.415274123459934</v>
      </c>
      <c r="L102">
        <f t="shared" si="17"/>
        <v>11110.562830378718</v>
      </c>
    </row>
    <row r="103" spans="1:12">
      <c r="A103" s="6">
        <v>97</v>
      </c>
      <c r="B103" s="14">
        <f>[4]D_经验表!$C98/2</f>
        <v>293485</v>
      </c>
      <c r="C103" s="14">
        <f t="shared" si="11"/>
        <v>293485</v>
      </c>
      <c r="D103" s="14">
        <f t="shared" si="12"/>
        <v>293485</v>
      </c>
      <c r="E103" s="14">
        <f t="shared" si="13"/>
        <v>293485</v>
      </c>
      <c r="F103">
        <f t="shared" si="14"/>
        <v>36277.026174017912</v>
      </c>
      <c r="G103">
        <f t="shared" si="15"/>
        <v>36277.026174017912</v>
      </c>
      <c r="H103">
        <f t="shared" si="16"/>
        <v>36277.026174017912</v>
      </c>
      <c r="I103">
        <f t="shared" si="18"/>
        <v>36277.026174017912</v>
      </c>
      <c r="K103">
        <f>[3]升级时间!$K99</f>
        <v>26.425005068097153</v>
      </c>
      <c r="L103">
        <f t="shared" si="17"/>
        <v>11106.336564314372</v>
      </c>
    </row>
    <row r="104" spans="1:12">
      <c r="A104" s="6">
        <v>98</v>
      </c>
      <c r="B104" s="14">
        <f>[4]D_经验表!$C99/2</f>
        <v>304914.5</v>
      </c>
      <c r="C104" s="14">
        <f t="shared" si="11"/>
        <v>304914.5</v>
      </c>
      <c r="D104" s="14">
        <f t="shared" si="12"/>
        <v>304914.5</v>
      </c>
      <c r="E104" s="14">
        <f t="shared" si="13"/>
        <v>304914.5</v>
      </c>
      <c r="F104">
        <f t="shared" si="14"/>
        <v>36801.689460682515</v>
      </c>
      <c r="G104">
        <f t="shared" si="15"/>
        <v>36801.689460682515</v>
      </c>
      <c r="H104">
        <f t="shared" si="16"/>
        <v>36801.689460682515</v>
      </c>
      <c r="I104">
        <f t="shared" si="18"/>
        <v>36801.689460682515</v>
      </c>
      <c r="K104">
        <f>[3]升级时间!$K100</f>
        <v>27.464400953369218</v>
      </c>
      <c r="L104">
        <f t="shared" si="17"/>
        <v>11102.171881254682</v>
      </c>
    </row>
    <row r="105" spans="1:12">
      <c r="A105" s="6">
        <v>99</v>
      </c>
      <c r="B105" s="14">
        <f>[4]D_经验表!$C100/2</f>
        <v>316672.5</v>
      </c>
      <c r="C105" s="14">
        <f t="shared" si="11"/>
        <v>316672.5</v>
      </c>
      <c r="D105" s="14">
        <f t="shared" si="12"/>
        <v>316672.5</v>
      </c>
      <c r="E105" s="14">
        <f t="shared" si="13"/>
        <v>316672.5</v>
      </c>
      <c r="F105">
        <f t="shared" si="14"/>
        <v>37328.498636328033</v>
      </c>
      <c r="G105">
        <f t="shared" si="15"/>
        <v>37328.498636328033</v>
      </c>
      <c r="H105">
        <f t="shared" si="16"/>
        <v>37328.498636328033</v>
      </c>
      <c r="I105">
        <f t="shared" si="18"/>
        <v>37328.498636328033</v>
      </c>
      <c r="K105">
        <f>[3]升级时间!$K101</f>
        <v>28.533976470675157</v>
      </c>
      <c r="L105">
        <f t="shared" si="17"/>
        <v>11098.08513108748</v>
      </c>
    </row>
    <row r="106" spans="1:12">
      <c r="A106" s="6">
        <v>100</v>
      </c>
      <c r="B106" s="14">
        <f>[4]D_经验表!$C101/2</f>
        <v>328766.5</v>
      </c>
      <c r="C106" s="14">
        <f t="shared" si="11"/>
        <v>328766.5</v>
      </c>
      <c r="D106" s="14">
        <f t="shared" si="12"/>
        <v>328766.5</v>
      </c>
      <c r="E106" s="14">
        <f t="shared" si="13"/>
        <v>328766.5</v>
      </c>
      <c r="F106">
        <f t="shared" si="14"/>
        <v>37857.440668811592</v>
      </c>
      <c r="G106">
        <f t="shared" si="15"/>
        <v>37857.440668811592</v>
      </c>
      <c r="H106">
        <f t="shared" si="16"/>
        <v>37857.440668811592</v>
      </c>
      <c r="I106">
        <f t="shared" si="18"/>
        <v>37857.440668811592</v>
      </c>
      <c r="K106">
        <f>[3]升级时间!$K102</f>
        <v>29.634293101541179</v>
      </c>
      <c r="L106">
        <f t="shared" si="17"/>
        <v>11094.123246790117</v>
      </c>
    </row>
  </sheetData>
  <mergeCells count="1">
    <mergeCell ref="A1:E1"/>
  </mergeCells>
  <phoneticPr fontId="1" type="noConversion"/>
  <conditionalFormatting sqref="B6:E6">
    <cfRule type="expression" dxfId="1246" priority="6">
      <formula>$B6=5</formula>
    </cfRule>
    <cfRule type="expression" dxfId="1245" priority="7">
      <formula>B6=4</formula>
    </cfRule>
    <cfRule type="expression" dxfId="1244" priority="8">
      <formula>B6=3</formula>
    </cfRule>
    <cfRule type="expression" dxfId="1243" priority="9">
      <formula>B6=2</formula>
    </cfRule>
    <cfRule type="expression" dxfId="1242" priority="10">
      <formula>B6=1</formula>
    </cfRule>
  </conditionalFormatting>
  <conditionalFormatting sqref="F6:I6">
    <cfRule type="expression" dxfId="1241" priority="1">
      <formula>$B6=5</formula>
    </cfRule>
    <cfRule type="expression" dxfId="1240" priority="2">
      <formula>F6=4</formula>
    </cfRule>
    <cfRule type="expression" dxfId="1239" priority="3">
      <formula>F6=3</formula>
    </cfRule>
    <cfRule type="expression" dxfId="1238" priority="4">
      <formula>F6=2</formula>
    </cfRule>
    <cfRule type="expression" dxfId="1237" priority="5">
      <formula>F6=1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W103"/>
  <sheetViews>
    <sheetView workbookViewId="0">
      <selection activeCell="A20" sqref="A20"/>
    </sheetView>
  </sheetViews>
  <sheetFormatPr defaultRowHeight="13.5"/>
  <sheetData>
    <row r="2" spans="2:23">
      <c r="B2" t="s">
        <v>151</v>
      </c>
      <c r="C2">
        <v>1</v>
      </c>
      <c r="D2">
        <v>2</v>
      </c>
      <c r="E2">
        <v>3</v>
      </c>
      <c r="F2">
        <v>4</v>
      </c>
    </row>
    <row r="3" spans="2:23">
      <c r="B3">
        <v>1</v>
      </c>
      <c r="C3">
        <f>$N$6*$B3/P4</f>
        <v>6.7590492704883813E-3</v>
      </c>
      <c r="D3">
        <f>$N$10*$B3/Q4</f>
        <v>1.3518098540976763E-2</v>
      </c>
      <c r="E3">
        <f>$N$14*$B3/R4</f>
        <v>2.7036197081953525E-2</v>
      </c>
      <c r="F3">
        <f>$N$18*$B3/S4</f>
        <v>4.0554295622930295E-2</v>
      </c>
      <c r="I3" s="6" t="s">
        <v>247</v>
      </c>
      <c r="J3" s="6" t="s">
        <v>248</v>
      </c>
      <c r="K3" s="6" t="s">
        <v>249</v>
      </c>
      <c r="L3" s="6" t="s">
        <v>250</v>
      </c>
      <c r="M3" s="6" t="s">
        <v>251</v>
      </c>
      <c r="N3" s="29" t="s">
        <v>252</v>
      </c>
      <c r="O3" s="26"/>
      <c r="P3" s="6"/>
      <c r="Q3" s="6"/>
      <c r="R3" s="6"/>
      <c r="S3" s="6"/>
    </row>
    <row r="4" spans="2:23">
      <c r="B4">
        <v>2</v>
      </c>
      <c r="C4">
        <f t="shared" ref="C4:C67" si="0">$N$6*$B4/P5</f>
        <v>1.3250413421353462E-2</v>
      </c>
      <c r="D4">
        <f t="shared" ref="D4:D67" si="1">$N$10*$B4/Q5</f>
        <v>2.6500826842706923E-2</v>
      </c>
      <c r="E4">
        <f t="shared" ref="E4:E67" si="2">$N$14*$B4/R5</f>
        <v>5.3001653685413846E-2</v>
      </c>
      <c r="F4">
        <f t="shared" ref="F4:F67" si="3">$N$18*$B4/S5</f>
        <v>7.9502480528120784E-2</v>
      </c>
      <c r="H4">
        <v>1</v>
      </c>
      <c r="I4" s="6">
        <f>D_马仔升级属性!A2</f>
        <v>101101</v>
      </c>
      <c r="J4" s="6" t="str">
        <f>D_马仔升级属性!B2</f>
        <v>制服太妹</v>
      </c>
      <c r="K4" s="6">
        <f>D_马仔升级属性!C2</f>
        <v>0.23228539152498107</v>
      </c>
      <c r="L4" s="6">
        <f>D_马仔升级属性!D2</f>
        <v>0.3539535401069519</v>
      </c>
      <c r="M4" s="6">
        <f>D_马仔升级属性!E2</f>
        <v>0.30590092201039865</v>
      </c>
      <c r="N4" s="6">
        <f>SUMPRODUCT(K4:M4,马仔辅助表!$S$7:$U$7)</f>
        <v>0.66914587777834977</v>
      </c>
      <c r="O4">
        <f>D_马仔经验!A2</f>
        <v>1</v>
      </c>
      <c r="P4">
        <f>D_马仔经验!B2</f>
        <v>99</v>
      </c>
      <c r="Q4">
        <f>D_马仔经验!C2</f>
        <v>99</v>
      </c>
      <c r="R4">
        <f>D_马仔经验!D2</f>
        <v>99</v>
      </c>
      <c r="S4">
        <f>D_马仔经验!E2</f>
        <v>99</v>
      </c>
      <c r="T4">
        <f>D_马仔经验!F2</f>
        <v>0</v>
      </c>
      <c r="U4">
        <f>D_马仔经验!G2</f>
        <v>0</v>
      </c>
      <c r="V4">
        <f>D_马仔经验!H2</f>
        <v>0</v>
      </c>
      <c r="W4">
        <f>D_马仔经验!I2</f>
        <v>0</v>
      </c>
    </row>
    <row r="5" spans="2:23">
      <c r="B5">
        <v>3</v>
      </c>
      <c r="C5">
        <f t="shared" si="0"/>
        <v>1.9489685760534458E-2</v>
      </c>
      <c r="D5">
        <f t="shared" si="1"/>
        <v>3.8979371521068916E-2</v>
      </c>
      <c r="E5">
        <f t="shared" si="2"/>
        <v>7.7958743042137832E-2</v>
      </c>
      <c r="F5">
        <f t="shared" si="3"/>
        <v>0.11693811456320678</v>
      </c>
      <c r="H5">
        <v>1</v>
      </c>
      <c r="I5" s="6">
        <f>D_马仔升级属性!A3</f>
        <v>101102</v>
      </c>
      <c r="J5" s="6" t="str">
        <f>D_马仔升级属性!B3</f>
        <v>蟹仔</v>
      </c>
      <c r="K5" s="6">
        <f>D_马仔升级属性!C3</f>
        <v>0.23228539152498107</v>
      </c>
      <c r="L5" s="6">
        <f>D_马仔升级属性!D3</f>
        <v>0.3539535401069519</v>
      </c>
      <c r="M5" s="6">
        <f>D_马仔升级属性!E3</f>
        <v>0.30590092201039865</v>
      </c>
      <c r="N5" s="6">
        <f>SUMPRODUCT(K5:M5,马仔辅助表!$S$7:$U$7)</f>
        <v>0.66914587777834977</v>
      </c>
      <c r="O5">
        <f>D_马仔经验!A3</f>
        <v>2</v>
      </c>
      <c r="P5">
        <f>D_马仔经验!B3</f>
        <v>101</v>
      </c>
      <c r="Q5">
        <f>D_马仔经验!C3</f>
        <v>101</v>
      </c>
      <c r="R5">
        <f>D_马仔经验!D3</f>
        <v>101</v>
      </c>
      <c r="S5">
        <f>D_马仔经验!E3</f>
        <v>101</v>
      </c>
      <c r="T5">
        <f>D_马仔经验!F3</f>
        <v>99</v>
      </c>
      <c r="U5">
        <f>D_马仔经验!G3</f>
        <v>99</v>
      </c>
      <c r="V5">
        <f>D_马仔经验!H3</f>
        <v>99</v>
      </c>
      <c r="W5">
        <f>D_马仔经验!I3</f>
        <v>99</v>
      </c>
    </row>
    <row r="6" spans="2:23">
      <c r="B6">
        <v>4</v>
      </c>
      <c r="C6">
        <f t="shared" si="0"/>
        <v>2.5014799169284105E-2</v>
      </c>
      <c r="D6">
        <f t="shared" si="1"/>
        <v>5.002959833856821E-2</v>
      </c>
      <c r="E6">
        <f t="shared" si="2"/>
        <v>0.10005919667713642</v>
      </c>
      <c r="F6">
        <f t="shared" si="3"/>
        <v>0.15008879501570466</v>
      </c>
      <c r="H6">
        <v>1</v>
      </c>
      <c r="I6" s="6">
        <f>D_马仔升级属性!A4</f>
        <v>101103</v>
      </c>
      <c r="J6" s="6" t="str">
        <f>D_马仔升级属性!B4</f>
        <v>比利</v>
      </c>
      <c r="K6" s="6">
        <f>D_马仔升级属性!C4</f>
        <v>0.23228539152498107</v>
      </c>
      <c r="L6" s="6">
        <f>D_马仔升级属性!D4</f>
        <v>0.3539535401069519</v>
      </c>
      <c r="M6" s="6">
        <f>D_马仔升级属性!E4</f>
        <v>0.30590092201039865</v>
      </c>
      <c r="N6" s="6">
        <f>SUMPRODUCT(K6:M6,马仔辅助表!$S$7:$U$7)</f>
        <v>0.66914587777834977</v>
      </c>
      <c r="O6">
        <f>D_马仔经验!A4</f>
        <v>3</v>
      </c>
      <c r="P6">
        <f>D_马仔经验!B4</f>
        <v>103</v>
      </c>
      <c r="Q6">
        <f>D_马仔经验!C4</f>
        <v>103</v>
      </c>
      <c r="R6">
        <f>D_马仔经验!D4</f>
        <v>103</v>
      </c>
      <c r="S6">
        <f>D_马仔经验!E4</f>
        <v>103</v>
      </c>
      <c r="T6">
        <f>D_马仔经验!F4</f>
        <v>200</v>
      </c>
      <c r="U6">
        <f>D_马仔经验!G4</f>
        <v>200</v>
      </c>
      <c r="V6">
        <f>D_马仔经验!H4</f>
        <v>200</v>
      </c>
      <c r="W6">
        <f>D_马仔经验!I4</f>
        <v>200</v>
      </c>
    </row>
    <row r="7" spans="2:23">
      <c r="B7">
        <v>5</v>
      </c>
      <c r="C7">
        <f t="shared" si="0"/>
        <v>2.9608224680457956E-2</v>
      </c>
      <c r="D7">
        <f t="shared" si="1"/>
        <v>5.9216449360915913E-2</v>
      </c>
      <c r="E7">
        <f t="shared" si="2"/>
        <v>0.11843289872183183</v>
      </c>
      <c r="F7">
        <f t="shared" si="3"/>
        <v>0.17764934808274777</v>
      </c>
      <c r="H7">
        <v>1</v>
      </c>
      <c r="I7" s="6">
        <f>D_马仔升级属性!A5</f>
        <v>101104</v>
      </c>
      <c r="J7" s="6" t="str">
        <f>D_马仔升级属性!B5</f>
        <v>黎九</v>
      </c>
      <c r="K7" s="6">
        <f>D_马仔升级属性!C5</f>
        <v>0.23228539152498107</v>
      </c>
      <c r="L7" s="6">
        <f>D_马仔升级属性!D5</f>
        <v>0.3539535401069519</v>
      </c>
      <c r="M7" s="6">
        <f>D_马仔升级属性!E5</f>
        <v>0.30590092201039865</v>
      </c>
      <c r="N7" s="6">
        <f>SUMPRODUCT(K7:M7,马仔辅助表!$S$7:$U$7)</f>
        <v>0.66914587777834977</v>
      </c>
      <c r="O7">
        <f>D_马仔经验!A5</f>
        <v>4</v>
      </c>
      <c r="P7">
        <f>D_马仔经验!B5</f>
        <v>107</v>
      </c>
      <c r="Q7">
        <f>D_马仔经验!C5</f>
        <v>107</v>
      </c>
      <c r="R7">
        <f>D_马仔经验!D5</f>
        <v>107</v>
      </c>
      <c r="S7">
        <f>D_马仔经验!E5</f>
        <v>107</v>
      </c>
      <c r="T7">
        <f>D_马仔经验!F5</f>
        <v>303</v>
      </c>
      <c r="U7">
        <f>D_马仔经验!G5</f>
        <v>303</v>
      </c>
      <c r="V7">
        <f>D_马仔经验!H5</f>
        <v>303</v>
      </c>
      <c r="W7">
        <f>D_马仔经验!I5</f>
        <v>303</v>
      </c>
    </row>
    <row r="8" spans="2:23">
      <c r="B8">
        <v>6</v>
      </c>
      <c r="C8">
        <f t="shared" si="0"/>
        <v>3.2908813661230316E-2</v>
      </c>
      <c r="D8">
        <f t="shared" si="1"/>
        <v>6.5817627322460631E-2</v>
      </c>
      <c r="E8">
        <f t="shared" si="2"/>
        <v>0.13163525464492126</v>
      </c>
      <c r="F8">
        <f t="shared" si="3"/>
        <v>0.19745288196738192</v>
      </c>
      <c r="H8">
        <v>2</v>
      </c>
      <c r="I8" s="6">
        <f>D_马仔升级属性!A6</f>
        <v>101105</v>
      </c>
      <c r="J8" s="6" t="str">
        <f>D_马仔升级属性!B6</f>
        <v>黑古</v>
      </c>
      <c r="K8" s="6">
        <f>D_马仔升级属性!C6</f>
        <v>0.23228539152498107</v>
      </c>
      <c r="L8" s="6">
        <f>D_马仔升级属性!D6</f>
        <v>0.3539535401069519</v>
      </c>
      <c r="M8" s="6">
        <f>D_马仔升级属性!E6</f>
        <v>0.30590092201039865</v>
      </c>
      <c r="N8" s="6">
        <f>SUMPRODUCT(K8:M8,马仔辅助表!$S$7:$U$7)</f>
        <v>0.66914587777834977</v>
      </c>
      <c r="O8">
        <f>D_马仔经验!A6</f>
        <v>5</v>
      </c>
      <c r="P8">
        <f>D_马仔经验!B6</f>
        <v>113</v>
      </c>
      <c r="Q8">
        <f>D_马仔经验!C6</f>
        <v>113</v>
      </c>
      <c r="R8">
        <f>D_马仔经验!D6</f>
        <v>113</v>
      </c>
      <c r="S8">
        <f>D_马仔经验!E6</f>
        <v>113</v>
      </c>
      <c r="T8">
        <f>D_马仔经验!F6</f>
        <v>410</v>
      </c>
      <c r="U8">
        <f>D_马仔经验!G6</f>
        <v>410</v>
      </c>
      <c r="V8">
        <f>D_马仔经验!H6</f>
        <v>410</v>
      </c>
      <c r="W8">
        <f>D_马仔经验!I6</f>
        <v>410</v>
      </c>
    </row>
    <row r="9" spans="2:23">
      <c r="B9">
        <v>7</v>
      </c>
      <c r="C9">
        <f t="shared" si="0"/>
        <v>3.4441331944473887E-2</v>
      </c>
      <c r="D9">
        <f t="shared" si="1"/>
        <v>6.8882663888947773E-2</v>
      </c>
      <c r="E9">
        <f t="shared" si="2"/>
        <v>0.13776532777789555</v>
      </c>
      <c r="F9">
        <f t="shared" si="3"/>
        <v>0.20664799166684333</v>
      </c>
      <c r="H9">
        <v>2</v>
      </c>
      <c r="I9" s="6">
        <f>D_马仔升级属性!A7</f>
        <v>101106</v>
      </c>
      <c r="J9" s="6" t="str">
        <f>D_马仔升级属性!B7</f>
        <v>靓坤</v>
      </c>
      <c r="K9" s="6">
        <f>D_马仔升级属性!C7</f>
        <v>0.46457078304996213</v>
      </c>
      <c r="L9" s="6">
        <f>D_马仔升级属性!D7</f>
        <v>0.70790708021390381</v>
      </c>
      <c r="M9" s="6">
        <f>D_马仔升级属性!E7</f>
        <v>0.61180184402079729</v>
      </c>
      <c r="N9" s="6">
        <f>SUMPRODUCT(K9:M9,马仔辅助表!$S$7:$U$7)</f>
        <v>1.3382917555566995</v>
      </c>
      <c r="O9">
        <f>D_马仔经验!A7</f>
        <v>6</v>
      </c>
      <c r="P9">
        <f>D_马仔经验!B7</f>
        <v>122</v>
      </c>
      <c r="Q9">
        <f>D_马仔经验!C7</f>
        <v>122</v>
      </c>
      <c r="R9">
        <f>D_马仔经验!D7</f>
        <v>122</v>
      </c>
      <c r="S9">
        <f>D_马仔经验!E7</f>
        <v>122</v>
      </c>
      <c r="T9">
        <f>D_马仔经验!F7</f>
        <v>523</v>
      </c>
      <c r="U9">
        <f>D_马仔经验!G7</f>
        <v>523</v>
      </c>
      <c r="V9">
        <f>D_马仔经验!H7</f>
        <v>523</v>
      </c>
      <c r="W9">
        <f>D_马仔经验!I7</f>
        <v>523</v>
      </c>
    </row>
    <row r="10" spans="2:23">
      <c r="B10">
        <v>8</v>
      </c>
      <c r="C10">
        <f t="shared" si="0"/>
        <v>3.4536561433721281E-2</v>
      </c>
      <c r="D10">
        <f t="shared" si="1"/>
        <v>6.9073122867442563E-2</v>
      </c>
      <c r="E10">
        <f t="shared" si="2"/>
        <v>0.13814624573488513</v>
      </c>
      <c r="F10">
        <f t="shared" si="3"/>
        <v>0.2072193686023277</v>
      </c>
      <c r="H10">
        <v>2</v>
      </c>
      <c r="I10" s="6">
        <f>D_马仔升级属性!A8</f>
        <v>101107</v>
      </c>
      <c r="J10" s="6" t="str">
        <f>D_马仔升级属性!B8</f>
        <v>雷复轰</v>
      </c>
      <c r="K10" s="6">
        <f>D_马仔升级属性!C8</f>
        <v>0.46457078304996213</v>
      </c>
      <c r="L10" s="6">
        <f>D_马仔升级属性!D8</f>
        <v>0.70790708021390381</v>
      </c>
      <c r="M10" s="6">
        <f>D_马仔升级属性!E8</f>
        <v>0.61180184402079729</v>
      </c>
      <c r="N10" s="6">
        <f>SUMPRODUCT(K10:M10,马仔辅助表!$S$7:$U$7)</f>
        <v>1.3382917555566995</v>
      </c>
      <c r="O10">
        <f>D_马仔经验!A8</f>
        <v>7</v>
      </c>
      <c r="P10">
        <f>D_马仔经验!B8</f>
        <v>136</v>
      </c>
      <c r="Q10">
        <f>D_马仔经验!C8</f>
        <v>136</v>
      </c>
      <c r="R10">
        <f>D_马仔经验!D8</f>
        <v>136</v>
      </c>
      <c r="S10">
        <f>D_马仔经验!E8</f>
        <v>136</v>
      </c>
      <c r="T10">
        <f>D_马仔经验!F8</f>
        <v>645</v>
      </c>
      <c r="U10">
        <f>D_马仔经验!G8</f>
        <v>645</v>
      </c>
      <c r="V10">
        <f>D_马仔经验!H8</f>
        <v>645</v>
      </c>
      <c r="W10">
        <f>D_马仔经验!I8</f>
        <v>645</v>
      </c>
    </row>
    <row r="11" spans="2:23">
      <c r="B11">
        <v>9</v>
      </c>
      <c r="C11">
        <f t="shared" si="0"/>
        <v>3.3457293888917487E-2</v>
      </c>
      <c r="D11">
        <f t="shared" si="1"/>
        <v>6.6914587777834975E-2</v>
      </c>
      <c r="E11">
        <f t="shared" si="2"/>
        <v>0.13382917555566995</v>
      </c>
      <c r="F11">
        <f t="shared" si="3"/>
        <v>0.20074376333350499</v>
      </c>
      <c r="H11">
        <v>2</v>
      </c>
      <c r="I11" s="6">
        <f>D_马仔升级属性!A9</f>
        <v>101108</v>
      </c>
      <c r="J11" s="6" t="str">
        <f>D_马仔升级属性!B9</f>
        <v>肥仔</v>
      </c>
      <c r="K11" s="6">
        <f>D_马仔升级属性!C9</f>
        <v>0.46457078304996213</v>
      </c>
      <c r="L11" s="6">
        <f>D_马仔升级属性!D9</f>
        <v>0.70790708021390381</v>
      </c>
      <c r="M11" s="6">
        <f>D_马仔升级属性!E9</f>
        <v>0.61180184402079729</v>
      </c>
      <c r="N11" s="6">
        <f>SUMPRODUCT(K11:M11,马仔辅助表!$S$7:$U$7)</f>
        <v>1.3382917555566995</v>
      </c>
      <c r="O11">
        <f>D_马仔经验!A9</f>
        <v>8</v>
      </c>
      <c r="P11">
        <f>D_马仔经验!B9</f>
        <v>155</v>
      </c>
      <c r="Q11">
        <f>D_马仔经验!C9</f>
        <v>155</v>
      </c>
      <c r="R11">
        <f>D_马仔经验!D9</f>
        <v>155</v>
      </c>
      <c r="S11">
        <f>D_马仔经验!E9</f>
        <v>155</v>
      </c>
      <c r="T11">
        <f>D_马仔经验!F9</f>
        <v>781</v>
      </c>
      <c r="U11">
        <f>D_马仔经验!G9</f>
        <v>781</v>
      </c>
      <c r="V11">
        <f>D_马仔经验!H9</f>
        <v>781</v>
      </c>
      <c r="W11">
        <f>D_马仔经验!I9</f>
        <v>781</v>
      </c>
    </row>
    <row r="12" spans="2:23">
      <c r="B12">
        <v>10</v>
      </c>
      <c r="C12">
        <f t="shared" si="0"/>
        <v>3.1415299426213607E-2</v>
      </c>
      <c r="D12">
        <f t="shared" si="1"/>
        <v>6.2830598852427214E-2</v>
      </c>
      <c r="E12">
        <f t="shared" si="2"/>
        <v>0.12566119770485443</v>
      </c>
      <c r="F12">
        <f t="shared" si="3"/>
        <v>0.18849179655728165</v>
      </c>
      <c r="H12">
        <v>3</v>
      </c>
      <c r="I12" s="6">
        <f>D_马仔升级属性!A10</f>
        <v>101109</v>
      </c>
      <c r="J12" s="6" t="str">
        <f>D_马仔升级属性!B10</f>
        <v>司徒浩南</v>
      </c>
      <c r="K12" s="6">
        <f>D_马仔升级属性!C10</f>
        <v>0.92914156609992427</v>
      </c>
      <c r="L12" s="6">
        <f>D_马仔升级属性!D10</f>
        <v>1.4158141604278076</v>
      </c>
      <c r="M12" s="6">
        <f>D_马仔升级属性!E10</f>
        <v>1.2236036880415946</v>
      </c>
      <c r="N12" s="6">
        <f>SUMPRODUCT(K12:M12,马仔辅助表!$S$7:$U$7)</f>
        <v>2.6765835111133991</v>
      </c>
      <c r="O12">
        <f>D_马仔经验!A10</f>
        <v>9</v>
      </c>
      <c r="P12">
        <f>D_马仔经验!B10</f>
        <v>180</v>
      </c>
      <c r="Q12">
        <f>D_马仔经验!C10</f>
        <v>180</v>
      </c>
      <c r="R12">
        <f>D_马仔经验!D10</f>
        <v>180</v>
      </c>
      <c r="S12">
        <f>D_马仔经验!E10</f>
        <v>180</v>
      </c>
      <c r="T12">
        <f>D_马仔经验!F10</f>
        <v>936</v>
      </c>
      <c r="U12">
        <f>D_马仔经验!G10</f>
        <v>936</v>
      </c>
      <c r="V12">
        <f>D_马仔经验!H10</f>
        <v>936</v>
      </c>
      <c r="W12">
        <f>D_马仔经验!I10</f>
        <v>936</v>
      </c>
    </row>
    <row r="13" spans="2:23">
      <c r="B13">
        <v>11</v>
      </c>
      <c r="C13">
        <f t="shared" si="0"/>
        <v>2.9093299033841297E-2</v>
      </c>
      <c r="D13">
        <f t="shared" si="1"/>
        <v>5.8186598067682595E-2</v>
      </c>
      <c r="E13">
        <f t="shared" si="2"/>
        <v>0.11637319613536519</v>
      </c>
      <c r="F13">
        <f t="shared" si="3"/>
        <v>0.17455979420304779</v>
      </c>
      <c r="H13">
        <v>3</v>
      </c>
      <c r="I13" s="6">
        <f>D_马仔升级属性!A11</f>
        <v>101110</v>
      </c>
      <c r="J13" s="6" t="str">
        <f>D_马仔升级属性!B11</f>
        <v>乌鸦</v>
      </c>
      <c r="K13" s="6">
        <f>D_马仔升级属性!C11</f>
        <v>0.92914156609992427</v>
      </c>
      <c r="L13" s="6">
        <f>D_马仔升级属性!D11</f>
        <v>1.4158141604278076</v>
      </c>
      <c r="M13" s="6">
        <f>D_马仔升级属性!E11</f>
        <v>1.2236036880415946</v>
      </c>
      <c r="N13" s="6">
        <f>SUMPRODUCT(K13:M13,马仔辅助表!$S$7:$U$7)</f>
        <v>2.6765835111133991</v>
      </c>
      <c r="O13">
        <f>D_马仔经验!A11</f>
        <v>10</v>
      </c>
      <c r="P13">
        <f>D_马仔经验!B11</f>
        <v>213</v>
      </c>
      <c r="Q13">
        <f>D_马仔经验!C11</f>
        <v>213</v>
      </c>
      <c r="R13">
        <f>D_马仔经验!D11</f>
        <v>213</v>
      </c>
      <c r="S13">
        <f>D_马仔经验!E11</f>
        <v>213</v>
      </c>
      <c r="T13">
        <f>D_马仔经验!F11</f>
        <v>1116</v>
      </c>
      <c r="U13">
        <f>D_马仔经验!G11</f>
        <v>1116</v>
      </c>
      <c r="V13">
        <f>D_马仔经验!H11</f>
        <v>1116</v>
      </c>
      <c r="W13">
        <f>D_马仔经验!I11</f>
        <v>1116</v>
      </c>
    </row>
    <row r="14" spans="2:23">
      <c r="B14">
        <v>12</v>
      </c>
      <c r="C14">
        <f t="shared" si="0"/>
        <v>2.650082684270692E-2</v>
      </c>
      <c r="D14">
        <f t="shared" si="1"/>
        <v>5.300165368541384E-2</v>
      </c>
      <c r="E14">
        <f t="shared" si="2"/>
        <v>0.10600330737082768</v>
      </c>
      <c r="F14">
        <f t="shared" si="3"/>
        <v>0.15900496105624157</v>
      </c>
      <c r="H14">
        <v>3</v>
      </c>
      <c r="I14" s="6">
        <f>D_马仔升级属性!A12</f>
        <v>101111</v>
      </c>
      <c r="J14" s="6" t="str">
        <f>D_马仔升级属性!B12</f>
        <v>赌王</v>
      </c>
      <c r="K14" s="6">
        <f>D_马仔升级属性!C12</f>
        <v>0.92914156609992427</v>
      </c>
      <c r="L14" s="6">
        <f>D_马仔升级属性!D12</f>
        <v>1.4158141604278076</v>
      </c>
      <c r="M14" s="6">
        <f>D_马仔升级属性!E12</f>
        <v>1.2236036880415946</v>
      </c>
      <c r="N14" s="6">
        <f>SUMPRODUCT(K14:M14,马仔辅助表!$S$7:$U$7)</f>
        <v>2.6765835111133991</v>
      </c>
      <c r="O14">
        <f>D_马仔经验!A12</f>
        <v>11</v>
      </c>
      <c r="P14">
        <f>D_马仔经验!B12</f>
        <v>253</v>
      </c>
      <c r="Q14">
        <f>D_马仔经验!C12</f>
        <v>253</v>
      </c>
      <c r="R14">
        <f>D_马仔经验!D12</f>
        <v>253</v>
      </c>
      <c r="S14">
        <f>D_马仔经验!E12</f>
        <v>253</v>
      </c>
      <c r="T14">
        <f>D_马仔经验!F12</f>
        <v>1329</v>
      </c>
      <c r="U14">
        <f>D_马仔经验!G12</f>
        <v>1329</v>
      </c>
      <c r="V14">
        <f>D_马仔经验!H12</f>
        <v>1329</v>
      </c>
      <c r="W14">
        <f>D_马仔经验!I12</f>
        <v>1329</v>
      </c>
    </row>
    <row r="15" spans="2:23">
      <c r="B15">
        <v>13</v>
      </c>
      <c r="C15">
        <f t="shared" si="0"/>
        <v>2.3963901959004261E-2</v>
      </c>
      <c r="D15">
        <f t="shared" si="1"/>
        <v>4.7927803918008521E-2</v>
      </c>
      <c r="E15">
        <f t="shared" si="2"/>
        <v>9.5855607836017043E-2</v>
      </c>
      <c r="F15">
        <f t="shared" si="3"/>
        <v>0.14378341175402559</v>
      </c>
      <c r="H15">
        <v>3</v>
      </c>
      <c r="I15" s="6">
        <f>D_马仔升级属性!A13</f>
        <v>101112</v>
      </c>
      <c r="J15" s="6" t="str">
        <f>D_马仔升级属性!B13</f>
        <v>山下忠秀</v>
      </c>
      <c r="K15" s="6">
        <f>D_马仔升级属性!C13</f>
        <v>0.92914156609992427</v>
      </c>
      <c r="L15" s="6">
        <f>D_马仔升级属性!D13</f>
        <v>1.4158141604278076</v>
      </c>
      <c r="M15" s="6">
        <f>D_马仔升级属性!E13</f>
        <v>1.2236036880415946</v>
      </c>
      <c r="N15" s="6">
        <f>SUMPRODUCT(K15:M15,马仔辅助表!$S$7:$U$7)</f>
        <v>2.6765835111133991</v>
      </c>
      <c r="O15">
        <f>D_马仔经验!A13</f>
        <v>12</v>
      </c>
      <c r="P15">
        <f>D_马仔经验!B13</f>
        <v>303</v>
      </c>
      <c r="Q15">
        <f>D_马仔经验!C13</f>
        <v>303</v>
      </c>
      <c r="R15">
        <f>D_马仔经验!D13</f>
        <v>303</v>
      </c>
      <c r="S15">
        <f>D_马仔经验!E13</f>
        <v>303</v>
      </c>
      <c r="T15">
        <f>D_马仔经验!F13</f>
        <v>1582</v>
      </c>
      <c r="U15">
        <f>D_马仔经验!G13</f>
        <v>1582</v>
      </c>
      <c r="V15">
        <f>D_马仔经验!H13</f>
        <v>1582</v>
      </c>
      <c r="W15">
        <f>D_马仔经验!I13</f>
        <v>1582</v>
      </c>
    </row>
    <row r="16" spans="2:23">
      <c r="B16">
        <v>14</v>
      </c>
      <c r="C16">
        <f t="shared" si="0"/>
        <v>2.153572939976298E-2</v>
      </c>
      <c r="D16">
        <f t="shared" si="1"/>
        <v>4.3071458799525959E-2</v>
      </c>
      <c r="E16">
        <f t="shared" si="2"/>
        <v>8.6142917599051919E-2</v>
      </c>
      <c r="F16">
        <f t="shared" si="3"/>
        <v>0.12921437639857791</v>
      </c>
      <c r="H16">
        <v>3</v>
      </c>
      <c r="I16" s="6">
        <f>D_马仔升级属性!A14</f>
        <v>101113</v>
      </c>
      <c r="J16" s="6" t="str">
        <f>D_马仔升级属性!B14</f>
        <v>宫本一</v>
      </c>
      <c r="K16" s="6">
        <f>D_马仔升级属性!C14</f>
        <v>0.92914156609992427</v>
      </c>
      <c r="L16" s="6">
        <f>D_马仔升级属性!D14</f>
        <v>1.4158141604278076</v>
      </c>
      <c r="M16" s="6">
        <f>D_马仔升级属性!E14</f>
        <v>1.2236036880415946</v>
      </c>
      <c r="N16" s="6">
        <f>SUMPRODUCT(K16:M16,马仔辅助表!$S$7:$U$7)</f>
        <v>2.6765835111133991</v>
      </c>
      <c r="O16">
        <f>D_马仔经验!A14</f>
        <v>13</v>
      </c>
      <c r="P16">
        <f>D_马仔经验!B14</f>
        <v>363</v>
      </c>
      <c r="Q16">
        <f>D_马仔经验!C14</f>
        <v>363</v>
      </c>
      <c r="R16">
        <f>D_马仔经验!D14</f>
        <v>363</v>
      </c>
      <c r="S16">
        <f>D_马仔经验!E14</f>
        <v>363</v>
      </c>
      <c r="T16">
        <f>D_马仔经验!F14</f>
        <v>1885</v>
      </c>
      <c r="U16">
        <f>D_马仔经验!G14</f>
        <v>1885</v>
      </c>
      <c r="V16">
        <f>D_马仔经验!H14</f>
        <v>1885</v>
      </c>
      <c r="W16">
        <f>D_马仔经验!I14</f>
        <v>1885</v>
      </c>
    </row>
    <row r="17" spans="2:23">
      <c r="B17">
        <v>15</v>
      </c>
      <c r="C17">
        <f t="shared" si="0"/>
        <v>1.9302284935913936E-2</v>
      </c>
      <c r="D17">
        <f t="shared" si="1"/>
        <v>3.8604569871827872E-2</v>
      </c>
      <c r="E17">
        <f t="shared" si="2"/>
        <v>7.7209139743655744E-2</v>
      </c>
      <c r="F17">
        <f t="shared" si="3"/>
        <v>0.11581370961548362</v>
      </c>
      <c r="H17">
        <v>4</v>
      </c>
      <c r="I17" s="6">
        <f>D_马仔升级属性!A15</f>
        <v>101114</v>
      </c>
      <c r="J17" s="6" t="str">
        <f>D_马仔升级属性!B15</f>
        <v>陈浩南</v>
      </c>
      <c r="K17" s="6">
        <f>D_马仔升级属性!C15</f>
        <v>1.3937123491498864</v>
      </c>
      <c r="L17" s="6">
        <f>D_马仔升级属性!D15</f>
        <v>2.1237212406417116</v>
      </c>
      <c r="M17" s="6">
        <f>D_马仔升级属性!E15</f>
        <v>1.8354055320623921</v>
      </c>
      <c r="N17" s="6">
        <f>SUMPRODUCT(K17:M17,马仔辅助表!$S$7:$U$7)</f>
        <v>4.0148752666700993</v>
      </c>
      <c r="O17">
        <f>D_马仔经验!A15</f>
        <v>14</v>
      </c>
      <c r="P17">
        <f>D_马仔经验!B15</f>
        <v>435</v>
      </c>
      <c r="Q17">
        <f>D_马仔经验!C15</f>
        <v>435</v>
      </c>
      <c r="R17">
        <f>D_马仔经验!D15</f>
        <v>435</v>
      </c>
      <c r="S17">
        <f>D_马仔经验!E15</f>
        <v>435</v>
      </c>
      <c r="T17">
        <f>D_马仔经验!F15</f>
        <v>2248</v>
      </c>
      <c r="U17">
        <f>D_马仔经验!G15</f>
        <v>2248</v>
      </c>
      <c r="V17">
        <f>D_马仔经验!H15</f>
        <v>2248</v>
      </c>
      <c r="W17">
        <f>D_马仔经验!I15</f>
        <v>2248</v>
      </c>
    </row>
    <row r="18" spans="2:23">
      <c r="B18">
        <v>16</v>
      </c>
      <c r="C18">
        <f t="shared" si="0"/>
        <v>1.7268280716860641E-2</v>
      </c>
      <c r="D18">
        <f t="shared" si="1"/>
        <v>3.4536561433721281E-2</v>
      </c>
      <c r="E18">
        <f t="shared" si="2"/>
        <v>6.9073122867442563E-2</v>
      </c>
      <c r="F18">
        <f t="shared" si="3"/>
        <v>0.10360968430116385</v>
      </c>
      <c r="H18">
        <v>4</v>
      </c>
      <c r="I18" s="6">
        <f>D_马仔升级属性!A16</f>
        <v>101115</v>
      </c>
      <c r="J18" s="6" t="str">
        <f>D_马仔升级属性!B16</f>
        <v>山鸡</v>
      </c>
      <c r="K18" s="6">
        <f>D_马仔升级属性!C16</f>
        <v>1.3937123491498864</v>
      </c>
      <c r="L18" s="6">
        <f>D_马仔升级属性!D16</f>
        <v>2.1237212406417116</v>
      </c>
      <c r="M18" s="6">
        <f>D_马仔升级属性!E16</f>
        <v>1.8354055320623921</v>
      </c>
      <c r="N18" s="6">
        <f>SUMPRODUCT(K18:M18,马仔辅助表!$S$7:$U$7)</f>
        <v>4.0148752666700993</v>
      </c>
      <c r="O18">
        <f>D_马仔经验!A16</f>
        <v>15</v>
      </c>
      <c r="P18">
        <f>D_马仔经验!B16</f>
        <v>520</v>
      </c>
      <c r="Q18">
        <f>D_马仔经验!C16</f>
        <v>520</v>
      </c>
      <c r="R18">
        <f>D_马仔经验!D16</f>
        <v>520</v>
      </c>
      <c r="S18">
        <f>D_马仔经验!E16</f>
        <v>520</v>
      </c>
      <c r="T18">
        <f>D_马仔经验!F16</f>
        <v>2683</v>
      </c>
      <c r="U18">
        <f>D_马仔经验!G16</f>
        <v>2683</v>
      </c>
      <c r="V18">
        <f>D_马仔经验!H16</f>
        <v>2683</v>
      </c>
      <c r="W18">
        <f>D_马仔经验!I16</f>
        <v>2683</v>
      </c>
    </row>
    <row r="19" spans="2:23">
      <c r="B19">
        <v>17</v>
      </c>
      <c r="C19">
        <f t="shared" si="0"/>
        <v>1.547684343160809E-2</v>
      </c>
      <c r="D19">
        <f t="shared" si="1"/>
        <v>3.095368686321618E-2</v>
      </c>
      <c r="E19">
        <f t="shared" si="2"/>
        <v>6.190737372643236E-2</v>
      </c>
      <c r="F19">
        <f t="shared" si="3"/>
        <v>9.2861060589648561E-2</v>
      </c>
      <c r="H19">
        <v>4</v>
      </c>
      <c r="I19" s="6">
        <f>D_马仔升级属性!A17</f>
        <v>101116</v>
      </c>
      <c r="J19" s="6" t="str">
        <f>D_马仔升级属性!B17</f>
        <v>大天二</v>
      </c>
      <c r="K19" s="6">
        <f>D_马仔升级属性!C17</f>
        <v>1.3937123491498864</v>
      </c>
      <c r="L19" s="6">
        <f>D_马仔升级属性!D17</f>
        <v>2.1237212406417116</v>
      </c>
      <c r="M19" s="6">
        <f>D_马仔升级属性!E17</f>
        <v>1.8354055320623921</v>
      </c>
      <c r="N19" s="6">
        <f>SUMPRODUCT(K19:M19,马仔辅助表!$S$7:$U$7)</f>
        <v>4.0148752666700993</v>
      </c>
      <c r="O19">
        <f>D_马仔经验!A17</f>
        <v>16</v>
      </c>
      <c r="P19">
        <f>D_马仔经验!B17</f>
        <v>620</v>
      </c>
      <c r="Q19">
        <f>D_马仔经验!C17</f>
        <v>620</v>
      </c>
      <c r="R19">
        <f>D_马仔经验!D17</f>
        <v>620</v>
      </c>
      <c r="S19">
        <f>D_马仔经验!E17</f>
        <v>620</v>
      </c>
      <c r="T19">
        <f>D_马仔经验!F17</f>
        <v>3203</v>
      </c>
      <c r="U19">
        <f>D_马仔经验!G17</f>
        <v>3203</v>
      </c>
      <c r="V19">
        <f>D_马仔经验!H17</f>
        <v>3203</v>
      </c>
      <c r="W19">
        <f>D_马仔经验!I17</f>
        <v>3203</v>
      </c>
    </row>
    <row r="20" spans="2:23">
      <c r="B20">
        <v>18</v>
      </c>
      <c r="C20">
        <f t="shared" si="0"/>
        <v>1.3876297004620158E-2</v>
      </c>
      <c r="D20">
        <f t="shared" si="1"/>
        <v>2.7752594009240315E-2</v>
      </c>
      <c r="E20">
        <f t="shared" si="2"/>
        <v>5.5505188018480631E-2</v>
      </c>
      <c r="F20">
        <f t="shared" si="3"/>
        <v>8.3257782027720967E-2</v>
      </c>
      <c r="H20">
        <v>2</v>
      </c>
      <c r="I20" s="6">
        <f>D_马仔升级属性!A18</f>
        <v>101117</v>
      </c>
      <c r="J20" s="6" t="str">
        <f>D_马仔升级属性!B18</f>
        <v>巴闭</v>
      </c>
      <c r="K20" s="6">
        <f>D_马仔升级属性!C18</f>
        <v>0.46457078304996213</v>
      </c>
      <c r="L20" s="6">
        <f>D_马仔升级属性!D18</f>
        <v>0.70790708021390381</v>
      </c>
      <c r="M20" s="6">
        <f>D_马仔升级属性!E18</f>
        <v>0.61180184402079729</v>
      </c>
      <c r="N20" s="6">
        <f>SUMPRODUCT(K20:M20,马仔辅助表!$S$7:$U$7)</f>
        <v>1.3382917555566995</v>
      </c>
      <c r="O20">
        <f>D_马仔经验!A18</f>
        <v>17</v>
      </c>
      <c r="P20">
        <f>D_马仔经验!B18</f>
        <v>735</v>
      </c>
      <c r="Q20">
        <f>D_马仔经验!C18</f>
        <v>735</v>
      </c>
      <c r="R20">
        <f>D_马仔经验!D18</f>
        <v>735</v>
      </c>
      <c r="S20">
        <f>D_马仔经验!E18</f>
        <v>735</v>
      </c>
      <c r="T20">
        <f>D_马仔经验!F18</f>
        <v>3823</v>
      </c>
      <c r="U20">
        <f>D_马仔经验!G18</f>
        <v>3823</v>
      </c>
      <c r="V20">
        <f>D_马仔经验!H18</f>
        <v>3823</v>
      </c>
      <c r="W20">
        <f>D_马仔经验!I18</f>
        <v>3823</v>
      </c>
    </row>
    <row r="21" spans="2:23">
      <c r="B21">
        <v>19</v>
      </c>
      <c r="C21">
        <f t="shared" si="0"/>
        <v>1.2476714109704265E-2</v>
      </c>
      <c r="D21">
        <f t="shared" si="1"/>
        <v>2.4953428219408529E-2</v>
      </c>
      <c r="E21">
        <f t="shared" si="2"/>
        <v>4.9906856438817059E-2</v>
      </c>
      <c r="F21">
        <f t="shared" si="3"/>
        <v>7.4860284658225598E-2</v>
      </c>
      <c r="H21">
        <v>3</v>
      </c>
      <c r="I21" s="6">
        <f>D_马仔升级属性!A19</f>
        <v>101118</v>
      </c>
      <c r="J21" s="6" t="str">
        <f>D_马仔升级属性!B19</f>
        <v>耀阳</v>
      </c>
      <c r="K21" s="6">
        <f>D_马仔升级属性!C19</f>
        <v>0.92914156609992427</v>
      </c>
      <c r="L21" s="6">
        <f>D_马仔升级属性!D19</f>
        <v>1.4158141604278076</v>
      </c>
      <c r="M21" s="6">
        <f>D_马仔升级属性!E19</f>
        <v>1.2236036880415946</v>
      </c>
      <c r="N21" s="6">
        <f>SUMPRODUCT(K21:M21,马仔辅助表!$S$7:$U$7)</f>
        <v>2.6765835111133991</v>
      </c>
      <c r="O21">
        <f>D_马仔经验!A19</f>
        <v>18</v>
      </c>
      <c r="P21">
        <f>D_马仔经验!B19</f>
        <v>868</v>
      </c>
      <c r="Q21">
        <f>D_马仔经验!C19</f>
        <v>868</v>
      </c>
      <c r="R21">
        <f>D_马仔经验!D19</f>
        <v>868</v>
      </c>
      <c r="S21">
        <f>D_马仔经验!E19</f>
        <v>868</v>
      </c>
      <c r="T21">
        <f>D_马仔经验!F19</f>
        <v>4558</v>
      </c>
      <c r="U21">
        <f>D_马仔经验!G19</f>
        <v>4558</v>
      </c>
      <c r="V21">
        <f>D_马仔经验!H19</f>
        <v>4558</v>
      </c>
      <c r="W21">
        <f>D_马仔经验!I19</f>
        <v>4558</v>
      </c>
    </row>
    <row r="22" spans="2:23">
      <c r="B22">
        <v>20</v>
      </c>
      <c r="C22">
        <f t="shared" si="0"/>
        <v>1.1227279828495801E-2</v>
      </c>
      <c r="D22">
        <f t="shared" si="1"/>
        <v>2.2454559656991602E-2</v>
      </c>
      <c r="E22">
        <f t="shared" si="2"/>
        <v>4.4909119313983205E-2</v>
      </c>
      <c r="F22">
        <f t="shared" si="3"/>
        <v>6.7363678970974825E-2</v>
      </c>
      <c r="H22">
        <v>3</v>
      </c>
      <c r="I22" s="6">
        <f>D_马仔升级属性!A20</f>
        <v>101119</v>
      </c>
      <c r="J22" s="6" t="str">
        <f>D_马仔升级属性!B20</f>
        <v>笑面虎</v>
      </c>
      <c r="K22" s="6">
        <f>D_马仔升级属性!C20</f>
        <v>0.92914156609992427</v>
      </c>
      <c r="L22" s="6">
        <f>D_马仔升级属性!D20</f>
        <v>1.4158141604278076</v>
      </c>
      <c r="M22" s="6">
        <f>D_马仔升级属性!E20</f>
        <v>1.2236036880415946</v>
      </c>
      <c r="N22" s="6">
        <f>SUMPRODUCT(K22:M22,马仔辅助表!$S$7:$U$7)</f>
        <v>2.6765835111133991</v>
      </c>
      <c r="O22">
        <f>D_马仔经验!A20</f>
        <v>19</v>
      </c>
      <c r="P22">
        <f>D_马仔经验!B20</f>
        <v>1019</v>
      </c>
      <c r="Q22">
        <f>D_马仔经验!C20</f>
        <v>1019</v>
      </c>
      <c r="R22">
        <f>D_马仔经验!D20</f>
        <v>1019</v>
      </c>
      <c r="S22">
        <f>D_马仔经验!E20</f>
        <v>1019</v>
      </c>
      <c r="T22">
        <f>D_马仔经验!F20</f>
        <v>5426</v>
      </c>
      <c r="U22">
        <f>D_马仔经验!G20</f>
        <v>5426</v>
      </c>
      <c r="V22">
        <f>D_马仔经验!H20</f>
        <v>5426</v>
      </c>
      <c r="W22">
        <f>D_马仔经验!I20</f>
        <v>5426</v>
      </c>
    </row>
    <row r="23" spans="2:23">
      <c r="B23">
        <v>21</v>
      </c>
      <c r="C23">
        <f t="shared" si="0"/>
        <v>1.0138573905732572E-2</v>
      </c>
      <c r="D23">
        <f t="shared" si="1"/>
        <v>2.0277147811465144E-2</v>
      </c>
      <c r="E23">
        <f t="shared" si="2"/>
        <v>4.0554295622930288E-2</v>
      </c>
      <c r="F23">
        <f t="shared" si="3"/>
        <v>6.0831443434395449E-2</v>
      </c>
      <c r="O23">
        <f>D_马仔经验!A21</f>
        <v>20</v>
      </c>
      <c r="P23">
        <f>D_马仔经验!B21</f>
        <v>1192</v>
      </c>
      <c r="Q23">
        <f>D_马仔经验!C21</f>
        <v>1192</v>
      </c>
      <c r="R23">
        <f>D_马仔经验!D21</f>
        <v>1192</v>
      </c>
      <c r="S23">
        <f>D_马仔经验!E21</f>
        <v>1192</v>
      </c>
      <c r="T23">
        <f>D_马仔经验!F21</f>
        <v>6445</v>
      </c>
      <c r="U23">
        <f>D_马仔经验!G21</f>
        <v>6445</v>
      </c>
      <c r="V23">
        <f>D_马仔经验!H21</f>
        <v>6445</v>
      </c>
      <c r="W23">
        <f>D_马仔经验!I21</f>
        <v>6445</v>
      </c>
    </row>
    <row r="24" spans="2:23">
      <c r="B24">
        <v>22</v>
      </c>
      <c r="C24">
        <f t="shared" si="0"/>
        <v>9.1778112912242488E-3</v>
      </c>
      <c r="D24">
        <f t="shared" si="1"/>
        <v>1.8355622582448498E-2</v>
      </c>
      <c r="E24">
        <f t="shared" si="2"/>
        <v>3.6711245164896995E-2</v>
      </c>
      <c r="F24">
        <f t="shared" si="3"/>
        <v>5.5066867747345496E-2</v>
      </c>
      <c r="O24">
        <f>D_马仔经验!A22</f>
        <v>21</v>
      </c>
      <c r="P24">
        <f>D_马仔经验!B22</f>
        <v>1386</v>
      </c>
      <c r="Q24">
        <f>D_马仔经验!C22</f>
        <v>1386</v>
      </c>
      <c r="R24">
        <f>D_马仔经验!D22</f>
        <v>1386</v>
      </c>
      <c r="S24">
        <f>D_马仔经验!E22</f>
        <v>1386</v>
      </c>
      <c r="T24">
        <f>D_马仔经验!F22</f>
        <v>7637</v>
      </c>
      <c r="U24">
        <f>D_马仔经验!G22</f>
        <v>7637</v>
      </c>
      <c r="V24">
        <f>D_马仔经验!H22</f>
        <v>7637</v>
      </c>
      <c r="W24">
        <f>D_马仔经验!I22</f>
        <v>7637</v>
      </c>
    </row>
    <row r="25" spans="2:23">
      <c r="B25">
        <v>23</v>
      </c>
      <c r="C25">
        <f t="shared" si="0"/>
        <v>8.3281142797088994E-3</v>
      </c>
      <c r="D25">
        <f t="shared" si="1"/>
        <v>1.6656228559417799E-2</v>
      </c>
      <c r="E25">
        <f t="shared" si="2"/>
        <v>3.3312457118835598E-2</v>
      </c>
      <c r="F25">
        <f t="shared" si="3"/>
        <v>4.9968685678253397E-2</v>
      </c>
      <c r="O25">
        <f>D_马仔经验!A23</f>
        <v>22</v>
      </c>
      <c r="P25">
        <f>D_马仔经验!B23</f>
        <v>1604</v>
      </c>
      <c r="Q25">
        <f>D_马仔经验!C23</f>
        <v>1604</v>
      </c>
      <c r="R25">
        <f>D_马仔经验!D23</f>
        <v>1604</v>
      </c>
      <c r="S25">
        <f>D_马仔经验!E23</f>
        <v>1604</v>
      </c>
      <c r="T25">
        <f>D_马仔经验!F23</f>
        <v>9023</v>
      </c>
      <c r="U25">
        <f>D_马仔经验!G23</f>
        <v>9023</v>
      </c>
      <c r="V25">
        <f>D_马仔经验!H23</f>
        <v>9023</v>
      </c>
      <c r="W25">
        <f>D_马仔经验!I23</f>
        <v>9023</v>
      </c>
    </row>
    <row r="26" spans="2:23">
      <c r="B26">
        <v>24</v>
      </c>
      <c r="C26">
        <f t="shared" si="0"/>
        <v>7.5788112631809314E-3</v>
      </c>
      <c r="D26">
        <f t="shared" si="1"/>
        <v>1.5157622526361863E-2</v>
      </c>
      <c r="E26">
        <f t="shared" si="2"/>
        <v>3.0315245052723726E-2</v>
      </c>
      <c r="F26">
        <f t="shared" si="3"/>
        <v>4.5472867579085599E-2</v>
      </c>
      <c r="O26">
        <f>D_马仔经验!A24</f>
        <v>23</v>
      </c>
      <c r="P26">
        <f>D_马仔经验!B24</f>
        <v>1848</v>
      </c>
      <c r="Q26">
        <f>D_马仔经验!C24</f>
        <v>1848</v>
      </c>
      <c r="R26">
        <f>D_马仔经验!D24</f>
        <v>1848</v>
      </c>
      <c r="S26">
        <f>D_马仔经验!E24</f>
        <v>1848</v>
      </c>
      <c r="T26">
        <f>D_马仔经验!F24</f>
        <v>10627</v>
      </c>
      <c r="U26">
        <f>D_马仔经验!G24</f>
        <v>10627</v>
      </c>
      <c r="V26">
        <f>D_马仔经验!H24</f>
        <v>10627</v>
      </c>
      <c r="W26">
        <f>D_马仔经验!I24</f>
        <v>10627</v>
      </c>
    </row>
    <row r="27" spans="2:23">
      <c r="B27">
        <v>25</v>
      </c>
      <c r="C27">
        <f t="shared" si="0"/>
        <v>6.9155216802227141E-3</v>
      </c>
      <c r="D27">
        <f t="shared" si="1"/>
        <v>1.3831043360445428E-2</v>
      </c>
      <c r="E27">
        <f t="shared" si="2"/>
        <v>2.7662086720890856E-2</v>
      </c>
      <c r="F27">
        <f t="shared" si="3"/>
        <v>4.1493130081336288E-2</v>
      </c>
      <c r="O27">
        <f>D_马仔经验!A25</f>
        <v>24</v>
      </c>
      <c r="P27">
        <f>D_马仔经验!B25</f>
        <v>2119</v>
      </c>
      <c r="Q27">
        <f>D_马仔经验!C25</f>
        <v>2119</v>
      </c>
      <c r="R27">
        <f>D_马仔经验!D25</f>
        <v>2119</v>
      </c>
      <c r="S27">
        <f>D_马仔经验!E25</f>
        <v>2119</v>
      </c>
      <c r="T27">
        <f>D_马仔经验!F25</f>
        <v>12475</v>
      </c>
      <c r="U27">
        <f>D_马仔经验!G25</f>
        <v>12475</v>
      </c>
      <c r="V27">
        <f>D_马仔经验!H25</f>
        <v>12475</v>
      </c>
      <c r="W27">
        <f>D_马仔经验!I25</f>
        <v>12475</v>
      </c>
    </row>
    <row r="28" spans="2:23">
      <c r="B28">
        <v>26</v>
      </c>
      <c r="C28">
        <f t="shared" si="0"/>
        <v>6.3241704188429998E-3</v>
      </c>
      <c r="D28">
        <f t="shared" si="1"/>
        <v>1.2648340837686E-2</v>
      </c>
      <c r="E28">
        <f t="shared" si="2"/>
        <v>2.5296681675371999E-2</v>
      </c>
      <c r="F28">
        <f t="shared" si="3"/>
        <v>3.7945022513058015E-2</v>
      </c>
      <c r="O28">
        <f>D_马仔经验!A26</f>
        <v>25</v>
      </c>
      <c r="P28">
        <f>D_马仔经验!B26</f>
        <v>2419</v>
      </c>
      <c r="Q28">
        <f>D_马仔经验!C26</f>
        <v>2419</v>
      </c>
      <c r="R28">
        <f>D_马仔经验!D26</f>
        <v>2419</v>
      </c>
      <c r="S28">
        <f>D_马仔经验!E26</f>
        <v>2419</v>
      </c>
      <c r="T28">
        <f>D_马仔经验!F26</f>
        <v>14594</v>
      </c>
      <c r="U28">
        <f>D_马仔经验!G26</f>
        <v>14594</v>
      </c>
      <c r="V28">
        <f>D_马仔经验!H26</f>
        <v>14594</v>
      </c>
      <c r="W28">
        <f>D_马仔经验!I26</f>
        <v>14594</v>
      </c>
    </row>
    <row r="29" spans="2:23">
      <c r="B29">
        <v>27</v>
      </c>
      <c r="C29">
        <f t="shared" si="0"/>
        <v>5.7981189666288331E-3</v>
      </c>
      <c r="D29">
        <f t="shared" si="1"/>
        <v>1.1596237933257666E-2</v>
      </c>
      <c r="E29">
        <f t="shared" si="2"/>
        <v>2.3192475866515332E-2</v>
      </c>
      <c r="F29">
        <f t="shared" si="3"/>
        <v>3.4788713799773004E-2</v>
      </c>
      <c r="O29">
        <f>D_马仔经验!A27</f>
        <v>26</v>
      </c>
      <c r="P29">
        <f>D_马仔经验!B27</f>
        <v>2751</v>
      </c>
      <c r="Q29">
        <f>D_马仔经验!C27</f>
        <v>2751</v>
      </c>
      <c r="R29">
        <f>D_马仔经验!D27</f>
        <v>2751</v>
      </c>
      <c r="S29">
        <f>D_马仔经验!E27</f>
        <v>2751</v>
      </c>
      <c r="T29">
        <f>D_马仔经验!F27</f>
        <v>17013</v>
      </c>
      <c r="U29">
        <f>D_马仔经验!G27</f>
        <v>17013</v>
      </c>
      <c r="V29">
        <f>D_马仔经验!H27</f>
        <v>17013</v>
      </c>
      <c r="W29">
        <f>D_马仔经验!I27</f>
        <v>17013</v>
      </c>
    </row>
    <row r="30" spans="2:23">
      <c r="B30">
        <v>28</v>
      </c>
      <c r="C30">
        <f t="shared" si="0"/>
        <v>5.3272916058554999E-3</v>
      </c>
      <c r="D30">
        <f t="shared" si="1"/>
        <v>1.0654583211711E-2</v>
      </c>
      <c r="E30">
        <f t="shared" si="2"/>
        <v>2.1309166423422E-2</v>
      </c>
      <c r="F30">
        <f t="shared" si="3"/>
        <v>3.1963749635133008E-2</v>
      </c>
      <c r="O30">
        <f>D_马仔经验!A28</f>
        <v>27</v>
      </c>
      <c r="P30">
        <f>D_马仔经验!B28</f>
        <v>3116</v>
      </c>
      <c r="Q30">
        <f>D_马仔经验!C28</f>
        <v>3116</v>
      </c>
      <c r="R30">
        <f>D_马仔经验!D28</f>
        <v>3116</v>
      </c>
      <c r="S30">
        <f>D_马仔经验!E28</f>
        <v>3116</v>
      </c>
      <c r="T30">
        <f>D_马仔经验!F28</f>
        <v>19764</v>
      </c>
      <c r="U30">
        <f>D_马仔经验!G28</f>
        <v>19764</v>
      </c>
      <c r="V30">
        <f>D_马仔经验!H28</f>
        <v>19764</v>
      </c>
      <c r="W30">
        <f>D_马仔经验!I28</f>
        <v>19764</v>
      </c>
    </row>
    <row r="31" spans="2:23">
      <c r="B31">
        <v>29</v>
      </c>
      <c r="C31">
        <f t="shared" si="0"/>
        <v>4.9065058041901756E-3</v>
      </c>
      <c r="D31">
        <f t="shared" si="1"/>
        <v>9.8130116083803513E-3</v>
      </c>
      <c r="E31">
        <f t="shared" si="2"/>
        <v>1.9626023216760703E-2</v>
      </c>
      <c r="F31">
        <f t="shared" si="3"/>
        <v>2.9439034825141059E-2</v>
      </c>
      <c r="O31">
        <f>D_马仔经验!A29</f>
        <v>28</v>
      </c>
      <c r="P31">
        <f>D_马仔经验!B29</f>
        <v>3517</v>
      </c>
      <c r="Q31">
        <f>D_马仔经验!C29</f>
        <v>3517</v>
      </c>
      <c r="R31">
        <f>D_马仔经验!D29</f>
        <v>3517</v>
      </c>
      <c r="S31">
        <f>D_马仔经验!E29</f>
        <v>3517</v>
      </c>
      <c r="T31">
        <f>D_马仔经验!F29</f>
        <v>22880</v>
      </c>
      <c r="U31">
        <f>D_马仔经验!G29</f>
        <v>22880</v>
      </c>
      <c r="V31">
        <f>D_马仔经验!H29</f>
        <v>22880</v>
      </c>
      <c r="W31">
        <f>D_马仔经验!I29</f>
        <v>22880</v>
      </c>
    </row>
    <row r="32" spans="2:23">
      <c r="B32">
        <v>30</v>
      </c>
      <c r="C32">
        <f t="shared" si="0"/>
        <v>4.5294170427234871E-3</v>
      </c>
      <c r="D32">
        <f t="shared" si="1"/>
        <v>9.0588340854469741E-3</v>
      </c>
      <c r="E32">
        <f t="shared" si="2"/>
        <v>1.8117668170893948E-2</v>
      </c>
      <c r="F32">
        <f t="shared" si="3"/>
        <v>2.7176502256340922E-2</v>
      </c>
      <c r="O32">
        <f>D_马仔经验!A30</f>
        <v>29</v>
      </c>
      <c r="P32">
        <f>D_马仔经验!B30</f>
        <v>3955</v>
      </c>
      <c r="Q32">
        <f>D_马仔经验!C30</f>
        <v>3955</v>
      </c>
      <c r="R32">
        <f>D_马仔经验!D30</f>
        <v>3955</v>
      </c>
      <c r="S32">
        <f>D_马仔经验!E30</f>
        <v>3955</v>
      </c>
      <c r="T32">
        <f>D_马仔经验!F30</f>
        <v>26397</v>
      </c>
      <c r="U32">
        <f>D_马仔经验!G30</f>
        <v>26397</v>
      </c>
      <c r="V32">
        <f>D_马仔经验!H30</f>
        <v>26397</v>
      </c>
      <c r="W32">
        <f>D_马仔经验!I30</f>
        <v>26397</v>
      </c>
    </row>
    <row r="33" spans="2:23">
      <c r="B33">
        <v>31</v>
      </c>
      <c r="C33">
        <f t="shared" si="0"/>
        <v>4.1897641307066949E-3</v>
      </c>
      <c r="D33">
        <f t="shared" si="1"/>
        <v>8.3795282614133899E-3</v>
      </c>
      <c r="E33">
        <f t="shared" si="2"/>
        <v>1.675905652282678E-2</v>
      </c>
      <c r="F33">
        <f t="shared" si="3"/>
        <v>2.5138584784240168E-2</v>
      </c>
      <c r="O33">
        <f>D_马仔经验!A31</f>
        <v>30</v>
      </c>
      <c r="P33">
        <f>D_马仔经验!B31</f>
        <v>4432</v>
      </c>
      <c r="Q33">
        <f>D_马仔经验!C31</f>
        <v>4432</v>
      </c>
      <c r="R33">
        <f>D_马仔经验!D31</f>
        <v>4432</v>
      </c>
      <c r="S33">
        <f>D_马仔经验!E31</f>
        <v>4432</v>
      </c>
      <c r="T33">
        <f>D_马仔经验!F31</f>
        <v>30352</v>
      </c>
      <c r="U33">
        <f>D_马仔经验!G31</f>
        <v>30352</v>
      </c>
      <c r="V33">
        <f>D_马仔经验!H31</f>
        <v>30352</v>
      </c>
      <c r="W33">
        <f>D_马仔经验!I31</f>
        <v>30352</v>
      </c>
    </row>
    <row r="34" spans="2:23">
      <c r="B34">
        <v>32</v>
      </c>
      <c r="C34">
        <f t="shared" si="0"/>
        <v>3.8826234068734711E-3</v>
      </c>
      <c r="D34">
        <f t="shared" si="1"/>
        <v>7.7652468137469422E-3</v>
      </c>
      <c r="E34">
        <f t="shared" si="2"/>
        <v>1.5530493627493884E-2</v>
      </c>
      <c r="F34">
        <f t="shared" si="3"/>
        <v>2.3295740441240831E-2</v>
      </c>
      <c r="O34">
        <f>D_马仔经验!A32</f>
        <v>31</v>
      </c>
      <c r="P34">
        <f>D_马仔经验!B32</f>
        <v>4951</v>
      </c>
      <c r="Q34">
        <f>D_马仔经验!C32</f>
        <v>4951</v>
      </c>
      <c r="R34">
        <f>D_马仔经验!D32</f>
        <v>4951</v>
      </c>
      <c r="S34">
        <f>D_马仔经验!E32</f>
        <v>4951</v>
      </c>
      <c r="T34">
        <f>D_马仔经验!F32</f>
        <v>34784</v>
      </c>
      <c r="U34">
        <f>D_马仔经验!G32</f>
        <v>34784</v>
      </c>
      <c r="V34">
        <f>D_马仔经验!H32</f>
        <v>34784</v>
      </c>
      <c r="W34">
        <f>D_马仔经验!I32</f>
        <v>34784</v>
      </c>
    </row>
    <row r="35" spans="2:23">
      <c r="B35">
        <v>33</v>
      </c>
      <c r="C35">
        <f t="shared" si="0"/>
        <v>3.6051941170098844E-3</v>
      </c>
      <c r="D35">
        <f t="shared" si="1"/>
        <v>7.2103882340197687E-3</v>
      </c>
      <c r="E35">
        <f t="shared" si="2"/>
        <v>1.4420776468039537E-2</v>
      </c>
      <c r="F35">
        <f t="shared" si="3"/>
        <v>2.1631164702059308E-2</v>
      </c>
      <c r="O35">
        <f>D_马仔经验!A33</f>
        <v>32</v>
      </c>
      <c r="P35">
        <f>D_马仔经验!B33</f>
        <v>5515</v>
      </c>
      <c r="Q35">
        <f>D_马仔经验!C33</f>
        <v>5515</v>
      </c>
      <c r="R35">
        <f>D_马仔经验!D33</f>
        <v>5515</v>
      </c>
      <c r="S35">
        <f>D_马仔经验!E33</f>
        <v>5515</v>
      </c>
      <c r="T35">
        <f>D_马仔经验!F33</f>
        <v>39735</v>
      </c>
      <c r="U35">
        <f>D_马仔经验!G33</f>
        <v>39735</v>
      </c>
      <c r="V35">
        <f>D_马仔经验!H33</f>
        <v>39735</v>
      </c>
      <c r="W35">
        <f>D_马仔经验!I33</f>
        <v>39735</v>
      </c>
    </row>
    <row r="36" spans="2:23">
      <c r="B36">
        <v>34</v>
      </c>
      <c r="C36">
        <f t="shared" si="0"/>
        <v>3.3536202600919652E-3</v>
      </c>
      <c r="D36">
        <f t="shared" si="1"/>
        <v>6.7072405201839304E-3</v>
      </c>
      <c r="E36">
        <f t="shared" si="2"/>
        <v>1.3414481040367861E-2</v>
      </c>
      <c r="F36">
        <f t="shared" si="3"/>
        <v>2.0121721560551795E-2</v>
      </c>
      <c r="O36">
        <f>D_马仔经验!A34</f>
        <v>33</v>
      </c>
      <c r="P36">
        <f>D_马仔经验!B34</f>
        <v>6125</v>
      </c>
      <c r="Q36">
        <f>D_马仔经验!C34</f>
        <v>6125</v>
      </c>
      <c r="R36">
        <f>D_马仔经验!D34</f>
        <v>6125</v>
      </c>
      <c r="S36">
        <f>D_马仔经验!E34</f>
        <v>6125</v>
      </c>
      <c r="T36">
        <f>D_马仔经验!F34</f>
        <v>45250</v>
      </c>
      <c r="U36">
        <f>D_马仔经验!G34</f>
        <v>45250</v>
      </c>
      <c r="V36">
        <f>D_马仔经验!H34</f>
        <v>45250</v>
      </c>
      <c r="W36">
        <f>D_马仔经验!I34</f>
        <v>45250</v>
      </c>
    </row>
    <row r="37" spans="2:23">
      <c r="B37">
        <v>35</v>
      </c>
      <c r="C37">
        <f t="shared" si="0"/>
        <v>3.1251809076917854E-3</v>
      </c>
      <c r="D37">
        <f t="shared" si="1"/>
        <v>6.2503618153835708E-3</v>
      </c>
      <c r="E37">
        <f t="shared" si="2"/>
        <v>1.2500723630767142E-2</v>
      </c>
      <c r="F37">
        <f t="shared" si="3"/>
        <v>1.8751085446150718E-2</v>
      </c>
      <c r="O37">
        <f>D_马仔经验!A35</f>
        <v>34</v>
      </c>
      <c r="P37">
        <f>D_马仔经验!B35</f>
        <v>6784</v>
      </c>
      <c r="Q37">
        <f>D_马仔经验!C35</f>
        <v>6784</v>
      </c>
      <c r="R37">
        <f>D_马仔经验!D35</f>
        <v>6784</v>
      </c>
      <c r="S37">
        <f>D_马仔经验!E35</f>
        <v>6784</v>
      </c>
      <c r="T37">
        <f>D_马仔经验!F35</f>
        <v>51375</v>
      </c>
      <c r="U37">
        <f>D_马仔经验!G35</f>
        <v>51375</v>
      </c>
      <c r="V37">
        <f>D_马仔经验!H35</f>
        <v>51375</v>
      </c>
      <c r="W37">
        <f>D_马仔经验!I35</f>
        <v>51375</v>
      </c>
    </row>
    <row r="38" spans="2:23">
      <c r="B38">
        <v>36</v>
      </c>
      <c r="C38">
        <f t="shared" si="0"/>
        <v>2.9170806006321862E-3</v>
      </c>
      <c r="D38">
        <f t="shared" si="1"/>
        <v>5.8341612012643724E-3</v>
      </c>
      <c r="E38">
        <f t="shared" si="2"/>
        <v>1.1668322402528745E-2</v>
      </c>
      <c r="F38">
        <f t="shared" si="3"/>
        <v>1.7502483603793119E-2</v>
      </c>
      <c r="O38">
        <f>D_马仔经验!A36</f>
        <v>35</v>
      </c>
      <c r="P38">
        <f>D_马仔经验!B36</f>
        <v>7494</v>
      </c>
      <c r="Q38">
        <f>D_马仔经验!C36</f>
        <v>7494</v>
      </c>
      <c r="R38">
        <f>D_马仔经验!D36</f>
        <v>7494</v>
      </c>
      <c r="S38">
        <f>D_马仔经验!E36</f>
        <v>7494</v>
      </c>
      <c r="T38">
        <f>D_马仔经验!F36</f>
        <v>58159</v>
      </c>
      <c r="U38">
        <f>D_马仔经验!G36</f>
        <v>58159</v>
      </c>
      <c r="V38">
        <f>D_马仔经验!H36</f>
        <v>58159</v>
      </c>
      <c r="W38">
        <f>D_马仔经验!I36</f>
        <v>58159</v>
      </c>
    </row>
    <row r="39" spans="2:23">
      <c r="B39">
        <v>37</v>
      </c>
      <c r="C39">
        <f t="shared" si="0"/>
        <v>2.72699608743242E-3</v>
      </c>
      <c r="D39">
        <f t="shared" si="1"/>
        <v>5.45399217486484E-3</v>
      </c>
      <c r="E39">
        <f t="shared" si="2"/>
        <v>1.090798434972968E-2</v>
      </c>
      <c r="F39">
        <f t="shared" si="3"/>
        <v>1.6361976524594524E-2</v>
      </c>
      <c r="O39">
        <f>D_马仔经验!A37</f>
        <v>36</v>
      </c>
      <c r="P39">
        <f>D_马仔经验!B37</f>
        <v>8258</v>
      </c>
      <c r="Q39">
        <f>D_马仔经验!C37</f>
        <v>8258</v>
      </c>
      <c r="R39">
        <f>D_马仔经验!D37</f>
        <v>8258</v>
      </c>
      <c r="S39">
        <f>D_马仔经验!E37</f>
        <v>8258</v>
      </c>
      <c r="T39">
        <f>D_马仔经验!F37</f>
        <v>65653</v>
      </c>
      <c r="U39">
        <f>D_马仔经验!G37</f>
        <v>65653</v>
      </c>
      <c r="V39">
        <f>D_马仔经验!H37</f>
        <v>65653</v>
      </c>
      <c r="W39">
        <f>D_马仔经验!I37</f>
        <v>65653</v>
      </c>
    </row>
    <row r="40" spans="2:23">
      <c r="B40">
        <v>38</v>
      </c>
      <c r="C40">
        <f t="shared" si="0"/>
        <v>2.5532225480045479E-3</v>
      </c>
      <c r="D40">
        <f t="shared" si="1"/>
        <v>5.1064450960090959E-3</v>
      </c>
      <c r="E40">
        <f t="shared" si="2"/>
        <v>1.0212890192018192E-2</v>
      </c>
      <c r="F40">
        <f t="shared" si="3"/>
        <v>1.5319335288027288E-2</v>
      </c>
      <c r="O40">
        <f>D_马仔经验!A38</f>
        <v>37</v>
      </c>
      <c r="P40">
        <f>D_马仔经验!B38</f>
        <v>9079</v>
      </c>
      <c r="Q40">
        <f>D_马仔经验!C38</f>
        <v>9079</v>
      </c>
      <c r="R40">
        <f>D_马仔经验!D38</f>
        <v>9079</v>
      </c>
      <c r="S40">
        <f>D_马仔经验!E38</f>
        <v>9079</v>
      </c>
      <c r="T40">
        <f>D_马仔经验!F38</f>
        <v>73911</v>
      </c>
      <c r="U40">
        <f>D_马仔经验!G38</f>
        <v>73911</v>
      </c>
      <c r="V40">
        <f>D_马仔经验!H38</f>
        <v>73911</v>
      </c>
      <c r="W40">
        <f>D_马仔经验!I38</f>
        <v>73911</v>
      </c>
    </row>
    <row r="41" spans="2:23">
      <c r="B41">
        <v>39</v>
      </c>
      <c r="C41">
        <f t="shared" si="0"/>
        <v>2.394191672784921E-3</v>
      </c>
      <c r="D41">
        <f t="shared" si="1"/>
        <v>4.7883833455698421E-3</v>
      </c>
      <c r="E41">
        <f t="shared" si="2"/>
        <v>9.5767666911396841E-3</v>
      </c>
      <c r="F41">
        <f t="shared" si="3"/>
        <v>1.4365150036709531E-2</v>
      </c>
      <c r="O41">
        <f>D_马仔经验!A39</f>
        <v>38</v>
      </c>
      <c r="P41">
        <f>D_马仔经验!B39</f>
        <v>9959</v>
      </c>
      <c r="Q41">
        <f>D_马仔经验!C39</f>
        <v>9959</v>
      </c>
      <c r="R41">
        <f>D_马仔经验!D39</f>
        <v>9959</v>
      </c>
      <c r="S41">
        <f>D_马仔经验!E39</f>
        <v>9959</v>
      </c>
      <c r="T41">
        <f>D_马仔经验!F39</f>
        <v>82990</v>
      </c>
      <c r="U41">
        <f>D_马仔经验!G39</f>
        <v>82990</v>
      </c>
      <c r="V41">
        <f>D_马仔经验!H39</f>
        <v>82990</v>
      </c>
      <c r="W41">
        <f>D_马仔经验!I39</f>
        <v>82990</v>
      </c>
    </row>
    <row r="42" spans="2:23">
      <c r="B42">
        <v>40</v>
      </c>
      <c r="C42">
        <f t="shared" si="0"/>
        <v>2.2480963473151343E-3</v>
      </c>
      <c r="D42">
        <f t="shared" si="1"/>
        <v>4.4961926946302687E-3</v>
      </c>
      <c r="E42">
        <f t="shared" si="2"/>
        <v>8.9923853892605373E-3</v>
      </c>
      <c r="F42">
        <f t="shared" si="3"/>
        <v>1.3488578083890809E-2</v>
      </c>
      <c r="O42">
        <f>D_马仔经验!A40</f>
        <v>39</v>
      </c>
      <c r="P42">
        <f>D_马仔经验!B40</f>
        <v>10900</v>
      </c>
      <c r="Q42">
        <f>D_马仔经验!C40</f>
        <v>10900</v>
      </c>
      <c r="R42">
        <f>D_马仔经验!D40</f>
        <v>10900</v>
      </c>
      <c r="S42">
        <f>D_马仔经验!E40</f>
        <v>10900</v>
      </c>
      <c r="T42">
        <f>D_马仔经验!F40</f>
        <v>92949</v>
      </c>
      <c r="U42">
        <f>D_马仔经验!G40</f>
        <v>92949</v>
      </c>
      <c r="V42">
        <f>D_马仔经验!H40</f>
        <v>92949</v>
      </c>
      <c r="W42">
        <f>D_马仔经验!I40</f>
        <v>92949</v>
      </c>
    </row>
    <row r="43" spans="2:23">
      <c r="B43">
        <v>41</v>
      </c>
      <c r="C43">
        <f t="shared" si="0"/>
        <v>2.1136348989917058E-3</v>
      </c>
      <c r="D43">
        <f t="shared" si="1"/>
        <v>4.2272697979834116E-3</v>
      </c>
      <c r="E43">
        <f t="shared" si="2"/>
        <v>8.4545395959668233E-3</v>
      </c>
      <c r="F43">
        <f t="shared" si="3"/>
        <v>1.2681809393950236E-2</v>
      </c>
      <c r="O43">
        <f>D_马仔经验!A41</f>
        <v>40</v>
      </c>
      <c r="P43">
        <f>D_马仔经验!B41</f>
        <v>11906</v>
      </c>
      <c r="Q43">
        <f>D_马仔经验!C41</f>
        <v>11906</v>
      </c>
      <c r="R43">
        <f>D_马仔经验!D41</f>
        <v>11906</v>
      </c>
      <c r="S43">
        <f>D_马仔经验!E41</f>
        <v>11906</v>
      </c>
      <c r="T43">
        <f>D_马仔经验!F41</f>
        <v>103849</v>
      </c>
      <c r="U43">
        <f>D_马仔经验!G41</f>
        <v>103849</v>
      </c>
      <c r="V43">
        <f>D_马仔经验!H41</f>
        <v>103849</v>
      </c>
      <c r="W43">
        <f>D_马仔经验!I41</f>
        <v>103849</v>
      </c>
    </row>
    <row r="44" spans="2:23">
      <c r="B44">
        <v>42</v>
      </c>
      <c r="C44">
        <f t="shared" si="0"/>
        <v>1.9899544619904194E-3</v>
      </c>
      <c r="D44">
        <f t="shared" si="1"/>
        <v>3.9799089239808388E-3</v>
      </c>
      <c r="E44">
        <f t="shared" si="2"/>
        <v>7.9598178479616775E-3</v>
      </c>
      <c r="F44">
        <f t="shared" si="3"/>
        <v>1.1939726771942518E-2</v>
      </c>
      <c r="O44">
        <f>D_马仔经验!A42</f>
        <v>41</v>
      </c>
      <c r="P44">
        <f>D_马仔经验!B42</f>
        <v>12980</v>
      </c>
      <c r="Q44">
        <f>D_马仔经验!C42</f>
        <v>12980</v>
      </c>
      <c r="R44">
        <f>D_马仔经验!D42</f>
        <v>12980</v>
      </c>
      <c r="S44">
        <f>D_马仔经验!E42</f>
        <v>12980</v>
      </c>
      <c r="T44">
        <f>D_马仔经验!F42</f>
        <v>115755</v>
      </c>
      <c r="U44">
        <f>D_马仔经验!G42</f>
        <v>115755</v>
      </c>
      <c r="V44">
        <f>D_马仔经验!H42</f>
        <v>115755</v>
      </c>
      <c r="W44">
        <f>D_马仔经验!I42</f>
        <v>115755</v>
      </c>
    </row>
    <row r="45" spans="2:23">
      <c r="B45">
        <v>43</v>
      </c>
      <c r="C45">
        <f t="shared" si="0"/>
        <v>1.8757022649588684E-3</v>
      </c>
      <c r="D45">
        <f t="shared" si="1"/>
        <v>3.7514045299177367E-3</v>
      </c>
      <c r="E45">
        <f t="shared" si="2"/>
        <v>7.5028090598354734E-3</v>
      </c>
      <c r="F45">
        <f t="shared" si="3"/>
        <v>1.1254213589753212E-2</v>
      </c>
      <c r="O45">
        <f>D_马仔经验!A43</f>
        <v>42</v>
      </c>
      <c r="P45">
        <f>D_马仔经验!B43</f>
        <v>14123</v>
      </c>
      <c r="Q45">
        <f>D_马仔经验!C43</f>
        <v>14123</v>
      </c>
      <c r="R45">
        <f>D_马仔经验!D43</f>
        <v>14123</v>
      </c>
      <c r="S45">
        <f>D_马仔经验!E43</f>
        <v>14123</v>
      </c>
      <c r="T45">
        <f>D_马仔经验!F43</f>
        <v>128735</v>
      </c>
      <c r="U45">
        <f>D_马仔经验!G43</f>
        <v>128735</v>
      </c>
      <c r="V45">
        <f>D_马仔经验!H43</f>
        <v>128735</v>
      </c>
      <c r="W45">
        <f>D_马仔经验!I43</f>
        <v>128735</v>
      </c>
    </row>
    <row r="46" spans="2:23">
      <c r="B46">
        <v>44</v>
      </c>
      <c r="C46">
        <f t="shared" si="0"/>
        <v>1.7701207612726142E-3</v>
      </c>
      <c r="D46">
        <f t="shared" si="1"/>
        <v>3.5402415225452284E-3</v>
      </c>
      <c r="E46">
        <f t="shared" si="2"/>
        <v>7.0804830450904568E-3</v>
      </c>
      <c r="F46">
        <f t="shared" si="3"/>
        <v>1.0620724567635685E-2</v>
      </c>
      <c r="O46">
        <f>D_马仔经验!A44</f>
        <v>43</v>
      </c>
      <c r="P46">
        <f>D_马仔经验!B44</f>
        <v>15340</v>
      </c>
      <c r="Q46">
        <f>D_马仔经验!C44</f>
        <v>15340</v>
      </c>
      <c r="R46">
        <f>D_马仔经验!D44</f>
        <v>15340</v>
      </c>
      <c r="S46">
        <f>D_马仔经验!E44</f>
        <v>15340</v>
      </c>
      <c r="T46">
        <f>D_马仔经验!F44</f>
        <v>142858</v>
      </c>
      <c r="U46">
        <f>D_马仔经验!G44</f>
        <v>142858</v>
      </c>
      <c r="V46">
        <f>D_马仔经验!H44</f>
        <v>142858</v>
      </c>
      <c r="W46">
        <f>D_马仔经验!I44</f>
        <v>142858</v>
      </c>
    </row>
    <row r="47" spans="2:23">
      <c r="B47">
        <v>45</v>
      </c>
      <c r="C47">
        <f t="shared" si="0"/>
        <v>1.672400138851749E-3</v>
      </c>
      <c r="D47">
        <f t="shared" si="1"/>
        <v>3.344800277703498E-3</v>
      </c>
      <c r="E47">
        <f t="shared" si="2"/>
        <v>6.689600555406996E-3</v>
      </c>
      <c r="F47">
        <f t="shared" si="3"/>
        <v>1.0034400833110496E-2</v>
      </c>
      <c r="O47">
        <f>D_马仔经验!A45</f>
        <v>44</v>
      </c>
      <c r="P47">
        <f>D_马仔经验!B45</f>
        <v>16633</v>
      </c>
      <c r="Q47">
        <f>D_马仔经验!C45</f>
        <v>16633</v>
      </c>
      <c r="R47">
        <f>D_马仔经验!D45</f>
        <v>16633</v>
      </c>
      <c r="S47">
        <f>D_马仔经验!E45</f>
        <v>16633</v>
      </c>
      <c r="T47">
        <f>D_马仔经验!F45</f>
        <v>158198</v>
      </c>
      <c r="U47">
        <f>D_马仔经验!G45</f>
        <v>158198</v>
      </c>
      <c r="V47">
        <f>D_马仔经验!H45</f>
        <v>158198</v>
      </c>
      <c r="W47">
        <f>D_马仔经验!I45</f>
        <v>158198</v>
      </c>
    </row>
    <row r="48" spans="2:23">
      <c r="B48">
        <v>46</v>
      </c>
      <c r="C48">
        <f t="shared" si="0"/>
        <v>1.5818238541448219E-3</v>
      </c>
      <c r="D48">
        <f t="shared" si="1"/>
        <v>3.1636477082896438E-3</v>
      </c>
      <c r="E48">
        <f t="shared" si="2"/>
        <v>6.3272954165792877E-3</v>
      </c>
      <c r="F48">
        <f t="shared" si="3"/>
        <v>9.4909431248689329E-3</v>
      </c>
      <c r="O48">
        <f>D_马仔经验!A46</f>
        <v>45</v>
      </c>
      <c r="P48">
        <f>D_马仔经验!B46</f>
        <v>18005</v>
      </c>
      <c r="Q48">
        <f>D_马仔经验!C46</f>
        <v>18005</v>
      </c>
      <c r="R48">
        <f>D_马仔经验!D46</f>
        <v>18005</v>
      </c>
      <c r="S48">
        <f>D_马仔经验!E46</f>
        <v>18005</v>
      </c>
      <c r="T48">
        <f>D_马仔经验!F46</f>
        <v>174831</v>
      </c>
      <c r="U48">
        <f>D_马仔经验!G46</f>
        <v>174831</v>
      </c>
      <c r="V48">
        <f>D_马仔经验!H46</f>
        <v>174831</v>
      </c>
      <c r="W48">
        <f>D_马仔经验!I46</f>
        <v>174831</v>
      </c>
    </row>
    <row r="49" spans="2:23">
      <c r="B49">
        <v>47</v>
      </c>
      <c r="C49">
        <f t="shared" si="0"/>
        <v>1.4976835209096833E-3</v>
      </c>
      <c r="D49">
        <f t="shared" si="1"/>
        <v>2.9953670418193666E-3</v>
      </c>
      <c r="E49">
        <f t="shared" si="2"/>
        <v>5.9907340836387333E-3</v>
      </c>
      <c r="F49">
        <f t="shared" si="3"/>
        <v>8.9861011254581021E-3</v>
      </c>
      <c r="O49">
        <f>D_马仔经验!A47</f>
        <v>46</v>
      </c>
      <c r="P49">
        <f>D_马仔经验!B47</f>
        <v>19459</v>
      </c>
      <c r="Q49">
        <f>D_马仔经验!C47</f>
        <v>19459</v>
      </c>
      <c r="R49">
        <f>D_马仔经验!D47</f>
        <v>19459</v>
      </c>
      <c r="S49">
        <f>D_马仔经验!E47</f>
        <v>19459</v>
      </c>
      <c r="T49">
        <f>D_马仔经验!F47</f>
        <v>192836</v>
      </c>
      <c r="U49">
        <f>D_马仔经验!G47</f>
        <v>192836</v>
      </c>
      <c r="V49">
        <f>D_马仔经验!H47</f>
        <v>192836</v>
      </c>
      <c r="W49">
        <f>D_马仔经验!I47</f>
        <v>192836</v>
      </c>
    </row>
    <row r="50" spans="2:23">
      <c r="B50">
        <v>48</v>
      </c>
      <c r="C50">
        <f t="shared" si="0"/>
        <v>1.4194989231166653E-3</v>
      </c>
      <c r="D50">
        <f t="shared" si="1"/>
        <v>2.8389978462333306E-3</v>
      </c>
      <c r="E50">
        <f t="shared" si="2"/>
        <v>5.6779956924666612E-3</v>
      </c>
      <c r="F50">
        <f t="shared" si="3"/>
        <v>8.5169935386999948E-3</v>
      </c>
      <c r="O50">
        <f>D_马仔经验!A48</f>
        <v>47</v>
      </c>
      <c r="P50">
        <f>D_马仔经验!B48</f>
        <v>20999</v>
      </c>
      <c r="Q50">
        <f>D_马仔经验!C48</f>
        <v>20999</v>
      </c>
      <c r="R50">
        <f>D_马仔经验!D48</f>
        <v>20999</v>
      </c>
      <c r="S50">
        <f>D_马仔经验!E48</f>
        <v>20999</v>
      </c>
      <c r="T50">
        <f>D_马仔经验!F48</f>
        <v>212295</v>
      </c>
      <c r="U50">
        <f>D_马仔经验!G48</f>
        <v>212295</v>
      </c>
      <c r="V50">
        <f>D_马仔经验!H48</f>
        <v>212295</v>
      </c>
      <c r="W50">
        <f>D_马仔经验!I48</f>
        <v>212295</v>
      </c>
    </row>
    <row r="51" spans="2:23">
      <c r="B51">
        <v>49</v>
      </c>
      <c r="C51">
        <f t="shared" si="0"/>
        <v>1.3466464601256422E-3</v>
      </c>
      <c r="D51">
        <f t="shared" si="1"/>
        <v>2.6932929202512844E-3</v>
      </c>
      <c r="E51">
        <f t="shared" si="2"/>
        <v>5.3865858405025687E-3</v>
      </c>
      <c r="F51">
        <f t="shared" si="3"/>
        <v>8.0798787607538544E-3</v>
      </c>
      <c r="O51">
        <f>D_马仔经验!A49</f>
        <v>48</v>
      </c>
      <c r="P51">
        <f>D_马仔经验!B49</f>
        <v>22627</v>
      </c>
      <c r="Q51">
        <f>D_马仔经验!C49</f>
        <v>22627</v>
      </c>
      <c r="R51">
        <f>D_马仔经验!D49</f>
        <v>22627</v>
      </c>
      <c r="S51">
        <f>D_马仔经验!E49</f>
        <v>22627</v>
      </c>
      <c r="T51">
        <f>D_马仔经验!F49</f>
        <v>233294</v>
      </c>
      <c r="U51">
        <f>D_马仔经验!G49</f>
        <v>233294</v>
      </c>
      <c r="V51">
        <f>D_马仔经验!H49</f>
        <v>233294</v>
      </c>
      <c r="W51">
        <f>D_马仔经验!I49</f>
        <v>233294</v>
      </c>
    </row>
    <row r="52" spans="2:23">
      <c r="B52">
        <v>50</v>
      </c>
      <c r="C52">
        <f t="shared" si="0"/>
        <v>1.2788018915612695E-3</v>
      </c>
      <c r="D52">
        <f t="shared" si="1"/>
        <v>2.5576037831225389E-3</v>
      </c>
      <c r="E52">
        <f t="shared" si="2"/>
        <v>5.1152075662450778E-3</v>
      </c>
      <c r="F52">
        <f t="shared" si="3"/>
        <v>7.6728113493676172E-3</v>
      </c>
      <c r="O52">
        <f>D_马仔经验!A50</f>
        <v>49</v>
      </c>
      <c r="P52">
        <f>D_马仔经验!B50</f>
        <v>24348</v>
      </c>
      <c r="Q52">
        <f>D_马仔经验!C50</f>
        <v>24348</v>
      </c>
      <c r="R52">
        <f>D_马仔经验!D50</f>
        <v>24348</v>
      </c>
      <c r="S52">
        <f>D_马仔经验!E50</f>
        <v>24348</v>
      </c>
      <c r="T52">
        <f>D_马仔经验!F50</f>
        <v>255921</v>
      </c>
      <c r="U52">
        <f>D_马仔经验!G50</f>
        <v>255921</v>
      </c>
      <c r="V52">
        <f>D_马仔经验!H50</f>
        <v>255921</v>
      </c>
      <c r="W52">
        <f>D_马仔经验!I50</f>
        <v>255921</v>
      </c>
    </row>
    <row r="53" spans="2:23">
      <c r="B53">
        <v>51</v>
      </c>
      <c r="C53">
        <f t="shared" si="0"/>
        <v>1.2154589082414731E-3</v>
      </c>
      <c r="D53">
        <f t="shared" si="1"/>
        <v>2.4309178164829462E-3</v>
      </c>
      <c r="E53">
        <f t="shared" si="2"/>
        <v>4.8618356329658925E-3</v>
      </c>
      <c r="F53">
        <f t="shared" si="3"/>
        <v>7.2927534494488392E-3</v>
      </c>
      <c r="O53">
        <f>D_马仔经验!A51</f>
        <v>50</v>
      </c>
      <c r="P53">
        <f>D_马仔经验!B51</f>
        <v>26163</v>
      </c>
      <c r="Q53">
        <f>D_马仔经验!C51</f>
        <v>26163</v>
      </c>
      <c r="R53">
        <f>D_马仔经验!D51</f>
        <v>26163</v>
      </c>
      <c r="S53">
        <f>D_马仔经验!E51</f>
        <v>26163</v>
      </c>
      <c r="T53">
        <f>D_马仔经验!F51</f>
        <v>280269</v>
      </c>
      <c r="U53">
        <f>D_马仔经验!G51</f>
        <v>280269</v>
      </c>
      <c r="V53">
        <f>D_马仔经验!H51</f>
        <v>280269</v>
      </c>
      <c r="W53">
        <f>D_马仔经验!I51</f>
        <v>280269</v>
      </c>
    </row>
    <row r="54" spans="2:23">
      <c r="B54">
        <v>52</v>
      </c>
      <c r="C54">
        <f t="shared" si="0"/>
        <v>1.1562684227054195E-3</v>
      </c>
      <c r="D54">
        <f t="shared" si="1"/>
        <v>2.312536845410839E-3</v>
      </c>
      <c r="E54">
        <f t="shared" si="2"/>
        <v>4.625073690821678E-3</v>
      </c>
      <c r="F54">
        <f t="shared" si="3"/>
        <v>6.9376105362325188E-3</v>
      </c>
      <c r="O54">
        <f>D_马仔经验!A52</f>
        <v>51</v>
      </c>
      <c r="P54">
        <f>D_马仔经验!B52</f>
        <v>28077</v>
      </c>
      <c r="Q54">
        <f>D_马仔经验!C52</f>
        <v>28077</v>
      </c>
      <c r="R54">
        <f>D_马仔经验!D52</f>
        <v>28077</v>
      </c>
      <c r="S54">
        <f>D_马仔经验!E52</f>
        <v>28077</v>
      </c>
      <c r="T54">
        <f>D_马仔经验!F52</f>
        <v>306432</v>
      </c>
      <c r="U54">
        <f>D_马仔经验!G52</f>
        <v>306432</v>
      </c>
      <c r="V54">
        <f>D_马仔经验!H52</f>
        <v>306432</v>
      </c>
      <c r="W54">
        <f>D_马仔经验!I52</f>
        <v>306432</v>
      </c>
    </row>
    <row r="55" spans="2:23">
      <c r="B55">
        <v>53</v>
      </c>
      <c r="C55">
        <f t="shared" si="0"/>
        <v>1.1008763471132246E-3</v>
      </c>
      <c r="D55">
        <f t="shared" si="1"/>
        <v>2.2017526942264493E-3</v>
      </c>
      <c r="E55">
        <f t="shared" si="2"/>
        <v>4.4035053884528986E-3</v>
      </c>
      <c r="F55">
        <f t="shared" si="3"/>
        <v>6.6052580826793505E-3</v>
      </c>
      <c r="O55">
        <f>D_马仔经验!A53</f>
        <v>52</v>
      </c>
      <c r="P55">
        <f>D_马仔经验!B53</f>
        <v>30093</v>
      </c>
      <c r="Q55">
        <f>D_马仔经验!C53</f>
        <v>30093</v>
      </c>
      <c r="R55">
        <f>D_马仔经验!D53</f>
        <v>30093</v>
      </c>
      <c r="S55">
        <f>D_马仔经验!E53</f>
        <v>30093</v>
      </c>
      <c r="T55">
        <f>D_马仔经验!F53</f>
        <v>334509</v>
      </c>
      <c r="U55">
        <f>D_马仔经验!G53</f>
        <v>334509</v>
      </c>
      <c r="V55">
        <f>D_马仔经验!H53</f>
        <v>334509</v>
      </c>
      <c r="W55">
        <f>D_马仔经验!I53</f>
        <v>334509</v>
      </c>
    </row>
    <row r="56" spans="2:23">
      <c r="B56">
        <v>54</v>
      </c>
      <c r="C56">
        <f t="shared" si="0"/>
        <v>1.0490006793250563E-3</v>
      </c>
      <c r="D56">
        <f t="shared" si="1"/>
        <v>2.0980013586501126E-3</v>
      </c>
      <c r="E56">
        <f t="shared" si="2"/>
        <v>4.1960027173002252E-3</v>
      </c>
      <c r="F56">
        <f t="shared" si="3"/>
        <v>6.2940040759503386E-3</v>
      </c>
      <c r="O56">
        <f>D_马仔经验!A54</f>
        <v>53</v>
      </c>
      <c r="P56">
        <f>D_马仔经验!B54</f>
        <v>32215</v>
      </c>
      <c r="Q56">
        <f>D_马仔经验!C54</f>
        <v>32215</v>
      </c>
      <c r="R56">
        <f>D_马仔经验!D54</f>
        <v>32215</v>
      </c>
      <c r="S56">
        <f>D_马仔经验!E54</f>
        <v>32215</v>
      </c>
      <c r="T56">
        <f>D_马仔经验!F54</f>
        <v>364602</v>
      </c>
      <c r="U56">
        <f>D_马仔经验!G54</f>
        <v>364602</v>
      </c>
      <c r="V56">
        <f>D_马仔经验!H54</f>
        <v>364602</v>
      </c>
      <c r="W56">
        <f>D_马仔经验!I54</f>
        <v>364602</v>
      </c>
    </row>
    <row r="57" spans="2:23">
      <c r="B57">
        <v>55</v>
      </c>
      <c r="C57">
        <f t="shared" si="0"/>
        <v>1.0003811812718268E-3</v>
      </c>
      <c r="D57">
        <f t="shared" si="1"/>
        <v>2.0007623625436536E-3</v>
      </c>
      <c r="E57">
        <f t="shared" si="2"/>
        <v>4.0015247250873073E-3</v>
      </c>
      <c r="F57">
        <f t="shared" si="3"/>
        <v>6.0022870876309626E-3</v>
      </c>
      <c r="O57">
        <f>D_马仔经验!A55</f>
        <v>54</v>
      </c>
      <c r="P57">
        <f>D_马仔经验!B55</f>
        <v>34446</v>
      </c>
      <c r="Q57">
        <f>D_马仔经验!C55</f>
        <v>34446</v>
      </c>
      <c r="R57">
        <f>D_马仔经验!D55</f>
        <v>34446</v>
      </c>
      <c r="S57">
        <f>D_马仔经验!E55</f>
        <v>34446</v>
      </c>
      <c r="T57">
        <f>D_马仔经验!F55</f>
        <v>396817</v>
      </c>
      <c r="U57">
        <f>D_马仔经验!G55</f>
        <v>396817</v>
      </c>
      <c r="V57">
        <f>D_马仔经验!H55</f>
        <v>396817</v>
      </c>
      <c r="W57">
        <f>D_马仔经验!I55</f>
        <v>396817</v>
      </c>
    </row>
    <row r="58" spans="2:23">
      <c r="B58">
        <v>56</v>
      </c>
      <c r="C58">
        <f t="shared" si="0"/>
        <v>9.547292709518099E-4</v>
      </c>
      <c r="D58">
        <f t="shared" si="1"/>
        <v>1.9094585419036198E-3</v>
      </c>
      <c r="E58">
        <f t="shared" si="2"/>
        <v>3.8189170838072396E-3</v>
      </c>
      <c r="F58">
        <f t="shared" si="3"/>
        <v>5.7283756257108607E-3</v>
      </c>
      <c r="O58">
        <f>D_马仔经验!A56</f>
        <v>55</v>
      </c>
      <c r="P58">
        <f>D_马仔经验!B56</f>
        <v>36789</v>
      </c>
      <c r="Q58">
        <f>D_马仔经验!C56</f>
        <v>36789</v>
      </c>
      <c r="R58">
        <f>D_马仔经验!D56</f>
        <v>36789</v>
      </c>
      <c r="S58">
        <f>D_马仔经验!E56</f>
        <v>36789</v>
      </c>
      <c r="T58">
        <f>D_马仔经验!F56</f>
        <v>431263</v>
      </c>
      <c r="U58">
        <f>D_马仔经验!G56</f>
        <v>431263</v>
      </c>
      <c r="V58">
        <f>D_马仔经验!H56</f>
        <v>431263</v>
      </c>
      <c r="W58">
        <f>D_马仔经验!I56</f>
        <v>431263</v>
      </c>
    </row>
    <row r="59" spans="2:23">
      <c r="B59">
        <v>57</v>
      </c>
      <c r="C59">
        <f t="shared" si="0"/>
        <v>9.1183903591685034E-4</v>
      </c>
      <c r="D59">
        <f t="shared" si="1"/>
        <v>1.8236780718337007E-3</v>
      </c>
      <c r="E59">
        <f t="shared" si="2"/>
        <v>3.6473561436674014E-3</v>
      </c>
      <c r="F59">
        <f t="shared" si="3"/>
        <v>5.4710342155011036E-3</v>
      </c>
      <c r="O59">
        <f>D_马仔经验!A57</f>
        <v>56</v>
      </c>
      <c r="P59">
        <f>D_马仔经验!B57</f>
        <v>39249</v>
      </c>
      <c r="Q59">
        <f>D_马仔经验!C57</f>
        <v>39249</v>
      </c>
      <c r="R59">
        <f>D_马仔经验!D57</f>
        <v>39249</v>
      </c>
      <c r="S59">
        <f>D_马仔经验!E57</f>
        <v>39249</v>
      </c>
      <c r="T59">
        <f>D_马仔经验!F57</f>
        <v>468052</v>
      </c>
      <c r="U59">
        <f>D_马仔经验!G57</f>
        <v>468052</v>
      </c>
      <c r="V59">
        <f>D_马仔经验!H57</f>
        <v>468052</v>
      </c>
      <c r="W59">
        <f>D_马仔经验!I57</f>
        <v>468052</v>
      </c>
    </row>
    <row r="60" spans="2:23">
      <c r="B60">
        <v>58</v>
      </c>
      <c r="C60">
        <f t="shared" si="0"/>
        <v>8.7149890892471399E-4</v>
      </c>
      <c r="D60">
        <f t="shared" si="1"/>
        <v>1.742997817849428E-3</v>
      </c>
      <c r="E60">
        <f t="shared" si="2"/>
        <v>3.4859956356988559E-3</v>
      </c>
      <c r="F60">
        <f t="shared" si="3"/>
        <v>5.2289934535482852E-3</v>
      </c>
      <c r="O60">
        <f>D_马仔经验!A58</f>
        <v>57</v>
      </c>
      <c r="P60">
        <f>D_马仔经验!B58</f>
        <v>41829</v>
      </c>
      <c r="Q60">
        <f>D_马仔经验!C58</f>
        <v>41829</v>
      </c>
      <c r="R60">
        <f>D_马仔经验!D58</f>
        <v>41829</v>
      </c>
      <c r="S60">
        <f>D_马仔经验!E58</f>
        <v>41829</v>
      </c>
      <c r="T60">
        <f>D_马仔经验!F58</f>
        <v>507301</v>
      </c>
      <c r="U60">
        <f>D_马仔经验!G58</f>
        <v>507301</v>
      </c>
      <c r="V60">
        <f>D_马仔经验!H58</f>
        <v>507301</v>
      </c>
      <c r="W60">
        <f>D_马仔经验!I58</f>
        <v>507301</v>
      </c>
    </row>
    <row r="61" spans="2:23">
      <c r="B61">
        <v>59</v>
      </c>
      <c r="C61">
        <f t="shared" si="0"/>
        <v>8.3351856410688566E-4</v>
      </c>
      <c r="D61">
        <f t="shared" si="1"/>
        <v>1.6670371282137713E-3</v>
      </c>
      <c r="E61">
        <f t="shared" si="2"/>
        <v>3.3340742564275426E-3</v>
      </c>
      <c r="F61">
        <f t="shared" si="3"/>
        <v>5.0011113846413144E-3</v>
      </c>
      <c r="O61">
        <f>D_马仔经验!A59</f>
        <v>58</v>
      </c>
      <c r="P61">
        <f>D_马仔经验!B59</f>
        <v>44533</v>
      </c>
      <c r="Q61">
        <f>D_马仔经验!C59</f>
        <v>44533</v>
      </c>
      <c r="R61">
        <f>D_马仔经验!D59</f>
        <v>44533</v>
      </c>
      <c r="S61">
        <f>D_马仔经验!E59</f>
        <v>44533</v>
      </c>
      <c r="T61">
        <f>D_马仔经验!F59</f>
        <v>549130</v>
      </c>
      <c r="U61">
        <f>D_马仔经验!G59</f>
        <v>549130</v>
      </c>
      <c r="V61">
        <f>D_马仔经验!H59</f>
        <v>549130</v>
      </c>
      <c r="W61">
        <f>D_马仔经验!I59</f>
        <v>549130</v>
      </c>
    </row>
    <row r="62" spans="2:23">
      <c r="B62">
        <v>60</v>
      </c>
      <c r="C62">
        <f t="shared" si="0"/>
        <v>7.977418666885429E-4</v>
      </c>
      <c r="D62">
        <f t="shared" si="1"/>
        <v>1.5954837333770858E-3</v>
      </c>
      <c r="E62">
        <f t="shared" si="2"/>
        <v>3.1909674667541716E-3</v>
      </c>
      <c r="F62">
        <f t="shared" si="3"/>
        <v>4.7864512001312576E-3</v>
      </c>
      <c r="O62">
        <f>D_马仔经验!A60</f>
        <v>59</v>
      </c>
      <c r="P62">
        <f>D_马仔经验!B60</f>
        <v>47365</v>
      </c>
      <c r="Q62">
        <f>D_马仔经验!C60</f>
        <v>47365</v>
      </c>
      <c r="R62">
        <f>D_马仔经验!D60</f>
        <v>47365</v>
      </c>
      <c r="S62">
        <f>D_马仔经验!E60</f>
        <v>47365</v>
      </c>
      <c r="T62">
        <f>D_马仔经验!F60</f>
        <v>593663</v>
      </c>
      <c r="U62">
        <f>D_马仔经验!G60</f>
        <v>593663</v>
      </c>
      <c r="V62">
        <f>D_马仔经验!H60</f>
        <v>593663</v>
      </c>
      <c r="W62">
        <f>D_马仔经验!I60</f>
        <v>593663</v>
      </c>
    </row>
    <row r="63" spans="2:23">
      <c r="B63">
        <v>61</v>
      </c>
      <c r="C63">
        <f t="shared" si="0"/>
        <v>7.6399383353883499E-4</v>
      </c>
      <c r="D63">
        <f t="shared" si="1"/>
        <v>1.52798766707767E-3</v>
      </c>
      <c r="E63">
        <f t="shared" si="2"/>
        <v>3.05597533415534E-3</v>
      </c>
      <c r="F63">
        <f t="shared" si="3"/>
        <v>4.583963001233011E-3</v>
      </c>
      <c r="O63">
        <f>D_马仔经验!A61</f>
        <v>60</v>
      </c>
      <c r="P63">
        <f>D_马仔经验!B61</f>
        <v>50328</v>
      </c>
      <c r="Q63">
        <f>D_马仔经验!C61</f>
        <v>50328</v>
      </c>
      <c r="R63">
        <f>D_马仔经验!D61</f>
        <v>50328</v>
      </c>
      <c r="S63">
        <f>D_马仔经验!E61</f>
        <v>50328</v>
      </c>
      <c r="T63">
        <f>D_马仔经验!F61</f>
        <v>641028</v>
      </c>
      <c r="U63">
        <f>D_马仔经验!G61</f>
        <v>641028</v>
      </c>
      <c r="V63">
        <f>D_马仔经验!H61</f>
        <v>641028</v>
      </c>
      <c r="W63">
        <f>D_马仔经验!I61</f>
        <v>641028</v>
      </c>
    </row>
    <row r="64" spans="2:23">
      <c r="B64">
        <v>62</v>
      </c>
      <c r="C64">
        <f t="shared" si="0"/>
        <v>7.3213292666250815E-4</v>
      </c>
      <c r="D64">
        <f t="shared" si="1"/>
        <v>1.4642658533250163E-3</v>
      </c>
      <c r="E64">
        <f t="shared" si="2"/>
        <v>2.9285317066500326E-3</v>
      </c>
      <c r="F64">
        <f t="shared" si="3"/>
        <v>4.3927975599750493E-3</v>
      </c>
      <c r="O64">
        <f>D_马仔经验!A62</f>
        <v>61</v>
      </c>
      <c r="P64">
        <f>D_马仔经验!B62</f>
        <v>53427</v>
      </c>
      <c r="Q64">
        <f>D_马仔经验!C62</f>
        <v>53427</v>
      </c>
      <c r="R64">
        <f>D_马仔经验!D62</f>
        <v>53427</v>
      </c>
      <c r="S64">
        <f>D_马仔经验!E62</f>
        <v>53427</v>
      </c>
      <c r="T64">
        <f>D_马仔经验!F62</f>
        <v>691356</v>
      </c>
      <c r="U64">
        <f>D_马仔经验!G62</f>
        <v>691356</v>
      </c>
      <c r="V64">
        <f>D_马仔经验!H62</f>
        <v>691356</v>
      </c>
      <c r="W64">
        <f>D_马仔经验!I62</f>
        <v>691356</v>
      </c>
    </row>
    <row r="65" spans="2:23">
      <c r="B65">
        <v>63</v>
      </c>
      <c r="C65">
        <f t="shared" si="0"/>
        <v>7.0204153843651806E-4</v>
      </c>
      <c r="D65">
        <f t="shared" si="1"/>
        <v>1.4040830768730361E-3</v>
      </c>
      <c r="E65">
        <f t="shared" si="2"/>
        <v>2.8081661537460723E-3</v>
      </c>
      <c r="F65">
        <f t="shared" si="3"/>
        <v>4.2122492306191093E-3</v>
      </c>
      <c r="O65">
        <f>D_马仔经验!A63</f>
        <v>62</v>
      </c>
      <c r="P65">
        <f>D_马仔经验!B63</f>
        <v>56666</v>
      </c>
      <c r="Q65">
        <f>D_马仔经验!C63</f>
        <v>56666</v>
      </c>
      <c r="R65">
        <f>D_马仔经验!D63</f>
        <v>56666</v>
      </c>
      <c r="S65">
        <f>D_马仔经验!E63</f>
        <v>56666</v>
      </c>
      <c r="T65">
        <f>D_马仔经验!F63</f>
        <v>744783</v>
      </c>
      <c r="U65">
        <f>D_马仔经验!G63</f>
        <v>744783</v>
      </c>
      <c r="V65">
        <f>D_马仔经验!H63</f>
        <v>744783</v>
      </c>
      <c r="W65">
        <f>D_马仔经验!I63</f>
        <v>744783</v>
      </c>
    </row>
    <row r="66" spans="2:23">
      <c r="B66">
        <v>64</v>
      </c>
      <c r="C66">
        <f t="shared" si="0"/>
        <v>6.7358734433002588E-4</v>
      </c>
      <c r="D66">
        <f t="shared" si="1"/>
        <v>1.3471746886600518E-3</v>
      </c>
      <c r="E66">
        <f t="shared" si="2"/>
        <v>2.6943493773201035E-3</v>
      </c>
      <c r="F66">
        <f t="shared" si="3"/>
        <v>4.0415240659801557E-3</v>
      </c>
      <c r="O66">
        <f>D_马仔经验!A64</f>
        <v>63</v>
      </c>
      <c r="P66">
        <f>D_马仔经验!B64</f>
        <v>60048</v>
      </c>
      <c r="Q66">
        <f>D_马仔经验!C64</f>
        <v>60048</v>
      </c>
      <c r="R66">
        <f>D_马仔经验!D64</f>
        <v>60048</v>
      </c>
      <c r="S66">
        <f>D_马仔经验!E64</f>
        <v>60048</v>
      </c>
      <c r="T66">
        <f>D_马仔经验!F64</f>
        <v>801449</v>
      </c>
      <c r="U66">
        <f>D_马仔经验!G64</f>
        <v>801449</v>
      </c>
      <c r="V66">
        <f>D_马仔经验!H64</f>
        <v>801449</v>
      </c>
      <c r="W66">
        <f>D_马仔经验!I64</f>
        <v>801449</v>
      </c>
    </row>
    <row r="67" spans="2:23">
      <c r="B67">
        <v>65</v>
      </c>
      <c r="C67">
        <f t="shared" si="0"/>
        <v>6.4666193957170286E-4</v>
      </c>
      <c r="D67">
        <f t="shared" si="1"/>
        <v>1.2933238791434057E-3</v>
      </c>
      <c r="E67">
        <f t="shared" si="2"/>
        <v>2.5866477582868115E-3</v>
      </c>
      <c r="F67">
        <f t="shared" si="3"/>
        <v>3.8799716374302183E-3</v>
      </c>
      <c r="O67">
        <f>D_马仔经验!A65</f>
        <v>64</v>
      </c>
      <c r="P67">
        <f>D_马仔经验!B65</f>
        <v>63578</v>
      </c>
      <c r="Q67">
        <f>D_马仔经验!C65</f>
        <v>63578</v>
      </c>
      <c r="R67">
        <f>D_马仔经验!D65</f>
        <v>63578</v>
      </c>
      <c r="S67">
        <f>D_马仔经验!E65</f>
        <v>63578</v>
      </c>
      <c r="T67">
        <f>D_马仔经验!F65</f>
        <v>861497</v>
      </c>
      <c r="U67">
        <f>D_马仔经验!G65</f>
        <v>861497</v>
      </c>
      <c r="V67">
        <f>D_马仔经验!H65</f>
        <v>861497</v>
      </c>
      <c r="W67">
        <f>D_马仔经验!I65</f>
        <v>861497</v>
      </c>
    </row>
    <row r="68" spans="2:23">
      <c r="B68">
        <v>66</v>
      </c>
      <c r="C68">
        <f t="shared" ref="C68:C102" si="4">$N$6*$B68/P69</f>
        <v>6.2115680858199247E-4</v>
      </c>
      <c r="D68">
        <f t="shared" ref="D68:D102" si="5">$N$10*$B68/Q69</f>
        <v>1.2423136171639849E-3</v>
      </c>
      <c r="E68">
        <f t="shared" ref="E68:E102" si="6">$N$14*$B68/R69</f>
        <v>2.4846272343279699E-3</v>
      </c>
      <c r="F68">
        <f t="shared" ref="F68:F102" si="7">$N$18*$B68/S69</f>
        <v>3.7269408514919553E-3</v>
      </c>
      <c r="O68">
        <f>D_马仔经验!A66</f>
        <v>65</v>
      </c>
      <c r="P68">
        <f>D_马仔经验!B66</f>
        <v>67260</v>
      </c>
      <c r="Q68">
        <f>D_马仔经验!C66</f>
        <v>67260</v>
      </c>
      <c r="R68">
        <f>D_马仔经验!D66</f>
        <v>67260</v>
      </c>
      <c r="S68">
        <f>D_马仔经验!E66</f>
        <v>67260</v>
      </c>
      <c r="T68">
        <f>D_马仔经验!F66</f>
        <v>925075</v>
      </c>
      <c r="U68">
        <f>D_马仔经验!G66</f>
        <v>925075</v>
      </c>
      <c r="V68">
        <f>D_马仔经验!H66</f>
        <v>925075</v>
      </c>
      <c r="W68">
        <f>D_马仔经验!I66</f>
        <v>925075</v>
      </c>
    </row>
    <row r="69" spans="2:23">
      <c r="B69">
        <v>67</v>
      </c>
      <c r="C69">
        <f t="shared" si="4"/>
        <v>5.9699025022170278E-4</v>
      </c>
      <c r="D69">
        <f t="shared" si="5"/>
        <v>1.1939805004434056E-3</v>
      </c>
      <c r="E69">
        <f t="shared" si="6"/>
        <v>2.3879610008868111E-3</v>
      </c>
      <c r="F69">
        <f t="shared" si="7"/>
        <v>3.5819415013302173E-3</v>
      </c>
      <c r="O69">
        <f>D_马仔经验!A67</f>
        <v>66</v>
      </c>
      <c r="P69">
        <f>D_马仔经验!B67</f>
        <v>71099</v>
      </c>
      <c r="Q69">
        <f>D_马仔经验!C67</f>
        <v>71099</v>
      </c>
      <c r="R69">
        <f>D_马仔经验!D67</f>
        <v>71099</v>
      </c>
      <c r="S69">
        <f>D_马仔经验!E67</f>
        <v>71099</v>
      </c>
      <c r="T69">
        <f>D_马仔经验!F67</f>
        <v>992335</v>
      </c>
      <c r="U69">
        <f>D_马仔经验!G67</f>
        <v>992335</v>
      </c>
      <c r="V69">
        <f>D_马仔经验!H67</f>
        <v>992335</v>
      </c>
      <c r="W69">
        <f>D_马仔经验!I67</f>
        <v>992335</v>
      </c>
    </row>
    <row r="70" spans="2:23">
      <c r="B70">
        <v>68</v>
      </c>
      <c r="C70">
        <f t="shared" si="4"/>
        <v>5.7406978992364296E-4</v>
      </c>
      <c r="D70">
        <f t="shared" si="5"/>
        <v>1.1481395798472859E-3</v>
      </c>
      <c r="E70">
        <f t="shared" si="6"/>
        <v>2.2962791596945718E-3</v>
      </c>
      <c r="F70">
        <f t="shared" si="7"/>
        <v>3.4444187395418582E-3</v>
      </c>
      <c r="O70">
        <f>D_马仔经验!A68</f>
        <v>67</v>
      </c>
      <c r="P70">
        <f>D_马仔经验!B68</f>
        <v>75098</v>
      </c>
      <c r="Q70">
        <f>D_马仔经验!C68</f>
        <v>75098</v>
      </c>
      <c r="R70">
        <f>D_马仔经验!D68</f>
        <v>75098</v>
      </c>
      <c r="S70">
        <f>D_马仔经验!E68</f>
        <v>75098</v>
      </c>
      <c r="T70">
        <f>D_马仔经验!F68</f>
        <v>1063434</v>
      </c>
      <c r="U70">
        <f>D_马仔经验!G68</f>
        <v>1063434</v>
      </c>
      <c r="V70">
        <f>D_马仔经验!H68</f>
        <v>1063434</v>
      </c>
      <c r="W70">
        <f>D_马仔经验!I68</f>
        <v>1063434</v>
      </c>
    </row>
    <row r="71" spans="2:23">
      <c r="B71">
        <v>69</v>
      </c>
      <c r="C71">
        <f t="shared" si="4"/>
        <v>5.5231189969264243E-4</v>
      </c>
      <c r="D71">
        <f t="shared" si="5"/>
        <v>1.1046237993852849E-3</v>
      </c>
      <c r="E71">
        <f t="shared" si="6"/>
        <v>2.2092475987705697E-3</v>
      </c>
      <c r="F71">
        <f t="shared" si="7"/>
        <v>3.3138713981558546E-3</v>
      </c>
      <c r="O71">
        <f>D_马仔经验!A69</f>
        <v>68</v>
      </c>
      <c r="P71">
        <f>D_马仔经验!B69</f>
        <v>79262</v>
      </c>
      <c r="Q71">
        <f>D_马仔经验!C69</f>
        <v>79262</v>
      </c>
      <c r="R71">
        <f>D_马仔经验!D69</f>
        <v>79262</v>
      </c>
      <c r="S71">
        <f>D_马仔经验!E69</f>
        <v>79262</v>
      </c>
      <c r="T71">
        <f>D_马仔经验!F69</f>
        <v>1138532</v>
      </c>
      <c r="U71">
        <f>D_马仔经验!G69</f>
        <v>1138532</v>
      </c>
      <c r="V71">
        <f>D_马仔经验!H69</f>
        <v>1138532</v>
      </c>
      <c r="W71">
        <f>D_马仔经验!I69</f>
        <v>1138532</v>
      </c>
    </row>
    <row r="72" spans="2:23">
      <c r="B72">
        <v>70</v>
      </c>
      <c r="C72">
        <f t="shared" si="4"/>
        <v>5.3165285455074719E-4</v>
      </c>
      <c r="D72">
        <f t="shared" si="5"/>
        <v>1.0633057091014944E-3</v>
      </c>
      <c r="E72">
        <f t="shared" si="6"/>
        <v>2.1266114182029888E-3</v>
      </c>
      <c r="F72">
        <f t="shared" si="7"/>
        <v>3.1899171273044838E-3</v>
      </c>
      <c r="O72">
        <f>D_马仔经验!A70</f>
        <v>69</v>
      </c>
      <c r="P72">
        <f>D_马仔经验!B70</f>
        <v>83596</v>
      </c>
      <c r="Q72">
        <f>D_马仔经验!C70</f>
        <v>83596</v>
      </c>
      <c r="R72">
        <f>D_马仔经验!D70</f>
        <v>83596</v>
      </c>
      <c r="S72">
        <f>D_马仔经验!E70</f>
        <v>83596</v>
      </c>
      <c r="T72">
        <f>D_马仔经验!F70</f>
        <v>1217794</v>
      </c>
      <c r="U72">
        <f>D_马仔经验!G70</f>
        <v>1217794</v>
      </c>
      <c r="V72">
        <f>D_马仔经验!H70</f>
        <v>1217794</v>
      </c>
      <c r="W72">
        <f>D_马仔经验!I70</f>
        <v>1217794</v>
      </c>
    </row>
    <row r="73" spans="2:23">
      <c r="B73">
        <v>71</v>
      </c>
      <c r="C73">
        <f t="shared" si="4"/>
        <v>5.1201497291988103E-4</v>
      </c>
      <c r="D73">
        <f t="shared" si="5"/>
        <v>1.0240299458397621E-3</v>
      </c>
      <c r="E73">
        <f t="shared" si="6"/>
        <v>2.0480598916795241E-3</v>
      </c>
      <c r="F73">
        <f t="shared" si="7"/>
        <v>3.0720898375192862E-3</v>
      </c>
      <c r="O73">
        <f>D_马仔经验!A71</f>
        <v>70</v>
      </c>
      <c r="P73">
        <f>D_马仔经验!B71</f>
        <v>88103</v>
      </c>
      <c r="Q73">
        <f>D_马仔经验!C71</f>
        <v>88103</v>
      </c>
      <c r="R73">
        <f>D_马仔经验!D71</f>
        <v>88103</v>
      </c>
      <c r="S73">
        <f>D_马仔经验!E71</f>
        <v>88103</v>
      </c>
      <c r="T73">
        <f>D_马仔经验!F71</f>
        <v>1301390</v>
      </c>
      <c r="U73">
        <f>D_马仔经验!G71</f>
        <v>1301390</v>
      </c>
      <c r="V73">
        <f>D_马仔经验!H71</f>
        <v>1301390</v>
      </c>
      <c r="W73">
        <f>D_马仔经验!I71</f>
        <v>1301390</v>
      </c>
    </row>
    <row r="74" spans="2:23">
      <c r="B74">
        <v>72</v>
      </c>
      <c r="C74">
        <f t="shared" si="4"/>
        <v>4.9333903213296586E-4</v>
      </c>
      <c r="D74">
        <f t="shared" si="5"/>
        <v>9.8667806426593172E-4</v>
      </c>
      <c r="E74">
        <f t="shared" si="6"/>
        <v>1.9733561285318634E-3</v>
      </c>
      <c r="F74">
        <f t="shared" si="7"/>
        <v>2.9600341927977962E-3</v>
      </c>
      <c r="O74">
        <f>D_马仔经验!A72</f>
        <v>71</v>
      </c>
      <c r="P74">
        <f>D_马仔经验!B72</f>
        <v>92789</v>
      </c>
      <c r="Q74">
        <f>D_马仔经验!C72</f>
        <v>92789</v>
      </c>
      <c r="R74">
        <f>D_马仔经验!D72</f>
        <v>92789</v>
      </c>
      <c r="S74">
        <f>D_马仔经验!E72</f>
        <v>92789</v>
      </c>
      <c r="T74">
        <f>D_马仔经验!F72</f>
        <v>1389493</v>
      </c>
      <c r="U74">
        <f>D_马仔经验!G72</f>
        <v>1389493</v>
      </c>
      <c r="V74">
        <f>D_马仔经验!H72</f>
        <v>1389493</v>
      </c>
      <c r="W74">
        <f>D_马仔经验!I72</f>
        <v>1389493</v>
      </c>
    </row>
    <row r="75" spans="2:23">
      <c r="B75">
        <v>73</v>
      </c>
      <c r="C75">
        <f t="shared" si="4"/>
        <v>4.7556953363533239E-4</v>
      </c>
      <c r="D75">
        <f t="shared" si="5"/>
        <v>9.5113906727066478E-4</v>
      </c>
      <c r="E75">
        <f t="shared" si="6"/>
        <v>1.9022781345413296E-3</v>
      </c>
      <c r="F75">
        <f t="shared" si="7"/>
        <v>2.8534172018119947E-3</v>
      </c>
      <c r="O75">
        <f>D_马仔经验!A73</f>
        <v>72</v>
      </c>
      <c r="P75">
        <f>D_马仔经验!B73</f>
        <v>97658</v>
      </c>
      <c r="Q75">
        <f>D_马仔经验!C73</f>
        <v>97658</v>
      </c>
      <c r="R75">
        <f>D_马仔经验!D73</f>
        <v>97658</v>
      </c>
      <c r="S75">
        <f>D_马仔经验!E73</f>
        <v>97658</v>
      </c>
      <c r="T75">
        <f>D_马仔经验!F73</f>
        <v>1482282</v>
      </c>
      <c r="U75">
        <f>D_马仔经验!G73</f>
        <v>1482282</v>
      </c>
      <c r="V75">
        <f>D_马仔经验!H73</f>
        <v>1482282</v>
      </c>
      <c r="W75">
        <f>D_马仔经验!I73</f>
        <v>1482282</v>
      </c>
    </row>
    <row r="76" spans="2:23">
      <c r="B76">
        <v>74</v>
      </c>
      <c r="C76">
        <f t="shared" si="4"/>
        <v>4.5864597089371247E-4</v>
      </c>
      <c r="D76">
        <f t="shared" si="5"/>
        <v>9.1729194178742494E-4</v>
      </c>
      <c r="E76">
        <f t="shared" si="6"/>
        <v>1.8345838835748499E-3</v>
      </c>
      <c r="F76">
        <f t="shared" si="7"/>
        <v>2.7518758253622755E-3</v>
      </c>
      <c r="O76">
        <f>D_马仔经验!A74</f>
        <v>73</v>
      </c>
      <c r="P76">
        <f>D_马仔经验!B74</f>
        <v>102714</v>
      </c>
      <c r="Q76">
        <f>D_马仔经验!C74</f>
        <v>102714</v>
      </c>
      <c r="R76">
        <f>D_马仔经验!D74</f>
        <v>102714</v>
      </c>
      <c r="S76">
        <f>D_马仔经验!E74</f>
        <v>102714</v>
      </c>
      <c r="T76">
        <f>D_马仔经验!F74</f>
        <v>1579940</v>
      </c>
      <c r="U76">
        <f>D_马仔经验!G74</f>
        <v>1579940</v>
      </c>
      <c r="V76">
        <f>D_马仔经验!H74</f>
        <v>1579940</v>
      </c>
      <c r="W76">
        <f>D_马仔经验!I74</f>
        <v>1579940</v>
      </c>
    </row>
    <row r="77" spans="2:23">
      <c r="B77">
        <v>75</v>
      </c>
      <c r="C77">
        <f t="shared" si="4"/>
        <v>4.4252167670446116E-4</v>
      </c>
      <c r="D77">
        <f t="shared" si="5"/>
        <v>8.8504335340892231E-4</v>
      </c>
      <c r="E77">
        <f t="shared" si="6"/>
        <v>1.7700867068178446E-3</v>
      </c>
      <c r="F77">
        <f t="shared" si="7"/>
        <v>2.6551300602267675E-3</v>
      </c>
      <c r="O77">
        <f>D_马仔经验!A75</f>
        <v>74</v>
      </c>
      <c r="P77">
        <f>D_马仔经验!B75</f>
        <v>107963</v>
      </c>
      <c r="Q77">
        <f>D_马仔经验!C75</f>
        <v>107963</v>
      </c>
      <c r="R77">
        <f>D_马仔经验!D75</f>
        <v>107963</v>
      </c>
      <c r="S77">
        <f>D_马仔经验!E75</f>
        <v>107963</v>
      </c>
      <c r="T77">
        <f>D_马仔经验!F75</f>
        <v>1682654</v>
      </c>
      <c r="U77">
        <f>D_马仔经验!G75</f>
        <v>1682654</v>
      </c>
      <c r="V77">
        <f>D_马仔经验!H75</f>
        <v>1682654</v>
      </c>
      <c r="W77">
        <f>D_马仔经验!I75</f>
        <v>1682654</v>
      </c>
    </row>
    <row r="78" spans="2:23">
      <c r="B78">
        <v>76</v>
      </c>
      <c r="C78">
        <f t="shared" si="4"/>
        <v>4.2714906902705917E-4</v>
      </c>
      <c r="D78">
        <f t="shared" si="5"/>
        <v>8.5429813805411835E-4</v>
      </c>
      <c r="E78">
        <f t="shared" si="6"/>
        <v>1.7085962761082367E-3</v>
      </c>
      <c r="F78">
        <f t="shared" si="7"/>
        <v>2.5628944141623555E-3</v>
      </c>
      <c r="O78">
        <f>D_马仔经验!A76</f>
        <v>75</v>
      </c>
      <c r="P78">
        <f>D_马仔经验!B76</f>
        <v>113409</v>
      </c>
      <c r="Q78">
        <f>D_马仔经验!C76</f>
        <v>113409</v>
      </c>
      <c r="R78">
        <f>D_马仔经验!D76</f>
        <v>113409</v>
      </c>
      <c r="S78">
        <f>D_马仔经验!E76</f>
        <v>113409</v>
      </c>
      <c r="T78">
        <f>D_马仔经验!F76</f>
        <v>1790617</v>
      </c>
      <c r="U78">
        <f>D_马仔经验!G76</f>
        <v>1790617</v>
      </c>
      <c r="V78">
        <f>D_马仔经验!H76</f>
        <v>1790617</v>
      </c>
      <c r="W78">
        <f>D_马仔经验!I76</f>
        <v>1790617</v>
      </c>
    </row>
    <row r="79" spans="2:23">
      <c r="B79">
        <v>77</v>
      </c>
      <c r="C79">
        <f t="shared" si="4"/>
        <v>4.1248424962319821E-4</v>
      </c>
      <c r="D79">
        <f t="shared" si="5"/>
        <v>8.2496849924639643E-4</v>
      </c>
      <c r="E79">
        <f t="shared" si="6"/>
        <v>1.6499369984927929E-3</v>
      </c>
      <c r="F79">
        <f t="shared" si="7"/>
        <v>2.4749054977391896E-3</v>
      </c>
      <c r="O79">
        <f>D_马仔经验!A77</f>
        <v>76</v>
      </c>
      <c r="P79">
        <f>D_马仔经验!B77</f>
        <v>119057</v>
      </c>
      <c r="Q79">
        <f>D_马仔经验!C77</f>
        <v>119057</v>
      </c>
      <c r="R79">
        <f>D_马仔经验!D77</f>
        <v>119057</v>
      </c>
      <c r="S79">
        <f>D_马仔经验!E77</f>
        <v>119057</v>
      </c>
      <c r="T79">
        <f>D_马仔经验!F77</f>
        <v>1904026</v>
      </c>
      <c r="U79">
        <f>D_马仔经验!G77</f>
        <v>1904026</v>
      </c>
      <c r="V79">
        <f>D_马仔经验!H77</f>
        <v>1904026</v>
      </c>
      <c r="W79">
        <f>D_马仔经验!I77</f>
        <v>1904026</v>
      </c>
    </row>
    <row r="80" spans="2:23">
      <c r="B80">
        <v>78</v>
      </c>
      <c r="C80">
        <f t="shared" si="4"/>
        <v>3.9848661592095891E-4</v>
      </c>
      <c r="D80">
        <f t="shared" si="5"/>
        <v>7.9697323184191782E-4</v>
      </c>
      <c r="E80">
        <f t="shared" si="6"/>
        <v>1.5939464636838356E-3</v>
      </c>
      <c r="F80">
        <f t="shared" si="7"/>
        <v>2.3909196955257542E-3</v>
      </c>
      <c r="O80">
        <f>D_马仔经验!A78</f>
        <v>77</v>
      </c>
      <c r="P80">
        <f>D_马仔经验!B78</f>
        <v>124912</v>
      </c>
      <c r="Q80">
        <f>D_马仔经验!C78</f>
        <v>124912</v>
      </c>
      <c r="R80">
        <f>D_马仔经验!D78</f>
        <v>124912</v>
      </c>
      <c r="S80">
        <f>D_马仔经验!E78</f>
        <v>124912</v>
      </c>
      <c r="T80">
        <f>D_马仔经验!F78</f>
        <v>2023083</v>
      </c>
      <c r="U80">
        <f>D_马仔经验!G78</f>
        <v>2023083</v>
      </c>
      <c r="V80">
        <f>D_马仔经验!H78</f>
        <v>2023083</v>
      </c>
      <c r="W80">
        <f>D_马仔经验!I78</f>
        <v>2023083</v>
      </c>
    </row>
    <row r="81" spans="2:23">
      <c r="B81">
        <v>79</v>
      </c>
      <c r="C81">
        <f t="shared" si="4"/>
        <v>3.8512133252094268E-4</v>
      </c>
      <c r="D81">
        <f t="shared" si="5"/>
        <v>7.7024266504188536E-4</v>
      </c>
      <c r="E81">
        <f t="shared" si="6"/>
        <v>1.5404853300837707E-3</v>
      </c>
      <c r="F81">
        <f t="shared" si="7"/>
        <v>2.3107279951256562E-3</v>
      </c>
      <c r="O81">
        <f>D_马仔经验!A79</f>
        <v>78</v>
      </c>
      <c r="P81">
        <f>D_马仔经验!B79</f>
        <v>130979</v>
      </c>
      <c r="Q81">
        <f>D_马仔经验!C79</f>
        <v>130979</v>
      </c>
      <c r="R81">
        <f>D_马仔经验!D79</f>
        <v>130979</v>
      </c>
      <c r="S81">
        <f>D_马仔经验!E79</f>
        <v>130979</v>
      </c>
      <c r="T81">
        <f>D_马仔经验!F79</f>
        <v>2147995</v>
      </c>
      <c r="U81">
        <f>D_马仔经验!G79</f>
        <v>2147995</v>
      </c>
      <c r="V81">
        <f>D_马仔经验!H79</f>
        <v>2147995</v>
      </c>
      <c r="W81">
        <f>D_马仔经验!I79</f>
        <v>2147995</v>
      </c>
    </row>
    <row r="82" spans="2:23">
      <c r="B82">
        <v>80</v>
      </c>
      <c r="C82">
        <f t="shared" si="4"/>
        <v>3.7234760323763273E-4</v>
      </c>
      <c r="D82">
        <f t="shared" si="5"/>
        <v>7.4469520647526546E-4</v>
      </c>
      <c r="E82">
        <f t="shared" si="6"/>
        <v>1.4893904129505309E-3</v>
      </c>
      <c r="F82">
        <f t="shared" si="7"/>
        <v>2.2340856194257969E-3</v>
      </c>
      <c r="O82">
        <f>D_马仔经验!A80</f>
        <v>79</v>
      </c>
      <c r="P82">
        <f>D_马仔经验!B80</f>
        <v>137262</v>
      </c>
      <c r="Q82">
        <f>D_马仔经验!C80</f>
        <v>137262</v>
      </c>
      <c r="R82">
        <f>D_马仔经验!D80</f>
        <v>137262</v>
      </c>
      <c r="S82">
        <f>D_马仔经验!E80</f>
        <v>137262</v>
      </c>
      <c r="T82">
        <f>D_马仔经验!F80</f>
        <v>2278974</v>
      </c>
      <c r="U82">
        <f>D_马仔经验!G80</f>
        <v>2278974</v>
      </c>
      <c r="V82">
        <f>D_马仔经验!H80</f>
        <v>2278974</v>
      </c>
      <c r="W82">
        <f>D_马仔经验!I80</f>
        <v>2278974</v>
      </c>
    </row>
    <row r="83" spans="2:23">
      <c r="B83">
        <v>81</v>
      </c>
      <c r="C83">
        <f t="shared" si="4"/>
        <v>3.6013831295711847E-4</v>
      </c>
      <c r="D83">
        <f t="shared" si="5"/>
        <v>7.2027662591423694E-4</v>
      </c>
      <c r="E83">
        <f t="shared" si="6"/>
        <v>1.4405532518284739E-3</v>
      </c>
      <c r="F83">
        <f t="shared" si="7"/>
        <v>2.1608298777427114E-3</v>
      </c>
      <c r="O83">
        <f>D_马仔经验!A81</f>
        <v>80</v>
      </c>
      <c r="P83">
        <f>D_马仔经验!B81</f>
        <v>143768</v>
      </c>
      <c r="Q83">
        <f>D_马仔经验!C81</f>
        <v>143768</v>
      </c>
      <c r="R83">
        <f>D_马仔经验!D81</f>
        <v>143768</v>
      </c>
      <c r="S83">
        <f>D_马仔经验!E81</f>
        <v>143768</v>
      </c>
      <c r="T83">
        <f>D_马仔经验!F81</f>
        <v>2416236</v>
      </c>
      <c r="U83">
        <f>D_马仔经验!G81</f>
        <v>2416236</v>
      </c>
      <c r="V83">
        <f>D_马仔经验!H81</f>
        <v>2416236</v>
      </c>
      <c r="W83">
        <f>D_马仔经验!I81</f>
        <v>2416236</v>
      </c>
    </row>
    <row r="84" spans="2:23">
      <c r="B84">
        <v>82</v>
      </c>
      <c r="C84">
        <f t="shared" si="4"/>
        <v>3.4845814611389627E-4</v>
      </c>
      <c r="D84">
        <f t="shared" si="5"/>
        <v>6.9691629222779254E-4</v>
      </c>
      <c r="E84">
        <f t="shared" si="6"/>
        <v>1.3938325844555851E-3</v>
      </c>
      <c r="F84">
        <f t="shared" si="7"/>
        <v>2.0907488766833781E-3</v>
      </c>
      <c r="O84">
        <f>D_马仔经验!A82</f>
        <v>81</v>
      </c>
      <c r="P84">
        <f>D_马仔经验!B82</f>
        <v>150500</v>
      </c>
      <c r="Q84">
        <f>D_马仔经验!C82</f>
        <v>150500</v>
      </c>
      <c r="R84">
        <f>D_马仔经验!D82</f>
        <v>150500</v>
      </c>
      <c r="S84">
        <f>D_马仔经验!E82</f>
        <v>150500</v>
      </c>
      <c r="T84">
        <f>D_马仔经验!F82</f>
        <v>2560004</v>
      </c>
      <c r="U84">
        <f>D_马仔经验!G82</f>
        <v>2560004</v>
      </c>
      <c r="V84">
        <f>D_马仔经验!H82</f>
        <v>2560004</v>
      </c>
      <c r="W84">
        <f>D_马仔经验!I82</f>
        <v>2560004</v>
      </c>
    </row>
    <row r="85" spans="2:23">
      <c r="B85">
        <v>83</v>
      </c>
      <c r="C85">
        <f t="shared" si="4"/>
        <v>3.3728134875599255E-4</v>
      </c>
      <c r="D85">
        <f t="shared" si="5"/>
        <v>6.745626975119851E-4</v>
      </c>
      <c r="E85">
        <f t="shared" si="6"/>
        <v>1.3491253950239702E-3</v>
      </c>
      <c r="F85">
        <f t="shared" si="7"/>
        <v>2.0236880925359559E-3</v>
      </c>
      <c r="O85">
        <f>D_马仔经验!A83</f>
        <v>82</v>
      </c>
      <c r="P85">
        <f>D_马仔经验!B83</f>
        <v>157465</v>
      </c>
      <c r="Q85">
        <f>D_马仔经验!C83</f>
        <v>157465</v>
      </c>
      <c r="R85">
        <f>D_马仔经验!D83</f>
        <v>157465</v>
      </c>
      <c r="S85">
        <f>D_马仔经验!E83</f>
        <v>157465</v>
      </c>
      <c r="T85">
        <f>D_马仔经验!F83</f>
        <v>2710504</v>
      </c>
      <c r="U85">
        <f>D_马仔经验!G83</f>
        <v>2710504</v>
      </c>
      <c r="V85">
        <f>D_马仔经验!H83</f>
        <v>2710504</v>
      </c>
      <c r="W85">
        <f>D_马仔经验!I83</f>
        <v>2710504</v>
      </c>
    </row>
    <row r="86" spans="2:23">
      <c r="B86">
        <v>84</v>
      </c>
      <c r="C86">
        <f t="shared" si="4"/>
        <v>3.2658141393276073E-4</v>
      </c>
      <c r="D86">
        <f t="shared" si="5"/>
        <v>6.5316282786552146E-4</v>
      </c>
      <c r="E86">
        <f t="shared" si="6"/>
        <v>1.3063256557310429E-3</v>
      </c>
      <c r="F86">
        <f t="shared" si="7"/>
        <v>1.9594884835965648E-3</v>
      </c>
      <c r="O86">
        <f>D_马仔经验!A84</f>
        <v>83</v>
      </c>
      <c r="P86">
        <f>D_马仔经验!B84</f>
        <v>164667</v>
      </c>
      <c r="Q86">
        <f>D_马仔经验!C84</f>
        <v>164667</v>
      </c>
      <c r="R86">
        <f>D_马仔经验!D84</f>
        <v>164667</v>
      </c>
      <c r="S86">
        <f>D_马仔经验!E84</f>
        <v>164667</v>
      </c>
      <c r="T86">
        <f>D_马仔经验!F84</f>
        <v>2867969</v>
      </c>
      <c r="U86">
        <f>D_马仔经验!G84</f>
        <v>2867969</v>
      </c>
      <c r="V86">
        <f>D_马仔经验!H84</f>
        <v>2867969</v>
      </c>
      <c r="W86">
        <f>D_马仔经验!I84</f>
        <v>2867969</v>
      </c>
    </row>
    <row r="87" spans="2:23">
      <c r="B87">
        <v>85</v>
      </c>
      <c r="C87">
        <f t="shared" si="4"/>
        <v>3.1633000161931734E-4</v>
      </c>
      <c r="D87">
        <f t="shared" si="5"/>
        <v>6.3266000323863468E-4</v>
      </c>
      <c r="E87">
        <f t="shared" si="6"/>
        <v>1.2653200064772694E-3</v>
      </c>
      <c r="F87">
        <f t="shared" si="7"/>
        <v>1.8979800097159041E-3</v>
      </c>
      <c r="O87">
        <f>D_马仔经验!A85</f>
        <v>84</v>
      </c>
      <c r="P87">
        <f>D_马仔经验!B85</f>
        <v>172111</v>
      </c>
      <c r="Q87">
        <f>D_马仔经验!C85</f>
        <v>172111</v>
      </c>
      <c r="R87">
        <f>D_马仔经验!D85</f>
        <v>172111</v>
      </c>
      <c r="S87">
        <f>D_马仔经验!E85</f>
        <v>172111</v>
      </c>
      <c r="T87">
        <f>D_马仔经验!F85</f>
        <v>3032636</v>
      </c>
      <c r="U87">
        <f>D_马仔经验!G85</f>
        <v>3032636</v>
      </c>
      <c r="V87">
        <f>D_马仔经验!H85</f>
        <v>3032636</v>
      </c>
      <c r="W87">
        <f>D_马仔经验!I85</f>
        <v>3032636</v>
      </c>
    </row>
    <row r="88" spans="2:23">
      <c r="B88">
        <v>86</v>
      </c>
      <c r="C88">
        <f t="shared" si="4"/>
        <v>3.0650623429527606E-4</v>
      </c>
      <c r="D88">
        <f t="shared" si="5"/>
        <v>6.1301246859055212E-4</v>
      </c>
      <c r="E88">
        <f t="shared" si="6"/>
        <v>1.2260249371811042E-3</v>
      </c>
      <c r="F88">
        <f t="shared" si="7"/>
        <v>1.8390374057716567E-3</v>
      </c>
      <c r="O88">
        <f>D_马仔经验!A86</f>
        <v>85</v>
      </c>
      <c r="P88">
        <f>D_马仔经验!B86</f>
        <v>179804</v>
      </c>
      <c r="Q88">
        <f>D_马仔经验!C86</f>
        <v>179804</v>
      </c>
      <c r="R88">
        <f>D_马仔经验!D86</f>
        <v>179804</v>
      </c>
      <c r="S88">
        <f>D_马仔经验!E86</f>
        <v>179804</v>
      </c>
      <c r="T88">
        <f>D_马仔经验!F86</f>
        <v>3204747</v>
      </c>
      <c r="U88">
        <f>D_马仔经验!G86</f>
        <v>3204747</v>
      </c>
      <c r="V88">
        <f>D_马仔经验!H86</f>
        <v>3204747</v>
      </c>
      <c r="W88">
        <f>D_马仔经验!I86</f>
        <v>3204747</v>
      </c>
    </row>
    <row r="89" spans="2:23">
      <c r="B89">
        <v>87</v>
      </c>
      <c r="C89">
        <f t="shared" si="4"/>
        <v>2.9708855836939498E-4</v>
      </c>
      <c r="D89">
        <f t="shared" si="5"/>
        <v>5.9417711673878995E-4</v>
      </c>
      <c r="E89">
        <f t="shared" si="6"/>
        <v>1.1883542334775799E-3</v>
      </c>
      <c r="F89">
        <f t="shared" si="7"/>
        <v>1.7825313502163704E-3</v>
      </c>
      <c r="O89">
        <f>D_马仔经验!A87</f>
        <v>86</v>
      </c>
      <c r="P89">
        <f>D_马仔经验!B87</f>
        <v>187750</v>
      </c>
      <c r="Q89">
        <f>D_马仔经验!C87</f>
        <v>187750</v>
      </c>
      <c r="R89">
        <f>D_马仔经验!D87</f>
        <v>187750</v>
      </c>
      <c r="S89">
        <f>D_马仔经验!E87</f>
        <v>187750</v>
      </c>
      <c r="T89">
        <f>D_马仔经验!F87</f>
        <v>3384551</v>
      </c>
      <c r="U89">
        <f>D_马仔经验!G87</f>
        <v>3384551</v>
      </c>
      <c r="V89">
        <f>D_马仔经验!H87</f>
        <v>3384551</v>
      </c>
      <c r="W89">
        <f>D_马仔经验!I87</f>
        <v>3384551</v>
      </c>
    </row>
    <row r="90" spans="2:23">
      <c r="B90">
        <v>88</v>
      </c>
      <c r="C90">
        <f t="shared" si="4"/>
        <v>2.8805246568159698E-4</v>
      </c>
      <c r="D90">
        <f t="shared" si="5"/>
        <v>5.7610493136319395E-4</v>
      </c>
      <c r="E90">
        <f t="shared" si="6"/>
        <v>1.1522098627263879E-3</v>
      </c>
      <c r="F90">
        <f t="shared" si="7"/>
        <v>1.728314794089582E-3</v>
      </c>
      <c r="O90">
        <f>D_马仔经验!A88</f>
        <v>87</v>
      </c>
      <c r="P90">
        <f>D_马仔经验!B88</f>
        <v>195954</v>
      </c>
      <c r="Q90">
        <f>D_马仔经验!C88</f>
        <v>195954</v>
      </c>
      <c r="R90">
        <f>D_马仔经验!D88</f>
        <v>195954</v>
      </c>
      <c r="S90">
        <f>D_马仔经验!E88</f>
        <v>195954</v>
      </c>
      <c r="T90">
        <f>D_马仔经验!F88</f>
        <v>3572301</v>
      </c>
      <c r="U90">
        <f>D_马仔经验!G88</f>
        <v>3572301</v>
      </c>
      <c r="V90">
        <f>D_马仔经验!H88</f>
        <v>3572301</v>
      </c>
      <c r="W90">
        <f>D_马仔经验!I88</f>
        <v>3572301</v>
      </c>
    </row>
    <row r="91" spans="2:23">
      <c r="B91">
        <v>89</v>
      </c>
      <c r="C91">
        <f t="shared" si="4"/>
        <v>2.7938236524290396E-4</v>
      </c>
      <c r="D91">
        <f t="shared" si="5"/>
        <v>5.5876473048580792E-4</v>
      </c>
      <c r="E91">
        <f t="shared" si="6"/>
        <v>1.1175294609716158E-3</v>
      </c>
      <c r="F91">
        <f t="shared" si="7"/>
        <v>1.6762941914574237E-3</v>
      </c>
      <c r="O91">
        <f>D_马仔经验!A89</f>
        <v>88</v>
      </c>
      <c r="P91">
        <f>D_马仔经验!B89</f>
        <v>204424</v>
      </c>
      <c r="Q91">
        <f>D_马仔经验!C89</f>
        <v>204424</v>
      </c>
      <c r="R91">
        <f>D_马仔经验!D89</f>
        <v>204424</v>
      </c>
      <c r="S91">
        <f>D_马仔经验!E89</f>
        <v>204424</v>
      </c>
      <c r="T91">
        <f>D_马仔经验!F89</f>
        <v>3768255</v>
      </c>
      <c r="U91">
        <f>D_马仔经验!G89</f>
        <v>3768255</v>
      </c>
      <c r="V91">
        <f>D_马仔经验!H89</f>
        <v>3768255</v>
      </c>
      <c r="W91">
        <f>D_马仔经验!I89</f>
        <v>3768255</v>
      </c>
    </row>
    <row r="92" spans="2:23">
      <c r="B92">
        <v>90</v>
      </c>
      <c r="C92">
        <f t="shared" si="4"/>
        <v>2.7105802104641989E-4</v>
      </c>
      <c r="D92">
        <f t="shared" si="5"/>
        <v>5.4211604209283978E-4</v>
      </c>
      <c r="E92">
        <f t="shared" si="6"/>
        <v>1.0842320841856796E-3</v>
      </c>
      <c r="F92">
        <f t="shared" si="7"/>
        <v>1.6263481262785197E-3</v>
      </c>
      <c r="O92">
        <f>D_马仔经验!A90</f>
        <v>89</v>
      </c>
      <c r="P92">
        <f>D_马仔经验!B90</f>
        <v>213163</v>
      </c>
      <c r="Q92">
        <f>D_马仔经验!C90</f>
        <v>213163</v>
      </c>
      <c r="R92">
        <f>D_马仔经验!D90</f>
        <v>213163</v>
      </c>
      <c r="S92">
        <f>D_马仔经验!E90</f>
        <v>213163</v>
      </c>
      <c r="T92">
        <f>D_马仔经验!F90</f>
        <v>3972679</v>
      </c>
      <c r="U92">
        <f>D_马仔经验!G90</f>
        <v>3972679</v>
      </c>
      <c r="V92">
        <f>D_马仔经验!H90</f>
        <v>3972679</v>
      </c>
      <c r="W92">
        <f>D_马仔经验!I90</f>
        <v>3972679</v>
      </c>
    </row>
    <row r="93" spans="2:23">
      <c r="B93">
        <v>91</v>
      </c>
      <c r="C93">
        <f t="shared" si="4"/>
        <v>2.6306312967257586E-4</v>
      </c>
      <c r="D93">
        <f t="shared" si="5"/>
        <v>5.2612625934515172E-4</v>
      </c>
      <c r="E93">
        <f t="shared" si="6"/>
        <v>1.0522525186903034E-3</v>
      </c>
      <c r="F93">
        <f t="shared" si="7"/>
        <v>1.5783787780354556E-3</v>
      </c>
      <c r="O93">
        <f>D_马仔经验!A91</f>
        <v>90</v>
      </c>
      <c r="P93">
        <f>D_马仔经验!B91</f>
        <v>222178</v>
      </c>
      <c r="Q93">
        <f>D_马仔经验!C91</f>
        <v>222178</v>
      </c>
      <c r="R93">
        <f>D_马仔经验!D91</f>
        <v>222178</v>
      </c>
      <c r="S93">
        <f>D_马仔经验!E91</f>
        <v>222178</v>
      </c>
      <c r="T93">
        <f>D_马仔经验!F91</f>
        <v>4185842</v>
      </c>
      <c r="U93">
        <f>D_马仔经验!G91</f>
        <v>4185842</v>
      </c>
      <c r="V93">
        <f>D_马仔经验!H91</f>
        <v>4185842</v>
      </c>
      <c r="W93">
        <f>D_马仔经验!I91</f>
        <v>4185842</v>
      </c>
    </row>
    <row r="94" spans="2:23">
      <c r="B94">
        <v>92</v>
      </c>
      <c r="C94">
        <f t="shared" si="4"/>
        <v>2.5538117854120884E-4</v>
      </c>
      <c r="D94">
        <f t="shared" si="5"/>
        <v>5.1076235708241767E-4</v>
      </c>
      <c r="E94">
        <f t="shared" si="6"/>
        <v>1.0215247141648353E-3</v>
      </c>
      <c r="F94">
        <f t="shared" si="7"/>
        <v>1.5322870712472533E-3</v>
      </c>
      <c r="O94">
        <f>D_马仔经验!A92</f>
        <v>91</v>
      </c>
      <c r="P94">
        <f>D_马仔经验!B92</f>
        <v>231474</v>
      </c>
      <c r="Q94">
        <f>D_马仔经验!C92</f>
        <v>231474</v>
      </c>
      <c r="R94">
        <f>D_马仔经验!D92</f>
        <v>231474</v>
      </c>
      <c r="S94">
        <f>D_马仔经验!E92</f>
        <v>231474</v>
      </c>
      <c r="T94">
        <f>D_马仔经验!F92</f>
        <v>4408020</v>
      </c>
      <c r="U94">
        <f>D_马仔经验!G92</f>
        <v>4408020</v>
      </c>
      <c r="V94">
        <f>D_马仔经验!H92</f>
        <v>4408020</v>
      </c>
      <c r="W94">
        <f>D_马仔经验!I92</f>
        <v>4408020</v>
      </c>
    </row>
    <row r="95" spans="2:23">
      <c r="B95">
        <v>93</v>
      </c>
      <c r="C95">
        <f t="shared" si="4"/>
        <v>2.4799674268982766E-4</v>
      </c>
      <c r="D95">
        <f t="shared" si="5"/>
        <v>4.9599348537965532E-4</v>
      </c>
      <c r="E95">
        <f t="shared" si="6"/>
        <v>9.9198697075931065E-4</v>
      </c>
      <c r="F95">
        <f t="shared" si="7"/>
        <v>1.4879804561389663E-3</v>
      </c>
      <c r="O95">
        <f>D_马仔经验!A93</f>
        <v>92</v>
      </c>
      <c r="P95">
        <f>D_马仔经验!B93</f>
        <v>241057</v>
      </c>
      <c r="Q95">
        <f>D_马仔经验!C93</f>
        <v>241057</v>
      </c>
      <c r="R95">
        <f>D_马仔经验!D93</f>
        <v>241057</v>
      </c>
      <c r="S95">
        <f>D_马仔经验!E93</f>
        <v>241057</v>
      </c>
      <c r="T95">
        <f>D_马仔经验!F93</f>
        <v>4639494</v>
      </c>
      <c r="U95">
        <f>D_马仔经验!G93</f>
        <v>4639494</v>
      </c>
      <c r="V95">
        <f>D_马仔经验!H93</f>
        <v>4639494</v>
      </c>
      <c r="W95">
        <f>D_马仔经验!I93</f>
        <v>4639494</v>
      </c>
    </row>
    <row r="96" spans="2:23">
      <c r="B96">
        <v>94</v>
      </c>
      <c r="C96">
        <f t="shared" si="4"/>
        <v>2.4089538624310583E-4</v>
      </c>
      <c r="D96">
        <f t="shared" si="5"/>
        <v>4.8179077248621167E-4</v>
      </c>
      <c r="E96">
        <f t="shared" si="6"/>
        <v>9.6358154497242334E-4</v>
      </c>
      <c r="F96">
        <f t="shared" si="7"/>
        <v>1.4453723174586354E-3</v>
      </c>
      <c r="O96">
        <f>D_马仔经验!A94</f>
        <v>93</v>
      </c>
      <c r="P96">
        <f>D_马仔经验!B94</f>
        <v>250933</v>
      </c>
      <c r="Q96">
        <f>D_马仔经验!C94</f>
        <v>250933</v>
      </c>
      <c r="R96">
        <f>D_马仔经验!D94</f>
        <v>250933</v>
      </c>
      <c r="S96">
        <f>D_马仔经验!E94</f>
        <v>250933</v>
      </c>
      <c r="T96">
        <f>D_马仔经验!F94</f>
        <v>4880551</v>
      </c>
      <c r="U96">
        <f>D_马仔经验!G94</f>
        <v>4880551</v>
      </c>
      <c r="V96">
        <f>D_马仔经验!H94</f>
        <v>4880551</v>
      </c>
      <c r="W96">
        <f>D_马仔经验!I94</f>
        <v>4880551</v>
      </c>
    </row>
    <row r="97" spans="2:23">
      <c r="B97">
        <v>95</v>
      </c>
      <c r="C97">
        <f t="shared" si="4"/>
        <v>2.3406357566955547E-4</v>
      </c>
      <c r="D97">
        <f t="shared" si="5"/>
        <v>4.6812715133911093E-4</v>
      </c>
      <c r="E97">
        <f t="shared" si="6"/>
        <v>9.3625430267822187E-4</v>
      </c>
      <c r="F97">
        <f t="shared" si="7"/>
        <v>1.404381454017333E-3</v>
      </c>
      <c r="O97">
        <f>D_马仔经验!A95</f>
        <v>94</v>
      </c>
      <c r="P97">
        <f>D_马仔经验!B95</f>
        <v>261108</v>
      </c>
      <c r="Q97">
        <f>D_马仔经验!C95</f>
        <v>261108</v>
      </c>
      <c r="R97">
        <f>D_马仔经验!D95</f>
        <v>261108</v>
      </c>
      <c r="S97">
        <f>D_马仔经验!E95</f>
        <v>261108</v>
      </c>
      <c r="T97">
        <f>D_马仔经验!F95</f>
        <v>5131484</v>
      </c>
      <c r="U97">
        <f>D_马仔经验!G95</f>
        <v>5131484</v>
      </c>
      <c r="V97">
        <f>D_马仔经验!H95</f>
        <v>5131484</v>
      </c>
      <c r="W97">
        <f>D_马仔经验!I95</f>
        <v>5131484</v>
      </c>
    </row>
    <row r="98" spans="2:23">
      <c r="B98">
        <v>96</v>
      </c>
      <c r="C98">
        <f t="shared" si="4"/>
        <v>2.2748940875961149E-4</v>
      </c>
      <c r="D98">
        <f t="shared" si="5"/>
        <v>4.5497881751922298E-4</v>
      </c>
      <c r="E98">
        <f t="shared" si="6"/>
        <v>9.0995763503844596E-4</v>
      </c>
      <c r="F98">
        <f t="shared" si="7"/>
        <v>1.3649364525576693E-3</v>
      </c>
      <c r="O98">
        <f>D_马仔经验!A96</f>
        <v>95</v>
      </c>
      <c r="P98">
        <f>D_马仔经验!B96</f>
        <v>271588</v>
      </c>
      <c r="Q98">
        <f>D_马仔经验!C96</f>
        <v>271588</v>
      </c>
      <c r="R98">
        <f>D_马仔经验!D96</f>
        <v>271588</v>
      </c>
      <c r="S98">
        <f>D_马仔经验!E96</f>
        <v>271588</v>
      </c>
      <c r="T98">
        <f>D_马仔经验!F96</f>
        <v>5392592</v>
      </c>
      <c r="U98">
        <f>D_马仔经验!G96</f>
        <v>5392592</v>
      </c>
      <c r="V98">
        <f>D_马仔经验!H96</f>
        <v>5392592</v>
      </c>
      <c r="W98">
        <f>D_马仔经验!I96</f>
        <v>5392592</v>
      </c>
    </row>
    <row r="99" spans="2:23">
      <c r="B99">
        <v>97</v>
      </c>
      <c r="C99">
        <f t="shared" si="4"/>
        <v>2.2116002570659463E-4</v>
      </c>
      <c r="D99">
        <f t="shared" si="5"/>
        <v>4.4232005141318925E-4</v>
      </c>
      <c r="E99">
        <f t="shared" si="6"/>
        <v>8.846401028263785E-4</v>
      </c>
      <c r="F99">
        <f t="shared" si="7"/>
        <v>1.326960154239568E-3</v>
      </c>
      <c r="O99">
        <f>D_马仔经验!A97</f>
        <v>96</v>
      </c>
      <c r="P99">
        <f>D_马仔经验!B97</f>
        <v>282378</v>
      </c>
      <c r="Q99">
        <f>D_马仔经验!C97</f>
        <v>282378</v>
      </c>
      <c r="R99">
        <f>D_马仔经验!D97</f>
        <v>282378</v>
      </c>
      <c r="S99">
        <f>D_马仔经验!E97</f>
        <v>282378</v>
      </c>
      <c r="T99">
        <f>D_马仔经验!F97</f>
        <v>5664180</v>
      </c>
      <c r="U99">
        <f>D_马仔经验!G97</f>
        <v>5664180</v>
      </c>
      <c r="V99">
        <f>D_马仔经验!H97</f>
        <v>5664180</v>
      </c>
      <c r="W99">
        <f>D_马仔经验!I97</f>
        <v>5664180</v>
      </c>
    </row>
    <row r="100" spans="2:23">
      <c r="B100">
        <v>98</v>
      </c>
      <c r="C100">
        <f t="shared" si="4"/>
        <v>2.1506489050118484E-4</v>
      </c>
      <c r="D100">
        <f t="shared" si="5"/>
        <v>4.3012978100236967E-4</v>
      </c>
      <c r="E100">
        <f t="shared" si="6"/>
        <v>8.6025956200473934E-4</v>
      </c>
      <c r="F100">
        <f t="shared" si="7"/>
        <v>1.2903893430071093E-3</v>
      </c>
      <c r="O100">
        <f>D_马仔经验!A98</f>
        <v>97</v>
      </c>
      <c r="P100">
        <f>D_马仔经验!B98</f>
        <v>293485</v>
      </c>
      <c r="Q100">
        <f>D_马仔经验!C98</f>
        <v>293485</v>
      </c>
      <c r="R100">
        <f>D_马仔经验!D98</f>
        <v>293485</v>
      </c>
      <c r="S100">
        <f>D_马仔经验!E98</f>
        <v>293485</v>
      </c>
      <c r="T100">
        <f>D_马仔经验!F98</f>
        <v>5946558</v>
      </c>
      <c r="U100">
        <f>D_马仔经验!G98</f>
        <v>5946558</v>
      </c>
      <c r="V100">
        <f>D_马仔经验!H98</f>
        <v>5946558</v>
      </c>
      <c r="W100">
        <f>D_马仔经验!I98</f>
        <v>5946558</v>
      </c>
    </row>
    <row r="101" spans="2:23">
      <c r="B101">
        <v>99</v>
      </c>
      <c r="C101">
        <f t="shared" si="4"/>
        <v>2.0919260907202605E-4</v>
      </c>
      <c r="D101">
        <f t="shared" si="5"/>
        <v>4.183852181440521E-4</v>
      </c>
      <c r="E101">
        <f t="shared" si="6"/>
        <v>8.367704362881042E-4</v>
      </c>
      <c r="F101">
        <f t="shared" si="7"/>
        <v>1.2551556544321565E-3</v>
      </c>
      <c r="O101">
        <f>D_马仔经验!A99</f>
        <v>98</v>
      </c>
      <c r="P101">
        <f>D_马仔经验!B99</f>
        <v>304914</v>
      </c>
      <c r="Q101">
        <f>D_马仔经验!C99</f>
        <v>304914</v>
      </c>
      <c r="R101">
        <f>D_马仔经验!D99</f>
        <v>304914</v>
      </c>
      <c r="S101">
        <f>D_马仔经验!E99</f>
        <v>304914</v>
      </c>
      <c r="T101">
        <f>D_马仔经验!F99</f>
        <v>6240043</v>
      </c>
      <c r="U101">
        <f>D_马仔经验!G99</f>
        <v>6240043</v>
      </c>
      <c r="V101">
        <f>D_马仔经验!H99</f>
        <v>6240043</v>
      </c>
      <c r="W101">
        <f>D_马仔经验!I99</f>
        <v>6240043</v>
      </c>
    </row>
    <row r="102" spans="2:23">
      <c r="B102">
        <v>100</v>
      </c>
      <c r="C102">
        <f t="shared" si="4"/>
        <v>2.0353256656051714E-4</v>
      </c>
      <c r="D102">
        <f t="shared" si="5"/>
        <v>4.0706513312103429E-4</v>
      </c>
      <c r="E102">
        <f t="shared" si="6"/>
        <v>8.1413026624206858E-4</v>
      </c>
      <c r="F102">
        <f t="shared" si="7"/>
        <v>1.2211953993631031E-3</v>
      </c>
      <c r="O102">
        <f>D_马仔经验!A100</f>
        <v>99</v>
      </c>
      <c r="P102">
        <f>D_马仔经验!B100</f>
        <v>316672</v>
      </c>
      <c r="Q102">
        <f>D_马仔经验!C100</f>
        <v>316672</v>
      </c>
      <c r="R102">
        <f>D_马仔经验!D100</f>
        <v>316672</v>
      </c>
      <c r="S102">
        <f>D_马仔经验!E100</f>
        <v>316672</v>
      </c>
      <c r="T102">
        <f>D_马仔经验!F100</f>
        <v>6544957</v>
      </c>
      <c r="U102">
        <f>D_马仔经验!G100</f>
        <v>6544957</v>
      </c>
      <c r="V102">
        <f>D_马仔经验!H100</f>
        <v>6544957</v>
      </c>
      <c r="W102">
        <f>D_马仔经验!I100</f>
        <v>6544957</v>
      </c>
    </row>
    <row r="103" spans="2:23">
      <c r="O103">
        <f>D_马仔经验!A101</f>
        <v>100</v>
      </c>
      <c r="P103">
        <f>D_马仔经验!B101</f>
        <v>328766</v>
      </c>
      <c r="Q103">
        <f>D_马仔经验!C101</f>
        <v>328766</v>
      </c>
      <c r="R103">
        <f>D_马仔经验!D101</f>
        <v>328766</v>
      </c>
      <c r="S103">
        <f>D_马仔经验!E101</f>
        <v>328766</v>
      </c>
      <c r="T103">
        <f>D_马仔经验!F101</f>
        <v>6861629</v>
      </c>
      <c r="U103">
        <f>D_马仔经验!G101</f>
        <v>6861629</v>
      </c>
      <c r="V103">
        <f>D_马仔经验!H101</f>
        <v>6861629</v>
      </c>
      <c r="W103">
        <f>D_马仔经验!I101</f>
        <v>6861629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"/>
  <sheetViews>
    <sheetView workbookViewId="0">
      <selection activeCell="C10" sqref="C10:E10"/>
    </sheetView>
  </sheetViews>
  <sheetFormatPr defaultRowHeight="13.5"/>
  <sheetData>
    <row r="1" spans="1:10">
      <c r="A1" s="1" t="str">
        <f>D_马仔表!A1</f>
        <v>马仔ID</v>
      </c>
      <c r="B1" s="1" t="str">
        <f>D_马仔表!B1</f>
        <v>马仔名称</v>
      </c>
      <c r="C1" s="1" t="s">
        <v>265</v>
      </c>
      <c r="D1" s="1" t="s">
        <v>266</v>
      </c>
      <c r="E1" s="2" t="s">
        <v>267</v>
      </c>
    </row>
    <row r="2" spans="1:10">
      <c r="A2" s="5">
        <f>D_马仔表!A2</f>
        <v>101101</v>
      </c>
      <c r="B2" s="1" t="str">
        <f>D_马仔表!B2</f>
        <v>制服太妹</v>
      </c>
      <c r="C2" s="44">
        <f>马仔辅助表!V80</f>
        <v>0.23228539152498107</v>
      </c>
      <c r="D2" s="44">
        <f>马仔辅助表!W80</f>
        <v>0.3539535401069519</v>
      </c>
      <c r="E2" s="44">
        <f>马仔辅助表!X80</f>
        <v>0.30590092201039865</v>
      </c>
      <c r="F2" s="44"/>
      <c r="G2" s="44"/>
      <c r="H2" s="44"/>
    </row>
    <row r="3" spans="1:10">
      <c r="A3" s="5">
        <f>D_马仔表!A3</f>
        <v>101102</v>
      </c>
      <c r="B3" s="1" t="str">
        <f>D_马仔表!B3</f>
        <v>蟹仔</v>
      </c>
      <c r="C3" s="44">
        <f>马仔辅助表!V81</f>
        <v>0.23228539152498107</v>
      </c>
      <c r="D3" s="44">
        <f>马仔辅助表!W81</f>
        <v>0.3539535401069519</v>
      </c>
      <c r="E3" s="44">
        <f>马仔辅助表!X81</f>
        <v>0.30590092201039865</v>
      </c>
    </row>
    <row r="4" spans="1:10">
      <c r="A4" s="5">
        <f>D_马仔表!A4</f>
        <v>101103</v>
      </c>
      <c r="B4" s="1" t="str">
        <f>D_马仔表!B4</f>
        <v>比利</v>
      </c>
      <c r="C4" s="44">
        <f>马仔辅助表!V82</f>
        <v>0.23228539152498107</v>
      </c>
      <c r="D4" s="44">
        <f>马仔辅助表!W82</f>
        <v>0.3539535401069519</v>
      </c>
      <c r="E4" s="44">
        <f>马仔辅助表!X82</f>
        <v>0.30590092201039865</v>
      </c>
    </row>
    <row r="5" spans="1:10">
      <c r="A5" s="5">
        <f>D_马仔表!A5</f>
        <v>101104</v>
      </c>
      <c r="B5" s="1" t="str">
        <f>D_马仔表!B5</f>
        <v>黎九</v>
      </c>
      <c r="C5" s="44">
        <f>马仔辅助表!V83</f>
        <v>0.23228539152498107</v>
      </c>
      <c r="D5" s="44">
        <f>马仔辅助表!W83</f>
        <v>0.3539535401069519</v>
      </c>
      <c r="E5" s="44">
        <f>马仔辅助表!X83</f>
        <v>0.30590092201039865</v>
      </c>
      <c r="J5" t="s">
        <v>268</v>
      </c>
    </row>
    <row r="6" spans="1:10">
      <c r="A6" s="5">
        <f>D_马仔表!A6</f>
        <v>101105</v>
      </c>
      <c r="B6" s="1" t="str">
        <f>D_马仔表!B6</f>
        <v>黑古</v>
      </c>
      <c r="C6" s="44">
        <f>马仔辅助表!V84</f>
        <v>0.23228539152498107</v>
      </c>
      <c r="D6" s="44">
        <f>马仔辅助表!W84</f>
        <v>0.3539535401069519</v>
      </c>
      <c r="E6" s="44">
        <f>马仔辅助表!X84</f>
        <v>0.30590092201039865</v>
      </c>
      <c r="J6" t="s">
        <v>269</v>
      </c>
    </row>
    <row r="7" spans="1:10">
      <c r="A7" s="5">
        <f>D_马仔表!A7</f>
        <v>101106</v>
      </c>
      <c r="B7" s="1" t="str">
        <f>D_马仔表!B7</f>
        <v>靓坤</v>
      </c>
      <c r="C7" s="44">
        <f>马仔辅助表!V85</f>
        <v>0.46457078304996213</v>
      </c>
      <c r="D7" s="44">
        <f>马仔辅助表!W85</f>
        <v>0.70790708021390381</v>
      </c>
      <c r="E7" s="44">
        <f>马仔辅助表!X85</f>
        <v>0.61180184402079729</v>
      </c>
      <c r="J7" t="s">
        <v>270</v>
      </c>
    </row>
    <row r="8" spans="1:10">
      <c r="A8" s="5">
        <f>D_马仔表!A8</f>
        <v>101107</v>
      </c>
      <c r="B8" s="1" t="str">
        <f>D_马仔表!B8</f>
        <v>雷复轰</v>
      </c>
      <c r="C8" s="44">
        <f>马仔辅助表!V86</f>
        <v>0.46457078304996213</v>
      </c>
      <c r="D8" s="44">
        <f>马仔辅助表!W86</f>
        <v>0.70790708021390381</v>
      </c>
      <c r="E8" s="44">
        <f>马仔辅助表!X86</f>
        <v>0.61180184402079729</v>
      </c>
    </row>
    <row r="9" spans="1:10">
      <c r="A9" s="5">
        <f>D_马仔表!A9</f>
        <v>101108</v>
      </c>
      <c r="B9" s="1" t="str">
        <f>D_马仔表!B9</f>
        <v>肥仔</v>
      </c>
      <c r="C9" s="44">
        <f>马仔辅助表!V87</f>
        <v>0.46457078304996213</v>
      </c>
      <c r="D9" s="44">
        <f>马仔辅助表!W87</f>
        <v>0.70790708021390381</v>
      </c>
      <c r="E9" s="44">
        <f>马仔辅助表!X87</f>
        <v>0.61180184402079729</v>
      </c>
    </row>
    <row r="10" spans="1:10">
      <c r="A10" s="5">
        <f>D_马仔表!A10</f>
        <v>101109</v>
      </c>
      <c r="B10" s="1" t="str">
        <f>D_马仔表!B10</f>
        <v>司徒浩南</v>
      </c>
      <c r="C10" s="44">
        <f>马仔辅助表!V88</f>
        <v>0.92914156609992427</v>
      </c>
      <c r="D10" s="44">
        <f>马仔辅助表!W88</f>
        <v>1.4158141604278076</v>
      </c>
      <c r="E10" s="44">
        <f>马仔辅助表!X88</f>
        <v>1.2236036880415946</v>
      </c>
    </row>
    <row r="11" spans="1:10">
      <c r="A11" s="5">
        <f>D_马仔表!A11</f>
        <v>101110</v>
      </c>
      <c r="B11" s="1" t="str">
        <f>D_马仔表!B11</f>
        <v>乌鸦</v>
      </c>
      <c r="C11" s="44">
        <f>马仔辅助表!V89</f>
        <v>0.92914156609992427</v>
      </c>
      <c r="D11" s="44">
        <f>马仔辅助表!W89</f>
        <v>1.4158141604278076</v>
      </c>
      <c r="E11" s="44">
        <f>马仔辅助表!X89</f>
        <v>1.2236036880415946</v>
      </c>
    </row>
    <row r="12" spans="1:10">
      <c r="A12" s="5">
        <f>D_马仔表!A12</f>
        <v>101111</v>
      </c>
      <c r="B12" s="1" t="str">
        <f>D_马仔表!B12</f>
        <v>赌王</v>
      </c>
      <c r="C12" s="44">
        <f>马仔辅助表!V90</f>
        <v>0.92914156609992427</v>
      </c>
      <c r="D12" s="44">
        <f>马仔辅助表!W90</f>
        <v>1.4158141604278076</v>
      </c>
      <c r="E12" s="44">
        <f>马仔辅助表!X90</f>
        <v>1.2236036880415946</v>
      </c>
    </row>
    <row r="13" spans="1:10">
      <c r="A13" s="5">
        <f>D_马仔表!A13</f>
        <v>101112</v>
      </c>
      <c r="B13" s="1" t="str">
        <f>D_马仔表!B13</f>
        <v>山下忠秀</v>
      </c>
      <c r="C13" s="44">
        <f>马仔辅助表!V91</f>
        <v>0.92914156609992427</v>
      </c>
      <c r="D13" s="44">
        <f>马仔辅助表!W91</f>
        <v>1.4158141604278076</v>
      </c>
      <c r="E13" s="44">
        <f>马仔辅助表!X91</f>
        <v>1.2236036880415946</v>
      </c>
    </row>
    <row r="14" spans="1:10">
      <c r="A14" s="5">
        <f>D_马仔表!A14</f>
        <v>101113</v>
      </c>
      <c r="B14" s="1" t="str">
        <f>D_马仔表!B14</f>
        <v>宫本一</v>
      </c>
      <c r="C14" s="44">
        <f>马仔辅助表!V92</f>
        <v>0.92914156609992427</v>
      </c>
      <c r="D14" s="44">
        <f>马仔辅助表!W92</f>
        <v>1.4158141604278076</v>
      </c>
      <c r="E14" s="44">
        <f>马仔辅助表!X92</f>
        <v>1.2236036880415946</v>
      </c>
    </row>
    <row r="15" spans="1:10">
      <c r="A15" s="5">
        <f>D_马仔表!A15</f>
        <v>101114</v>
      </c>
      <c r="B15" s="1" t="str">
        <f>D_马仔表!B15</f>
        <v>陈浩南</v>
      </c>
      <c r="C15" s="44">
        <f>马仔辅助表!V93</f>
        <v>1.3937123491498864</v>
      </c>
      <c r="D15" s="44">
        <f>马仔辅助表!W93</f>
        <v>2.1237212406417116</v>
      </c>
      <c r="E15" s="44">
        <f>马仔辅助表!X93</f>
        <v>1.8354055320623921</v>
      </c>
    </row>
    <row r="16" spans="1:10">
      <c r="A16" s="5">
        <f>D_马仔表!A16</f>
        <v>101115</v>
      </c>
      <c r="B16" s="1" t="str">
        <f>D_马仔表!B16</f>
        <v>山鸡</v>
      </c>
      <c r="C16" s="44">
        <f>马仔辅助表!V94</f>
        <v>1.3937123491498864</v>
      </c>
      <c r="D16" s="44">
        <f>马仔辅助表!W94</f>
        <v>2.1237212406417116</v>
      </c>
      <c r="E16" s="44">
        <f>马仔辅助表!X94</f>
        <v>1.8354055320623921</v>
      </c>
    </row>
    <row r="17" spans="1:5">
      <c r="A17" s="5">
        <f>D_马仔表!A17</f>
        <v>101116</v>
      </c>
      <c r="B17" s="1" t="str">
        <f>D_马仔表!B17</f>
        <v>大天二</v>
      </c>
      <c r="C17" s="44">
        <f>马仔辅助表!V95</f>
        <v>1.3937123491498864</v>
      </c>
      <c r="D17" s="44">
        <f>马仔辅助表!W95</f>
        <v>2.1237212406417116</v>
      </c>
      <c r="E17" s="44">
        <f>马仔辅助表!X95</f>
        <v>1.8354055320623921</v>
      </c>
    </row>
    <row r="18" spans="1:5">
      <c r="A18" s="5">
        <f>D_马仔表!A18</f>
        <v>101117</v>
      </c>
      <c r="B18" s="1" t="str">
        <f>D_马仔表!B18</f>
        <v>巴闭</v>
      </c>
      <c r="C18" s="44">
        <f>马仔辅助表!V96</f>
        <v>0.46457078304996213</v>
      </c>
      <c r="D18" s="44">
        <f>马仔辅助表!W96</f>
        <v>0.70790708021390381</v>
      </c>
      <c r="E18" s="44">
        <f>马仔辅助表!X96</f>
        <v>0.61180184402079729</v>
      </c>
    </row>
    <row r="19" spans="1:5">
      <c r="A19" s="5">
        <f>D_马仔表!A19</f>
        <v>101118</v>
      </c>
      <c r="B19" s="1" t="str">
        <f>D_马仔表!B19</f>
        <v>耀阳</v>
      </c>
      <c r="C19" s="44">
        <f>马仔辅助表!V97</f>
        <v>0.92914156609992427</v>
      </c>
      <c r="D19" s="44">
        <f>马仔辅助表!W97</f>
        <v>1.4158141604278076</v>
      </c>
      <c r="E19" s="44">
        <f>马仔辅助表!X97</f>
        <v>1.2236036880415946</v>
      </c>
    </row>
    <row r="20" spans="1:5">
      <c r="A20" s="5">
        <f>D_马仔表!A20</f>
        <v>101119</v>
      </c>
      <c r="B20" s="1" t="str">
        <f>D_马仔表!B20</f>
        <v>笑面虎</v>
      </c>
      <c r="C20" s="44">
        <f>马仔辅助表!V98</f>
        <v>0.92914156609992427</v>
      </c>
      <c r="D20" s="44">
        <f>马仔辅助表!W98</f>
        <v>1.4158141604278076</v>
      </c>
      <c r="E20" s="44">
        <f>马仔辅助表!X98</f>
        <v>1.2236036880415946</v>
      </c>
    </row>
  </sheetData>
  <phoneticPr fontId="1" type="noConversion"/>
  <conditionalFormatting sqref="A2:A20">
    <cfRule type="expression" dxfId="1236" priority="1">
      <formula>$D2=5</formula>
    </cfRule>
    <cfRule type="expression" dxfId="1235" priority="2">
      <formula>$D2=4</formula>
    </cfRule>
    <cfRule type="expression" dxfId="1234" priority="3">
      <formula>$D2=3</formula>
    </cfRule>
    <cfRule type="expression" dxfId="1233" priority="4">
      <formula>$D2=2</formula>
    </cfRule>
    <cfRule type="expression" dxfId="1232" priority="5">
      <formula>$D2=1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91"/>
  <sheetViews>
    <sheetView workbookViewId="0">
      <selection activeCell="E24" sqref="E24"/>
    </sheetView>
  </sheetViews>
  <sheetFormatPr defaultRowHeight="13.5"/>
  <cols>
    <col min="4" max="4" width="16.125" bestFit="1" customWidth="1"/>
    <col min="5" max="5" width="18.375" bestFit="1" customWidth="1"/>
    <col min="6" max="6" width="11.125" bestFit="1" customWidth="1"/>
    <col min="7" max="7" width="15.125" bestFit="1" customWidth="1"/>
    <col min="15" max="15" width="24.25" customWidth="1"/>
    <col min="17" max="17" width="17.25" bestFit="1" customWidth="1"/>
  </cols>
  <sheetData>
    <row r="1" spans="1:19">
      <c r="A1" t="s">
        <v>120</v>
      </c>
      <c r="B1" t="s">
        <v>128</v>
      </c>
      <c r="C1" t="s">
        <v>191</v>
      </c>
      <c r="D1" t="s">
        <v>192</v>
      </c>
      <c r="E1" t="s">
        <v>193</v>
      </c>
      <c r="F1" t="s">
        <v>689</v>
      </c>
      <c r="G1" t="s">
        <v>691</v>
      </c>
    </row>
    <row r="2" spans="1:19">
      <c r="A2">
        <v>101101</v>
      </c>
      <c r="B2" t="str">
        <f>VLOOKUP(A2,D_马仔表!$A$2:$B$20,2,FALSE)</f>
        <v>制服太妹</v>
      </c>
      <c r="C2">
        <v>1</v>
      </c>
      <c r="D2" s="28">
        <f>VLOOKUP(A2,$K$7:$L$25,2,FALSE)</f>
        <v>78101</v>
      </c>
      <c r="E2">
        <v>10</v>
      </c>
      <c r="F2" s="28">
        <f>VLOOKUP(A2,$K$7:$S$25,9,FALSE)</f>
        <v>0</v>
      </c>
      <c r="G2" s="118">
        <v>30</v>
      </c>
    </row>
    <row r="3" spans="1:19">
      <c r="A3">
        <f>A2</f>
        <v>101101</v>
      </c>
      <c r="B3" t="str">
        <f>VLOOKUP(A3,D_马仔表!$A$2:$B$20,2,FALSE)</f>
        <v>制服太妹</v>
      </c>
      <c r="C3">
        <v>2</v>
      </c>
      <c r="D3" s="28">
        <f t="shared" ref="D3:D66" si="0">VLOOKUP(A3,$K$7:$L$25,2,FALSE)</f>
        <v>78101</v>
      </c>
      <c r="E3">
        <v>20</v>
      </c>
      <c r="F3" s="28">
        <f t="shared" ref="F3:F66" si="1">VLOOKUP(A3,$K$7:$S$25,9,FALSE)</f>
        <v>0</v>
      </c>
      <c r="G3" s="118">
        <v>40</v>
      </c>
    </row>
    <row r="4" spans="1:19">
      <c r="A4">
        <f t="shared" ref="A4:A11" si="2">A3</f>
        <v>101101</v>
      </c>
      <c r="B4" t="str">
        <f>VLOOKUP(A4,D_马仔表!$A$2:$B$20,2,FALSE)</f>
        <v>制服太妹</v>
      </c>
      <c r="C4">
        <v>3</v>
      </c>
      <c r="D4" s="28">
        <f t="shared" si="0"/>
        <v>78101</v>
      </c>
      <c r="E4">
        <v>30</v>
      </c>
      <c r="F4" s="28">
        <f t="shared" si="1"/>
        <v>0</v>
      </c>
      <c r="G4" s="118">
        <v>50</v>
      </c>
    </row>
    <row r="5" spans="1:19">
      <c r="A5">
        <f t="shared" si="2"/>
        <v>101101</v>
      </c>
      <c r="B5" t="str">
        <f>VLOOKUP(A5,D_马仔表!$A$2:$B$20,2,FALSE)</f>
        <v>制服太妹</v>
      </c>
      <c r="C5">
        <v>4</v>
      </c>
      <c r="D5" s="28">
        <f t="shared" si="0"/>
        <v>78101</v>
      </c>
      <c r="E5">
        <v>40</v>
      </c>
      <c r="F5" s="28">
        <f t="shared" si="1"/>
        <v>0</v>
      </c>
      <c r="G5" s="118">
        <v>55</v>
      </c>
      <c r="P5">
        <v>550</v>
      </c>
    </row>
    <row r="6" spans="1:19">
      <c r="A6">
        <f t="shared" si="2"/>
        <v>101101</v>
      </c>
      <c r="B6" t="str">
        <f>VLOOKUP(A6,D_马仔表!$A$2:$B$20,2,FALSE)</f>
        <v>制服太妹</v>
      </c>
      <c r="C6">
        <v>5</v>
      </c>
      <c r="D6" s="28">
        <f t="shared" si="0"/>
        <v>78101</v>
      </c>
      <c r="E6">
        <v>60</v>
      </c>
      <c r="F6" s="28">
        <f t="shared" si="1"/>
        <v>0</v>
      </c>
      <c r="G6" s="118">
        <v>60</v>
      </c>
      <c r="K6" s="90" t="s">
        <v>407</v>
      </c>
      <c r="L6" s="49" t="s">
        <v>194</v>
      </c>
      <c r="M6" s="49" t="s">
        <v>195</v>
      </c>
      <c r="N6" s="92"/>
      <c r="O6" s="37" t="s">
        <v>196</v>
      </c>
      <c r="P6" s="37" t="s">
        <v>197</v>
      </c>
      <c r="Q6" s="37" t="s">
        <v>198</v>
      </c>
      <c r="S6" t="s">
        <v>690</v>
      </c>
    </row>
    <row r="7" spans="1:19">
      <c r="A7">
        <f t="shared" si="2"/>
        <v>101101</v>
      </c>
      <c r="B7" t="str">
        <f>VLOOKUP(A7,D_马仔表!$A$2:$B$20,2,FALSE)</f>
        <v>制服太妹</v>
      </c>
      <c r="C7">
        <v>6</v>
      </c>
      <c r="D7" s="28">
        <f t="shared" si="0"/>
        <v>78101</v>
      </c>
      <c r="E7">
        <v>90</v>
      </c>
      <c r="F7" s="28">
        <f t="shared" si="1"/>
        <v>0</v>
      </c>
      <c r="G7" s="118">
        <v>65</v>
      </c>
      <c r="K7">
        <f>D_马仔表!A2</f>
        <v>101101</v>
      </c>
      <c r="L7" s="12">
        <v>78101</v>
      </c>
      <c r="M7" s="12" t="str">
        <f>VLOOKUP(L7,[5]D_道具表!$A:$B,2,0)</f>
        <v>马仔碎片(制服太妹)</v>
      </c>
      <c r="N7" s="27"/>
      <c r="O7" s="37">
        <f>马仔辅助表!T35*10+马仔辅助表!T12</f>
        <v>2504.248126128035</v>
      </c>
      <c r="P7" s="37">
        <f>SUMIFS(E:E,A:A,K7)</f>
        <v>980</v>
      </c>
      <c r="Q7" s="37">
        <f t="shared" ref="Q7:Q25" si="3">O7/P7</f>
        <v>2.5553552307428928</v>
      </c>
      <c r="R7">
        <v>3.9939768731884531</v>
      </c>
      <c r="S7">
        <v>0</v>
      </c>
    </row>
    <row r="8" spans="1:19">
      <c r="A8">
        <f t="shared" si="2"/>
        <v>101101</v>
      </c>
      <c r="B8" t="str">
        <f>VLOOKUP(A8,D_马仔表!$A$2:$B$20,2,FALSE)</f>
        <v>制服太妹</v>
      </c>
      <c r="C8">
        <v>7</v>
      </c>
      <c r="D8" s="28">
        <f t="shared" si="0"/>
        <v>78101</v>
      </c>
      <c r="E8">
        <v>120</v>
      </c>
      <c r="F8" s="28">
        <f t="shared" si="1"/>
        <v>0</v>
      </c>
      <c r="G8" s="118">
        <v>70</v>
      </c>
      <c r="K8">
        <f>D_马仔表!A3</f>
        <v>101102</v>
      </c>
      <c r="L8" s="12">
        <v>78102</v>
      </c>
      <c r="M8" s="12" t="str">
        <f>VLOOKUP(L8,[5]D_道具表!$A:$B,2,0)</f>
        <v>马仔碎片(蟹仔)</v>
      </c>
      <c r="N8" s="27"/>
      <c r="O8" s="37">
        <f>马仔辅助表!T36*10+马仔辅助表!T13</f>
        <v>2504.248126128035</v>
      </c>
      <c r="P8" s="37">
        <f t="shared" ref="P8:P25" si="4">SUMIFS(E:E,A:A,K8)</f>
        <v>980</v>
      </c>
      <c r="Q8" s="37">
        <f t="shared" si="3"/>
        <v>2.5553552307428928</v>
      </c>
      <c r="R8">
        <v>3.9939768731884531</v>
      </c>
      <c r="S8">
        <v>0</v>
      </c>
    </row>
    <row r="9" spans="1:19">
      <c r="A9">
        <f t="shared" si="2"/>
        <v>101101</v>
      </c>
      <c r="B9" t="str">
        <f>VLOOKUP(A9,D_马仔表!$A$2:$B$20,2,FALSE)</f>
        <v>制服太妹</v>
      </c>
      <c r="C9">
        <v>8</v>
      </c>
      <c r="D9" s="28">
        <f t="shared" si="0"/>
        <v>78101</v>
      </c>
      <c r="E9">
        <v>160</v>
      </c>
      <c r="F9" s="28">
        <f t="shared" si="1"/>
        <v>0</v>
      </c>
      <c r="G9" s="118">
        <v>75</v>
      </c>
      <c r="K9">
        <f>D_马仔表!A4</f>
        <v>101103</v>
      </c>
      <c r="L9" s="12">
        <v>78103</v>
      </c>
      <c r="M9" s="12" t="str">
        <f>VLOOKUP(L9,[5]D_道具表!$A:$B,2,0)</f>
        <v>马仔碎片(比利)</v>
      </c>
      <c r="N9" s="27"/>
      <c r="O9" s="37">
        <f>马仔辅助表!T37*10+马仔辅助表!T14</f>
        <v>2504.248126128035</v>
      </c>
      <c r="P9" s="37">
        <f t="shared" si="4"/>
        <v>980</v>
      </c>
      <c r="Q9" s="37">
        <f t="shared" si="3"/>
        <v>2.5553552307428928</v>
      </c>
      <c r="R9">
        <v>3.9939768731884531</v>
      </c>
      <c r="S9">
        <v>0</v>
      </c>
    </row>
    <row r="10" spans="1:19">
      <c r="A10">
        <f t="shared" si="2"/>
        <v>101101</v>
      </c>
      <c r="B10" t="str">
        <f>VLOOKUP(A10,D_马仔表!$A$2:$B$20,2,FALSE)</f>
        <v>制服太妹</v>
      </c>
      <c r="C10">
        <v>9</v>
      </c>
      <c r="D10" s="28">
        <f t="shared" si="0"/>
        <v>78101</v>
      </c>
      <c r="E10">
        <v>200</v>
      </c>
      <c r="F10" s="28">
        <f t="shared" si="1"/>
        <v>0</v>
      </c>
      <c r="G10" s="118">
        <v>80</v>
      </c>
      <c r="K10">
        <f>D_马仔表!A5</f>
        <v>101104</v>
      </c>
      <c r="L10" s="12">
        <v>78104</v>
      </c>
      <c r="M10" s="12" t="str">
        <f>VLOOKUP(L10,[5]D_道具表!$A:$B,2,0)</f>
        <v>马仔碎片(黎九)</v>
      </c>
      <c r="N10" s="27"/>
      <c r="O10" s="37">
        <f>马仔辅助表!T38*10+马仔辅助表!T15</f>
        <v>2504.248126128035</v>
      </c>
      <c r="P10" s="37">
        <f t="shared" si="4"/>
        <v>980</v>
      </c>
      <c r="Q10" s="37">
        <f t="shared" si="3"/>
        <v>2.5553552307428928</v>
      </c>
      <c r="R10">
        <v>3.9939768731884531</v>
      </c>
      <c r="S10">
        <v>0</v>
      </c>
    </row>
    <row r="11" spans="1:19">
      <c r="A11">
        <f t="shared" si="2"/>
        <v>101101</v>
      </c>
      <c r="B11" t="str">
        <f>VLOOKUP(A11,D_马仔表!$A$2:$B$20,2,FALSE)</f>
        <v>制服太妹</v>
      </c>
      <c r="C11">
        <v>10</v>
      </c>
      <c r="D11" s="28">
        <f t="shared" si="0"/>
        <v>78101</v>
      </c>
      <c r="E11">
        <v>250</v>
      </c>
      <c r="F11" s="28">
        <f t="shared" si="1"/>
        <v>0</v>
      </c>
      <c r="G11" s="118">
        <v>80</v>
      </c>
      <c r="K11">
        <f>D_马仔表!A6</f>
        <v>101105</v>
      </c>
      <c r="L11" s="12">
        <v>78105</v>
      </c>
      <c r="M11" s="12" t="str">
        <f>VLOOKUP(L11,[5]D_道具表!$A:$B,2,0)</f>
        <v>马仔碎片(黑古)</v>
      </c>
      <c r="N11" s="27"/>
      <c r="O11" s="37">
        <f>马仔辅助表!T39*10+马仔辅助表!T16</f>
        <v>2504.248126128035</v>
      </c>
      <c r="P11" s="37">
        <f t="shared" si="4"/>
        <v>980</v>
      </c>
      <c r="Q11" s="37">
        <f t="shared" si="3"/>
        <v>2.5553552307428928</v>
      </c>
      <c r="R11">
        <v>3.9939768731884531</v>
      </c>
      <c r="S11">
        <v>0</v>
      </c>
    </row>
    <row r="12" spans="1:19">
      <c r="A12">
        <f>A2+1</f>
        <v>101102</v>
      </c>
      <c r="B12" t="str">
        <f>VLOOKUP(A12,D_马仔表!$A$2:$B$20,2,FALSE)</f>
        <v>蟹仔</v>
      </c>
      <c r="C12">
        <f>C2</f>
        <v>1</v>
      </c>
      <c r="D12" s="28">
        <f t="shared" si="0"/>
        <v>78102</v>
      </c>
      <c r="E12">
        <v>10</v>
      </c>
      <c r="F12" s="28">
        <f t="shared" si="1"/>
        <v>0</v>
      </c>
      <c r="G12">
        <f>G2</f>
        <v>30</v>
      </c>
      <c r="K12">
        <f>D_马仔表!A7</f>
        <v>101106</v>
      </c>
      <c r="L12" s="12">
        <v>78106</v>
      </c>
      <c r="M12" s="12" t="str">
        <f>VLOOKUP(L12,[5]D_道具表!$A:$B,2,0)</f>
        <v>马仔碎片(靓坤)</v>
      </c>
      <c r="N12" s="27"/>
      <c r="O12" s="37">
        <f>马仔辅助表!T40*10+马仔辅助表!T17</f>
        <v>5008.49625225607</v>
      </c>
      <c r="P12" s="37">
        <f t="shared" si="4"/>
        <v>980</v>
      </c>
      <c r="Q12" s="37">
        <f t="shared" si="3"/>
        <v>5.1107104614857857</v>
      </c>
      <c r="R12">
        <v>3.9939768731884531</v>
      </c>
      <c r="S12">
        <v>0</v>
      </c>
    </row>
    <row r="13" spans="1:19">
      <c r="A13">
        <f t="shared" ref="A13:A76" si="5">A3+1</f>
        <v>101102</v>
      </c>
      <c r="B13" t="str">
        <f>VLOOKUP(A13,D_马仔表!$A$2:$B$20,2,FALSE)</f>
        <v>蟹仔</v>
      </c>
      <c r="C13">
        <f t="shared" ref="C13:C76" si="6">C3</f>
        <v>2</v>
      </c>
      <c r="D13" s="28">
        <f t="shared" si="0"/>
        <v>78102</v>
      </c>
      <c r="E13">
        <v>20</v>
      </c>
      <c r="F13" s="28">
        <f t="shared" si="1"/>
        <v>0</v>
      </c>
      <c r="G13">
        <f t="shared" ref="G13:G76" si="7">G3</f>
        <v>40</v>
      </c>
      <c r="K13">
        <f>D_马仔表!A8</f>
        <v>101107</v>
      </c>
      <c r="L13" s="12">
        <v>78107</v>
      </c>
      <c r="M13" s="12" t="str">
        <f>VLOOKUP(L13,[5]D_道具表!$A:$B,2,0)</f>
        <v>马仔碎片(雷复轰)</v>
      </c>
      <c r="N13" s="27"/>
      <c r="O13" s="37">
        <f>马仔辅助表!T41*10+马仔辅助表!T18</f>
        <v>5008.49625225607</v>
      </c>
      <c r="P13" s="37">
        <f t="shared" si="4"/>
        <v>980</v>
      </c>
      <c r="Q13" s="37">
        <f t="shared" si="3"/>
        <v>5.1107104614857857</v>
      </c>
      <c r="R13">
        <v>3.9939768731884531</v>
      </c>
      <c r="S13">
        <v>0</v>
      </c>
    </row>
    <row r="14" spans="1:19">
      <c r="A14">
        <f t="shared" si="5"/>
        <v>101102</v>
      </c>
      <c r="B14" t="str">
        <f>VLOOKUP(A14,D_马仔表!$A$2:$B$20,2,FALSE)</f>
        <v>蟹仔</v>
      </c>
      <c r="C14">
        <f t="shared" si="6"/>
        <v>3</v>
      </c>
      <c r="D14" s="28">
        <f t="shared" si="0"/>
        <v>78102</v>
      </c>
      <c r="E14">
        <v>30</v>
      </c>
      <c r="F14" s="28">
        <f t="shared" si="1"/>
        <v>0</v>
      </c>
      <c r="G14">
        <f t="shared" si="7"/>
        <v>50</v>
      </c>
      <c r="K14">
        <f>D_马仔表!A9</f>
        <v>101108</v>
      </c>
      <c r="L14" s="12">
        <v>78108</v>
      </c>
      <c r="M14" s="12" t="str">
        <f>VLOOKUP(L14,[5]D_道具表!$A:$B,2,0)</f>
        <v>马仔碎片(肥仔)</v>
      </c>
      <c r="N14" s="27"/>
      <c r="O14" s="37">
        <f>马仔辅助表!T42*10+马仔辅助表!T19</f>
        <v>5008.49625225607</v>
      </c>
      <c r="P14" s="37">
        <f t="shared" si="4"/>
        <v>980</v>
      </c>
      <c r="Q14" s="37">
        <f t="shared" si="3"/>
        <v>5.1107104614857857</v>
      </c>
      <c r="R14">
        <v>3.9939768731884531</v>
      </c>
      <c r="S14">
        <v>0</v>
      </c>
    </row>
    <row r="15" spans="1:19">
      <c r="A15">
        <f t="shared" si="5"/>
        <v>101102</v>
      </c>
      <c r="B15" t="str">
        <f>VLOOKUP(A15,D_马仔表!$A$2:$B$20,2,FALSE)</f>
        <v>蟹仔</v>
      </c>
      <c r="C15">
        <f t="shared" si="6"/>
        <v>4</v>
      </c>
      <c r="D15" s="28">
        <f t="shared" si="0"/>
        <v>78102</v>
      </c>
      <c r="E15">
        <v>40</v>
      </c>
      <c r="F15" s="28">
        <f t="shared" si="1"/>
        <v>0</v>
      </c>
      <c r="G15">
        <f t="shared" si="7"/>
        <v>55</v>
      </c>
      <c r="K15">
        <f>D_马仔表!A10</f>
        <v>101109</v>
      </c>
      <c r="L15" s="12">
        <v>78109</v>
      </c>
      <c r="M15" s="12" t="str">
        <f>VLOOKUP(L15,[5]D_道具表!$A:$B,2,0)</f>
        <v>马仔碎片(司徒浩南)</v>
      </c>
      <c r="N15" s="27"/>
      <c r="O15" s="37">
        <f>马仔辅助表!T43*10+马仔辅助表!T20</f>
        <v>10016.99250451214</v>
      </c>
      <c r="P15" s="37">
        <f t="shared" si="4"/>
        <v>980</v>
      </c>
      <c r="Q15" s="37">
        <f t="shared" si="3"/>
        <v>10.221420922971571</v>
      </c>
      <c r="R15">
        <v>3.9939768731884531</v>
      </c>
      <c r="S15">
        <v>0</v>
      </c>
    </row>
    <row r="16" spans="1:19">
      <c r="A16">
        <f t="shared" si="5"/>
        <v>101102</v>
      </c>
      <c r="B16" t="str">
        <f>VLOOKUP(A16,D_马仔表!$A$2:$B$20,2,FALSE)</f>
        <v>蟹仔</v>
      </c>
      <c r="C16">
        <f t="shared" si="6"/>
        <v>5</v>
      </c>
      <c r="D16" s="28">
        <f t="shared" si="0"/>
        <v>78102</v>
      </c>
      <c r="E16">
        <v>60</v>
      </c>
      <c r="F16" s="28">
        <f t="shared" si="1"/>
        <v>0</v>
      </c>
      <c r="G16">
        <f t="shared" si="7"/>
        <v>60</v>
      </c>
      <c r="K16">
        <f>D_马仔表!A11</f>
        <v>101110</v>
      </c>
      <c r="L16" s="12">
        <v>78110</v>
      </c>
      <c r="M16" s="12" t="str">
        <f>VLOOKUP(L16,[5]D_道具表!$A:$B,2,0)</f>
        <v>马仔碎片(乌鸦)</v>
      </c>
      <c r="N16" s="27"/>
      <c r="O16" s="37">
        <f>马仔辅助表!T44*10+马仔辅助表!T21</f>
        <v>10016.99250451214</v>
      </c>
      <c r="P16" s="37">
        <f t="shared" si="4"/>
        <v>980</v>
      </c>
      <c r="Q16" s="37">
        <f t="shared" si="3"/>
        <v>10.221420922971571</v>
      </c>
      <c r="R16">
        <v>3.9939768731884531</v>
      </c>
      <c r="S16">
        <v>0</v>
      </c>
    </row>
    <row r="17" spans="1:19">
      <c r="A17">
        <f t="shared" si="5"/>
        <v>101102</v>
      </c>
      <c r="B17" t="str">
        <f>VLOOKUP(A17,D_马仔表!$A$2:$B$20,2,FALSE)</f>
        <v>蟹仔</v>
      </c>
      <c r="C17">
        <f t="shared" si="6"/>
        <v>6</v>
      </c>
      <c r="D17" s="28">
        <f t="shared" si="0"/>
        <v>78102</v>
      </c>
      <c r="E17">
        <v>90</v>
      </c>
      <c r="F17" s="28">
        <f t="shared" si="1"/>
        <v>0</v>
      </c>
      <c r="G17">
        <f t="shared" si="7"/>
        <v>65</v>
      </c>
      <c r="K17">
        <f>D_马仔表!A12</f>
        <v>101111</v>
      </c>
      <c r="L17" s="12">
        <v>78111</v>
      </c>
      <c r="M17" s="12" t="str">
        <f>VLOOKUP(L17,[5]D_道具表!$A:$B,2,0)</f>
        <v>马仔碎片(赌王)</v>
      </c>
      <c r="N17" s="27"/>
      <c r="O17" s="37">
        <f>马仔辅助表!T45*10+马仔辅助表!T22</f>
        <v>10016.99250451214</v>
      </c>
      <c r="P17" s="37">
        <f t="shared" si="4"/>
        <v>980</v>
      </c>
      <c r="Q17" s="37">
        <f t="shared" si="3"/>
        <v>10.221420922971571</v>
      </c>
      <c r="R17">
        <v>3.9939768731884531</v>
      </c>
      <c r="S17">
        <v>0</v>
      </c>
    </row>
    <row r="18" spans="1:19">
      <c r="A18">
        <f t="shared" si="5"/>
        <v>101102</v>
      </c>
      <c r="B18" t="str">
        <f>VLOOKUP(A18,D_马仔表!$A$2:$B$20,2,FALSE)</f>
        <v>蟹仔</v>
      </c>
      <c r="C18">
        <f t="shared" si="6"/>
        <v>7</v>
      </c>
      <c r="D18" s="28">
        <f t="shared" si="0"/>
        <v>78102</v>
      </c>
      <c r="E18">
        <v>120</v>
      </c>
      <c r="F18" s="28">
        <f t="shared" si="1"/>
        <v>0</v>
      </c>
      <c r="G18">
        <f t="shared" si="7"/>
        <v>70</v>
      </c>
      <c r="K18">
        <f>D_马仔表!A13</f>
        <v>101112</v>
      </c>
      <c r="L18" s="12">
        <v>78112</v>
      </c>
      <c r="M18" s="12" t="str">
        <f>VLOOKUP(L18,[5]D_道具表!$A:$B,2,0)</f>
        <v>马仔碎片(山下忠秀)</v>
      </c>
      <c r="N18" s="27"/>
      <c r="O18" s="37">
        <f>马仔辅助表!T46*10+马仔辅助表!T23</f>
        <v>10016.99250451214</v>
      </c>
      <c r="P18" s="37">
        <f t="shared" si="4"/>
        <v>980</v>
      </c>
      <c r="Q18" s="37">
        <f t="shared" si="3"/>
        <v>10.221420922971571</v>
      </c>
      <c r="R18">
        <v>3.9939768731884531</v>
      </c>
      <c r="S18">
        <v>0</v>
      </c>
    </row>
    <row r="19" spans="1:19">
      <c r="A19">
        <f t="shared" si="5"/>
        <v>101102</v>
      </c>
      <c r="B19" t="str">
        <f>VLOOKUP(A19,D_马仔表!$A$2:$B$20,2,FALSE)</f>
        <v>蟹仔</v>
      </c>
      <c r="C19">
        <f t="shared" si="6"/>
        <v>8</v>
      </c>
      <c r="D19" s="28">
        <f t="shared" si="0"/>
        <v>78102</v>
      </c>
      <c r="E19">
        <v>160</v>
      </c>
      <c r="F19" s="28">
        <f t="shared" si="1"/>
        <v>0</v>
      </c>
      <c r="G19">
        <f t="shared" si="7"/>
        <v>75</v>
      </c>
      <c r="K19">
        <f>D_马仔表!A14</f>
        <v>101113</v>
      </c>
      <c r="L19" s="12">
        <v>78113</v>
      </c>
      <c r="M19" s="12" t="str">
        <f>VLOOKUP(L19,[5]D_道具表!$A:$B,2,0)</f>
        <v>马仔碎片(宫本一)</v>
      </c>
      <c r="N19" s="27"/>
      <c r="O19" s="37">
        <f>马仔辅助表!T47*10+马仔辅助表!T24</f>
        <v>10016.99250451214</v>
      </c>
      <c r="P19" s="37">
        <f t="shared" si="4"/>
        <v>980</v>
      </c>
      <c r="Q19" s="37">
        <f t="shared" si="3"/>
        <v>10.221420922971571</v>
      </c>
      <c r="R19">
        <v>3.9939768731884531</v>
      </c>
      <c r="S19">
        <v>0</v>
      </c>
    </row>
    <row r="20" spans="1:19">
      <c r="A20">
        <f t="shared" si="5"/>
        <v>101102</v>
      </c>
      <c r="B20" t="str">
        <f>VLOOKUP(A20,D_马仔表!$A$2:$B$20,2,FALSE)</f>
        <v>蟹仔</v>
      </c>
      <c r="C20">
        <f t="shared" si="6"/>
        <v>9</v>
      </c>
      <c r="D20" s="28">
        <f t="shared" si="0"/>
        <v>78102</v>
      </c>
      <c r="E20">
        <v>200</v>
      </c>
      <c r="F20" s="28">
        <f t="shared" si="1"/>
        <v>0</v>
      </c>
      <c r="G20">
        <f t="shared" si="7"/>
        <v>80</v>
      </c>
      <c r="K20">
        <f>D_马仔表!A15</f>
        <v>101114</v>
      </c>
      <c r="L20" s="12">
        <v>78114</v>
      </c>
      <c r="M20" s="12" t="str">
        <f>VLOOKUP(L20,[5]D_道具表!$A:$B,2,0)</f>
        <v>马仔碎片(陈浩南)</v>
      </c>
      <c r="N20" s="27"/>
      <c r="O20" s="37">
        <f>马仔辅助表!T48*10+马仔辅助表!T25</f>
        <v>15025.488756768207</v>
      </c>
      <c r="P20" s="37">
        <f t="shared" si="4"/>
        <v>980</v>
      </c>
      <c r="Q20" s="37">
        <f t="shared" si="3"/>
        <v>15.332131384457353</v>
      </c>
      <c r="R20">
        <v>3.9939768731884531</v>
      </c>
      <c r="S20">
        <v>78214</v>
      </c>
    </row>
    <row r="21" spans="1:19">
      <c r="A21">
        <f t="shared" si="5"/>
        <v>101102</v>
      </c>
      <c r="B21" t="str">
        <f>VLOOKUP(A21,D_马仔表!$A$2:$B$20,2,FALSE)</f>
        <v>蟹仔</v>
      </c>
      <c r="C21">
        <f t="shared" si="6"/>
        <v>10</v>
      </c>
      <c r="D21" s="28">
        <f t="shared" si="0"/>
        <v>78102</v>
      </c>
      <c r="E21">
        <v>250</v>
      </c>
      <c r="F21" s="28">
        <f t="shared" si="1"/>
        <v>0</v>
      </c>
      <c r="G21">
        <f t="shared" si="7"/>
        <v>80</v>
      </c>
      <c r="K21">
        <f>D_马仔表!A16</f>
        <v>101115</v>
      </c>
      <c r="L21" s="12">
        <v>78115</v>
      </c>
      <c r="M21" s="12" t="str">
        <f>VLOOKUP(L21,[5]D_道具表!$A:$B,2,0)</f>
        <v>马仔碎片(山鸡)</v>
      </c>
      <c r="N21" s="27"/>
      <c r="O21" s="37">
        <f>马仔辅助表!T49*10+马仔辅助表!T26</f>
        <v>15025.488756768207</v>
      </c>
      <c r="P21" s="37">
        <f t="shared" si="4"/>
        <v>980</v>
      </c>
      <c r="Q21" s="37">
        <f t="shared" si="3"/>
        <v>15.332131384457353</v>
      </c>
      <c r="R21">
        <v>3.9939768731884531</v>
      </c>
      <c r="S21">
        <v>78215</v>
      </c>
    </row>
    <row r="22" spans="1:19">
      <c r="A22">
        <f t="shared" si="5"/>
        <v>101103</v>
      </c>
      <c r="B22" t="str">
        <f>VLOOKUP(A22,D_马仔表!$A$2:$B$20,2,FALSE)</f>
        <v>比利</v>
      </c>
      <c r="C22">
        <f t="shared" si="6"/>
        <v>1</v>
      </c>
      <c r="D22" s="28">
        <f t="shared" si="0"/>
        <v>78103</v>
      </c>
      <c r="E22">
        <v>10</v>
      </c>
      <c r="F22" s="28">
        <f t="shared" si="1"/>
        <v>0</v>
      </c>
      <c r="G22">
        <f t="shared" si="7"/>
        <v>30</v>
      </c>
      <c r="K22">
        <f>D_马仔表!A17</f>
        <v>101116</v>
      </c>
      <c r="L22" s="12">
        <v>78116</v>
      </c>
      <c r="M22" s="12" t="str">
        <f>VLOOKUP(L22,[5]D_道具表!$A:$B,2,0)</f>
        <v>马仔碎片(大天二)</v>
      </c>
      <c r="N22" s="27"/>
      <c r="O22" s="37">
        <f>马仔辅助表!T50*10+马仔辅助表!T27</f>
        <v>15025.488756768207</v>
      </c>
      <c r="P22" s="37">
        <f t="shared" si="4"/>
        <v>980</v>
      </c>
      <c r="Q22" s="37">
        <f t="shared" si="3"/>
        <v>15.332131384457353</v>
      </c>
      <c r="R22">
        <v>3.9939768731884531</v>
      </c>
      <c r="S22">
        <v>78216</v>
      </c>
    </row>
    <row r="23" spans="1:19">
      <c r="A23">
        <f t="shared" si="5"/>
        <v>101103</v>
      </c>
      <c r="B23" t="str">
        <f>VLOOKUP(A23,D_马仔表!$A$2:$B$20,2,FALSE)</f>
        <v>比利</v>
      </c>
      <c r="C23">
        <f t="shared" si="6"/>
        <v>2</v>
      </c>
      <c r="D23" s="28">
        <f t="shared" si="0"/>
        <v>78103</v>
      </c>
      <c r="E23">
        <v>20</v>
      </c>
      <c r="F23" s="28">
        <f t="shared" si="1"/>
        <v>0</v>
      </c>
      <c r="G23">
        <f t="shared" si="7"/>
        <v>40</v>
      </c>
      <c r="K23">
        <f>D_马仔表!A18</f>
        <v>101117</v>
      </c>
      <c r="L23" s="12">
        <v>78117</v>
      </c>
      <c r="M23" s="12" t="str">
        <f>VLOOKUP(L23,[5]D_道具表!$A:$B,2,0)</f>
        <v>马仔碎片(巴闭)</v>
      </c>
      <c r="O23" s="37">
        <f>马仔辅助表!T51*10+马仔辅助表!T28</f>
        <v>5008.49625225607</v>
      </c>
      <c r="P23" s="37">
        <f t="shared" si="4"/>
        <v>980</v>
      </c>
      <c r="Q23" s="37">
        <f t="shared" si="3"/>
        <v>5.1107104614857857</v>
      </c>
      <c r="R23">
        <v>3.9939768731884531</v>
      </c>
      <c r="S23">
        <v>0</v>
      </c>
    </row>
    <row r="24" spans="1:19">
      <c r="A24">
        <f t="shared" si="5"/>
        <v>101103</v>
      </c>
      <c r="B24" t="str">
        <f>VLOOKUP(A24,D_马仔表!$A$2:$B$20,2,FALSE)</f>
        <v>比利</v>
      </c>
      <c r="C24">
        <f t="shared" si="6"/>
        <v>3</v>
      </c>
      <c r="D24" s="28">
        <f t="shared" si="0"/>
        <v>78103</v>
      </c>
      <c r="E24">
        <v>30</v>
      </c>
      <c r="F24" s="28">
        <f t="shared" si="1"/>
        <v>0</v>
      </c>
      <c r="G24">
        <f t="shared" si="7"/>
        <v>50</v>
      </c>
      <c r="K24">
        <f>D_马仔表!A19</f>
        <v>101118</v>
      </c>
      <c r="L24" s="12">
        <v>78118</v>
      </c>
      <c r="M24" s="12" t="str">
        <f>VLOOKUP(L24,[5]D_道具表!$A:$B,2,0)</f>
        <v>马仔碎片(耀阳)</v>
      </c>
      <c r="O24" s="37">
        <f>马仔辅助表!T52*10+马仔辅助表!T29</f>
        <v>10016.99250451214</v>
      </c>
      <c r="P24" s="37">
        <f t="shared" si="4"/>
        <v>980</v>
      </c>
      <c r="Q24" s="37">
        <f t="shared" si="3"/>
        <v>10.221420922971571</v>
      </c>
      <c r="R24">
        <v>3.9939768731884531</v>
      </c>
      <c r="S24">
        <v>0</v>
      </c>
    </row>
    <row r="25" spans="1:19">
      <c r="A25">
        <f t="shared" si="5"/>
        <v>101103</v>
      </c>
      <c r="B25" t="str">
        <f>VLOOKUP(A25,D_马仔表!$A$2:$B$20,2,FALSE)</f>
        <v>比利</v>
      </c>
      <c r="C25">
        <f t="shared" si="6"/>
        <v>4</v>
      </c>
      <c r="D25" s="28">
        <f t="shared" si="0"/>
        <v>78103</v>
      </c>
      <c r="E25">
        <v>40</v>
      </c>
      <c r="F25" s="28">
        <f t="shared" si="1"/>
        <v>0</v>
      </c>
      <c r="G25">
        <f t="shared" si="7"/>
        <v>55</v>
      </c>
      <c r="K25">
        <f>D_马仔表!A20</f>
        <v>101119</v>
      </c>
      <c r="L25" s="12">
        <v>78119</v>
      </c>
      <c r="M25" s="12" t="str">
        <f>VLOOKUP(L25,[5]D_道具表!$A:$B,2,0)</f>
        <v>马仔碎片(笑面虎)</v>
      </c>
      <c r="O25" s="37">
        <f>马仔辅助表!T53*10+马仔辅助表!T30</f>
        <v>10016.99250451214</v>
      </c>
      <c r="P25" s="37">
        <f t="shared" si="4"/>
        <v>980</v>
      </c>
      <c r="Q25" s="37">
        <f t="shared" si="3"/>
        <v>10.221420922971571</v>
      </c>
      <c r="R25">
        <v>3.9939768731884531</v>
      </c>
      <c r="S25">
        <v>0</v>
      </c>
    </row>
    <row r="26" spans="1:19">
      <c r="A26">
        <f t="shared" si="5"/>
        <v>101103</v>
      </c>
      <c r="B26" t="str">
        <f>VLOOKUP(A26,D_马仔表!$A$2:$B$20,2,FALSE)</f>
        <v>比利</v>
      </c>
      <c r="C26">
        <f t="shared" si="6"/>
        <v>5</v>
      </c>
      <c r="D26" s="28">
        <f t="shared" si="0"/>
        <v>78103</v>
      </c>
      <c r="E26">
        <v>60</v>
      </c>
      <c r="F26" s="28">
        <f t="shared" si="1"/>
        <v>0</v>
      </c>
      <c r="G26">
        <f t="shared" si="7"/>
        <v>60</v>
      </c>
    </row>
    <row r="27" spans="1:19">
      <c r="A27">
        <f t="shared" si="5"/>
        <v>101103</v>
      </c>
      <c r="B27" t="str">
        <f>VLOOKUP(A27,D_马仔表!$A$2:$B$20,2,FALSE)</f>
        <v>比利</v>
      </c>
      <c r="C27">
        <f t="shared" si="6"/>
        <v>6</v>
      </c>
      <c r="D27" s="28">
        <f t="shared" si="0"/>
        <v>78103</v>
      </c>
      <c r="E27">
        <v>90</v>
      </c>
      <c r="F27" s="28">
        <f t="shared" si="1"/>
        <v>0</v>
      </c>
      <c r="G27">
        <f t="shared" si="7"/>
        <v>65</v>
      </c>
    </row>
    <row r="28" spans="1:19">
      <c r="A28">
        <f t="shared" si="5"/>
        <v>101103</v>
      </c>
      <c r="B28" t="str">
        <f>VLOOKUP(A28,D_马仔表!$A$2:$B$20,2,FALSE)</f>
        <v>比利</v>
      </c>
      <c r="C28">
        <f t="shared" si="6"/>
        <v>7</v>
      </c>
      <c r="D28" s="28">
        <f t="shared" si="0"/>
        <v>78103</v>
      </c>
      <c r="E28">
        <v>120</v>
      </c>
      <c r="F28" s="28">
        <f t="shared" si="1"/>
        <v>0</v>
      </c>
      <c r="G28">
        <f t="shared" si="7"/>
        <v>70</v>
      </c>
    </row>
    <row r="29" spans="1:19">
      <c r="A29">
        <f t="shared" si="5"/>
        <v>101103</v>
      </c>
      <c r="B29" t="str">
        <f>VLOOKUP(A29,D_马仔表!$A$2:$B$20,2,FALSE)</f>
        <v>比利</v>
      </c>
      <c r="C29">
        <f t="shared" si="6"/>
        <v>8</v>
      </c>
      <c r="D29" s="28">
        <f t="shared" si="0"/>
        <v>78103</v>
      </c>
      <c r="E29">
        <v>160</v>
      </c>
      <c r="F29" s="28">
        <f t="shared" si="1"/>
        <v>0</v>
      </c>
      <c r="G29">
        <f t="shared" si="7"/>
        <v>75</v>
      </c>
    </row>
    <row r="30" spans="1:19">
      <c r="A30">
        <f t="shared" si="5"/>
        <v>101103</v>
      </c>
      <c r="B30" t="str">
        <f>VLOOKUP(A30,D_马仔表!$A$2:$B$20,2,FALSE)</f>
        <v>比利</v>
      </c>
      <c r="C30">
        <f t="shared" si="6"/>
        <v>9</v>
      </c>
      <c r="D30" s="28">
        <f t="shared" si="0"/>
        <v>78103</v>
      </c>
      <c r="E30">
        <v>200</v>
      </c>
      <c r="F30" s="28">
        <f t="shared" si="1"/>
        <v>0</v>
      </c>
      <c r="G30">
        <f t="shared" si="7"/>
        <v>80</v>
      </c>
    </row>
    <row r="31" spans="1:19">
      <c r="A31">
        <f t="shared" si="5"/>
        <v>101103</v>
      </c>
      <c r="B31" t="str">
        <f>VLOOKUP(A31,D_马仔表!$A$2:$B$20,2,FALSE)</f>
        <v>比利</v>
      </c>
      <c r="C31">
        <f t="shared" si="6"/>
        <v>10</v>
      </c>
      <c r="D31" s="28">
        <f t="shared" si="0"/>
        <v>78103</v>
      </c>
      <c r="E31">
        <v>250</v>
      </c>
      <c r="F31" s="28">
        <f t="shared" si="1"/>
        <v>0</v>
      </c>
      <c r="G31">
        <f t="shared" si="7"/>
        <v>80</v>
      </c>
    </row>
    <row r="32" spans="1:19">
      <c r="A32">
        <f t="shared" si="5"/>
        <v>101104</v>
      </c>
      <c r="B32" t="str">
        <f>VLOOKUP(A32,D_马仔表!$A$2:$B$20,2,FALSE)</f>
        <v>黎九</v>
      </c>
      <c r="C32">
        <f t="shared" si="6"/>
        <v>1</v>
      </c>
      <c r="D32" s="28">
        <f t="shared" si="0"/>
        <v>78104</v>
      </c>
      <c r="E32">
        <v>10</v>
      </c>
      <c r="F32" s="28">
        <f t="shared" si="1"/>
        <v>0</v>
      </c>
      <c r="G32">
        <f t="shared" si="7"/>
        <v>30</v>
      </c>
    </row>
    <row r="33" spans="1:7">
      <c r="A33">
        <f t="shared" si="5"/>
        <v>101104</v>
      </c>
      <c r="B33" t="str">
        <f>VLOOKUP(A33,D_马仔表!$A$2:$B$20,2,FALSE)</f>
        <v>黎九</v>
      </c>
      <c r="C33">
        <f t="shared" si="6"/>
        <v>2</v>
      </c>
      <c r="D33" s="28">
        <f t="shared" si="0"/>
        <v>78104</v>
      </c>
      <c r="E33">
        <v>20</v>
      </c>
      <c r="F33" s="28">
        <f t="shared" si="1"/>
        <v>0</v>
      </c>
      <c r="G33">
        <f t="shared" si="7"/>
        <v>40</v>
      </c>
    </row>
    <row r="34" spans="1:7">
      <c r="A34">
        <f t="shared" si="5"/>
        <v>101104</v>
      </c>
      <c r="B34" t="str">
        <f>VLOOKUP(A34,D_马仔表!$A$2:$B$20,2,FALSE)</f>
        <v>黎九</v>
      </c>
      <c r="C34">
        <f t="shared" si="6"/>
        <v>3</v>
      </c>
      <c r="D34" s="28">
        <f t="shared" si="0"/>
        <v>78104</v>
      </c>
      <c r="E34">
        <v>30</v>
      </c>
      <c r="F34" s="28">
        <f t="shared" si="1"/>
        <v>0</v>
      </c>
      <c r="G34">
        <f t="shared" si="7"/>
        <v>50</v>
      </c>
    </row>
    <row r="35" spans="1:7">
      <c r="A35">
        <f t="shared" si="5"/>
        <v>101104</v>
      </c>
      <c r="B35" t="str">
        <f>VLOOKUP(A35,D_马仔表!$A$2:$B$20,2,FALSE)</f>
        <v>黎九</v>
      </c>
      <c r="C35">
        <f t="shared" si="6"/>
        <v>4</v>
      </c>
      <c r="D35" s="28">
        <f t="shared" si="0"/>
        <v>78104</v>
      </c>
      <c r="E35">
        <v>40</v>
      </c>
      <c r="F35" s="28">
        <f t="shared" si="1"/>
        <v>0</v>
      </c>
      <c r="G35">
        <f t="shared" si="7"/>
        <v>55</v>
      </c>
    </row>
    <row r="36" spans="1:7">
      <c r="A36">
        <f t="shared" si="5"/>
        <v>101104</v>
      </c>
      <c r="B36" t="str">
        <f>VLOOKUP(A36,D_马仔表!$A$2:$B$20,2,FALSE)</f>
        <v>黎九</v>
      </c>
      <c r="C36">
        <f t="shared" si="6"/>
        <v>5</v>
      </c>
      <c r="D36" s="28">
        <f t="shared" si="0"/>
        <v>78104</v>
      </c>
      <c r="E36">
        <v>60</v>
      </c>
      <c r="F36" s="28">
        <f t="shared" si="1"/>
        <v>0</v>
      </c>
      <c r="G36">
        <f t="shared" si="7"/>
        <v>60</v>
      </c>
    </row>
    <row r="37" spans="1:7">
      <c r="A37">
        <f t="shared" si="5"/>
        <v>101104</v>
      </c>
      <c r="B37" t="str">
        <f>VLOOKUP(A37,D_马仔表!$A$2:$B$20,2,FALSE)</f>
        <v>黎九</v>
      </c>
      <c r="C37">
        <f t="shared" si="6"/>
        <v>6</v>
      </c>
      <c r="D37" s="28">
        <f t="shared" si="0"/>
        <v>78104</v>
      </c>
      <c r="E37">
        <v>90</v>
      </c>
      <c r="F37" s="28">
        <f t="shared" si="1"/>
        <v>0</v>
      </c>
      <c r="G37">
        <f t="shared" si="7"/>
        <v>65</v>
      </c>
    </row>
    <row r="38" spans="1:7">
      <c r="A38">
        <f t="shared" si="5"/>
        <v>101104</v>
      </c>
      <c r="B38" t="str">
        <f>VLOOKUP(A38,D_马仔表!$A$2:$B$20,2,FALSE)</f>
        <v>黎九</v>
      </c>
      <c r="C38">
        <f t="shared" si="6"/>
        <v>7</v>
      </c>
      <c r="D38" s="28">
        <f t="shared" si="0"/>
        <v>78104</v>
      </c>
      <c r="E38">
        <v>120</v>
      </c>
      <c r="F38" s="28">
        <f t="shared" si="1"/>
        <v>0</v>
      </c>
      <c r="G38">
        <f t="shared" si="7"/>
        <v>70</v>
      </c>
    </row>
    <row r="39" spans="1:7">
      <c r="A39">
        <f t="shared" si="5"/>
        <v>101104</v>
      </c>
      <c r="B39" t="str">
        <f>VLOOKUP(A39,D_马仔表!$A$2:$B$20,2,FALSE)</f>
        <v>黎九</v>
      </c>
      <c r="C39">
        <f t="shared" si="6"/>
        <v>8</v>
      </c>
      <c r="D39" s="28">
        <f t="shared" si="0"/>
        <v>78104</v>
      </c>
      <c r="E39">
        <v>160</v>
      </c>
      <c r="F39" s="28">
        <f t="shared" si="1"/>
        <v>0</v>
      </c>
      <c r="G39">
        <f t="shared" si="7"/>
        <v>75</v>
      </c>
    </row>
    <row r="40" spans="1:7">
      <c r="A40">
        <f t="shared" si="5"/>
        <v>101104</v>
      </c>
      <c r="B40" t="str">
        <f>VLOOKUP(A40,D_马仔表!$A$2:$B$20,2,FALSE)</f>
        <v>黎九</v>
      </c>
      <c r="C40">
        <f t="shared" si="6"/>
        <v>9</v>
      </c>
      <c r="D40" s="28">
        <f t="shared" si="0"/>
        <v>78104</v>
      </c>
      <c r="E40">
        <v>200</v>
      </c>
      <c r="F40" s="28">
        <f t="shared" si="1"/>
        <v>0</v>
      </c>
      <c r="G40">
        <f t="shared" si="7"/>
        <v>80</v>
      </c>
    </row>
    <row r="41" spans="1:7">
      <c r="A41">
        <f t="shared" si="5"/>
        <v>101104</v>
      </c>
      <c r="B41" t="str">
        <f>VLOOKUP(A41,D_马仔表!$A$2:$B$20,2,FALSE)</f>
        <v>黎九</v>
      </c>
      <c r="C41">
        <f t="shared" si="6"/>
        <v>10</v>
      </c>
      <c r="D41" s="28">
        <f t="shared" si="0"/>
        <v>78104</v>
      </c>
      <c r="E41">
        <v>250</v>
      </c>
      <c r="F41" s="28">
        <f t="shared" si="1"/>
        <v>0</v>
      </c>
      <c r="G41">
        <f t="shared" si="7"/>
        <v>80</v>
      </c>
    </row>
    <row r="42" spans="1:7">
      <c r="A42">
        <f t="shared" si="5"/>
        <v>101105</v>
      </c>
      <c r="B42" t="str">
        <f>VLOOKUP(A42,D_马仔表!$A$2:$B$20,2,FALSE)</f>
        <v>黑古</v>
      </c>
      <c r="C42">
        <f t="shared" si="6"/>
        <v>1</v>
      </c>
      <c r="D42" s="28">
        <f t="shared" si="0"/>
        <v>78105</v>
      </c>
      <c r="E42">
        <v>10</v>
      </c>
      <c r="F42" s="28">
        <f t="shared" si="1"/>
        <v>0</v>
      </c>
      <c r="G42">
        <f t="shared" si="7"/>
        <v>30</v>
      </c>
    </row>
    <row r="43" spans="1:7">
      <c r="A43">
        <f t="shared" si="5"/>
        <v>101105</v>
      </c>
      <c r="B43" t="str">
        <f>VLOOKUP(A43,D_马仔表!$A$2:$B$20,2,FALSE)</f>
        <v>黑古</v>
      </c>
      <c r="C43">
        <f t="shared" si="6"/>
        <v>2</v>
      </c>
      <c r="D43" s="28">
        <f t="shared" si="0"/>
        <v>78105</v>
      </c>
      <c r="E43">
        <v>20</v>
      </c>
      <c r="F43" s="28">
        <f t="shared" si="1"/>
        <v>0</v>
      </c>
      <c r="G43">
        <f t="shared" si="7"/>
        <v>40</v>
      </c>
    </row>
    <row r="44" spans="1:7">
      <c r="A44">
        <f t="shared" si="5"/>
        <v>101105</v>
      </c>
      <c r="B44" t="str">
        <f>VLOOKUP(A44,D_马仔表!$A$2:$B$20,2,FALSE)</f>
        <v>黑古</v>
      </c>
      <c r="C44">
        <f t="shared" si="6"/>
        <v>3</v>
      </c>
      <c r="D44" s="28">
        <f t="shared" si="0"/>
        <v>78105</v>
      </c>
      <c r="E44">
        <v>30</v>
      </c>
      <c r="F44" s="28">
        <f t="shared" si="1"/>
        <v>0</v>
      </c>
      <c r="G44">
        <f t="shared" si="7"/>
        <v>50</v>
      </c>
    </row>
    <row r="45" spans="1:7">
      <c r="A45">
        <f t="shared" si="5"/>
        <v>101105</v>
      </c>
      <c r="B45" t="str">
        <f>VLOOKUP(A45,D_马仔表!$A$2:$B$20,2,FALSE)</f>
        <v>黑古</v>
      </c>
      <c r="C45">
        <f t="shared" si="6"/>
        <v>4</v>
      </c>
      <c r="D45" s="28">
        <f t="shared" si="0"/>
        <v>78105</v>
      </c>
      <c r="E45">
        <v>40</v>
      </c>
      <c r="F45" s="28">
        <f t="shared" si="1"/>
        <v>0</v>
      </c>
      <c r="G45">
        <f t="shared" si="7"/>
        <v>55</v>
      </c>
    </row>
    <row r="46" spans="1:7">
      <c r="A46">
        <f t="shared" si="5"/>
        <v>101105</v>
      </c>
      <c r="B46" t="str">
        <f>VLOOKUP(A46,D_马仔表!$A$2:$B$20,2,FALSE)</f>
        <v>黑古</v>
      </c>
      <c r="C46">
        <f t="shared" si="6"/>
        <v>5</v>
      </c>
      <c r="D46" s="28">
        <f t="shared" si="0"/>
        <v>78105</v>
      </c>
      <c r="E46">
        <v>60</v>
      </c>
      <c r="F46" s="28">
        <f t="shared" si="1"/>
        <v>0</v>
      </c>
      <c r="G46">
        <f t="shared" si="7"/>
        <v>60</v>
      </c>
    </row>
    <row r="47" spans="1:7">
      <c r="A47">
        <f t="shared" si="5"/>
        <v>101105</v>
      </c>
      <c r="B47" t="str">
        <f>VLOOKUP(A47,D_马仔表!$A$2:$B$20,2,FALSE)</f>
        <v>黑古</v>
      </c>
      <c r="C47">
        <f t="shared" si="6"/>
        <v>6</v>
      </c>
      <c r="D47" s="28">
        <f t="shared" si="0"/>
        <v>78105</v>
      </c>
      <c r="E47">
        <v>90</v>
      </c>
      <c r="F47" s="28">
        <f t="shared" si="1"/>
        <v>0</v>
      </c>
      <c r="G47">
        <f t="shared" si="7"/>
        <v>65</v>
      </c>
    </row>
    <row r="48" spans="1:7">
      <c r="A48">
        <f t="shared" si="5"/>
        <v>101105</v>
      </c>
      <c r="B48" t="str">
        <f>VLOOKUP(A48,D_马仔表!$A$2:$B$20,2,FALSE)</f>
        <v>黑古</v>
      </c>
      <c r="C48">
        <f t="shared" si="6"/>
        <v>7</v>
      </c>
      <c r="D48" s="28">
        <f t="shared" si="0"/>
        <v>78105</v>
      </c>
      <c r="E48">
        <v>120</v>
      </c>
      <c r="F48" s="28">
        <f t="shared" si="1"/>
        <v>0</v>
      </c>
      <c r="G48">
        <f t="shared" si="7"/>
        <v>70</v>
      </c>
    </row>
    <row r="49" spans="1:7">
      <c r="A49">
        <f t="shared" si="5"/>
        <v>101105</v>
      </c>
      <c r="B49" t="str">
        <f>VLOOKUP(A49,D_马仔表!$A$2:$B$20,2,FALSE)</f>
        <v>黑古</v>
      </c>
      <c r="C49">
        <f t="shared" si="6"/>
        <v>8</v>
      </c>
      <c r="D49" s="28">
        <f t="shared" si="0"/>
        <v>78105</v>
      </c>
      <c r="E49">
        <v>160</v>
      </c>
      <c r="F49" s="28">
        <f t="shared" si="1"/>
        <v>0</v>
      </c>
      <c r="G49">
        <f t="shared" si="7"/>
        <v>75</v>
      </c>
    </row>
    <row r="50" spans="1:7">
      <c r="A50">
        <f t="shared" si="5"/>
        <v>101105</v>
      </c>
      <c r="B50" t="str">
        <f>VLOOKUP(A50,D_马仔表!$A$2:$B$20,2,FALSE)</f>
        <v>黑古</v>
      </c>
      <c r="C50">
        <f t="shared" si="6"/>
        <v>9</v>
      </c>
      <c r="D50" s="28">
        <f t="shared" si="0"/>
        <v>78105</v>
      </c>
      <c r="E50">
        <v>200</v>
      </c>
      <c r="F50" s="28">
        <f t="shared" si="1"/>
        <v>0</v>
      </c>
      <c r="G50">
        <f t="shared" si="7"/>
        <v>80</v>
      </c>
    </row>
    <row r="51" spans="1:7">
      <c r="A51">
        <f t="shared" si="5"/>
        <v>101105</v>
      </c>
      <c r="B51" t="str">
        <f>VLOOKUP(A51,D_马仔表!$A$2:$B$20,2,FALSE)</f>
        <v>黑古</v>
      </c>
      <c r="C51">
        <f t="shared" si="6"/>
        <v>10</v>
      </c>
      <c r="D51" s="28">
        <f t="shared" si="0"/>
        <v>78105</v>
      </c>
      <c r="E51">
        <v>250</v>
      </c>
      <c r="F51" s="28">
        <f t="shared" si="1"/>
        <v>0</v>
      </c>
      <c r="G51">
        <f t="shared" si="7"/>
        <v>80</v>
      </c>
    </row>
    <row r="52" spans="1:7">
      <c r="A52">
        <f t="shared" si="5"/>
        <v>101106</v>
      </c>
      <c r="B52" t="str">
        <f>VLOOKUP(A52,D_马仔表!$A$2:$B$20,2,FALSE)</f>
        <v>靓坤</v>
      </c>
      <c r="C52">
        <f t="shared" si="6"/>
        <v>1</v>
      </c>
      <c r="D52" s="28">
        <f t="shared" si="0"/>
        <v>78106</v>
      </c>
      <c r="E52">
        <v>10</v>
      </c>
      <c r="F52" s="28">
        <f t="shared" si="1"/>
        <v>0</v>
      </c>
      <c r="G52">
        <f t="shared" si="7"/>
        <v>30</v>
      </c>
    </row>
    <row r="53" spans="1:7">
      <c r="A53">
        <f t="shared" si="5"/>
        <v>101106</v>
      </c>
      <c r="B53" t="str">
        <f>VLOOKUP(A53,D_马仔表!$A$2:$B$20,2,FALSE)</f>
        <v>靓坤</v>
      </c>
      <c r="C53">
        <f t="shared" si="6"/>
        <v>2</v>
      </c>
      <c r="D53" s="28">
        <f t="shared" si="0"/>
        <v>78106</v>
      </c>
      <c r="E53">
        <v>20</v>
      </c>
      <c r="F53" s="28">
        <f t="shared" si="1"/>
        <v>0</v>
      </c>
      <c r="G53">
        <f t="shared" si="7"/>
        <v>40</v>
      </c>
    </row>
    <row r="54" spans="1:7">
      <c r="A54">
        <f t="shared" si="5"/>
        <v>101106</v>
      </c>
      <c r="B54" t="str">
        <f>VLOOKUP(A54,D_马仔表!$A$2:$B$20,2,FALSE)</f>
        <v>靓坤</v>
      </c>
      <c r="C54">
        <f t="shared" si="6"/>
        <v>3</v>
      </c>
      <c r="D54" s="28">
        <f t="shared" si="0"/>
        <v>78106</v>
      </c>
      <c r="E54">
        <v>30</v>
      </c>
      <c r="F54" s="28">
        <f t="shared" si="1"/>
        <v>0</v>
      </c>
      <c r="G54">
        <f t="shared" si="7"/>
        <v>50</v>
      </c>
    </row>
    <row r="55" spans="1:7">
      <c r="A55">
        <f t="shared" si="5"/>
        <v>101106</v>
      </c>
      <c r="B55" t="str">
        <f>VLOOKUP(A55,D_马仔表!$A$2:$B$20,2,FALSE)</f>
        <v>靓坤</v>
      </c>
      <c r="C55">
        <f t="shared" si="6"/>
        <v>4</v>
      </c>
      <c r="D55" s="28">
        <f t="shared" si="0"/>
        <v>78106</v>
      </c>
      <c r="E55">
        <v>40</v>
      </c>
      <c r="F55" s="28">
        <f t="shared" si="1"/>
        <v>0</v>
      </c>
      <c r="G55">
        <f t="shared" si="7"/>
        <v>55</v>
      </c>
    </row>
    <row r="56" spans="1:7">
      <c r="A56">
        <f t="shared" si="5"/>
        <v>101106</v>
      </c>
      <c r="B56" t="str">
        <f>VLOOKUP(A56,D_马仔表!$A$2:$B$20,2,FALSE)</f>
        <v>靓坤</v>
      </c>
      <c r="C56">
        <f t="shared" si="6"/>
        <v>5</v>
      </c>
      <c r="D56" s="28">
        <f t="shared" si="0"/>
        <v>78106</v>
      </c>
      <c r="E56">
        <v>60</v>
      </c>
      <c r="F56" s="28">
        <f t="shared" si="1"/>
        <v>0</v>
      </c>
      <c r="G56">
        <f t="shared" si="7"/>
        <v>60</v>
      </c>
    </row>
    <row r="57" spans="1:7">
      <c r="A57">
        <f t="shared" si="5"/>
        <v>101106</v>
      </c>
      <c r="B57" t="str">
        <f>VLOOKUP(A57,D_马仔表!$A$2:$B$20,2,FALSE)</f>
        <v>靓坤</v>
      </c>
      <c r="C57">
        <f t="shared" si="6"/>
        <v>6</v>
      </c>
      <c r="D57" s="28">
        <f t="shared" si="0"/>
        <v>78106</v>
      </c>
      <c r="E57">
        <v>90</v>
      </c>
      <c r="F57" s="28">
        <f t="shared" si="1"/>
        <v>0</v>
      </c>
      <c r="G57">
        <f t="shared" si="7"/>
        <v>65</v>
      </c>
    </row>
    <row r="58" spans="1:7">
      <c r="A58">
        <f t="shared" si="5"/>
        <v>101106</v>
      </c>
      <c r="B58" t="str">
        <f>VLOOKUP(A58,D_马仔表!$A$2:$B$20,2,FALSE)</f>
        <v>靓坤</v>
      </c>
      <c r="C58">
        <f t="shared" si="6"/>
        <v>7</v>
      </c>
      <c r="D58" s="28">
        <f t="shared" si="0"/>
        <v>78106</v>
      </c>
      <c r="E58">
        <v>120</v>
      </c>
      <c r="F58" s="28">
        <f t="shared" si="1"/>
        <v>0</v>
      </c>
      <c r="G58">
        <f t="shared" si="7"/>
        <v>70</v>
      </c>
    </row>
    <row r="59" spans="1:7">
      <c r="A59">
        <f t="shared" si="5"/>
        <v>101106</v>
      </c>
      <c r="B59" t="str">
        <f>VLOOKUP(A59,D_马仔表!$A$2:$B$20,2,FALSE)</f>
        <v>靓坤</v>
      </c>
      <c r="C59">
        <f t="shared" si="6"/>
        <v>8</v>
      </c>
      <c r="D59" s="28">
        <f t="shared" si="0"/>
        <v>78106</v>
      </c>
      <c r="E59">
        <v>160</v>
      </c>
      <c r="F59" s="28">
        <f t="shared" si="1"/>
        <v>0</v>
      </c>
      <c r="G59">
        <f t="shared" si="7"/>
        <v>75</v>
      </c>
    </row>
    <row r="60" spans="1:7">
      <c r="A60">
        <f t="shared" si="5"/>
        <v>101106</v>
      </c>
      <c r="B60" t="str">
        <f>VLOOKUP(A60,D_马仔表!$A$2:$B$20,2,FALSE)</f>
        <v>靓坤</v>
      </c>
      <c r="C60">
        <f t="shared" si="6"/>
        <v>9</v>
      </c>
      <c r="D60" s="28">
        <f t="shared" si="0"/>
        <v>78106</v>
      </c>
      <c r="E60">
        <v>200</v>
      </c>
      <c r="F60" s="28">
        <f t="shared" si="1"/>
        <v>0</v>
      </c>
      <c r="G60">
        <f t="shared" si="7"/>
        <v>80</v>
      </c>
    </row>
    <row r="61" spans="1:7">
      <c r="A61">
        <f t="shared" si="5"/>
        <v>101106</v>
      </c>
      <c r="B61" t="str">
        <f>VLOOKUP(A61,D_马仔表!$A$2:$B$20,2,FALSE)</f>
        <v>靓坤</v>
      </c>
      <c r="C61">
        <f t="shared" si="6"/>
        <v>10</v>
      </c>
      <c r="D61" s="28">
        <f t="shared" si="0"/>
        <v>78106</v>
      </c>
      <c r="E61">
        <v>250</v>
      </c>
      <c r="F61" s="28">
        <f t="shared" si="1"/>
        <v>0</v>
      </c>
      <c r="G61">
        <f t="shared" si="7"/>
        <v>80</v>
      </c>
    </row>
    <row r="62" spans="1:7">
      <c r="A62">
        <f t="shared" si="5"/>
        <v>101107</v>
      </c>
      <c r="B62" t="str">
        <f>VLOOKUP(A62,D_马仔表!$A$2:$B$20,2,FALSE)</f>
        <v>雷复轰</v>
      </c>
      <c r="C62">
        <f t="shared" si="6"/>
        <v>1</v>
      </c>
      <c r="D62" s="28">
        <f t="shared" si="0"/>
        <v>78107</v>
      </c>
      <c r="E62">
        <v>10</v>
      </c>
      <c r="F62" s="28">
        <f t="shared" si="1"/>
        <v>0</v>
      </c>
      <c r="G62">
        <f t="shared" si="7"/>
        <v>30</v>
      </c>
    </row>
    <row r="63" spans="1:7">
      <c r="A63">
        <f t="shared" si="5"/>
        <v>101107</v>
      </c>
      <c r="B63" t="str">
        <f>VLOOKUP(A63,D_马仔表!$A$2:$B$20,2,FALSE)</f>
        <v>雷复轰</v>
      </c>
      <c r="C63">
        <f t="shared" si="6"/>
        <v>2</v>
      </c>
      <c r="D63" s="28">
        <f t="shared" si="0"/>
        <v>78107</v>
      </c>
      <c r="E63">
        <v>20</v>
      </c>
      <c r="F63" s="28">
        <f t="shared" si="1"/>
        <v>0</v>
      </c>
      <c r="G63">
        <f t="shared" si="7"/>
        <v>40</v>
      </c>
    </row>
    <row r="64" spans="1:7">
      <c r="A64">
        <f t="shared" si="5"/>
        <v>101107</v>
      </c>
      <c r="B64" t="str">
        <f>VLOOKUP(A64,D_马仔表!$A$2:$B$20,2,FALSE)</f>
        <v>雷复轰</v>
      </c>
      <c r="C64">
        <f t="shared" si="6"/>
        <v>3</v>
      </c>
      <c r="D64" s="28">
        <f t="shared" si="0"/>
        <v>78107</v>
      </c>
      <c r="E64">
        <v>30</v>
      </c>
      <c r="F64" s="28">
        <f t="shared" si="1"/>
        <v>0</v>
      </c>
      <c r="G64">
        <f t="shared" si="7"/>
        <v>50</v>
      </c>
    </row>
    <row r="65" spans="1:7">
      <c r="A65">
        <f t="shared" si="5"/>
        <v>101107</v>
      </c>
      <c r="B65" t="str">
        <f>VLOOKUP(A65,D_马仔表!$A$2:$B$20,2,FALSE)</f>
        <v>雷复轰</v>
      </c>
      <c r="C65">
        <f t="shared" si="6"/>
        <v>4</v>
      </c>
      <c r="D65" s="28">
        <f t="shared" si="0"/>
        <v>78107</v>
      </c>
      <c r="E65">
        <v>40</v>
      </c>
      <c r="F65" s="28">
        <f t="shared" si="1"/>
        <v>0</v>
      </c>
      <c r="G65">
        <f t="shared" si="7"/>
        <v>55</v>
      </c>
    </row>
    <row r="66" spans="1:7">
      <c r="A66">
        <f t="shared" si="5"/>
        <v>101107</v>
      </c>
      <c r="B66" t="str">
        <f>VLOOKUP(A66,D_马仔表!$A$2:$B$20,2,FALSE)</f>
        <v>雷复轰</v>
      </c>
      <c r="C66">
        <f t="shared" si="6"/>
        <v>5</v>
      </c>
      <c r="D66" s="28">
        <f t="shared" si="0"/>
        <v>78107</v>
      </c>
      <c r="E66">
        <v>60</v>
      </c>
      <c r="F66" s="28">
        <f t="shared" si="1"/>
        <v>0</v>
      </c>
      <c r="G66">
        <f t="shared" si="7"/>
        <v>60</v>
      </c>
    </row>
    <row r="67" spans="1:7">
      <c r="A67">
        <f t="shared" si="5"/>
        <v>101107</v>
      </c>
      <c r="B67" t="str">
        <f>VLOOKUP(A67,D_马仔表!$A$2:$B$20,2,FALSE)</f>
        <v>雷复轰</v>
      </c>
      <c r="C67">
        <f t="shared" si="6"/>
        <v>6</v>
      </c>
      <c r="D67" s="28">
        <f t="shared" ref="D67:D130" si="8">VLOOKUP(A67,$K$7:$L$25,2,FALSE)</f>
        <v>78107</v>
      </c>
      <c r="E67">
        <v>90</v>
      </c>
      <c r="F67" s="28">
        <f t="shared" ref="F67:F130" si="9">VLOOKUP(A67,$K$7:$S$25,9,FALSE)</f>
        <v>0</v>
      </c>
      <c r="G67">
        <f t="shared" si="7"/>
        <v>65</v>
      </c>
    </row>
    <row r="68" spans="1:7">
      <c r="A68">
        <f t="shared" si="5"/>
        <v>101107</v>
      </c>
      <c r="B68" t="str">
        <f>VLOOKUP(A68,D_马仔表!$A$2:$B$20,2,FALSE)</f>
        <v>雷复轰</v>
      </c>
      <c r="C68">
        <f t="shared" si="6"/>
        <v>7</v>
      </c>
      <c r="D68" s="28">
        <f t="shared" si="8"/>
        <v>78107</v>
      </c>
      <c r="E68">
        <v>120</v>
      </c>
      <c r="F68" s="28">
        <f t="shared" si="9"/>
        <v>0</v>
      </c>
      <c r="G68">
        <f t="shared" si="7"/>
        <v>70</v>
      </c>
    </row>
    <row r="69" spans="1:7">
      <c r="A69">
        <f t="shared" si="5"/>
        <v>101107</v>
      </c>
      <c r="B69" t="str">
        <f>VLOOKUP(A69,D_马仔表!$A$2:$B$20,2,FALSE)</f>
        <v>雷复轰</v>
      </c>
      <c r="C69">
        <f t="shared" si="6"/>
        <v>8</v>
      </c>
      <c r="D69" s="28">
        <f t="shared" si="8"/>
        <v>78107</v>
      </c>
      <c r="E69">
        <v>160</v>
      </c>
      <c r="F69" s="28">
        <f t="shared" si="9"/>
        <v>0</v>
      </c>
      <c r="G69">
        <f t="shared" si="7"/>
        <v>75</v>
      </c>
    </row>
    <row r="70" spans="1:7">
      <c r="A70">
        <f t="shared" si="5"/>
        <v>101107</v>
      </c>
      <c r="B70" t="str">
        <f>VLOOKUP(A70,D_马仔表!$A$2:$B$20,2,FALSE)</f>
        <v>雷复轰</v>
      </c>
      <c r="C70">
        <f t="shared" si="6"/>
        <v>9</v>
      </c>
      <c r="D70" s="28">
        <f t="shared" si="8"/>
        <v>78107</v>
      </c>
      <c r="E70">
        <v>200</v>
      </c>
      <c r="F70" s="28">
        <f t="shared" si="9"/>
        <v>0</v>
      </c>
      <c r="G70">
        <f t="shared" si="7"/>
        <v>80</v>
      </c>
    </row>
    <row r="71" spans="1:7">
      <c r="A71">
        <f t="shared" si="5"/>
        <v>101107</v>
      </c>
      <c r="B71" t="str">
        <f>VLOOKUP(A71,D_马仔表!$A$2:$B$20,2,FALSE)</f>
        <v>雷复轰</v>
      </c>
      <c r="C71">
        <f t="shared" si="6"/>
        <v>10</v>
      </c>
      <c r="D71" s="28">
        <f t="shared" si="8"/>
        <v>78107</v>
      </c>
      <c r="E71">
        <v>250</v>
      </c>
      <c r="F71" s="28">
        <f t="shared" si="9"/>
        <v>0</v>
      </c>
      <c r="G71">
        <f t="shared" si="7"/>
        <v>80</v>
      </c>
    </row>
    <row r="72" spans="1:7">
      <c r="A72">
        <f t="shared" si="5"/>
        <v>101108</v>
      </c>
      <c r="B72" t="str">
        <f>VLOOKUP(A72,D_马仔表!$A$2:$B$20,2,FALSE)</f>
        <v>肥仔</v>
      </c>
      <c r="C72">
        <f t="shared" si="6"/>
        <v>1</v>
      </c>
      <c r="D72" s="28">
        <f t="shared" si="8"/>
        <v>78108</v>
      </c>
      <c r="E72">
        <v>10</v>
      </c>
      <c r="F72" s="28">
        <f t="shared" si="9"/>
        <v>0</v>
      </c>
      <c r="G72">
        <f t="shared" si="7"/>
        <v>30</v>
      </c>
    </row>
    <row r="73" spans="1:7">
      <c r="A73">
        <f t="shared" si="5"/>
        <v>101108</v>
      </c>
      <c r="B73" t="str">
        <f>VLOOKUP(A73,D_马仔表!$A$2:$B$20,2,FALSE)</f>
        <v>肥仔</v>
      </c>
      <c r="C73">
        <f t="shared" si="6"/>
        <v>2</v>
      </c>
      <c r="D73" s="28">
        <f t="shared" si="8"/>
        <v>78108</v>
      </c>
      <c r="E73">
        <v>20</v>
      </c>
      <c r="F73" s="28">
        <f t="shared" si="9"/>
        <v>0</v>
      </c>
      <c r="G73">
        <f t="shared" si="7"/>
        <v>40</v>
      </c>
    </row>
    <row r="74" spans="1:7">
      <c r="A74">
        <f t="shared" si="5"/>
        <v>101108</v>
      </c>
      <c r="B74" t="str">
        <f>VLOOKUP(A74,D_马仔表!$A$2:$B$20,2,FALSE)</f>
        <v>肥仔</v>
      </c>
      <c r="C74">
        <f t="shared" si="6"/>
        <v>3</v>
      </c>
      <c r="D74" s="28">
        <f t="shared" si="8"/>
        <v>78108</v>
      </c>
      <c r="E74">
        <v>30</v>
      </c>
      <c r="F74" s="28">
        <f t="shared" si="9"/>
        <v>0</v>
      </c>
      <c r="G74">
        <f t="shared" si="7"/>
        <v>50</v>
      </c>
    </row>
    <row r="75" spans="1:7">
      <c r="A75">
        <f t="shared" si="5"/>
        <v>101108</v>
      </c>
      <c r="B75" t="str">
        <f>VLOOKUP(A75,D_马仔表!$A$2:$B$20,2,FALSE)</f>
        <v>肥仔</v>
      </c>
      <c r="C75">
        <f t="shared" si="6"/>
        <v>4</v>
      </c>
      <c r="D75" s="28">
        <f t="shared" si="8"/>
        <v>78108</v>
      </c>
      <c r="E75">
        <v>40</v>
      </c>
      <c r="F75" s="28">
        <f t="shared" si="9"/>
        <v>0</v>
      </c>
      <c r="G75">
        <f t="shared" si="7"/>
        <v>55</v>
      </c>
    </row>
    <row r="76" spans="1:7">
      <c r="A76">
        <f t="shared" si="5"/>
        <v>101108</v>
      </c>
      <c r="B76" t="str">
        <f>VLOOKUP(A76,D_马仔表!$A$2:$B$20,2,FALSE)</f>
        <v>肥仔</v>
      </c>
      <c r="C76">
        <f t="shared" si="6"/>
        <v>5</v>
      </c>
      <c r="D76" s="28">
        <f t="shared" si="8"/>
        <v>78108</v>
      </c>
      <c r="E76">
        <v>60</v>
      </c>
      <c r="F76" s="28">
        <f t="shared" si="9"/>
        <v>0</v>
      </c>
      <c r="G76">
        <f t="shared" si="7"/>
        <v>60</v>
      </c>
    </row>
    <row r="77" spans="1:7">
      <c r="A77">
        <f t="shared" ref="A77:A81" si="10">A67+1</f>
        <v>101108</v>
      </c>
      <c r="B77" t="str">
        <f>VLOOKUP(A77,D_马仔表!$A$2:$B$20,2,FALSE)</f>
        <v>肥仔</v>
      </c>
      <c r="C77">
        <f t="shared" ref="C77:C140" si="11">C67</f>
        <v>6</v>
      </c>
      <c r="D77" s="28">
        <f t="shared" si="8"/>
        <v>78108</v>
      </c>
      <c r="E77">
        <v>90</v>
      </c>
      <c r="F77" s="28">
        <f t="shared" si="9"/>
        <v>0</v>
      </c>
      <c r="G77">
        <f t="shared" ref="G77:G140" si="12">G67</f>
        <v>65</v>
      </c>
    </row>
    <row r="78" spans="1:7">
      <c r="A78">
        <f t="shared" si="10"/>
        <v>101108</v>
      </c>
      <c r="B78" t="str">
        <f>VLOOKUP(A78,D_马仔表!$A$2:$B$20,2,FALSE)</f>
        <v>肥仔</v>
      </c>
      <c r="C78">
        <f t="shared" si="11"/>
        <v>7</v>
      </c>
      <c r="D78" s="28">
        <f t="shared" si="8"/>
        <v>78108</v>
      </c>
      <c r="E78">
        <v>120</v>
      </c>
      <c r="F78" s="28">
        <f t="shared" si="9"/>
        <v>0</v>
      </c>
      <c r="G78">
        <f t="shared" si="12"/>
        <v>70</v>
      </c>
    </row>
    <row r="79" spans="1:7">
      <c r="A79">
        <f t="shared" si="10"/>
        <v>101108</v>
      </c>
      <c r="B79" t="str">
        <f>VLOOKUP(A79,D_马仔表!$A$2:$B$20,2,FALSE)</f>
        <v>肥仔</v>
      </c>
      <c r="C79">
        <f t="shared" si="11"/>
        <v>8</v>
      </c>
      <c r="D79" s="28">
        <f t="shared" si="8"/>
        <v>78108</v>
      </c>
      <c r="E79">
        <v>160</v>
      </c>
      <c r="F79" s="28">
        <f t="shared" si="9"/>
        <v>0</v>
      </c>
      <c r="G79">
        <f t="shared" si="12"/>
        <v>75</v>
      </c>
    </row>
    <row r="80" spans="1:7">
      <c r="A80">
        <f t="shared" si="10"/>
        <v>101108</v>
      </c>
      <c r="B80" t="str">
        <f>VLOOKUP(A80,D_马仔表!$A$2:$B$20,2,FALSE)</f>
        <v>肥仔</v>
      </c>
      <c r="C80">
        <f t="shared" si="11"/>
        <v>9</v>
      </c>
      <c r="D80" s="28">
        <f t="shared" si="8"/>
        <v>78108</v>
      </c>
      <c r="E80">
        <v>200</v>
      </c>
      <c r="F80" s="28">
        <f t="shared" si="9"/>
        <v>0</v>
      </c>
      <c r="G80">
        <f t="shared" si="12"/>
        <v>80</v>
      </c>
    </row>
    <row r="81" spans="1:7">
      <c r="A81">
        <f t="shared" si="10"/>
        <v>101108</v>
      </c>
      <c r="B81" t="str">
        <f>VLOOKUP(A81,D_马仔表!$A$2:$B$20,2,FALSE)</f>
        <v>肥仔</v>
      </c>
      <c r="C81">
        <f t="shared" si="11"/>
        <v>10</v>
      </c>
      <c r="D81" s="28">
        <f t="shared" si="8"/>
        <v>78108</v>
      </c>
      <c r="E81">
        <v>250</v>
      </c>
      <c r="F81" s="28">
        <f t="shared" si="9"/>
        <v>0</v>
      </c>
      <c r="G81">
        <f t="shared" si="12"/>
        <v>80</v>
      </c>
    </row>
    <row r="82" spans="1:7">
      <c r="A82">
        <f>A72+1</f>
        <v>101109</v>
      </c>
      <c r="B82" t="str">
        <f>VLOOKUP(A82,D_马仔表!$A$2:$B$20,2,FALSE)</f>
        <v>司徒浩南</v>
      </c>
      <c r="C82">
        <f t="shared" si="11"/>
        <v>1</v>
      </c>
      <c r="D82" s="28">
        <f t="shared" si="8"/>
        <v>78109</v>
      </c>
      <c r="E82">
        <v>10</v>
      </c>
      <c r="F82" s="28">
        <f t="shared" si="9"/>
        <v>0</v>
      </c>
      <c r="G82">
        <f t="shared" si="12"/>
        <v>30</v>
      </c>
    </row>
    <row r="83" spans="1:7">
      <c r="A83">
        <f t="shared" ref="A83:A146" si="13">A73+1</f>
        <v>101109</v>
      </c>
      <c r="B83" t="str">
        <f>VLOOKUP(A83,D_马仔表!$A$2:$B$20,2,FALSE)</f>
        <v>司徒浩南</v>
      </c>
      <c r="C83">
        <f t="shared" si="11"/>
        <v>2</v>
      </c>
      <c r="D83" s="28">
        <f t="shared" si="8"/>
        <v>78109</v>
      </c>
      <c r="E83">
        <v>20</v>
      </c>
      <c r="F83" s="28">
        <f t="shared" si="9"/>
        <v>0</v>
      </c>
      <c r="G83">
        <f t="shared" si="12"/>
        <v>40</v>
      </c>
    </row>
    <row r="84" spans="1:7">
      <c r="A84">
        <f t="shared" si="13"/>
        <v>101109</v>
      </c>
      <c r="B84" t="str">
        <f>VLOOKUP(A84,D_马仔表!$A$2:$B$20,2,FALSE)</f>
        <v>司徒浩南</v>
      </c>
      <c r="C84">
        <f t="shared" si="11"/>
        <v>3</v>
      </c>
      <c r="D84" s="28">
        <f t="shared" si="8"/>
        <v>78109</v>
      </c>
      <c r="E84">
        <v>30</v>
      </c>
      <c r="F84" s="28">
        <f t="shared" si="9"/>
        <v>0</v>
      </c>
      <c r="G84">
        <f t="shared" si="12"/>
        <v>50</v>
      </c>
    </row>
    <row r="85" spans="1:7">
      <c r="A85">
        <f t="shared" si="13"/>
        <v>101109</v>
      </c>
      <c r="B85" t="str">
        <f>VLOOKUP(A85,D_马仔表!$A$2:$B$20,2,FALSE)</f>
        <v>司徒浩南</v>
      </c>
      <c r="C85">
        <f t="shared" si="11"/>
        <v>4</v>
      </c>
      <c r="D85" s="28">
        <f t="shared" si="8"/>
        <v>78109</v>
      </c>
      <c r="E85">
        <v>40</v>
      </c>
      <c r="F85" s="28">
        <f t="shared" si="9"/>
        <v>0</v>
      </c>
      <c r="G85">
        <f t="shared" si="12"/>
        <v>55</v>
      </c>
    </row>
    <row r="86" spans="1:7">
      <c r="A86">
        <f t="shared" si="13"/>
        <v>101109</v>
      </c>
      <c r="B86" t="str">
        <f>VLOOKUP(A86,D_马仔表!$A$2:$B$20,2,FALSE)</f>
        <v>司徒浩南</v>
      </c>
      <c r="C86">
        <f t="shared" si="11"/>
        <v>5</v>
      </c>
      <c r="D86" s="28">
        <f t="shared" si="8"/>
        <v>78109</v>
      </c>
      <c r="E86">
        <v>60</v>
      </c>
      <c r="F86" s="28">
        <f t="shared" si="9"/>
        <v>0</v>
      </c>
      <c r="G86">
        <f t="shared" si="12"/>
        <v>60</v>
      </c>
    </row>
    <row r="87" spans="1:7">
      <c r="A87">
        <f t="shared" si="13"/>
        <v>101109</v>
      </c>
      <c r="B87" t="str">
        <f>VLOOKUP(A87,D_马仔表!$A$2:$B$20,2,FALSE)</f>
        <v>司徒浩南</v>
      </c>
      <c r="C87">
        <f t="shared" si="11"/>
        <v>6</v>
      </c>
      <c r="D87" s="28">
        <f t="shared" si="8"/>
        <v>78109</v>
      </c>
      <c r="E87">
        <v>90</v>
      </c>
      <c r="F87" s="28">
        <f t="shared" si="9"/>
        <v>0</v>
      </c>
      <c r="G87">
        <f t="shared" si="12"/>
        <v>65</v>
      </c>
    </row>
    <row r="88" spans="1:7">
      <c r="A88">
        <f t="shared" si="13"/>
        <v>101109</v>
      </c>
      <c r="B88" t="str">
        <f>VLOOKUP(A88,D_马仔表!$A$2:$B$20,2,FALSE)</f>
        <v>司徒浩南</v>
      </c>
      <c r="C88">
        <f t="shared" si="11"/>
        <v>7</v>
      </c>
      <c r="D88" s="28">
        <f t="shared" si="8"/>
        <v>78109</v>
      </c>
      <c r="E88">
        <v>120</v>
      </c>
      <c r="F88" s="28">
        <f t="shared" si="9"/>
        <v>0</v>
      </c>
      <c r="G88">
        <f t="shared" si="12"/>
        <v>70</v>
      </c>
    </row>
    <row r="89" spans="1:7">
      <c r="A89">
        <f t="shared" si="13"/>
        <v>101109</v>
      </c>
      <c r="B89" t="str">
        <f>VLOOKUP(A89,D_马仔表!$A$2:$B$20,2,FALSE)</f>
        <v>司徒浩南</v>
      </c>
      <c r="C89">
        <f t="shared" si="11"/>
        <v>8</v>
      </c>
      <c r="D89" s="28">
        <f t="shared" si="8"/>
        <v>78109</v>
      </c>
      <c r="E89">
        <v>160</v>
      </c>
      <c r="F89" s="28">
        <f t="shared" si="9"/>
        <v>0</v>
      </c>
      <c r="G89">
        <f t="shared" si="12"/>
        <v>75</v>
      </c>
    </row>
    <row r="90" spans="1:7">
      <c r="A90">
        <f t="shared" si="13"/>
        <v>101109</v>
      </c>
      <c r="B90" t="str">
        <f>VLOOKUP(A90,D_马仔表!$A$2:$B$20,2,FALSE)</f>
        <v>司徒浩南</v>
      </c>
      <c r="C90">
        <f t="shared" si="11"/>
        <v>9</v>
      </c>
      <c r="D90" s="28">
        <f t="shared" si="8"/>
        <v>78109</v>
      </c>
      <c r="E90">
        <v>200</v>
      </c>
      <c r="F90" s="28">
        <f t="shared" si="9"/>
        <v>0</v>
      </c>
      <c r="G90">
        <f t="shared" si="12"/>
        <v>80</v>
      </c>
    </row>
    <row r="91" spans="1:7">
      <c r="A91">
        <f t="shared" si="13"/>
        <v>101109</v>
      </c>
      <c r="B91" t="str">
        <f>VLOOKUP(A91,D_马仔表!$A$2:$B$20,2,FALSE)</f>
        <v>司徒浩南</v>
      </c>
      <c r="C91">
        <f t="shared" si="11"/>
        <v>10</v>
      </c>
      <c r="D91" s="28">
        <f t="shared" si="8"/>
        <v>78109</v>
      </c>
      <c r="E91">
        <v>250</v>
      </c>
      <c r="F91" s="28">
        <f t="shared" si="9"/>
        <v>0</v>
      </c>
      <c r="G91">
        <f t="shared" si="12"/>
        <v>80</v>
      </c>
    </row>
    <row r="92" spans="1:7">
      <c r="A92">
        <f t="shared" si="13"/>
        <v>101110</v>
      </c>
      <c r="B92" t="str">
        <f>VLOOKUP(A92,D_马仔表!$A$2:$B$20,2,FALSE)</f>
        <v>乌鸦</v>
      </c>
      <c r="C92">
        <f t="shared" si="11"/>
        <v>1</v>
      </c>
      <c r="D92" s="28">
        <f t="shared" si="8"/>
        <v>78110</v>
      </c>
      <c r="E92">
        <v>10</v>
      </c>
      <c r="F92" s="28">
        <f t="shared" si="9"/>
        <v>0</v>
      </c>
      <c r="G92">
        <f t="shared" si="12"/>
        <v>30</v>
      </c>
    </row>
    <row r="93" spans="1:7">
      <c r="A93">
        <f t="shared" si="13"/>
        <v>101110</v>
      </c>
      <c r="B93" t="str">
        <f>VLOOKUP(A93,D_马仔表!$A$2:$B$20,2,FALSE)</f>
        <v>乌鸦</v>
      </c>
      <c r="C93">
        <f t="shared" si="11"/>
        <v>2</v>
      </c>
      <c r="D93" s="28">
        <f t="shared" si="8"/>
        <v>78110</v>
      </c>
      <c r="E93">
        <v>20</v>
      </c>
      <c r="F93" s="28">
        <f t="shared" si="9"/>
        <v>0</v>
      </c>
      <c r="G93">
        <f t="shared" si="12"/>
        <v>40</v>
      </c>
    </row>
    <row r="94" spans="1:7">
      <c r="A94">
        <f t="shared" si="13"/>
        <v>101110</v>
      </c>
      <c r="B94" t="str">
        <f>VLOOKUP(A94,D_马仔表!$A$2:$B$20,2,FALSE)</f>
        <v>乌鸦</v>
      </c>
      <c r="C94">
        <f t="shared" si="11"/>
        <v>3</v>
      </c>
      <c r="D94" s="28">
        <f t="shared" si="8"/>
        <v>78110</v>
      </c>
      <c r="E94">
        <v>30</v>
      </c>
      <c r="F94" s="28">
        <f t="shared" si="9"/>
        <v>0</v>
      </c>
      <c r="G94">
        <f t="shared" si="12"/>
        <v>50</v>
      </c>
    </row>
    <row r="95" spans="1:7">
      <c r="A95">
        <f t="shared" si="13"/>
        <v>101110</v>
      </c>
      <c r="B95" t="str">
        <f>VLOOKUP(A95,D_马仔表!$A$2:$B$20,2,FALSE)</f>
        <v>乌鸦</v>
      </c>
      <c r="C95">
        <f t="shared" si="11"/>
        <v>4</v>
      </c>
      <c r="D95" s="28">
        <f t="shared" si="8"/>
        <v>78110</v>
      </c>
      <c r="E95">
        <v>40</v>
      </c>
      <c r="F95" s="28">
        <f t="shared" si="9"/>
        <v>0</v>
      </c>
      <c r="G95">
        <f t="shared" si="12"/>
        <v>55</v>
      </c>
    </row>
    <row r="96" spans="1:7">
      <c r="A96">
        <f t="shared" si="13"/>
        <v>101110</v>
      </c>
      <c r="B96" t="str">
        <f>VLOOKUP(A96,D_马仔表!$A$2:$B$20,2,FALSE)</f>
        <v>乌鸦</v>
      </c>
      <c r="C96">
        <f t="shared" si="11"/>
        <v>5</v>
      </c>
      <c r="D96" s="28">
        <f t="shared" si="8"/>
        <v>78110</v>
      </c>
      <c r="E96">
        <v>60</v>
      </c>
      <c r="F96" s="28">
        <f t="shared" si="9"/>
        <v>0</v>
      </c>
      <c r="G96">
        <f t="shared" si="12"/>
        <v>60</v>
      </c>
    </row>
    <row r="97" spans="1:7">
      <c r="A97">
        <f t="shared" si="13"/>
        <v>101110</v>
      </c>
      <c r="B97" t="str">
        <f>VLOOKUP(A97,D_马仔表!$A$2:$B$20,2,FALSE)</f>
        <v>乌鸦</v>
      </c>
      <c r="C97">
        <f t="shared" si="11"/>
        <v>6</v>
      </c>
      <c r="D97" s="28">
        <f t="shared" si="8"/>
        <v>78110</v>
      </c>
      <c r="E97">
        <v>90</v>
      </c>
      <c r="F97" s="28">
        <f t="shared" si="9"/>
        <v>0</v>
      </c>
      <c r="G97">
        <f t="shared" si="12"/>
        <v>65</v>
      </c>
    </row>
    <row r="98" spans="1:7">
      <c r="A98">
        <f t="shared" si="13"/>
        <v>101110</v>
      </c>
      <c r="B98" t="str">
        <f>VLOOKUP(A98,D_马仔表!$A$2:$B$20,2,FALSE)</f>
        <v>乌鸦</v>
      </c>
      <c r="C98">
        <f t="shared" si="11"/>
        <v>7</v>
      </c>
      <c r="D98" s="28">
        <f t="shared" si="8"/>
        <v>78110</v>
      </c>
      <c r="E98">
        <v>120</v>
      </c>
      <c r="F98" s="28">
        <f t="shared" si="9"/>
        <v>0</v>
      </c>
      <c r="G98">
        <f t="shared" si="12"/>
        <v>70</v>
      </c>
    </row>
    <row r="99" spans="1:7">
      <c r="A99">
        <f t="shared" si="13"/>
        <v>101110</v>
      </c>
      <c r="B99" t="str">
        <f>VLOOKUP(A99,D_马仔表!$A$2:$B$20,2,FALSE)</f>
        <v>乌鸦</v>
      </c>
      <c r="C99">
        <f t="shared" si="11"/>
        <v>8</v>
      </c>
      <c r="D99" s="28">
        <f t="shared" si="8"/>
        <v>78110</v>
      </c>
      <c r="E99">
        <v>160</v>
      </c>
      <c r="F99" s="28">
        <f t="shared" si="9"/>
        <v>0</v>
      </c>
      <c r="G99">
        <f t="shared" si="12"/>
        <v>75</v>
      </c>
    </row>
    <row r="100" spans="1:7">
      <c r="A100">
        <f t="shared" si="13"/>
        <v>101110</v>
      </c>
      <c r="B100" t="str">
        <f>VLOOKUP(A100,D_马仔表!$A$2:$B$20,2,FALSE)</f>
        <v>乌鸦</v>
      </c>
      <c r="C100">
        <f t="shared" si="11"/>
        <v>9</v>
      </c>
      <c r="D100" s="28">
        <f t="shared" si="8"/>
        <v>78110</v>
      </c>
      <c r="E100">
        <v>200</v>
      </c>
      <c r="F100" s="28">
        <f t="shared" si="9"/>
        <v>0</v>
      </c>
      <c r="G100">
        <f t="shared" si="12"/>
        <v>80</v>
      </c>
    </row>
    <row r="101" spans="1:7">
      <c r="A101">
        <f t="shared" si="13"/>
        <v>101110</v>
      </c>
      <c r="B101" t="str">
        <f>VLOOKUP(A101,D_马仔表!$A$2:$B$20,2,FALSE)</f>
        <v>乌鸦</v>
      </c>
      <c r="C101">
        <f t="shared" si="11"/>
        <v>10</v>
      </c>
      <c r="D101" s="28">
        <f t="shared" si="8"/>
        <v>78110</v>
      </c>
      <c r="E101">
        <v>250</v>
      </c>
      <c r="F101" s="28">
        <f t="shared" si="9"/>
        <v>0</v>
      </c>
      <c r="G101">
        <f t="shared" si="12"/>
        <v>80</v>
      </c>
    </row>
    <row r="102" spans="1:7">
      <c r="A102">
        <f t="shared" si="13"/>
        <v>101111</v>
      </c>
      <c r="B102" t="str">
        <f>VLOOKUP(A102,D_马仔表!$A$2:$B$20,2,FALSE)</f>
        <v>赌王</v>
      </c>
      <c r="C102">
        <f t="shared" si="11"/>
        <v>1</v>
      </c>
      <c r="D102" s="28">
        <f t="shared" si="8"/>
        <v>78111</v>
      </c>
      <c r="E102">
        <v>10</v>
      </c>
      <c r="F102" s="28">
        <f t="shared" si="9"/>
        <v>0</v>
      </c>
      <c r="G102">
        <f t="shared" si="12"/>
        <v>30</v>
      </c>
    </row>
    <row r="103" spans="1:7">
      <c r="A103">
        <f t="shared" si="13"/>
        <v>101111</v>
      </c>
      <c r="B103" t="str">
        <f>VLOOKUP(A103,D_马仔表!$A$2:$B$20,2,FALSE)</f>
        <v>赌王</v>
      </c>
      <c r="C103">
        <f t="shared" si="11"/>
        <v>2</v>
      </c>
      <c r="D103" s="28">
        <f t="shared" si="8"/>
        <v>78111</v>
      </c>
      <c r="E103">
        <v>20</v>
      </c>
      <c r="F103" s="28">
        <f t="shared" si="9"/>
        <v>0</v>
      </c>
      <c r="G103">
        <f t="shared" si="12"/>
        <v>40</v>
      </c>
    </row>
    <row r="104" spans="1:7">
      <c r="A104">
        <f t="shared" si="13"/>
        <v>101111</v>
      </c>
      <c r="B104" t="str">
        <f>VLOOKUP(A104,D_马仔表!$A$2:$B$20,2,FALSE)</f>
        <v>赌王</v>
      </c>
      <c r="C104">
        <f t="shared" si="11"/>
        <v>3</v>
      </c>
      <c r="D104" s="28">
        <f t="shared" si="8"/>
        <v>78111</v>
      </c>
      <c r="E104">
        <v>30</v>
      </c>
      <c r="F104" s="28">
        <f t="shared" si="9"/>
        <v>0</v>
      </c>
      <c r="G104">
        <f t="shared" si="12"/>
        <v>50</v>
      </c>
    </row>
    <row r="105" spans="1:7">
      <c r="A105">
        <f t="shared" si="13"/>
        <v>101111</v>
      </c>
      <c r="B105" t="str">
        <f>VLOOKUP(A105,D_马仔表!$A$2:$B$20,2,FALSE)</f>
        <v>赌王</v>
      </c>
      <c r="C105">
        <f t="shared" si="11"/>
        <v>4</v>
      </c>
      <c r="D105" s="28">
        <f t="shared" si="8"/>
        <v>78111</v>
      </c>
      <c r="E105">
        <v>40</v>
      </c>
      <c r="F105" s="28">
        <f t="shared" si="9"/>
        <v>0</v>
      </c>
      <c r="G105">
        <f t="shared" si="12"/>
        <v>55</v>
      </c>
    </row>
    <row r="106" spans="1:7">
      <c r="A106">
        <f t="shared" si="13"/>
        <v>101111</v>
      </c>
      <c r="B106" t="str">
        <f>VLOOKUP(A106,D_马仔表!$A$2:$B$20,2,FALSE)</f>
        <v>赌王</v>
      </c>
      <c r="C106">
        <f t="shared" si="11"/>
        <v>5</v>
      </c>
      <c r="D106" s="28">
        <f t="shared" si="8"/>
        <v>78111</v>
      </c>
      <c r="E106">
        <v>60</v>
      </c>
      <c r="F106" s="28">
        <f t="shared" si="9"/>
        <v>0</v>
      </c>
      <c r="G106">
        <f t="shared" si="12"/>
        <v>60</v>
      </c>
    </row>
    <row r="107" spans="1:7">
      <c r="A107">
        <f t="shared" si="13"/>
        <v>101111</v>
      </c>
      <c r="B107" t="str">
        <f>VLOOKUP(A107,D_马仔表!$A$2:$B$20,2,FALSE)</f>
        <v>赌王</v>
      </c>
      <c r="C107">
        <f t="shared" si="11"/>
        <v>6</v>
      </c>
      <c r="D107" s="28">
        <f t="shared" si="8"/>
        <v>78111</v>
      </c>
      <c r="E107">
        <v>90</v>
      </c>
      <c r="F107" s="28">
        <f t="shared" si="9"/>
        <v>0</v>
      </c>
      <c r="G107">
        <f t="shared" si="12"/>
        <v>65</v>
      </c>
    </row>
    <row r="108" spans="1:7">
      <c r="A108">
        <f t="shared" si="13"/>
        <v>101111</v>
      </c>
      <c r="B108" t="str">
        <f>VLOOKUP(A108,D_马仔表!$A$2:$B$20,2,FALSE)</f>
        <v>赌王</v>
      </c>
      <c r="C108">
        <f t="shared" si="11"/>
        <v>7</v>
      </c>
      <c r="D108" s="28">
        <f t="shared" si="8"/>
        <v>78111</v>
      </c>
      <c r="E108">
        <v>120</v>
      </c>
      <c r="F108" s="28">
        <f t="shared" si="9"/>
        <v>0</v>
      </c>
      <c r="G108">
        <f t="shared" si="12"/>
        <v>70</v>
      </c>
    </row>
    <row r="109" spans="1:7">
      <c r="A109">
        <f t="shared" si="13"/>
        <v>101111</v>
      </c>
      <c r="B109" t="str">
        <f>VLOOKUP(A109,D_马仔表!$A$2:$B$20,2,FALSE)</f>
        <v>赌王</v>
      </c>
      <c r="C109">
        <f t="shared" si="11"/>
        <v>8</v>
      </c>
      <c r="D109" s="28">
        <f t="shared" si="8"/>
        <v>78111</v>
      </c>
      <c r="E109">
        <v>160</v>
      </c>
      <c r="F109" s="28">
        <f t="shared" si="9"/>
        <v>0</v>
      </c>
      <c r="G109">
        <f t="shared" si="12"/>
        <v>75</v>
      </c>
    </row>
    <row r="110" spans="1:7">
      <c r="A110">
        <f t="shared" si="13"/>
        <v>101111</v>
      </c>
      <c r="B110" t="str">
        <f>VLOOKUP(A110,D_马仔表!$A$2:$B$20,2,FALSE)</f>
        <v>赌王</v>
      </c>
      <c r="C110">
        <f t="shared" si="11"/>
        <v>9</v>
      </c>
      <c r="D110" s="28">
        <f t="shared" si="8"/>
        <v>78111</v>
      </c>
      <c r="E110">
        <v>200</v>
      </c>
      <c r="F110" s="28">
        <f t="shared" si="9"/>
        <v>0</v>
      </c>
      <c r="G110">
        <f t="shared" si="12"/>
        <v>80</v>
      </c>
    </row>
    <row r="111" spans="1:7">
      <c r="A111">
        <f t="shared" si="13"/>
        <v>101111</v>
      </c>
      <c r="B111" t="str">
        <f>VLOOKUP(A111,D_马仔表!$A$2:$B$20,2,FALSE)</f>
        <v>赌王</v>
      </c>
      <c r="C111">
        <f t="shared" si="11"/>
        <v>10</v>
      </c>
      <c r="D111" s="28">
        <f t="shared" si="8"/>
        <v>78111</v>
      </c>
      <c r="E111">
        <v>250</v>
      </c>
      <c r="F111" s="28">
        <f t="shared" si="9"/>
        <v>0</v>
      </c>
      <c r="G111">
        <f t="shared" si="12"/>
        <v>80</v>
      </c>
    </row>
    <row r="112" spans="1:7">
      <c r="A112">
        <f t="shared" si="13"/>
        <v>101112</v>
      </c>
      <c r="B112" t="str">
        <f>VLOOKUP(A112,D_马仔表!$A$2:$B$20,2,FALSE)</f>
        <v>山下忠秀</v>
      </c>
      <c r="C112">
        <f t="shared" si="11"/>
        <v>1</v>
      </c>
      <c r="D112" s="28">
        <f t="shared" si="8"/>
        <v>78112</v>
      </c>
      <c r="E112">
        <v>10</v>
      </c>
      <c r="F112" s="28">
        <f t="shared" si="9"/>
        <v>0</v>
      </c>
      <c r="G112">
        <f t="shared" si="12"/>
        <v>30</v>
      </c>
    </row>
    <row r="113" spans="1:7">
      <c r="A113">
        <f t="shared" si="13"/>
        <v>101112</v>
      </c>
      <c r="B113" t="str">
        <f>VLOOKUP(A113,D_马仔表!$A$2:$B$20,2,FALSE)</f>
        <v>山下忠秀</v>
      </c>
      <c r="C113">
        <f t="shared" si="11"/>
        <v>2</v>
      </c>
      <c r="D113" s="28">
        <f t="shared" si="8"/>
        <v>78112</v>
      </c>
      <c r="E113">
        <v>20</v>
      </c>
      <c r="F113" s="28">
        <f t="shared" si="9"/>
        <v>0</v>
      </c>
      <c r="G113">
        <f t="shared" si="12"/>
        <v>40</v>
      </c>
    </row>
    <row r="114" spans="1:7">
      <c r="A114">
        <f t="shared" si="13"/>
        <v>101112</v>
      </c>
      <c r="B114" t="str">
        <f>VLOOKUP(A114,D_马仔表!$A$2:$B$20,2,FALSE)</f>
        <v>山下忠秀</v>
      </c>
      <c r="C114">
        <f t="shared" si="11"/>
        <v>3</v>
      </c>
      <c r="D114" s="28">
        <f t="shared" si="8"/>
        <v>78112</v>
      </c>
      <c r="E114">
        <v>30</v>
      </c>
      <c r="F114" s="28">
        <f t="shared" si="9"/>
        <v>0</v>
      </c>
      <c r="G114">
        <f t="shared" si="12"/>
        <v>50</v>
      </c>
    </row>
    <row r="115" spans="1:7">
      <c r="A115">
        <f t="shared" si="13"/>
        <v>101112</v>
      </c>
      <c r="B115" t="str">
        <f>VLOOKUP(A115,D_马仔表!$A$2:$B$20,2,FALSE)</f>
        <v>山下忠秀</v>
      </c>
      <c r="C115">
        <f t="shared" si="11"/>
        <v>4</v>
      </c>
      <c r="D115" s="28">
        <f t="shared" si="8"/>
        <v>78112</v>
      </c>
      <c r="E115">
        <v>40</v>
      </c>
      <c r="F115" s="28">
        <f t="shared" si="9"/>
        <v>0</v>
      </c>
      <c r="G115">
        <f t="shared" si="12"/>
        <v>55</v>
      </c>
    </row>
    <row r="116" spans="1:7">
      <c r="A116">
        <f t="shared" si="13"/>
        <v>101112</v>
      </c>
      <c r="B116" t="str">
        <f>VLOOKUP(A116,D_马仔表!$A$2:$B$20,2,FALSE)</f>
        <v>山下忠秀</v>
      </c>
      <c r="C116">
        <f t="shared" si="11"/>
        <v>5</v>
      </c>
      <c r="D116" s="28">
        <f t="shared" si="8"/>
        <v>78112</v>
      </c>
      <c r="E116">
        <v>60</v>
      </c>
      <c r="F116" s="28">
        <f t="shared" si="9"/>
        <v>0</v>
      </c>
      <c r="G116">
        <f t="shared" si="12"/>
        <v>60</v>
      </c>
    </row>
    <row r="117" spans="1:7">
      <c r="A117">
        <f t="shared" si="13"/>
        <v>101112</v>
      </c>
      <c r="B117" t="str">
        <f>VLOOKUP(A117,D_马仔表!$A$2:$B$20,2,FALSE)</f>
        <v>山下忠秀</v>
      </c>
      <c r="C117">
        <f t="shared" si="11"/>
        <v>6</v>
      </c>
      <c r="D117" s="28">
        <f t="shared" si="8"/>
        <v>78112</v>
      </c>
      <c r="E117">
        <v>90</v>
      </c>
      <c r="F117" s="28">
        <f t="shared" si="9"/>
        <v>0</v>
      </c>
      <c r="G117">
        <f t="shared" si="12"/>
        <v>65</v>
      </c>
    </row>
    <row r="118" spans="1:7">
      <c r="A118">
        <f t="shared" si="13"/>
        <v>101112</v>
      </c>
      <c r="B118" t="str">
        <f>VLOOKUP(A118,D_马仔表!$A$2:$B$20,2,FALSE)</f>
        <v>山下忠秀</v>
      </c>
      <c r="C118">
        <f t="shared" si="11"/>
        <v>7</v>
      </c>
      <c r="D118" s="28">
        <f t="shared" si="8"/>
        <v>78112</v>
      </c>
      <c r="E118">
        <v>120</v>
      </c>
      <c r="F118" s="28">
        <f t="shared" si="9"/>
        <v>0</v>
      </c>
      <c r="G118">
        <f t="shared" si="12"/>
        <v>70</v>
      </c>
    </row>
    <row r="119" spans="1:7">
      <c r="A119">
        <f t="shared" si="13"/>
        <v>101112</v>
      </c>
      <c r="B119" t="str">
        <f>VLOOKUP(A119,D_马仔表!$A$2:$B$20,2,FALSE)</f>
        <v>山下忠秀</v>
      </c>
      <c r="C119">
        <f t="shared" si="11"/>
        <v>8</v>
      </c>
      <c r="D119" s="28">
        <f t="shared" si="8"/>
        <v>78112</v>
      </c>
      <c r="E119">
        <v>160</v>
      </c>
      <c r="F119" s="28">
        <f t="shared" si="9"/>
        <v>0</v>
      </c>
      <c r="G119">
        <f t="shared" si="12"/>
        <v>75</v>
      </c>
    </row>
    <row r="120" spans="1:7">
      <c r="A120">
        <f t="shared" si="13"/>
        <v>101112</v>
      </c>
      <c r="B120" t="str">
        <f>VLOOKUP(A120,D_马仔表!$A$2:$B$20,2,FALSE)</f>
        <v>山下忠秀</v>
      </c>
      <c r="C120">
        <f t="shared" si="11"/>
        <v>9</v>
      </c>
      <c r="D120" s="28">
        <f t="shared" si="8"/>
        <v>78112</v>
      </c>
      <c r="E120">
        <v>200</v>
      </c>
      <c r="F120" s="28">
        <f t="shared" si="9"/>
        <v>0</v>
      </c>
      <c r="G120">
        <f t="shared" si="12"/>
        <v>80</v>
      </c>
    </row>
    <row r="121" spans="1:7">
      <c r="A121">
        <f t="shared" si="13"/>
        <v>101112</v>
      </c>
      <c r="B121" t="str">
        <f>VLOOKUP(A121,D_马仔表!$A$2:$B$20,2,FALSE)</f>
        <v>山下忠秀</v>
      </c>
      <c r="C121">
        <f t="shared" si="11"/>
        <v>10</v>
      </c>
      <c r="D121" s="28">
        <f t="shared" si="8"/>
        <v>78112</v>
      </c>
      <c r="E121">
        <v>250</v>
      </c>
      <c r="F121" s="28">
        <f t="shared" si="9"/>
        <v>0</v>
      </c>
      <c r="G121">
        <f t="shared" si="12"/>
        <v>80</v>
      </c>
    </row>
    <row r="122" spans="1:7">
      <c r="A122">
        <f t="shared" si="13"/>
        <v>101113</v>
      </c>
      <c r="B122" t="str">
        <f>VLOOKUP(A122,D_马仔表!$A$2:$B$20,2,FALSE)</f>
        <v>宫本一</v>
      </c>
      <c r="C122">
        <f t="shared" si="11"/>
        <v>1</v>
      </c>
      <c r="D122" s="28">
        <f t="shared" si="8"/>
        <v>78113</v>
      </c>
      <c r="E122">
        <v>10</v>
      </c>
      <c r="F122" s="28">
        <f t="shared" si="9"/>
        <v>0</v>
      </c>
      <c r="G122">
        <f t="shared" si="12"/>
        <v>30</v>
      </c>
    </row>
    <row r="123" spans="1:7">
      <c r="A123">
        <f t="shared" si="13"/>
        <v>101113</v>
      </c>
      <c r="B123" t="str">
        <f>VLOOKUP(A123,D_马仔表!$A$2:$B$20,2,FALSE)</f>
        <v>宫本一</v>
      </c>
      <c r="C123">
        <f t="shared" si="11"/>
        <v>2</v>
      </c>
      <c r="D123" s="28">
        <f t="shared" si="8"/>
        <v>78113</v>
      </c>
      <c r="E123">
        <v>20</v>
      </c>
      <c r="F123" s="28">
        <f t="shared" si="9"/>
        <v>0</v>
      </c>
      <c r="G123">
        <f t="shared" si="12"/>
        <v>40</v>
      </c>
    </row>
    <row r="124" spans="1:7">
      <c r="A124">
        <f t="shared" si="13"/>
        <v>101113</v>
      </c>
      <c r="B124" t="str">
        <f>VLOOKUP(A124,D_马仔表!$A$2:$B$20,2,FALSE)</f>
        <v>宫本一</v>
      </c>
      <c r="C124">
        <f t="shared" si="11"/>
        <v>3</v>
      </c>
      <c r="D124" s="28">
        <f t="shared" si="8"/>
        <v>78113</v>
      </c>
      <c r="E124">
        <v>30</v>
      </c>
      <c r="F124" s="28">
        <f t="shared" si="9"/>
        <v>0</v>
      </c>
      <c r="G124">
        <f t="shared" si="12"/>
        <v>50</v>
      </c>
    </row>
    <row r="125" spans="1:7">
      <c r="A125">
        <f t="shared" si="13"/>
        <v>101113</v>
      </c>
      <c r="B125" t="str">
        <f>VLOOKUP(A125,D_马仔表!$A$2:$B$20,2,FALSE)</f>
        <v>宫本一</v>
      </c>
      <c r="C125">
        <f t="shared" si="11"/>
        <v>4</v>
      </c>
      <c r="D125" s="28">
        <f t="shared" si="8"/>
        <v>78113</v>
      </c>
      <c r="E125">
        <v>40</v>
      </c>
      <c r="F125" s="28">
        <f t="shared" si="9"/>
        <v>0</v>
      </c>
      <c r="G125">
        <f t="shared" si="12"/>
        <v>55</v>
      </c>
    </row>
    <row r="126" spans="1:7">
      <c r="A126">
        <f t="shared" si="13"/>
        <v>101113</v>
      </c>
      <c r="B126" t="str">
        <f>VLOOKUP(A126,D_马仔表!$A$2:$B$20,2,FALSE)</f>
        <v>宫本一</v>
      </c>
      <c r="C126">
        <f t="shared" si="11"/>
        <v>5</v>
      </c>
      <c r="D126" s="28">
        <f t="shared" si="8"/>
        <v>78113</v>
      </c>
      <c r="E126">
        <v>60</v>
      </c>
      <c r="F126" s="28">
        <f t="shared" si="9"/>
        <v>0</v>
      </c>
      <c r="G126">
        <f t="shared" si="12"/>
        <v>60</v>
      </c>
    </row>
    <row r="127" spans="1:7">
      <c r="A127">
        <f t="shared" si="13"/>
        <v>101113</v>
      </c>
      <c r="B127" t="str">
        <f>VLOOKUP(A127,D_马仔表!$A$2:$B$20,2,FALSE)</f>
        <v>宫本一</v>
      </c>
      <c r="C127">
        <f t="shared" si="11"/>
        <v>6</v>
      </c>
      <c r="D127" s="28">
        <f t="shared" si="8"/>
        <v>78113</v>
      </c>
      <c r="E127">
        <v>90</v>
      </c>
      <c r="F127" s="28">
        <f t="shared" si="9"/>
        <v>0</v>
      </c>
      <c r="G127">
        <f t="shared" si="12"/>
        <v>65</v>
      </c>
    </row>
    <row r="128" spans="1:7">
      <c r="A128">
        <f t="shared" si="13"/>
        <v>101113</v>
      </c>
      <c r="B128" t="str">
        <f>VLOOKUP(A128,D_马仔表!$A$2:$B$20,2,FALSE)</f>
        <v>宫本一</v>
      </c>
      <c r="C128">
        <f t="shared" si="11"/>
        <v>7</v>
      </c>
      <c r="D128" s="28">
        <f t="shared" si="8"/>
        <v>78113</v>
      </c>
      <c r="E128">
        <v>120</v>
      </c>
      <c r="F128" s="28">
        <f t="shared" si="9"/>
        <v>0</v>
      </c>
      <c r="G128">
        <f t="shared" si="12"/>
        <v>70</v>
      </c>
    </row>
    <row r="129" spans="1:7">
      <c r="A129">
        <f t="shared" si="13"/>
        <v>101113</v>
      </c>
      <c r="B129" t="str">
        <f>VLOOKUP(A129,D_马仔表!$A$2:$B$20,2,FALSE)</f>
        <v>宫本一</v>
      </c>
      <c r="C129">
        <f t="shared" si="11"/>
        <v>8</v>
      </c>
      <c r="D129" s="28">
        <f t="shared" si="8"/>
        <v>78113</v>
      </c>
      <c r="E129">
        <v>160</v>
      </c>
      <c r="F129" s="28">
        <f t="shared" si="9"/>
        <v>0</v>
      </c>
      <c r="G129">
        <f t="shared" si="12"/>
        <v>75</v>
      </c>
    </row>
    <row r="130" spans="1:7">
      <c r="A130">
        <f t="shared" si="13"/>
        <v>101113</v>
      </c>
      <c r="B130" t="str">
        <f>VLOOKUP(A130,D_马仔表!$A$2:$B$20,2,FALSE)</f>
        <v>宫本一</v>
      </c>
      <c r="C130">
        <f t="shared" si="11"/>
        <v>9</v>
      </c>
      <c r="D130" s="28">
        <f t="shared" si="8"/>
        <v>78113</v>
      </c>
      <c r="E130">
        <v>200</v>
      </c>
      <c r="F130" s="28">
        <f t="shared" si="9"/>
        <v>0</v>
      </c>
      <c r="G130">
        <f t="shared" si="12"/>
        <v>80</v>
      </c>
    </row>
    <row r="131" spans="1:7">
      <c r="A131">
        <f t="shared" si="13"/>
        <v>101113</v>
      </c>
      <c r="B131" t="str">
        <f>VLOOKUP(A131,D_马仔表!$A$2:$B$20,2,FALSE)</f>
        <v>宫本一</v>
      </c>
      <c r="C131">
        <f t="shared" si="11"/>
        <v>10</v>
      </c>
      <c r="D131" s="28">
        <f t="shared" ref="D131:D191" si="14">VLOOKUP(A131,$K$7:$L$25,2,FALSE)</f>
        <v>78113</v>
      </c>
      <c r="E131">
        <v>250</v>
      </c>
      <c r="F131" s="28">
        <f t="shared" ref="F131:F191" si="15">VLOOKUP(A131,$K$7:$S$25,9,FALSE)</f>
        <v>0</v>
      </c>
      <c r="G131">
        <f t="shared" si="12"/>
        <v>80</v>
      </c>
    </row>
    <row r="132" spans="1:7">
      <c r="A132">
        <f t="shared" si="13"/>
        <v>101114</v>
      </c>
      <c r="B132" t="str">
        <f>VLOOKUP(A132,D_马仔表!$A$2:$B$20,2,FALSE)</f>
        <v>陈浩南</v>
      </c>
      <c r="C132">
        <f t="shared" si="11"/>
        <v>1</v>
      </c>
      <c r="D132" s="28">
        <f t="shared" si="14"/>
        <v>78114</v>
      </c>
      <c r="E132">
        <v>10</v>
      </c>
      <c r="F132" s="28">
        <f t="shared" si="15"/>
        <v>78214</v>
      </c>
      <c r="G132">
        <f t="shared" si="12"/>
        <v>30</v>
      </c>
    </row>
    <row r="133" spans="1:7">
      <c r="A133">
        <f t="shared" si="13"/>
        <v>101114</v>
      </c>
      <c r="B133" t="str">
        <f>VLOOKUP(A133,D_马仔表!$A$2:$B$20,2,FALSE)</f>
        <v>陈浩南</v>
      </c>
      <c r="C133">
        <f t="shared" si="11"/>
        <v>2</v>
      </c>
      <c r="D133" s="28">
        <f t="shared" si="14"/>
        <v>78114</v>
      </c>
      <c r="E133">
        <v>20</v>
      </c>
      <c r="F133" s="28">
        <f t="shared" si="15"/>
        <v>78214</v>
      </c>
      <c r="G133">
        <f t="shared" si="12"/>
        <v>40</v>
      </c>
    </row>
    <row r="134" spans="1:7">
      <c r="A134">
        <f t="shared" si="13"/>
        <v>101114</v>
      </c>
      <c r="B134" t="str">
        <f>VLOOKUP(A134,D_马仔表!$A$2:$B$20,2,FALSE)</f>
        <v>陈浩南</v>
      </c>
      <c r="C134">
        <f t="shared" si="11"/>
        <v>3</v>
      </c>
      <c r="D134" s="28">
        <f t="shared" si="14"/>
        <v>78114</v>
      </c>
      <c r="E134">
        <v>30</v>
      </c>
      <c r="F134" s="28">
        <f t="shared" si="15"/>
        <v>78214</v>
      </c>
      <c r="G134">
        <f t="shared" si="12"/>
        <v>50</v>
      </c>
    </row>
    <row r="135" spans="1:7">
      <c r="A135">
        <f t="shared" si="13"/>
        <v>101114</v>
      </c>
      <c r="B135" t="str">
        <f>VLOOKUP(A135,D_马仔表!$A$2:$B$20,2,FALSE)</f>
        <v>陈浩南</v>
      </c>
      <c r="C135">
        <f t="shared" si="11"/>
        <v>4</v>
      </c>
      <c r="D135" s="28">
        <f t="shared" si="14"/>
        <v>78114</v>
      </c>
      <c r="E135">
        <v>40</v>
      </c>
      <c r="F135" s="28">
        <f t="shared" si="15"/>
        <v>78214</v>
      </c>
      <c r="G135">
        <f t="shared" si="12"/>
        <v>55</v>
      </c>
    </row>
    <row r="136" spans="1:7">
      <c r="A136">
        <f t="shared" si="13"/>
        <v>101114</v>
      </c>
      <c r="B136" t="str">
        <f>VLOOKUP(A136,D_马仔表!$A$2:$B$20,2,FALSE)</f>
        <v>陈浩南</v>
      </c>
      <c r="C136">
        <f t="shared" si="11"/>
        <v>5</v>
      </c>
      <c r="D136" s="28">
        <f t="shared" si="14"/>
        <v>78114</v>
      </c>
      <c r="E136">
        <v>60</v>
      </c>
      <c r="F136" s="28">
        <f t="shared" si="15"/>
        <v>78214</v>
      </c>
      <c r="G136">
        <f t="shared" si="12"/>
        <v>60</v>
      </c>
    </row>
    <row r="137" spans="1:7">
      <c r="A137">
        <f t="shared" si="13"/>
        <v>101114</v>
      </c>
      <c r="B137" t="str">
        <f>VLOOKUP(A137,D_马仔表!$A$2:$B$20,2,FALSE)</f>
        <v>陈浩南</v>
      </c>
      <c r="C137">
        <f t="shared" si="11"/>
        <v>6</v>
      </c>
      <c r="D137" s="28">
        <f t="shared" si="14"/>
        <v>78114</v>
      </c>
      <c r="E137">
        <v>90</v>
      </c>
      <c r="F137" s="28">
        <f t="shared" si="15"/>
        <v>78214</v>
      </c>
      <c r="G137">
        <f t="shared" si="12"/>
        <v>65</v>
      </c>
    </row>
    <row r="138" spans="1:7">
      <c r="A138">
        <f t="shared" si="13"/>
        <v>101114</v>
      </c>
      <c r="B138" t="str">
        <f>VLOOKUP(A138,D_马仔表!$A$2:$B$20,2,FALSE)</f>
        <v>陈浩南</v>
      </c>
      <c r="C138">
        <f t="shared" si="11"/>
        <v>7</v>
      </c>
      <c r="D138" s="28">
        <f t="shared" si="14"/>
        <v>78114</v>
      </c>
      <c r="E138">
        <v>120</v>
      </c>
      <c r="F138" s="28">
        <f t="shared" si="15"/>
        <v>78214</v>
      </c>
      <c r="G138">
        <f t="shared" si="12"/>
        <v>70</v>
      </c>
    </row>
    <row r="139" spans="1:7">
      <c r="A139">
        <f t="shared" si="13"/>
        <v>101114</v>
      </c>
      <c r="B139" t="str">
        <f>VLOOKUP(A139,D_马仔表!$A$2:$B$20,2,FALSE)</f>
        <v>陈浩南</v>
      </c>
      <c r="C139">
        <f t="shared" si="11"/>
        <v>8</v>
      </c>
      <c r="D139" s="28">
        <f t="shared" si="14"/>
        <v>78114</v>
      </c>
      <c r="E139">
        <v>160</v>
      </c>
      <c r="F139" s="28">
        <f t="shared" si="15"/>
        <v>78214</v>
      </c>
      <c r="G139">
        <f t="shared" si="12"/>
        <v>75</v>
      </c>
    </row>
    <row r="140" spans="1:7">
      <c r="A140">
        <f t="shared" si="13"/>
        <v>101114</v>
      </c>
      <c r="B140" t="str">
        <f>VLOOKUP(A140,D_马仔表!$A$2:$B$20,2,FALSE)</f>
        <v>陈浩南</v>
      </c>
      <c r="C140">
        <f t="shared" si="11"/>
        <v>9</v>
      </c>
      <c r="D140" s="28">
        <f t="shared" si="14"/>
        <v>78114</v>
      </c>
      <c r="E140">
        <v>200</v>
      </c>
      <c r="F140" s="28">
        <f t="shared" si="15"/>
        <v>78214</v>
      </c>
      <c r="G140">
        <f t="shared" si="12"/>
        <v>80</v>
      </c>
    </row>
    <row r="141" spans="1:7">
      <c r="A141">
        <f t="shared" si="13"/>
        <v>101114</v>
      </c>
      <c r="B141" t="str">
        <f>VLOOKUP(A141,D_马仔表!$A$2:$B$20,2,FALSE)</f>
        <v>陈浩南</v>
      </c>
      <c r="C141">
        <f t="shared" ref="C141:C191" si="16">C131</f>
        <v>10</v>
      </c>
      <c r="D141" s="28">
        <f t="shared" si="14"/>
        <v>78114</v>
      </c>
      <c r="E141">
        <v>250</v>
      </c>
      <c r="F141" s="28">
        <f t="shared" si="15"/>
        <v>78214</v>
      </c>
      <c r="G141">
        <f t="shared" ref="G141:G191" si="17">G131</f>
        <v>80</v>
      </c>
    </row>
    <row r="142" spans="1:7">
      <c r="A142">
        <f t="shared" si="13"/>
        <v>101115</v>
      </c>
      <c r="B142" t="str">
        <f>VLOOKUP(A142,D_马仔表!$A$2:$B$20,2,FALSE)</f>
        <v>山鸡</v>
      </c>
      <c r="C142">
        <f t="shared" si="16"/>
        <v>1</v>
      </c>
      <c r="D142" s="28">
        <f t="shared" si="14"/>
        <v>78115</v>
      </c>
      <c r="E142">
        <v>10</v>
      </c>
      <c r="F142" s="28">
        <f t="shared" si="15"/>
        <v>78215</v>
      </c>
      <c r="G142">
        <f t="shared" si="17"/>
        <v>30</v>
      </c>
    </row>
    <row r="143" spans="1:7">
      <c r="A143">
        <f t="shared" si="13"/>
        <v>101115</v>
      </c>
      <c r="B143" t="str">
        <f>VLOOKUP(A143,D_马仔表!$A$2:$B$20,2,FALSE)</f>
        <v>山鸡</v>
      </c>
      <c r="C143">
        <f t="shared" si="16"/>
        <v>2</v>
      </c>
      <c r="D143" s="28">
        <f t="shared" si="14"/>
        <v>78115</v>
      </c>
      <c r="E143">
        <v>20</v>
      </c>
      <c r="F143" s="28">
        <f t="shared" si="15"/>
        <v>78215</v>
      </c>
      <c r="G143">
        <f t="shared" si="17"/>
        <v>40</v>
      </c>
    </row>
    <row r="144" spans="1:7">
      <c r="A144">
        <f t="shared" si="13"/>
        <v>101115</v>
      </c>
      <c r="B144" t="str">
        <f>VLOOKUP(A144,D_马仔表!$A$2:$B$20,2,FALSE)</f>
        <v>山鸡</v>
      </c>
      <c r="C144">
        <f t="shared" si="16"/>
        <v>3</v>
      </c>
      <c r="D144" s="28">
        <f t="shared" si="14"/>
        <v>78115</v>
      </c>
      <c r="E144">
        <v>30</v>
      </c>
      <c r="F144" s="28">
        <f t="shared" si="15"/>
        <v>78215</v>
      </c>
      <c r="G144">
        <f t="shared" si="17"/>
        <v>50</v>
      </c>
    </row>
    <row r="145" spans="1:7">
      <c r="A145">
        <f t="shared" si="13"/>
        <v>101115</v>
      </c>
      <c r="B145" t="str">
        <f>VLOOKUP(A145,D_马仔表!$A$2:$B$20,2,FALSE)</f>
        <v>山鸡</v>
      </c>
      <c r="C145">
        <f t="shared" si="16"/>
        <v>4</v>
      </c>
      <c r="D145" s="28">
        <f t="shared" si="14"/>
        <v>78115</v>
      </c>
      <c r="E145">
        <v>40</v>
      </c>
      <c r="F145" s="28">
        <f t="shared" si="15"/>
        <v>78215</v>
      </c>
      <c r="G145">
        <f t="shared" si="17"/>
        <v>55</v>
      </c>
    </row>
    <row r="146" spans="1:7">
      <c r="A146">
        <f t="shared" si="13"/>
        <v>101115</v>
      </c>
      <c r="B146" t="str">
        <f>VLOOKUP(A146,D_马仔表!$A$2:$B$20,2,FALSE)</f>
        <v>山鸡</v>
      </c>
      <c r="C146">
        <f t="shared" si="16"/>
        <v>5</v>
      </c>
      <c r="D146" s="28">
        <f t="shared" si="14"/>
        <v>78115</v>
      </c>
      <c r="E146">
        <v>60</v>
      </c>
      <c r="F146" s="28">
        <f t="shared" si="15"/>
        <v>78215</v>
      </c>
      <c r="G146">
        <f t="shared" si="17"/>
        <v>60</v>
      </c>
    </row>
    <row r="147" spans="1:7">
      <c r="A147">
        <f t="shared" ref="A147:A191" si="18">A137+1</f>
        <v>101115</v>
      </c>
      <c r="B147" t="str">
        <f>VLOOKUP(A147,D_马仔表!$A$2:$B$20,2,FALSE)</f>
        <v>山鸡</v>
      </c>
      <c r="C147">
        <f t="shared" si="16"/>
        <v>6</v>
      </c>
      <c r="D147" s="28">
        <f t="shared" si="14"/>
        <v>78115</v>
      </c>
      <c r="E147">
        <v>90</v>
      </c>
      <c r="F147" s="28">
        <f t="shared" si="15"/>
        <v>78215</v>
      </c>
      <c r="G147">
        <f t="shared" si="17"/>
        <v>65</v>
      </c>
    </row>
    <row r="148" spans="1:7">
      <c r="A148">
        <f t="shared" si="18"/>
        <v>101115</v>
      </c>
      <c r="B148" t="str">
        <f>VLOOKUP(A148,D_马仔表!$A$2:$B$20,2,FALSE)</f>
        <v>山鸡</v>
      </c>
      <c r="C148">
        <f t="shared" si="16"/>
        <v>7</v>
      </c>
      <c r="D148" s="28">
        <f t="shared" si="14"/>
        <v>78115</v>
      </c>
      <c r="E148">
        <v>120</v>
      </c>
      <c r="F148" s="28">
        <f t="shared" si="15"/>
        <v>78215</v>
      </c>
      <c r="G148">
        <f t="shared" si="17"/>
        <v>70</v>
      </c>
    </row>
    <row r="149" spans="1:7">
      <c r="A149">
        <f t="shared" si="18"/>
        <v>101115</v>
      </c>
      <c r="B149" t="str">
        <f>VLOOKUP(A149,D_马仔表!$A$2:$B$20,2,FALSE)</f>
        <v>山鸡</v>
      </c>
      <c r="C149">
        <f t="shared" si="16"/>
        <v>8</v>
      </c>
      <c r="D149" s="28">
        <f t="shared" si="14"/>
        <v>78115</v>
      </c>
      <c r="E149">
        <v>160</v>
      </c>
      <c r="F149" s="28">
        <f t="shared" si="15"/>
        <v>78215</v>
      </c>
      <c r="G149">
        <f t="shared" si="17"/>
        <v>75</v>
      </c>
    </row>
    <row r="150" spans="1:7">
      <c r="A150">
        <f t="shared" si="18"/>
        <v>101115</v>
      </c>
      <c r="B150" t="str">
        <f>VLOOKUP(A150,D_马仔表!$A$2:$B$20,2,FALSE)</f>
        <v>山鸡</v>
      </c>
      <c r="C150">
        <f t="shared" si="16"/>
        <v>9</v>
      </c>
      <c r="D150" s="28">
        <f t="shared" si="14"/>
        <v>78115</v>
      </c>
      <c r="E150">
        <v>200</v>
      </c>
      <c r="F150" s="28">
        <f t="shared" si="15"/>
        <v>78215</v>
      </c>
      <c r="G150">
        <f t="shared" si="17"/>
        <v>80</v>
      </c>
    </row>
    <row r="151" spans="1:7">
      <c r="A151">
        <f t="shared" si="18"/>
        <v>101115</v>
      </c>
      <c r="B151" t="str">
        <f>VLOOKUP(A151,D_马仔表!$A$2:$B$20,2,FALSE)</f>
        <v>山鸡</v>
      </c>
      <c r="C151">
        <f t="shared" si="16"/>
        <v>10</v>
      </c>
      <c r="D151" s="28">
        <f t="shared" si="14"/>
        <v>78115</v>
      </c>
      <c r="E151">
        <v>250</v>
      </c>
      <c r="F151" s="28">
        <f t="shared" si="15"/>
        <v>78215</v>
      </c>
      <c r="G151">
        <f t="shared" si="17"/>
        <v>80</v>
      </c>
    </row>
    <row r="152" spans="1:7">
      <c r="A152">
        <f t="shared" si="18"/>
        <v>101116</v>
      </c>
      <c r="B152" t="str">
        <f>VLOOKUP(A152,D_马仔表!$A$2:$B$20,2,FALSE)</f>
        <v>大天二</v>
      </c>
      <c r="C152">
        <f t="shared" si="16"/>
        <v>1</v>
      </c>
      <c r="D152" s="28">
        <f t="shared" si="14"/>
        <v>78116</v>
      </c>
      <c r="E152">
        <v>10</v>
      </c>
      <c r="F152" s="28">
        <f t="shared" si="15"/>
        <v>78216</v>
      </c>
      <c r="G152">
        <f t="shared" si="17"/>
        <v>30</v>
      </c>
    </row>
    <row r="153" spans="1:7">
      <c r="A153">
        <f t="shared" si="18"/>
        <v>101116</v>
      </c>
      <c r="B153" t="str">
        <f>VLOOKUP(A153,D_马仔表!$A$2:$B$20,2,FALSE)</f>
        <v>大天二</v>
      </c>
      <c r="C153">
        <f t="shared" si="16"/>
        <v>2</v>
      </c>
      <c r="D153" s="28">
        <f t="shared" si="14"/>
        <v>78116</v>
      </c>
      <c r="E153">
        <v>20</v>
      </c>
      <c r="F153" s="28">
        <f t="shared" si="15"/>
        <v>78216</v>
      </c>
      <c r="G153">
        <f t="shared" si="17"/>
        <v>40</v>
      </c>
    </row>
    <row r="154" spans="1:7">
      <c r="A154">
        <f t="shared" si="18"/>
        <v>101116</v>
      </c>
      <c r="B154" t="str">
        <f>VLOOKUP(A154,D_马仔表!$A$2:$B$20,2,FALSE)</f>
        <v>大天二</v>
      </c>
      <c r="C154">
        <f t="shared" si="16"/>
        <v>3</v>
      </c>
      <c r="D154" s="28">
        <f t="shared" si="14"/>
        <v>78116</v>
      </c>
      <c r="E154">
        <v>30</v>
      </c>
      <c r="F154" s="28">
        <f t="shared" si="15"/>
        <v>78216</v>
      </c>
      <c r="G154">
        <f t="shared" si="17"/>
        <v>50</v>
      </c>
    </row>
    <row r="155" spans="1:7">
      <c r="A155">
        <f t="shared" si="18"/>
        <v>101116</v>
      </c>
      <c r="B155" t="str">
        <f>VLOOKUP(A155,D_马仔表!$A$2:$B$20,2,FALSE)</f>
        <v>大天二</v>
      </c>
      <c r="C155">
        <f t="shared" si="16"/>
        <v>4</v>
      </c>
      <c r="D155" s="28">
        <f t="shared" si="14"/>
        <v>78116</v>
      </c>
      <c r="E155">
        <v>40</v>
      </c>
      <c r="F155" s="28">
        <f t="shared" si="15"/>
        <v>78216</v>
      </c>
      <c r="G155">
        <f t="shared" si="17"/>
        <v>55</v>
      </c>
    </row>
    <row r="156" spans="1:7">
      <c r="A156">
        <f t="shared" si="18"/>
        <v>101116</v>
      </c>
      <c r="B156" t="str">
        <f>VLOOKUP(A156,D_马仔表!$A$2:$B$20,2,FALSE)</f>
        <v>大天二</v>
      </c>
      <c r="C156">
        <f t="shared" si="16"/>
        <v>5</v>
      </c>
      <c r="D156" s="28">
        <f t="shared" si="14"/>
        <v>78116</v>
      </c>
      <c r="E156">
        <v>60</v>
      </c>
      <c r="F156" s="28">
        <f t="shared" si="15"/>
        <v>78216</v>
      </c>
      <c r="G156">
        <f t="shared" si="17"/>
        <v>60</v>
      </c>
    </row>
    <row r="157" spans="1:7">
      <c r="A157">
        <f t="shared" si="18"/>
        <v>101116</v>
      </c>
      <c r="B157" t="str">
        <f>VLOOKUP(A157,D_马仔表!$A$2:$B$20,2,FALSE)</f>
        <v>大天二</v>
      </c>
      <c r="C157">
        <f t="shared" si="16"/>
        <v>6</v>
      </c>
      <c r="D157" s="28">
        <f t="shared" si="14"/>
        <v>78116</v>
      </c>
      <c r="E157">
        <v>90</v>
      </c>
      <c r="F157" s="28">
        <f t="shared" si="15"/>
        <v>78216</v>
      </c>
      <c r="G157">
        <f t="shared" si="17"/>
        <v>65</v>
      </c>
    </row>
    <row r="158" spans="1:7">
      <c r="A158">
        <f t="shared" si="18"/>
        <v>101116</v>
      </c>
      <c r="B158" t="str">
        <f>VLOOKUP(A158,D_马仔表!$A$2:$B$20,2,FALSE)</f>
        <v>大天二</v>
      </c>
      <c r="C158">
        <f t="shared" si="16"/>
        <v>7</v>
      </c>
      <c r="D158" s="28">
        <f t="shared" si="14"/>
        <v>78116</v>
      </c>
      <c r="E158">
        <v>120</v>
      </c>
      <c r="F158" s="28">
        <f t="shared" si="15"/>
        <v>78216</v>
      </c>
      <c r="G158">
        <f t="shared" si="17"/>
        <v>70</v>
      </c>
    </row>
    <row r="159" spans="1:7">
      <c r="A159">
        <f t="shared" si="18"/>
        <v>101116</v>
      </c>
      <c r="B159" t="str">
        <f>VLOOKUP(A159,D_马仔表!$A$2:$B$20,2,FALSE)</f>
        <v>大天二</v>
      </c>
      <c r="C159">
        <f t="shared" si="16"/>
        <v>8</v>
      </c>
      <c r="D159" s="28">
        <f t="shared" si="14"/>
        <v>78116</v>
      </c>
      <c r="E159">
        <v>160</v>
      </c>
      <c r="F159" s="28">
        <f t="shared" si="15"/>
        <v>78216</v>
      </c>
      <c r="G159">
        <f t="shared" si="17"/>
        <v>75</v>
      </c>
    </row>
    <row r="160" spans="1:7">
      <c r="A160">
        <f t="shared" si="18"/>
        <v>101116</v>
      </c>
      <c r="B160" t="str">
        <f>VLOOKUP(A160,D_马仔表!$A$2:$B$20,2,FALSE)</f>
        <v>大天二</v>
      </c>
      <c r="C160">
        <f t="shared" si="16"/>
        <v>9</v>
      </c>
      <c r="D160" s="28">
        <f t="shared" si="14"/>
        <v>78116</v>
      </c>
      <c r="E160">
        <v>200</v>
      </c>
      <c r="F160" s="28">
        <f t="shared" si="15"/>
        <v>78216</v>
      </c>
      <c r="G160">
        <f t="shared" si="17"/>
        <v>80</v>
      </c>
    </row>
    <row r="161" spans="1:7">
      <c r="A161">
        <f t="shared" si="18"/>
        <v>101116</v>
      </c>
      <c r="B161" t="str">
        <f>VLOOKUP(A161,D_马仔表!$A$2:$B$20,2,FALSE)</f>
        <v>大天二</v>
      </c>
      <c r="C161">
        <f t="shared" si="16"/>
        <v>10</v>
      </c>
      <c r="D161" s="28">
        <f t="shared" si="14"/>
        <v>78116</v>
      </c>
      <c r="E161">
        <v>250</v>
      </c>
      <c r="F161" s="28">
        <f t="shared" si="15"/>
        <v>78216</v>
      </c>
      <c r="G161">
        <f t="shared" si="17"/>
        <v>80</v>
      </c>
    </row>
    <row r="162" spans="1:7">
      <c r="A162">
        <f t="shared" si="18"/>
        <v>101117</v>
      </c>
      <c r="B162" t="str">
        <f>VLOOKUP(A162,D_马仔表!$A$2:$B$20,2,FALSE)</f>
        <v>巴闭</v>
      </c>
      <c r="C162">
        <f t="shared" si="16"/>
        <v>1</v>
      </c>
      <c r="D162" s="28">
        <f t="shared" si="14"/>
        <v>78117</v>
      </c>
      <c r="E162">
        <v>10</v>
      </c>
      <c r="F162" s="28">
        <f t="shared" si="15"/>
        <v>0</v>
      </c>
      <c r="G162">
        <f t="shared" si="17"/>
        <v>30</v>
      </c>
    </row>
    <row r="163" spans="1:7">
      <c r="A163">
        <f t="shared" si="18"/>
        <v>101117</v>
      </c>
      <c r="B163" t="str">
        <f>VLOOKUP(A163,D_马仔表!$A$2:$B$20,2,FALSE)</f>
        <v>巴闭</v>
      </c>
      <c r="C163">
        <f t="shared" si="16"/>
        <v>2</v>
      </c>
      <c r="D163" s="28">
        <f t="shared" si="14"/>
        <v>78117</v>
      </c>
      <c r="E163">
        <v>20</v>
      </c>
      <c r="F163" s="28">
        <f t="shared" si="15"/>
        <v>0</v>
      </c>
      <c r="G163">
        <f t="shared" si="17"/>
        <v>40</v>
      </c>
    </row>
    <row r="164" spans="1:7">
      <c r="A164">
        <f t="shared" si="18"/>
        <v>101117</v>
      </c>
      <c r="B164" t="str">
        <f>VLOOKUP(A164,D_马仔表!$A$2:$B$20,2,FALSE)</f>
        <v>巴闭</v>
      </c>
      <c r="C164">
        <f t="shared" si="16"/>
        <v>3</v>
      </c>
      <c r="D164" s="28">
        <f t="shared" si="14"/>
        <v>78117</v>
      </c>
      <c r="E164">
        <v>30</v>
      </c>
      <c r="F164" s="28">
        <f t="shared" si="15"/>
        <v>0</v>
      </c>
      <c r="G164">
        <f t="shared" si="17"/>
        <v>50</v>
      </c>
    </row>
    <row r="165" spans="1:7">
      <c r="A165">
        <f t="shared" si="18"/>
        <v>101117</v>
      </c>
      <c r="B165" t="str">
        <f>VLOOKUP(A165,D_马仔表!$A$2:$B$20,2,FALSE)</f>
        <v>巴闭</v>
      </c>
      <c r="C165">
        <f t="shared" si="16"/>
        <v>4</v>
      </c>
      <c r="D165" s="28">
        <f t="shared" si="14"/>
        <v>78117</v>
      </c>
      <c r="E165">
        <v>40</v>
      </c>
      <c r="F165" s="28">
        <f t="shared" si="15"/>
        <v>0</v>
      </c>
      <c r="G165">
        <f t="shared" si="17"/>
        <v>55</v>
      </c>
    </row>
    <row r="166" spans="1:7">
      <c r="A166">
        <f t="shared" si="18"/>
        <v>101117</v>
      </c>
      <c r="B166" t="str">
        <f>VLOOKUP(A166,D_马仔表!$A$2:$B$20,2,FALSE)</f>
        <v>巴闭</v>
      </c>
      <c r="C166">
        <f t="shared" si="16"/>
        <v>5</v>
      </c>
      <c r="D166" s="28">
        <f t="shared" si="14"/>
        <v>78117</v>
      </c>
      <c r="E166">
        <v>60</v>
      </c>
      <c r="F166" s="28">
        <f t="shared" si="15"/>
        <v>0</v>
      </c>
      <c r="G166">
        <f t="shared" si="17"/>
        <v>60</v>
      </c>
    </row>
    <row r="167" spans="1:7">
      <c r="A167">
        <f t="shared" si="18"/>
        <v>101117</v>
      </c>
      <c r="B167" t="str">
        <f>VLOOKUP(A167,D_马仔表!$A$2:$B$20,2,FALSE)</f>
        <v>巴闭</v>
      </c>
      <c r="C167">
        <f t="shared" si="16"/>
        <v>6</v>
      </c>
      <c r="D167" s="28">
        <f t="shared" si="14"/>
        <v>78117</v>
      </c>
      <c r="E167">
        <v>90</v>
      </c>
      <c r="F167" s="28">
        <f t="shared" si="15"/>
        <v>0</v>
      </c>
      <c r="G167">
        <f t="shared" si="17"/>
        <v>65</v>
      </c>
    </row>
    <row r="168" spans="1:7">
      <c r="A168">
        <f t="shared" si="18"/>
        <v>101117</v>
      </c>
      <c r="B168" t="str">
        <f>VLOOKUP(A168,D_马仔表!$A$2:$B$20,2,FALSE)</f>
        <v>巴闭</v>
      </c>
      <c r="C168">
        <f t="shared" si="16"/>
        <v>7</v>
      </c>
      <c r="D168" s="28">
        <f t="shared" si="14"/>
        <v>78117</v>
      </c>
      <c r="E168">
        <v>120</v>
      </c>
      <c r="F168" s="28">
        <f t="shared" si="15"/>
        <v>0</v>
      </c>
      <c r="G168">
        <f t="shared" si="17"/>
        <v>70</v>
      </c>
    </row>
    <row r="169" spans="1:7">
      <c r="A169">
        <f t="shared" si="18"/>
        <v>101117</v>
      </c>
      <c r="B169" t="str">
        <f>VLOOKUP(A169,D_马仔表!$A$2:$B$20,2,FALSE)</f>
        <v>巴闭</v>
      </c>
      <c r="C169">
        <f t="shared" si="16"/>
        <v>8</v>
      </c>
      <c r="D169" s="28">
        <f t="shared" si="14"/>
        <v>78117</v>
      </c>
      <c r="E169">
        <v>160</v>
      </c>
      <c r="F169" s="28">
        <f t="shared" si="15"/>
        <v>0</v>
      </c>
      <c r="G169">
        <f t="shared" si="17"/>
        <v>75</v>
      </c>
    </row>
    <row r="170" spans="1:7">
      <c r="A170">
        <f t="shared" si="18"/>
        <v>101117</v>
      </c>
      <c r="B170" t="str">
        <f>VLOOKUP(A170,D_马仔表!$A$2:$B$20,2,FALSE)</f>
        <v>巴闭</v>
      </c>
      <c r="C170">
        <f t="shared" si="16"/>
        <v>9</v>
      </c>
      <c r="D170" s="28">
        <f t="shared" si="14"/>
        <v>78117</v>
      </c>
      <c r="E170">
        <v>200</v>
      </c>
      <c r="F170" s="28">
        <f t="shared" si="15"/>
        <v>0</v>
      </c>
      <c r="G170">
        <f t="shared" si="17"/>
        <v>80</v>
      </c>
    </row>
    <row r="171" spans="1:7">
      <c r="A171">
        <f t="shared" si="18"/>
        <v>101117</v>
      </c>
      <c r="B171" t="str">
        <f>VLOOKUP(A171,D_马仔表!$A$2:$B$20,2,FALSE)</f>
        <v>巴闭</v>
      </c>
      <c r="C171">
        <f t="shared" si="16"/>
        <v>10</v>
      </c>
      <c r="D171" s="28">
        <f t="shared" si="14"/>
        <v>78117</v>
      </c>
      <c r="E171">
        <v>250</v>
      </c>
      <c r="F171" s="28">
        <f t="shared" si="15"/>
        <v>0</v>
      </c>
      <c r="G171">
        <f t="shared" si="17"/>
        <v>80</v>
      </c>
    </row>
    <row r="172" spans="1:7">
      <c r="A172">
        <f t="shared" si="18"/>
        <v>101118</v>
      </c>
      <c r="B172" t="str">
        <f>VLOOKUP(A172,D_马仔表!$A$2:$B$20,2,FALSE)</f>
        <v>耀阳</v>
      </c>
      <c r="C172">
        <f t="shared" si="16"/>
        <v>1</v>
      </c>
      <c r="D172" s="28">
        <f t="shared" si="14"/>
        <v>78118</v>
      </c>
      <c r="E172">
        <v>10</v>
      </c>
      <c r="F172" s="28">
        <f t="shared" si="15"/>
        <v>0</v>
      </c>
      <c r="G172">
        <f t="shared" si="17"/>
        <v>30</v>
      </c>
    </row>
    <row r="173" spans="1:7">
      <c r="A173">
        <f t="shared" si="18"/>
        <v>101118</v>
      </c>
      <c r="B173" t="str">
        <f>VLOOKUP(A173,D_马仔表!$A$2:$B$20,2,FALSE)</f>
        <v>耀阳</v>
      </c>
      <c r="C173">
        <f t="shared" si="16"/>
        <v>2</v>
      </c>
      <c r="D173" s="28">
        <f t="shared" si="14"/>
        <v>78118</v>
      </c>
      <c r="E173">
        <v>20</v>
      </c>
      <c r="F173" s="28">
        <f t="shared" si="15"/>
        <v>0</v>
      </c>
      <c r="G173">
        <f t="shared" si="17"/>
        <v>40</v>
      </c>
    </row>
    <row r="174" spans="1:7">
      <c r="A174">
        <f t="shared" si="18"/>
        <v>101118</v>
      </c>
      <c r="B174" t="str">
        <f>VLOOKUP(A174,D_马仔表!$A$2:$B$20,2,FALSE)</f>
        <v>耀阳</v>
      </c>
      <c r="C174">
        <f t="shared" si="16"/>
        <v>3</v>
      </c>
      <c r="D174" s="28">
        <f t="shared" si="14"/>
        <v>78118</v>
      </c>
      <c r="E174">
        <v>30</v>
      </c>
      <c r="F174" s="28">
        <f t="shared" si="15"/>
        <v>0</v>
      </c>
      <c r="G174">
        <f t="shared" si="17"/>
        <v>50</v>
      </c>
    </row>
    <row r="175" spans="1:7">
      <c r="A175">
        <f t="shared" si="18"/>
        <v>101118</v>
      </c>
      <c r="B175" t="str">
        <f>VLOOKUP(A175,D_马仔表!$A$2:$B$20,2,FALSE)</f>
        <v>耀阳</v>
      </c>
      <c r="C175">
        <f t="shared" si="16"/>
        <v>4</v>
      </c>
      <c r="D175" s="28">
        <f t="shared" si="14"/>
        <v>78118</v>
      </c>
      <c r="E175">
        <v>40</v>
      </c>
      <c r="F175" s="28">
        <f t="shared" si="15"/>
        <v>0</v>
      </c>
      <c r="G175">
        <f t="shared" si="17"/>
        <v>55</v>
      </c>
    </row>
    <row r="176" spans="1:7">
      <c r="A176">
        <f t="shared" si="18"/>
        <v>101118</v>
      </c>
      <c r="B176" t="str">
        <f>VLOOKUP(A176,D_马仔表!$A$2:$B$20,2,FALSE)</f>
        <v>耀阳</v>
      </c>
      <c r="C176">
        <f t="shared" si="16"/>
        <v>5</v>
      </c>
      <c r="D176" s="28">
        <f t="shared" si="14"/>
        <v>78118</v>
      </c>
      <c r="E176">
        <v>60</v>
      </c>
      <c r="F176" s="28">
        <f t="shared" si="15"/>
        <v>0</v>
      </c>
      <c r="G176">
        <f t="shared" si="17"/>
        <v>60</v>
      </c>
    </row>
    <row r="177" spans="1:7">
      <c r="A177">
        <f t="shared" si="18"/>
        <v>101118</v>
      </c>
      <c r="B177" t="str">
        <f>VLOOKUP(A177,D_马仔表!$A$2:$B$20,2,FALSE)</f>
        <v>耀阳</v>
      </c>
      <c r="C177">
        <f t="shared" si="16"/>
        <v>6</v>
      </c>
      <c r="D177" s="28">
        <f t="shared" si="14"/>
        <v>78118</v>
      </c>
      <c r="E177">
        <v>90</v>
      </c>
      <c r="F177" s="28">
        <f t="shared" si="15"/>
        <v>0</v>
      </c>
      <c r="G177">
        <f t="shared" si="17"/>
        <v>65</v>
      </c>
    </row>
    <row r="178" spans="1:7">
      <c r="A178">
        <f t="shared" si="18"/>
        <v>101118</v>
      </c>
      <c r="B178" t="str">
        <f>VLOOKUP(A178,D_马仔表!$A$2:$B$20,2,FALSE)</f>
        <v>耀阳</v>
      </c>
      <c r="C178">
        <f t="shared" si="16"/>
        <v>7</v>
      </c>
      <c r="D178" s="28">
        <f t="shared" si="14"/>
        <v>78118</v>
      </c>
      <c r="E178">
        <v>120</v>
      </c>
      <c r="F178" s="28">
        <f t="shared" si="15"/>
        <v>0</v>
      </c>
      <c r="G178">
        <f t="shared" si="17"/>
        <v>70</v>
      </c>
    </row>
    <row r="179" spans="1:7">
      <c r="A179">
        <f t="shared" si="18"/>
        <v>101118</v>
      </c>
      <c r="B179" t="str">
        <f>VLOOKUP(A179,D_马仔表!$A$2:$B$20,2,FALSE)</f>
        <v>耀阳</v>
      </c>
      <c r="C179">
        <f t="shared" si="16"/>
        <v>8</v>
      </c>
      <c r="D179" s="28">
        <f t="shared" si="14"/>
        <v>78118</v>
      </c>
      <c r="E179">
        <v>160</v>
      </c>
      <c r="F179" s="28">
        <f t="shared" si="15"/>
        <v>0</v>
      </c>
      <c r="G179">
        <f t="shared" si="17"/>
        <v>75</v>
      </c>
    </row>
    <row r="180" spans="1:7">
      <c r="A180">
        <f t="shared" si="18"/>
        <v>101118</v>
      </c>
      <c r="B180" t="str">
        <f>VLOOKUP(A180,D_马仔表!$A$2:$B$20,2,FALSE)</f>
        <v>耀阳</v>
      </c>
      <c r="C180">
        <f t="shared" si="16"/>
        <v>9</v>
      </c>
      <c r="D180" s="28">
        <f t="shared" si="14"/>
        <v>78118</v>
      </c>
      <c r="E180">
        <v>200</v>
      </c>
      <c r="F180" s="28">
        <f t="shared" si="15"/>
        <v>0</v>
      </c>
      <c r="G180">
        <f t="shared" si="17"/>
        <v>80</v>
      </c>
    </row>
    <row r="181" spans="1:7">
      <c r="A181">
        <f t="shared" si="18"/>
        <v>101118</v>
      </c>
      <c r="B181" t="str">
        <f>VLOOKUP(A181,D_马仔表!$A$2:$B$20,2,FALSE)</f>
        <v>耀阳</v>
      </c>
      <c r="C181">
        <f t="shared" si="16"/>
        <v>10</v>
      </c>
      <c r="D181" s="28">
        <f t="shared" si="14"/>
        <v>78118</v>
      </c>
      <c r="E181">
        <v>250</v>
      </c>
      <c r="F181" s="28">
        <f t="shared" si="15"/>
        <v>0</v>
      </c>
      <c r="G181">
        <f t="shared" si="17"/>
        <v>80</v>
      </c>
    </row>
    <row r="182" spans="1:7">
      <c r="A182">
        <f t="shared" si="18"/>
        <v>101119</v>
      </c>
      <c r="B182" t="str">
        <f>VLOOKUP(A182,D_马仔表!$A$2:$B$20,2,FALSE)</f>
        <v>笑面虎</v>
      </c>
      <c r="C182">
        <f t="shared" si="16"/>
        <v>1</v>
      </c>
      <c r="D182" s="28">
        <f t="shared" si="14"/>
        <v>78119</v>
      </c>
      <c r="E182">
        <v>10</v>
      </c>
      <c r="F182" s="28">
        <f t="shared" si="15"/>
        <v>0</v>
      </c>
      <c r="G182">
        <f t="shared" si="17"/>
        <v>30</v>
      </c>
    </row>
    <row r="183" spans="1:7">
      <c r="A183">
        <f t="shared" si="18"/>
        <v>101119</v>
      </c>
      <c r="B183" t="str">
        <f>VLOOKUP(A183,D_马仔表!$A$2:$B$20,2,FALSE)</f>
        <v>笑面虎</v>
      </c>
      <c r="C183">
        <f t="shared" si="16"/>
        <v>2</v>
      </c>
      <c r="D183" s="28">
        <f t="shared" si="14"/>
        <v>78119</v>
      </c>
      <c r="E183">
        <v>20</v>
      </c>
      <c r="F183" s="28">
        <f t="shared" si="15"/>
        <v>0</v>
      </c>
      <c r="G183">
        <f t="shared" si="17"/>
        <v>40</v>
      </c>
    </row>
    <row r="184" spans="1:7">
      <c r="A184">
        <f t="shared" si="18"/>
        <v>101119</v>
      </c>
      <c r="B184" t="str">
        <f>VLOOKUP(A184,D_马仔表!$A$2:$B$20,2,FALSE)</f>
        <v>笑面虎</v>
      </c>
      <c r="C184">
        <f t="shared" si="16"/>
        <v>3</v>
      </c>
      <c r="D184" s="28">
        <f t="shared" si="14"/>
        <v>78119</v>
      </c>
      <c r="E184">
        <v>30</v>
      </c>
      <c r="F184" s="28">
        <f t="shared" si="15"/>
        <v>0</v>
      </c>
      <c r="G184">
        <f t="shared" si="17"/>
        <v>50</v>
      </c>
    </row>
    <row r="185" spans="1:7">
      <c r="A185">
        <f t="shared" si="18"/>
        <v>101119</v>
      </c>
      <c r="B185" t="str">
        <f>VLOOKUP(A185,D_马仔表!$A$2:$B$20,2,FALSE)</f>
        <v>笑面虎</v>
      </c>
      <c r="C185">
        <f t="shared" si="16"/>
        <v>4</v>
      </c>
      <c r="D185" s="28">
        <f t="shared" si="14"/>
        <v>78119</v>
      </c>
      <c r="E185">
        <v>40</v>
      </c>
      <c r="F185" s="28">
        <f t="shared" si="15"/>
        <v>0</v>
      </c>
      <c r="G185">
        <f t="shared" si="17"/>
        <v>55</v>
      </c>
    </row>
    <row r="186" spans="1:7">
      <c r="A186">
        <f t="shared" si="18"/>
        <v>101119</v>
      </c>
      <c r="B186" t="str">
        <f>VLOOKUP(A186,D_马仔表!$A$2:$B$20,2,FALSE)</f>
        <v>笑面虎</v>
      </c>
      <c r="C186">
        <f t="shared" si="16"/>
        <v>5</v>
      </c>
      <c r="D186" s="28">
        <f t="shared" si="14"/>
        <v>78119</v>
      </c>
      <c r="E186">
        <v>60</v>
      </c>
      <c r="F186" s="28">
        <f t="shared" si="15"/>
        <v>0</v>
      </c>
      <c r="G186">
        <f t="shared" si="17"/>
        <v>60</v>
      </c>
    </row>
    <row r="187" spans="1:7">
      <c r="A187">
        <f t="shared" si="18"/>
        <v>101119</v>
      </c>
      <c r="B187" t="str">
        <f>VLOOKUP(A187,D_马仔表!$A$2:$B$20,2,FALSE)</f>
        <v>笑面虎</v>
      </c>
      <c r="C187">
        <f t="shared" si="16"/>
        <v>6</v>
      </c>
      <c r="D187" s="28">
        <f t="shared" si="14"/>
        <v>78119</v>
      </c>
      <c r="E187">
        <v>90</v>
      </c>
      <c r="F187" s="28">
        <f t="shared" si="15"/>
        <v>0</v>
      </c>
      <c r="G187">
        <f t="shared" si="17"/>
        <v>65</v>
      </c>
    </row>
    <row r="188" spans="1:7">
      <c r="A188">
        <f t="shared" si="18"/>
        <v>101119</v>
      </c>
      <c r="B188" t="str">
        <f>VLOOKUP(A188,D_马仔表!$A$2:$B$20,2,FALSE)</f>
        <v>笑面虎</v>
      </c>
      <c r="C188">
        <f t="shared" si="16"/>
        <v>7</v>
      </c>
      <c r="D188" s="28">
        <f t="shared" si="14"/>
        <v>78119</v>
      </c>
      <c r="E188">
        <v>120</v>
      </c>
      <c r="F188" s="28">
        <f t="shared" si="15"/>
        <v>0</v>
      </c>
      <c r="G188">
        <f t="shared" si="17"/>
        <v>70</v>
      </c>
    </row>
    <row r="189" spans="1:7">
      <c r="A189">
        <f t="shared" si="18"/>
        <v>101119</v>
      </c>
      <c r="B189" t="str">
        <f>VLOOKUP(A189,D_马仔表!$A$2:$B$20,2,FALSE)</f>
        <v>笑面虎</v>
      </c>
      <c r="C189">
        <f t="shared" si="16"/>
        <v>8</v>
      </c>
      <c r="D189" s="28">
        <f t="shared" si="14"/>
        <v>78119</v>
      </c>
      <c r="E189">
        <v>160</v>
      </c>
      <c r="F189" s="28">
        <f t="shared" si="15"/>
        <v>0</v>
      </c>
      <c r="G189">
        <f t="shared" si="17"/>
        <v>75</v>
      </c>
    </row>
    <row r="190" spans="1:7">
      <c r="A190">
        <f t="shared" si="18"/>
        <v>101119</v>
      </c>
      <c r="B190" t="str">
        <f>VLOOKUP(A190,D_马仔表!$A$2:$B$20,2,FALSE)</f>
        <v>笑面虎</v>
      </c>
      <c r="C190">
        <f t="shared" si="16"/>
        <v>9</v>
      </c>
      <c r="D190" s="28">
        <f t="shared" si="14"/>
        <v>78119</v>
      </c>
      <c r="E190">
        <v>200</v>
      </c>
      <c r="F190" s="28">
        <f t="shared" si="15"/>
        <v>0</v>
      </c>
      <c r="G190">
        <f t="shared" si="17"/>
        <v>80</v>
      </c>
    </row>
    <row r="191" spans="1:7">
      <c r="A191">
        <f t="shared" si="18"/>
        <v>101119</v>
      </c>
      <c r="B191" t="str">
        <f>VLOOKUP(A191,D_马仔表!$A$2:$B$20,2,FALSE)</f>
        <v>笑面虎</v>
      </c>
      <c r="C191">
        <f t="shared" si="16"/>
        <v>10</v>
      </c>
      <c r="D191" s="28">
        <f t="shared" si="14"/>
        <v>78119</v>
      </c>
      <c r="E191">
        <v>250</v>
      </c>
      <c r="F191" s="28">
        <f t="shared" si="15"/>
        <v>0</v>
      </c>
      <c r="G191">
        <f t="shared" si="17"/>
        <v>80</v>
      </c>
    </row>
  </sheetData>
  <phoneticPr fontId="1" type="noConversion"/>
  <conditionalFormatting sqref="L7:M25">
    <cfRule type="duplicateValues" dxfId="1231" priority="2" stopIfTrue="1"/>
  </conditionalFormatting>
  <conditionalFormatting sqref="L7:M25">
    <cfRule type="duplicateValues" dxfId="1230" priority="1" stopIfTrue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20"/>
  <sheetViews>
    <sheetView workbookViewId="0">
      <selection activeCell="G34" sqref="G34"/>
    </sheetView>
  </sheetViews>
  <sheetFormatPr defaultRowHeight="13.5"/>
  <cols>
    <col min="3" max="3" width="11.625" bestFit="1" customWidth="1"/>
  </cols>
  <sheetData>
    <row r="1" spans="1:14">
      <c r="A1" s="1" t="str">
        <f>D_马仔表!A1</f>
        <v>马仔ID</v>
      </c>
      <c r="B1" s="1" t="str">
        <f>D_马仔表!B1</f>
        <v>马仔名称</v>
      </c>
      <c r="C1" s="1" t="s">
        <v>158</v>
      </c>
      <c r="D1" s="1" t="s">
        <v>159</v>
      </c>
      <c r="E1" s="2" t="s">
        <v>160</v>
      </c>
      <c r="F1" s="1" t="s">
        <v>683</v>
      </c>
      <c r="G1" s="1" t="s">
        <v>684</v>
      </c>
      <c r="H1" s="1" t="s">
        <v>685</v>
      </c>
    </row>
    <row r="2" spans="1:14">
      <c r="A2" s="5">
        <f>D_马仔表!A2</f>
        <v>101101</v>
      </c>
      <c r="B2" s="1" t="s">
        <v>408</v>
      </c>
      <c r="C2" s="31">
        <f>马仔辅助表!V35</f>
        <v>0.14517836970311321</v>
      </c>
      <c r="D2" s="31">
        <f>马仔辅助表!W35</f>
        <v>0.22122096256684501</v>
      </c>
      <c r="E2" s="31">
        <f>马仔辅助表!X35</f>
        <v>0.1911880762564992</v>
      </c>
      <c r="F2" s="6">
        <f>马仔辅助表!Z35</f>
        <v>435.5351091093396</v>
      </c>
      <c r="G2" s="6">
        <f>马仔辅助表!AA35</f>
        <v>22.1220962566845</v>
      </c>
      <c r="H2" s="6">
        <f>马仔辅助表!AB35</f>
        <v>9.559403812824959</v>
      </c>
    </row>
    <row r="3" spans="1:14">
      <c r="A3" s="5">
        <f>D_马仔表!A3</f>
        <v>101102</v>
      </c>
      <c r="B3" s="1" t="str">
        <f>D_马仔表!B3</f>
        <v>蟹仔</v>
      </c>
      <c r="C3" s="31">
        <f>马仔辅助表!V36</f>
        <v>0.14517836970311321</v>
      </c>
      <c r="D3" s="31">
        <f>马仔辅助表!W36</f>
        <v>0.22122096256684501</v>
      </c>
      <c r="E3" s="31">
        <f>马仔辅助表!X36</f>
        <v>0.1911880762564992</v>
      </c>
      <c r="F3" s="6">
        <f>马仔辅助表!Z36</f>
        <v>435.5351091093396</v>
      </c>
      <c r="G3" s="6">
        <f>马仔辅助表!AA36</f>
        <v>22.1220962566845</v>
      </c>
      <c r="H3" s="6">
        <f>马仔辅助表!AB36</f>
        <v>9.559403812824959</v>
      </c>
    </row>
    <row r="4" spans="1:14">
      <c r="A4" s="5">
        <f>D_马仔表!A4</f>
        <v>101103</v>
      </c>
      <c r="B4" s="1" t="str">
        <f>D_马仔表!B4</f>
        <v>比利</v>
      </c>
      <c r="C4" s="31">
        <f>马仔辅助表!V37</f>
        <v>0.14517836970311321</v>
      </c>
      <c r="D4" s="31">
        <f>马仔辅助表!W37</f>
        <v>0.22122096256684501</v>
      </c>
      <c r="E4" s="31">
        <f>马仔辅助表!X37</f>
        <v>0.1911880762564992</v>
      </c>
      <c r="F4" s="6">
        <f>马仔辅助表!Z37</f>
        <v>435.5351091093396</v>
      </c>
      <c r="G4" s="6">
        <f>马仔辅助表!AA37</f>
        <v>22.1220962566845</v>
      </c>
      <c r="H4" s="6">
        <f>马仔辅助表!AB37</f>
        <v>9.559403812824959</v>
      </c>
      <c r="J4" s="6" t="s">
        <v>166</v>
      </c>
      <c r="K4" s="6" t="s">
        <v>164</v>
      </c>
      <c r="L4" s="6" t="s">
        <v>165</v>
      </c>
      <c r="N4" t="s">
        <v>233</v>
      </c>
    </row>
    <row r="5" spans="1:14">
      <c r="A5" s="5">
        <f>D_马仔表!A5</f>
        <v>101104</v>
      </c>
      <c r="B5" s="1" t="str">
        <f>D_马仔表!B5</f>
        <v>黎九</v>
      </c>
      <c r="C5" s="31">
        <f>马仔辅助表!V38</f>
        <v>0.14517836970311321</v>
      </c>
      <c r="D5" s="31">
        <f>马仔辅助表!W38</f>
        <v>0.22122096256684501</v>
      </c>
      <c r="E5" s="31">
        <f>马仔辅助表!X38</f>
        <v>0.1911880762564992</v>
      </c>
      <c r="F5" s="6">
        <f>马仔辅助表!Z38</f>
        <v>435.5351091093396</v>
      </c>
      <c r="G5" s="6">
        <f>马仔辅助表!AA38</f>
        <v>22.1220962566845</v>
      </c>
      <c r="H5" s="6">
        <f>马仔辅助表!AB38</f>
        <v>9.559403812824959</v>
      </c>
      <c r="J5" s="6">
        <f>马仔辅助表!V33</f>
        <v>150</v>
      </c>
      <c r="K5" s="6">
        <f>马仔辅助表!W33</f>
        <v>5</v>
      </c>
      <c r="L5" s="6">
        <f>马仔辅助表!X33</f>
        <v>2.5</v>
      </c>
    </row>
    <row r="6" spans="1:14">
      <c r="A6" s="5">
        <f>D_马仔表!A6</f>
        <v>101105</v>
      </c>
      <c r="B6" s="1" t="str">
        <f>D_马仔表!B6</f>
        <v>黑古</v>
      </c>
      <c r="C6" s="31">
        <f>马仔辅助表!V39</f>
        <v>0.14517836970311321</v>
      </c>
      <c r="D6" s="31">
        <f>马仔辅助表!W39</f>
        <v>0.22122096256684501</v>
      </c>
      <c r="E6" s="31">
        <f>马仔辅助表!X39</f>
        <v>0.1911880762564992</v>
      </c>
      <c r="F6" s="6">
        <f>马仔辅助表!Z39</f>
        <v>435.5351091093396</v>
      </c>
      <c r="G6" s="6">
        <f>马仔辅助表!AA39</f>
        <v>22.1220962566845</v>
      </c>
      <c r="H6" s="6">
        <f>马仔辅助表!AB39</f>
        <v>9.559403812824959</v>
      </c>
    </row>
    <row r="7" spans="1:14">
      <c r="A7" s="5">
        <f>D_马仔表!A7</f>
        <v>101106</v>
      </c>
      <c r="B7" s="1" t="s">
        <v>409</v>
      </c>
      <c r="C7" s="31">
        <f>马仔辅助表!V40</f>
        <v>0.29035673940622642</v>
      </c>
      <c r="D7" s="31">
        <f>马仔辅助表!W40</f>
        <v>0.44244192513369002</v>
      </c>
      <c r="E7" s="31">
        <f>马仔辅助表!X40</f>
        <v>0.38237615251299839</v>
      </c>
      <c r="F7" s="6">
        <f>马仔辅助表!Z40</f>
        <v>871.0702182186792</v>
      </c>
      <c r="G7" s="6">
        <f>马仔辅助表!AA40</f>
        <v>44.244192513369001</v>
      </c>
      <c r="H7" s="6">
        <f>马仔辅助表!AB40</f>
        <v>19.118807625649918</v>
      </c>
      <c r="J7" t="s">
        <v>262</v>
      </c>
    </row>
    <row r="8" spans="1:14">
      <c r="A8" s="5">
        <f>D_马仔表!A8</f>
        <v>101107</v>
      </c>
      <c r="B8" s="1" t="s">
        <v>410</v>
      </c>
      <c r="C8" s="31">
        <f>马仔辅助表!V41</f>
        <v>0.29035673940622642</v>
      </c>
      <c r="D8" s="31">
        <f>马仔辅助表!W41</f>
        <v>0.44244192513369002</v>
      </c>
      <c r="E8" s="31">
        <f>马仔辅助表!X41</f>
        <v>0.38237615251299839</v>
      </c>
      <c r="F8" s="6">
        <f>马仔辅助表!Z41</f>
        <v>871.0702182186792</v>
      </c>
      <c r="G8" s="6">
        <f>马仔辅助表!AA41</f>
        <v>44.244192513369001</v>
      </c>
      <c r="H8" s="6">
        <f>马仔辅助表!AB41</f>
        <v>19.118807625649918</v>
      </c>
      <c r="J8" t="s">
        <v>263</v>
      </c>
    </row>
    <row r="9" spans="1:14">
      <c r="A9" s="5">
        <f>D_马仔表!A9</f>
        <v>101108</v>
      </c>
      <c r="B9" s="1" t="str">
        <f>D_马仔表!B9</f>
        <v>肥仔</v>
      </c>
      <c r="C9" s="31">
        <f>马仔辅助表!V42</f>
        <v>0.29035673940622642</v>
      </c>
      <c r="D9" s="31">
        <f>马仔辅助表!W42</f>
        <v>0.44244192513369002</v>
      </c>
      <c r="E9" s="31">
        <f>马仔辅助表!X42</f>
        <v>0.38237615251299839</v>
      </c>
      <c r="F9" s="6">
        <f>马仔辅助表!Z42</f>
        <v>871.0702182186792</v>
      </c>
      <c r="G9" s="6">
        <f>马仔辅助表!AA42</f>
        <v>44.244192513369001</v>
      </c>
      <c r="H9" s="6">
        <f>马仔辅助表!AB42</f>
        <v>19.118807625649918</v>
      </c>
      <c r="J9" t="s">
        <v>264</v>
      </c>
    </row>
    <row r="10" spans="1:14">
      <c r="A10" s="5">
        <f>D_马仔表!A10</f>
        <v>101109</v>
      </c>
      <c r="B10" s="1" t="str">
        <f>D_马仔表!B10</f>
        <v>司徒浩南</v>
      </c>
      <c r="C10" s="31">
        <f>马仔辅助表!V43</f>
        <v>0.58071347881245283</v>
      </c>
      <c r="D10" s="31">
        <f>马仔辅助表!W43</f>
        <v>0.88488385026738003</v>
      </c>
      <c r="E10" s="31">
        <f>马仔辅助表!X43</f>
        <v>0.76475230502599678</v>
      </c>
      <c r="F10" s="6">
        <f>马仔辅助表!Z43</f>
        <v>1742.1404364373584</v>
      </c>
      <c r="G10" s="6">
        <f>马仔辅助表!AA43</f>
        <v>88.488385026738001</v>
      </c>
      <c r="H10" s="6">
        <f>马仔辅助表!AB43</f>
        <v>38.237615251299836</v>
      </c>
    </row>
    <row r="11" spans="1:14">
      <c r="A11" s="5">
        <f>D_马仔表!A11</f>
        <v>101110</v>
      </c>
      <c r="B11" s="1" t="s">
        <v>411</v>
      </c>
      <c r="C11" s="31">
        <f>马仔辅助表!V44</f>
        <v>0.58071347881245283</v>
      </c>
      <c r="D11" s="31">
        <f>马仔辅助表!W44</f>
        <v>0.88488385026738003</v>
      </c>
      <c r="E11" s="31">
        <f>马仔辅助表!X44</f>
        <v>0.76475230502599678</v>
      </c>
      <c r="F11" s="6">
        <f>马仔辅助表!Z44</f>
        <v>1742.1404364373584</v>
      </c>
      <c r="G11" s="6">
        <f>马仔辅助表!AA44</f>
        <v>88.488385026738001</v>
      </c>
      <c r="H11" s="6">
        <f>马仔辅助表!AB44</f>
        <v>38.237615251299836</v>
      </c>
    </row>
    <row r="12" spans="1:14">
      <c r="A12" s="5">
        <f>D_马仔表!A12</f>
        <v>101111</v>
      </c>
      <c r="B12" s="1" t="str">
        <f>D_马仔表!B12</f>
        <v>赌王</v>
      </c>
      <c r="C12" s="31">
        <f>马仔辅助表!V45</f>
        <v>0.58071347881245283</v>
      </c>
      <c r="D12" s="31">
        <f>马仔辅助表!W45</f>
        <v>0.88488385026738003</v>
      </c>
      <c r="E12" s="31">
        <f>马仔辅助表!X45</f>
        <v>0.76475230502599678</v>
      </c>
      <c r="F12" s="6">
        <f>马仔辅助表!Z45</f>
        <v>1742.1404364373584</v>
      </c>
      <c r="G12" s="6">
        <f>马仔辅助表!AA45</f>
        <v>88.488385026738001</v>
      </c>
      <c r="H12" s="6">
        <f>马仔辅助表!AB45</f>
        <v>38.237615251299836</v>
      </c>
    </row>
    <row r="13" spans="1:14">
      <c r="A13" s="5">
        <f>D_马仔表!A13</f>
        <v>101112</v>
      </c>
      <c r="B13" s="1" t="str">
        <f>D_马仔表!B13</f>
        <v>山下忠秀</v>
      </c>
      <c r="C13" s="31">
        <f>马仔辅助表!V46</f>
        <v>0.58071347881245283</v>
      </c>
      <c r="D13" s="31">
        <f>马仔辅助表!W46</f>
        <v>0.88488385026738003</v>
      </c>
      <c r="E13" s="31">
        <f>马仔辅助表!X46</f>
        <v>0.76475230502599678</v>
      </c>
      <c r="F13" s="6">
        <f>马仔辅助表!Z46</f>
        <v>1742.1404364373584</v>
      </c>
      <c r="G13" s="6">
        <f>马仔辅助表!AA46</f>
        <v>88.488385026738001</v>
      </c>
      <c r="H13" s="6">
        <f>马仔辅助表!AB46</f>
        <v>38.237615251299836</v>
      </c>
    </row>
    <row r="14" spans="1:14">
      <c r="A14" s="5">
        <f>D_马仔表!A14</f>
        <v>101113</v>
      </c>
      <c r="B14" s="1" t="s">
        <v>412</v>
      </c>
      <c r="C14" s="31">
        <f>马仔辅助表!V47</f>
        <v>0.58071347881245283</v>
      </c>
      <c r="D14" s="31">
        <f>马仔辅助表!W47</f>
        <v>0.88488385026738003</v>
      </c>
      <c r="E14" s="31">
        <f>马仔辅助表!X47</f>
        <v>0.76475230502599678</v>
      </c>
      <c r="F14" s="6">
        <f>马仔辅助表!Z47</f>
        <v>1742.1404364373584</v>
      </c>
      <c r="G14" s="6">
        <f>马仔辅助表!AA47</f>
        <v>88.488385026738001</v>
      </c>
      <c r="H14" s="6">
        <f>马仔辅助表!AB47</f>
        <v>38.237615251299836</v>
      </c>
    </row>
    <row r="15" spans="1:14">
      <c r="A15" s="5">
        <f>D_马仔表!A15</f>
        <v>101114</v>
      </c>
      <c r="B15" s="1" t="s">
        <v>413</v>
      </c>
      <c r="C15" s="31">
        <f>马仔辅助表!V48</f>
        <v>0.87107021821867914</v>
      </c>
      <c r="D15" s="31">
        <f>马仔辅助表!W48</f>
        <v>1.3273257754010701</v>
      </c>
      <c r="E15" s="31">
        <f>马仔辅助表!X48</f>
        <v>1.1471284575389951</v>
      </c>
      <c r="F15" s="6">
        <f>马仔辅助表!Z48</f>
        <v>2613.2106546560371</v>
      </c>
      <c r="G15" s="6">
        <f>马仔辅助表!AA48</f>
        <v>132.732577540107</v>
      </c>
      <c r="H15" s="6">
        <f>马仔辅助表!AB48</f>
        <v>57.35642287694975</v>
      </c>
    </row>
    <row r="16" spans="1:14">
      <c r="A16" s="5">
        <f>D_马仔表!A16</f>
        <v>101115</v>
      </c>
      <c r="B16" s="1" t="s">
        <v>414</v>
      </c>
      <c r="C16" s="31">
        <f>马仔辅助表!V49</f>
        <v>0.87107021821867914</v>
      </c>
      <c r="D16" s="31">
        <f>马仔辅助表!W49</f>
        <v>1.3273257754010701</v>
      </c>
      <c r="E16" s="31">
        <f>马仔辅助表!X49</f>
        <v>1.1471284575389951</v>
      </c>
      <c r="F16" s="6">
        <f>马仔辅助表!Z49</f>
        <v>2613.2106546560371</v>
      </c>
      <c r="G16" s="6">
        <f>马仔辅助表!AA49</f>
        <v>132.732577540107</v>
      </c>
      <c r="H16" s="6">
        <f>马仔辅助表!AB49</f>
        <v>57.35642287694975</v>
      </c>
    </row>
    <row r="17" spans="1:8">
      <c r="A17" s="5">
        <f>D_马仔表!A17</f>
        <v>101116</v>
      </c>
      <c r="B17" s="1" t="str">
        <f>D_马仔表!B17</f>
        <v>大天二</v>
      </c>
      <c r="C17" s="31">
        <f>马仔辅助表!V50</f>
        <v>0.87107021821867914</v>
      </c>
      <c r="D17" s="31">
        <f>马仔辅助表!W50</f>
        <v>1.3273257754010701</v>
      </c>
      <c r="E17" s="31">
        <f>马仔辅助表!X50</f>
        <v>1.1471284575389951</v>
      </c>
      <c r="F17" s="6">
        <f>马仔辅助表!Z50</f>
        <v>2613.2106546560371</v>
      </c>
      <c r="G17" s="6">
        <f>马仔辅助表!AA50</f>
        <v>132.732577540107</v>
      </c>
      <c r="H17" s="6">
        <f>马仔辅助表!AB50</f>
        <v>57.35642287694975</v>
      </c>
    </row>
    <row r="18" spans="1:8">
      <c r="A18" s="5">
        <f>D_马仔表!A18</f>
        <v>101117</v>
      </c>
      <c r="B18" s="1" t="str">
        <f>D_马仔表!B18</f>
        <v>巴闭</v>
      </c>
      <c r="C18" s="31">
        <f>马仔辅助表!V51</f>
        <v>0.29035673940622642</v>
      </c>
      <c r="D18" s="31">
        <f>马仔辅助表!W51</f>
        <v>0.44244192513369002</v>
      </c>
      <c r="E18" s="31">
        <f>马仔辅助表!X51</f>
        <v>0.38237615251299839</v>
      </c>
      <c r="F18" s="6">
        <f>马仔辅助表!Z51</f>
        <v>871.0702182186792</v>
      </c>
      <c r="G18" s="6">
        <f>马仔辅助表!AA51</f>
        <v>44.244192513369001</v>
      </c>
      <c r="H18" s="6">
        <f>马仔辅助表!AB51</f>
        <v>19.118807625649918</v>
      </c>
    </row>
    <row r="19" spans="1:8">
      <c r="A19" s="5">
        <f>D_马仔表!A19</f>
        <v>101118</v>
      </c>
      <c r="B19" s="1" t="str">
        <f>D_马仔表!B19</f>
        <v>耀阳</v>
      </c>
      <c r="C19" s="31">
        <f>马仔辅助表!V52</f>
        <v>0.58071347881245283</v>
      </c>
      <c r="D19" s="31">
        <f>马仔辅助表!W52</f>
        <v>0.88488385026738003</v>
      </c>
      <c r="E19" s="31">
        <f>马仔辅助表!X52</f>
        <v>0.76475230502599678</v>
      </c>
      <c r="F19" s="6">
        <f>马仔辅助表!Z52</f>
        <v>1742.1404364373584</v>
      </c>
      <c r="G19" s="6">
        <f>马仔辅助表!AA52</f>
        <v>88.488385026738001</v>
      </c>
      <c r="H19" s="6">
        <f>马仔辅助表!AB52</f>
        <v>38.237615251299836</v>
      </c>
    </row>
    <row r="20" spans="1:8">
      <c r="A20" s="5">
        <f>D_马仔表!A20</f>
        <v>101119</v>
      </c>
      <c r="B20" s="1" t="str">
        <f>D_马仔表!B20</f>
        <v>笑面虎</v>
      </c>
      <c r="C20" s="31">
        <f>马仔辅助表!V53</f>
        <v>0.58071347881245283</v>
      </c>
      <c r="D20" s="31">
        <f>马仔辅助表!W53</f>
        <v>0.88488385026738003</v>
      </c>
      <c r="E20" s="31">
        <f>马仔辅助表!X53</f>
        <v>0.76475230502599678</v>
      </c>
      <c r="F20" s="6">
        <f>马仔辅助表!Z53</f>
        <v>1742.1404364373584</v>
      </c>
      <c r="G20" s="6">
        <f>马仔辅助表!AA53</f>
        <v>88.488385026738001</v>
      </c>
      <c r="H20" s="6">
        <f>马仔辅助表!AB53</f>
        <v>38.237615251299836</v>
      </c>
    </row>
  </sheetData>
  <phoneticPr fontId="1" type="noConversion"/>
  <conditionalFormatting sqref="A2:A20">
    <cfRule type="expression" dxfId="1229" priority="1">
      <formula>$D2=5</formula>
    </cfRule>
    <cfRule type="expression" dxfId="1228" priority="2">
      <formula>$D2=4</formula>
    </cfRule>
    <cfRule type="expression" dxfId="1227" priority="3">
      <formula>$D2=3</formula>
    </cfRule>
    <cfRule type="expression" dxfId="1226" priority="4">
      <formula>$D2=2</formula>
    </cfRule>
    <cfRule type="expression" dxfId="1225" priority="5">
      <formula>$D2=1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0"/>
  <sheetViews>
    <sheetView workbookViewId="0">
      <selection activeCell="G21" sqref="G21"/>
    </sheetView>
  </sheetViews>
  <sheetFormatPr defaultRowHeight="13.5"/>
  <sheetData>
    <row r="1" spans="1:5">
      <c r="A1" s="1" t="str">
        <f>D_马仔表!A1</f>
        <v>马仔ID</v>
      </c>
      <c r="B1" s="1" t="str">
        <f>D_马仔表!B1</f>
        <v>马仔名称</v>
      </c>
      <c r="C1" s="1" t="s">
        <v>0</v>
      </c>
      <c r="D1" s="1" t="s">
        <v>1</v>
      </c>
      <c r="E1" s="2" t="s">
        <v>2</v>
      </c>
    </row>
    <row r="2" spans="1:5">
      <c r="A2" s="5">
        <f>D_马仔表!A2</f>
        <v>101101</v>
      </c>
      <c r="B2" s="1" t="s">
        <v>408</v>
      </c>
      <c r="C2" s="28">
        <f>马仔辅助表!J58</f>
        <v>261.32106546560368</v>
      </c>
      <c r="D2" s="28">
        <f>马仔辅助表!K58</f>
        <v>13.273257754010697</v>
      </c>
      <c r="E2" s="28">
        <f>马仔辅助表!L58</f>
        <v>5.7356422876949749</v>
      </c>
    </row>
    <row r="3" spans="1:5">
      <c r="A3" s="5">
        <f>D_马仔表!A3</f>
        <v>101102</v>
      </c>
      <c r="B3" s="1" t="str">
        <f>D_马仔表!B3</f>
        <v>蟹仔</v>
      </c>
      <c r="C3" s="28">
        <f>马仔辅助表!J59</f>
        <v>261.32106546560368</v>
      </c>
      <c r="D3" s="28">
        <f>马仔辅助表!K59</f>
        <v>13.273257754010697</v>
      </c>
      <c r="E3" s="28">
        <f>马仔辅助表!L59</f>
        <v>5.7356422876949749</v>
      </c>
    </row>
    <row r="4" spans="1:5">
      <c r="A4" s="5">
        <f>D_马仔表!A4</f>
        <v>101103</v>
      </c>
      <c r="B4" s="1" t="str">
        <f>D_马仔表!B4</f>
        <v>比利</v>
      </c>
      <c r="C4" s="28">
        <f>马仔辅助表!J60</f>
        <v>261.32106546560368</v>
      </c>
      <c r="D4" s="28">
        <f>马仔辅助表!K60</f>
        <v>13.273257754010697</v>
      </c>
      <c r="E4" s="28">
        <f>马仔辅助表!L60</f>
        <v>5.7356422876949749</v>
      </c>
    </row>
    <row r="5" spans="1:5">
      <c r="A5" s="5">
        <f>D_马仔表!A5</f>
        <v>101104</v>
      </c>
      <c r="B5" s="1" t="str">
        <f>D_马仔表!B5</f>
        <v>黎九</v>
      </c>
      <c r="C5" s="28">
        <f>马仔辅助表!J61</f>
        <v>261.32106546560368</v>
      </c>
      <c r="D5" s="28">
        <f>马仔辅助表!K61</f>
        <v>13.273257754010697</v>
      </c>
      <c r="E5" s="28">
        <f>马仔辅助表!L61</f>
        <v>5.7356422876949749</v>
      </c>
    </row>
    <row r="6" spans="1:5">
      <c r="A6" s="5">
        <f>D_马仔表!A6</f>
        <v>101105</v>
      </c>
      <c r="B6" s="1" t="str">
        <f>D_马仔表!B6</f>
        <v>黑古</v>
      </c>
      <c r="C6" s="28">
        <f>马仔辅助表!J62</f>
        <v>261.32106546560368</v>
      </c>
      <c r="D6" s="28">
        <f>马仔辅助表!K62</f>
        <v>13.273257754010697</v>
      </c>
      <c r="E6" s="28">
        <f>马仔辅助表!L62</f>
        <v>5.7356422876949749</v>
      </c>
    </row>
    <row r="7" spans="1:5">
      <c r="A7" s="5">
        <f>D_马仔表!A7</f>
        <v>101106</v>
      </c>
      <c r="B7" s="1" t="s">
        <v>409</v>
      </c>
      <c r="C7" s="28">
        <f>马仔辅助表!J63</f>
        <v>261.32106546560368</v>
      </c>
      <c r="D7" s="28">
        <f>马仔辅助表!K63</f>
        <v>13.273257754010697</v>
      </c>
      <c r="E7" s="28">
        <f>马仔辅助表!L63</f>
        <v>5.7356422876949749</v>
      </c>
    </row>
    <row r="8" spans="1:5">
      <c r="A8" s="5">
        <f>D_马仔表!A8</f>
        <v>101107</v>
      </c>
      <c r="B8" s="1" t="s">
        <v>410</v>
      </c>
      <c r="C8" s="28">
        <f>马仔辅助表!J64</f>
        <v>261.32106546560368</v>
      </c>
      <c r="D8" s="28">
        <f>马仔辅助表!K64</f>
        <v>13.273257754010697</v>
      </c>
      <c r="E8" s="28">
        <f>马仔辅助表!L64</f>
        <v>5.7356422876949749</v>
      </c>
    </row>
    <row r="9" spans="1:5">
      <c r="A9" s="5">
        <f>D_马仔表!A9</f>
        <v>101108</v>
      </c>
      <c r="B9" s="1" t="str">
        <f>D_马仔表!B9</f>
        <v>肥仔</v>
      </c>
      <c r="C9" s="28">
        <f>马仔辅助表!J65</f>
        <v>261.32106546560368</v>
      </c>
      <c r="D9" s="28">
        <f>马仔辅助表!K65</f>
        <v>13.273257754010697</v>
      </c>
      <c r="E9" s="28">
        <f>马仔辅助表!L65</f>
        <v>5.7356422876949749</v>
      </c>
    </row>
    <row r="10" spans="1:5">
      <c r="A10" s="5">
        <f>D_马仔表!A10</f>
        <v>101109</v>
      </c>
      <c r="B10" s="1" t="str">
        <f>D_马仔表!B10</f>
        <v>司徒浩南</v>
      </c>
      <c r="C10" s="28">
        <f>马仔辅助表!J66</f>
        <v>261.32106546560368</v>
      </c>
      <c r="D10" s="28">
        <f>马仔辅助表!K66</f>
        <v>13.273257754010697</v>
      </c>
      <c r="E10" s="28">
        <f>马仔辅助表!L66</f>
        <v>5.7356422876949749</v>
      </c>
    </row>
    <row r="11" spans="1:5">
      <c r="A11" s="5">
        <f>D_马仔表!A11</f>
        <v>101110</v>
      </c>
      <c r="B11" s="1" t="s">
        <v>411</v>
      </c>
      <c r="C11" s="28">
        <f>马仔辅助表!J67</f>
        <v>261.32106546560368</v>
      </c>
      <c r="D11" s="28">
        <f>马仔辅助表!K67</f>
        <v>13.273257754010697</v>
      </c>
      <c r="E11" s="28">
        <f>马仔辅助表!L67</f>
        <v>5.7356422876949749</v>
      </c>
    </row>
    <row r="12" spans="1:5">
      <c r="A12" s="5">
        <f>D_马仔表!A12</f>
        <v>101111</v>
      </c>
      <c r="B12" s="1" t="str">
        <f>D_马仔表!B12</f>
        <v>赌王</v>
      </c>
      <c r="C12" s="28">
        <f>马仔辅助表!J68</f>
        <v>261.32106546560368</v>
      </c>
      <c r="D12" s="28">
        <f>马仔辅助表!K68</f>
        <v>13.273257754010697</v>
      </c>
      <c r="E12" s="28">
        <f>马仔辅助表!L68</f>
        <v>5.7356422876949749</v>
      </c>
    </row>
    <row r="13" spans="1:5">
      <c r="A13" s="5">
        <f>D_马仔表!A13</f>
        <v>101112</v>
      </c>
      <c r="B13" s="1" t="str">
        <f>D_马仔表!B13</f>
        <v>山下忠秀</v>
      </c>
      <c r="C13" s="28">
        <f>马仔辅助表!J69</f>
        <v>261.32106546560368</v>
      </c>
      <c r="D13" s="28">
        <f>马仔辅助表!K69</f>
        <v>13.273257754010697</v>
      </c>
      <c r="E13" s="28">
        <f>马仔辅助表!L69</f>
        <v>5.7356422876949749</v>
      </c>
    </row>
    <row r="14" spans="1:5">
      <c r="A14" s="5">
        <f>D_马仔表!A14</f>
        <v>101113</v>
      </c>
      <c r="B14" s="1" t="s">
        <v>412</v>
      </c>
      <c r="C14" s="28">
        <f>马仔辅助表!J70</f>
        <v>261.32106546560368</v>
      </c>
      <c r="D14" s="28">
        <f>马仔辅助表!K70</f>
        <v>13.273257754010697</v>
      </c>
      <c r="E14" s="28">
        <f>马仔辅助表!L70</f>
        <v>5.7356422876949749</v>
      </c>
    </row>
    <row r="15" spans="1:5">
      <c r="A15" s="5">
        <f>D_马仔表!A15</f>
        <v>101114</v>
      </c>
      <c r="B15" s="1" t="s">
        <v>413</v>
      </c>
      <c r="C15" s="28">
        <f>马仔辅助表!J71</f>
        <v>261.32106546560368</v>
      </c>
      <c r="D15" s="28">
        <f>马仔辅助表!K71</f>
        <v>13.273257754010697</v>
      </c>
      <c r="E15" s="28">
        <f>马仔辅助表!L71</f>
        <v>5.7356422876949749</v>
      </c>
    </row>
    <row r="16" spans="1:5">
      <c r="A16" s="5">
        <f>D_马仔表!A16</f>
        <v>101115</v>
      </c>
      <c r="B16" s="1" t="s">
        <v>414</v>
      </c>
      <c r="C16" s="28">
        <f>马仔辅助表!J72</f>
        <v>261.32106546560368</v>
      </c>
      <c r="D16" s="28">
        <f>马仔辅助表!K72</f>
        <v>13.273257754010697</v>
      </c>
      <c r="E16" s="28">
        <f>马仔辅助表!L72</f>
        <v>5.7356422876949749</v>
      </c>
    </row>
    <row r="17" spans="1:5">
      <c r="A17" s="5">
        <f>D_马仔表!A17</f>
        <v>101116</v>
      </c>
      <c r="B17" s="1" t="str">
        <f>D_马仔表!B17</f>
        <v>大天二</v>
      </c>
      <c r="C17" s="28">
        <f>马仔辅助表!J73</f>
        <v>261.32106546560368</v>
      </c>
      <c r="D17" s="28">
        <f>马仔辅助表!K73</f>
        <v>13.273257754010697</v>
      </c>
      <c r="E17" s="28">
        <f>马仔辅助表!L73</f>
        <v>5.7356422876949749</v>
      </c>
    </row>
    <row r="18" spans="1:5">
      <c r="A18" s="5">
        <f>D_马仔表!A18</f>
        <v>101117</v>
      </c>
      <c r="B18" s="1" t="str">
        <f>D_马仔表!B18</f>
        <v>巴闭</v>
      </c>
      <c r="C18" s="28">
        <f>马仔辅助表!J74</f>
        <v>261.32106546560368</v>
      </c>
      <c r="D18" s="28">
        <f>马仔辅助表!K74</f>
        <v>13.273257754010697</v>
      </c>
      <c r="E18" s="28">
        <f>马仔辅助表!L74</f>
        <v>5.7356422876949749</v>
      </c>
    </row>
    <row r="19" spans="1:5">
      <c r="A19" s="5">
        <f>D_马仔表!A19</f>
        <v>101118</v>
      </c>
      <c r="B19" s="1" t="str">
        <f>D_马仔表!B19</f>
        <v>耀阳</v>
      </c>
      <c r="C19" s="28">
        <f>马仔辅助表!J75</f>
        <v>261.32106546560368</v>
      </c>
      <c r="D19" s="28">
        <f>马仔辅助表!K75</f>
        <v>13.273257754010697</v>
      </c>
      <c r="E19" s="28">
        <f>马仔辅助表!L75</f>
        <v>5.7356422876949749</v>
      </c>
    </row>
    <row r="20" spans="1:5">
      <c r="A20" s="5">
        <f>D_马仔表!A20</f>
        <v>101119</v>
      </c>
      <c r="B20" s="1" t="str">
        <f>D_马仔表!B20</f>
        <v>笑面虎</v>
      </c>
      <c r="C20" s="28">
        <f>马仔辅助表!J76</f>
        <v>261.32106546560368</v>
      </c>
      <c r="D20" s="28">
        <f>马仔辅助表!K76</f>
        <v>13.273257754010697</v>
      </c>
      <c r="E20" s="28">
        <f>马仔辅助表!L76</f>
        <v>5.7356422876949749</v>
      </c>
    </row>
  </sheetData>
  <phoneticPr fontId="1" type="noConversion"/>
  <conditionalFormatting sqref="A2:A20">
    <cfRule type="expression" dxfId="1224" priority="1">
      <formula>$D2=5</formula>
    </cfRule>
    <cfRule type="expression" dxfId="1223" priority="2">
      <formula>$D2=4</formula>
    </cfRule>
    <cfRule type="expression" dxfId="1222" priority="3">
      <formula>$D2=3</formula>
    </cfRule>
    <cfRule type="expression" dxfId="1221" priority="4">
      <formula>$D2=2</formula>
    </cfRule>
    <cfRule type="expression" dxfId="1220" priority="5">
      <formula>$D2=1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2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5" sqref="F25"/>
    </sheetView>
  </sheetViews>
  <sheetFormatPr defaultRowHeight="13.5"/>
  <cols>
    <col min="4" max="4" width="13.875" bestFit="1" customWidth="1"/>
    <col min="5" max="18" width="13.875" customWidth="1"/>
    <col min="24" max="24" width="13.875" bestFit="1" customWidth="1"/>
    <col min="25" max="25" width="10.5" bestFit="1" customWidth="1"/>
  </cols>
  <sheetData>
    <row r="1" spans="1:37" ht="14.25" thickBot="1">
      <c r="A1" s="16" t="s">
        <v>28</v>
      </c>
      <c r="B1" s="16" t="s">
        <v>27</v>
      </c>
      <c r="C1" s="16" t="s">
        <v>12</v>
      </c>
      <c r="D1" s="15" t="s">
        <v>126</v>
      </c>
      <c r="E1" s="15" t="s">
        <v>105</v>
      </c>
      <c r="F1" s="15" t="s">
        <v>127</v>
      </c>
      <c r="G1" s="15" t="s">
        <v>100</v>
      </c>
      <c r="H1" s="15" t="s">
        <v>101</v>
      </c>
      <c r="I1" s="15" t="s">
        <v>102</v>
      </c>
      <c r="J1" s="15" t="s">
        <v>103</v>
      </c>
      <c r="K1" s="15" t="s">
        <v>104</v>
      </c>
      <c r="L1" s="15" t="s">
        <v>116</v>
      </c>
      <c r="M1" s="40" t="s">
        <v>222</v>
      </c>
      <c r="N1" s="40" t="s">
        <v>223</v>
      </c>
      <c r="O1" s="40" t="s">
        <v>224</v>
      </c>
      <c r="P1" s="40" t="s">
        <v>225</v>
      </c>
      <c r="Q1" s="40" t="s">
        <v>226</v>
      </c>
      <c r="R1" s="40" t="s">
        <v>227</v>
      </c>
      <c r="W1" s="13" t="s">
        <v>32</v>
      </c>
      <c r="X1" s="13" t="s">
        <v>31</v>
      </c>
      <c r="Y1" s="13" t="s">
        <v>114</v>
      </c>
      <c r="Z1" s="13" t="s">
        <v>92</v>
      </c>
      <c r="AA1" s="1" t="s">
        <v>0</v>
      </c>
      <c r="AB1" s="1" t="s">
        <v>1</v>
      </c>
      <c r="AC1" s="24" t="s">
        <v>2</v>
      </c>
      <c r="AD1" s="6" t="s">
        <v>116</v>
      </c>
    </row>
    <row r="2" spans="1:37">
      <c r="A2" s="18">
        <f>D_马仔表!A2</f>
        <v>101101</v>
      </c>
      <c r="B2" s="19" t="str">
        <f>D_马仔表!B2</f>
        <v>制服太妹</v>
      </c>
      <c r="C2" s="19">
        <f>D_马仔表!D2</f>
        <v>0</v>
      </c>
      <c r="D2" s="6">
        <v>0</v>
      </c>
      <c r="E2" s="19">
        <v>0</v>
      </c>
      <c r="F2" s="123">
        <v>92131</v>
      </c>
      <c r="G2" s="124">
        <v>92263</v>
      </c>
      <c r="H2" s="123">
        <v>92228</v>
      </c>
      <c r="I2" s="123">
        <v>92232</v>
      </c>
      <c r="J2" s="123">
        <v>92121</v>
      </c>
      <c r="K2" s="123">
        <v>92243</v>
      </c>
      <c r="L2" s="19">
        <f t="shared" ref="L2:L33" si="0">VLOOKUP(F2,$W$1:$AD$64,8,FALSE)+VLOOKUP(G2,$W$1:$AD$64,8,FALSE)+VLOOKUP(H2,$W$1:$AD$64,8,FALSE)+VLOOKUP(I2,$W$1:$AD$64,8,FALSE)+VLOOKUP(J2,$W$1:$AD$64,8,FALSE)+VLOOKUP(K2,$W$1:$AD$64,8,FALSE)</f>
        <v>44.480000000000004</v>
      </c>
      <c r="M2" s="6">
        <f>VLOOKUP(F2,$W$1:$AD$64,5,FALSE)+VLOOKUP(G2,$W$1:$AD$64,5,FALSE)+VLOOKUP(H2,$W$1:$AD$64,5,FALSE)+VLOOKUP(I2,$W$1:$AD$64,5,FALSE)+VLOOKUP(J2,$W$1:$AD$64,5,FALSE)+VLOOKUP(K2,$W$1:$AD$64,5,FALSE)</f>
        <v>412</v>
      </c>
      <c r="N2" s="6">
        <f>VLOOKUP(F2,$W$1:$AD$64,6,FALSE)+VLOOKUP(G2,$W$1:$AD$64,6,FALSE)+VLOOKUP(H2,$W$1:$AD$64,6,FALSE)+VLOOKUP(I2,$W$1:$AD$64,6,FALSE)+VLOOKUP(J2,$W$1:$AD$64,6,FALSE)+VLOOKUP(K2,$W$1:$AD$64,6,FALSE)</f>
        <v>20</v>
      </c>
      <c r="O2" s="6">
        <f>VLOOKUP(F2,$W$1:$AD$64,7,FALSE)+VLOOKUP(G2,$W$1:$AD$64,7,FALSE)+VLOOKUP(H2,$W$1:$AD$64,7,FALSE)+VLOOKUP(I2,$W$1:$AD$64,7,FALSE)+VLOOKUP(J2,$W$1:$AD$64,7,FALSE)+VLOOKUP(K2,$W$1:$AD$64,7,FALSE)</f>
        <v>8</v>
      </c>
      <c r="P2" s="27">
        <f>IF($D2=0,0,M1+P1)</f>
        <v>0</v>
      </c>
      <c r="Q2" s="27">
        <f>IF($D2=0,0,N1+Q1)</f>
        <v>0</v>
      </c>
      <c r="R2" s="27">
        <f>IF($D2=0,0,O1+R1)</f>
        <v>0</v>
      </c>
      <c r="T2" s="6" t="s">
        <v>106</v>
      </c>
      <c r="U2" s="6" t="s">
        <v>107</v>
      </c>
      <c r="W2" s="5">
        <f>D_马仔宝物!A2</f>
        <v>92131</v>
      </c>
      <c r="X2" s="5" t="str">
        <f>D_马仔宝物!B2</f>
        <v>幸运戒指</v>
      </c>
      <c r="Y2" s="5" t="str">
        <f>D_马仔宝物!E2</f>
        <v>92131.png</v>
      </c>
      <c r="Z2" s="5">
        <f>D_马仔宝物!F2</f>
        <v>0</v>
      </c>
      <c r="AA2" s="5">
        <f>D_马仔宝物!H2</f>
        <v>206</v>
      </c>
      <c r="AB2" s="5">
        <f>D_马仔宝物!I2</f>
        <v>0</v>
      </c>
      <c r="AC2" s="5">
        <f>D_马仔宝物!J2</f>
        <v>0</v>
      </c>
      <c r="AD2" s="6">
        <f t="shared" ref="AD2:AD33" si="1">SUMPRODUCT($AI$8:$AK$8,AA2:AC2)</f>
        <v>8.24</v>
      </c>
    </row>
    <row r="3" spans="1:37">
      <c r="A3" s="20">
        <f>A2</f>
        <v>101101</v>
      </c>
      <c r="B3" s="5" t="str">
        <f>B2</f>
        <v>制服太妹</v>
      </c>
      <c r="C3" s="5">
        <f>C2</f>
        <v>0</v>
      </c>
      <c r="D3" s="6">
        <v>1</v>
      </c>
      <c r="E3" s="5">
        <v>0</v>
      </c>
      <c r="F3" s="123">
        <v>92131</v>
      </c>
      <c r="G3" s="123">
        <v>92011</v>
      </c>
      <c r="H3" s="123">
        <v>92243</v>
      </c>
      <c r="I3" s="124">
        <v>92263</v>
      </c>
      <c r="J3" s="123">
        <v>92232</v>
      </c>
      <c r="K3" s="123">
        <v>92244</v>
      </c>
      <c r="L3" s="5">
        <f t="shared" si="0"/>
        <v>48.720000000000006</v>
      </c>
      <c r="M3" s="6">
        <f t="shared" ref="M3:M66" si="2">VLOOKUP(F3,$W$1:$AD$64,5,FALSE)+VLOOKUP(G3,$W$1:$AD$64,5,FALSE)+VLOOKUP(H3,$W$1:$AD$64,5,FALSE)+VLOOKUP(I3,$W$1:$AD$64,5,FALSE)+VLOOKUP(J3,$W$1:$AD$64,5,FALSE)+VLOOKUP(K3,$W$1:$AD$64,5,FALSE)</f>
        <v>618</v>
      </c>
      <c r="N3" s="6">
        <f t="shared" ref="N3:N66" si="3">VLOOKUP(F3,$W$1:$AD$64,6,FALSE)+VLOOKUP(G3,$W$1:$AD$64,6,FALSE)+VLOOKUP(H3,$W$1:$AD$64,6,FALSE)+VLOOKUP(I3,$W$1:$AD$64,6,FALSE)+VLOOKUP(J3,$W$1:$AD$64,6,FALSE)+VLOOKUP(K3,$W$1:$AD$64,6,FALSE)</f>
        <v>20</v>
      </c>
      <c r="O3" s="6">
        <f t="shared" ref="O3:O66" si="4">VLOOKUP(F3,$W$1:$AD$64,7,FALSE)+VLOOKUP(G3,$W$1:$AD$64,7,FALSE)+VLOOKUP(H3,$W$1:$AD$64,7,FALSE)+VLOOKUP(I3,$W$1:$AD$64,7,FALSE)+VLOOKUP(J3,$W$1:$AD$64,7,FALSE)+VLOOKUP(K3,$W$1:$AD$64,7,FALSE)</f>
        <v>4</v>
      </c>
      <c r="P3" s="27">
        <f t="shared" ref="P3:P66" si="5">IF($D3=0,0,M2+P2)</f>
        <v>412</v>
      </c>
      <c r="Q3" s="27">
        <f t="shared" ref="Q3:Q66" si="6">IF($D3=0,0,N2+Q2)</f>
        <v>20</v>
      </c>
      <c r="R3" s="27">
        <f t="shared" ref="R3:R66" si="7">IF($D3=0,0,O2+R2)</f>
        <v>8</v>
      </c>
      <c r="T3" s="6">
        <v>0</v>
      </c>
      <c r="U3" s="6">
        <f t="array" ref="U3">SUM(IF($Z$2:$Z$64=T3,1,0))</f>
        <v>9</v>
      </c>
      <c r="W3" s="5">
        <f>D_马仔宝物!A3</f>
        <v>92011</v>
      </c>
      <c r="X3" s="5" t="str">
        <f>D_马仔宝物!B3</f>
        <v>亚诺</v>
      </c>
      <c r="Y3" s="5" t="str">
        <f>D_马仔宝物!E3</f>
        <v>92011.png</v>
      </c>
      <c r="Z3" s="5">
        <f>D_马仔宝物!F3</f>
        <v>0</v>
      </c>
      <c r="AA3" s="5">
        <f>D_马仔宝物!H3</f>
        <v>0</v>
      </c>
      <c r="AB3" s="5">
        <f>D_马仔宝物!I3</f>
        <v>10</v>
      </c>
      <c r="AC3" s="5">
        <f>D_马仔宝物!J3</f>
        <v>0</v>
      </c>
      <c r="AD3" s="6">
        <f t="shared" si="1"/>
        <v>10</v>
      </c>
    </row>
    <row r="4" spans="1:37">
      <c r="A4" s="20">
        <f t="shared" ref="A4:A13" si="8">A3</f>
        <v>101101</v>
      </c>
      <c r="B4" s="5" t="str">
        <f t="shared" ref="B4:B13" si="9">B3</f>
        <v>制服太妹</v>
      </c>
      <c r="C4" s="5">
        <f t="shared" ref="C4:C13" si="10">C3</f>
        <v>0</v>
      </c>
      <c r="D4" s="6">
        <v>2</v>
      </c>
      <c r="E4" s="5">
        <v>1</v>
      </c>
      <c r="F4" s="125">
        <v>92233</v>
      </c>
      <c r="G4" s="125">
        <v>92122</v>
      </c>
      <c r="H4" s="125">
        <v>92141</v>
      </c>
      <c r="I4" s="125">
        <v>92245</v>
      </c>
      <c r="J4" s="125">
        <v>92251</v>
      </c>
      <c r="K4" s="125">
        <v>92264</v>
      </c>
      <c r="L4" s="5">
        <f t="shared" si="0"/>
        <v>137.36000000000001</v>
      </c>
      <c r="M4" s="6">
        <f t="shared" si="2"/>
        <v>1234</v>
      </c>
      <c r="N4" s="6">
        <f t="shared" si="3"/>
        <v>62</v>
      </c>
      <c r="O4" s="6">
        <f t="shared" si="4"/>
        <v>26</v>
      </c>
      <c r="P4" s="27">
        <f t="shared" si="5"/>
        <v>1030</v>
      </c>
      <c r="Q4" s="27">
        <f t="shared" si="6"/>
        <v>40</v>
      </c>
      <c r="R4" s="27">
        <f t="shared" si="7"/>
        <v>12</v>
      </c>
      <c r="T4" s="6">
        <v>1</v>
      </c>
      <c r="U4" s="6">
        <f t="array" ref="U4">SUM(IF($Z$2:$Z$64=T4,1,0))</f>
        <v>10</v>
      </c>
      <c r="W4" s="5">
        <f>D_马仔宝物!A4</f>
        <v>92228</v>
      </c>
      <c r="X4" s="5" t="str">
        <f>D_马仔宝物!B4</f>
        <v>银色手环</v>
      </c>
      <c r="Y4" s="5" t="str">
        <f>D_马仔宝物!E4</f>
        <v>92228.png</v>
      </c>
      <c r="Z4" s="5">
        <f>D_马仔宝物!F4</f>
        <v>0</v>
      </c>
      <c r="AA4" s="5">
        <f>D_马仔宝物!H4</f>
        <v>0</v>
      </c>
      <c r="AB4" s="5">
        <f>D_马仔宝物!I4</f>
        <v>0</v>
      </c>
      <c r="AC4" s="5">
        <f>D_马仔宝物!J4</f>
        <v>4</v>
      </c>
      <c r="AD4" s="6">
        <f t="shared" si="1"/>
        <v>4</v>
      </c>
    </row>
    <row r="5" spans="1:37">
      <c r="A5" s="20">
        <f t="shared" si="8"/>
        <v>101101</v>
      </c>
      <c r="B5" s="5" t="str">
        <f t="shared" si="9"/>
        <v>制服太妹</v>
      </c>
      <c r="C5" s="5">
        <f t="shared" si="10"/>
        <v>0</v>
      </c>
      <c r="D5" s="6">
        <v>3</v>
      </c>
      <c r="E5" s="5">
        <v>1</v>
      </c>
      <c r="F5" s="125">
        <v>92264</v>
      </c>
      <c r="G5" s="126">
        <v>92283</v>
      </c>
      <c r="H5" s="125">
        <v>92122</v>
      </c>
      <c r="I5" s="125">
        <v>92278</v>
      </c>
      <c r="J5" s="125">
        <v>92245</v>
      </c>
      <c r="K5" s="125">
        <v>92141</v>
      </c>
      <c r="L5" s="5">
        <f t="shared" si="0"/>
        <v>125.68</v>
      </c>
      <c r="M5" s="6">
        <f t="shared" si="2"/>
        <v>617</v>
      </c>
      <c r="N5" s="6">
        <f t="shared" si="3"/>
        <v>62</v>
      </c>
      <c r="O5" s="6">
        <f t="shared" si="4"/>
        <v>39</v>
      </c>
      <c r="P5" s="27">
        <f t="shared" si="5"/>
        <v>2264</v>
      </c>
      <c r="Q5" s="27">
        <f t="shared" si="6"/>
        <v>102</v>
      </c>
      <c r="R5" s="27">
        <f t="shared" si="7"/>
        <v>38</v>
      </c>
      <c r="T5" s="6">
        <v>2</v>
      </c>
      <c r="U5" s="6">
        <f t="array" ref="U5">SUM(IF($Z$2:$Z$64=T5,1,0))</f>
        <v>10</v>
      </c>
      <c r="W5" s="5">
        <f>D_马仔宝物!A5</f>
        <v>92232</v>
      </c>
      <c r="X5" s="5" t="str">
        <f>D_马仔宝物!B5</f>
        <v>鎏金手环</v>
      </c>
      <c r="Y5" s="5" t="str">
        <f>D_马仔宝物!E5</f>
        <v>92232.png</v>
      </c>
      <c r="Z5" s="5">
        <f>D_马仔宝物!F5</f>
        <v>0</v>
      </c>
      <c r="AA5" s="5">
        <f>D_马仔宝物!H5</f>
        <v>206</v>
      </c>
      <c r="AB5" s="5">
        <f>D_马仔宝物!I5</f>
        <v>0</v>
      </c>
      <c r="AC5" s="5">
        <f>D_马仔宝物!J5</f>
        <v>0</v>
      </c>
      <c r="AD5" s="6">
        <f t="shared" si="1"/>
        <v>8.24</v>
      </c>
    </row>
    <row r="6" spans="1:37">
      <c r="A6" s="20">
        <f t="shared" si="8"/>
        <v>101101</v>
      </c>
      <c r="B6" s="5" t="str">
        <f t="shared" si="9"/>
        <v>制服太妹</v>
      </c>
      <c r="C6" s="5">
        <f t="shared" si="10"/>
        <v>0</v>
      </c>
      <c r="D6" s="6">
        <v>4</v>
      </c>
      <c r="E6" s="5">
        <v>2</v>
      </c>
      <c r="F6" s="127">
        <v>92142</v>
      </c>
      <c r="G6" s="127">
        <v>92235</v>
      </c>
      <c r="H6" s="127">
        <v>92012</v>
      </c>
      <c r="I6" s="132">
        <v>92284</v>
      </c>
      <c r="J6" s="127">
        <v>92124</v>
      </c>
      <c r="K6" s="127">
        <v>92272</v>
      </c>
      <c r="L6" s="5">
        <f t="shared" si="0"/>
        <v>219.48</v>
      </c>
      <c r="M6" s="6">
        <f t="shared" si="2"/>
        <v>3087</v>
      </c>
      <c r="N6" s="6">
        <f t="shared" si="3"/>
        <v>52</v>
      </c>
      <c r="O6" s="6">
        <f t="shared" si="4"/>
        <v>44</v>
      </c>
      <c r="P6" s="27">
        <f t="shared" si="5"/>
        <v>2881</v>
      </c>
      <c r="Q6" s="27">
        <f t="shared" si="6"/>
        <v>164</v>
      </c>
      <c r="R6" s="27">
        <f t="shared" si="7"/>
        <v>77</v>
      </c>
      <c r="T6" s="6">
        <v>3</v>
      </c>
      <c r="U6" s="6">
        <f t="array" ref="U6">SUM(IF($Z$2:$Z$64=T6,1,0))</f>
        <v>12</v>
      </c>
      <c r="W6" s="5">
        <f>D_马仔宝物!A6</f>
        <v>92121</v>
      </c>
      <c r="X6" s="5" t="str">
        <f>D_马仔宝物!B6</f>
        <v>镀金耳钉</v>
      </c>
      <c r="Y6" s="5" t="str">
        <f>D_马仔宝物!E6</f>
        <v>92121.png</v>
      </c>
      <c r="Z6" s="5">
        <f>D_马仔宝物!F6</f>
        <v>0</v>
      </c>
      <c r="AA6" s="5">
        <f>D_马仔宝物!H6</f>
        <v>0</v>
      </c>
      <c r="AB6" s="5">
        <f>D_马仔宝物!I6</f>
        <v>10</v>
      </c>
      <c r="AC6" s="5">
        <f>D_马仔宝物!J6</f>
        <v>0</v>
      </c>
      <c r="AD6" s="6">
        <f t="shared" si="1"/>
        <v>10</v>
      </c>
    </row>
    <row r="7" spans="1:37">
      <c r="A7" s="20">
        <f t="shared" si="8"/>
        <v>101101</v>
      </c>
      <c r="B7" s="5" t="str">
        <f t="shared" si="9"/>
        <v>制服太妹</v>
      </c>
      <c r="C7" s="5">
        <f t="shared" si="10"/>
        <v>0</v>
      </c>
      <c r="D7" s="6">
        <v>5</v>
      </c>
      <c r="E7" s="5">
        <v>2</v>
      </c>
      <c r="F7" s="127">
        <v>92012</v>
      </c>
      <c r="G7" s="132">
        <v>92284</v>
      </c>
      <c r="H7" s="127">
        <v>92235</v>
      </c>
      <c r="I7" s="127">
        <v>92124</v>
      </c>
      <c r="J7" s="132">
        <v>92288</v>
      </c>
      <c r="K7" s="127">
        <v>92272</v>
      </c>
      <c r="L7" s="5">
        <f t="shared" si="0"/>
        <v>219.48</v>
      </c>
      <c r="M7" s="6">
        <f t="shared" si="2"/>
        <v>3087</v>
      </c>
      <c r="N7" s="6">
        <f t="shared" si="3"/>
        <v>52</v>
      </c>
      <c r="O7" s="6">
        <f t="shared" si="4"/>
        <v>44</v>
      </c>
      <c r="P7" s="27">
        <f t="shared" si="5"/>
        <v>5968</v>
      </c>
      <c r="Q7" s="27">
        <f t="shared" si="6"/>
        <v>216</v>
      </c>
      <c r="R7" s="27">
        <f t="shared" si="7"/>
        <v>121</v>
      </c>
      <c r="T7" s="6">
        <v>4</v>
      </c>
      <c r="U7" s="6">
        <f t="array" ref="U7">SUM(IF($Z$2:$Z$64=T7,1,0))</f>
        <v>22</v>
      </c>
      <c r="W7" s="5">
        <f>D_马仔宝物!A7</f>
        <v>92243</v>
      </c>
      <c r="X7" s="5" t="str">
        <f>D_马仔宝物!B7</f>
        <v>诅咒项链</v>
      </c>
      <c r="Y7" s="5" t="str">
        <f>D_马仔宝物!E7</f>
        <v>92243.png</v>
      </c>
      <c r="Z7" s="5">
        <f>D_马仔宝物!F7</f>
        <v>0</v>
      </c>
      <c r="AA7" s="5">
        <f>D_马仔宝物!H7</f>
        <v>0</v>
      </c>
      <c r="AB7" s="5">
        <f>D_马仔宝物!I7</f>
        <v>0</v>
      </c>
      <c r="AC7" s="5">
        <f>D_马仔宝物!J7</f>
        <v>4</v>
      </c>
      <c r="AD7" s="6">
        <f t="shared" si="1"/>
        <v>4</v>
      </c>
      <c r="AI7" s="16" t="s">
        <v>0</v>
      </c>
      <c r="AJ7" s="16" t="s">
        <v>1</v>
      </c>
      <c r="AK7" s="33" t="s">
        <v>2</v>
      </c>
    </row>
    <row r="8" spans="1:37">
      <c r="A8" s="20">
        <f t="shared" si="8"/>
        <v>101101</v>
      </c>
      <c r="B8" s="5" t="str">
        <f t="shared" si="9"/>
        <v>制服太妹</v>
      </c>
      <c r="C8" s="5">
        <f t="shared" si="10"/>
        <v>0</v>
      </c>
      <c r="D8" s="6">
        <v>6</v>
      </c>
      <c r="E8" s="5">
        <v>3</v>
      </c>
      <c r="F8" s="131">
        <v>92125</v>
      </c>
      <c r="G8" s="131">
        <v>92134</v>
      </c>
      <c r="H8" s="131">
        <v>92223</v>
      </c>
      <c r="I8" s="131">
        <v>92227</v>
      </c>
      <c r="J8" s="131">
        <v>92236</v>
      </c>
      <c r="K8" s="131">
        <v>92013</v>
      </c>
      <c r="L8" s="5">
        <f t="shared" si="0"/>
        <v>296.60000000000002</v>
      </c>
      <c r="M8" s="6">
        <f t="shared" si="2"/>
        <v>1440</v>
      </c>
      <c r="N8" s="6">
        <f t="shared" si="3"/>
        <v>146</v>
      </c>
      <c r="O8" s="6">
        <f t="shared" si="4"/>
        <v>93</v>
      </c>
      <c r="P8" s="27">
        <f t="shared" si="5"/>
        <v>9055</v>
      </c>
      <c r="Q8" s="27">
        <f t="shared" si="6"/>
        <v>268</v>
      </c>
      <c r="R8" s="27">
        <f t="shared" si="7"/>
        <v>165</v>
      </c>
      <c r="W8" s="5">
        <f>D_马仔宝物!A8</f>
        <v>92244</v>
      </c>
      <c r="X8" s="5" t="str">
        <f>D_马仔宝物!B8</f>
        <v>金饰项链</v>
      </c>
      <c r="Y8" s="5" t="str">
        <f>D_马仔宝物!E8</f>
        <v>92244.png</v>
      </c>
      <c r="Z8" s="5">
        <f>D_马仔宝物!F8</f>
        <v>0</v>
      </c>
      <c r="AA8" s="5">
        <f>D_马仔宝物!H8</f>
        <v>206</v>
      </c>
      <c r="AB8" s="5">
        <f>D_马仔宝物!I8</f>
        <v>0</v>
      </c>
      <c r="AC8" s="5">
        <f>D_马仔宝物!J8</f>
        <v>0</v>
      </c>
      <c r="AD8" s="6">
        <f t="shared" si="1"/>
        <v>8.24</v>
      </c>
      <c r="AH8" s="6" t="s">
        <v>115</v>
      </c>
      <c r="AI8" s="6">
        <f>[1]各种公式!C13</f>
        <v>0.04</v>
      </c>
      <c r="AJ8" s="6">
        <f>[1]各种公式!D13</f>
        <v>1</v>
      </c>
      <c r="AK8" s="6">
        <f>[1]各种公式!E13</f>
        <v>1</v>
      </c>
    </row>
    <row r="9" spans="1:37">
      <c r="A9" s="20">
        <f t="shared" si="8"/>
        <v>101101</v>
      </c>
      <c r="B9" s="5" t="str">
        <f t="shared" si="9"/>
        <v>制服太妹</v>
      </c>
      <c r="C9" s="5">
        <f t="shared" si="10"/>
        <v>0</v>
      </c>
      <c r="D9" s="6">
        <v>7</v>
      </c>
      <c r="E9" s="5">
        <v>3</v>
      </c>
      <c r="F9" s="131">
        <v>92134</v>
      </c>
      <c r="G9" s="129">
        <v>92285</v>
      </c>
      <c r="H9" s="131">
        <v>92280</v>
      </c>
      <c r="I9" s="131">
        <v>92223</v>
      </c>
      <c r="J9" s="131">
        <v>92227</v>
      </c>
      <c r="K9" s="129">
        <v>92289</v>
      </c>
      <c r="L9" s="5">
        <f t="shared" si="0"/>
        <v>323.2</v>
      </c>
      <c r="M9" s="6">
        <f t="shared" si="2"/>
        <v>2880</v>
      </c>
      <c r="N9" s="6">
        <f t="shared" si="3"/>
        <v>146</v>
      </c>
      <c r="O9" s="6">
        <f t="shared" si="4"/>
        <v>62</v>
      </c>
      <c r="P9" s="27">
        <f t="shared" si="5"/>
        <v>10495</v>
      </c>
      <c r="Q9" s="27">
        <f t="shared" si="6"/>
        <v>414</v>
      </c>
      <c r="R9" s="27">
        <f t="shared" si="7"/>
        <v>258</v>
      </c>
      <c r="W9" s="5">
        <f>D_马仔宝物!A9</f>
        <v>92263</v>
      </c>
      <c r="X9" s="5" t="str">
        <f>D_马仔宝物!B9</f>
        <v>银针手表</v>
      </c>
      <c r="Y9" s="5" t="str">
        <f>D_马仔宝物!E9</f>
        <v>92263.png</v>
      </c>
      <c r="Z9" s="5">
        <f>D_马仔宝物!F9</f>
        <v>0</v>
      </c>
      <c r="AA9" s="5">
        <f>D_马仔宝物!H9</f>
        <v>0</v>
      </c>
      <c r="AB9" s="5">
        <f>D_马仔宝物!I9</f>
        <v>10</v>
      </c>
      <c r="AC9" s="5">
        <f>D_马仔宝物!J9</f>
        <v>0</v>
      </c>
      <c r="AD9" s="6">
        <f t="shared" si="1"/>
        <v>10</v>
      </c>
    </row>
    <row r="10" spans="1:37">
      <c r="A10" s="20">
        <f t="shared" si="8"/>
        <v>101101</v>
      </c>
      <c r="B10" s="5" t="str">
        <f t="shared" si="9"/>
        <v>制服太妹</v>
      </c>
      <c r="C10" s="5">
        <f t="shared" si="10"/>
        <v>0</v>
      </c>
      <c r="D10" s="6">
        <v>8</v>
      </c>
      <c r="E10" s="5">
        <v>4</v>
      </c>
      <c r="F10" s="128">
        <v>92014</v>
      </c>
      <c r="G10" s="128">
        <v>92296</v>
      </c>
      <c r="H10" s="128">
        <v>92240</v>
      </c>
      <c r="I10" s="128">
        <v>92292</v>
      </c>
      <c r="J10" s="128">
        <v>92256</v>
      </c>
      <c r="K10" s="128">
        <v>92261</v>
      </c>
      <c r="L10" s="5">
        <f t="shared" si="0"/>
        <v>416.15999999999997</v>
      </c>
      <c r="M10" s="6">
        <f t="shared" si="2"/>
        <v>3704</v>
      </c>
      <c r="N10" s="6">
        <f t="shared" si="3"/>
        <v>188</v>
      </c>
      <c r="O10" s="6">
        <f t="shared" si="4"/>
        <v>80</v>
      </c>
      <c r="P10" s="27">
        <f t="shared" si="5"/>
        <v>13375</v>
      </c>
      <c r="Q10" s="27">
        <f t="shared" si="6"/>
        <v>560</v>
      </c>
      <c r="R10" s="27">
        <f t="shared" si="7"/>
        <v>320</v>
      </c>
      <c r="W10" s="5">
        <f>D_马仔宝物!A10</f>
        <v>92277</v>
      </c>
      <c r="X10" s="5" t="str">
        <f>D_马仔宝物!B10</f>
        <v>冬利</v>
      </c>
      <c r="Y10" s="5" t="str">
        <f>D_马仔宝物!E10</f>
        <v>92277.png</v>
      </c>
      <c r="Z10" s="5">
        <f>D_马仔宝物!F10</f>
        <v>0</v>
      </c>
      <c r="AA10" s="5">
        <f>D_马仔宝物!H10</f>
        <v>0</v>
      </c>
      <c r="AB10" s="5">
        <f>D_马仔宝物!I10</f>
        <v>0</v>
      </c>
      <c r="AC10" s="5">
        <f>D_马仔宝物!J10</f>
        <v>4</v>
      </c>
      <c r="AD10" s="6">
        <f t="shared" si="1"/>
        <v>4</v>
      </c>
    </row>
    <row r="11" spans="1:37">
      <c r="A11" s="20">
        <f t="shared" si="8"/>
        <v>101101</v>
      </c>
      <c r="B11" s="5" t="str">
        <f t="shared" si="9"/>
        <v>制服太妹</v>
      </c>
      <c r="C11" s="5">
        <f t="shared" si="10"/>
        <v>0</v>
      </c>
      <c r="D11" s="6">
        <v>9</v>
      </c>
      <c r="E11" s="5">
        <v>4</v>
      </c>
      <c r="F11" s="128">
        <v>92296</v>
      </c>
      <c r="G11" s="128">
        <v>92014</v>
      </c>
      <c r="H11" s="130">
        <v>92286</v>
      </c>
      <c r="I11" s="128">
        <v>92275</v>
      </c>
      <c r="J11" s="128">
        <v>92256</v>
      </c>
      <c r="K11" s="130">
        <v>92290</v>
      </c>
      <c r="L11" s="5">
        <f t="shared" si="0"/>
        <v>450.23999999999995</v>
      </c>
      <c r="M11" s="6">
        <f t="shared" si="2"/>
        <v>5556</v>
      </c>
      <c r="N11" s="6">
        <f t="shared" si="3"/>
        <v>188</v>
      </c>
      <c r="O11" s="6">
        <f t="shared" si="4"/>
        <v>40</v>
      </c>
      <c r="P11" s="27">
        <f t="shared" si="5"/>
        <v>17079</v>
      </c>
      <c r="Q11" s="27">
        <f t="shared" si="6"/>
        <v>748</v>
      </c>
      <c r="R11" s="27">
        <f t="shared" si="7"/>
        <v>400</v>
      </c>
      <c r="W11" s="5">
        <f>D_马仔宝物!A11</f>
        <v>92233</v>
      </c>
      <c r="X11" s="5" t="str">
        <f>D_马仔宝物!B11</f>
        <v>白金手环</v>
      </c>
      <c r="Y11" s="5" t="str">
        <f>D_马仔宝物!E11</f>
        <v>92233.png</v>
      </c>
      <c r="Z11" s="5">
        <f>D_马仔宝物!F11</f>
        <v>1</v>
      </c>
      <c r="AA11" s="5">
        <f>D_马仔宝物!H11</f>
        <v>617</v>
      </c>
      <c r="AB11" s="5">
        <f>D_马仔宝物!I11</f>
        <v>0</v>
      </c>
      <c r="AC11" s="5">
        <f>D_马仔宝物!J11</f>
        <v>0</v>
      </c>
      <c r="AD11" s="6">
        <f t="shared" si="1"/>
        <v>24.68</v>
      </c>
    </row>
    <row r="12" spans="1:37">
      <c r="A12" s="20">
        <f t="shared" si="8"/>
        <v>101101</v>
      </c>
      <c r="B12" s="5" t="str">
        <f t="shared" si="9"/>
        <v>制服太妹</v>
      </c>
      <c r="C12" s="5">
        <f t="shared" si="10"/>
        <v>0</v>
      </c>
      <c r="D12" s="6">
        <v>10</v>
      </c>
      <c r="E12" s="5">
        <v>4</v>
      </c>
      <c r="F12" s="128">
        <v>92026</v>
      </c>
      <c r="G12" s="128">
        <v>92255</v>
      </c>
      <c r="H12" s="128">
        <v>92297</v>
      </c>
      <c r="I12" s="128">
        <v>92293</v>
      </c>
      <c r="J12" s="128">
        <v>92294</v>
      </c>
      <c r="K12" s="128">
        <v>92295</v>
      </c>
      <c r="L12" s="5">
        <f t="shared" si="0"/>
        <v>462.64</v>
      </c>
      <c r="M12" s="6">
        <f t="shared" si="2"/>
        <v>4116</v>
      </c>
      <c r="N12" s="6">
        <f t="shared" si="3"/>
        <v>210</v>
      </c>
      <c r="O12" s="6">
        <f t="shared" si="4"/>
        <v>88</v>
      </c>
      <c r="P12" s="27">
        <f t="shared" si="5"/>
        <v>22635</v>
      </c>
      <c r="Q12" s="27">
        <f t="shared" si="6"/>
        <v>936</v>
      </c>
      <c r="R12" s="27">
        <f t="shared" si="7"/>
        <v>440</v>
      </c>
      <c r="W12" s="5">
        <f>D_马仔宝物!A12</f>
        <v>92122</v>
      </c>
      <c r="X12" s="5" t="str">
        <f>D_马仔宝物!B12</f>
        <v>银饰耳钉</v>
      </c>
      <c r="Y12" s="5" t="str">
        <f>D_马仔宝物!E12</f>
        <v>92122.png</v>
      </c>
      <c r="Z12" s="5">
        <f>D_马仔宝物!F12</f>
        <v>1</v>
      </c>
      <c r="AA12" s="5">
        <f>D_马仔宝物!H12</f>
        <v>0</v>
      </c>
      <c r="AB12" s="5">
        <f>D_马仔宝物!I12</f>
        <v>31</v>
      </c>
      <c r="AC12" s="5">
        <f>D_马仔宝物!J12</f>
        <v>0</v>
      </c>
      <c r="AD12" s="6">
        <f t="shared" si="1"/>
        <v>31</v>
      </c>
    </row>
    <row r="13" spans="1:37" ht="14.25" thickBot="1">
      <c r="A13" s="21">
        <f t="shared" si="8"/>
        <v>101101</v>
      </c>
      <c r="B13" s="22" t="str">
        <f t="shared" si="9"/>
        <v>制服太妹</v>
      </c>
      <c r="C13" s="22">
        <f t="shared" si="10"/>
        <v>0</v>
      </c>
      <c r="D13" s="6">
        <v>11</v>
      </c>
      <c r="E13" s="22">
        <v>4</v>
      </c>
      <c r="F13" s="128">
        <v>92282</v>
      </c>
      <c r="G13" s="128">
        <v>92026</v>
      </c>
      <c r="H13" s="130">
        <v>92299</v>
      </c>
      <c r="I13" s="128">
        <v>92293</v>
      </c>
      <c r="J13" s="130">
        <v>92291</v>
      </c>
      <c r="K13" s="128">
        <v>92276</v>
      </c>
      <c r="L13" s="22">
        <f t="shared" si="0"/>
        <v>523.64</v>
      </c>
      <c r="M13" s="6">
        <f t="shared" si="2"/>
        <v>4116</v>
      </c>
      <c r="N13" s="6">
        <f t="shared" si="3"/>
        <v>315</v>
      </c>
      <c r="O13" s="6">
        <f t="shared" si="4"/>
        <v>44</v>
      </c>
      <c r="P13" s="27">
        <f t="shared" si="5"/>
        <v>26751</v>
      </c>
      <c r="Q13" s="27">
        <f t="shared" si="6"/>
        <v>1146</v>
      </c>
      <c r="R13" s="27">
        <f t="shared" si="7"/>
        <v>528</v>
      </c>
      <c r="W13" s="5">
        <f>D_马仔宝物!A13</f>
        <v>92141</v>
      </c>
      <c r="X13" s="5" t="str">
        <f>D_马仔宝物!B13</f>
        <v>白银戒指</v>
      </c>
      <c r="Y13" s="5" t="str">
        <f>D_马仔宝物!E13</f>
        <v>92141.png</v>
      </c>
      <c r="Z13" s="5">
        <f>D_马仔宝物!F13</f>
        <v>1</v>
      </c>
      <c r="AA13" s="5">
        <f>D_马仔宝物!H13</f>
        <v>0</v>
      </c>
      <c r="AB13" s="5">
        <f>D_马仔宝物!I13</f>
        <v>0</v>
      </c>
      <c r="AC13" s="5">
        <f>D_马仔宝物!J13</f>
        <v>13</v>
      </c>
      <c r="AD13" s="6">
        <f t="shared" si="1"/>
        <v>13</v>
      </c>
    </row>
    <row r="14" spans="1:37">
      <c r="A14" s="18">
        <f>D_马仔表!A3</f>
        <v>101102</v>
      </c>
      <c r="B14" s="19" t="str">
        <f>D_马仔表!B3</f>
        <v>蟹仔</v>
      </c>
      <c r="C14" s="19">
        <f>D_马仔表!D3</f>
        <v>0</v>
      </c>
      <c r="D14" s="6">
        <v>0</v>
      </c>
      <c r="E14" s="19">
        <v>0</v>
      </c>
      <c r="F14" s="123">
        <v>92243</v>
      </c>
      <c r="G14" s="123">
        <v>92131</v>
      </c>
      <c r="H14" s="124">
        <v>92277</v>
      </c>
      <c r="I14" s="123">
        <v>92121</v>
      </c>
      <c r="J14" s="123">
        <v>92232</v>
      </c>
      <c r="K14" s="123">
        <v>92244</v>
      </c>
      <c r="L14" s="19">
        <f t="shared" si="0"/>
        <v>42.720000000000006</v>
      </c>
      <c r="M14" s="6">
        <f t="shared" si="2"/>
        <v>618</v>
      </c>
      <c r="N14" s="6">
        <f t="shared" si="3"/>
        <v>10</v>
      </c>
      <c r="O14" s="6">
        <f t="shared" si="4"/>
        <v>8</v>
      </c>
      <c r="P14" s="27">
        <f t="shared" si="5"/>
        <v>0</v>
      </c>
      <c r="Q14" s="27">
        <f t="shared" si="6"/>
        <v>0</v>
      </c>
      <c r="R14" s="27">
        <f t="shared" si="7"/>
        <v>0</v>
      </c>
      <c r="W14" s="5">
        <f>D_马仔宝物!A14</f>
        <v>92245</v>
      </c>
      <c r="X14" s="5" t="str">
        <f>D_马仔宝物!B14</f>
        <v>水晶项链</v>
      </c>
      <c r="Y14" s="5" t="str">
        <f>D_马仔宝物!E14</f>
        <v>92245.png</v>
      </c>
      <c r="Z14" s="5">
        <f>D_马仔宝物!F14</f>
        <v>1</v>
      </c>
      <c r="AA14" s="5">
        <f>D_马仔宝物!H14</f>
        <v>617</v>
      </c>
      <c r="AB14" s="5">
        <f>D_马仔宝物!I14</f>
        <v>0</v>
      </c>
      <c r="AC14" s="5">
        <f>D_马仔宝物!J14</f>
        <v>0</v>
      </c>
      <c r="AD14" s="6">
        <f t="shared" si="1"/>
        <v>24.68</v>
      </c>
    </row>
    <row r="15" spans="1:37">
      <c r="A15" s="20">
        <f>A14</f>
        <v>101102</v>
      </c>
      <c r="B15" s="5" t="str">
        <f>B14</f>
        <v>蟹仔</v>
      </c>
      <c r="C15" s="5">
        <f>C14</f>
        <v>0</v>
      </c>
      <c r="D15" s="6">
        <v>1</v>
      </c>
      <c r="E15" s="5">
        <v>0</v>
      </c>
      <c r="F15" s="123">
        <v>92121</v>
      </c>
      <c r="G15" s="124">
        <v>92263</v>
      </c>
      <c r="H15" s="123">
        <v>92131</v>
      </c>
      <c r="I15" s="123">
        <v>92232</v>
      </c>
      <c r="J15" s="124">
        <v>92277</v>
      </c>
      <c r="K15" s="123">
        <v>92228</v>
      </c>
      <c r="L15" s="5">
        <f t="shared" si="0"/>
        <v>44.480000000000004</v>
      </c>
      <c r="M15" s="6">
        <f t="shared" si="2"/>
        <v>412</v>
      </c>
      <c r="N15" s="6">
        <f t="shared" si="3"/>
        <v>20</v>
      </c>
      <c r="O15" s="6">
        <f t="shared" si="4"/>
        <v>8</v>
      </c>
      <c r="P15" s="27">
        <f t="shared" si="5"/>
        <v>618</v>
      </c>
      <c r="Q15" s="27">
        <f t="shared" si="6"/>
        <v>10</v>
      </c>
      <c r="R15" s="27">
        <f t="shared" si="7"/>
        <v>8</v>
      </c>
      <c r="W15" s="5">
        <f>D_马仔宝物!A15</f>
        <v>92251</v>
      </c>
      <c r="X15" s="5" t="str">
        <f>D_马仔宝物!B15</f>
        <v>红石项链</v>
      </c>
      <c r="Y15" s="5" t="str">
        <f>D_马仔宝物!E15</f>
        <v>92251.png</v>
      </c>
      <c r="Z15" s="5">
        <f>D_马仔宝物!F15</f>
        <v>1</v>
      </c>
      <c r="AA15" s="5">
        <f>D_马仔宝物!H15</f>
        <v>0</v>
      </c>
      <c r="AB15" s="5">
        <f>D_马仔宝物!I15</f>
        <v>31</v>
      </c>
      <c r="AC15" s="5">
        <f>D_马仔宝物!J15</f>
        <v>0</v>
      </c>
      <c r="AD15" s="6">
        <f t="shared" si="1"/>
        <v>31</v>
      </c>
    </row>
    <row r="16" spans="1:37">
      <c r="A16" s="20">
        <f t="shared" ref="A16:A25" si="11">A15</f>
        <v>101102</v>
      </c>
      <c r="B16" s="5" t="str">
        <f t="shared" ref="B16:B25" si="12">B15</f>
        <v>蟹仔</v>
      </c>
      <c r="C16" s="5">
        <f t="shared" ref="C16:C25" si="13">C15</f>
        <v>0</v>
      </c>
      <c r="D16" s="6">
        <v>2</v>
      </c>
      <c r="E16" s="5">
        <v>1</v>
      </c>
      <c r="F16" s="125">
        <v>92278</v>
      </c>
      <c r="G16" s="125">
        <v>92122</v>
      </c>
      <c r="H16" s="125">
        <v>92233</v>
      </c>
      <c r="I16" s="125">
        <v>92251</v>
      </c>
      <c r="J16" s="125">
        <v>92264</v>
      </c>
      <c r="K16" s="125">
        <v>92271</v>
      </c>
      <c r="L16" s="5">
        <f t="shared" si="0"/>
        <v>155.36000000000001</v>
      </c>
      <c r="M16" s="6">
        <f t="shared" si="2"/>
        <v>1234</v>
      </c>
      <c r="N16" s="6">
        <f t="shared" si="3"/>
        <v>93</v>
      </c>
      <c r="O16" s="6">
        <f t="shared" si="4"/>
        <v>13</v>
      </c>
      <c r="P16" s="27">
        <f t="shared" si="5"/>
        <v>1030</v>
      </c>
      <c r="Q16" s="27">
        <f t="shared" si="6"/>
        <v>30</v>
      </c>
      <c r="R16" s="27">
        <f t="shared" si="7"/>
        <v>16</v>
      </c>
      <c r="W16" s="5">
        <f>D_马仔宝物!A16</f>
        <v>92264</v>
      </c>
      <c r="X16" s="5" t="str">
        <f>D_马仔宝物!B16</f>
        <v>越野手表</v>
      </c>
      <c r="Y16" s="5" t="str">
        <f>D_马仔宝物!E16</f>
        <v>92264.png</v>
      </c>
      <c r="Z16" s="5">
        <f>D_马仔宝物!F16</f>
        <v>1</v>
      </c>
      <c r="AA16" s="5">
        <f>D_马仔宝物!H16</f>
        <v>0</v>
      </c>
      <c r="AB16" s="5">
        <f>D_马仔宝物!I16</f>
        <v>0</v>
      </c>
      <c r="AC16" s="5">
        <f>D_马仔宝物!J16</f>
        <v>13</v>
      </c>
      <c r="AD16" s="6">
        <f t="shared" si="1"/>
        <v>13</v>
      </c>
    </row>
    <row r="17" spans="1:30">
      <c r="A17" s="20">
        <f t="shared" si="11"/>
        <v>101102</v>
      </c>
      <c r="B17" s="5" t="str">
        <f t="shared" si="12"/>
        <v>蟹仔</v>
      </c>
      <c r="C17" s="5">
        <f t="shared" si="13"/>
        <v>0</v>
      </c>
      <c r="D17" s="6">
        <v>3</v>
      </c>
      <c r="E17" s="5">
        <v>1</v>
      </c>
      <c r="F17" s="125">
        <v>92278</v>
      </c>
      <c r="G17" s="125">
        <v>92245</v>
      </c>
      <c r="H17" s="125">
        <v>92122</v>
      </c>
      <c r="I17" s="126">
        <v>92283</v>
      </c>
      <c r="J17" s="126">
        <v>92287</v>
      </c>
      <c r="K17" s="125">
        <v>92141</v>
      </c>
      <c r="L17" s="5">
        <f t="shared" si="0"/>
        <v>137.36000000000001</v>
      </c>
      <c r="M17" s="6">
        <f t="shared" si="2"/>
        <v>1234</v>
      </c>
      <c r="N17" s="6">
        <f t="shared" si="3"/>
        <v>62</v>
      </c>
      <c r="O17" s="6">
        <f t="shared" si="4"/>
        <v>26</v>
      </c>
      <c r="P17" s="27">
        <f t="shared" si="5"/>
        <v>2264</v>
      </c>
      <c r="Q17" s="27">
        <f t="shared" si="6"/>
        <v>123</v>
      </c>
      <c r="R17" s="27">
        <f t="shared" si="7"/>
        <v>29</v>
      </c>
      <c r="W17" s="5">
        <f>D_马仔宝物!A17</f>
        <v>92271</v>
      </c>
      <c r="X17" s="5" t="str">
        <f>D_马仔宝物!B17</f>
        <v>精准手表</v>
      </c>
      <c r="Y17" s="5" t="str">
        <f>D_马仔宝物!E17</f>
        <v>92271.png</v>
      </c>
      <c r="Z17" s="5">
        <f>D_马仔宝物!F17</f>
        <v>1</v>
      </c>
      <c r="AA17" s="5">
        <f>D_马仔宝物!H17</f>
        <v>617</v>
      </c>
      <c r="AB17" s="5">
        <f>D_马仔宝物!I17</f>
        <v>0</v>
      </c>
      <c r="AC17" s="5">
        <f>D_马仔宝物!J17</f>
        <v>0</v>
      </c>
      <c r="AD17" s="6">
        <f t="shared" si="1"/>
        <v>24.68</v>
      </c>
    </row>
    <row r="18" spans="1:30">
      <c r="A18" s="20">
        <f t="shared" si="11"/>
        <v>101102</v>
      </c>
      <c r="B18" s="5" t="str">
        <f t="shared" si="12"/>
        <v>蟹仔</v>
      </c>
      <c r="C18" s="5">
        <f t="shared" si="13"/>
        <v>0</v>
      </c>
      <c r="D18" s="6">
        <v>4</v>
      </c>
      <c r="E18" s="5">
        <v>2</v>
      </c>
      <c r="F18" s="127">
        <v>92273</v>
      </c>
      <c r="G18" s="132">
        <v>92288</v>
      </c>
      <c r="H18" s="127">
        <v>92142</v>
      </c>
      <c r="I18" s="127">
        <v>92272</v>
      </c>
      <c r="J18" s="127">
        <v>92124</v>
      </c>
      <c r="K18" s="127">
        <v>92012</v>
      </c>
      <c r="L18" s="5">
        <f t="shared" si="0"/>
        <v>260.32</v>
      </c>
      <c r="M18" s="6">
        <f t="shared" si="2"/>
        <v>2058</v>
      </c>
      <c r="N18" s="6">
        <f t="shared" si="3"/>
        <v>156</v>
      </c>
      <c r="O18" s="6">
        <f t="shared" si="4"/>
        <v>22</v>
      </c>
      <c r="P18" s="27">
        <f t="shared" si="5"/>
        <v>3498</v>
      </c>
      <c r="Q18" s="27">
        <f t="shared" si="6"/>
        <v>185</v>
      </c>
      <c r="R18" s="27">
        <f t="shared" si="7"/>
        <v>55</v>
      </c>
      <c r="W18" s="5">
        <f>D_马仔宝物!A18</f>
        <v>92278</v>
      </c>
      <c r="X18" s="5" t="str">
        <f>D_马仔宝物!B18</f>
        <v>宝驼</v>
      </c>
      <c r="Y18" s="5" t="str">
        <f>D_马仔宝物!E18</f>
        <v>92278.png</v>
      </c>
      <c r="Z18" s="5">
        <f>D_马仔宝物!F18</f>
        <v>1</v>
      </c>
      <c r="AA18" s="5">
        <f>D_马仔宝物!H18</f>
        <v>0</v>
      </c>
      <c r="AB18" s="5">
        <f>D_马仔宝物!I18</f>
        <v>31</v>
      </c>
      <c r="AC18" s="5">
        <f>D_马仔宝物!J18</f>
        <v>0</v>
      </c>
      <c r="AD18" s="6">
        <f t="shared" si="1"/>
        <v>31</v>
      </c>
    </row>
    <row r="19" spans="1:30">
      <c r="A19" s="20">
        <f t="shared" si="11"/>
        <v>101102</v>
      </c>
      <c r="B19" s="5" t="str">
        <f t="shared" si="12"/>
        <v>蟹仔</v>
      </c>
      <c r="C19" s="5">
        <f t="shared" si="13"/>
        <v>0</v>
      </c>
      <c r="D19" s="6">
        <v>5</v>
      </c>
      <c r="E19" s="5">
        <v>2</v>
      </c>
      <c r="F19" s="127">
        <v>92235</v>
      </c>
      <c r="G19" s="127">
        <v>92273</v>
      </c>
      <c r="H19" s="132">
        <v>92284</v>
      </c>
      <c r="I19" s="127">
        <v>92142</v>
      </c>
      <c r="J19" s="132">
        <v>92288</v>
      </c>
      <c r="K19" s="127">
        <v>92252</v>
      </c>
      <c r="L19" s="5">
        <f t="shared" si="0"/>
        <v>271.15999999999997</v>
      </c>
      <c r="M19" s="6">
        <f t="shared" si="2"/>
        <v>1029</v>
      </c>
      <c r="N19" s="6">
        <f t="shared" si="3"/>
        <v>208</v>
      </c>
      <c r="O19" s="6">
        <f t="shared" si="4"/>
        <v>22</v>
      </c>
      <c r="P19" s="27">
        <f t="shared" si="5"/>
        <v>5556</v>
      </c>
      <c r="Q19" s="27">
        <f t="shared" si="6"/>
        <v>341</v>
      </c>
      <c r="R19" s="27">
        <f t="shared" si="7"/>
        <v>77</v>
      </c>
      <c r="W19" s="5">
        <f>D_马仔宝物!A19</f>
        <v>92283</v>
      </c>
      <c r="X19" s="5" t="str">
        <f>D_马仔宝物!B19</f>
        <v>小迭钞票</v>
      </c>
      <c r="Y19" s="5" t="str">
        <f>D_马仔宝物!E19</f>
        <v>92283.png</v>
      </c>
      <c r="Z19" s="5">
        <f>D_马仔宝物!F19</f>
        <v>1</v>
      </c>
      <c r="AA19" s="5">
        <f>D_马仔宝物!H19</f>
        <v>0</v>
      </c>
      <c r="AB19" s="5">
        <f>D_马仔宝物!I19</f>
        <v>0</v>
      </c>
      <c r="AC19" s="5">
        <f>D_马仔宝物!J19</f>
        <v>13</v>
      </c>
      <c r="AD19" s="6">
        <f t="shared" si="1"/>
        <v>13</v>
      </c>
    </row>
    <row r="20" spans="1:30">
      <c r="A20" s="20">
        <f t="shared" si="11"/>
        <v>101102</v>
      </c>
      <c r="B20" s="5" t="str">
        <f t="shared" si="12"/>
        <v>蟹仔</v>
      </c>
      <c r="C20" s="5">
        <f t="shared" si="13"/>
        <v>0</v>
      </c>
      <c r="D20" s="6">
        <v>6</v>
      </c>
      <c r="E20" s="5">
        <v>3</v>
      </c>
      <c r="F20" s="131">
        <v>92274</v>
      </c>
      <c r="G20" s="131">
        <v>92280</v>
      </c>
      <c r="H20" s="131">
        <v>92125</v>
      </c>
      <c r="I20" s="131">
        <v>92227</v>
      </c>
      <c r="J20" s="131">
        <v>92134</v>
      </c>
      <c r="K20" s="131">
        <v>92223</v>
      </c>
      <c r="L20" s="5">
        <f t="shared" si="0"/>
        <v>281.2</v>
      </c>
      <c r="M20" s="6">
        <f t="shared" si="2"/>
        <v>2880</v>
      </c>
      <c r="N20" s="6">
        <f t="shared" si="3"/>
        <v>73</v>
      </c>
      <c r="O20" s="6">
        <f t="shared" si="4"/>
        <v>93</v>
      </c>
      <c r="P20" s="27">
        <f t="shared" si="5"/>
        <v>6585</v>
      </c>
      <c r="Q20" s="27">
        <f t="shared" si="6"/>
        <v>549</v>
      </c>
      <c r="R20" s="27">
        <f t="shared" si="7"/>
        <v>99</v>
      </c>
      <c r="W20" s="5">
        <f>D_马仔宝物!A20</f>
        <v>92287</v>
      </c>
      <c r="X20" s="5" t="str">
        <f>D_马仔宝物!B20</f>
        <v>金块</v>
      </c>
      <c r="Y20" s="5" t="str">
        <f>D_马仔宝物!E20</f>
        <v>92287.png</v>
      </c>
      <c r="Z20" s="5">
        <f>D_马仔宝物!F20</f>
        <v>1</v>
      </c>
      <c r="AA20" s="5">
        <f>D_马仔宝物!H20</f>
        <v>617</v>
      </c>
      <c r="AB20" s="5">
        <f>D_马仔宝物!I20</f>
        <v>0</v>
      </c>
      <c r="AC20" s="5">
        <f>D_马仔宝物!J20</f>
        <v>0</v>
      </c>
      <c r="AD20" s="6">
        <f t="shared" si="1"/>
        <v>24.68</v>
      </c>
    </row>
    <row r="21" spans="1:30">
      <c r="A21" s="20">
        <f t="shared" si="11"/>
        <v>101102</v>
      </c>
      <c r="B21" s="5" t="str">
        <f t="shared" si="12"/>
        <v>蟹仔</v>
      </c>
      <c r="C21" s="5">
        <f t="shared" si="13"/>
        <v>0</v>
      </c>
      <c r="D21" s="6">
        <v>7</v>
      </c>
      <c r="E21" s="5">
        <v>3</v>
      </c>
      <c r="F21" s="131">
        <v>92274</v>
      </c>
      <c r="G21" s="129">
        <v>92289</v>
      </c>
      <c r="H21" s="131">
        <v>92280</v>
      </c>
      <c r="I21" s="129">
        <v>92285</v>
      </c>
      <c r="J21" s="131">
        <v>92125</v>
      </c>
      <c r="K21" s="131">
        <v>92236</v>
      </c>
      <c r="L21" s="5">
        <f t="shared" si="0"/>
        <v>296.60000000000002</v>
      </c>
      <c r="M21" s="6">
        <f t="shared" si="2"/>
        <v>1440</v>
      </c>
      <c r="N21" s="6">
        <f t="shared" si="3"/>
        <v>146</v>
      </c>
      <c r="O21" s="6">
        <f t="shared" si="4"/>
        <v>93</v>
      </c>
      <c r="P21" s="27">
        <f t="shared" si="5"/>
        <v>9465</v>
      </c>
      <c r="Q21" s="27">
        <f t="shared" si="6"/>
        <v>622</v>
      </c>
      <c r="R21" s="27">
        <f t="shared" si="7"/>
        <v>192</v>
      </c>
      <c r="W21" s="5">
        <f>D_马仔宝物!A21</f>
        <v>92142</v>
      </c>
      <c r="X21" s="5" t="str">
        <f>D_马仔宝物!B21</f>
        <v>黄金戒指</v>
      </c>
      <c r="Y21" s="5" t="str">
        <f>D_马仔宝物!E21</f>
        <v>92142.png</v>
      </c>
      <c r="Z21" s="5">
        <f>D_马仔宝物!F21</f>
        <v>2</v>
      </c>
      <c r="AA21" s="5">
        <f>D_马仔宝物!H21</f>
        <v>0</v>
      </c>
      <c r="AB21" s="5">
        <f>D_马仔宝物!I21</f>
        <v>52</v>
      </c>
      <c r="AC21" s="5">
        <f>D_马仔宝物!J21</f>
        <v>0</v>
      </c>
      <c r="AD21" s="6">
        <f t="shared" si="1"/>
        <v>52</v>
      </c>
    </row>
    <row r="22" spans="1:30">
      <c r="A22" s="20">
        <f t="shared" si="11"/>
        <v>101102</v>
      </c>
      <c r="B22" s="5" t="str">
        <f t="shared" si="12"/>
        <v>蟹仔</v>
      </c>
      <c r="C22" s="5">
        <f t="shared" si="13"/>
        <v>0</v>
      </c>
      <c r="D22" s="6">
        <v>8</v>
      </c>
      <c r="E22" s="5">
        <v>4</v>
      </c>
      <c r="F22" s="128">
        <v>92275</v>
      </c>
      <c r="G22" s="128">
        <v>92256</v>
      </c>
      <c r="H22" s="128">
        <v>92014</v>
      </c>
      <c r="I22" s="128">
        <v>92296</v>
      </c>
      <c r="J22" s="128">
        <v>92240</v>
      </c>
      <c r="K22" s="128">
        <v>92281</v>
      </c>
      <c r="L22" s="5">
        <f t="shared" si="0"/>
        <v>470.15999999999997</v>
      </c>
      <c r="M22" s="6">
        <f t="shared" si="2"/>
        <v>3704</v>
      </c>
      <c r="N22" s="6">
        <f t="shared" si="3"/>
        <v>282</v>
      </c>
      <c r="O22" s="6">
        <f t="shared" si="4"/>
        <v>40</v>
      </c>
      <c r="P22" s="27">
        <f t="shared" si="5"/>
        <v>10905</v>
      </c>
      <c r="Q22" s="27">
        <f t="shared" si="6"/>
        <v>768</v>
      </c>
      <c r="R22" s="27">
        <f t="shared" si="7"/>
        <v>285</v>
      </c>
      <c r="W22" s="5">
        <f>D_马仔宝物!A22</f>
        <v>92235</v>
      </c>
      <c r="X22" s="5" t="str">
        <f>D_马仔宝物!B22</f>
        <v>宝石手环</v>
      </c>
      <c r="Y22" s="5" t="str">
        <f>D_马仔宝物!E22</f>
        <v>92235.png</v>
      </c>
      <c r="Z22" s="5">
        <f>D_马仔宝物!F22</f>
        <v>2</v>
      </c>
      <c r="AA22" s="5">
        <f>D_马仔宝物!H22</f>
        <v>0</v>
      </c>
      <c r="AB22" s="5">
        <f>D_马仔宝物!I22</f>
        <v>0</v>
      </c>
      <c r="AC22" s="5">
        <f>D_马仔宝物!J22</f>
        <v>22</v>
      </c>
      <c r="AD22" s="6">
        <f t="shared" si="1"/>
        <v>22</v>
      </c>
    </row>
    <row r="23" spans="1:30">
      <c r="A23" s="20">
        <f t="shared" si="11"/>
        <v>101102</v>
      </c>
      <c r="B23" s="5" t="str">
        <f t="shared" si="12"/>
        <v>蟹仔</v>
      </c>
      <c r="C23" s="5">
        <f t="shared" si="13"/>
        <v>0</v>
      </c>
      <c r="D23" s="6">
        <v>9</v>
      </c>
      <c r="E23" s="5">
        <v>4</v>
      </c>
      <c r="F23" s="130">
        <v>92290</v>
      </c>
      <c r="G23" s="128">
        <v>92275</v>
      </c>
      <c r="H23" s="130">
        <v>92286</v>
      </c>
      <c r="I23" s="128">
        <v>92014</v>
      </c>
      <c r="J23" s="128">
        <v>92296</v>
      </c>
      <c r="K23" s="128">
        <v>92292</v>
      </c>
      <c r="L23" s="5">
        <f t="shared" si="0"/>
        <v>430.32</v>
      </c>
      <c r="M23" s="6">
        <f t="shared" si="2"/>
        <v>7408</v>
      </c>
      <c r="N23" s="6">
        <f t="shared" si="3"/>
        <v>94</v>
      </c>
      <c r="O23" s="6">
        <f t="shared" si="4"/>
        <v>40</v>
      </c>
      <c r="P23" s="27">
        <f t="shared" si="5"/>
        <v>14609</v>
      </c>
      <c r="Q23" s="27">
        <f t="shared" si="6"/>
        <v>1050</v>
      </c>
      <c r="R23" s="27">
        <f t="shared" si="7"/>
        <v>325</v>
      </c>
      <c r="W23" s="5">
        <f>D_马仔宝物!A23</f>
        <v>92012</v>
      </c>
      <c r="X23" s="5" t="str">
        <f>D_马仔宝物!B23</f>
        <v>摩拉</v>
      </c>
      <c r="Y23" s="5" t="str">
        <f>D_马仔宝物!E23</f>
        <v>92012.png</v>
      </c>
      <c r="Z23" s="5">
        <f>D_马仔宝物!F23</f>
        <v>2</v>
      </c>
      <c r="AA23" s="5">
        <f>D_马仔宝物!H23</f>
        <v>1029</v>
      </c>
      <c r="AB23" s="5">
        <f>D_马仔宝物!I23</f>
        <v>0</v>
      </c>
      <c r="AC23" s="5">
        <f>D_马仔宝物!J23</f>
        <v>0</v>
      </c>
      <c r="AD23" s="6">
        <f t="shared" si="1"/>
        <v>41.160000000000004</v>
      </c>
    </row>
    <row r="24" spans="1:30">
      <c r="A24" s="20">
        <f t="shared" si="11"/>
        <v>101102</v>
      </c>
      <c r="B24" s="5" t="str">
        <f t="shared" si="12"/>
        <v>蟹仔</v>
      </c>
      <c r="C24" s="5">
        <f t="shared" si="13"/>
        <v>0</v>
      </c>
      <c r="D24" s="6">
        <v>10</v>
      </c>
      <c r="E24" s="5">
        <v>4</v>
      </c>
      <c r="F24" s="128">
        <v>92294</v>
      </c>
      <c r="G24" s="128">
        <v>92298</v>
      </c>
      <c r="H24" s="128">
        <v>92026</v>
      </c>
      <c r="I24" s="128">
        <v>92276</v>
      </c>
      <c r="J24" s="128">
        <v>92295</v>
      </c>
      <c r="K24" s="128">
        <v>92255</v>
      </c>
      <c r="L24" s="5">
        <f t="shared" si="0"/>
        <v>401.64</v>
      </c>
      <c r="M24" s="6">
        <f t="shared" si="2"/>
        <v>4116</v>
      </c>
      <c r="N24" s="6">
        <f t="shared" si="3"/>
        <v>105</v>
      </c>
      <c r="O24" s="6">
        <f t="shared" si="4"/>
        <v>132</v>
      </c>
      <c r="P24" s="27">
        <f t="shared" si="5"/>
        <v>22017</v>
      </c>
      <c r="Q24" s="27">
        <f t="shared" si="6"/>
        <v>1144</v>
      </c>
      <c r="R24" s="27">
        <f t="shared" si="7"/>
        <v>365</v>
      </c>
      <c r="W24" s="5">
        <f>D_马仔宝物!A24</f>
        <v>92252</v>
      </c>
      <c r="X24" s="5" t="str">
        <f>D_马仔宝物!B24</f>
        <v>青玉项链</v>
      </c>
      <c r="Y24" s="5" t="str">
        <f>D_马仔宝物!E24</f>
        <v>92252.png</v>
      </c>
      <c r="Z24" s="5">
        <f>D_马仔宝物!F24</f>
        <v>2</v>
      </c>
      <c r="AA24" s="5">
        <f>D_马仔宝物!H24</f>
        <v>0</v>
      </c>
      <c r="AB24" s="5">
        <f>D_马仔宝物!I24</f>
        <v>52</v>
      </c>
      <c r="AC24" s="5">
        <f>D_马仔宝物!J24</f>
        <v>0</v>
      </c>
      <c r="AD24" s="6">
        <f t="shared" si="1"/>
        <v>52</v>
      </c>
    </row>
    <row r="25" spans="1:30" ht="14.25" thickBot="1">
      <c r="A25" s="21">
        <f t="shared" si="11"/>
        <v>101102</v>
      </c>
      <c r="B25" s="22" t="str">
        <f t="shared" si="12"/>
        <v>蟹仔</v>
      </c>
      <c r="C25" s="22">
        <f t="shared" si="13"/>
        <v>0</v>
      </c>
      <c r="D25" s="6">
        <v>11</v>
      </c>
      <c r="E25" s="22">
        <v>4</v>
      </c>
      <c r="F25" s="130">
        <v>92291</v>
      </c>
      <c r="G25" s="128">
        <v>92276</v>
      </c>
      <c r="H25" s="128">
        <v>92294</v>
      </c>
      <c r="I25" s="128">
        <v>92026</v>
      </c>
      <c r="J25" s="128">
        <v>92255</v>
      </c>
      <c r="K25" s="130">
        <v>92299</v>
      </c>
      <c r="L25" s="22">
        <f t="shared" si="0"/>
        <v>401.64</v>
      </c>
      <c r="M25" s="6">
        <f t="shared" si="2"/>
        <v>4116</v>
      </c>
      <c r="N25" s="6">
        <f t="shared" si="3"/>
        <v>105</v>
      </c>
      <c r="O25" s="6">
        <f t="shared" si="4"/>
        <v>132</v>
      </c>
      <c r="P25" s="27">
        <f t="shared" si="5"/>
        <v>26133</v>
      </c>
      <c r="Q25" s="27">
        <f t="shared" si="6"/>
        <v>1249</v>
      </c>
      <c r="R25" s="27">
        <f t="shared" si="7"/>
        <v>497</v>
      </c>
      <c r="W25" s="5">
        <f>D_马仔宝物!A25</f>
        <v>92124</v>
      </c>
      <c r="X25" s="5" t="str">
        <f>D_马仔宝物!B25</f>
        <v>水晶耳钉</v>
      </c>
      <c r="Y25" s="5" t="str">
        <f>D_马仔宝物!E25</f>
        <v>92124.png</v>
      </c>
      <c r="Z25" s="5">
        <f>D_马仔宝物!F25</f>
        <v>2</v>
      </c>
      <c r="AA25" s="5">
        <f>D_马仔宝物!H25</f>
        <v>0</v>
      </c>
      <c r="AB25" s="5">
        <f>D_马仔宝物!I25</f>
        <v>0</v>
      </c>
      <c r="AC25" s="5">
        <f>D_马仔宝物!J25</f>
        <v>22</v>
      </c>
      <c r="AD25" s="6">
        <f t="shared" si="1"/>
        <v>22</v>
      </c>
    </row>
    <row r="26" spans="1:30">
      <c r="A26" s="18">
        <f>D_马仔表!A4</f>
        <v>101103</v>
      </c>
      <c r="B26" s="19" t="str">
        <f>D_马仔表!B4</f>
        <v>比利</v>
      </c>
      <c r="C26" s="19">
        <f>D_马仔表!D4</f>
        <v>0</v>
      </c>
      <c r="D26" s="6">
        <v>0</v>
      </c>
      <c r="E26" s="19">
        <v>0</v>
      </c>
      <c r="F26" s="123">
        <v>92232</v>
      </c>
      <c r="G26" s="123">
        <v>92011</v>
      </c>
      <c r="H26" s="123">
        <v>92121</v>
      </c>
      <c r="I26" s="124">
        <v>92263</v>
      </c>
      <c r="J26" s="123">
        <v>92228</v>
      </c>
      <c r="K26" s="123">
        <v>92244</v>
      </c>
      <c r="L26" s="19">
        <f t="shared" si="0"/>
        <v>50.480000000000004</v>
      </c>
      <c r="M26" s="6">
        <f t="shared" si="2"/>
        <v>412</v>
      </c>
      <c r="N26" s="6">
        <f t="shared" si="3"/>
        <v>30</v>
      </c>
      <c r="O26" s="6">
        <f t="shared" si="4"/>
        <v>4</v>
      </c>
      <c r="P26" s="27">
        <f t="shared" si="5"/>
        <v>0</v>
      </c>
      <c r="Q26" s="27">
        <f t="shared" si="6"/>
        <v>0</v>
      </c>
      <c r="R26" s="27">
        <f t="shared" si="7"/>
        <v>0</v>
      </c>
      <c r="W26" s="5">
        <f>D_马仔宝物!A26</f>
        <v>92272</v>
      </c>
      <c r="X26" s="5" t="str">
        <f>D_马仔宝物!B26</f>
        <v>金针手表</v>
      </c>
      <c r="Y26" s="5" t="str">
        <f>D_马仔宝物!E26</f>
        <v>92272.png</v>
      </c>
      <c r="Z26" s="5">
        <f>D_马仔宝物!F26</f>
        <v>2</v>
      </c>
      <c r="AA26" s="5">
        <f>D_马仔宝物!H26</f>
        <v>1029</v>
      </c>
      <c r="AB26" s="5">
        <f>D_马仔宝物!I26</f>
        <v>0</v>
      </c>
      <c r="AC26" s="5">
        <f>D_马仔宝物!J26</f>
        <v>0</v>
      </c>
      <c r="AD26" s="6">
        <f t="shared" si="1"/>
        <v>41.160000000000004</v>
      </c>
    </row>
    <row r="27" spans="1:30">
      <c r="A27" s="20">
        <f>A26</f>
        <v>101103</v>
      </c>
      <c r="B27" s="5" t="str">
        <f>B26</f>
        <v>比利</v>
      </c>
      <c r="C27" s="5">
        <f>C26</f>
        <v>0</v>
      </c>
      <c r="D27" s="6">
        <v>1</v>
      </c>
      <c r="E27" s="5">
        <v>0</v>
      </c>
      <c r="F27" s="123">
        <v>92011</v>
      </c>
      <c r="G27" s="123">
        <v>92121</v>
      </c>
      <c r="H27" s="123">
        <v>92232</v>
      </c>
      <c r="I27" s="123">
        <v>92244</v>
      </c>
      <c r="J27" s="124">
        <v>92277</v>
      </c>
      <c r="K27" s="123">
        <v>92243</v>
      </c>
      <c r="L27" s="5">
        <f t="shared" si="0"/>
        <v>44.480000000000004</v>
      </c>
      <c r="M27" s="6">
        <f t="shared" si="2"/>
        <v>412</v>
      </c>
      <c r="N27" s="6">
        <f t="shared" si="3"/>
        <v>20</v>
      </c>
      <c r="O27" s="6">
        <f t="shared" si="4"/>
        <v>8</v>
      </c>
      <c r="P27" s="27">
        <f t="shared" si="5"/>
        <v>412</v>
      </c>
      <c r="Q27" s="27">
        <f t="shared" si="6"/>
        <v>30</v>
      </c>
      <c r="R27" s="27">
        <f t="shared" si="7"/>
        <v>4</v>
      </c>
      <c r="W27" s="5">
        <f>D_马仔宝物!A27</f>
        <v>92273</v>
      </c>
      <c r="X27" s="5" t="str">
        <f>D_马仔宝物!B27</f>
        <v>智能手表</v>
      </c>
      <c r="Y27" s="5" t="str">
        <f>D_马仔宝物!E27</f>
        <v>92273.png</v>
      </c>
      <c r="Z27" s="5">
        <f>D_马仔宝物!F27</f>
        <v>2</v>
      </c>
      <c r="AA27" s="5">
        <f>D_马仔宝物!H27</f>
        <v>0</v>
      </c>
      <c r="AB27" s="5">
        <f>D_马仔宝物!I27</f>
        <v>52</v>
      </c>
      <c r="AC27" s="5">
        <f>D_马仔宝物!J27</f>
        <v>0</v>
      </c>
      <c r="AD27" s="6">
        <f t="shared" si="1"/>
        <v>52</v>
      </c>
    </row>
    <row r="28" spans="1:30">
      <c r="A28" s="20">
        <f t="shared" ref="A28:A37" si="14">A27</f>
        <v>101103</v>
      </c>
      <c r="B28" s="5" t="str">
        <f t="shared" ref="B28:B37" si="15">B27</f>
        <v>比利</v>
      </c>
      <c r="C28" s="5">
        <f t="shared" ref="C28:C37" si="16">C27</f>
        <v>0</v>
      </c>
      <c r="D28" s="6">
        <v>2</v>
      </c>
      <c r="E28" s="5">
        <v>1</v>
      </c>
      <c r="F28" s="125">
        <v>92245</v>
      </c>
      <c r="G28" s="125">
        <v>92251</v>
      </c>
      <c r="H28" s="125">
        <v>92271</v>
      </c>
      <c r="I28" s="125">
        <v>92141</v>
      </c>
      <c r="J28" s="125">
        <v>92233</v>
      </c>
      <c r="K28" s="125">
        <v>92264</v>
      </c>
      <c r="L28" s="5">
        <f t="shared" si="0"/>
        <v>131.04</v>
      </c>
      <c r="M28" s="6">
        <f t="shared" si="2"/>
        <v>1851</v>
      </c>
      <c r="N28" s="6">
        <f t="shared" si="3"/>
        <v>31</v>
      </c>
      <c r="O28" s="6">
        <f t="shared" si="4"/>
        <v>26</v>
      </c>
      <c r="P28" s="27">
        <f t="shared" si="5"/>
        <v>824</v>
      </c>
      <c r="Q28" s="27">
        <f t="shared" si="6"/>
        <v>50</v>
      </c>
      <c r="R28" s="27">
        <f t="shared" si="7"/>
        <v>12</v>
      </c>
      <c r="W28" s="5">
        <f>D_马仔宝物!A28</f>
        <v>92279</v>
      </c>
      <c r="X28" s="5" t="str">
        <f>D_马仔宝物!B28</f>
        <v>宾倪</v>
      </c>
      <c r="Y28" s="5" t="str">
        <f>D_马仔宝物!E28</f>
        <v>92279.png</v>
      </c>
      <c r="Z28" s="5">
        <f>D_马仔宝物!F28</f>
        <v>2</v>
      </c>
      <c r="AA28" s="5">
        <f>D_马仔宝物!H28</f>
        <v>0</v>
      </c>
      <c r="AB28" s="5">
        <f>D_马仔宝物!I28</f>
        <v>0</v>
      </c>
      <c r="AC28" s="5">
        <f>D_马仔宝物!J28</f>
        <v>22</v>
      </c>
      <c r="AD28" s="6">
        <f t="shared" si="1"/>
        <v>22</v>
      </c>
    </row>
    <row r="29" spans="1:30">
      <c r="A29" s="20">
        <f t="shared" si="14"/>
        <v>101103</v>
      </c>
      <c r="B29" s="5" t="str">
        <f t="shared" si="15"/>
        <v>比利</v>
      </c>
      <c r="C29" s="5">
        <f t="shared" si="16"/>
        <v>0</v>
      </c>
      <c r="D29" s="6">
        <v>3</v>
      </c>
      <c r="E29" s="5">
        <v>1</v>
      </c>
      <c r="F29" s="125">
        <v>92245</v>
      </c>
      <c r="G29" s="126">
        <v>92283</v>
      </c>
      <c r="H29" s="125">
        <v>92122</v>
      </c>
      <c r="I29" s="126">
        <v>92287</v>
      </c>
      <c r="J29" s="125">
        <v>92264</v>
      </c>
      <c r="K29" s="125">
        <v>92233</v>
      </c>
      <c r="L29" s="5">
        <f t="shared" si="0"/>
        <v>131.04000000000002</v>
      </c>
      <c r="M29" s="6">
        <f t="shared" si="2"/>
        <v>1851</v>
      </c>
      <c r="N29" s="6">
        <f t="shared" si="3"/>
        <v>31</v>
      </c>
      <c r="O29" s="6">
        <f t="shared" si="4"/>
        <v>26</v>
      </c>
      <c r="P29" s="27">
        <f t="shared" si="5"/>
        <v>2675</v>
      </c>
      <c r="Q29" s="27">
        <f t="shared" si="6"/>
        <v>81</v>
      </c>
      <c r="R29" s="27">
        <f t="shared" si="7"/>
        <v>38</v>
      </c>
      <c r="W29" s="5">
        <f>D_马仔宝物!A29</f>
        <v>92284</v>
      </c>
      <c r="X29" s="5" t="str">
        <f>D_马仔宝物!B29</f>
        <v>大迭钞票</v>
      </c>
      <c r="Y29" s="5" t="str">
        <f>D_马仔宝物!E29</f>
        <v>92284.png</v>
      </c>
      <c r="Z29" s="5">
        <f>D_马仔宝物!F29</f>
        <v>2</v>
      </c>
      <c r="AA29" s="5">
        <f>D_马仔宝物!H29</f>
        <v>1029</v>
      </c>
      <c r="AB29" s="5">
        <f>D_马仔宝物!I29</f>
        <v>0</v>
      </c>
      <c r="AC29" s="5">
        <f>D_马仔宝物!J29</f>
        <v>0</v>
      </c>
      <c r="AD29" s="6">
        <f t="shared" si="1"/>
        <v>41.160000000000004</v>
      </c>
    </row>
    <row r="30" spans="1:30">
      <c r="A30" s="20">
        <f t="shared" si="14"/>
        <v>101103</v>
      </c>
      <c r="B30" s="5" t="str">
        <f t="shared" si="15"/>
        <v>比利</v>
      </c>
      <c r="C30" s="5">
        <f t="shared" si="16"/>
        <v>0</v>
      </c>
      <c r="D30" s="6">
        <v>4</v>
      </c>
      <c r="E30" s="5">
        <v>2</v>
      </c>
      <c r="F30" s="127">
        <v>92272</v>
      </c>
      <c r="G30" s="127">
        <v>92252</v>
      </c>
      <c r="H30" s="127">
        <v>92279</v>
      </c>
      <c r="I30" s="127">
        <v>92235</v>
      </c>
      <c r="J30" s="127">
        <v>92142</v>
      </c>
      <c r="K30" s="132">
        <v>92288</v>
      </c>
      <c r="L30" s="5">
        <f t="shared" si="0"/>
        <v>241.16</v>
      </c>
      <c r="M30" s="6">
        <f t="shared" si="2"/>
        <v>1029</v>
      </c>
      <c r="N30" s="6">
        <f t="shared" si="3"/>
        <v>156</v>
      </c>
      <c r="O30" s="6">
        <f t="shared" si="4"/>
        <v>44</v>
      </c>
      <c r="P30" s="27">
        <f t="shared" si="5"/>
        <v>4526</v>
      </c>
      <c r="Q30" s="27">
        <f t="shared" si="6"/>
        <v>112</v>
      </c>
      <c r="R30" s="27">
        <f t="shared" si="7"/>
        <v>64</v>
      </c>
      <c r="W30" s="5">
        <f>D_马仔宝物!A30</f>
        <v>92288</v>
      </c>
      <c r="X30" s="5" t="str">
        <f>D_马仔宝物!B30</f>
        <v>大金块</v>
      </c>
      <c r="Y30" s="5" t="str">
        <f>D_马仔宝物!E30</f>
        <v>92288.png</v>
      </c>
      <c r="Z30" s="5">
        <f>D_马仔宝物!F30</f>
        <v>2</v>
      </c>
      <c r="AA30" s="5">
        <f>D_马仔宝物!H30</f>
        <v>0</v>
      </c>
      <c r="AB30" s="5">
        <f>D_马仔宝物!I30</f>
        <v>52</v>
      </c>
      <c r="AC30" s="5">
        <f>D_马仔宝物!J30</f>
        <v>0</v>
      </c>
      <c r="AD30" s="6">
        <f t="shared" si="1"/>
        <v>52</v>
      </c>
    </row>
    <row r="31" spans="1:30">
      <c r="A31" s="20">
        <f t="shared" si="14"/>
        <v>101103</v>
      </c>
      <c r="B31" s="5" t="str">
        <f t="shared" si="15"/>
        <v>比利</v>
      </c>
      <c r="C31" s="5">
        <f t="shared" si="16"/>
        <v>0</v>
      </c>
      <c r="D31" s="6">
        <v>5</v>
      </c>
      <c r="E31" s="5">
        <v>2</v>
      </c>
      <c r="F31" s="127">
        <v>92252</v>
      </c>
      <c r="G31" s="132">
        <v>92288</v>
      </c>
      <c r="H31" s="127">
        <v>92279</v>
      </c>
      <c r="I31" s="127">
        <v>92012</v>
      </c>
      <c r="J31" s="132">
        <v>92284</v>
      </c>
      <c r="K31" s="127">
        <v>92142</v>
      </c>
      <c r="L31" s="5">
        <f t="shared" si="0"/>
        <v>260.32</v>
      </c>
      <c r="M31" s="6">
        <f t="shared" si="2"/>
        <v>2058</v>
      </c>
      <c r="N31" s="6">
        <f t="shared" si="3"/>
        <v>156</v>
      </c>
      <c r="O31" s="6">
        <f t="shared" si="4"/>
        <v>22</v>
      </c>
      <c r="P31" s="27">
        <f t="shared" si="5"/>
        <v>5555</v>
      </c>
      <c r="Q31" s="27">
        <f t="shared" si="6"/>
        <v>268</v>
      </c>
      <c r="R31" s="27">
        <f t="shared" si="7"/>
        <v>108</v>
      </c>
      <c r="W31" s="5">
        <f>D_马仔宝物!A31</f>
        <v>92125</v>
      </c>
      <c r="X31" s="5" t="str">
        <f>D_马仔宝物!B31</f>
        <v>红石耳钉</v>
      </c>
      <c r="Y31" s="5" t="str">
        <f>D_马仔宝物!E31</f>
        <v>92125.png</v>
      </c>
      <c r="Z31" s="5">
        <f>D_马仔宝物!F31</f>
        <v>3</v>
      </c>
      <c r="AA31" s="5">
        <f>D_马仔宝物!H31</f>
        <v>0</v>
      </c>
      <c r="AB31" s="5">
        <f>D_马仔宝物!I31</f>
        <v>0</v>
      </c>
      <c r="AC31" s="5">
        <f>D_马仔宝物!J31</f>
        <v>31</v>
      </c>
      <c r="AD31" s="6">
        <f t="shared" si="1"/>
        <v>31</v>
      </c>
    </row>
    <row r="32" spans="1:30">
      <c r="A32" s="20">
        <f t="shared" si="14"/>
        <v>101103</v>
      </c>
      <c r="B32" s="5" t="str">
        <f t="shared" si="15"/>
        <v>比利</v>
      </c>
      <c r="C32" s="5">
        <f t="shared" si="16"/>
        <v>0</v>
      </c>
      <c r="D32" s="6">
        <v>6</v>
      </c>
      <c r="E32" s="5">
        <v>3</v>
      </c>
      <c r="F32" s="131">
        <v>92227</v>
      </c>
      <c r="G32" s="131">
        <v>92274</v>
      </c>
      <c r="H32" s="131">
        <v>92253</v>
      </c>
      <c r="I32" s="131">
        <v>92236</v>
      </c>
      <c r="J32" s="131">
        <v>92125</v>
      </c>
      <c r="K32" s="131">
        <v>92280</v>
      </c>
      <c r="L32" s="5">
        <f t="shared" si="0"/>
        <v>307.8</v>
      </c>
      <c r="M32" s="6">
        <f t="shared" si="2"/>
        <v>4320</v>
      </c>
      <c r="N32" s="6">
        <f t="shared" si="3"/>
        <v>73</v>
      </c>
      <c r="O32" s="6">
        <f t="shared" si="4"/>
        <v>62</v>
      </c>
      <c r="P32" s="27">
        <f t="shared" si="5"/>
        <v>7613</v>
      </c>
      <c r="Q32" s="27">
        <f t="shared" si="6"/>
        <v>424</v>
      </c>
      <c r="R32" s="27">
        <f t="shared" si="7"/>
        <v>130</v>
      </c>
      <c r="W32" s="5">
        <f>D_马仔宝物!A32</f>
        <v>92134</v>
      </c>
      <c r="X32" s="5" t="str">
        <f>D_马仔宝物!B32</f>
        <v>毒蝎耳钉</v>
      </c>
      <c r="Y32" s="5" t="str">
        <f>D_马仔宝物!E32</f>
        <v>92134.png</v>
      </c>
      <c r="Z32" s="5">
        <f>D_马仔宝物!F32</f>
        <v>3</v>
      </c>
      <c r="AA32" s="5">
        <f>D_马仔宝物!H32</f>
        <v>0</v>
      </c>
      <c r="AB32" s="5">
        <f>D_马仔宝物!I32</f>
        <v>73</v>
      </c>
      <c r="AC32" s="5">
        <f>D_马仔宝物!J32</f>
        <v>0</v>
      </c>
      <c r="AD32" s="6">
        <f t="shared" si="1"/>
        <v>73</v>
      </c>
    </row>
    <row r="33" spans="1:30">
      <c r="A33" s="20">
        <f t="shared" si="14"/>
        <v>101103</v>
      </c>
      <c r="B33" s="5" t="str">
        <f t="shared" si="15"/>
        <v>比利</v>
      </c>
      <c r="C33" s="5">
        <f t="shared" si="16"/>
        <v>0</v>
      </c>
      <c r="D33" s="6">
        <v>7</v>
      </c>
      <c r="E33" s="5">
        <v>3</v>
      </c>
      <c r="F33" s="131">
        <v>92253</v>
      </c>
      <c r="G33" s="131">
        <v>92236</v>
      </c>
      <c r="H33" s="129">
        <v>92285</v>
      </c>
      <c r="I33" s="131">
        <v>92274</v>
      </c>
      <c r="J33" s="129">
        <v>92289</v>
      </c>
      <c r="K33" s="131">
        <v>92125</v>
      </c>
      <c r="L33" s="5">
        <f t="shared" si="0"/>
        <v>296.60000000000002</v>
      </c>
      <c r="M33" s="6">
        <f t="shared" si="2"/>
        <v>1440</v>
      </c>
      <c r="N33" s="6">
        <f t="shared" si="3"/>
        <v>146</v>
      </c>
      <c r="O33" s="6">
        <f t="shared" si="4"/>
        <v>93</v>
      </c>
      <c r="P33" s="27">
        <f t="shared" si="5"/>
        <v>11933</v>
      </c>
      <c r="Q33" s="27">
        <f t="shared" si="6"/>
        <v>497</v>
      </c>
      <c r="R33" s="27">
        <f t="shared" si="7"/>
        <v>192</v>
      </c>
      <c r="W33" s="5">
        <f>D_马仔宝物!A33</f>
        <v>92223</v>
      </c>
      <c r="X33" s="5" t="str">
        <f>D_马仔宝物!B33</f>
        <v>赤金戒指</v>
      </c>
      <c r="Y33" s="5" t="str">
        <f>D_马仔宝物!E33</f>
        <v>92223.png</v>
      </c>
      <c r="Z33" s="5">
        <f>D_马仔宝物!F33</f>
        <v>3</v>
      </c>
      <c r="AA33" s="5">
        <f>D_马仔宝物!H33</f>
        <v>0</v>
      </c>
      <c r="AB33" s="5">
        <f>D_马仔宝物!I33</f>
        <v>0</v>
      </c>
      <c r="AC33" s="5">
        <f>D_马仔宝物!J33</f>
        <v>31</v>
      </c>
      <c r="AD33" s="6">
        <f t="shared" si="1"/>
        <v>31</v>
      </c>
    </row>
    <row r="34" spans="1:30">
      <c r="A34" s="20">
        <f t="shared" si="14"/>
        <v>101103</v>
      </c>
      <c r="B34" s="5" t="str">
        <f t="shared" si="15"/>
        <v>比利</v>
      </c>
      <c r="C34" s="5">
        <f t="shared" si="16"/>
        <v>0</v>
      </c>
      <c r="D34" s="6">
        <v>8</v>
      </c>
      <c r="E34" s="5">
        <v>4</v>
      </c>
      <c r="F34" s="128">
        <v>92275</v>
      </c>
      <c r="G34" s="128">
        <v>92240</v>
      </c>
      <c r="H34" s="128">
        <v>92292</v>
      </c>
      <c r="I34" s="128">
        <v>92296</v>
      </c>
      <c r="J34" s="128">
        <v>92014</v>
      </c>
      <c r="K34" s="128">
        <v>92261</v>
      </c>
      <c r="L34" s="5">
        <f t="shared" ref="L34:L65" si="17">VLOOKUP(F34,$W$1:$AD$64,8,FALSE)+VLOOKUP(G34,$W$1:$AD$64,8,FALSE)+VLOOKUP(H34,$W$1:$AD$64,8,FALSE)+VLOOKUP(I34,$W$1:$AD$64,8,FALSE)+VLOOKUP(J34,$W$1:$AD$64,8,FALSE)+VLOOKUP(K34,$W$1:$AD$64,8,FALSE)</f>
        <v>396.23999999999995</v>
      </c>
      <c r="M34" s="6">
        <f t="shared" si="2"/>
        <v>5556</v>
      </c>
      <c r="N34" s="6">
        <f t="shared" si="3"/>
        <v>94</v>
      </c>
      <c r="O34" s="6">
        <f t="shared" si="4"/>
        <v>80</v>
      </c>
      <c r="P34" s="27">
        <f t="shared" si="5"/>
        <v>13373</v>
      </c>
      <c r="Q34" s="27">
        <f t="shared" si="6"/>
        <v>643</v>
      </c>
      <c r="R34" s="27">
        <f t="shared" si="7"/>
        <v>285</v>
      </c>
      <c r="W34" s="5">
        <f>D_马仔宝物!A34</f>
        <v>92227</v>
      </c>
      <c r="X34" s="5" t="str">
        <f>D_马仔宝物!B34</f>
        <v>王者手环</v>
      </c>
      <c r="Y34" s="5" t="str">
        <f>D_马仔宝物!E34</f>
        <v>92227.png</v>
      </c>
      <c r="Z34" s="5">
        <f>D_马仔宝物!F34</f>
        <v>3</v>
      </c>
      <c r="AA34" s="5">
        <f>D_马仔宝物!H34</f>
        <v>1440</v>
      </c>
      <c r="AB34" s="5">
        <f>D_马仔宝物!I34</f>
        <v>0</v>
      </c>
      <c r="AC34" s="5">
        <f>D_马仔宝物!J34</f>
        <v>0</v>
      </c>
      <c r="AD34" s="6">
        <f t="shared" ref="AD34:AD64" si="18">SUMPRODUCT($AI$8:$AK$8,AA34:AC34)</f>
        <v>57.6</v>
      </c>
    </row>
    <row r="35" spans="1:30">
      <c r="A35" s="20">
        <f t="shared" si="14"/>
        <v>101103</v>
      </c>
      <c r="B35" s="5" t="str">
        <f t="shared" si="15"/>
        <v>比利</v>
      </c>
      <c r="C35" s="5">
        <f t="shared" si="16"/>
        <v>0</v>
      </c>
      <c r="D35" s="6">
        <v>9</v>
      </c>
      <c r="E35" s="5">
        <v>4</v>
      </c>
      <c r="F35" s="128">
        <v>92292</v>
      </c>
      <c r="G35" s="128">
        <v>92281</v>
      </c>
      <c r="H35" s="128">
        <v>92296</v>
      </c>
      <c r="I35" s="130">
        <v>92286</v>
      </c>
      <c r="J35" s="128">
        <v>92261</v>
      </c>
      <c r="K35" s="130">
        <v>92290</v>
      </c>
      <c r="L35" s="5">
        <f t="shared" si="17"/>
        <v>416.15999999999997</v>
      </c>
      <c r="M35" s="6">
        <f t="shared" si="2"/>
        <v>3704</v>
      </c>
      <c r="N35" s="6">
        <f t="shared" si="3"/>
        <v>188</v>
      </c>
      <c r="O35" s="6">
        <f t="shared" si="4"/>
        <v>80</v>
      </c>
      <c r="P35" s="27">
        <f t="shared" si="5"/>
        <v>18929</v>
      </c>
      <c r="Q35" s="27">
        <f t="shared" si="6"/>
        <v>737</v>
      </c>
      <c r="R35" s="27">
        <f t="shared" si="7"/>
        <v>365</v>
      </c>
      <c r="W35" s="5">
        <f>D_马仔宝物!A35</f>
        <v>92236</v>
      </c>
      <c r="X35" s="5" t="str">
        <f>D_马仔宝物!B35</f>
        <v>符文手环</v>
      </c>
      <c r="Y35" s="5" t="str">
        <f>D_马仔宝物!E35</f>
        <v>92236.png</v>
      </c>
      <c r="Z35" s="5">
        <f>D_马仔宝物!F35</f>
        <v>3</v>
      </c>
      <c r="AA35" s="5">
        <f>D_马仔宝物!H35</f>
        <v>0</v>
      </c>
      <c r="AB35" s="5">
        <f>D_马仔宝物!I35</f>
        <v>73</v>
      </c>
      <c r="AC35" s="5">
        <f>D_马仔宝物!J35</f>
        <v>0</v>
      </c>
      <c r="AD35" s="6">
        <f t="shared" si="18"/>
        <v>73</v>
      </c>
    </row>
    <row r="36" spans="1:30">
      <c r="A36" s="20">
        <f t="shared" si="14"/>
        <v>101103</v>
      </c>
      <c r="B36" s="5" t="str">
        <f t="shared" si="15"/>
        <v>比利</v>
      </c>
      <c r="C36" s="5">
        <f t="shared" si="16"/>
        <v>0</v>
      </c>
      <c r="D36" s="6">
        <v>10</v>
      </c>
      <c r="E36" s="5">
        <v>4</v>
      </c>
      <c r="F36" s="128">
        <v>92295</v>
      </c>
      <c r="G36" s="128">
        <v>92262</v>
      </c>
      <c r="H36" s="128">
        <v>92255</v>
      </c>
      <c r="I36" s="128">
        <v>92294</v>
      </c>
      <c r="J36" s="128">
        <v>92026</v>
      </c>
      <c r="K36" s="128">
        <v>92282</v>
      </c>
      <c r="L36" s="5">
        <f t="shared" si="17"/>
        <v>485.32</v>
      </c>
      <c r="M36" s="6">
        <f t="shared" si="2"/>
        <v>2058</v>
      </c>
      <c r="N36" s="6">
        <f t="shared" si="3"/>
        <v>315</v>
      </c>
      <c r="O36" s="6">
        <f t="shared" si="4"/>
        <v>88</v>
      </c>
      <c r="P36" s="27">
        <f t="shared" si="5"/>
        <v>22633</v>
      </c>
      <c r="Q36" s="27">
        <f t="shared" si="6"/>
        <v>925</v>
      </c>
      <c r="R36" s="27">
        <f t="shared" si="7"/>
        <v>445</v>
      </c>
      <c r="W36" s="5">
        <f>D_马仔宝物!A36</f>
        <v>92013</v>
      </c>
      <c r="X36" s="5" t="str">
        <f>D_马仔宝物!B36</f>
        <v>月立</v>
      </c>
      <c r="Y36" s="5" t="str">
        <f>D_马仔宝物!E36</f>
        <v>92013.png</v>
      </c>
      <c r="Z36" s="5">
        <f>D_马仔宝物!F36</f>
        <v>3</v>
      </c>
      <c r="AA36" s="5">
        <f>D_马仔宝物!H36</f>
        <v>0</v>
      </c>
      <c r="AB36" s="5">
        <f>D_马仔宝物!I36</f>
        <v>0</v>
      </c>
      <c r="AC36" s="5">
        <f>D_马仔宝物!J36</f>
        <v>31</v>
      </c>
      <c r="AD36" s="6">
        <f t="shared" si="18"/>
        <v>31</v>
      </c>
    </row>
    <row r="37" spans="1:30" ht="14.25" thickBot="1">
      <c r="A37" s="21">
        <f t="shared" si="14"/>
        <v>101103</v>
      </c>
      <c r="B37" s="22" t="str">
        <f t="shared" si="15"/>
        <v>比利</v>
      </c>
      <c r="C37" s="22">
        <f t="shared" si="16"/>
        <v>0</v>
      </c>
      <c r="D37" s="6">
        <v>11</v>
      </c>
      <c r="E37" s="22">
        <v>4</v>
      </c>
      <c r="F37" s="128">
        <v>92282</v>
      </c>
      <c r="G37" s="130">
        <v>92299</v>
      </c>
      <c r="H37" s="128">
        <v>92295</v>
      </c>
      <c r="I37" s="128">
        <v>92262</v>
      </c>
      <c r="J37" s="130">
        <v>92291</v>
      </c>
      <c r="K37" s="128">
        <v>92026</v>
      </c>
      <c r="L37" s="22">
        <f t="shared" si="17"/>
        <v>523.64</v>
      </c>
      <c r="M37" s="6">
        <f t="shared" si="2"/>
        <v>4116</v>
      </c>
      <c r="N37" s="6">
        <f t="shared" si="3"/>
        <v>315</v>
      </c>
      <c r="O37" s="6">
        <f t="shared" si="4"/>
        <v>44</v>
      </c>
      <c r="P37" s="27">
        <f t="shared" si="5"/>
        <v>24691</v>
      </c>
      <c r="Q37" s="27">
        <f t="shared" si="6"/>
        <v>1240</v>
      </c>
      <c r="R37" s="27">
        <f t="shared" si="7"/>
        <v>533</v>
      </c>
      <c r="W37" s="5">
        <f>D_马仔宝物!A37</f>
        <v>92253</v>
      </c>
      <c r="X37" s="5" t="str">
        <f>D_马仔宝物!B37</f>
        <v>猫妖项链</v>
      </c>
      <c r="Y37" s="5" t="str">
        <f>D_马仔宝物!E37</f>
        <v>92253.png</v>
      </c>
      <c r="Z37" s="5">
        <f>D_马仔宝物!F37</f>
        <v>3</v>
      </c>
      <c r="AA37" s="5">
        <f>D_马仔宝物!H37</f>
        <v>1440</v>
      </c>
      <c r="AB37" s="5">
        <f>D_马仔宝物!I37</f>
        <v>0</v>
      </c>
      <c r="AC37" s="5">
        <f>D_马仔宝物!J37</f>
        <v>0</v>
      </c>
      <c r="AD37" s="6">
        <f t="shared" si="18"/>
        <v>57.6</v>
      </c>
    </row>
    <row r="38" spans="1:30">
      <c r="A38" s="18">
        <f>D_马仔表!A5</f>
        <v>101104</v>
      </c>
      <c r="B38" s="19" t="str">
        <f>D_马仔表!B5</f>
        <v>黎九</v>
      </c>
      <c r="C38" s="19">
        <f>D_马仔表!D5</f>
        <v>0</v>
      </c>
      <c r="D38" s="6">
        <v>0</v>
      </c>
      <c r="E38" s="19">
        <v>0</v>
      </c>
      <c r="F38" s="124">
        <v>92263</v>
      </c>
      <c r="G38" s="123">
        <v>92244</v>
      </c>
      <c r="H38" s="124">
        <v>92277</v>
      </c>
      <c r="I38" s="123">
        <v>92228</v>
      </c>
      <c r="J38" s="123">
        <v>92232</v>
      </c>
      <c r="K38" s="123">
        <v>92131</v>
      </c>
      <c r="L38" s="123">
        <v>92243</v>
      </c>
      <c r="M38" s="6">
        <f t="shared" si="2"/>
        <v>618</v>
      </c>
      <c r="N38" s="6">
        <f t="shared" si="3"/>
        <v>10</v>
      </c>
      <c r="O38" s="6">
        <f t="shared" si="4"/>
        <v>8</v>
      </c>
      <c r="P38" s="27">
        <f t="shared" si="5"/>
        <v>0</v>
      </c>
      <c r="Q38" s="27">
        <f t="shared" si="6"/>
        <v>0</v>
      </c>
      <c r="R38" s="27">
        <f t="shared" si="7"/>
        <v>0</v>
      </c>
      <c r="W38" s="5">
        <f>D_马仔宝物!A38</f>
        <v>92254</v>
      </c>
      <c r="X38" s="5" t="str">
        <f>D_马仔宝物!B38</f>
        <v>苍蓝项链</v>
      </c>
      <c r="Y38" s="5" t="str">
        <f>D_马仔宝物!E38</f>
        <v>92254.png</v>
      </c>
      <c r="Z38" s="5">
        <f>D_马仔宝物!F38</f>
        <v>3</v>
      </c>
      <c r="AA38" s="5">
        <f>D_马仔宝物!H38</f>
        <v>0</v>
      </c>
      <c r="AB38" s="5">
        <f>D_马仔宝物!I38</f>
        <v>73</v>
      </c>
      <c r="AC38" s="5">
        <f>D_马仔宝物!J38</f>
        <v>0</v>
      </c>
      <c r="AD38" s="6">
        <f t="shared" si="18"/>
        <v>73</v>
      </c>
    </row>
    <row r="39" spans="1:30">
      <c r="A39" s="20">
        <f>A38</f>
        <v>101104</v>
      </c>
      <c r="B39" s="5" t="str">
        <f>B38</f>
        <v>黎九</v>
      </c>
      <c r="C39" s="5">
        <f>C38</f>
        <v>0</v>
      </c>
      <c r="D39" s="6">
        <v>1</v>
      </c>
      <c r="E39" s="5">
        <v>0</v>
      </c>
      <c r="F39" s="123">
        <v>92244</v>
      </c>
      <c r="G39" s="123">
        <v>92228</v>
      </c>
      <c r="H39" s="123">
        <v>92011</v>
      </c>
      <c r="I39" s="124">
        <v>92263</v>
      </c>
      <c r="J39" s="123">
        <v>92243</v>
      </c>
      <c r="K39" s="123">
        <v>92232</v>
      </c>
      <c r="L39" s="5">
        <f t="shared" si="17"/>
        <v>44.480000000000004</v>
      </c>
      <c r="M39" s="6">
        <f t="shared" si="2"/>
        <v>412</v>
      </c>
      <c r="N39" s="6">
        <f t="shared" si="3"/>
        <v>20</v>
      </c>
      <c r="O39" s="6">
        <f t="shared" si="4"/>
        <v>8</v>
      </c>
      <c r="P39" s="27">
        <f t="shared" si="5"/>
        <v>618</v>
      </c>
      <c r="Q39" s="27">
        <f t="shared" si="6"/>
        <v>10</v>
      </c>
      <c r="R39" s="27">
        <f t="shared" si="7"/>
        <v>8</v>
      </c>
      <c r="W39" s="5">
        <f>D_马仔宝物!A39</f>
        <v>92274</v>
      </c>
      <c r="X39" s="5" t="str">
        <f>D_马仔宝物!B39</f>
        <v>汉密手表</v>
      </c>
      <c r="Y39" s="5" t="str">
        <f>D_马仔宝物!E39</f>
        <v>92274.png</v>
      </c>
      <c r="Z39" s="5">
        <f>D_马仔宝物!F39</f>
        <v>3</v>
      </c>
      <c r="AA39" s="5">
        <f>D_马仔宝物!H39</f>
        <v>0</v>
      </c>
      <c r="AB39" s="5">
        <f>D_马仔宝物!I39</f>
        <v>0</v>
      </c>
      <c r="AC39" s="5">
        <f>D_马仔宝物!J39</f>
        <v>31</v>
      </c>
      <c r="AD39" s="6">
        <f t="shared" si="18"/>
        <v>31</v>
      </c>
    </row>
    <row r="40" spans="1:30">
      <c r="A40" s="20">
        <f t="shared" ref="A40:A49" si="19">A39</f>
        <v>101104</v>
      </c>
      <c r="B40" s="5" t="str">
        <f t="shared" ref="B40:B49" si="20">B39</f>
        <v>黎九</v>
      </c>
      <c r="C40" s="5">
        <f t="shared" ref="C40:C49" si="21">C39</f>
        <v>0</v>
      </c>
      <c r="D40" s="6">
        <v>2</v>
      </c>
      <c r="E40" s="5">
        <v>1</v>
      </c>
      <c r="F40" s="125">
        <v>92251</v>
      </c>
      <c r="G40" s="125">
        <v>92122</v>
      </c>
      <c r="H40" s="125">
        <v>92278</v>
      </c>
      <c r="I40" s="125">
        <v>92245</v>
      </c>
      <c r="J40" s="125">
        <v>92141</v>
      </c>
      <c r="K40" s="125">
        <v>92271</v>
      </c>
      <c r="L40" s="5">
        <f t="shared" si="17"/>
        <v>155.36000000000001</v>
      </c>
      <c r="M40" s="6">
        <f t="shared" si="2"/>
        <v>1234</v>
      </c>
      <c r="N40" s="6">
        <f t="shared" si="3"/>
        <v>93</v>
      </c>
      <c r="O40" s="6">
        <f t="shared" si="4"/>
        <v>13</v>
      </c>
      <c r="P40" s="27">
        <f t="shared" si="5"/>
        <v>1030</v>
      </c>
      <c r="Q40" s="27">
        <f t="shared" si="6"/>
        <v>30</v>
      </c>
      <c r="R40" s="27">
        <f t="shared" si="7"/>
        <v>16</v>
      </c>
      <c r="W40" s="5">
        <f>D_马仔宝物!A40</f>
        <v>92280</v>
      </c>
      <c r="X40" s="5" t="str">
        <f>D_马仔宝物!B40</f>
        <v>法拉捷</v>
      </c>
      <c r="Y40" s="5" t="str">
        <f>D_马仔宝物!E40</f>
        <v>92280.png</v>
      </c>
      <c r="Z40" s="5">
        <f>D_马仔宝物!F40</f>
        <v>3</v>
      </c>
      <c r="AA40" s="5">
        <f>D_马仔宝物!H40</f>
        <v>1440</v>
      </c>
      <c r="AB40" s="5">
        <f>D_马仔宝物!I40</f>
        <v>0</v>
      </c>
      <c r="AC40" s="5">
        <f>D_马仔宝物!J40</f>
        <v>0</v>
      </c>
      <c r="AD40" s="6">
        <f t="shared" si="18"/>
        <v>57.6</v>
      </c>
    </row>
    <row r="41" spans="1:30">
      <c r="A41" s="20">
        <f t="shared" si="19"/>
        <v>101104</v>
      </c>
      <c r="B41" s="5" t="str">
        <f t="shared" si="20"/>
        <v>黎九</v>
      </c>
      <c r="C41" s="5">
        <f t="shared" si="21"/>
        <v>0</v>
      </c>
      <c r="D41" s="6">
        <v>3</v>
      </c>
      <c r="E41" s="5">
        <v>1</v>
      </c>
      <c r="F41" s="125">
        <v>92264</v>
      </c>
      <c r="G41" s="126">
        <v>92287</v>
      </c>
      <c r="H41" s="125">
        <v>92251</v>
      </c>
      <c r="I41" s="125">
        <v>92141</v>
      </c>
      <c r="J41" s="126">
        <v>92283</v>
      </c>
      <c r="K41" s="125">
        <v>92122</v>
      </c>
      <c r="L41" s="5">
        <f t="shared" si="17"/>
        <v>125.68</v>
      </c>
      <c r="M41" s="6">
        <f t="shared" si="2"/>
        <v>617</v>
      </c>
      <c r="N41" s="6">
        <f t="shared" si="3"/>
        <v>62</v>
      </c>
      <c r="O41" s="6">
        <f t="shared" si="4"/>
        <v>39</v>
      </c>
      <c r="P41" s="27">
        <f t="shared" si="5"/>
        <v>2264</v>
      </c>
      <c r="Q41" s="27">
        <f t="shared" si="6"/>
        <v>123</v>
      </c>
      <c r="R41" s="27">
        <f t="shared" si="7"/>
        <v>29</v>
      </c>
      <c r="W41" s="5">
        <f>D_马仔宝物!A41</f>
        <v>92285</v>
      </c>
      <c r="X41" s="5" t="str">
        <f>D_马仔宝物!B41</f>
        <v>大堆钞票</v>
      </c>
      <c r="Y41" s="5" t="str">
        <f>D_马仔宝物!E41</f>
        <v>92285.png</v>
      </c>
      <c r="Z41" s="5">
        <f>D_马仔宝物!F41</f>
        <v>3</v>
      </c>
      <c r="AA41" s="5">
        <f>D_马仔宝物!H41</f>
        <v>0</v>
      </c>
      <c r="AB41" s="5">
        <f>D_马仔宝物!I41</f>
        <v>73</v>
      </c>
      <c r="AC41" s="5">
        <f>D_马仔宝物!J41</f>
        <v>0</v>
      </c>
      <c r="AD41" s="6">
        <f t="shared" si="18"/>
        <v>73</v>
      </c>
    </row>
    <row r="42" spans="1:30">
      <c r="A42" s="20">
        <f t="shared" si="19"/>
        <v>101104</v>
      </c>
      <c r="B42" s="5" t="str">
        <f t="shared" si="20"/>
        <v>黎九</v>
      </c>
      <c r="C42" s="5">
        <f t="shared" si="21"/>
        <v>0</v>
      </c>
      <c r="D42" s="6">
        <v>4</v>
      </c>
      <c r="E42" s="5">
        <v>2</v>
      </c>
      <c r="F42" s="132">
        <v>92284</v>
      </c>
      <c r="G42" s="127">
        <v>92279</v>
      </c>
      <c r="H42" s="127">
        <v>92012</v>
      </c>
      <c r="I42" s="127">
        <v>92252</v>
      </c>
      <c r="J42" s="127">
        <v>92273</v>
      </c>
      <c r="K42" s="127">
        <v>92272</v>
      </c>
      <c r="L42" s="5">
        <f t="shared" si="17"/>
        <v>249.48</v>
      </c>
      <c r="M42" s="6">
        <f t="shared" si="2"/>
        <v>3087</v>
      </c>
      <c r="N42" s="6">
        <f t="shared" si="3"/>
        <v>104</v>
      </c>
      <c r="O42" s="6">
        <f t="shared" si="4"/>
        <v>22</v>
      </c>
      <c r="P42" s="27">
        <f t="shared" si="5"/>
        <v>2881</v>
      </c>
      <c r="Q42" s="27">
        <f t="shared" si="6"/>
        <v>185</v>
      </c>
      <c r="R42" s="27">
        <f t="shared" si="7"/>
        <v>68</v>
      </c>
      <c r="W42" s="5">
        <f>D_马仔宝物!A42</f>
        <v>92289</v>
      </c>
      <c r="X42" s="5" t="str">
        <f>D_马仔宝物!B42</f>
        <v>小堆金块</v>
      </c>
      <c r="Y42" s="5" t="str">
        <f>D_马仔宝物!E42</f>
        <v>92289.png</v>
      </c>
      <c r="Z42" s="5">
        <f>D_马仔宝物!F42</f>
        <v>3</v>
      </c>
      <c r="AA42" s="5">
        <f>D_马仔宝物!H42</f>
        <v>0</v>
      </c>
      <c r="AB42" s="5">
        <f>D_马仔宝物!I42</f>
        <v>0</v>
      </c>
      <c r="AC42" s="5">
        <f>D_马仔宝物!J42</f>
        <v>31</v>
      </c>
      <c r="AD42" s="6">
        <f t="shared" si="18"/>
        <v>31</v>
      </c>
    </row>
    <row r="43" spans="1:30">
      <c r="A43" s="20">
        <f t="shared" si="19"/>
        <v>101104</v>
      </c>
      <c r="B43" s="5" t="str">
        <f t="shared" si="20"/>
        <v>黎九</v>
      </c>
      <c r="C43" s="5">
        <f t="shared" si="21"/>
        <v>0</v>
      </c>
      <c r="D43" s="6">
        <v>5</v>
      </c>
      <c r="E43" s="5">
        <v>2</v>
      </c>
      <c r="F43" s="127">
        <v>92273</v>
      </c>
      <c r="G43" s="132">
        <v>92284</v>
      </c>
      <c r="H43" s="127">
        <v>92272</v>
      </c>
      <c r="I43" s="127">
        <v>92124</v>
      </c>
      <c r="J43" s="132">
        <v>92288</v>
      </c>
      <c r="K43" s="127">
        <v>92279</v>
      </c>
      <c r="L43" s="5">
        <f t="shared" si="17"/>
        <v>230.32</v>
      </c>
      <c r="M43" s="6">
        <f t="shared" si="2"/>
        <v>2058</v>
      </c>
      <c r="N43" s="6">
        <f t="shared" si="3"/>
        <v>104</v>
      </c>
      <c r="O43" s="6">
        <f t="shared" si="4"/>
        <v>44</v>
      </c>
      <c r="P43" s="27">
        <f t="shared" si="5"/>
        <v>5968</v>
      </c>
      <c r="Q43" s="27">
        <f t="shared" si="6"/>
        <v>289</v>
      </c>
      <c r="R43" s="27">
        <f t="shared" si="7"/>
        <v>90</v>
      </c>
      <c r="W43" s="5">
        <f>D_马仔宝物!A43</f>
        <v>92014</v>
      </c>
      <c r="X43" s="5" t="str">
        <f>D_马仔宝物!B43</f>
        <v>菠萝</v>
      </c>
      <c r="Y43" s="5" t="str">
        <f>D_马仔宝物!E43</f>
        <v>92014.png</v>
      </c>
      <c r="Z43" s="5">
        <f>D_马仔宝物!F43</f>
        <v>4</v>
      </c>
      <c r="AA43" s="5">
        <f>D_马仔宝物!H43</f>
        <v>1852</v>
      </c>
      <c r="AB43" s="5">
        <f>D_马仔宝物!I43</f>
        <v>0</v>
      </c>
      <c r="AC43" s="5">
        <f>D_马仔宝物!J43</f>
        <v>0</v>
      </c>
      <c r="AD43" s="6">
        <f t="shared" si="18"/>
        <v>74.08</v>
      </c>
    </row>
    <row r="44" spans="1:30">
      <c r="A44" s="20">
        <f t="shared" si="19"/>
        <v>101104</v>
      </c>
      <c r="B44" s="5" t="str">
        <f t="shared" si="20"/>
        <v>黎九</v>
      </c>
      <c r="C44" s="5">
        <f t="shared" si="21"/>
        <v>0</v>
      </c>
      <c r="D44" s="6">
        <v>6</v>
      </c>
      <c r="E44" s="5">
        <v>3</v>
      </c>
      <c r="F44" s="131">
        <v>92236</v>
      </c>
      <c r="G44" s="131">
        <v>92253</v>
      </c>
      <c r="H44" s="131">
        <v>92223</v>
      </c>
      <c r="I44" s="131">
        <v>92134</v>
      </c>
      <c r="J44" s="131">
        <v>92227</v>
      </c>
      <c r="K44" s="131">
        <v>92013</v>
      </c>
      <c r="L44" s="5">
        <f t="shared" si="17"/>
        <v>323.2</v>
      </c>
      <c r="M44" s="6">
        <f t="shared" si="2"/>
        <v>2880</v>
      </c>
      <c r="N44" s="6">
        <f t="shared" si="3"/>
        <v>146</v>
      </c>
      <c r="O44" s="6">
        <f t="shared" si="4"/>
        <v>62</v>
      </c>
      <c r="P44" s="27">
        <f t="shared" si="5"/>
        <v>8026</v>
      </c>
      <c r="Q44" s="27">
        <f t="shared" si="6"/>
        <v>393</v>
      </c>
      <c r="R44" s="27">
        <f t="shared" si="7"/>
        <v>134</v>
      </c>
      <c r="W44" s="5">
        <f>D_马仔宝物!A44</f>
        <v>92296</v>
      </c>
      <c r="X44" s="5" t="str">
        <f>D_马仔宝物!B44</f>
        <v>星光红石</v>
      </c>
      <c r="Y44" s="5" t="str">
        <f>D_马仔宝物!E44</f>
        <v>92296.png</v>
      </c>
      <c r="Z44" s="5">
        <f>D_马仔宝物!F44</f>
        <v>4</v>
      </c>
      <c r="AA44" s="5">
        <f>D_马仔宝物!H44</f>
        <v>0</v>
      </c>
      <c r="AB44" s="5">
        <f>D_马仔宝物!I44</f>
        <v>94</v>
      </c>
      <c r="AC44" s="5">
        <f>D_马仔宝物!J44</f>
        <v>0</v>
      </c>
      <c r="AD44" s="6">
        <f t="shared" si="18"/>
        <v>94</v>
      </c>
    </row>
    <row r="45" spans="1:30">
      <c r="A45" s="20">
        <f t="shared" si="19"/>
        <v>101104</v>
      </c>
      <c r="B45" s="5" t="str">
        <f t="shared" si="20"/>
        <v>黎九</v>
      </c>
      <c r="C45" s="5">
        <f t="shared" si="21"/>
        <v>0</v>
      </c>
      <c r="D45" s="6">
        <v>7</v>
      </c>
      <c r="E45" s="5">
        <v>3</v>
      </c>
      <c r="F45" s="129">
        <v>92289</v>
      </c>
      <c r="G45" s="131">
        <v>92223</v>
      </c>
      <c r="H45" s="131">
        <v>92134</v>
      </c>
      <c r="I45" s="131">
        <v>92253</v>
      </c>
      <c r="J45" s="129">
        <v>92285</v>
      </c>
      <c r="K45" s="131">
        <v>92227</v>
      </c>
      <c r="L45" s="5">
        <f t="shared" si="17"/>
        <v>323.20000000000005</v>
      </c>
      <c r="M45" s="6">
        <f t="shared" si="2"/>
        <v>2880</v>
      </c>
      <c r="N45" s="6">
        <f t="shared" si="3"/>
        <v>146</v>
      </c>
      <c r="O45" s="6">
        <f t="shared" si="4"/>
        <v>62</v>
      </c>
      <c r="P45" s="27">
        <f t="shared" si="5"/>
        <v>10906</v>
      </c>
      <c r="Q45" s="27">
        <f t="shared" si="6"/>
        <v>539</v>
      </c>
      <c r="R45" s="27">
        <f t="shared" si="7"/>
        <v>196</v>
      </c>
      <c r="W45" s="5">
        <f>D_马仔宝物!A45</f>
        <v>92240</v>
      </c>
      <c r="X45" s="5" t="str">
        <f>D_马仔宝物!B45</f>
        <v>苍蓝戒指</v>
      </c>
      <c r="Y45" s="5" t="str">
        <f>D_马仔宝物!E45</f>
        <v>92240.png</v>
      </c>
      <c r="Z45" s="5">
        <f>D_马仔宝物!F45</f>
        <v>4</v>
      </c>
      <c r="AA45" s="5">
        <f>D_马仔宝物!H45</f>
        <v>0</v>
      </c>
      <c r="AB45" s="5">
        <f>D_马仔宝物!I45</f>
        <v>0</v>
      </c>
      <c r="AC45" s="5">
        <f>D_马仔宝物!J45</f>
        <v>40</v>
      </c>
      <c r="AD45" s="6">
        <f t="shared" si="18"/>
        <v>40</v>
      </c>
    </row>
    <row r="46" spans="1:30">
      <c r="A46" s="20">
        <f t="shared" si="19"/>
        <v>101104</v>
      </c>
      <c r="B46" s="5" t="str">
        <f t="shared" si="20"/>
        <v>黎九</v>
      </c>
      <c r="C46" s="5">
        <f t="shared" si="21"/>
        <v>0</v>
      </c>
      <c r="D46" s="6">
        <v>8</v>
      </c>
      <c r="E46" s="5">
        <v>4</v>
      </c>
      <c r="F46" s="128">
        <v>92275</v>
      </c>
      <c r="G46" s="128">
        <v>92296</v>
      </c>
      <c r="H46" s="128">
        <v>92261</v>
      </c>
      <c r="I46" s="128">
        <v>92292</v>
      </c>
      <c r="J46" s="128">
        <v>92240</v>
      </c>
      <c r="K46" s="128">
        <v>92256</v>
      </c>
      <c r="L46" s="5">
        <f t="shared" si="17"/>
        <v>416.15999999999997</v>
      </c>
      <c r="M46" s="6">
        <f t="shared" si="2"/>
        <v>3704</v>
      </c>
      <c r="N46" s="6">
        <f t="shared" si="3"/>
        <v>188</v>
      </c>
      <c r="O46" s="6">
        <f t="shared" si="4"/>
        <v>80</v>
      </c>
      <c r="P46" s="27">
        <f t="shared" si="5"/>
        <v>13786</v>
      </c>
      <c r="Q46" s="27">
        <f t="shared" si="6"/>
        <v>685</v>
      </c>
      <c r="R46" s="27">
        <f t="shared" si="7"/>
        <v>258</v>
      </c>
      <c r="W46" s="5">
        <f>D_马仔宝物!A46</f>
        <v>92292</v>
      </c>
      <c r="X46" s="5" t="str">
        <f>D_马仔宝物!B46</f>
        <v>金饰宝盒</v>
      </c>
      <c r="Y46" s="5" t="str">
        <f>D_马仔宝物!E46</f>
        <v>92292.png</v>
      </c>
      <c r="Z46" s="5">
        <f>D_马仔宝物!F46</f>
        <v>4</v>
      </c>
      <c r="AA46" s="5">
        <f>D_马仔宝物!H46</f>
        <v>1852</v>
      </c>
      <c r="AB46" s="5">
        <f>D_马仔宝物!I46</f>
        <v>0</v>
      </c>
      <c r="AC46" s="5">
        <f>D_马仔宝物!J46</f>
        <v>0</v>
      </c>
      <c r="AD46" s="6">
        <f t="shared" si="18"/>
        <v>74.08</v>
      </c>
    </row>
    <row r="47" spans="1:30">
      <c r="A47" s="20">
        <f t="shared" si="19"/>
        <v>101104</v>
      </c>
      <c r="B47" s="5" t="str">
        <f t="shared" si="20"/>
        <v>黎九</v>
      </c>
      <c r="C47" s="5">
        <f t="shared" si="21"/>
        <v>0</v>
      </c>
      <c r="D47" s="6">
        <v>9</v>
      </c>
      <c r="E47" s="5">
        <v>4</v>
      </c>
      <c r="F47" s="128">
        <v>92296</v>
      </c>
      <c r="G47" s="130">
        <v>92286</v>
      </c>
      <c r="H47" s="128">
        <v>92281</v>
      </c>
      <c r="I47" s="130">
        <v>92290</v>
      </c>
      <c r="J47" s="128">
        <v>92275</v>
      </c>
      <c r="K47" s="128">
        <v>92292</v>
      </c>
      <c r="L47" s="5">
        <f t="shared" si="17"/>
        <v>450.23999999999995</v>
      </c>
      <c r="M47" s="6">
        <f t="shared" si="2"/>
        <v>5556</v>
      </c>
      <c r="N47" s="6">
        <f t="shared" si="3"/>
        <v>188</v>
      </c>
      <c r="O47" s="6">
        <f t="shared" si="4"/>
        <v>40</v>
      </c>
      <c r="P47" s="27">
        <f t="shared" si="5"/>
        <v>17490</v>
      </c>
      <c r="Q47" s="27">
        <f t="shared" si="6"/>
        <v>873</v>
      </c>
      <c r="R47" s="27">
        <f t="shared" si="7"/>
        <v>338</v>
      </c>
      <c r="W47" s="5">
        <f>D_马仔宝物!A47</f>
        <v>92256</v>
      </c>
      <c r="X47" s="5" t="str">
        <f>D_马仔宝物!B47</f>
        <v>圣徒项链</v>
      </c>
      <c r="Y47" s="5" t="str">
        <f>D_马仔宝物!E47</f>
        <v>92256.png</v>
      </c>
      <c r="Z47" s="5">
        <f>D_马仔宝物!F47</f>
        <v>4</v>
      </c>
      <c r="AA47" s="5">
        <f>D_马仔宝物!H47</f>
        <v>0</v>
      </c>
      <c r="AB47" s="5">
        <f>D_马仔宝物!I47</f>
        <v>94</v>
      </c>
      <c r="AC47" s="5">
        <f>D_马仔宝物!J47</f>
        <v>0</v>
      </c>
      <c r="AD47" s="6">
        <f t="shared" si="18"/>
        <v>94</v>
      </c>
    </row>
    <row r="48" spans="1:30">
      <c r="A48" s="20">
        <f t="shared" si="19"/>
        <v>101104</v>
      </c>
      <c r="B48" s="5" t="str">
        <f t="shared" si="20"/>
        <v>黎九</v>
      </c>
      <c r="C48" s="5">
        <f t="shared" si="21"/>
        <v>0</v>
      </c>
      <c r="D48" s="6">
        <v>10</v>
      </c>
      <c r="E48" s="5">
        <v>4</v>
      </c>
      <c r="F48" s="128">
        <v>92255</v>
      </c>
      <c r="G48" s="128">
        <v>92276</v>
      </c>
      <c r="H48" s="128">
        <v>92297</v>
      </c>
      <c r="I48" s="128">
        <v>92293</v>
      </c>
      <c r="J48" s="128">
        <v>92282</v>
      </c>
      <c r="K48" s="128">
        <v>92295</v>
      </c>
      <c r="L48" s="5">
        <f t="shared" si="17"/>
        <v>500.96</v>
      </c>
      <c r="M48" s="6">
        <f t="shared" si="2"/>
        <v>6174</v>
      </c>
      <c r="N48" s="6">
        <f t="shared" si="3"/>
        <v>210</v>
      </c>
      <c r="O48" s="6">
        <f t="shared" si="4"/>
        <v>44</v>
      </c>
      <c r="P48" s="27">
        <f t="shared" si="5"/>
        <v>23046</v>
      </c>
      <c r="Q48" s="27">
        <f t="shared" si="6"/>
        <v>1061</v>
      </c>
      <c r="R48" s="27">
        <f t="shared" si="7"/>
        <v>378</v>
      </c>
      <c r="W48" s="5">
        <f>D_马仔宝物!A48</f>
        <v>92261</v>
      </c>
      <c r="X48" s="5" t="str">
        <f>D_马仔宝物!B48</f>
        <v>贵族项链</v>
      </c>
      <c r="Y48" s="5" t="str">
        <f>D_马仔宝物!E48</f>
        <v>92261.png</v>
      </c>
      <c r="Z48" s="5">
        <f>D_马仔宝物!F48</f>
        <v>4</v>
      </c>
      <c r="AA48" s="5">
        <f>D_马仔宝物!H48</f>
        <v>0</v>
      </c>
      <c r="AB48" s="5">
        <f>D_马仔宝物!I48</f>
        <v>0</v>
      </c>
      <c r="AC48" s="5">
        <f>D_马仔宝物!J48</f>
        <v>40</v>
      </c>
      <c r="AD48" s="6">
        <f t="shared" si="18"/>
        <v>40</v>
      </c>
    </row>
    <row r="49" spans="1:30" ht="14.25" thickBot="1">
      <c r="A49" s="21">
        <f t="shared" si="19"/>
        <v>101104</v>
      </c>
      <c r="B49" s="22" t="str">
        <f t="shared" si="20"/>
        <v>黎九</v>
      </c>
      <c r="C49" s="22">
        <f t="shared" si="21"/>
        <v>0</v>
      </c>
      <c r="D49" s="6">
        <v>11</v>
      </c>
      <c r="E49" s="22">
        <v>4</v>
      </c>
      <c r="F49" s="128">
        <v>92276</v>
      </c>
      <c r="G49" s="130">
        <v>92299</v>
      </c>
      <c r="H49" s="130">
        <v>92291</v>
      </c>
      <c r="I49" s="128">
        <v>92298</v>
      </c>
      <c r="J49" s="128">
        <v>92255</v>
      </c>
      <c r="K49" s="128">
        <v>92294</v>
      </c>
      <c r="L49" s="22">
        <f t="shared" si="17"/>
        <v>340.64</v>
      </c>
      <c r="M49" s="6">
        <f t="shared" si="2"/>
        <v>4116</v>
      </c>
      <c r="N49" s="6">
        <f t="shared" si="3"/>
        <v>0</v>
      </c>
      <c r="O49" s="6">
        <f t="shared" si="4"/>
        <v>176</v>
      </c>
      <c r="P49" s="27">
        <f t="shared" si="5"/>
        <v>29220</v>
      </c>
      <c r="Q49" s="27">
        <f t="shared" si="6"/>
        <v>1271</v>
      </c>
      <c r="R49" s="27">
        <f t="shared" si="7"/>
        <v>422</v>
      </c>
      <c r="W49" s="5">
        <f>D_马仔宝物!A49</f>
        <v>92275</v>
      </c>
      <c r="X49" s="5" t="str">
        <f>D_马仔宝物!B49</f>
        <v>千国手表</v>
      </c>
      <c r="Y49" s="5" t="str">
        <f>D_马仔宝物!E49</f>
        <v>92275.png</v>
      </c>
      <c r="Z49" s="5">
        <f>D_马仔宝物!F49</f>
        <v>4</v>
      </c>
      <c r="AA49" s="5">
        <f>D_马仔宝物!H49</f>
        <v>1852</v>
      </c>
      <c r="AB49" s="5">
        <f>D_马仔宝物!I49</f>
        <v>0</v>
      </c>
      <c r="AC49" s="5">
        <f>D_马仔宝物!J49</f>
        <v>0</v>
      </c>
      <c r="AD49" s="6">
        <f t="shared" si="18"/>
        <v>74.08</v>
      </c>
    </row>
    <row r="50" spans="1:30">
      <c r="A50" s="18">
        <f>D_马仔表!A6</f>
        <v>101105</v>
      </c>
      <c r="B50" s="19" t="str">
        <f>D_马仔表!B6</f>
        <v>黑古</v>
      </c>
      <c r="C50" s="19">
        <f>D_马仔表!D6</f>
        <v>0</v>
      </c>
      <c r="D50" s="6">
        <v>0</v>
      </c>
      <c r="E50" s="19">
        <v>0</v>
      </c>
      <c r="F50" s="123">
        <v>92228</v>
      </c>
      <c r="G50" s="123">
        <v>92243</v>
      </c>
      <c r="H50" s="123">
        <v>92244</v>
      </c>
      <c r="I50" s="124">
        <v>92277</v>
      </c>
      <c r="J50" s="123">
        <v>92121</v>
      </c>
      <c r="K50" s="123">
        <v>92131</v>
      </c>
      <c r="L50" s="19">
        <f t="shared" si="17"/>
        <v>38.480000000000004</v>
      </c>
      <c r="M50" s="6">
        <f t="shared" si="2"/>
        <v>412</v>
      </c>
      <c r="N50" s="6">
        <f t="shared" si="3"/>
        <v>10</v>
      </c>
      <c r="O50" s="6">
        <f t="shared" si="4"/>
        <v>12</v>
      </c>
      <c r="P50" s="27">
        <f t="shared" si="5"/>
        <v>0</v>
      </c>
      <c r="Q50" s="27">
        <f t="shared" si="6"/>
        <v>0</v>
      </c>
      <c r="R50" s="27">
        <f t="shared" si="7"/>
        <v>0</v>
      </c>
      <c r="W50" s="5">
        <f>D_马仔宝物!A50</f>
        <v>92281</v>
      </c>
      <c r="X50" s="5" t="str">
        <f>D_马仔宝物!B50</f>
        <v>红博机利</v>
      </c>
      <c r="Y50" s="5" t="str">
        <f>D_马仔宝物!E50</f>
        <v>92281.png</v>
      </c>
      <c r="Z50" s="5">
        <f>D_马仔宝物!F50</f>
        <v>4</v>
      </c>
      <c r="AA50" s="5">
        <f>D_马仔宝物!H50</f>
        <v>0</v>
      </c>
      <c r="AB50" s="5">
        <f>D_马仔宝物!I50</f>
        <v>94</v>
      </c>
      <c r="AC50" s="5">
        <f>D_马仔宝物!J50</f>
        <v>0</v>
      </c>
      <c r="AD50" s="6">
        <f t="shared" si="18"/>
        <v>94</v>
      </c>
    </row>
    <row r="51" spans="1:30">
      <c r="A51" s="20">
        <f>A50</f>
        <v>101105</v>
      </c>
      <c r="B51" s="5" t="str">
        <f>B50</f>
        <v>黑古</v>
      </c>
      <c r="C51" s="5">
        <f>C50</f>
        <v>0</v>
      </c>
      <c r="D51" s="6">
        <v>1</v>
      </c>
      <c r="E51" s="5">
        <v>0</v>
      </c>
      <c r="F51" s="123">
        <v>92011</v>
      </c>
      <c r="G51" s="124">
        <v>92263</v>
      </c>
      <c r="H51" s="123">
        <v>92228</v>
      </c>
      <c r="I51" s="123">
        <v>92232</v>
      </c>
      <c r="J51" s="123">
        <v>92244</v>
      </c>
      <c r="K51" s="124">
        <v>92277</v>
      </c>
      <c r="L51" s="5">
        <f t="shared" si="17"/>
        <v>44.480000000000004</v>
      </c>
      <c r="M51" s="6">
        <f t="shared" si="2"/>
        <v>412</v>
      </c>
      <c r="N51" s="6">
        <f t="shared" si="3"/>
        <v>20</v>
      </c>
      <c r="O51" s="6">
        <f t="shared" si="4"/>
        <v>8</v>
      </c>
      <c r="P51" s="27">
        <f t="shared" si="5"/>
        <v>412</v>
      </c>
      <c r="Q51" s="27">
        <f t="shared" si="6"/>
        <v>10</v>
      </c>
      <c r="R51" s="27">
        <f t="shared" si="7"/>
        <v>12</v>
      </c>
      <c r="W51" s="5">
        <f>D_马仔宝物!A51</f>
        <v>92286</v>
      </c>
      <c r="X51" s="5" t="str">
        <f>D_马仔宝物!B51</f>
        <v>巨额钞票</v>
      </c>
      <c r="Y51" s="5" t="str">
        <f>D_马仔宝物!E51</f>
        <v>92286.png</v>
      </c>
      <c r="Z51" s="5">
        <f>D_马仔宝物!F51</f>
        <v>4</v>
      </c>
      <c r="AA51" s="5">
        <f>D_马仔宝物!H51</f>
        <v>0</v>
      </c>
      <c r="AB51" s="5">
        <f>D_马仔宝物!I51</f>
        <v>0</v>
      </c>
      <c r="AC51" s="5">
        <f>D_马仔宝物!J51</f>
        <v>40</v>
      </c>
      <c r="AD51" s="6">
        <f t="shared" si="18"/>
        <v>40</v>
      </c>
    </row>
    <row r="52" spans="1:30">
      <c r="A52" s="20">
        <f t="shared" ref="A52:A61" si="22">A51</f>
        <v>101105</v>
      </c>
      <c r="B52" s="5" t="str">
        <f t="shared" ref="B52:B61" si="23">B51</f>
        <v>黑古</v>
      </c>
      <c r="C52" s="5">
        <f t="shared" ref="C52:C61" si="24">C51</f>
        <v>0</v>
      </c>
      <c r="D52" s="6">
        <v>2</v>
      </c>
      <c r="E52" s="5">
        <v>1</v>
      </c>
      <c r="F52" s="125">
        <v>92271</v>
      </c>
      <c r="G52" s="125">
        <v>92278</v>
      </c>
      <c r="H52" s="125">
        <v>92264</v>
      </c>
      <c r="I52" s="125">
        <v>92251</v>
      </c>
      <c r="J52" s="125">
        <v>92141</v>
      </c>
      <c r="K52" s="125">
        <v>92122</v>
      </c>
      <c r="L52" s="5">
        <f t="shared" si="17"/>
        <v>143.68</v>
      </c>
      <c r="M52" s="6">
        <f t="shared" si="2"/>
        <v>617</v>
      </c>
      <c r="N52" s="6">
        <f t="shared" si="3"/>
        <v>93</v>
      </c>
      <c r="O52" s="6">
        <f t="shared" si="4"/>
        <v>26</v>
      </c>
      <c r="P52" s="27">
        <f t="shared" si="5"/>
        <v>824</v>
      </c>
      <c r="Q52" s="27">
        <f t="shared" si="6"/>
        <v>30</v>
      </c>
      <c r="R52" s="27">
        <f t="shared" si="7"/>
        <v>20</v>
      </c>
      <c r="W52" s="5">
        <f>D_马仔宝物!A52</f>
        <v>92290</v>
      </c>
      <c r="X52" s="5" t="str">
        <f>D_马仔宝物!B52</f>
        <v>大堆金块</v>
      </c>
      <c r="Y52" s="5" t="str">
        <f>D_马仔宝物!E52</f>
        <v>92290.png</v>
      </c>
      <c r="Z52" s="5">
        <f>D_马仔宝物!F52</f>
        <v>4</v>
      </c>
      <c r="AA52" s="5">
        <f>D_马仔宝物!H52</f>
        <v>1852</v>
      </c>
      <c r="AB52" s="5">
        <f>D_马仔宝物!I52</f>
        <v>0</v>
      </c>
      <c r="AC52" s="5">
        <f>D_马仔宝物!J52</f>
        <v>0</v>
      </c>
      <c r="AD52" s="6">
        <f t="shared" si="18"/>
        <v>74.08</v>
      </c>
    </row>
    <row r="53" spans="1:30">
      <c r="A53" s="20">
        <f t="shared" si="22"/>
        <v>101105</v>
      </c>
      <c r="B53" s="5" t="str">
        <f t="shared" si="23"/>
        <v>黑古</v>
      </c>
      <c r="C53" s="5">
        <f t="shared" si="24"/>
        <v>0</v>
      </c>
      <c r="D53" s="6">
        <v>3</v>
      </c>
      <c r="E53" s="5">
        <v>1</v>
      </c>
      <c r="F53" s="125">
        <v>92278</v>
      </c>
      <c r="G53" s="125">
        <v>92264</v>
      </c>
      <c r="H53" s="126">
        <v>92283</v>
      </c>
      <c r="I53" s="125">
        <v>92271</v>
      </c>
      <c r="J53" s="126">
        <v>92287</v>
      </c>
      <c r="K53" s="125">
        <v>92233</v>
      </c>
      <c r="L53" s="5">
        <f t="shared" si="17"/>
        <v>131.04000000000002</v>
      </c>
      <c r="M53" s="6">
        <f t="shared" si="2"/>
        <v>1851</v>
      </c>
      <c r="N53" s="6">
        <f t="shared" si="3"/>
        <v>31</v>
      </c>
      <c r="O53" s="6">
        <f t="shared" si="4"/>
        <v>26</v>
      </c>
      <c r="P53" s="27">
        <f t="shared" si="5"/>
        <v>1441</v>
      </c>
      <c r="Q53" s="27">
        <f t="shared" si="6"/>
        <v>123</v>
      </c>
      <c r="R53" s="27">
        <f t="shared" si="7"/>
        <v>46</v>
      </c>
      <c r="W53" s="5">
        <f>D_马仔宝物!A53</f>
        <v>92026</v>
      </c>
      <c r="X53" s="5" t="str">
        <f>D_马仔宝物!B53</f>
        <v>深蓝</v>
      </c>
      <c r="Y53" s="5" t="str">
        <f>D_马仔宝物!E53</f>
        <v>92026.png</v>
      </c>
      <c r="Z53" s="5">
        <f>D_马仔宝物!F53</f>
        <v>4</v>
      </c>
      <c r="AA53" s="5">
        <f>D_马仔宝物!H53</f>
        <v>0</v>
      </c>
      <c r="AB53" s="5">
        <f>D_马仔宝物!I53</f>
        <v>105</v>
      </c>
      <c r="AC53" s="5">
        <f>D_马仔宝物!J53</f>
        <v>0</v>
      </c>
      <c r="AD53" s="6">
        <f t="shared" si="18"/>
        <v>105</v>
      </c>
    </row>
    <row r="54" spans="1:30">
      <c r="A54" s="20">
        <f t="shared" si="22"/>
        <v>101105</v>
      </c>
      <c r="B54" s="5" t="str">
        <f t="shared" si="23"/>
        <v>黑古</v>
      </c>
      <c r="C54" s="5">
        <f t="shared" si="24"/>
        <v>0</v>
      </c>
      <c r="D54" s="6">
        <v>4</v>
      </c>
      <c r="E54" s="5">
        <v>2</v>
      </c>
      <c r="F54" s="127">
        <v>92012</v>
      </c>
      <c r="G54" s="127">
        <v>92124</v>
      </c>
      <c r="H54" s="132">
        <v>92288</v>
      </c>
      <c r="I54" s="127">
        <v>92272</v>
      </c>
      <c r="J54" s="127">
        <v>92279</v>
      </c>
      <c r="K54" s="127">
        <v>92235</v>
      </c>
      <c r="L54" s="5">
        <f t="shared" si="17"/>
        <v>200.32</v>
      </c>
      <c r="M54" s="6">
        <f t="shared" si="2"/>
        <v>2058</v>
      </c>
      <c r="N54" s="6">
        <f t="shared" si="3"/>
        <v>52</v>
      </c>
      <c r="O54" s="6">
        <f t="shared" si="4"/>
        <v>66</v>
      </c>
      <c r="P54" s="27">
        <f t="shared" si="5"/>
        <v>3292</v>
      </c>
      <c r="Q54" s="27">
        <f t="shared" si="6"/>
        <v>154</v>
      </c>
      <c r="R54" s="27">
        <f t="shared" si="7"/>
        <v>72</v>
      </c>
      <c r="W54" s="5">
        <f>D_马仔宝物!A54</f>
        <v>92255</v>
      </c>
      <c r="X54" s="5" t="str">
        <f>D_马仔宝物!B54</f>
        <v>黑耀项链</v>
      </c>
      <c r="Y54" s="5" t="str">
        <f>D_马仔宝物!E54</f>
        <v>92255.png</v>
      </c>
      <c r="Z54" s="5">
        <f>D_马仔宝物!F54</f>
        <v>4</v>
      </c>
      <c r="AA54" s="5">
        <f>D_马仔宝物!H54</f>
        <v>0</v>
      </c>
      <c r="AB54" s="5">
        <f>D_马仔宝物!I54</f>
        <v>0</v>
      </c>
      <c r="AC54" s="5">
        <f>D_马仔宝物!J54</f>
        <v>44</v>
      </c>
      <c r="AD54" s="6">
        <f t="shared" si="18"/>
        <v>44</v>
      </c>
    </row>
    <row r="55" spans="1:30">
      <c r="A55" s="20">
        <f t="shared" si="22"/>
        <v>101105</v>
      </c>
      <c r="B55" s="5" t="str">
        <f t="shared" si="23"/>
        <v>黑古</v>
      </c>
      <c r="C55" s="5">
        <f t="shared" si="24"/>
        <v>0</v>
      </c>
      <c r="D55" s="6">
        <v>5</v>
      </c>
      <c r="E55" s="5">
        <v>2</v>
      </c>
      <c r="F55" s="127">
        <v>92124</v>
      </c>
      <c r="G55" s="132">
        <v>92288</v>
      </c>
      <c r="H55" s="127">
        <v>92012</v>
      </c>
      <c r="I55" s="132">
        <v>92284</v>
      </c>
      <c r="J55" s="127">
        <v>92235</v>
      </c>
      <c r="K55" s="127">
        <v>92142</v>
      </c>
      <c r="L55" s="5">
        <f t="shared" si="17"/>
        <v>230.32</v>
      </c>
      <c r="M55" s="6">
        <f t="shared" si="2"/>
        <v>2058</v>
      </c>
      <c r="N55" s="6">
        <f t="shared" si="3"/>
        <v>104</v>
      </c>
      <c r="O55" s="6">
        <f t="shared" si="4"/>
        <v>44</v>
      </c>
      <c r="P55" s="27">
        <f t="shared" si="5"/>
        <v>5350</v>
      </c>
      <c r="Q55" s="27">
        <f t="shared" si="6"/>
        <v>206</v>
      </c>
      <c r="R55" s="27">
        <f t="shared" si="7"/>
        <v>138</v>
      </c>
      <c r="W55" s="5">
        <f>D_马仔宝物!A55</f>
        <v>92297</v>
      </c>
      <c r="X55" s="5" t="str">
        <f>D_马仔宝物!B55</f>
        <v>翠绿之心</v>
      </c>
      <c r="Y55" s="5" t="str">
        <f>D_马仔宝物!E55</f>
        <v>92297.png</v>
      </c>
      <c r="Z55" s="5">
        <f>D_马仔宝物!F55</f>
        <v>4</v>
      </c>
      <c r="AA55" s="5">
        <f>D_马仔宝物!H55</f>
        <v>2058</v>
      </c>
      <c r="AB55" s="5">
        <f>D_马仔宝物!I55</f>
        <v>0</v>
      </c>
      <c r="AC55" s="5">
        <f>D_马仔宝物!J55</f>
        <v>0</v>
      </c>
      <c r="AD55" s="6">
        <f t="shared" si="18"/>
        <v>82.320000000000007</v>
      </c>
    </row>
    <row r="56" spans="1:30">
      <c r="A56" s="20">
        <f t="shared" si="22"/>
        <v>101105</v>
      </c>
      <c r="B56" s="5" t="str">
        <f t="shared" si="23"/>
        <v>黑古</v>
      </c>
      <c r="C56" s="5">
        <f t="shared" si="24"/>
        <v>0</v>
      </c>
      <c r="D56" s="6">
        <v>6</v>
      </c>
      <c r="E56" s="5">
        <v>3</v>
      </c>
      <c r="F56" s="131">
        <v>92223</v>
      </c>
      <c r="G56" s="131">
        <v>92134</v>
      </c>
      <c r="H56" s="131">
        <v>92254</v>
      </c>
      <c r="I56" s="131">
        <v>92013</v>
      </c>
      <c r="J56" s="131">
        <v>92253</v>
      </c>
      <c r="K56" s="131">
        <v>92236</v>
      </c>
      <c r="L56" s="5">
        <f t="shared" si="17"/>
        <v>338.6</v>
      </c>
      <c r="M56" s="6">
        <f t="shared" si="2"/>
        <v>1440</v>
      </c>
      <c r="N56" s="6">
        <f t="shared" si="3"/>
        <v>219</v>
      </c>
      <c r="O56" s="6">
        <f t="shared" si="4"/>
        <v>62</v>
      </c>
      <c r="P56" s="27">
        <f t="shared" si="5"/>
        <v>7408</v>
      </c>
      <c r="Q56" s="27">
        <f t="shared" si="6"/>
        <v>310</v>
      </c>
      <c r="R56" s="27">
        <f t="shared" si="7"/>
        <v>182</v>
      </c>
      <c r="W56" s="5">
        <f>D_马仔宝物!A56</f>
        <v>92293</v>
      </c>
      <c r="X56" s="5" t="str">
        <f>D_马仔宝物!B56</f>
        <v>珍珠宝盒</v>
      </c>
      <c r="Y56" s="5" t="str">
        <f>D_马仔宝物!E56</f>
        <v>92293.png</v>
      </c>
      <c r="Z56" s="5">
        <f>D_马仔宝物!F56</f>
        <v>4</v>
      </c>
      <c r="AA56" s="5">
        <f>D_马仔宝物!H56</f>
        <v>0</v>
      </c>
      <c r="AB56" s="5">
        <f>D_马仔宝物!I56</f>
        <v>105</v>
      </c>
      <c r="AC56" s="5">
        <f>D_马仔宝物!J56</f>
        <v>0</v>
      </c>
      <c r="AD56" s="6">
        <f t="shared" si="18"/>
        <v>105</v>
      </c>
    </row>
    <row r="57" spans="1:30">
      <c r="A57" s="20">
        <f t="shared" si="22"/>
        <v>101105</v>
      </c>
      <c r="B57" s="5" t="str">
        <f t="shared" si="23"/>
        <v>黑古</v>
      </c>
      <c r="C57" s="5">
        <f t="shared" si="24"/>
        <v>0</v>
      </c>
      <c r="D57" s="6">
        <v>7</v>
      </c>
      <c r="E57" s="5">
        <v>3</v>
      </c>
      <c r="F57" s="131">
        <v>92134</v>
      </c>
      <c r="G57" s="129">
        <v>92285</v>
      </c>
      <c r="H57" s="131">
        <v>92013</v>
      </c>
      <c r="I57" s="131">
        <v>92227</v>
      </c>
      <c r="J57" s="131">
        <v>92274</v>
      </c>
      <c r="K57" s="129">
        <v>92289</v>
      </c>
      <c r="L57" s="5">
        <f t="shared" si="17"/>
        <v>296.60000000000002</v>
      </c>
      <c r="M57" s="6">
        <f t="shared" si="2"/>
        <v>1440</v>
      </c>
      <c r="N57" s="6">
        <f t="shared" si="3"/>
        <v>146</v>
      </c>
      <c r="O57" s="6">
        <f t="shared" si="4"/>
        <v>93</v>
      </c>
      <c r="P57" s="27">
        <f t="shared" si="5"/>
        <v>8848</v>
      </c>
      <c r="Q57" s="27">
        <f t="shared" si="6"/>
        <v>529</v>
      </c>
      <c r="R57" s="27">
        <f t="shared" si="7"/>
        <v>244</v>
      </c>
      <c r="W57" s="5">
        <f>D_马仔宝物!A57</f>
        <v>92294</v>
      </c>
      <c r="X57" s="5" t="str">
        <f>D_马仔宝物!B57</f>
        <v>古董宝盒</v>
      </c>
      <c r="Y57" s="5" t="str">
        <f>D_马仔宝物!E57</f>
        <v>92294.png</v>
      </c>
      <c r="Z57" s="5">
        <f>D_马仔宝物!F57</f>
        <v>4</v>
      </c>
      <c r="AA57" s="5">
        <f>D_马仔宝物!H57</f>
        <v>0</v>
      </c>
      <c r="AB57" s="5">
        <f>D_马仔宝物!I57</f>
        <v>0</v>
      </c>
      <c r="AC57" s="5">
        <f>D_马仔宝物!J57</f>
        <v>44</v>
      </c>
      <c r="AD57" s="6">
        <f t="shared" si="18"/>
        <v>44</v>
      </c>
    </row>
    <row r="58" spans="1:30">
      <c r="A58" s="20">
        <f t="shared" si="22"/>
        <v>101105</v>
      </c>
      <c r="B58" s="5" t="str">
        <f t="shared" si="23"/>
        <v>黑古</v>
      </c>
      <c r="C58" s="5">
        <f t="shared" si="24"/>
        <v>0</v>
      </c>
      <c r="D58" s="6">
        <v>8</v>
      </c>
      <c r="E58" s="5">
        <v>4</v>
      </c>
      <c r="F58" s="128">
        <v>92281</v>
      </c>
      <c r="G58" s="128">
        <v>92292</v>
      </c>
      <c r="H58" s="128">
        <v>92256</v>
      </c>
      <c r="I58" s="128">
        <v>92261</v>
      </c>
      <c r="J58" s="128">
        <v>92240</v>
      </c>
      <c r="K58" s="128">
        <v>92275</v>
      </c>
      <c r="L58" s="5">
        <f t="shared" si="17"/>
        <v>416.15999999999997</v>
      </c>
      <c r="M58" s="6">
        <f t="shared" si="2"/>
        <v>3704</v>
      </c>
      <c r="N58" s="6">
        <f t="shared" si="3"/>
        <v>188</v>
      </c>
      <c r="O58" s="6">
        <f t="shared" si="4"/>
        <v>80</v>
      </c>
      <c r="P58" s="27">
        <f t="shared" si="5"/>
        <v>10288</v>
      </c>
      <c r="Q58" s="27">
        <f t="shared" si="6"/>
        <v>675</v>
      </c>
      <c r="R58" s="27">
        <f t="shared" si="7"/>
        <v>337</v>
      </c>
      <c r="W58" s="5">
        <f>D_马仔宝物!A58</f>
        <v>92295</v>
      </c>
      <c r="X58" s="5" t="str">
        <f>D_马仔宝物!B58</f>
        <v>水晶宝盒</v>
      </c>
      <c r="Y58" s="5" t="str">
        <f>D_马仔宝物!E58</f>
        <v>92295.png</v>
      </c>
      <c r="Z58" s="5">
        <f>D_马仔宝物!F58</f>
        <v>4</v>
      </c>
      <c r="AA58" s="5">
        <f>D_马仔宝物!H58</f>
        <v>2058</v>
      </c>
      <c r="AB58" s="5">
        <f>D_马仔宝物!I58</f>
        <v>0</v>
      </c>
      <c r="AC58" s="5">
        <f>D_马仔宝物!J58</f>
        <v>0</v>
      </c>
      <c r="AD58" s="6">
        <f t="shared" si="18"/>
        <v>82.320000000000007</v>
      </c>
    </row>
    <row r="59" spans="1:30">
      <c r="A59" s="20">
        <f t="shared" si="22"/>
        <v>101105</v>
      </c>
      <c r="B59" s="5" t="str">
        <f t="shared" si="23"/>
        <v>黑古</v>
      </c>
      <c r="C59" s="5">
        <f t="shared" si="24"/>
        <v>0</v>
      </c>
      <c r="D59" s="6">
        <v>9</v>
      </c>
      <c r="E59" s="5">
        <v>4</v>
      </c>
      <c r="F59" s="130">
        <v>92286</v>
      </c>
      <c r="G59" s="128">
        <v>92256</v>
      </c>
      <c r="H59" s="128">
        <v>92240</v>
      </c>
      <c r="I59" s="128">
        <v>92275</v>
      </c>
      <c r="J59" s="130">
        <v>92290</v>
      </c>
      <c r="K59" s="128">
        <v>92014</v>
      </c>
      <c r="L59" s="5">
        <f t="shared" si="17"/>
        <v>396.23999999999995</v>
      </c>
      <c r="M59" s="6">
        <f t="shared" si="2"/>
        <v>5556</v>
      </c>
      <c r="N59" s="6">
        <f t="shared" si="3"/>
        <v>94</v>
      </c>
      <c r="O59" s="6">
        <f t="shared" si="4"/>
        <v>80</v>
      </c>
      <c r="P59" s="27">
        <f t="shared" si="5"/>
        <v>13992</v>
      </c>
      <c r="Q59" s="27">
        <f t="shared" si="6"/>
        <v>863</v>
      </c>
      <c r="R59" s="27">
        <f t="shared" si="7"/>
        <v>417</v>
      </c>
      <c r="W59" s="5">
        <f>D_马仔宝物!A59</f>
        <v>92262</v>
      </c>
      <c r="X59" s="5" t="str">
        <f>D_马仔宝物!B59</f>
        <v>皇家项链</v>
      </c>
      <c r="Y59" s="5" t="str">
        <f>D_马仔宝物!E59</f>
        <v>92262.png</v>
      </c>
      <c r="Z59" s="5">
        <f>D_马仔宝物!F59</f>
        <v>4</v>
      </c>
      <c r="AA59" s="5">
        <f>D_马仔宝物!H59</f>
        <v>0</v>
      </c>
      <c r="AB59" s="5">
        <f>D_马仔宝物!I59</f>
        <v>105</v>
      </c>
      <c r="AC59" s="5">
        <f>D_马仔宝物!J59</f>
        <v>0</v>
      </c>
      <c r="AD59" s="6">
        <f t="shared" si="18"/>
        <v>105</v>
      </c>
    </row>
    <row r="60" spans="1:30">
      <c r="A60" s="20">
        <f t="shared" si="22"/>
        <v>101105</v>
      </c>
      <c r="B60" s="5" t="str">
        <f t="shared" si="23"/>
        <v>黑古</v>
      </c>
      <c r="C60" s="5">
        <f t="shared" si="24"/>
        <v>0</v>
      </c>
      <c r="D60" s="6">
        <v>10</v>
      </c>
      <c r="E60" s="5">
        <v>4</v>
      </c>
      <c r="F60" s="128">
        <v>92297</v>
      </c>
      <c r="G60" s="128">
        <v>92298</v>
      </c>
      <c r="H60" s="128">
        <v>92294</v>
      </c>
      <c r="I60" s="128">
        <v>92276</v>
      </c>
      <c r="J60" s="128">
        <v>92293</v>
      </c>
      <c r="K60" s="128">
        <v>92255</v>
      </c>
      <c r="L60" s="5">
        <f t="shared" si="17"/>
        <v>401.64</v>
      </c>
      <c r="M60" s="6">
        <f t="shared" si="2"/>
        <v>4116</v>
      </c>
      <c r="N60" s="6">
        <f t="shared" si="3"/>
        <v>105</v>
      </c>
      <c r="O60" s="6">
        <f t="shared" si="4"/>
        <v>132</v>
      </c>
      <c r="P60" s="27">
        <f t="shared" si="5"/>
        <v>19548</v>
      </c>
      <c r="Q60" s="27">
        <f t="shared" si="6"/>
        <v>957</v>
      </c>
      <c r="R60" s="27">
        <f t="shared" si="7"/>
        <v>497</v>
      </c>
      <c r="W60" s="5">
        <f>D_马仔宝物!A60</f>
        <v>92298</v>
      </c>
      <c r="X60" s="5" t="str">
        <f>D_马仔宝物!B60</f>
        <v>海洋之泪</v>
      </c>
      <c r="Y60" s="5" t="str">
        <f>D_马仔宝物!E60</f>
        <v>92298.png</v>
      </c>
      <c r="Z60" s="5">
        <f>D_马仔宝物!F60</f>
        <v>4</v>
      </c>
      <c r="AA60" s="5">
        <f>D_马仔宝物!H60</f>
        <v>0</v>
      </c>
      <c r="AB60" s="5">
        <f>D_马仔宝物!I60</f>
        <v>0</v>
      </c>
      <c r="AC60" s="5">
        <f>D_马仔宝物!J60</f>
        <v>44</v>
      </c>
      <c r="AD60" s="6">
        <f t="shared" si="18"/>
        <v>44</v>
      </c>
    </row>
    <row r="61" spans="1:30" ht="14.25" thickBot="1">
      <c r="A61" s="21">
        <f t="shared" si="22"/>
        <v>101105</v>
      </c>
      <c r="B61" s="22" t="str">
        <f t="shared" si="23"/>
        <v>黑古</v>
      </c>
      <c r="C61" s="22">
        <f t="shared" si="24"/>
        <v>0</v>
      </c>
      <c r="D61" s="6">
        <v>11</v>
      </c>
      <c r="E61" s="22">
        <v>4</v>
      </c>
      <c r="F61" s="128">
        <v>92298</v>
      </c>
      <c r="G61" s="128">
        <v>92294</v>
      </c>
      <c r="H61" s="130">
        <v>92299</v>
      </c>
      <c r="I61" s="128">
        <v>92295</v>
      </c>
      <c r="J61" s="128">
        <v>92255</v>
      </c>
      <c r="K61" s="130">
        <v>92291</v>
      </c>
      <c r="L61" s="22">
        <f t="shared" si="17"/>
        <v>340.64</v>
      </c>
      <c r="M61" s="6">
        <f t="shared" si="2"/>
        <v>4116</v>
      </c>
      <c r="N61" s="6">
        <f t="shared" si="3"/>
        <v>0</v>
      </c>
      <c r="O61" s="6">
        <f t="shared" si="4"/>
        <v>176</v>
      </c>
      <c r="P61" s="27">
        <f t="shared" si="5"/>
        <v>23664</v>
      </c>
      <c r="Q61" s="27">
        <f t="shared" si="6"/>
        <v>1062</v>
      </c>
      <c r="R61" s="27">
        <f t="shared" si="7"/>
        <v>629</v>
      </c>
      <c r="W61" s="5">
        <f>D_马仔宝物!A61</f>
        <v>92276</v>
      </c>
      <c r="X61" s="5" t="str">
        <f>D_马仔宝物!B61</f>
        <v>壕利手表</v>
      </c>
      <c r="Y61" s="5" t="str">
        <f>D_马仔宝物!E61</f>
        <v>92276.png</v>
      </c>
      <c r="Z61" s="5">
        <f>D_马仔宝物!F61</f>
        <v>4</v>
      </c>
      <c r="AA61" s="5">
        <f>D_马仔宝物!H61</f>
        <v>2058</v>
      </c>
      <c r="AB61" s="5">
        <f>D_马仔宝物!I61</f>
        <v>0</v>
      </c>
      <c r="AC61" s="5">
        <f>D_马仔宝物!J61</f>
        <v>0</v>
      </c>
      <c r="AD61" s="6">
        <f t="shared" si="18"/>
        <v>82.320000000000007</v>
      </c>
    </row>
    <row r="62" spans="1:30">
      <c r="A62" s="18">
        <f>D_马仔表!A7</f>
        <v>101106</v>
      </c>
      <c r="B62" s="19" t="str">
        <f>D_马仔表!B7</f>
        <v>靓坤</v>
      </c>
      <c r="C62" s="19">
        <f>D_马仔表!D7</f>
        <v>1</v>
      </c>
      <c r="D62" s="6">
        <v>0</v>
      </c>
      <c r="E62" s="19">
        <v>0</v>
      </c>
      <c r="F62" s="123">
        <v>92011</v>
      </c>
      <c r="G62" s="123">
        <v>92228</v>
      </c>
      <c r="H62" s="123">
        <v>92232</v>
      </c>
      <c r="I62" s="123">
        <v>92121</v>
      </c>
      <c r="J62" s="123">
        <v>92243</v>
      </c>
      <c r="K62" s="124">
        <v>92263</v>
      </c>
      <c r="L62" s="19">
        <f t="shared" si="17"/>
        <v>46.24</v>
      </c>
      <c r="M62" s="6">
        <f t="shared" si="2"/>
        <v>206</v>
      </c>
      <c r="N62" s="6">
        <f t="shared" si="3"/>
        <v>30</v>
      </c>
      <c r="O62" s="6">
        <f t="shared" si="4"/>
        <v>8</v>
      </c>
      <c r="P62" s="27">
        <f t="shared" si="5"/>
        <v>0</v>
      </c>
      <c r="Q62" s="27">
        <f t="shared" si="6"/>
        <v>0</v>
      </c>
      <c r="R62" s="27">
        <f t="shared" si="7"/>
        <v>0</v>
      </c>
      <c r="W62" s="5">
        <f>D_马仔宝物!A62</f>
        <v>92282</v>
      </c>
      <c r="X62" s="5" t="str">
        <f>D_马仔宝物!B62</f>
        <v>劳莱斯特</v>
      </c>
      <c r="Y62" s="5" t="str">
        <f>D_马仔宝物!E62</f>
        <v>92282.png</v>
      </c>
      <c r="Z62" s="5">
        <f>D_马仔宝物!F62</f>
        <v>4</v>
      </c>
      <c r="AA62" s="5">
        <f>D_马仔宝物!H62</f>
        <v>0</v>
      </c>
      <c r="AB62" s="5">
        <f>D_马仔宝物!I62</f>
        <v>105</v>
      </c>
      <c r="AC62" s="5">
        <f>D_马仔宝物!J62</f>
        <v>0</v>
      </c>
      <c r="AD62" s="6">
        <f t="shared" si="18"/>
        <v>105</v>
      </c>
    </row>
    <row r="63" spans="1:30">
      <c r="A63" s="20">
        <f>A62</f>
        <v>101106</v>
      </c>
      <c r="B63" s="5" t="str">
        <f>B62</f>
        <v>靓坤</v>
      </c>
      <c r="C63" s="5">
        <f>C62</f>
        <v>1</v>
      </c>
      <c r="D63" s="6">
        <v>1</v>
      </c>
      <c r="E63" s="5">
        <v>0</v>
      </c>
      <c r="F63" s="123">
        <v>92131</v>
      </c>
      <c r="G63" s="123">
        <v>92011</v>
      </c>
      <c r="H63" s="124">
        <v>92277</v>
      </c>
      <c r="I63" s="123">
        <v>92232</v>
      </c>
      <c r="J63" s="123">
        <v>92244</v>
      </c>
      <c r="K63" s="123">
        <v>92228</v>
      </c>
      <c r="L63" s="5">
        <f t="shared" si="17"/>
        <v>42.720000000000006</v>
      </c>
      <c r="M63" s="6">
        <f t="shared" si="2"/>
        <v>618</v>
      </c>
      <c r="N63" s="6">
        <f t="shared" si="3"/>
        <v>10</v>
      </c>
      <c r="O63" s="6">
        <f t="shared" si="4"/>
        <v>8</v>
      </c>
      <c r="P63" s="27">
        <f t="shared" si="5"/>
        <v>206</v>
      </c>
      <c r="Q63" s="27">
        <f t="shared" si="6"/>
        <v>30</v>
      </c>
      <c r="R63" s="27">
        <f t="shared" si="7"/>
        <v>8</v>
      </c>
      <c r="W63" s="5">
        <f>D_马仔宝物!A63</f>
        <v>92299</v>
      </c>
      <c r="X63" s="5" t="str">
        <f>D_马仔宝物!B63</f>
        <v>房产证</v>
      </c>
      <c r="Y63" s="5" t="str">
        <f>D_马仔宝物!E63</f>
        <v>92299.png</v>
      </c>
      <c r="Z63" s="5">
        <f>D_马仔宝物!F63</f>
        <v>4</v>
      </c>
      <c r="AA63" s="5">
        <f>D_马仔宝物!H63</f>
        <v>0</v>
      </c>
      <c r="AB63" s="5">
        <f>D_马仔宝物!I63</f>
        <v>0</v>
      </c>
      <c r="AC63" s="5">
        <f>D_马仔宝物!J63</f>
        <v>44</v>
      </c>
      <c r="AD63" s="6">
        <f t="shared" si="18"/>
        <v>44</v>
      </c>
    </row>
    <row r="64" spans="1:30">
      <c r="A64" s="20">
        <f t="shared" ref="A64:A73" si="25">A63</f>
        <v>101106</v>
      </c>
      <c r="B64" s="5" t="str">
        <f t="shared" ref="B64:C73" si="26">B63</f>
        <v>靓坤</v>
      </c>
      <c r="C64" s="5">
        <f t="shared" ref="C64:C73" si="27">C63</f>
        <v>1</v>
      </c>
      <c r="D64" s="6">
        <v>2</v>
      </c>
      <c r="E64" s="5">
        <v>1</v>
      </c>
      <c r="F64" s="125">
        <v>92122</v>
      </c>
      <c r="G64" s="125">
        <v>92141</v>
      </c>
      <c r="H64" s="125">
        <v>92245</v>
      </c>
      <c r="I64" s="125">
        <v>92251</v>
      </c>
      <c r="J64" s="125">
        <v>92264</v>
      </c>
      <c r="K64" s="125">
        <v>92271</v>
      </c>
      <c r="L64" s="5">
        <f t="shared" si="17"/>
        <v>137.36000000000001</v>
      </c>
      <c r="M64" s="6">
        <f t="shared" si="2"/>
        <v>1234</v>
      </c>
      <c r="N64" s="6">
        <f t="shared" si="3"/>
        <v>62</v>
      </c>
      <c r="O64" s="6">
        <f t="shared" si="4"/>
        <v>26</v>
      </c>
      <c r="P64" s="27">
        <f t="shared" si="5"/>
        <v>824</v>
      </c>
      <c r="Q64" s="27">
        <f t="shared" si="6"/>
        <v>40</v>
      </c>
      <c r="R64" s="27">
        <f t="shared" si="7"/>
        <v>16</v>
      </c>
      <c r="W64" s="5">
        <f>D_马仔宝物!A64</f>
        <v>92291</v>
      </c>
      <c r="X64" s="5" t="str">
        <f>D_马仔宝物!B64</f>
        <v>巨量金块</v>
      </c>
      <c r="Y64" s="5" t="str">
        <f>D_马仔宝物!E64</f>
        <v>92291.png</v>
      </c>
      <c r="Z64" s="5">
        <f>D_马仔宝物!F64</f>
        <v>4</v>
      </c>
      <c r="AA64" s="5">
        <f>D_马仔宝物!H64</f>
        <v>2058</v>
      </c>
      <c r="AB64" s="5">
        <f>D_马仔宝物!I64</f>
        <v>0</v>
      </c>
      <c r="AC64" s="5">
        <f>D_马仔宝物!J64</f>
        <v>0</v>
      </c>
      <c r="AD64" s="6">
        <f t="shared" si="18"/>
        <v>82.320000000000007</v>
      </c>
    </row>
    <row r="65" spans="1:18">
      <c r="A65" s="20">
        <f t="shared" si="25"/>
        <v>101106</v>
      </c>
      <c r="B65" s="5" t="str">
        <f t="shared" si="26"/>
        <v>靓坤</v>
      </c>
      <c r="C65" s="5">
        <f t="shared" si="27"/>
        <v>1</v>
      </c>
      <c r="D65" s="6">
        <v>3</v>
      </c>
      <c r="E65" s="5">
        <v>1</v>
      </c>
      <c r="F65" s="125">
        <v>92233</v>
      </c>
      <c r="G65" s="126">
        <v>92287</v>
      </c>
      <c r="H65" s="125">
        <v>92278</v>
      </c>
      <c r="I65" s="125">
        <v>92245</v>
      </c>
      <c r="J65" s="126">
        <v>92283</v>
      </c>
      <c r="K65" s="125">
        <v>92251</v>
      </c>
      <c r="L65" s="5">
        <f t="shared" si="17"/>
        <v>149.04</v>
      </c>
      <c r="M65" s="6">
        <f t="shared" si="2"/>
        <v>1851</v>
      </c>
      <c r="N65" s="6">
        <f t="shared" si="3"/>
        <v>62</v>
      </c>
      <c r="O65" s="6">
        <f t="shared" si="4"/>
        <v>13</v>
      </c>
      <c r="P65" s="27">
        <f t="shared" si="5"/>
        <v>2058</v>
      </c>
      <c r="Q65" s="27">
        <f t="shared" si="6"/>
        <v>102</v>
      </c>
      <c r="R65" s="27">
        <f t="shared" si="7"/>
        <v>42</v>
      </c>
    </row>
    <row r="66" spans="1:18">
      <c r="A66" s="20">
        <f t="shared" si="25"/>
        <v>101106</v>
      </c>
      <c r="B66" s="5" t="str">
        <f t="shared" si="26"/>
        <v>靓坤</v>
      </c>
      <c r="C66" s="5">
        <f t="shared" si="27"/>
        <v>1</v>
      </c>
      <c r="D66" s="6">
        <v>4</v>
      </c>
      <c r="E66" s="5">
        <v>2</v>
      </c>
      <c r="F66" s="127">
        <v>92235</v>
      </c>
      <c r="G66" s="127">
        <v>92012</v>
      </c>
      <c r="H66" s="127">
        <v>92252</v>
      </c>
      <c r="I66" s="127">
        <v>92124</v>
      </c>
      <c r="J66" s="127">
        <v>92272</v>
      </c>
      <c r="K66" s="132">
        <v>92284</v>
      </c>
      <c r="L66" s="5">
        <f t="shared" ref="L66:L97" si="28">VLOOKUP(F66,$W$1:$AD$64,8,FALSE)+VLOOKUP(G66,$W$1:$AD$64,8,FALSE)+VLOOKUP(H66,$W$1:$AD$64,8,FALSE)+VLOOKUP(I66,$W$1:$AD$64,8,FALSE)+VLOOKUP(J66,$W$1:$AD$64,8,FALSE)+VLOOKUP(K66,$W$1:$AD$64,8,FALSE)</f>
        <v>219.48</v>
      </c>
      <c r="M66" s="6">
        <f t="shared" si="2"/>
        <v>3087</v>
      </c>
      <c r="N66" s="6">
        <f t="shared" si="3"/>
        <v>52</v>
      </c>
      <c r="O66" s="6">
        <f t="shared" si="4"/>
        <v>44</v>
      </c>
      <c r="P66" s="27">
        <f t="shared" si="5"/>
        <v>3909</v>
      </c>
      <c r="Q66" s="27">
        <f t="shared" si="6"/>
        <v>164</v>
      </c>
      <c r="R66" s="27">
        <f t="shared" si="7"/>
        <v>55</v>
      </c>
    </row>
    <row r="67" spans="1:18">
      <c r="A67" s="20">
        <f t="shared" si="25"/>
        <v>101106</v>
      </c>
      <c r="B67" s="5" t="str">
        <f t="shared" si="26"/>
        <v>靓坤</v>
      </c>
      <c r="C67" s="5">
        <f t="shared" si="26"/>
        <v>1</v>
      </c>
      <c r="D67" s="6">
        <v>5</v>
      </c>
      <c r="E67" s="5">
        <v>2</v>
      </c>
      <c r="F67" s="127">
        <v>92142</v>
      </c>
      <c r="G67" s="127">
        <v>92235</v>
      </c>
      <c r="H67" s="132">
        <v>92288</v>
      </c>
      <c r="I67" s="127">
        <v>92279</v>
      </c>
      <c r="J67" s="132">
        <v>92284</v>
      </c>
      <c r="K67" s="127">
        <v>92252</v>
      </c>
      <c r="L67" s="5">
        <f t="shared" si="28"/>
        <v>241.16</v>
      </c>
      <c r="M67" s="6">
        <f t="shared" ref="M67:M130" si="29">VLOOKUP(F67,$W$1:$AD$64,5,FALSE)+VLOOKUP(G67,$W$1:$AD$64,5,FALSE)+VLOOKUP(H67,$W$1:$AD$64,5,FALSE)+VLOOKUP(I67,$W$1:$AD$64,5,FALSE)+VLOOKUP(J67,$W$1:$AD$64,5,FALSE)+VLOOKUP(K67,$W$1:$AD$64,5,FALSE)</f>
        <v>1029</v>
      </c>
      <c r="N67" s="6">
        <f t="shared" ref="N67:N130" si="30">VLOOKUP(F67,$W$1:$AD$64,6,FALSE)+VLOOKUP(G67,$W$1:$AD$64,6,FALSE)+VLOOKUP(H67,$W$1:$AD$64,6,FALSE)+VLOOKUP(I67,$W$1:$AD$64,6,FALSE)+VLOOKUP(J67,$W$1:$AD$64,6,FALSE)+VLOOKUP(K67,$W$1:$AD$64,6,FALSE)</f>
        <v>156</v>
      </c>
      <c r="O67" s="6">
        <f t="shared" ref="O67:O130" si="31">VLOOKUP(F67,$W$1:$AD$64,7,FALSE)+VLOOKUP(G67,$W$1:$AD$64,7,FALSE)+VLOOKUP(H67,$W$1:$AD$64,7,FALSE)+VLOOKUP(I67,$W$1:$AD$64,7,FALSE)+VLOOKUP(J67,$W$1:$AD$64,7,FALSE)+VLOOKUP(K67,$W$1:$AD$64,7,FALSE)</f>
        <v>44</v>
      </c>
      <c r="P67" s="27">
        <f t="shared" ref="P67:P130" si="32">IF($D67=0,0,M66+P66)</f>
        <v>6996</v>
      </c>
      <c r="Q67" s="27">
        <f t="shared" ref="Q67:Q130" si="33">IF($D67=0,0,N66+Q66)</f>
        <v>216</v>
      </c>
      <c r="R67" s="27">
        <f t="shared" ref="R67:R130" si="34">IF($D67=0,0,O66+R66)</f>
        <v>99</v>
      </c>
    </row>
    <row r="68" spans="1:18">
      <c r="A68" s="20">
        <f t="shared" si="25"/>
        <v>101106</v>
      </c>
      <c r="B68" s="5" t="str">
        <f t="shared" si="26"/>
        <v>靓坤</v>
      </c>
      <c r="C68" s="5">
        <f t="shared" si="27"/>
        <v>1</v>
      </c>
      <c r="D68" s="6">
        <v>6</v>
      </c>
      <c r="E68" s="5">
        <v>3</v>
      </c>
      <c r="F68" s="131">
        <v>92274</v>
      </c>
      <c r="G68" s="131">
        <v>92134</v>
      </c>
      <c r="H68" s="131">
        <v>92013</v>
      </c>
      <c r="I68" s="131">
        <v>92254</v>
      </c>
      <c r="J68" s="131">
        <v>92280</v>
      </c>
      <c r="K68" s="131">
        <v>92227</v>
      </c>
      <c r="L68" s="5">
        <f t="shared" si="28"/>
        <v>323.20000000000005</v>
      </c>
      <c r="M68" s="6">
        <f t="shared" si="29"/>
        <v>2880</v>
      </c>
      <c r="N68" s="6">
        <f t="shared" si="30"/>
        <v>146</v>
      </c>
      <c r="O68" s="6">
        <f t="shared" si="31"/>
        <v>62</v>
      </c>
      <c r="P68" s="27">
        <f t="shared" si="32"/>
        <v>8025</v>
      </c>
      <c r="Q68" s="27">
        <f t="shared" si="33"/>
        <v>372</v>
      </c>
      <c r="R68" s="27">
        <f t="shared" si="34"/>
        <v>143</v>
      </c>
    </row>
    <row r="69" spans="1:18">
      <c r="A69" s="20">
        <f t="shared" si="25"/>
        <v>101106</v>
      </c>
      <c r="B69" s="5" t="str">
        <f t="shared" si="26"/>
        <v>靓坤</v>
      </c>
      <c r="C69" s="5">
        <f t="shared" si="27"/>
        <v>1</v>
      </c>
      <c r="D69" s="6">
        <v>7</v>
      </c>
      <c r="E69" s="5">
        <v>3</v>
      </c>
      <c r="F69" s="129">
        <v>92289</v>
      </c>
      <c r="G69" s="131">
        <v>92280</v>
      </c>
      <c r="H69" s="131">
        <v>92134</v>
      </c>
      <c r="I69" s="131">
        <v>92274</v>
      </c>
      <c r="J69" s="129">
        <v>92285</v>
      </c>
      <c r="K69" s="131">
        <v>92254</v>
      </c>
      <c r="L69" s="5">
        <f t="shared" si="28"/>
        <v>338.6</v>
      </c>
      <c r="M69" s="6">
        <f t="shared" si="29"/>
        <v>1440</v>
      </c>
      <c r="N69" s="6">
        <f t="shared" si="30"/>
        <v>219</v>
      </c>
      <c r="O69" s="6">
        <f t="shared" si="31"/>
        <v>62</v>
      </c>
      <c r="P69" s="27">
        <f t="shared" si="32"/>
        <v>10905</v>
      </c>
      <c r="Q69" s="27">
        <f t="shared" si="33"/>
        <v>518</v>
      </c>
      <c r="R69" s="27">
        <f t="shared" si="34"/>
        <v>205</v>
      </c>
    </row>
    <row r="70" spans="1:18">
      <c r="A70" s="20">
        <f t="shared" si="25"/>
        <v>101106</v>
      </c>
      <c r="B70" s="5" t="str">
        <f t="shared" si="26"/>
        <v>靓坤</v>
      </c>
      <c r="C70" s="5">
        <f t="shared" si="27"/>
        <v>1</v>
      </c>
      <c r="D70" s="6">
        <v>8</v>
      </c>
      <c r="E70" s="5">
        <v>4</v>
      </c>
      <c r="F70" s="128">
        <v>92296</v>
      </c>
      <c r="G70" s="130">
        <v>92286</v>
      </c>
      <c r="H70" s="128">
        <v>92292</v>
      </c>
      <c r="I70" s="128">
        <v>92256</v>
      </c>
      <c r="J70" s="128">
        <v>92261</v>
      </c>
      <c r="K70" s="128">
        <v>92275</v>
      </c>
      <c r="L70" s="5">
        <f t="shared" si="28"/>
        <v>416.15999999999997</v>
      </c>
      <c r="M70" s="6">
        <f t="shared" si="29"/>
        <v>3704</v>
      </c>
      <c r="N70" s="6">
        <f t="shared" si="30"/>
        <v>188</v>
      </c>
      <c r="O70" s="6">
        <f t="shared" si="31"/>
        <v>80</v>
      </c>
      <c r="P70" s="27">
        <f t="shared" si="32"/>
        <v>12345</v>
      </c>
      <c r="Q70" s="27">
        <f t="shared" si="33"/>
        <v>737</v>
      </c>
      <c r="R70" s="27">
        <f t="shared" si="34"/>
        <v>267</v>
      </c>
    </row>
    <row r="71" spans="1:18">
      <c r="A71" s="20">
        <f t="shared" si="25"/>
        <v>101106</v>
      </c>
      <c r="B71" s="5" t="str">
        <f t="shared" si="26"/>
        <v>靓坤</v>
      </c>
      <c r="C71" s="5">
        <f t="shared" si="27"/>
        <v>1</v>
      </c>
      <c r="D71" s="6">
        <v>9</v>
      </c>
      <c r="E71" s="5">
        <v>4</v>
      </c>
      <c r="F71" s="128">
        <v>92014</v>
      </c>
      <c r="G71" s="128">
        <v>92281</v>
      </c>
      <c r="H71" s="130">
        <v>92286</v>
      </c>
      <c r="I71" s="128">
        <v>92256</v>
      </c>
      <c r="J71" s="130">
        <v>92290</v>
      </c>
      <c r="K71" s="128">
        <v>92261</v>
      </c>
      <c r="L71" s="5">
        <f t="shared" si="28"/>
        <v>416.15999999999997</v>
      </c>
      <c r="M71" s="6">
        <f t="shared" si="29"/>
        <v>3704</v>
      </c>
      <c r="N71" s="6">
        <f t="shared" si="30"/>
        <v>188</v>
      </c>
      <c r="O71" s="6">
        <f t="shared" si="31"/>
        <v>80</v>
      </c>
      <c r="P71" s="27">
        <f t="shared" si="32"/>
        <v>16049</v>
      </c>
      <c r="Q71" s="27">
        <f t="shared" si="33"/>
        <v>925</v>
      </c>
      <c r="R71" s="27">
        <f t="shared" si="34"/>
        <v>347</v>
      </c>
    </row>
    <row r="72" spans="1:18">
      <c r="A72" s="20">
        <f t="shared" si="25"/>
        <v>101106</v>
      </c>
      <c r="B72" s="5" t="str">
        <f t="shared" si="26"/>
        <v>靓坤</v>
      </c>
      <c r="C72" s="5">
        <f t="shared" si="27"/>
        <v>1</v>
      </c>
      <c r="D72" s="6">
        <v>10</v>
      </c>
      <c r="E72" s="5">
        <v>4</v>
      </c>
      <c r="F72" s="128">
        <v>92026</v>
      </c>
      <c r="G72" s="128">
        <v>92298</v>
      </c>
      <c r="H72" s="128">
        <v>92293</v>
      </c>
      <c r="I72" s="128">
        <v>92255</v>
      </c>
      <c r="J72" s="128">
        <v>92276</v>
      </c>
      <c r="K72" s="128">
        <v>92294</v>
      </c>
      <c r="L72" s="5">
        <f t="shared" si="28"/>
        <v>424.32</v>
      </c>
      <c r="M72" s="6">
        <f t="shared" si="29"/>
        <v>2058</v>
      </c>
      <c r="N72" s="6">
        <f t="shared" si="30"/>
        <v>210</v>
      </c>
      <c r="O72" s="6">
        <f t="shared" si="31"/>
        <v>132</v>
      </c>
      <c r="P72" s="27">
        <f t="shared" si="32"/>
        <v>19753</v>
      </c>
      <c r="Q72" s="27">
        <f t="shared" si="33"/>
        <v>1113</v>
      </c>
      <c r="R72" s="27">
        <f t="shared" si="34"/>
        <v>427</v>
      </c>
    </row>
    <row r="73" spans="1:18" ht="14.25" thickBot="1">
      <c r="A73" s="21">
        <f t="shared" si="25"/>
        <v>101106</v>
      </c>
      <c r="B73" s="22" t="str">
        <f t="shared" si="26"/>
        <v>靓坤</v>
      </c>
      <c r="C73" s="22">
        <f t="shared" si="27"/>
        <v>1</v>
      </c>
      <c r="D73" s="6">
        <v>11</v>
      </c>
      <c r="E73" s="22">
        <v>4</v>
      </c>
      <c r="F73" s="130">
        <v>92299</v>
      </c>
      <c r="G73" s="128">
        <v>92026</v>
      </c>
      <c r="H73" s="128">
        <v>92276</v>
      </c>
      <c r="I73" s="130">
        <v>92291</v>
      </c>
      <c r="J73" s="128">
        <v>92255</v>
      </c>
      <c r="K73" s="128">
        <v>92293</v>
      </c>
      <c r="L73" s="22">
        <f t="shared" si="28"/>
        <v>462.64</v>
      </c>
      <c r="M73" s="6">
        <f t="shared" si="29"/>
        <v>4116</v>
      </c>
      <c r="N73" s="6">
        <f t="shared" si="30"/>
        <v>210</v>
      </c>
      <c r="O73" s="6">
        <f t="shared" si="31"/>
        <v>88</v>
      </c>
      <c r="P73" s="27">
        <f t="shared" si="32"/>
        <v>21811</v>
      </c>
      <c r="Q73" s="27">
        <f t="shared" si="33"/>
        <v>1323</v>
      </c>
      <c r="R73" s="27">
        <f t="shared" si="34"/>
        <v>559</v>
      </c>
    </row>
    <row r="74" spans="1:18">
      <c r="A74" s="18">
        <f>D_马仔表!A8</f>
        <v>101107</v>
      </c>
      <c r="B74" s="19" t="str">
        <f>D_马仔表!B8</f>
        <v>雷复轰</v>
      </c>
      <c r="C74" s="19">
        <f>D_马仔表!D8</f>
        <v>1</v>
      </c>
      <c r="D74" s="6">
        <v>0</v>
      </c>
      <c r="E74" s="19">
        <v>0</v>
      </c>
      <c r="F74" s="123">
        <v>92011</v>
      </c>
      <c r="G74" s="124">
        <v>92263</v>
      </c>
      <c r="H74" s="123">
        <v>92232</v>
      </c>
      <c r="I74" s="123">
        <v>92243</v>
      </c>
      <c r="J74" s="124">
        <v>92277</v>
      </c>
      <c r="K74" s="123">
        <v>92131</v>
      </c>
      <c r="L74" s="19">
        <f t="shared" si="28"/>
        <v>44.480000000000004</v>
      </c>
      <c r="M74" s="6">
        <f t="shared" si="29"/>
        <v>412</v>
      </c>
      <c r="N74" s="6">
        <f t="shared" si="30"/>
        <v>20</v>
      </c>
      <c r="O74" s="6">
        <f t="shared" si="31"/>
        <v>8</v>
      </c>
      <c r="P74" s="27">
        <f t="shared" si="32"/>
        <v>0</v>
      </c>
      <c r="Q74" s="27">
        <f t="shared" si="33"/>
        <v>0</v>
      </c>
      <c r="R74" s="27">
        <f t="shared" si="34"/>
        <v>0</v>
      </c>
    </row>
    <row r="75" spans="1:18">
      <c r="A75" s="20">
        <f>A74</f>
        <v>101107</v>
      </c>
      <c r="B75" s="5" t="str">
        <f>B74</f>
        <v>雷复轰</v>
      </c>
      <c r="C75" s="5">
        <f>C74</f>
        <v>1</v>
      </c>
      <c r="D75" s="6">
        <v>1</v>
      </c>
      <c r="E75" s="5">
        <v>0</v>
      </c>
      <c r="F75" s="123">
        <v>92011</v>
      </c>
      <c r="G75" s="123">
        <v>92121</v>
      </c>
      <c r="H75" s="123">
        <v>92131</v>
      </c>
      <c r="I75" s="124">
        <v>92263</v>
      </c>
      <c r="J75" s="123">
        <v>92244</v>
      </c>
      <c r="K75" s="123">
        <v>92243</v>
      </c>
      <c r="L75" s="5">
        <f t="shared" si="28"/>
        <v>50.480000000000004</v>
      </c>
      <c r="M75" s="6">
        <f t="shared" si="29"/>
        <v>412</v>
      </c>
      <c r="N75" s="6">
        <f t="shared" si="30"/>
        <v>30</v>
      </c>
      <c r="O75" s="6">
        <f t="shared" si="31"/>
        <v>4</v>
      </c>
      <c r="P75" s="27">
        <f t="shared" si="32"/>
        <v>412</v>
      </c>
      <c r="Q75" s="27">
        <f t="shared" si="33"/>
        <v>20</v>
      </c>
      <c r="R75" s="27">
        <f t="shared" si="34"/>
        <v>8</v>
      </c>
    </row>
    <row r="76" spans="1:18">
      <c r="A76" s="20">
        <f t="shared" ref="A76:A85" si="35">A75</f>
        <v>101107</v>
      </c>
      <c r="B76" s="5" t="str">
        <f t="shared" ref="B76:B85" si="36">B75</f>
        <v>雷复轰</v>
      </c>
      <c r="C76" s="5">
        <f t="shared" ref="C76:C85" si="37">C75</f>
        <v>1</v>
      </c>
      <c r="D76" s="6">
        <v>2</v>
      </c>
      <c r="E76" s="5">
        <v>1</v>
      </c>
      <c r="F76" s="125">
        <v>92122</v>
      </c>
      <c r="G76" s="125">
        <v>92233</v>
      </c>
      <c r="H76" s="125">
        <v>92251</v>
      </c>
      <c r="I76" s="125">
        <v>92264</v>
      </c>
      <c r="J76" s="125">
        <v>92271</v>
      </c>
      <c r="K76" s="125">
        <v>92141</v>
      </c>
      <c r="L76" s="5">
        <f t="shared" si="28"/>
        <v>137.36000000000001</v>
      </c>
      <c r="M76" s="6">
        <f t="shared" si="29"/>
        <v>1234</v>
      </c>
      <c r="N76" s="6">
        <f t="shared" si="30"/>
        <v>62</v>
      </c>
      <c r="O76" s="6">
        <f t="shared" si="31"/>
        <v>26</v>
      </c>
      <c r="P76" s="27">
        <f t="shared" si="32"/>
        <v>824</v>
      </c>
      <c r="Q76" s="27">
        <f t="shared" si="33"/>
        <v>50</v>
      </c>
      <c r="R76" s="27">
        <f t="shared" si="34"/>
        <v>12</v>
      </c>
    </row>
    <row r="77" spans="1:18">
      <c r="A77" s="20">
        <f t="shared" si="35"/>
        <v>101107</v>
      </c>
      <c r="B77" s="5" t="str">
        <f t="shared" si="36"/>
        <v>雷复轰</v>
      </c>
      <c r="C77" s="5">
        <f t="shared" si="37"/>
        <v>1</v>
      </c>
      <c r="D77" s="6">
        <v>3</v>
      </c>
      <c r="E77" s="5">
        <v>1</v>
      </c>
      <c r="F77" s="125">
        <v>92245</v>
      </c>
      <c r="G77" s="126">
        <v>92283</v>
      </c>
      <c r="H77" s="125">
        <v>92233</v>
      </c>
      <c r="I77" s="125">
        <v>92271</v>
      </c>
      <c r="J77" s="126">
        <v>92287</v>
      </c>
      <c r="K77" s="125">
        <v>92251</v>
      </c>
      <c r="L77" s="5">
        <f t="shared" si="28"/>
        <v>142.72</v>
      </c>
      <c r="M77" s="6">
        <f t="shared" si="29"/>
        <v>2468</v>
      </c>
      <c r="N77" s="6">
        <f t="shared" si="30"/>
        <v>31</v>
      </c>
      <c r="O77" s="6">
        <f t="shared" si="31"/>
        <v>13</v>
      </c>
      <c r="P77" s="27">
        <f t="shared" si="32"/>
        <v>2058</v>
      </c>
      <c r="Q77" s="27">
        <f t="shared" si="33"/>
        <v>112</v>
      </c>
      <c r="R77" s="27">
        <f t="shared" si="34"/>
        <v>38</v>
      </c>
    </row>
    <row r="78" spans="1:18">
      <c r="A78" s="20">
        <f t="shared" si="35"/>
        <v>101107</v>
      </c>
      <c r="B78" s="5" t="str">
        <f t="shared" si="36"/>
        <v>雷复轰</v>
      </c>
      <c r="C78" s="5">
        <f t="shared" si="37"/>
        <v>1</v>
      </c>
      <c r="D78" s="6">
        <v>4</v>
      </c>
      <c r="E78" s="5">
        <v>2</v>
      </c>
      <c r="F78" s="132">
        <v>92284</v>
      </c>
      <c r="G78" s="127">
        <v>92142</v>
      </c>
      <c r="H78" s="127">
        <v>92272</v>
      </c>
      <c r="I78" s="127">
        <v>92124</v>
      </c>
      <c r="J78" s="127">
        <v>92012</v>
      </c>
      <c r="K78" s="127">
        <v>92279</v>
      </c>
      <c r="L78" s="5">
        <f t="shared" si="28"/>
        <v>219.48</v>
      </c>
      <c r="M78" s="6">
        <f t="shared" si="29"/>
        <v>3087</v>
      </c>
      <c r="N78" s="6">
        <f t="shared" si="30"/>
        <v>52</v>
      </c>
      <c r="O78" s="6">
        <f t="shared" si="31"/>
        <v>44</v>
      </c>
      <c r="P78" s="27">
        <f t="shared" si="32"/>
        <v>4526</v>
      </c>
      <c r="Q78" s="27">
        <f t="shared" si="33"/>
        <v>143</v>
      </c>
      <c r="R78" s="27">
        <f t="shared" si="34"/>
        <v>51</v>
      </c>
    </row>
    <row r="79" spans="1:18">
      <c r="A79" s="20">
        <f t="shared" si="35"/>
        <v>101107</v>
      </c>
      <c r="B79" s="5" t="str">
        <f t="shared" si="36"/>
        <v>雷复轰</v>
      </c>
      <c r="C79" s="5">
        <f t="shared" si="37"/>
        <v>1</v>
      </c>
      <c r="D79" s="6">
        <v>5</v>
      </c>
      <c r="E79" s="5">
        <v>2</v>
      </c>
      <c r="F79" s="127">
        <v>92273</v>
      </c>
      <c r="G79" s="132">
        <v>92284</v>
      </c>
      <c r="H79" s="127">
        <v>92142</v>
      </c>
      <c r="I79" s="127">
        <v>92279</v>
      </c>
      <c r="J79" s="127">
        <v>92252</v>
      </c>
      <c r="K79" s="132">
        <v>92288</v>
      </c>
      <c r="L79" s="5">
        <f t="shared" si="28"/>
        <v>271.15999999999997</v>
      </c>
      <c r="M79" s="6">
        <f t="shared" si="29"/>
        <v>1029</v>
      </c>
      <c r="N79" s="6">
        <f t="shared" si="30"/>
        <v>208</v>
      </c>
      <c r="O79" s="6">
        <f t="shared" si="31"/>
        <v>22</v>
      </c>
      <c r="P79" s="27">
        <f t="shared" si="32"/>
        <v>7613</v>
      </c>
      <c r="Q79" s="27">
        <f t="shared" si="33"/>
        <v>195</v>
      </c>
      <c r="R79" s="27">
        <f t="shared" si="34"/>
        <v>95</v>
      </c>
    </row>
    <row r="80" spans="1:18">
      <c r="A80" s="20">
        <f t="shared" si="35"/>
        <v>101107</v>
      </c>
      <c r="B80" s="5" t="str">
        <f t="shared" si="36"/>
        <v>雷复轰</v>
      </c>
      <c r="C80" s="5">
        <f t="shared" si="37"/>
        <v>1</v>
      </c>
      <c r="D80" s="6">
        <v>6</v>
      </c>
      <c r="E80" s="5">
        <v>3</v>
      </c>
      <c r="F80" s="131">
        <v>92134</v>
      </c>
      <c r="G80" s="131">
        <v>92223</v>
      </c>
      <c r="H80" s="131">
        <v>92227</v>
      </c>
      <c r="I80" s="131">
        <v>92236</v>
      </c>
      <c r="J80" s="131">
        <v>92013</v>
      </c>
      <c r="K80" s="131">
        <v>92253</v>
      </c>
      <c r="L80" s="5">
        <f t="shared" si="28"/>
        <v>323.20000000000005</v>
      </c>
      <c r="M80" s="6">
        <f t="shared" si="29"/>
        <v>2880</v>
      </c>
      <c r="N80" s="6">
        <f t="shared" si="30"/>
        <v>146</v>
      </c>
      <c r="O80" s="6">
        <f t="shared" si="31"/>
        <v>62</v>
      </c>
      <c r="P80" s="27">
        <f t="shared" si="32"/>
        <v>8642</v>
      </c>
      <c r="Q80" s="27">
        <f t="shared" si="33"/>
        <v>403</v>
      </c>
      <c r="R80" s="27">
        <f t="shared" si="34"/>
        <v>117</v>
      </c>
    </row>
    <row r="81" spans="1:18">
      <c r="A81" s="20">
        <f t="shared" si="35"/>
        <v>101107</v>
      </c>
      <c r="B81" s="5" t="str">
        <f t="shared" si="36"/>
        <v>雷复轰</v>
      </c>
      <c r="C81" s="5">
        <f t="shared" si="37"/>
        <v>1</v>
      </c>
      <c r="D81" s="6">
        <v>7</v>
      </c>
      <c r="E81" s="5">
        <v>3</v>
      </c>
      <c r="F81" s="131">
        <v>92125</v>
      </c>
      <c r="G81" s="129">
        <v>92285</v>
      </c>
      <c r="H81" s="131">
        <v>92253</v>
      </c>
      <c r="I81" s="129">
        <v>92289</v>
      </c>
      <c r="J81" s="131">
        <v>92274</v>
      </c>
      <c r="K81" s="131">
        <v>92013</v>
      </c>
      <c r="L81" s="5">
        <f t="shared" si="28"/>
        <v>254.6</v>
      </c>
      <c r="M81" s="6">
        <f t="shared" si="29"/>
        <v>1440</v>
      </c>
      <c r="N81" s="6">
        <f t="shared" si="30"/>
        <v>73</v>
      </c>
      <c r="O81" s="6">
        <f t="shared" si="31"/>
        <v>124</v>
      </c>
      <c r="P81" s="27">
        <f t="shared" si="32"/>
        <v>11522</v>
      </c>
      <c r="Q81" s="27">
        <f t="shared" si="33"/>
        <v>549</v>
      </c>
      <c r="R81" s="27">
        <f t="shared" si="34"/>
        <v>179</v>
      </c>
    </row>
    <row r="82" spans="1:18">
      <c r="A82" s="20">
        <f t="shared" si="35"/>
        <v>101107</v>
      </c>
      <c r="B82" s="5" t="str">
        <f t="shared" si="36"/>
        <v>雷复轰</v>
      </c>
      <c r="C82" s="5">
        <f t="shared" si="37"/>
        <v>1</v>
      </c>
      <c r="D82" s="6">
        <v>8</v>
      </c>
      <c r="E82" s="5">
        <v>4</v>
      </c>
      <c r="F82" s="128">
        <v>92256</v>
      </c>
      <c r="G82" s="128">
        <v>92014</v>
      </c>
      <c r="H82" s="128">
        <v>92296</v>
      </c>
      <c r="I82" s="128">
        <v>92240</v>
      </c>
      <c r="J82" s="130">
        <v>92290</v>
      </c>
      <c r="K82" s="128">
        <v>92292</v>
      </c>
      <c r="L82" s="5">
        <f t="shared" si="28"/>
        <v>450.23999999999995</v>
      </c>
      <c r="M82" s="6">
        <f t="shared" si="29"/>
        <v>5556</v>
      </c>
      <c r="N82" s="6">
        <f t="shared" si="30"/>
        <v>188</v>
      </c>
      <c r="O82" s="6">
        <f t="shared" si="31"/>
        <v>40</v>
      </c>
      <c r="P82" s="27">
        <f t="shared" si="32"/>
        <v>12962</v>
      </c>
      <c r="Q82" s="27">
        <f t="shared" si="33"/>
        <v>622</v>
      </c>
      <c r="R82" s="27">
        <f t="shared" si="34"/>
        <v>303</v>
      </c>
    </row>
    <row r="83" spans="1:18">
      <c r="A83" s="20">
        <f t="shared" si="35"/>
        <v>101107</v>
      </c>
      <c r="B83" s="5" t="str">
        <f t="shared" si="36"/>
        <v>雷复轰</v>
      </c>
      <c r="C83" s="5">
        <f t="shared" si="37"/>
        <v>1</v>
      </c>
      <c r="D83" s="6">
        <v>9</v>
      </c>
      <c r="E83" s="5">
        <v>4</v>
      </c>
      <c r="F83" s="128">
        <v>92275</v>
      </c>
      <c r="G83" s="128">
        <v>92256</v>
      </c>
      <c r="H83" s="130">
        <v>92286</v>
      </c>
      <c r="I83" s="128">
        <v>92296</v>
      </c>
      <c r="J83" s="128">
        <v>92292</v>
      </c>
      <c r="K83" s="130">
        <v>92290</v>
      </c>
      <c r="L83" s="5">
        <f t="shared" si="28"/>
        <v>450.23999999999995</v>
      </c>
      <c r="M83" s="6">
        <f t="shared" si="29"/>
        <v>5556</v>
      </c>
      <c r="N83" s="6">
        <f t="shared" si="30"/>
        <v>188</v>
      </c>
      <c r="O83" s="6">
        <f t="shared" si="31"/>
        <v>40</v>
      </c>
      <c r="P83" s="27">
        <f t="shared" si="32"/>
        <v>18518</v>
      </c>
      <c r="Q83" s="27">
        <f t="shared" si="33"/>
        <v>810</v>
      </c>
      <c r="R83" s="27">
        <f t="shared" si="34"/>
        <v>343</v>
      </c>
    </row>
    <row r="84" spans="1:18">
      <c r="A84" s="20">
        <f t="shared" si="35"/>
        <v>101107</v>
      </c>
      <c r="B84" s="5" t="str">
        <f t="shared" si="36"/>
        <v>雷复轰</v>
      </c>
      <c r="C84" s="5">
        <f t="shared" si="37"/>
        <v>1</v>
      </c>
      <c r="D84" s="6">
        <v>10</v>
      </c>
      <c r="E84" s="5">
        <v>4</v>
      </c>
      <c r="F84" s="128">
        <v>92276</v>
      </c>
      <c r="G84" s="128">
        <v>92294</v>
      </c>
      <c r="H84" s="128">
        <v>92026</v>
      </c>
      <c r="I84" s="128">
        <v>92255</v>
      </c>
      <c r="J84" s="128">
        <v>92262</v>
      </c>
      <c r="K84" s="128">
        <v>92295</v>
      </c>
      <c r="L84" s="5">
        <f t="shared" si="28"/>
        <v>462.64</v>
      </c>
      <c r="M84" s="6">
        <f t="shared" si="29"/>
        <v>4116</v>
      </c>
      <c r="N84" s="6">
        <f t="shared" si="30"/>
        <v>210</v>
      </c>
      <c r="O84" s="6">
        <f t="shared" si="31"/>
        <v>88</v>
      </c>
      <c r="P84" s="27">
        <f t="shared" si="32"/>
        <v>24074</v>
      </c>
      <c r="Q84" s="27">
        <f t="shared" si="33"/>
        <v>998</v>
      </c>
      <c r="R84" s="27">
        <f t="shared" si="34"/>
        <v>383</v>
      </c>
    </row>
    <row r="85" spans="1:18" ht="14.25" thickBot="1">
      <c r="A85" s="21">
        <f t="shared" si="35"/>
        <v>101107</v>
      </c>
      <c r="B85" s="22" t="str">
        <f t="shared" si="36"/>
        <v>雷复轰</v>
      </c>
      <c r="C85" s="22">
        <f t="shared" si="37"/>
        <v>1</v>
      </c>
      <c r="D85" s="6">
        <v>11</v>
      </c>
      <c r="E85" s="22">
        <v>4</v>
      </c>
      <c r="F85" s="130">
        <v>92291</v>
      </c>
      <c r="G85" s="128">
        <v>92255</v>
      </c>
      <c r="H85" s="128">
        <v>92294</v>
      </c>
      <c r="I85" s="130">
        <v>92299</v>
      </c>
      <c r="J85" s="128">
        <v>92282</v>
      </c>
      <c r="K85" s="128">
        <v>92298</v>
      </c>
      <c r="L85" s="22">
        <f t="shared" si="28"/>
        <v>363.32</v>
      </c>
      <c r="M85" s="6">
        <f t="shared" si="29"/>
        <v>2058</v>
      </c>
      <c r="N85" s="6">
        <f t="shared" si="30"/>
        <v>105</v>
      </c>
      <c r="O85" s="6">
        <f t="shared" si="31"/>
        <v>176</v>
      </c>
      <c r="P85" s="27">
        <f t="shared" si="32"/>
        <v>28190</v>
      </c>
      <c r="Q85" s="27">
        <f t="shared" si="33"/>
        <v>1208</v>
      </c>
      <c r="R85" s="27">
        <f t="shared" si="34"/>
        <v>471</v>
      </c>
    </row>
    <row r="86" spans="1:18">
      <c r="A86" s="18">
        <f>D_马仔表!A9</f>
        <v>101108</v>
      </c>
      <c r="B86" s="19" t="str">
        <f>D_马仔表!B9</f>
        <v>肥仔</v>
      </c>
      <c r="C86" s="19">
        <f>D_马仔表!D9</f>
        <v>1</v>
      </c>
      <c r="D86" s="6">
        <v>0</v>
      </c>
      <c r="E86" s="19">
        <v>0</v>
      </c>
      <c r="F86" s="123">
        <v>92121</v>
      </c>
      <c r="G86" s="123">
        <v>92232</v>
      </c>
      <c r="H86" s="123">
        <v>92244</v>
      </c>
      <c r="I86" s="124">
        <v>92277</v>
      </c>
      <c r="J86" s="123">
        <v>92243</v>
      </c>
      <c r="K86" s="123">
        <v>92228</v>
      </c>
      <c r="L86" s="19">
        <f t="shared" si="28"/>
        <v>38.480000000000004</v>
      </c>
      <c r="M86" s="6">
        <f t="shared" si="29"/>
        <v>412</v>
      </c>
      <c r="N86" s="6">
        <f t="shared" si="30"/>
        <v>10</v>
      </c>
      <c r="O86" s="6">
        <f t="shared" si="31"/>
        <v>12</v>
      </c>
      <c r="P86" s="27">
        <f t="shared" si="32"/>
        <v>0</v>
      </c>
      <c r="Q86" s="27">
        <f t="shared" si="33"/>
        <v>0</v>
      </c>
      <c r="R86" s="27">
        <f t="shared" si="34"/>
        <v>0</v>
      </c>
    </row>
    <row r="87" spans="1:18">
      <c r="A87" s="20">
        <f>A86</f>
        <v>101108</v>
      </c>
      <c r="B87" s="5" t="str">
        <f>B86</f>
        <v>肥仔</v>
      </c>
      <c r="C87" s="5">
        <f>C86</f>
        <v>1</v>
      </c>
      <c r="D87" s="6">
        <v>1</v>
      </c>
      <c r="E87" s="5">
        <v>0</v>
      </c>
      <c r="F87" s="123">
        <v>92244</v>
      </c>
      <c r="G87" s="124">
        <v>92263</v>
      </c>
      <c r="H87" s="123">
        <v>92228</v>
      </c>
      <c r="I87" s="123">
        <v>92232</v>
      </c>
      <c r="J87" s="123">
        <v>92131</v>
      </c>
      <c r="K87" s="123">
        <v>92243</v>
      </c>
      <c r="L87" s="5">
        <f t="shared" si="28"/>
        <v>42.720000000000006</v>
      </c>
      <c r="M87" s="6">
        <f t="shared" si="29"/>
        <v>618</v>
      </c>
      <c r="N87" s="6">
        <f t="shared" si="30"/>
        <v>10</v>
      </c>
      <c r="O87" s="6">
        <f t="shared" si="31"/>
        <v>8</v>
      </c>
      <c r="P87" s="27">
        <f t="shared" si="32"/>
        <v>412</v>
      </c>
      <c r="Q87" s="27">
        <f t="shared" si="33"/>
        <v>10</v>
      </c>
      <c r="R87" s="27">
        <f t="shared" si="34"/>
        <v>12</v>
      </c>
    </row>
    <row r="88" spans="1:18">
      <c r="A88" s="20">
        <f t="shared" ref="A88:A97" si="38">A87</f>
        <v>101108</v>
      </c>
      <c r="B88" s="5" t="str">
        <f t="shared" ref="B88:B97" si="39">B87</f>
        <v>肥仔</v>
      </c>
      <c r="C88" s="5">
        <f t="shared" ref="C88:C97" si="40">C87</f>
        <v>1</v>
      </c>
      <c r="D88" s="6">
        <v>2</v>
      </c>
      <c r="E88" s="5">
        <v>1</v>
      </c>
      <c r="F88" s="125">
        <v>92251</v>
      </c>
      <c r="G88" s="125">
        <v>92271</v>
      </c>
      <c r="H88" s="125">
        <v>92122</v>
      </c>
      <c r="I88" s="125">
        <v>92233</v>
      </c>
      <c r="J88" s="125">
        <v>92264</v>
      </c>
      <c r="K88" s="125">
        <v>92278</v>
      </c>
      <c r="L88" s="5">
        <f t="shared" si="28"/>
        <v>155.36000000000001</v>
      </c>
      <c r="M88" s="6">
        <f t="shared" si="29"/>
        <v>1234</v>
      </c>
      <c r="N88" s="6">
        <f t="shared" si="30"/>
        <v>93</v>
      </c>
      <c r="O88" s="6">
        <f t="shared" si="31"/>
        <v>13</v>
      </c>
      <c r="P88" s="27">
        <f t="shared" si="32"/>
        <v>1030</v>
      </c>
      <c r="Q88" s="27">
        <f t="shared" si="33"/>
        <v>20</v>
      </c>
      <c r="R88" s="27">
        <f t="shared" si="34"/>
        <v>20</v>
      </c>
    </row>
    <row r="89" spans="1:18">
      <c r="A89" s="20">
        <f t="shared" si="38"/>
        <v>101108</v>
      </c>
      <c r="B89" s="5" t="str">
        <f t="shared" si="39"/>
        <v>肥仔</v>
      </c>
      <c r="C89" s="5">
        <f t="shared" si="40"/>
        <v>1</v>
      </c>
      <c r="D89" s="6">
        <v>3</v>
      </c>
      <c r="E89" s="5">
        <v>1</v>
      </c>
      <c r="F89" s="125">
        <v>92278</v>
      </c>
      <c r="G89" s="126">
        <v>92287</v>
      </c>
      <c r="H89" s="125">
        <v>92251</v>
      </c>
      <c r="I89" s="125">
        <v>92264</v>
      </c>
      <c r="J89" s="126">
        <v>92283</v>
      </c>
      <c r="K89" s="125">
        <v>92141</v>
      </c>
      <c r="L89" s="5">
        <f t="shared" si="28"/>
        <v>125.68</v>
      </c>
      <c r="M89" s="6">
        <f t="shared" si="29"/>
        <v>617</v>
      </c>
      <c r="N89" s="6">
        <f t="shared" si="30"/>
        <v>62</v>
      </c>
      <c r="O89" s="6">
        <f t="shared" si="31"/>
        <v>39</v>
      </c>
      <c r="P89" s="27">
        <f t="shared" si="32"/>
        <v>2264</v>
      </c>
      <c r="Q89" s="27">
        <f t="shared" si="33"/>
        <v>113</v>
      </c>
      <c r="R89" s="27">
        <f t="shared" si="34"/>
        <v>33</v>
      </c>
    </row>
    <row r="90" spans="1:18">
      <c r="A90" s="20">
        <f t="shared" si="38"/>
        <v>101108</v>
      </c>
      <c r="B90" s="5" t="str">
        <f t="shared" si="39"/>
        <v>肥仔</v>
      </c>
      <c r="C90" s="5">
        <f t="shared" si="40"/>
        <v>1</v>
      </c>
      <c r="D90" s="6">
        <v>4</v>
      </c>
      <c r="E90" s="5">
        <v>2</v>
      </c>
      <c r="F90" s="127">
        <v>92252</v>
      </c>
      <c r="G90" s="132">
        <v>92288</v>
      </c>
      <c r="H90" s="127">
        <v>92235</v>
      </c>
      <c r="I90" s="127">
        <v>92142</v>
      </c>
      <c r="J90" s="127">
        <v>92012</v>
      </c>
      <c r="K90" s="127">
        <v>92124</v>
      </c>
      <c r="L90" s="5">
        <f t="shared" si="28"/>
        <v>241.16</v>
      </c>
      <c r="M90" s="6">
        <f t="shared" si="29"/>
        <v>1029</v>
      </c>
      <c r="N90" s="6">
        <f t="shared" si="30"/>
        <v>156</v>
      </c>
      <c r="O90" s="6">
        <f t="shared" si="31"/>
        <v>44</v>
      </c>
      <c r="P90" s="27">
        <f t="shared" si="32"/>
        <v>2881</v>
      </c>
      <c r="Q90" s="27">
        <f t="shared" si="33"/>
        <v>175</v>
      </c>
      <c r="R90" s="27">
        <f t="shared" si="34"/>
        <v>72</v>
      </c>
    </row>
    <row r="91" spans="1:18">
      <c r="A91" s="20">
        <f t="shared" si="38"/>
        <v>101108</v>
      </c>
      <c r="B91" s="5" t="str">
        <f t="shared" si="39"/>
        <v>肥仔</v>
      </c>
      <c r="C91" s="5">
        <f t="shared" si="40"/>
        <v>1</v>
      </c>
      <c r="D91" s="6">
        <v>5</v>
      </c>
      <c r="E91" s="5">
        <v>2</v>
      </c>
      <c r="F91" s="127">
        <v>92124</v>
      </c>
      <c r="G91" s="127">
        <v>92279</v>
      </c>
      <c r="H91" s="127">
        <v>92012</v>
      </c>
      <c r="I91" s="132">
        <v>92284</v>
      </c>
      <c r="J91" s="127">
        <v>92142</v>
      </c>
      <c r="K91" s="132">
        <v>92288</v>
      </c>
      <c r="L91" s="5">
        <f t="shared" si="28"/>
        <v>230.32</v>
      </c>
      <c r="M91" s="6">
        <f t="shared" si="29"/>
        <v>2058</v>
      </c>
      <c r="N91" s="6">
        <f t="shared" si="30"/>
        <v>104</v>
      </c>
      <c r="O91" s="6">
        <f t="shared" si="31"/>
        <v>44</v>
      </c>
      <c r="P91" s="27">
        <f t="shared" si="32"/>
        <v>3910</v>
      </c>
      <c r="Q91" s="27">
        <f t="shared" si="33"/>
        <v>331</v>
      </c>
      <c r="R91" s="27">
        <f t="shared" si="34"/>
        <v>116</v>
      </c>
    </row>
    <row r="92" spans="1:18">
      <c r="A92" s="20">
        <f t="shared" si="38"/>
        <v>101108</v>
      </c>
      <c r="B92" s="5" t="str">
        <f t="shared" si="39"/>
        <v>肥仔</v>
      </c>
      <c r="C92" s="5">
        <f t="shared" si="40"/>
        <v>1</v>
      </c>
      <c r="D92" s="6">
        <v>6</v>
      </c>
      <c r="E92" s="5">
        <v>3</v>
      </c>
      <c r="F92" s="131">
        <v>92280</v>
      </c>
      <c r="G92" s="131">
        <v>92125</v>
      </c>
      <c r="H92" s="131">
        <v>92227</v>
      </c>
      <c r="I92" s="131">
        <v>92134</v>
      </c>
      <c r="J92" s="131">
        <v>92223</v>
      </c>
      <c r="K92" s="131">
        <v>92253</v>
      </c>
      <c r="L92" s="5">
        <f t="shared" si="28"/>
        <v>307.8</v>
      </c>
      <c r="M92" s="6">
        <f t="shared" si="29"/>
        <v>4320</v>
      </c>
      <c r="N92" s="6">
        <f t="shared" si="30"/>
        <v>73</v>
      </c>
      <c r="O92" s="6">
        <f t="shared" si="31"/>
        <v>62</v>
      </c>
      <c r="P92" s="27">
        <f t="shared" si="32"/>
        <v>5968</v>
      </c>
      <c r="Q92" s="27">
        <f t="shared" si="33"/>
        <v>435</v>
      </c>
      <c r="R92" s="27">
        <f t="shared" si="34"/>
        <v>160</v>
      </c>
    </row>
    <row r="93" spans="1:18">
      <c r="A93" s="20">
        <f t="shared" si="38"/>
        <v>101108</v>
      </c>
      <c r="B93" s="5" t="str">
        <f t="shared" si="39"/>
        <v>肥仔</v>
      </c>
      <c r="C93" s="5">
        <f t="shared" si="40"/>
        <v>1</v>
      </c>
      <c r="D93" s="6">
        <v>7</v>
      </c>
      <c r="E93" s="5">
        <v>3</v>
      </c>
      <c r="F93" s="131">
        <v>92227</v>
      </c>
      <c r="G93" s="129">
        <v>92289</v>
      </c>
      <c r="H93" s="131">
        <v>92125</v>
      </c>
      <c r="I93" s="131">
        <v>92253</v>
      </c>
      <c r="J93" s="129">
        <v>92285</v>
      </c>
      <c r="K93" s="131">
        <v>92134</v>
      </c>
      <c r="L93" s="5">
        <f t="shared" si="28"/>
        <v>323.2</v>
      </c>
      <c r="M93" s="6">
        <f t="shared" si="29"/>
        <v>2880</v>
      </c>
      <c r="N93" s="6">
        <f t="shared" si="30"/>
        <v>146</v>
      </c>
      <c r="O93" s="6">
        <f t="shared" si="31"/>
        <v>62</v>
      </c>
      <c r="P93" s="27">
        <f t="shared" si="32"/>
        <v>10288</v>
      </c>
      <c r="Q93" s="27">
        <f t="shared" si="33"/>
        <v>508</v>
      </c>
      <c r="R93" s="27">
        <f t="shared" si="34"/>
        <v>222</v>
      </c>
    </row>
    <row r="94" spans="1:18">
      <c r="A94" s="20">
        <f t="shared" si="38"/>
        <v>101108</v>
      </c>
      <c r="B94" s="5" t="str">
        <f t="shared" si="39"/>
        <v>肥仔</v>
      </c>
      <c r="C94" s="5">
        <f t="shared" si="40"/>
        <v>1</v>
      </c>
      <c r="D94" s="6">
        <v>8</v>
      </c>
      <c r="E94" s="5">
        <v>4</v>
      </c>
      <c r="F94" s="128">
        <v>92240</v>
      </c>
      <c r="G94" s="128">
        <v>92292</v>
      </c>
      <c r="H94" s="130">
        <v>92286</v>
      </c>
      <c r="I94" s="128">
        <v>92014</v>
      </c>
      <c r="J94" s="128">
        <v>92261</v>
      </c>
      <c r="K94" s="128">
        <v>92281</v>
      </c>
      <c r="L94" s="5">
        <f t="shared" si="28"/>
        <v>362.15999999999997</v>
      </c>
      <c r="M94" s="6">
        <f t="shared" si="29"/>
        <v>3704</v>
      </c>
      <c r="N94" s="6">
        <f t="shared" si="30"/>
        <v>94</v>
      </c>
      <c r="O94" s="6">
        <f t="shared" si="31"/>
        <v>120</v>
      </c>
      <c r="P94" s="27">
        <f t="shared" si="32"/>
        <v>13168</v>
      </c>
      <c r="Q94" s="27">
        <f t="shared" si="33"/>
        <v>654</v>
      </c>
      <c r="R94" s="27">
        <f t="shared" si="34"/>
        <v>284</v>
      </c>
    </row>
    <row r="95" spans="1:18">
      <c r="A95" s="20">
        <f t="shared" si="38"/>
        <v>101108</v>
      </c>
      <c r="B95" s="5" t="str">
        <f t="shared" si="39"/>
        <v>肥仔</v>
      </c>
      <c r="C95" s="5">
        <f t="shared" si="40"/>
        <v>1</v>
      </c>
      <c r="D95" s="6">
        <v>9</v>
      </c>
      <c r="E95" s="5">
        <v>4</v>
      </c>
      <c r="F95" s="128">
        <v>92281</v>
      </c>
      <c r="G95" s="128">
        <v>92296</v>
      </c>
      <c r="H95" s="128">
        <v>92240</v>
      </c>
      <c r="I95" s="130">
        <v>92290</v>
      </c>
      <c r="J95" s="128">
        <v>92014</v>
      </c>
      <c r="K95" s="128">
        <v>92256</v>
      </c>
      <c r="L95" s="5">
        <f t="shared" si="28"/>
        <v>470.15999999999997</v>
      </c>
      <c r="M95" s="6">
        <f t="shared" si="29"/>
        <v>3704</v>
      </c>
      <c r="N95" s="6">
        <f t="shared" si="30"/>
        <v>282</v>
      </c>
      <c r="O95" s="6">
        <f t="shared" si="31"/>
        <v>40</v>
      </c>
      <c r="P95" s="27">
        <f t="shared" si="32"/>
        <v>16872</v>
      </c>
      <c r="Q95" s="27">
        <f t="shared" si="33"/>
        <v>748</v>
      </c>
      <c r="R95" s="27">
        <f t="shared" si="34"/>
        <v>404</v>
      </c>
    </row>
    <row r="96" spans="1:18">
      <c r="A96" s="20">
        <f t="shared" si="38"/>
        <v>101108</v>
      </c>
      <c r="B96" s="5" t="str">
        <f t="shared" si="39"/>
        <v>肥仔</v>
      </c>
      <c r="C96" s="5">
        <f t="shared" si="40"/>
        <v>1</v>
      </c>
      <c r="D96" s="6">
        <v>10</v>
      </c>
      <c r="E96" s="5">
        <v>4</v>
      </c>
      <c r="F96" s="128">
        <v>92255</v>
      </c>
      <c r="G96" s="128">
        <v>92295</v>
      </c>
      <c r="H96" s="128">
        <v>92262</v>
      </c>
      <c r="I96" s="128">
        <v>92294</v>
      </c>
      <c r="J96" s="128">
        <v>92026</v>
      </c>
      <c r="K96" s="128">
        <v>92297</v>
      </c>
      <c r="L96" s="5">
        <f t="shared" si="28"/>
        <v>462.64</v>
      </c>
      <c r="M96" s="6">
        <f t="shared" si="29"/>
        <v>4116</v>
      </c>
      <c r="N96" s="6">
        <f t="shared" si="30"/>
        <v>210</v>
      </c>
      <c r="O96" s="6">
        <f t="shared" si="31"/>
        <v>88</v>
      </c>
      <c r="P96" s="27">
        <f t="shared" si="32"/>
        <v>20576</v>
      </c>
      <c r="Q96" s="27">
        <f t="shared" si="33"/>
        <v>1030</v>
      </c>
      <c r="R96" s="27">
        <f t="shared" si="34"/>
        <v>444</v>
      </c>
    </row>
    <row r="97" spans="1:18" ht="14.25" thickBot="1">
      <c r="A97" s="21">
        <f t="shared" si="38"/>
        <v>101108</v>
      </c>
      <c r="B97" s="22" t="str">
        <f t="shared" si="39"/>
        <v>肥仔</v>
      </c>
      <c r="C97" s="22">
        <f t="shared" si="40"/>
        <v>1</v>
      </c>
      <c r="D97" s="6">
        <v>11</v>
      </c>
      <c r="E97" s="22">
        <v>4</v>
      </c>
      <c r="F97" s="130">
        <v>92299</v>
      </c>
      <c r="G97" s="128">
        <v>92297</v>
      </c>
      <c r="H97" s="130">
        <v>92291</v>
      </c>
      <c r="I97" s="128">
        <v>92282</v>
      </c>
      <c r="J97" s="128">
        <v>92295</v>
      </c>
      <c r="K97" s="128">
        <v>92026</v>
      </c>
      <c r="L97" s="22">
        <f t="shared" si="28"/>
        <v>500.96</v>
      </c>
      <c r="M97" s="6">
        <f t="shared" si="29"/>
        <v>6174</v>
      </c>
      <c r="N97" s="6">
        <f t="shared" si="30"/>
        <v>210</v>
      </c>
      <c r="O97" s="6">
        <f t="shared" si="31"/>
        <v>44</v>
      </c>
      <c r="P97" s="27">
        <f t="shared" si="32"/>
        <v>24692</v>
      </c>
      <c r="Q97" s="27">
        <f t="shared" si="33"/>
        <v>1240</v>
      </c>
      <c r="R97" s="27">
        <f t="shared" si="34"/>
        <v>532</v>
      </c>
    </row>
    <row r="98" spans="1:18">
      <c r="A98" s="18">
        <f>D_马仔表!A10</f>
        <v>101109</v>
      </c>
      <c r="B98" s="19" t="str">
        <f>D_马仔表!B10</f>
        <v>司徒浩南</v>
      </c>
      <c r="C98" s="19">
        <f>D_马仔表!D10</f>
        <v>2</v>
      </c>
      <c r="D98" s="6">
        <v>0</v>
      </c>
      <c r="E98" s="19">
        <v>0</v>
      </c>
      <c r="F98" s="123">
        <v>92228</v>
      </c>
      <c r="G98" s="123">
        <v>92011</v>
      </c>
      <c r="H98" s="123">
        <v>92121</v>
      </c>
      <c r="I98" s="124">
        <v>92263</v>
      </c>
      <c r="J98" s="123">
        <v>92232</v>
      </c>
      <c r="K98" s="123">
        <v>92131</v>
      </c>
      <c r="L98" s="19">
        <f t="shared" ref="L98:L129" si="41">VLOOKUP(F98,$W$1:$AD$64,8,FALSE)+VLOOKUP(G98,$W$1:$AD$64,8,FALSE)+VLOOKUP(H98,$W$1:$AD$64,8,FALSE)+VLOOKUP(I98,$W$1:$AD$64,8,FALSE)+VLOOKUP(J98,$W$1:$AD$64,8,FALSE)+VLOOKUP(K98,$W$1:$AD$64,8,FALSE)</f>
        <v>50.480000000000004</v>
      </c>
      <c r="M98" s="6">
        <f t="shared" si="29"/>
        <v>412</v>
      </c>
      <c r="N98" s="6">
        <f t="shared" si="30"/>
        <v>30</v>
      </c>
      <c r="O98" s="6">
        <f t="shared" si="31"/>
        <v>4</v>
      </c>
      <c r="P98" s="27">
        <f t="shared" si="32"/>
        <v>0</v>
      </c>
      <c r="Q98" s="27">
        <f t="shared" si="33"/>
        <v>0</v>
      </c>
      <c r="R98" s="27">
        <f t="shared" si="34"/>
        <v>0</v>
      </c>
    </row>
    <row r="99" spans="1:18">
      <c r="A99" s="20">
        <f>A98</f>
        <v>101109</v>
      </c>
      <c r="B99" s="5" t="str">
        <f>B98</f>
        <v>司徒浩南</v>
      </c>
      <c r="C99" s="5">
        <f>C98</f>
        <v>2</v>
      </c>
      <c r="D99" s="6">
        <v>1</v>
      </c>
      <c r="E99" s="5">
        <v>0</v>
      </c>
      <c r="F99" s="123">
        <v>92243</v>
      </c>
      <c r="G99" s="124">
        <v>92277</v>
      </c>
      <c r="H99" s="123">
        <v>92011</v>
      </c>
      <c r="I99" s="123">
        <v>92121</v>
      </c>
      <c r="J99" s="123">
        <v>92131</v>
      </c>
      <c r="K99" s="123">
        <v>92232</v>
      </c>
      <c r="L99" s="5">
        <f t="shared" si="41"/>
        <v>44.480000000000004</v>
      </c>
      <c r="M99" s="6">
        <f t="shared" si="29"/>
        <v>412</v>
      </c>
      <c r="N99" s="6">
        <f t="shared" si="30"/>
        <v>20</v>
      </c>
      <c r="O99" s="6">
        <f t="shared" si="31"/>
        <v>8</v>
      </c>
      <c r="P99" s="27">
        <f t="shared" si="32"/>
        <v>412</v>
      </c>
      <c r="Q99" s="27">
        <f t="shared" si="33"/>
        <v>30</v>
      </c>
      <c r="R99" s="27">
        <f t="shared" si="34"/>
        <v>4</v>
      </c>
    </row>
    <row r="100" spans="1:18">
      <c r="A100" s="20">
        <f t="shared" ref="A100:A109" si="42">A99</f>
        <v>101109</v>
      </c>
      <c r="B100" s="5" t="str">
        <f t="shared" ref="B100:B109" si="43">B99</f>
        <v>司徒浩南</v>
      </c>
      <c r="C100" s="5">
        <f t="shared" ref="C100:C109" si="44">C99</f>
        <v>2</v>
      </c>
      <c r="D100" s="6">
        <v>2</v>
      </c>
      <c r="E100" s="5">
        <v>1</v>
      </c>
      <c r="F100" s="125">
        <v>92122</v>
      </c>
      <c r="G100" s="125">
        <v>92278</v>
      </c>
      <c r="H100" s="125">
        <v>92245</v>
      </c>
      <c r="I100" s="126">
        <v>92283</v>
      </c>
      <c r="J100" s="125">
        <v>92271</v>
      </c>
      <c r="K100" s="125">
        <v>92233</v>
      </c>
      <c r="L100" s="5">
        <f t="shared" si="41"/>
        <v>149.04000000000002</v>
      </c>
      <c r="M100" s="6">
        <f t="shared" si="29"/>
        <v>1851</v>
      </c>
      <c r="N100" s="6">
        <f t="shared" si="30"/>
        <v>62</v>
      </c>
      <c r="O100" s="6">
        <f t="shared" si="31"/>
        <v>13</v>
      </c>
      <c r="P100" s="27">
        <f t="shared" si="32"/>
        <v>824</v>
      </c>
      <c r="Q100" s="27">
        <f t="shared" si="33"/>
        <v>50</v>
      </c>
      <c r="R100" s="27">
        <f t="shared" si="34"/>
        <v>12</v>
      </c>
    </row>
    <row r="101" spans="1:18">
      <c r="A101" s="20">
        <f t="shared" si="42"/>
        <v>101109</v>
      </c>
      <c r="B101" s="5" t="str">
        <f t="shared" si="43"/>
        <v>司徒浩南</v>
      </c>
      <c r="C101" s="5">
        <f t="shared" si="44"/>
        <v>2</v>
      </c>
      <c r="D101" s="6">
        <v>3</v>
      </c>
      <c r="E101" s="5">
        <v>1</v>
      </c>
      <c r="F101" s="125">
        <v>92245</v>
      </c>
      <c r="G101" s="126">
        <v>92283</v>
      </c>
      <c r="H101" s="125">
        <v>92141</v>
      </c>
      <c r="I101" s="125">
        <v>92271</v>
      </c>
      <c r="J101" s="126">
        <v>92287</v>
      </c>
      <c r="K101" s="125">
        <v>92278</v>
      </c>
      <c r="L101" s="5">
        <f t="shared" si="41"/>
        <v>131.04</v>
      </c>
      <c r="M101" s="6">
        <f t="shared" si="29"/>
        <v>1851</v>
      </c>
      <c r="N101" s="6">
        <f t="shared" si="30"/>
        <v>31</v>
      </c>
      <c r="O101" s="6">
        <f t="shared" si="31"/>
        <v>26</v>
      </c>
      <c r="P101" s="27">
        <f t="shared" si="32"/>
        <v>2675</v>
      </c>
      <c r="Q101" s="27">
        <f t="shared" si="33"/>
        <v>112</v>
      </c>
      <c r="R101" s="27">
        <f t="shared" si="34"/>
        <v>25</v>
      </c>
    </row>
    <row r="102" spans="1:18">
      <c r="A102" s="20">
        <f t="shared" si="42"/>
        <v>101109</v>
      </c>
      <c r="B102" s="5" t="str">
        <f t="shared" si="43"/>
        <v>司徒浩南</v>
      </c>
      <c r="C102" s="5">
        <f t="shared" si="44"/>
        <v>2</v>
      </c>
      <c r="D102" s="6">
        <v>4</v>
      </c>
      <c r="E102" s="5">
        <v>2</v>
      </c>
      <c r="F102" s="127">
        <v>92279</v>
      </c>
      <c r="G102" s="127">
        <v>92012</v>
      </c>
      <c r="H102" s="132">
        <v>92288</v>
      </c>
      <c r="I102" s="127">
        <v>92273</v>
      </c>
      <c r="J102" s="127">
        <v>92272</v>
      </c>
      <c r="K102" s="127">
        <v>92142</v>
      </c>
      <c r="L102" s="5">
        <f t="shared" si="41"/>
        <v>260.32</v>
      </c>
      <c r="M102" s="6">
        <f t="shared" si="29"/>
        <v>2058</v>
      </c>
      <c r="N102" s="6">
        <f t="shared" si="30"/>
        <v>156</v>
      </c>
      <c r="O102" s="6">
        <f t="shared" si="31"/>
        <v>22</v>
      </c>
      <c r="P102" s="27">
        <f t="shared" si="32"/>
        <v>4526</v>
      </c>
      <c r="Q102" s="27">
        <f t="shared" si="33"/>
        <v>143</v>
      </c>
      <c r="R102" s="27">
        <f t="shared" si="34"/>
        <v>51</v>
      </c>
    </row>
    <row r="103" spans="1:18">
      <c r="A103" s="20">
        <f t="shared" si="42"/>
        <v>101109</v>
      </c>
      <c r="B103" s="5" t="str">
        <f t="shared" si="43"/>
        <v>司徒浩南</v>
      </c>
      <c r="C103" s="5">
        <f t="shared" si="44"/>
        <v>2</v>
      </c>
      <c r="D103" s="6">
        <v>5</v>
      </c>
      <c r="E103" s="5">
        <v>2</v>
      </c>
      <c r="F103" s="132">
        <v>92288</v>
      </c>
      <c r="G103" s="127">
        <v>92272</v>
      </c>
      <c r="H103" s="127">
        <v>92124</v>
      </c>
      <c r="I103" s="127">
        <v>92252</v>
      </c>
      <c r="J103" s="132">
        <v>92284</v>
      </c>
      <c r="K103" s="127">
        <v>92235</v>
      </c>
      <c r="L103" s="5">
        <f t="shared" si="41"/>
        <v>230.32</v>
      </c>
      <c r="M103" s="6">
        <f t="shared" si="29"/>
        <v>2058</v>
      </c>
      <c r="N103" s="6">
        <f t="shared" si="30"/>
        <v>104</v>
      </c>
      <c r="O103" s="6">
        <f t="shared" si="31"/>
        <v>44</v>
      </c>
      <c r="P103" s="27">
        <f t="shared" si="32"/>
        <v>6584</v>
      </c>
      <c r="Q103" s="27">
        <f t="shared" si="33"/>
        <v>299</v>
      </c>
      <c r="R103" s="27">
        <f t="shared" si="34"/>
        <v>73</v>
      </c>
    </row>
    <row r="104" spans="1:18">
      <c r="A104" s="20">
        <f t="shared" si="42"/>
        <v>101109</v>
      </c>
      <c r="B104" s="5" t="str">
        <f t="shared" si="43"/>
        <v>司徒浩南</v>
      </c>
      <c r="C104" s="5">
        <f t="shared" si="44"/>
        <v>2</v>
      </c>
      <c r="D104" s="6">
        <v>6</v>
      </c>
      <c r="E104" s="5">
        <v>3</v>
      </c>
      <c r="F104" s="131">
        <v>92274</v>
      </c>
      <c r="G104" s="131">
        <v>92253</v>
      </c>
      <c r="H104" s="131">
        <v>92236</v>
      </c>
      <c r="I104" s="131">
        <v>92125</v>
      </c>
      <c r="J104" s="131">
        <v>92280</v>
      </c>
      <c r="K104" s="131">
        <v>92254</v>
      </c>
      <c r="L104" s="5">
        <f t="shared" si="41"/>
        <v>323.2</v>
      </c>
      <c r="M104" s="6">
        <f t="shared" si="29"/>
        <v>2880</v>
      </c>
      <c r="N104" s="6">
        <f t="shared" si="30"/>
        <v>146</v>
      </c>
      <c r="O104" s="6">
        <f t="shared" si="31"/>
        <v>62</v>
      </c>
      <c r="P104" s="27">
        <f t="shared" si="32"/>
        <v>8642</v>
      </c>
      <c r="Q104" s="27">
        <f t="shared" si="33"/>
        <v>403</v>
      </c>
      <c r="R104" s="27">
        <f t="shared" si="34"/>
        <v>117</v>
      </c>
    </row>
    <row r="105" spans="1:18">
      <c r="A105" s="20">
        <f t="shared" si="42"/>
        <v>101109</v>
      </c>
      <c r="B105" s="5" t="str">
        <f t="shared" si="43"/>
        <v>司徒浩南</v>
      </c>
      <c r="C105" s="5">
        <f t="shared" si="44"/>
        <v>2</v>
      </c>
      <c r="D105" s="6">
        <v>7</v>
      </c>
      <c r="E105" s="5">
        <v>3</v>
      </c>
      <c r="F105" s="131">
        <v>92236</v>
      </c>
      <c r="G105" s="131">
        <v>92227</v>
      </c>
      <c r="H105" s="129">
        <v>92289</v>
      </c>
      <c r="I105" s="131">
        <v>92134</v>
      </c>
      <c r="J105" s="131">
        <v>92125</v>
      </c>
      <c r="K105" s="129">
        <v>92285</v>
      </c>
      <c r="L105" s="5">
        <f t="shared" si="41"/>
        <v>338.6</v>
      </c>
      <c r="M105" s="6">
        <f t="shared" si="29"/>
        <v>1440</v>
      </c>
      <c r="N105" s="6">
        <f t="shared" si="30"/>
        <v>219</v>
      </c>
      <c r="O105" s="6">
        <f t="shared" si="31"/>
        <v>62</v>
      </c>
      <c r="P105" s="27">
        <f t="shared" si="32"/>
        <v>11522</v>
      </c>
      <c r="Q105" s="27">
        <f t="shared" si="33"/>
        <v>549</v>
      </c>
      <c r="R105" s="27">
        <f t="shared" si="34"/>
        <v>179</v>
      </c>
    </row>
    <row r="106" spans="1:18">
      <c r="A106" s="20">
        <f t="shared" si="42"/>
        <v>101109</v>
      </c>
      <c r="B106" s="5" t="str">
        <f t="shared" si="43"/>
        <v>司徒浩南</v>
      </c>
      <c r="C106" s="5">
        <f t="shared" si="44"/>
        <v>2</v>
      </c>
      <c r="D106" s="6">
        <v>8</v>
      </c>
      <c r="E106" s="5">
        <v>4</v>
      </c>
      <c r="F106" s="130">
        <v>92286</v>
      </c>
      <c r="G106" s="128">
        <v>92261</v>
      </c>
      <c r="H106" s="128">
        <v>92292</v>
      </c>
      <c r="I106" s="128">
        <v>92240</v>
      </c>
      <c r="J106" s="128">
        <v>92256</v>
      </c>
      <c r="K106" s="128">
        <v>92014</v>
      </c>
      <c r="L106" s="5">
        <f t="shared" si="41"/>
        <v>362.15999999999997</v>
      </c>
      <c r="M106" s="6">
        <f t="shared" si="29"/>
        <v>3704</v>
      </c>
      <c r="N106" s="6">
        <f t="shared" si="30"/>
        <v>94</v>
      </c>
      <c r="O106" s="6">
        <f t="shared" si="31"/>
        <v>120</v>
      </c>
      <c r="P106" s="27">
        <f t="shared" si="32"/>
        <v>12962</v>
      </c>
      <c r="Q106" s="27">
        <f t="shared" si="33"/>
        <v>768</v>
      </c>
      <c r="R106" s="27">
        <f t="shared" si="34"/>
        <v>241</v>
      </c>
    </row>
    <row r="107" spans="1:18">
      <c r="A107" s="20">
        <f t="shared" si="42"/>
        <v>101109</v>
      </c>
      <c r="B107" s="5" t="str">
        <f t="shared" si="43"/>
        <v>司徒浩南</v>
      </c>
      <c r="C107" s="5">
        <f t="shared" si="44"/>
        <v>2</v>
      </c>
      <c r="D107" s="6">
        <v>9</v>
      </c>
      <c r="E107" s="5">
        <v>4</v>
      </c>
      <c r="F107" s="128">
        <v>92261</v>
      </c>
      <c r="G107" s="130">
        <v>92286</v>
      </c>
      <c r="H107" s="128">
        <v>92256</v>
      </c>
      <c r="I107" s="128">
        <v>92275</v>
      </c>
      <c r="J107" s="130">
        <v>92290</v>
      </c>
      <c r="K107" s="128">
        <v>92240</v>
      </c>
      <c r="L107" s="5">
        <f t="shared" si="41"/>
        <v>362.15999999999997</v>
      </c>
      <c r="M107" s="6">
        <f t="shared" si="29"/>
        <v>3704</v>
      </c>
      <c r="N107" s="6">
        <f t="shared" si="30"/>
        <v>94</v>
      </c>
      <c r="O107" s="6">
        <f t="shared" si="31"/>
        <v>120</v>
      </c>
      <c r="P107" s="27">
        <f t="shared" si="32"/>
        <v>16666</v>
      </c>
      <c r="Q107" s="27">
        <f t="shared" si="33"/>
        <v>862</v>
      </c>
      <c r="R107" s="27">
        <f t="shared" si="34"/>
        <v>361</v>
      </c>
    </row>
    <row r="108" spans="1:18">
      <c r="A108" s="20">
        <f t="shared" si="42"/>
        <v>101109</v>
      </c>
      <c r="B108" s="5" t="str">
        <f t="shared" si="43"/>
        <v>司徒浩南</v>
      </c>
      <c r="C108" s="5">
        <f t="shared" si="44"/>
        <v>2</v>
      </c>
      <c r="D108" s="6">
        <v>10</v>
      </c>
      <c r="E108" s="5">
        <v>4</v>
      </c>
      <c r="F108" s="130">
        <v>92299</v>
      </c>
      <c r="G108" s="128">
        <v>92293</v>
      </c>
      <c r="H108" s="128">
        <v>92298</v>
      </c>
      <c r="I108" s="128">
        <v>92255</v>
      </c>
      <c r="J108" s="128">
        <v>92294</v>
      </c>
      <c r="K108" s="128">
        <v>92262</v>
      </c>
      <c r="L108" s="5">
        <f t="shared" si="41"/>
        <v>386</v>
      </c>
      <c r="M108" s="6">
        <f t="shared" si="29"/>
        <v>0</v>
      </c>
      <c r="N108" s="6">
        <f t="shared" si="30"/>
        <v>210</v>
      </c>
      <c r="O108" s="6">
        <f t="shared" si="31"/>
        <v>176</v>
      </c>
      <c r="P108" s="27">
        <f t="shared" si="32"/>
        <v>20370</v>
      </c>
      <c r="Q108" s="27">
        <f t="shared" si="33"/>
        <v>956</v>
      </c>
      <c r="R108" s="27">
        <f t="shared" si="34"/>
        <v>481</v>
      </c>
    </row>
    <row r="109" spans="1:18" ht="14.25" thickBot="1">
      <c r="A109" s="21">
        <f t="shared" si="42"/>
        <v>101109</v>
      </c>
      <c r="B109" s="22" t="str">
        <f t="shared" si="43"/>
        <v>司徒浩南</v>
      </c>
      <c r="C109" s="22">
        <f t="shared" si="44"/>
        <v>2</v>
      </c>
      <c r="D109" s="6">
        <v>11</v>
      </c>
      <c r="E109" s="22">
        <v>4</v>
      </c>
      <c r="F109" s="128">
        <v>92298</v>
      </c>
      <c r="G109" s="128">
        <v>92294</v>
      </c>
      <c r="H109" s="130">
        <v>92299</v>
      </c>
      <c r="I109" s="128">
        <v>92293</v>
      </c>
      <c r="J109" s="128">
        <v>92255</v>
      </c>
      <c r="K109" s="130">
        <v>92291</v>
      </c>
      <c r="L109" s="22">
        <f t="shared" si="41"/>
        <v>363.32</v>
      </c>
      <c r="M109" s="6">
        <f t="shared" si="29"/>
        <v>2058</v>
      </c>
      <c r="N109" s="6">
        <f t="shared" si="30"/>
        <v>105</v>
      </c>
      <c r="O109" s="6">
        <f t="shared" si="31"/>
        <v>176</v>
      </c>
      <c r="P109" s="27">
        <f t="shared" si="32"/>
        <v>20370</v>
      </c>
      <c r="Q109" s="27">
        <f t="shared" si="33"/>
        <v>1166</v>
      </c>
      <c r="R109" s="27">
        <f t="shared" si="34"/>
        <v>657</v>
      </c>
    </row>
    <row r="110" spans="1:18">
      <c r="A110" s="18">
        <f>D_马仔表!A11</f>
        <v>101110</v>
      </c>
      <c r="B110" s="19" t="str">
        <f>D_马仔表!B11</f>
        <v>乌鸦</v>
      </c>
      <c r="C110" s="19">
        <f>D_马仔表!D11</f>
        <v>2</v>
      </c>
      <c r="D110" s="6">
        <v>0</v>
      </c>
      <c r="E110" s="19">
        <v>0</v>
      </c>
      <c r="F110" s="123">
        <v>92131</v>
      </c>
      <c r="G110" s="123">
        <v>92011</v>
      </c>
      <c r="H110" s="123">
        <v>92243</v>
      </c>
      <c r="I110" s="124">
        <v>92277</v>
      </c>
      <c r="J110" s="123">
        <v>92232</v>
      </c>
      <c r="K110" s="123">
        <v>92244</v>
      </c>
      <c r="L110" s="19">
        <f t="shared" si="41"/>
        <v>42.720000000000006</v>
      </c>
      <c r="M110" s="6">
        <f t="shared" si="29"/>
        <v>618</v>
      </c>
      <c r="N110" s="6">
        <f t="shared" si="30"/>
        <v>10</v>
      </c>
      <c r="O110" s="6">
        <f t="shared" si="31"/>
        <v>8</v>
      </c>
      <c r="P110" s="27">
        <f t="shared" si="32"/>
        <v>0</v>
      </c>
      <c r="Q110" s="27">
        <f t="shared" si="33"/>
        <v>0</v>
      </c>
      <c r="R110" s="27">
        <f t="shared" si="34"/>
        <v>0</v>
      </c>
    </row>
    <row r="111" spans="1:18">
      <c r="A111" s="20">
        <f>A110</f>
        <v>101110</v>
      </c>
      <c r="B111" s="5" t="str">
        <f>B110</f>
        <v>乌鸦</v>
      </c>
      <c r="C111" s="5">
        <f>C110</f>
        <v>2</v>
      </c>
      <c r="D111" s="6">
        <v>1</v>
      </c>
      <c r="E111" s="5">
        <v>0</v>
      </c>
      <c r="F111" s="123">
        <v>92243</v>
      </c>
      <c r="G111" s="123">
        <v>92131</v>
      </c>
      <c r="H111" s="124">
        <v>92263</v>
      </c>
      <c r="I111" s="123">
        <v>92121</v>
      </c>
      <c r="J111" s="123">
        <v>92232</v>
      </c>
      <c r="K111" s="123">
        <v>92244</v>
      </c>
      <c r="L111" s="5">
        <f t="shared" si="41"/>
        <v>48.720000000000006</v>
      </c>
      <c r="M111" s="6">
        <f t="shared" si="29"/>
        <v>618</v>
      </c>
      <c r="N111" s="6">
        <f t="shared" si="30"/>
        <v>20</v>
      </c>
      <c r="O111" s="6">
        <f t="shared" si="31"/>
        <v>4</v>
      </c>
      <c r="P111" s="27">
        <f t="shared" si="32"/>
        <v>618</v>
      </c>
      <c r="Q111" s="27">
        <f t="shared" si="33"/>
        <v>10</v>
      </c>
      <c r="R111" s="27">
        <f t="shared" si="34"/>
        <v>8</v>
      </c>
    </row>
    <row r="112" spans="1:18">
      <c r="A112" s="20">
        <f t="shared" ref="A112:A121" si="45">A111</f>
        <v>101110</v>
      </c>
      <c r="B112" s="5" t="str">
        <f t="shared" ref="B112:B121" si="46">B111</f>
        <v>乌鸦</v>
      </c>
      <c r="C112" s="5">
        <f t="shared" ref="C112:C121" si="47">C111</f>
        <v>2</v>
      </c>
      <c r="D112" s="6">
        <v>2</v>
      </c>
      <c r="E112" s="5">
        <v>1</v>
      </c>
      <c r="F112" s="125">
        <v>92278</v>
      </c>
      <c r="G112" s="125">
        <v>92264</v>
      </c>
      <c r="H112" s="125">
        <v>92251</v>
      </c>
      <c r="I112" s="126">
        <v>92283</v>
      </c>
      <c r="J112" s="125">
        <v>92122</v>
      </c>
      <c r="K112" s="125">
        <v>92233</v>
      </c>
      <c r="L112" s="5">
        <f t="shared" si="41"/>
        <v>143.68</v>
      </c>
      <c r="M112" s="6">
        <f t="shared" si="29"/>
        <v>617</v>
      </c>
      <c r="N112" s="6">
        <f t="shared" si="30"/>
        <v>93</v>
      </c>
      <c r="O112" s="6">
        <f t="shared" si="31"/>
        <v>26</v>
      </c>
      <c r="P112" s="27">
        <f t="shared" si="32"/>
        <v>1236</v>
      </c>
      <c r="Q112" s="27">
        <f t="shared" si="33"/>
        <v>30</v>
      </c>
      <c r="R112" s="27">
        <f t="shared" si="34"/>
        <v>12</v>
      </c>
    </row>
    <row r="113" spans="1:18">
      <c r="A113" s="20">
        <f t="shared" si="45"/>
        <v>101110</v>
      </c>
      <c r="B113" s="5" t="str">
        <f t="shared" si="46"/>
        <v>乌鸦</v>
      </c>
      <c r="C113" s="5">
        <f t="shared" si="47"/>
        <v>2</v>
      </c>
      <c r="D113" s="6">
        <v>3</v>
      </c>
      <c r="E113" s="5">
        <v>1</v>
      </c>
      <c r="F113" s="125">
        <v>92264</v>
      </c>
      <c r="G113" s="125">
        <v>92141</v>
      </c>
      <c r="H113" s="126">
        <v>92287</v>
      </c>
      <c r="I113" s="125">
        <v>92251</v>
      </c>
      <c r="J113" s="126">
        <v>92283</v>
      </c>
      <c r="K113" s="125">
        <v>92245</v>
      </c>
      <c r="L113" s="5">
        <f t="shared" si="41"/>
        <v>119.36000000000001</v>
      </c>
      <c r="M113" s="6">
        <f t="shared" si="29"/>
        <v>1234</v>
      </c>
      <c r="N113" s="6">
        <f t="shared" si="30"/>
        <v>31</v>
      </c>
      <c r="O113" s="6">
        <f t="shared" si="31"/>
        <v>39</v>
      </c>
      <c r="P113" s="27">
        <f t="shared" si="32"/>
        <v>1853</v>
      </c>
      <c r="Q113" s="27">
        <f t="shared" si="33"/>
        <v>123</v>
      </c>
      <c r="R113" s="27">
        <f t="shared" si="34"/>
        <v>38</v>
      </c>
    </row>
    <row r="114" spans="1:18">
      <c r="A114" s="20">
        <f t="shared" si="45"/>
        <v>101110</v>
      </c>
      <c r="B114" s="5" t="str">
        <f t="shared" si="46"/>
        <v>乌鸦</v>
      </c>
      <c r="C114" s="5">
        <f t="shared" si="47"/>
        <v>2</v>
      </c>
      <c r="D114" s="6">
        <v>4</v>
      </c>
      <c r="E114" s="5">
        <v>2</v>
      </c>
      <c r="F114" s="132">
        <v>92284</v>
      </c>
      <c r="G114" s="127">
        <v>92273</v>
      </c>
      <c r="H114" s="127">
        <v>92272</v>
      </c>
      <c r="I114" s="127">
        <v>92279</v>
      </c>
      <c r="J114" s="127">
        <v>92235</v>
      </c>
      <c r="K114" s="127">
        <v>92142</v>
      </c>
      <c r="L114" s="5">
        <f t="shared" si="41"/>
        <v>230.32</v>
      </c>
      <c r="M114" s="6">
        <f t="shared" si="29"/>
        <v>2058</v>
      </c>
      <c r="N114" s="6">
        <f t="shared" si="30"/>
        <v>104</v>
      </c>
      <c r="O114" s="6">
        <f t="shared" si="31"/>
        <v>44</v>
      </c>
      <c r="P114" s="27">
        <f t="shared" si="32"/>
        <v>3087</v>
      </c>
      <c r="Q114" s="27">
        <f t="shared" si="33"/>
        <v>154</v>
      </c>
      <c r="R114" s="27">
        <f t="shared" si="34"/>
        <v>77</v>
      </c>
    </row>
    <row r="115" spans="1:18">
      <c r="A115" s="20">
        <f t="shared" si="45"/>
        <v>101110</v>
      </c>
      <c r="B115" s="5" t="str">
        <f t="shared" si="46"/>
        <v>乌鸦</v>
      </c>
      <c r="C115" s="5">
        <f t="shared" si="47"/>
        <v>2</v>
      </c>
      <c r="D115" s="6">
        <v>5</v>
      </c>
      <c r="E115" s="5">
        <v>2</v>
      </c>
      <c r="F115" s="127">
        <v>92272</v>
      </c>
      <c r="G115" s="132">
        <v>92284</v>
      </c>
      <c r="H115" s="127">
        <v>92273</v>
      </c>
      <c r="I115" s="127">
        <v>92235</v>
      </c>
      <c r="J115" s="127">
        <v>92142</v>
      </c>
      <c r="K115" s="132">
        <v>92288</v>
      </c>
      <c r="L115" s="5">
        <f t="shared" si="41"/>
        <v>260.32</v>
      </c>
      <c r="M115" s="6">
        <f t="shared" si="29"/>
        <v>2058</v>
      </c>
      <c r="N115" s="6">
        <f t="shared" si="30"/>
        <v>156</v>
      </c>
      <c r="O115" s="6">
        <f t="shared" si="31"/>
        <v>22</v>
      </c>
      <c r="P115" s="27">
        <f t="shared" si="32"/>
        <v>5145</v>
      </c>
      <c r="Q115" s="27">
        <f t="shared" si="33"/>
        <v>258</v>
      </c>
      <c r="R115" s="27">
        <f t="shared" si="34"/>
        <v>121</v>
      </c>
    </row>
    <row r="116" spans="1:18">
      <c r="A116" s="20">
        <f t="shared" si="45"/>
        <v>101110</v>
      </c>
      <c r="B116" s="5" t="str">
        <f t="shared" si="46"/>
        <v>乌鸦</v>
      </c>
      <c r="C116" s="5">
        <f t="shared" si="47"/>
        <v>2</v>
      </c>
      <c r="D116" s="6">
        <v>6</v>
      </c>
      <c r="E116" s="5">
        <v>3</v>
      </c>
      <c r="F116" s="131">
        <v>92253</v>
      </c>
      <c r="G116" s="131">
        <v>92223</v>
      </c>
      <c r="H116" s="131">
        <v>92134</v>
      </c>
      <c r="I116" s="131">
        <v>92227</v>
      </c>
      <c r="J116" s="131">
        <v>92013</v>
      </c>
      <c r="K116" s="131">
        <v>92125</v>
      </c>
      <c r="L116" s="5">
        <f t="shared" si="41"/>
        <v>281.2</v>
      </c>
      <c r="M116" s="6">
        <f t="shared" si="29"/>
        <v>2880</v>
      </c>
      <c r="N116" s="6">
        <f t="shared" si="30"/>
        <v>73</v>
      </c>
      <c r="O116" s="6">
        <f t="shared" si="31"/>
        <v>93</v>
      </c>
      <c r="P116" s="27">
        <f t="shared" si="32"/>
        <v>7203</v>
      </c>
      <c r="Q116" s="27">
        <f t="shared" si="33"/>
        <v>414</v>
      </c>
      <c r="R116" s="27">
        <f t="shared" si="34"/>
        <v>143</v>
      </c>
    </row>
    <row r="117" spans="1:18">
      <c r="A117" s="20">
        <f t="shared" si="45"/>
        <v>101110</v>
      </c>
      <c r="B117" s="5" t="str">
        <f t="shared" si="46"/>
        <v>乌鸦</v>
      </c>
      <c r="C117" s="5">
        <f t="shared" si="47"/>
        <v>2</v>
      </c>
      <c r="D117" s="6">
        <v>7</v>
      </c>
      <c r="E117" s="5">
        <v>3</v>
      </c>
      <c r="F117" s="131">
        <v>92223</v>
      </c>
      <c r="G117" s="131">
        <v>92134</v>
      </c>
      <c r="H117" s="129">
        <v>92289</v>
      </c>
      <c r="I117" s="131">
        <v>92013</v>
      </c>
      <c r="J117" s="131">
        <v>92227</v>
      </c>
      <c r="K117" s="129">
        <v>92285</v>
      </c>
      <c r="L117" s="5">
        <f t="shared" si="41"/>
        <v>296.60000000000002</v>
      </c>
      <c r="M117" s="6">
        <f t="shared" si="29"/>
        <v>1440</v>
      </c>
      <c r="N117" s="6">
        <f t="shared" si="30"/>
        <v>146</v>
      </c>
      <c r="O117" s="6">
        <f t="shared" si="31"/>
        <v>93</v>
      </c>
      <c r="P117" s="27">
        <f t="shared" si="32"/>
        <v>10083</v>
      </c>
      <c r="Q117" s="27">
        <f t="shared" si="33"/>
        <v>487</v>
      </c>
      <c r="R117" s="27">
        <f t="shared" si="34"/>
        <v>236</v>
      </c>
    </row>
    <row r="118" spans="1:18">
      <c r="A118" s="20">
        <f t="shared" si="45"/>
        <v>101110</v>
      </c>
      <c r="B118" s="5" t="str">
        <f t="shared" si="46"/>
        <v>乌鸦</v>
      </c>
      <c r="C118" s="5">
        <f t="shared" si="47"/>
        <v>2</v>
      </c>
      <c r="D118" s="6">
        <v>8</v>
      </c>
      <c r="E118" s="5">
        <v>4</v>
      </c>
      <c r="F118" s="128">
        <v>92292</v>
      </c>
      <c r="G118" s="128">
        <v>92256</v>
      </c>
      <c r="H118" s="128">
        <v>92261</v>
      </c>
      <c r="I118" s="128">
        <v>92240</v>
      </c>
      <c r="J118" s="130">
        <v>92290</v>
      </c>
      <c r="K118" s="128">
        <v>92014</v>
      </c>
      <c r="L118" s="5">
        <f t="shared" si="41"/>
        <v>396.23999999999995</v>
      </c>
      <c r="M118" s="6">
        <f t="shared" si="29"/>
        <v>5556</v>
      </c>
      <c r="N118" s="6">
        <f t="shared" si="30"/>
        <v>94</v>
      </c>
      <c r="O118" s="6">
        <f t="shared" si="31"/>
        <v>80</v>
      </c>
      <c r="P118" s="27">
        <f t="shared" si="32"/>
        <v>11523</v>
      </c>
      <c r="Q118" s="27">
        <f t="shared" si="33"/>
        <v>633</v>
      </c>
      <c r="R118" s="27">
        <f t="shared" si="34"/>
        <v>329</v>
      </c>
    </row>
    <row r="119" spans="1:18">
      <c r="A119" s="20">
        <f t="shared" si="45"/>
        <v>101110</v>
      </c>
      <c r="B119" s="5" t="str">
        <f t="shared" si="46"/>
        <v>乌鸦</v>
      </c>
      <c r="C119" s="5">
        <f t="shared" si="47"/>
        <v>2</v>
      </c>
      <c r="D119" s="6">
        <v>9</v>
      </c>
      <c r="E119" s="5">
        <v>4</v>
      </c>
      <c r="F119" s="130">
        <v>92286</v>
      </c>
      <c r="G119" s="128">
        <v>92240</v>
      </c>
      <c r="H119" s="130">
        <v>92290</v>
      </c>
      <c r="I119" s="128">
        <v>92281</v>
      </c>
      <c r="J119" s="128">
        <v>92014</v>
      </c>
      <c r="K119" s="128">
        <v>92296</v>
      </c>
      <c r="L119" s="5">
        <f t="shared" si="41"/>
        <v>416.15999999999997</v>
      </c>
      <c r="M119" s="6">
        <f t="shared" si="29"/>
        <v>3704</v>
      </c>
      <c r="N119" s="6">
        <f t="shared" si="30"/>
        <v>188</v>
      </c>
      <c r="O119" s="6">
        <f t="shared" si="31"/>
        <v>80</v>
      </c>
      <c r="P119" s="27">
        <f t="shared" si="32"/>
        <v>17079</v>
      </c>
      <c r="Q119" s="27">
        <f t="shared" si="33"/>
        <v>727</v>
      </c>
      <c r="R119" s="27">
        <f t="shared" si="34"/>
        <v>409</v>
      </c>
    </row>
    <row r="120" spans="1:18">
      <c r="A120" s="20">
        <f t="shared" si="45"/>
        <v>101110</v>
      </c>
      <c r="B120" s="5" t="str">
        <f t="shared" si="46"/>
        <v>乌鸦</v>
      </c>
      <c r="C120" s="5">
        <f t="shared" si="47"/>
        <v>2</v>
      </c>
      <c r="D120" s="6">
        <v>10</v>
      </c>
      <c r="E120" s="5">
        <v>4</v>
      </c>
      <c r="F120" s="130">
        <v>92299</v>
      </c>
      <c r="G120" s="128">
        <v>92293</v>
      </c>
      <c r="H120" s="128">
        <v>92294</v>
      </c>
      <c r="I120" s="128">
        <v>92295</v>
      </c>
      <c r="J120" s="128">
        <v>92262</v>
      </c>
      <c r="K120" s="128">
        <v>92298</v>
      </c>
      <c r="L120" s="5">
        <f t="shared" si="41"/>
        <v>424.32</v>
      </c>
      <c r="M120" s="6">
        <f t="shared" si="29"/>
        <v>2058</v>
      </c>
      <c r="N120" s="6">
        <f t="shared" si="30"/>
        <v>210</v>
      </c>
      <c r="O120" s="6">
        <f t="shared" si="31"/>
        <v>132</v>
      </c>
      <c r="P120" s="27">
        <f t="shared" si="32"/>
        <v>20783</v>
      </c>
      <c r="Q120" s="27">
        <f t="shared" si="33"/>
        <v>915</v>
      </c>
      <c r="R120" s="27">
        <f t="shared" si="34"/>
        <v>489</v>
      </c>
    </row>
    <row r="121" spans="1:18" ht="14.25" thickBot="1">
      <c r="A121" s="21">
        <f t="shared" si="45"/>
        <v>101110</v>
      </c>
      <c r="B121" s="22" t="str">
        <f t="shared" si="46"/>
        <v>乌鸦</v>
      </c>
      <c r="C121" s="22">
        <f t="shared" si="47"/>
        <v>2</v>
      </c>
      <c r="D121" s="6">
        <v>11</v>
      </c>
      <c r="E121" s="22">
        <v>4</v>
      </c>
      <c r="F121" s="128">
        <v>92298</v>
      </c>
      <c r="G121" s="130">
        <v>92291</v>
      </c>
      <c r="H121" s="128">
        <v>92255</v>
      </c>
      <c r="I121" s="130">
        <v>92299</v>
      </c>
      <c r="J121" s="128">
        <v>92294</v>
      </c>
      <c r="K121" s="128">
        <v>92262</v>
      </c>
      <c r="L121" s="22">
        <f t="shared" si="41"/>
        <v>363.32</v>
      </c>
      <c r="M121" s="6">
        <f t="shared" si="29"/>
        <v>2058</v>
      </c>
      <c r="N121" s="6">
        <f t="shared" si="30"/>
        <v>105</v>
      </c>
      <c r="O121" s="6">
        <f t="shared" si="31"/>
        <v>176</v>
      </c>
      <c r="P121" s="27">
        <f t="shared" si="32"/>
        <v>22841</v>
      </c>
      <c r="Q121" s="27">
        <f t="shared" si="33"/>
        <v>1125</v>
      </c>
      <c r="R121" s="27">
        <f t="shared" si="34"/>
        <v>621</v>
      </c>
    </row>
    <row r="122" spans="1:18">
      <c r="A122" s="18">
        <f>D_马仔表!A12</f>
        <v>101111</v>
      </c>
      <c r="B122" s="19" t="str">
        <f>D_马仔表!B12</f>
        <v>赌王</v>
      </c>
      <c r="C122" s="19">
        <f>D_马仔表!D12</f>
        <v>2</v>
      </c>
      <c r="D122" s="6">
        <v>0</v>
      </c>
      <c r="E122" s="19">
        <v>0</v>
      </c>
      <c r="F122" s="123">
        <v>92121</v>
      </c>
      <c r="G122" s="123">
        <v>92011</v>
      </c>
      <c r="H122" s="123">
        <v>92131</v>
      </c>
      <c r="I122" s="123">
        <v>92232</v>
      </c>
      <c r="J122" s="123">
        <v>92243</v>
      </c>
      <c r="K122" s="124">
        <v>92263</v>
      </c>
      <c r="L122" s="19">
        <f t="shared" si="41"/>
        <v>50.480000000000004</v>
      </c>
      <c r="M122" s="6">
        <f t="shared" si="29"/>
        <v>412</v>
      </c>
      <c r="N122" s="6">
        <f t="shared" si="30"/>
        <v>30</v>
      </c>
      <c r="O122" s="6">
        <f t="shared" si="31"/>
        <v>4</v>
      </c>
      <c r="P122" s="27">
        <f t="shared" si="32"/>
        <v>0</v>
      </c>
      <c r="Q122" s="27">
        <f t="shared" si="33"/>
        <v>0</v>
      </c>
      <c r="R122" s="27">
        <f t="shared" si="34"/>
        <v>0</v>
      </c>
    </row>
    <row r="123" spans="1:18">
      <c r="A123" s="20">
        <f>A122</f>
        <v>101111</v>
      </c>
      <c r="B123" s="5" t="str">
        <f>B122</f>
        <v>赌王</v>
      </c>
      <c r="C123" s="5">
        <f>C122</f>
        <v>2</v>
      </c>
      <c r="D123" s="6">
        <v>1</v>
      </c>
      <c r="E123" s="5">
        <v>0</v>
      </c>
      <c r="F123" s="123">
        <v>92232</v>
      </c>
      <c r="G123" s="124">
        <v>92277</v>
      </c>
      <c r="H123" s="123">
        <v>92121</v>
      </c>
      <c r="I123" s="123">
        <v>92131</v>
      </c>
      <c r="J123" s="123">
        <v>92228</v>
      </c>
      <c r="K123" s="123">
        <v>92244</v>
      </c>
      <c r="L123" s="5">
        <f t="shared" si="41"/>
        <v>42.720000000000006</v>
      </c>
      <c r="M123" s="6">
        <f t="shared" si="29"/>
        <v>618</v>
      </c>
      <c r="N123" s="6">
        <f t="shared" si="30"/>
        <v>10</v>
      </c>
      <c r="O123" s="6">
        <f t="shared" si="31"/>
        <v>8</v>
      </c>
      <c r="P123" s="27">
        <f t="shared" si="32"/>
        <v>412</v>
      </c>
      <c r="Q123" s="27">
        <f t="shared" si="33"/>
        <v>30</v>
      </c>
      <c r="R123" s="27">
        <f t="shared" si="34"/>
        <v>4</v>
      </c>
    </row>
    <row r="124" spans="1:18">
      <c r="A124" s="20">
        <f t="shared" ref="A124:A133" si="48">A123</f>
        <v>101111</v>
      </c>
      <c r="B124" s="5" t="str">
        <f t="shared" ref="B124:B133" si="49">B123</f>
        <v>赌王</v>
      </c>
      <c r="C124" s="5">
        <f t="shared" ref="C124:C133" si="50">C123</f>
        <v>2</v>
      </c>
      <c r="D124" s="6">
        <v>2</v>
      </c>
      <c r="E124" s="5">
        <v>1</v>
      </c>
      <c r="F124" s="125">
        <v>92141</v>
      </c>
      <c r="G124" s="125">
        <v>92245</v>
      </c>
      <c r="H124" s="125">
        <v>92251</v>
      </c>
      <c r="I124" s="125">
        <v>92264</v>
      </c>
      <c r="J124" s="125">
        <v>92271</v>
      </c>
      <c r="K124" s="126">
        <v>92287</v>
      </c>
      <c r="L124" s="5">
        <f t="shared" si="41"/>
        <v>131.04000000000002</v>
      </c>
      <c r="M124" s="6">
        <f t="shared" si="29"/>
        <v>1851</v>
      </c>
      <c r="N124" s="6">
        <f t="shared" si="30"/>
        <v>31</v>
      </c>
      <c r="O124" s="6">
        <f t="shared" si="31"/>
        <v>26</v>
      </c>
      <c r="P124" s="27">
        <f t="shared" si="32"/>
        <v>1030</v>
      </c>
      <c r="Q124" s="27">
        <f t="shared" si="33"/>
        <v>40</v>
      </c>
      <c r="R124" s="27">
        <f t="shared" si="34"/>
        <v>12</v>
      </c>
    </row>
    <row r="125" spans="1:18">
      <c r="A125" s="20">
        <f t="shared" si="48"/>
        <v>101111</v>
      </c>
      <c r="B125" s="5" t="str">
        <f t="shared" si="49"/>
        <v>赌王</v>
      </c>
      <c r="C125" s="5">
        <f t="shared" si="50"/>
        <v>2</v>
      </c>
      <c r="D125" s="6">
        <v>3</v>
      </c>
      <c r="E125" s="5">
        <v>1</v>
      </c>
      <c r="F125" s="125">
        <v>92122</v>
      </c>
      <c r="G125" s="125">
        <v>92278</v>
      </c>
      <c r="H125" s="126">
        <v>92287</v>
      </c>
      <c r="I125" s="125">
        <v>92141</v>
      </c>
      <c r="J125" s="126">
        <v>92283</v>
      </c>
      <c r="K125" s="125">
        <v>92271</v>
      </c>
      <c r="L125" s="5">
        <f t="shared" si="41"/>
        <v>137.36000000000001</v>
      </c>
      <c r="M125" s="6">
        <f t="shared" si="29"/>
        <v>1234</v>
      </c>
      <c r="N125" s="6">
        <f t="shared" si="30"/>
        <v>62</v>
      </c>
      <c r="O125" s="6">
        <f t="shared" si="31"/>
        <v>26</v>
      </c>
      <c r="P125" s="27">
        <f t="shared" si="32"/>
        <v>2881</v>
      </c>
      <c r="Q125" s="27">
        <f t="shared" si="33"/>
        <v>71</v>
      </c>
      <c r="R125" s="27">
        <f t="shared" si="34"/>
        <v>38</v>
      </c>
    </row>
    <row r="126" spans="1:18">
      <c r="A126" s="20">
        <f t="shared" si="48"/>
        <v>101111</v>
      </c>
      <c r="B126" s="5" t="str">
        <f t="shared" si="49"/>
        <v>赌王</v>
      </c>
      <c r="C126" s="5">
        <f t="shared" si="50"/>
        <v>2</v>
      </c>
      <c r="D126" s="6">
        <v>4</v>
      </c>
      <c r="E126" s="5">
        <v>2</v>
      </c>
      <c r="F126" s="127">
        <v>92012</v>
      </c>
      <c r="G126" s="127">
        <v>92252</v>
      </c>
      <c r="H126" s="132">
        <v>92288</v>
      </c>
      <c r="I126" s="127">
        <v>92272</v>
      </c>
      <c r="J126" s="127">
        <v>92273</v>
      </c>
      <c r="K126" s="127">
        <v>92279</v>
      </c>
      <c r="L126" s="5">
        <f t="shared" si="41"/>
        <v>260.32</v>
      </c>
      <c r="M126" s="6">
        <f t="shared" si="29"/>
        <v>2058</v>
      </c>
      <c r="N126" s="6">
        <f t="shared" si="30"/>
        <v>156</v>
      </c>
      <c r="O126" s="6">
        <f t="shared" si="31"/>
        <v>22</v>
      </c>
      <c r="P126" s="27">
        <f t="shared" si="32"/>
        <v>4115</v>
      </c>
      <c r="Q126" s="27">
        <f t="shared" si="33"/>
        <v>133</v>
      </c>
      <c r="R126" s="27">
        <f t="shared" si="34"/>
        <v>64</v>
      </c>
    </row>
    <row r="127" spans="1:18">
      <c r="A127" s="20">
        <f t="shared" si="48"/>
        <v>101111</v>
      </c>
      <c r="B127" s="5" t="str">
        <f t="shared" si="49"/>
        <v>赌王</v>
      </c>
      <c r="C127" s="5">
        <f t="shared" si="50"/>
        <v>2</v>
      </c>
      <c r="D127" s="6">
        <v>5</v>
      </c>
      <c r="E127" s="5">
        <v>2</v>
      </c>
      <c r="F127" s="132">
        <v>92288</v>
      </c>
      <c r="G127" s="127">
        <v>92124</v>
      </c>
      <c r="H127" s="127">
        <v>92279</v>
      </c>
      <c r="I127" s="127">
        <v>92272</v>
      </c>
      <c r="J127" s="132">
        <v>92284</v>
      </c>
      <c r="K127" s="127">
        <v>92273</v>
      </c>
      <c r="L127" s="5">
        <f t="shared" si="41"/>
        <v>230.32</v>
      </c>
      <c r="M127" s="6">
        <f t="shared" si="29"/>
        <v>2058</v>
      </c>
      <c r="N127" s="6">
        <f t="shared" si="30"/>
        <v>104</v>
      </c>
      <c r="O127" s="6">
        <f t="shared" si="31"/>
        <v>44</v>
      </c>
      <c r="P127" s="27">
        <f t="shared" si="32"/>
        <v>6173</v>
      </c>
      <c r="Q127" s="27">
        <f t="shared" si="33"/>
        <v>289</v>
      </c>
      <c r="R127" s="27">
        <f t="shared" si="34"/>
        <v>86</v>
      </c>
    </row>
    <row r="128" spans="1:18">
      <c r="A128" s="20">
        <f t="shared" si="48"/>
        <v>101111</v>
      </c>
      <c r="B128" s="5" t="str">
        <f t="shared" si="49"/>
        <v>赌王</v>
      </c>
      <c r="C128" s="5">
        <f t="shared" si="50"/>
        <v>2</v>
      </c>
      <c r="D128" s="6">
        <v>6</v>
      </c>
      <c r="E128" s="5">
        <v>3</v>
      </c>
      <c r="F128" s="131">
        <v>92134</v>
      </c>
      <c r="G128" s="131">
        <v>92254</v>
      </c>
      <c r="H128" s="131">
        <v>92013</v>
      </c>
      <c r="I128" s="131">
        <v>92125</v>
      </c>
      <c r="J128" s="131">
        <v>92236</v>
      </c>
      <c r="K128" s="131">
        <v>92280</v>
      </c>
      <c r="L128" s="5">
        <f t="shared" si="41"/>
        <v>338.6</v>
      </c>
      <c r="M128" s="6">
        <f t="shared" si="29"/>
        <v>1440</v>
      </c>
      <c r="N128" s="6">
        <f t="shared" si="30"/>
        <v>219</v>
      </c>
      <c r="O128" s="6">
        <f t="shared" si="31"/>
        <v>62</v>
      </c>
      <c r="P128" s="27">
        <f t="shared" si="32"/>
        <v>8231</v>
      </c>
      <c r="Q128" s="27">
        <f t="shared" si="33"/>
        <v>393</v>
      </c>
      <c r="R128" s="27">
        <f t="shared" si="34"/>
        <v>130</v>
      </c>
    </row>
    <row r="129" spans="1:18">
      <c r="A129" s="20">
        <f t="shared" si="48"/>
        <v>101111</v>
      </c>
      <c r="B129" s="5" t="str">
        <f t="shared" si="49"/>
        <v>赌王</v>
      </c>
      <c r="C129" s="5">
        <f t="shared" si="50"/>
        <v>2</v>
      </c>
      <c r="D129" s="6">
        <v>7</v>
      </c>
      <c r="E129" s="5">
        <v>3</v>
      </c>
      <c r="F129" s="129">
        <v>92285</v>
      </c>
      <c r="G129" s="131">
        <v>92013</v>
      </c>
      <c r="H129" s="131">
        <v>92227</v>
      </c>
      <c r="I129" s="131">
        <v>92274</v>
      </c>
      <c r="J129" s="129">
        <v>92289</v>
      </c>
      <c r="K129" s="131">
        <v>92236</v>
      </c>
      <c r="L129" s="5">
        <f t="shared" si="41"/>
        <v>296.60000000000002</v>
      </c>
      <c r="M129" s="6">
        <f t="shared" si="29"/>
        <v>1440</v>
      </c>
      <c r="N129" s="6">
        <f t="shared" si="30"/>
        <v>146</v>
      </c>
      <c r="O129" s="6">
        <f t="shared" si="31"/>
        <v>93</v>
      </c>
      <c r="P129" s="27">
        <f t="shared" si="32"/>
        <v>9671</v>
      </c>
      <c r="Q129" s="27">
        <f t="shared" si="33"/>
        <v>612</v>
      </c>
      <c r="R129" s="27">
        <f t="shared" si="34"/>
        <v>192</v>
      </c>
    </row>
    <row r="130" spans="1:18">
      <c r="A130" s="20">
        <f t="shared" si="48"/>
        <v>101111</v>
      </c>
      <c r="B130" s="5" t="str">
        <f t="shared" si="49"/>
        <v>赌王</v>
      </c>
      <c r="C130" s="5">
        <f t="shared" si="50"/>
        <v>2</v>
      </c>
      <c r="D130" s="6">
        <v>8</v>
      </c>
      <c r="E130" s="5">
        <v>4</v>
      </c>
      <c r="F130" s="128">
        <v>92014</v>
      </c>
      <c r="G130" s="128">
        <v>92296</v>
      </c>
      <c r="H130" s="128">
        <v>92240</v>
      </c>
      <c r="I130" s="128">
        <v>92281</v>
      </c>
      <c r="J130" s="128">
        <v>92292</v>
      </c>
      <c r="K130" s="130">
        <v>92286</v>
      </c>
      <c r="L130" s="5">
        <f t="shared" ref="L130:L161" si="51">VLOOKUP(F130,$W$1:$AD$64,8,FALSE)+VLOOKUP(G130,$W$1:$AD$64,8,FALSE)+VLOOKUP(H130,$W$1:$AD$64,8,FALSE)+VLOOKUP(I130,$W$1:$AD$64,8,FALSE)+VLOOKUP(J130,$W$1:$AD$64,8,FALSE)+VLOOKUP(K130,$W$1:$AD$64,8,FALSE)</f>
        <v>416.15999999999997</v>
      </c>
      <c r="M130" s="6">
        <f t="shared" si="29"/>
        <v>3704</v>
      </c>
      <c r="N130" s="6">
        <f t="shared" si="30"/>
        <v>188</v>
      </c>
      <c r="O130" s="6">
        <f t="shared" si="31"/>
        <v>80</v>
      </c>
      <c r="P130" s="27">
        <f t="shared" si="32"/>
        <v>11111</v>
      </c>
      <c r="Q130" s="27">
        <f t="shared" si="33"/>
        <v>758</v>
      </c>
      <c r="R130" s="27">
        <f t="shared" si="34"/>
        <v>285</v>
      </c>
    </row>
    <row r="131" spans="1:18">
      <c r="A131" s="20">
        <f t="shared" si="48"/>
        <v>101111</v>
      </c>
      <c r="B131" s="5" t="str">
        <f t="shared" si="49"/>
        <v>赌王</v>
      </c>
      <c r="C131" s="5">
        <f t="shared" si="50"/>
        <v>2</v>
      </c>
      <c r="D131" s="6">
        <v>9</v>
      </c>
      <c r="E131" s="5">
        <v>4</v>
      </c>
      <c r="F131" s="128">
        <v>92256</v>
      </c>
      <c r="G131" s="128">
        <v>92014</v>
      </c>
      <c r="H131" s="130">
        <v>92290</v>
      </c>
      <c r="I131" s="128">
        <v>92292</v>
      </c>
      <c r="J131" s="128">
        <v>92261</v>
      </c>
      <c r="K131" s="128">
        <v>92281</v>
      </c>
      <c r="L131" s="5">
        <f t="shared" si="51"/>
        <v>450.23999999999995</v>
      </c>
      <c r="M131" s="6">
        <f t="shared" ref="M131:M193" si="52">VLOOKUP(F131,$W$1:$AD$64,5,FALSE)+VLOOKUP(G131,$W$1:$AD$64,5,FALSE)+VLOOKUP(H131,$W$1:$AD$64,5,FALSE)+VLOOKUP(I131,$W$1:$AD$64,5,FALSE)+VLOOKUP(J131,$W$1:$AD$64,5,FALSE)+VLOOKUP(K131,$W$1:$AD$64,5,FALSE)</f>
        <v>5556</v>
      </c>
      <c r="N131" s="6">
        <f t="shared" ref="N131:N193" si="53">VLOOKUP(F131,$W$1:$AD$64,6,FALSE)+VLOOKUP(G131,$W$1:$AD$64,6,FALSE)+VLOOKUP(H131,$W$1:$AD$64,6,FALSE)+VLOOKUP(I131,$W$1:$AD$64,6,FALSE)+VLOOKUP(J131,$W$1:$AD$64,6,FALSE)+VLOOKUP(K131,$W$1:$AD$64,6,FALSE)</f>
        <v>188</v>
      </c>
      <c r="O131" s="6">
        <f t="shared" ref="O131:O193" si="54">VLOOKUP(F131,$W$1:$AD$64,7,FALSE)+VLOOKUP(G131,$W$1:$AD$64,7,FALSE)+VLOOKUP(H131,$W$1:$AD$64,7,FALSE)+VLOOKUP(I131,$W$1:$AD$64,7,FALSE)+VLOOKUP(J131,$W$1:$AD$64,7,FALSE)+VLOOKUP(K131,$W$1:$AD$64,7,FALSE)</f>
        <v>40</v>
      </c>
      <c r="P131" s="27">
        <f t="shared" ref="P131:P194" si="55">IF($D131=0,0,M130+P130)</f>
        <v>14815</v>
      </c>
      <c r="Q131" s="27">
        <f t="shared" ref="Q131:Q194" si="56">IF($D131=0,0,N130+Q130)</f>
        <v>946</v>
      </c>
      <c r="R131" s="27">
        <f t="shared" ref="R131:R194" si="57">IF($D131=0,0,O130+R130)</f>
        <v>365</v>
      </c>
    </row>
    <row r="132" spans="1:18">
      <c r="A132" s="20">
        <f t="shared" si="48"/>
        <v>101111</v>
      </c>
      <c r="B132" s="5" t="str">
        <f t="shared" si="49"/>
        <v>赌王</v>
      </c>
      <c r="C132" s="5">
        <f t="shared" si="50"/>
        <v>2</v>
      </c>
      <c r="D132" s="6">
        <v>10</v>
      </c>
      <c r="E132" s="5">
        <v>4</v>
      </c>
      <c r="F132" s="128">
        <v>92026</v>
      </c>
      <c r="G132" s="128">
        <v>92276</v>
      </c>
      <c r="H132" s="128">
        <v>92295</v>
      </c>
      <c r="I132" s="128">
        <v>92255</v>
      </c>
      <c r="J132" s="128">
        <v>92293</v>
      </c>
      <c r="K132" s="130">
        <v>92291</v>
      </c>
      <c r="L132" s="5">
        <f t="shared" si="51"/>
        <v>500.96</v>
      </c>
      <c r="M132" s="6">
        <f t="shared" si="52"/>
        <v>6174</v>
      </c>
      <c r="N132" s="6">
        <f t="shared" si="53"/>
        <v>210</v>
      </c>
      <c r="O132" s="6">
        <f t="shared" si="54"/>
        <v>44</v>
      </c>
      <c r="P132" s="27">
        <f t="shared" si="55"/>
        <v>20371</v>
      </c>
      <c r="Q132" s="27">
        <f t="shared" si="56"/>
        <v>1134</v>
      </c>
      <c r="R132" s="27">
        <f t="shared" si="57"/>
        <v>405</v>
      </c>
    </row>
    <row r="133" spans="1:18" ht="14.25" thickBot="1">
      <c r="A133" s="21">
        <f t="shared" si="48"/>
        <v>101111</v>
      </c>
      <c r="B133" s="22" t="str">
        <f t="shared" si="49"/>
        <v>赌王</v>
      </c>
      <c r="C133" s="22">
        <f t="shared" si="50"/>
        <v>2</v>
      </c>
      <c r="D133" s="6">
        <v>11</v>
      </c>
      <c r="E133" s="22">
        <v>4</v>
      </c>
      <c r="F133" s="130">
        <v>92291</v>
      </c>
      <c r="G133" s="128">
        <v>92026</v>
      </c>
      <c r="H133" s="128">
        <v>92255</v>
      </c>
      <c r="I133" s="130">
        <v>92299</v>
      </c>
      <c r="J133" s="128">
        <v>92295</v>
      </c>
      <c r="K133" s="128">
        <v>92293</v>
      </c>
      <c r="L133" s="22">
        <f t="shared" si="51"/>
        <v>462.64</v>
      </c>
      <c r="M133" s="6">
        <f t="shared" si="52"/>
        <v>4116</v>
      </c>
      <c r="N133" s="6">
        <f t="shared" si="53"/>
        <v>210</v>
      </c>
      <c r="O133" s="6">
        <f t="shared" si="54"/>
        <v>88</v>
      </c>
      <c r="P133" s="27">
        <f t="shared" si="55"/>
        <v>26545</v>
      </c>
      <c r="Q133" s="27">
        <f t="shared" si="56"/>
        <v>1344</v>
      </c>
      <c r="R133" s="27">
        <f t="shared" si="57"/>
        <v>449</v>
      </c>
    </row>
    <row r="134" spans="1:18">
      <c r="A134" s="18">
        <f>D_马仔表!A13</f>
        <v>101112</v>
      </c>
      <c r="B134" s="19" t="str">
        <f>D_马仔表!B13</f>
        <v>山下忠秀</v>
      </c>
      <c r="C134" s="19">
        <f>D_马仔表!D13</f>
        <v>2</v>
      </c>
      <c r="D134" s="6">
        <v>0</v>
      </c>
      <c r="E134" s="19">
        <v>0</v>
      </c>
      <c r="F134" s="124">
        <v>92263</v>
      </c>
      <c r="G134" s="123">
        <v>92121</v>
      </c>
      <c r="H134" s="123">
        <v>92232</v>
      </c>
      <c r="I134" s="124">
        <v>92277</v>
      </c>
      <c r="J134" s="123">
        <v>92131</v>
      </c>
      <c r="K134" s="123">
        <v>92243</v>
      </c>
      <c r="L134" s="19">
        <f t="shared" si="51"/>
        <v>44.480000000000004</v>
      </c>
      <c r="M134" s="6">
        <f t="shared" si="52"/>
        <v>412</v>
      </c>
      <c r="N134" s="6">
        <f t="shared" si="53"/>
        <v>20</v>
      </c>
      <c r="O134" s="6">
        <f t="shared" si="54"/>
        <v>8</v>
      </c>
      <c r="P134" s="27">
        <f t="shared" si="55"/>
        <v>0</v>
      </c>
      <c r="Q134" s="27">
        <f t="shared" si="56"/>
        <v>0</v>
      </c>
      <c r="R134" s="27">
        <f t="shared" si="57"/>
        <v>0</v>
      </c>
    </row>
    <row r="135" spans="1:18">
      <c r="A135" s="20">
        <f>A134</f>
        <v>101112</v>
      </c>
      <c r="B135" s="5" t="str">
        <f>B134</f>
        <v>山下忠秀</v>
      </c>
      <c r="C135" s="5">
        <f>C134</f>
        <v>2</v>
      </c>
      <c r="D135" s="6">
        <v>1</v>
      </c>
      <c r="E135" s="5">
        <v>0</v>
      </c>
      <c r="F135" s="123">
        <v>92011</v>
      </c>
      <c r="G135" s="124">
        <v>92263</v>
      </c>
      <c r="H135" s="123">
        <v>92121</v>
      </c>
      <c r="I135" s="123">
        <v>92228</v>
      </c>
      <c r="J135" s="123">
        <v>92232</v>
      </c>
      <c r="K135" s="123">
        <v>92131</v>
      </c>
      <c r="L135" s="5">
        <f t="shared" si="51"/>
        <v>50.480000000000004</v>
      </c>
      <c r="M135" s="6">
        <f t="shared" si="52"/>
        <v>412</v>
      </c>
      <c r="N135" s="6">
        <f t="shared" si="53"/>
        <v>30</v>
      </c>
      <c r="O135" s="6">
        <f t="shared" si="54"/>
        <v>4</v>
      </c>
      <c r="P135" s="27">
        <f t="shared" si="55"/>
        <v>412</v>
      </c>
      <c r="Q135" s="27">
        <f t="shared" si="56"/>
        <v>20</v>
      </c>
      <c r="R135" s="27">
        <f t="shared" si="57"/>
        <v>8</v>
      </c>
    </row>
    <row r="136" spans="1:18">
      <c r="A136" s="20">
        <f t="shared" ref="A136:A145" si="58">A135</f>
        <v>101112</v>
      </c>
      <c r="B136" s="5" t="str">
        <f t="shared" ref="B136:B145" si="59">B135</f>
        <v>山下忠秀</v>
      </c>
      <c r="C136" s="5">
        <f t="shared" ref="C136:C145" si="60">C135</f>
        <v>2</v>
      </c>
      <c r="D136" s="6">
        <v>2</v>
      </c>
      <c r="E136" s="5">
        <v>1</v>
      </c>
      <c r="F136" s="125">
        <v>92233</v>
      </c>
      <c r="G136" s="125">
        <v>92245</v>
      </c>
      <c r="H136" s="125">
        <v>92264</v>
      </c>
      <c r="I136" s="126">
        <v>92287</v>
      </c>
      <c r="J136" s="125">
        <v>92141</v>
      </c>
      <c r="K136" s="125">
        <v>92251</v>
      </c>
      <c r="L136" s="5">
        <f t="shared" si="51"/>
        <v>131.04</v>
      </c>
      <c r="M136" s="6">
        <f t="shared" si="52"/>
        <v>1851</v>
      </c>
      <c r="N136" s="6">
        <f t="shared" si="53"/>
        <v>31</v>
      </c>
      <c r="O136" s="6">
        <f t="shared" si="54"/>
        <v>26</v>
      </c>
      <c r="P136" s="27">
        <f t="shared" si="55"/>
        <v>824</v>
      </c>
      <c r="Q136" s="27">
        <f t="shared" si="56"/>
        <v>50</v>
      </c>
      <c r="R136" s="27">
        <f t="shared" si="57"/>
        <v>12</v>
      </c>
    </row>
    <row r="137" spans="1:18">
      <c r="A137" s="20">
        <f t="shared" si="58"/>
        <v>101112</v>
      </c>
      <c r="B137" s="5" t="str">
        <f t="shared" si="59"/>
        <v>山下忠秀</v>
      </c>
      <c r="C137" s="5">
        <f t="shared" si="60"/>
        <v>2</v>
      </c>
      <c r="D137" s="6">
        <v>3</v>
      </c>
      <c r="E137" s="5">
        <v>1</v>
      </c>
      <c r="F137" s="125">
        <v>92122</v>
      </c>
      <c r="G137" s="126">
        <v>92283</v>
      </c>
      <c r="H137" s="125">
        <v>92271</v>
      </c>
      <c r="I137" s="125">
        <v>92141</v>
      </c>
      <c r="J137" s="126">
        <v>92287</v>
      </c>
      <c r="K137" s="125">
        <v>92264</v>
      </c>
      <c r="L137" s="5">
        <f t="shared" si="51"/>
        <v>119.36000000000001</v>
      </c>
      <c r="M137" s="6">
        <f t="shared" si="52"/>
        <v>1234</v>
      </c>
      <c r="N137" s="6">
        <f t="shared" si="53"/>
        <v>31</v>
      </c>
      <c r="O137" s="6">
        <f t="shared" si="54"/>
        <v>39</v>
      </c>
      <c r="P137" s="27">
        <f t="shared" si="55"/>
        <v>2675</v>
      </c>
      <c r="Q137" s="27">
        <f t="shared" si="56"/>
        <v>81</v>
      </c>
      <c r="R137" s="27">
        <f t="shared" si="57"/>
        <v>38</v>
      </c>
    </row>
    <row r="138" spans="1:18">
      <c r="A138" s="20">
        <f t="shared" si="58"/>
        <v>101112</v>
      </c>
      <c r="B138" s="5" t="str">
        <f t="shared" si="59"/>
        <v>山下忠秀</v>
      </c>
      <c r="C138" s="5">
        <f t="shared" si="60"/>
        <v>2</v>
      </c>
      <c r="D138" s="6">
        <v>4</v>
      </c>
      <c r="E138" s="5">
        <v>2</v>
      </c>
      <c r="F138" s="127">
        <v>92142</v>
      </c>
      <c r="G138" s="127">
        <v>92272</v>
      </c>
      <c r="H138" s="132">
        <v>92284</v>
      </c>
      <c r="I138" s="127">
        <v>92012</v>
      </c>
      <c r="J138" s="127">
        <v>92279</v>
      </c>
      <c r="K138" s="127">
        <v>92252</v>
      </c>
      <c r="L138" s="5">
        <f t="shared" si="51"/>
        <v>249.48</v>
      </c>
      <c r="M138" s="6">
        <f t="shared" si="52"/>
        <v>3087</v>
      </c>
      <c r="N138" s="6">
        <f t="shared" si="53"/>
        <v>104</v>
      </c>
      <c r="O138" s="6">
        <f t="shared" si="54"/>
        <v>22</v>
      </c>
      <c r="P138" s="27">
        <f t="shared" si="55"/>
        <v>3909</v>
      </c>
      <c r="Q138" s="27">
        <f t="shared" si="56"/>
        <v>112</v>
      </c>
      <c r="R138" s="27">
        <f t="shared" si="57"/>
        <v>77</v>
      </c>
    </row>
    <row r="139" spans="1:18">
      <c r="A139" s="20">
        <f t="shared" si="58"/>
        <v>101112</v>
      </c>
      <c r="B139" s="5" t="str">
        <f t="shared" si="59"/>
        <v>山下忠秀</v>
      </c>
      <c r="C139" s="5">
        <f t="shared" si="60"/>
        <v>2</v>
      </c>
      <c r="D139" s="6">
        <v>5</v>
      </c>
      <c r="E139" s="5">
        <v>2</v>
      </c>
      <c r="F139" s="132">
        <v>92288</v>
      </c>
      <c r="G139" s="127">
        <v>92142</v>
      </c>
      <c r="H139" s="127">
        <v>92279</v>
      </c>
      <c r="I139" s="127">
        <v>92252</v>
      </c>
      <c r="J139" s="132">
        <v>92284</v>
      </c>
      <c r="K139" s="127">
        <v>92124</v>
      </c>
      <c r="L139" s="5">
        <f t="shared" si="51"/>
        <v>241.16</v>
      </c>
      <c r="M139" s="6">
        <f t="shared" si="52"/>
        <v>1029</v>
      </c>
      <c r="N139" s="6">
        <f t="shared" si="53"/>
        <v>156</v>
      </c>
      <c r="O139" s="6">
        <f t="shared" si="54"/>
        <v>44</v>
      </c>
      <c r="P139" s="27">
        <f t="shared" si="55"/>
        <v>6996</v>
      </c>
      <c r="Q139" s="27">
        <f t="shared" si="56"/>
        <v>216</v>
      </c>
      <c r="R139" s="27">
        <f t="shared" si="57"/>
        <v>99</v>
      </c>
    </row>
    <row r="140" spans="1:18">
      <c r="A140" s="20">
        <f t="shared" si="58"/>
        <v>101112</v>
      </c>
      <c r="B140" s="5" t="str">
        <f t="shared" si="59"/>
        <v>山下忠秀</v>
      </c>
      <c r="C140" s="5">
        <f t="shared" si="60"/>
        <v>2</v>
      </c>
      <c r="D140" s="6">
        <v>6</v>
      </c>
      <c r="E140" s="5">
        <v>3</v>
      </c>
      <c r="F140" s="131">
        <v>92134</v>
      </c>
      <c r="G140" s="131">
        <v>92013</v>
      </c>
      <c r="H140" s="131">
        <v>92254</v>
      </c>
      <c r="I140" s="131">
        <v>92280</v>
      </c>
      <c r="J140" s="131">
        <v>92227</v>
      </c>
      <c r="K140" s="131">
        <v>92253</v>
      </c>
      <c r="L140" s="5">
        <f t="shared" si="51"/>
        <v>349.8</v>
      </c>
      <c r="M140" s="6">
        <f t="shared" si="52"/>
        <v>4320</v>
      </c>
      <c r="N140" s="6">
        <f t="shared" si="53"/>
        <v>146</v>
      </c>
      <c r="O140" s="6">
        <f t="shared" si="54"/>
        <v>31</v>
      </c>
      <c r="P140" s="27">
        <f t="shared" si="55"/>
        <v>8025</v>
      </c>
      <c r="Q140" s="27">
        <f t="shared" si="56"/>
        <v>372</v>
      </c>
      <c r="R140" s="27">
        <f t="shared" si="57"/>
        <v>143</v>
      </c>
    </row>
    <row r="141" spans="1:18">
      <c r="A141" s="20">
        <f t="shared" si="58"/>
        <v>101112</v>
      </c>
      <c r="B141" s="5" t="str">
        <f t="shared" si="59"/>
        <v>山下忠秀</v>
      </c>
      <c r="C141" s="5">
        <f t="shared" si="60"/>
        <v>2</v>
      </c>
      <c r="D141" s="6">
        <v>7</v>
      </c>
      <c r="E141" s="5">
        <v>3</v>
      </c>
      <c r="F141" s="131">
        <v>92280</v>
      </c>
      <c r="G141" s="129">
        <v>92289</v>
      </c>
      <c r="H141" s="131">
        <v>92274</v>
      </c>
      <c r="I141" s="129">
        <v>92285</v>
      </c>
      <c r="J141" s="131">
        <v>92254</v>
      </c>
      <c r="K141" s="131">
        <v>92223</v>
      </c>
      <c r="L141" s="5">
        <f t="shared" si="51"/>
        <v>296.60000000000002</v>
      </c>
      <c r="M141" s="6">
        <f t="shared" si="52"/>
        <v>1440</v>
      </c>
      <c r="N141" s="6">
        <f t="shared" si="53"/>
        <v>146</v>
      </c>
      <c r="O141" s="6">
        <f t="shared" si="54"/>
        <v>93</v>
      </c>
      <c r="P141" s="27">
        <f t="shared" si="55"/>
        <v>12345</v>
      </c>
      <c r="Q141" s="27">
        <f t="shared" si="56"/>
        <v>518</v>
      </c>
      <c r="R141" s="27">
        <f t="shared" si="57"/>
        <v>174</v>
      </c>
    </row>
    <row r="142" spans="1:18">
      <c r="A142" s="20">
        <f t="shared" si="58"/>
        <v>101112</v>
      </c>
      <c r="B142" s="5" t="str">
        <f t="shared" si="59"/>
        <v>山下忠秀</v>
      </c>
      <c r="C142" s="5">
        <f t="shared" si="60"/>
        <v>2</v>
      </c>
      <c r="D142" s="6">
        <v>8</v>
      </c>
      <c r="E142" s="5">
        <v>4</v>
      </c>
      <c r="F142" s="130">
        <v>92286</v>
      </c>
      <c r="G142" s="128">
        <v>92296</v>
      </c>
      <c r="H142" s="128">
        <v>92014</v>
      </c>
      <c r="I142" s="128">
        <v>92261</v>
      </c>
      <c r="J142" s="128">
        <v>92281</v>
      </c>
      <c r="K142" s="128">
        <v>92256</v>
      </c>
      <c r="L142" s="5">
        <f t="shared" si="51"/>
        <v>436.08</v>
      </c>
      <c r="M142" s="6">
        <f t="shared" si="52"/>
        <v>1852</v>
      </c>
      <c r="N142" s="6">
        <f t="shared" si="53"/>
        <v>282</v>
      </c>
      <c r="O142" s="6">
        <f t="shared" si="54"/>
        <v>80</v>
      </c>
      <c r="P142" s="27">
        <f t="shared" si="55"/>
        <v>13785</v>
      </c>
      <c r="Q142" s="27">
        <f t="shared" si="56"/>
        <v>664</v>
      </c>
      <c r="R142" s="27">
        <f t="shared" si="57"/>
        <v>267</v>
      </c>
    </row>
    <row r="143" spans="1:18">
      <c r="A143" s="20">
        <f t="shared" si="58"/>
        <v>101112</v>
      </c>
      <c r="B143" s="5" t="str">
        <f t="shared" si="59"/>
        <v>山下忠秀</v>
      </c>
      <c r="C143" s="5">
        <f t="shared" si="60"/>
        <v>2</v>
      </c>
      <c r="D143" s="6">
        <v>9</v>
      </c>
      <c r="E143" s="5">
        <v>4</v>
      </c>
      <c r="F143" s="128">
        <v>92296</v>
      </c>
      <c r="G143" s="128">
        <v>92240</v>
      </c>
      <c r="H143" s="130">
        <v>92286</v>
      </c>
      <c r="I143" s="128">
        <v>92014</v>
      </c>
      <c r="J143" s="130">
        <v>92290</v>
      </c>
      <c r="K143" s="128">
        <v>92275</v>
      </c>
      <c r="L143" s="5">
        <f t="shared" si="51"/>
        <v>396.23999999999995</v>
      </c>
      <c r="M143" s="6">
        <f t="shared" si="52"/>
        <v>5556</v>
      </c>
      <c r="N143" s="6">
        <f t="shared" si="53"/>
        <v>94</v>
      </c>
      <c r="O143" s="6">
        <f t="shared" si="54"/>
        <v>80</v>
      </c>
      <c r="P143" s="27">
        <f t="shared" si="55"/>
        <v>15637</v>
      </c>
      <c r="Q143" s="27">
        <f t="shared" si="56"/>
        <v>946</v>
      </c>
      <c r="R143" s="27">
        <f t="shared" si="57"/>
        <v>347</v>
      </c>
    </row>
    <row r="144" spans="1:18">
      <c r="A144" s="20">
        <f t="shared" si="58"/>
        <v>101112</v>
      </c>
      <c r="B144" s="5" t="str">
        <f t="shared" si="59"/>
        <v>山下忠秀</v>
      </c>
      <c r="C144" s="5">
        <f t="shared" si="60"/>
        <v>2</v>
      </c>
      <c r="D144" s="6">
        <v>10</v>
      </c>
      <c r="E144" s="5">
        <v>4</v>
      </c>
      <c r="F144" s="130">
        <v>92291</v>
      </c>
      <c r="G144" s="128">
        <v>92295</v>
      </c>
      <c r="H144" s="128">
        <v>92262</v>
      </c>
      <c r="I144" s="128">
        <v>92298</v>
      </c>
      <c r="J144" s="128">
        <v>92276</v>
      </c>
      <c r="K144" s="128">
        <v>92282</v>
      </c>
      <c r="L144" s="5">
        <f t="shared" si="51"/>
        <v>500.96</v>
      </c>
      <c r="M144" s="6">
        <f t="shared" si="52"/>
        <v>6174</v>
      </c>
      <c r="N144" s="6">
        <f t="shared" si="53"/>
        <v>210</v>
      </c>
      <c r="O144" s="6">
        <f t="shared" si="54"/>
        <v>44</v>
      </c>
      <c r="P144" s="27">
        <f t="shared" si="55"/>
        <v>21193</v>
      </c>
      <c r="Q144" s="27">
        <f t="shared" si="56"/>
        <v>1040</v>
      </c>
      <c r="R144" s="27">
        <f t="shared" si="57"/>
        <v>427</v>
      </c>
    </row>
    <row r="145" spans="1:18" ht="14.25" thickBot="1">
      <c r="A145" s="21">
        <f t="shared" si="58"/>
        <v>101112</v>
      </c>
      <c r="B145" s="22" t="str">
        <f t="shared" si="59"/>
        <v>山下忠秀</v>
      </c>
      <c r="C145" s="22">
        <f t="shared" si="60"/>
        <v>2</v>
      </c>
      <c r="D145" s="6">
        <v>11</v>
      </c>
      <c r="E145" s="22">
        <v>4</v>
      </c>
      <c r="F145" s="128">
        <v>92295</v>
      </c>
      <c r="G145" s="130">
        <v>92291</v>
      </c>
      <c r="H145" s="128">
        <v>92294</v>
      </c>
      <c r="I145" s="128">
        <v>92026</v>
      </c>
      <c r="J145" s="128">
        <v>92297</v>
      </c>
      <c r="K145" s="130">
        <v>92299</v>
      </c>
      <c r="L145" s="22">
        <f t="shared" si="51"/>
        <v>439.96</v>
      </c>
      <c r="M145" s="6">
        <f t="shared" si="52"/>
        <v>6174</v>
      </c>
      <c r="N145" s="6">
        <f t="shared" si="53"/>
        <v>105</v>
      </c>
      <c r="O145" s="6">
        <f t="shared" si="54"/>
        <v>88</v>
      </c>
      <c r="P145" s="27">
        <f t="shared" si="55"/>
        <v>27367</v>
      </c>
      <c r="Q145" s="27">
        <f t="shared" si="56"/>
        <v>1250</v>
      </c>
      <c r="R145" s="27">
        <f t="shared" si="57"/>
        <v>471</v>
      </c>
    </row>
    <row r="146" spans="1:18">
      <c r="A146" s="18">
        <f>D_马仔表!A14</f>
        <v>101113</v>
      </c>
      <c r="B146" s="19" t="str">
        <f>D_马仔表!B14</f>
        <v>宫本一</v>
      </c>
      <c r="C146" s="19">
        <f>D_马仔表!D14</f>
        <v>2</v>
      </c>
      <c r="D146" s="6">
        <v>0</v>
      </c>
      <c r="E146" s="19">
        <v>0</v>
      </c>
      <c r="F146" s="123">
        <v>92244</v>
      </c>
      <c r="G146" s="123">
        <v>92228</v>
      </c>
      <c r="H146" s="123">
        <v>92011</v>
      </c>
      <c r="I146" s="123">
        <v>92121</v>
      </c>
      <c r="J146" s="124">
        <v>92277</v>
      </c>
      <c r="K146" s="123">
        <v>92232</v>
      </c>
      <c r="L146" s="19">
        <f t="shared" si="51"/>
        <v>44.480000000000004</v>
      </c>
      <c r="M146" s="6">
        <f t="shared" si="52"/>
        <v>412</v>
      </c>
      <c r="N146" s="6">
        <f t="shared" si="53"/>
        <v>20</v>
      </c>
      <c r="O146" s="6">
        <f t="shared" si="54"/>
        <v>8</v>
      </c>
      <c r="P146" s="27">
        <f t="shared" si="55"/>
        <v>0</v>
      </c>
      <c r="Q146" s="27">
        <f t="shared" si="56"/>
        <v>0</v>
      </c>
      <c r="R146" s="27">
        <f t="shared" si="57"/>
        <v>0</v>
      </c>
    </row>
    <row r="147" spans="1:18">
      <c r="A147" s="20">
        <f>A146</f>
        <v>101113</v>
      </c>
      <c r="B147" s="5" t="str">
        <f>B146</f>
        <v>宫本一</v>
      </c>
      <c r="C147" s="5">
        <f>C146</f>
        <v>2</v>
      </c>
      <c r="D147" s="6">
        <v>1</v>
      </c>
      <c r="E147" s="5">
        <v>0</v>
      </c>
      <c r="F147" s="123">
        <v>92228</v>
      </c>
      <c r="G147" s="123">
        <v>92243</v>
      </c>
      <c r="H147" s="124">
        <v>92263</v>
      </c>
      <c r="I147" s="123">
        <v>92232</v>
      </c>
      <c r="J147" s="123">
        <v>92121</v>
      </c>
      <c r="K147" s="124">
        <v>92277</v>
      </c>
      <c r="L147" s="5">
        <f t="shared" si="51"/>
        <v>40.24</v>
      </c>
      <c r="M147" s="6">
        <f t="shared" si="52"/>
        <v>206</v>
      </c>
      <c r="N147" s="6">
        <f t="shared" si="53"/>
        <v>20</v>
      </c>
      <c r="O147" s="6">
        <f t="shared" si="54"/>
        <v>12</v>
      </c>
      <c r="P147" s="27">
        <f t="shared" si="55"/>
        <v>412</v>
      </c>
      <c r="Q147" s="27">
        <f t="shared" si="56"/>
        <v>20</v>
      </c>
      <c r="R147" s="27">
        <f t="shared" si="57"/>
        <v>8</v>
      </c>
    </row>
    <row r="148" spans="1:18">
      <c r="A148" s="20">
        <f t="shared" ref="A148:A157" si="61">A147</f>
        <v>101113</v>
      </c>
      <c r="B148" s="5" t="str">
        <f t="shared" ref="B148:B157" si="62">B147</f>
        <v>宫本一</v>
      </c>
      <c r="C148" s="5">
        <f t="shared" ref="C148:C157" si="63">C147</f>
        <v>2</v>
      </c>
      <c r="D148" s="6">
        <v>2</v>
      </c>
      <c r="E148" s="5">
        <v>1</v>
      </c>
      <c r="F148" s="126">
        <v>92287</v>
      </c>
      <c r="G148" s="125">
        <v>92122</v>
      </c>
      <c r="H148" s="125">
        <v>92233</v>
      </c>
      <c r="I148" s="126">
        <v>92283</v>
      </c>
      <c r="J148" s="125">
        <v>92278</v>
      </c>
      <c r="K148" s="125">
        <v>92141</v>
      </c>
      <c r="L148" s="5">
        <f t="shared" si="51"/>
        <v>137.36000000000001</v>
      </c>
      <c r="M148" s="6">
        <f t="shared" si="52"/>
        <v>1234</v>
      </c>
      <c r="N148" s="6">
        <f t="shared" si="53"/>
        <v>62</v>
      </c>
      <c r="O148" s="6">
        <f t="shared" si="54"/>
        <v>26</v>
      </c>
      <c r="P148" s="27">
        <f t="shared" si="55"/>
        <v>618</v>
      </c>
      <c r="Q148" s="27">
        <f t="shared" si="56"/>
        <v>40</v>
      </c>
      <c r="R148" s="27">
        <f t="shared" si="57"/>
        <v>20</v>
      </c>
    </row>
    <row r="149" spans="1:18">
      <c r="A149" s="20">
        <f t="shared" si="61"/>
        <v>101113</v>
      </c>
      <c r="B149" s="5" t="str">
        <f t="shared" si="62"/>
        <v>宫本一</v>
      </c>
      <c r="C149" s="5">
        <f t="shared" si="63"/>
        <v>2</v>
      </c>
      <c r="D149" s="6">
        <v>3</v>
      </c>
      <c r="E149" s="5">
        <v>1</v>
      </c>
      <c r="F149" s="125">
        <v>92122</v>
      </c>
      <c r="G149" s="126">
        <v>92287</v>
      </c>
      <c r="H149" s="125">
        <v>92264</v>
      </c>
      <c r="I149" s="125">
        <v>92233</v>
      </c>
      <c r="J149" s="126">
        <v>92283</v>
      </c>
      <c r="K149" s="125">
        <v>92271</v>
      </c>
      <c r="L149" s="5">
        <f t="shared" si="51"/>
        <v>131.04000000000002</v>
      </c>
      <c r="M149" s="6">
        <f t="shared" si="52"/>
        <v>1851</v>
      </c>
      <c r="N149" s="6">
        <f t="shared" si="53"/>
        <v>31</v>
      </c>
      <c r="O149" s="6">
        <f t="shared" si="54"/>
        <v>26</v>
      </c>
      <c r="P149" s="27">
        <f t="shared" si="55"/>
        <v>1852</v>
      </c>
      <c r="Q149" s="27">
        <f t="shared" si="56"/>
        <v>102</v>
      </c>
      <c r="R149" s="27">
        <f t="shared" si="57"/>
        <v>46</v>
      </c>
    </row>
    <row r="150" spans="1:18">
      <c r="A150" s="20">
        <f t="shared" si="61"/>
        <v>101113</v>
      </c>
      <c r="B150" s="5" t="str">
        <f t="shared" si="62"/>
        <v>宫本一</v>
      </c>
      <c r="C150" s="5">
        <f t="shared" si="63"/>
        <v>2</v>
      </c>
      <c r="D150" s="6">
        <v>4</v>
      </c>
      <c r="E150" s="5">
        <v>2</v>
      </c>
      <c r="F150" s="127">
        <v>92279</v>
      </c>
      <c r="G150" s="127">
        <v>92235</v>
      </c>
      <c r="H150" s="127">
        <v>92142</v>
      </c>
      <c r="I150" s="132">
        <v>92284</v>
      </c>
      <c r="J150" s="127">
        <v>92124</v>
      </c>
      <c r="K150" s="127">
        <v>92273</v>
      </c>
      <c r="L150" s="5">
        <f t="shared" si="51"/>
        <v>211.16</v>
      </c>
      <c r="M150" s="6">
        <f t="shared" si="52"/>
        <v>1029</v>
      </c>
      <c r="N150" s="6">
        <f t="shared" si="53"/>
        <v>104</v>
      </c>
      <c r="O150" s="6">
        <f t="shared" si="54"/>
        <v>66</v>
      </c>
      <c r="P150" s="27">
        <f t="shared" si="55"/>
        <v>3703</v>
      </c>
      <c r="Q150" s="27">
        <f t="shared" si="56"/>
        <v>133</v>
      </c>
      <c r="R150" s="27">
        <f t="shared" si="57"/>
        <v>72</v>
      </c>
    </row>
    <row r="151" spans="1:18">
      <c r="A151" s="20">
        <f t="shared" si="61"/>
        <v>101113</v>
      </c>
      <c r="B151" s="5" t="str">
        <f t="shared" si="62"/>
        <v>宫本一</v>
      </c>
      <c r="C151" s="5">
        <f t="shared" si="63"/>
        <v>2</v>
      </c>
      <c r="D151" s="6">
        <v>5</v>
      </c>
      <c r="E151" s="5">
        <v>2</v>
      </c>
      <c r="F151" s="127">
        <v>92279</v>
      </c>
      <c r="G151" s="132">
        <v>92284</v>
      </c>
      <c r="H151" s="127">
        <v>92235</v>
      </c>
      <c r="I151" s="127">
        <v>92142</v>
      </c>
      <c r="J151" s="127">
        <v>92273</v>
      </c>
      <c r="K151" s="132">
        <v>92288</v>
      </c>
      <c r="L151" s="5">
        <f t="shared" si="51"/>
        <v>241.16</v>
      </c>
      <c r="M151" s="6">
        <f t="shared" si="52"/>
        <v>1029</v>
      </c>
      <c r="N151" s="6">
        <f t="shared" si="53"/>
        <v>156</v>
      </c>
      <c r="O151" s="6">
        <f t="shared" si="54"/>
        <v>44</v>
      </c>
      <c r="P151" s="27">
        <f t="shared" si="55"/>
        <v>4732</v>
      </c>
      <c r="Q151" s="27">
        <f t="shared" si="56"/>
        <v>237</v>
      </c>
      <c r="R151" s="27">
        <f t="shared" si="57"/>
        <v>138</v>
      </c>
    </row>
    <row r="152" spans="1:18">
      <c r="A152" s="20">
        <f t="shared" si="61"/>
        <v>101113</v>
      </c>
      <c r="B152" s="5" t="str">
        <f t="shared" si="62"/>
        <v>宫本一</v>
      </c>
      <c r="C152" s="5">
        <f t="shared" si="63"/>
        <v>2</v>
      </c>
      <c r="D152" s="6">
        <v>6</v>
      </c>
      <c r="E152" s="5">
        <v>3</v>
      </c>
      <c r="F152" s="131">
        <v>92223</v>
      </c>
      <c r="G152" s="131">
        <v>92227</v>
      </c>
      <c r="H152" s="131">
        <v>92236</v>
      </c>
      <c r="I152" s="131">
        <v>92013</v>
      </c>
      <c r="J152" s="131">
        <v>92125</v>
      </c>
      <c r="K152" s="131">
        <v>92254</v>
      </c>
      <c r="L152" s="5">
        <f t="shared" si="51"/>
        <v>296.60000000000002</v>
      </c>
      <c r="M152" s="6">
        <f t="shared" si="52"/>
        <v>1440</v>
      </c>
      <c r="N152" s="6">
        <f t="shared" si="53"/>
        <v>146</v>
      </c>
      <c r="O152" s="6">
        <f t="shared" si="54"/>
        <v>93</v>
      </c>
      <c r="P152" s="27">
        <f t="shared" si="55"/>
        <v>5761</v>
      </c>
      <c r="Q152" s="27">
        <f t="shared" si="56"/>
        <v>393</v>
      </c>
      <c r="R152" s="27">
        <f t="shared" si="57"/>
        <v>182</v>
      </c>
    </row>
    <row r="153" spans="1:18">
      <c r="A153" s="20">
        <f t="shared" si="61"/>
        <v>101113</v>
      </c>
      <c r="B153" s="5" t="str">
        <f t="shared" si="62"/>
        <v>宫本一</v>
      </c>
      <c r="C153" s="5">
        <f t="shared" si="63"/>
        <v>2</v>
      </c>
      <c r="D153" s="6">
        <v>7</v>
      </c>
      <c r="E153" s="5">
        <v>3</v>
      </c>
      <c r="F153" s="131">
        <v>92280</v>
      </c>
      <c r="G153" s="131">
        <v>92223</v>
      </c>
      <c r="H153" s="131">
        <v>92227</v>
      </c>
      <c r="I153" s="129">
        <v>92285</v>
      </c>
      <c r="J153" s="129">
        <v>92289</v>
      </c>
      <c r="K153" s="131">
        <v>92253</v>
      </c>
      <c r="L153" s="5">
        <f t="shared" si="51"/>
        <v>307.8</v>
      </c>
      <c r="M153" s="6">
        <f t="shared" si="52"/>
        <v>4320</v>
      </c>
      <c r="N153" s="6">
        <f t="shared" si="53"/>
        <v>73</v>
      </c>
      <c r="O153" s="6">
        <f t="shared" si="54"/>
        <v>62</v>
      </c>
      <c r="P153" s="27">
        <f t="shared" si="55"/>
        <v>7201</v>
      </c>
      <c r="Q153" s="27">
        <f t="shared" si="56"/>
        <v>539</v>
      </c>
      <c r="R153" s="27">
        <f t="shared" si="57"/>
        <v>275</v>
      </c>
    </row>
    <row r="154" spans="1:18">
      <c r="A154" s="20">
        <f t="shared" si="61"/>
        <v>101113</v>
      </c>
      <c r="B154" s="5" t="str">
        <f t="shared" si="62"/>
        <v>宫本一</v>
      </c>
      <c r="C154" s="5">
        <f t="shared" si="63"/>
        <v>2</v>
      </c>
      <c r="D154" s="6">
        <v>8</v>
      </c>
      <c r="E154" s="5">
        <v>4</v>
      </c>
      <c r="F154" s="130">
        <v>92290</v>
      </c>
      <c r="G154" s="128">
        <v>92292</v>
      </c>
      <c r="H154" s="128">
        <v>92240</v>
      </c>
      <c r="I154" s="128">
        <v>92256</v>
      </c>
      <c r="J154" s="128">
        <v>92014</v>
      </c>
      <c r="K154" s="128">
        <v>92281</v>
      </c>
      <c r="L154" s="5">
        <f t="shared" si="51"/>
        <v>450.23999999999995</v>
      </c>
      <c r="M154" s="6">
        <f t="shared" si="52"/>
        <v>5556</v>
      </c>
      <c r="N154" s="6">
        <f t="shared" si="53"/>
        <v>188</v>
      </c>
      <c r="O154" s="6">
        <f t="shared" si="54"/>
        <v>40</v>
      </c>
      <c r="P154" s="27">
        <f t="shared" si="55"/>
        <v>11521</v>
      </c>
      <c r="Q154" s="27">
        <f t="shared" si="56"/>
        <v>612</v>
      </c>
      <c r="R154" s="27">
        <f t="shared" si="57"/>
        <v>337</v>
      </c>
    </row>
    <row r="155" spans="1:18">
      <c r="A155" s="20">
        <f t="shared" si="61"/>
        <v>101113</v>
      </c>
      <c r="B155" s="5" t="str">
        <f t="shared" si="62"/>
        <v>宫本一</v>
      </c>
      <c r="C155" s="5">
        <f t="shared" si="63"/>
        <v>2</v>
      </c>
      <c r="D155" s="6">
        <v>9</v>
      </c>
      <c r="E155" s="5">
        <v>4</v>
      </c>
      <c r="F155" s="128">
        <v>92281</v>
      </c>
      <c r="G155" s="128">
        <v>92256</v>
      </c>
      <c r="H155" s="128">
        <v>92275</v>
      </c>
      <c r="I155" s="128">
        <v>92292</v>
      </c>
      <c r="J155" s="128">
        <v>92240</v>
      </c>
      <c r="K155" s="130">
        <v>92286</v>
      </c>
      <c r="L155" s="5">
        <f t="shared" si="51"/>
        <v>416.15999999999997</v>
      </c>
      <c r="M155" s="6">
        <f t="shared" si="52"/>
        <v>3704</v>
      </c>
      <c r="N155" s="6">
        <f t="shared" si="53"/>
        <v>188</v>
      </c>
      <c r="O155" s="6">
        <f t="shared" si="54"/>
        <v>80</v>
      </c>
      <c r="P155" s="27">
        <f t="shared" si="55"/>
        <v>17077</v>
      </c>
      <c r="Q155" s="27">
        <f t="shared" si="56"/>
        <v>800</v>
      </c>
      <c r="R155" s="27">
        <f t="shared" si="57"/>
        <v>377</v>
      </c>
    </row>
    <row r="156" spans="1:18">
      <c r="A156" s="20">
        <f t="shared" si="61"/>
        <v>101113</v>
      </c>
      <c r="B156" s="5" t="str">
        <f t="shared" si="62"/>
        <v>宫本一</v>
      </c>
      <c r="C156" s="5">
        <f t="shared" si="63"/>
        <v>2</v>
      </c>
      <c r="D156" s="6">
        <v>10</v>
      </c>
      <c r="E156" s="5">
        <v>4</v>
      </c>
      <c r="F156" s="128">
        <v>92297</v>
      </c>
      <c r="G156" s="128">
        <v>92293</v>
      </c>
      <c r="H156" s="130">
        <v>92291</v>
      </c>
      <c r="I156" s="128">
        <v>92295</v>
      </c>
      <c r="J156" s="128">
        <v>92026</v>
      </c>
      <c r="K156" s="128">
        <v>92294</v>
      </c>
      <c r="L156" s="5">
        <f t="shared" si="51"/>
        <v>500.96</v>
      </c>
      <c r="M156" s="6">
        <f t="shared" si="52"/>
        <v>6174</v>
      </c>
      <c r="N156" s="6">
        <f t="shared" si="53"/>
        <v>210</v>
      </c>
      <c r="O156" s="6">
        <f t="shared" si="54"/>
        <v>44</v>
      </c>
      <c r="P156" s="27">
        <f t="shared" si="55"/>
        <v>20781</v>
      </c>
      <c r="Q156" s="27">
        <f t="shared" si="56"/>
        <v>988</v>
      </c>
      <c r="R156" s="27">
        <f t="shared" si="57"/>
        <v>457</v>
      </c>
    </row>
    <row r="157" spans="1:18" ht="14.25" thickBot="1">
      <c r="A157" s="21">
        <f t="shared" si="61"/>
        <v>101113</v>
      </c>
      <c r="B157" s="22" t="str">
        <f t="shared" si="62"/>
        <v>宫本一</v>
      </c>
      <c r="C157" s="22">
        <f t="shared" si="63"/>
        <v>2</v>
      </c>
      <c r="D157" s="6">
        <v>11</v>
      </c>
      <c r="E157" s="22">
        <v>4</v>
      </c>
      <c r="F157" s="128">
        <v>92293</v>
      </c>
      <c r="G157" s="130">
        <v>92299</v>
      </c>
      <c r="H157" s="128">
        <v>92255</v>
      </c>
      <c r="I157" s="128">
        <v>92294</v>
      </c>
      <c r="J157" s="130">
        <v>92291</v>
      </c>
      <c r="K157" s="128">
        <v>92026</v>
      </c>
      <c r="L157" s="22">
        <f t="shared" si="51"/>
        <v>424.32</v>
      </c>
      <c r="M157" s="6">
        <f t="shared" si="52"/>
        <v>2058</v>
      </c>
      <c r="N157" s="6">
        <f t="shared" si="53"/>
        <v>210</v>
      </c>
      <c r="O157" s="6">
        <f t="shared" si="54"/>
        <v>132</v>
      </c>
      <c r="P157" s="27">
        <f t="shared" si="55"/>
        <v>26955</v>
      </c>
      <c r="Q157" s="27">
        <f t="shared" si="56"/>
        <v>1198</v>
      </c>
      <c r="R157" s="27">
        <f t="shared" si="57"/>
        <v>501</v>
      </c>
    </row>
    <row r="158" spans="1:18">
      <c r="A158" s="18">
        <f>D_马仔表!A15</f>
        <v>101114</v>
      </c>
      <c r="B158" s="19" t="str">
        <f>D_马仔表!B15</f>
        <v>陈浩南</v>
      </c>
      <c r="C158" s="19">
        <f>D_马仔表!D15</f>
        <v>3</v>
      </c>
      <c r="D158" s="6">
        <v>0</v>
      </c>
      <c r="E158" s="19">
        <v>0</v>
      </c>
      <c r="F158" s="123">
        <v>92011</v>
      </c>
      <c r="G158" s="123">
        <v>92228</v>
      </c>
      <c r="H158" s="123">
        <v>92232</v>
      </c>
      <c r="I158" s="124">
        <v>92263</v>
      </c>
      <c r="J158" s="123">
        <v>92243</v>
      </c>
      <c r="K158" s="123">
        <v>92244</v>
      </c>
      <c r="L158" s="19">
        <f t="shared" si="51"/>
        <v>44.480000000000004</v>
      </c>
      <c r="M158" s="6">
        <f t="shared" si="52"/>
        <v>412</v>
      </c>
      <c r="N158" s="6">
        <f t="shared" si="53"/>
        <v>20</v>
      </c>
      <c r="O158" s="6">
        <f t="shared" si="54"/>
        <v>8</v>
      </c>
      <c r="P158" s="27">
        <f t="shared" si="55"/>
        <v>0</v>
      </c>
      <c r="Q158" s="27">
        <f t="shared" si="56"/>
        <v>0</v>
      </c>
      <c r="R158" s="27">
        <f t="shared" si="57"/>
        <v>0</v>
      </c>
    </row>
    <row r="159" spans="1:18">
      <c r="A159" s="20">
        <f>A158</f>
        <v>101114</v>
      </c>
      <c r="B159" s="5" t="str">
        <f>B158</f>
        <v>陈浩南</v>
      </c>
      <c r="C159" s="5">
        <f>C158</f>
        <v>3</v>
      </c>
      <c r="D159" s="6">
        <v>1</v>
      </c>
      <c r="E159" s="5">
        <v>0</v>
      </c>
      <c r="F159" s="123">
        <v>92011</v>
      </c>
      <c r="G159" s="124">
        <v>92277</v>
      </c>
      <c r="H159" s="123">
        <v>92228</v>
      </c>
      <c r="I159" s="123">
        <v>92232</v>
      </c>
      <c r="J159" s="123">
        <v>92244</v>
      </c>
      <c r="K159" s="123">
        <v>92121</v>
      </c>
      <c r="L159" s="5">
        <f t="shared" si="51"/>
        <v>44.480000000000004</v>
      </c>
      <c r="M159" s="6">
        <f t="shared" si="52"/>
        <v>412</v>
      </c>
      <c r="N159" s="6">
        <f t="shared" si="53"/>
        <v>20</v>
      </c>
      <c r="O159" s="6">
        <f t="shared" si="54"/>
        <v>8</v>
      </c>
      <c r="P159" s="27">
        <f t="shared" si="55"/>
        <v>412</v>
      </c>
      <c r="Q159" s="27">
        <f t="shared" si="56"/>
        <v>20</v>
      </c>
      <c r="R159" s="27">
        <f t="shared" si="57"/>
        <v>8</v>
      </c>
    </row>
    <row r="160" spans="1:18">
      <c r="A160" s="20">
        <f t="shared" ref="A160:A169" si="64">A159</f>
        <v>101114</v>
      </c>
      <c r="B160" s="5" t="str">
        <f t="shared" ref="B160:B169" si="65">B159</f>
        <v>陈浩南</v>
      </c>
      <c r="C160" s="5">
        <f t="shared" ref="C160:C169" si="66">C159</f>
        <v>3</v>
      </c>
      <c r="D160" s="6">
        <v>2</v>
      </c>
      <c r="E160" s="5">
        <v>1</v>
      </c>
      <c r="F160" s="126">
        <v>92287</v>
      </c>
      <c r="G160" s="125">
        <v>92245</v>
      </c>
      <c r="H160" s="126">
        <v>92283</v>
      </c>
      <c r="I160" s="125">
        <v>92271</v>
      </c>
      <c r="J160" s="125">
        <v>92233</v>
      </c>
      <c r="K160" s="125">
        <v>92264</v>
      </c>
      <c r="L160" s="5">
        <f t="shared" si="51"/>
        <v>124.72</v>
      </c>
      <c r="M160" s="6">
        <f t="shared" si="52"/>
        <v>2468</v>
      </c>
      <c r="N160" s="6">
        <f t="shared" si="53"/>
        <v>0</v>
      </c>
      <c r="O160" s="6">
        <f t="shared" si="54"/>
        <v>26</v>
      </c>
      <c r="P160" s="27">
        <f t="shared" si="55"/>
        <v>824</v>
      </c>
      <c r="Q160" s="27">
        <f t="shared" si="56"/>
        <v>40</v>
      </c>
      <c r="R160" s="27">
        <f t="shared" si="57"/>
        <v>16</v>
      </c>
    </row>
    <row r="161" spans="1:18">
      <c r="A161" s="20">
        <f t="shared" si="64"/>
        <v>101114</v>
      </c>
      <c r="B161" s="5" t="str">
        <f t="shared" si="65"/>
        <v>陈浩南</v>
      </c>
      <c r="C161" s="5">
        <f t="shared" si="66"/>
        <v>3</v>
      </c>
      <c r="D161" s="6">
        <v>3</v>
      </c>
      <c r="E161" s="5">
        <v>1</v>
      </c>
      <c r="F161" s="125">
        <v>92251</v>
      </c>
      <c r="G161" s="125">
        <v>92141</v>
      </c>
      <c r="H161" s="126">
        <v>92283</v>
      </c>
      <c r="I161" s="125">
        <v>92122</v>
      </c>
      <c r="J161" s="126">
        <v>92287</v>
      </c>
      <c r="K161" s="125">
        <v>92233</v>
      </c>
      <c r="L161" s="5">
        <f t="shared" si="51"/>
        <v>137.36000000000001</v>
      </c>
      <c r="M161" s="6">
        <f t="shared" si="52"/>
        <v>1234</v>
      </c>
      <c r="N161" s="6">
        <f t="shared" si="53"/>
        <v>62</v>
      </c>
      <c r="O161" s="6">
        <f t="shared" si="54"/>
        <v>26</v>
      </c>
      <c r="P161" s="27">
        <f t="shared" si="55"/>
        <v>3292</v>
      </c>
      <c r="Q161" s="27">
        <f t="shared" si="56"/>
        <v>40</v>
      </c>
      <c r="R161" s="27">
        <f t="shared" si="57"/>
        <v>42</v>
      </c>
    </row>
    <row r="162" spans="1:18">
      <c r="A162" s="20">
        <f t="shared" si="64"/>
        <v>101114</v>
      </c>
      <c r="B162" s="5" t="str">
        <f t="shared" si="65"/>
        <v>陈浩南</v>
      </c>
      <c r="C162" s="5">
        <f t="shared" si="66"/>
        <v>3</v>
      </c>
      <c r="D162" s="6">
        <v>4</v>
      </c>
      <c r="E162" s="5">
        <v>2</v>
      </c>
      <c r="F162" s="132">
        <v>92288</v>
      </c>
      <c r="G162" s="127">
        <v>92252</v>
      </c>
      <c r="H162" s="127">
        <v>92273</v>
      </c>
      <c r="I162" s="127">
        <v>92272</v>
      </c>
      <c r="J162" s="127">
        <v>92279</v>
      </c>
      <c r="K162" s="132">
        <v>92284</v>
      </c>
      <c r="L162" s="5">
        <f t="shared" ref="L162:L193" si="67">VLOOKUP(F162,$W$1:$AD$64,8,FALSE)+VLOOKUP(G162,$W$1:$AD$64,8,FALSE)+VLOOKUP(H162,$W$1:$AD$64,8,FALSE)+VLOOKUP(I162,$W$1:$AD$64,8,FALSE)+VLOOKUP(J162,$W$1:$AD$64,8,FALSE)+VLOOKUP(K162,$W$1:$AD$64,8,FALSE)</f>
        <v>260.32</v>
      </c>
      <c r="M162" s="6">
        <f t="shared" si="52"/>
        <v>2058</v>
      </c>
      <c r="N162" s="6">
        <f t="shared" si="53"/>
        <v>156</v>
      </c>
      <c r="O162" s="6">
        <f t="shared" si="54"/>
        <v>22</v>
      </c>
      <c r="P162" s="27">
        <f t="shared" si="55"/>
        <v>4526</v>
      </c>
      <c r="Q162" s="27">
        <f t="shared" si="56"/>
        <v>102</v>
      </c>
      <c r="R162" s="27">
        <f t="shared" si="57"/>
        <v>68</v>
      </c>
    </row>
    <row r="163" spans="1:18">
      <c r="A163" s="20">
        <f t="shared" si="64"/>
        <v>101114</v>
      </c>
      <c r="B163" s="5" t="str">
        <f t="shared" si="65"/>
        <v>陈浩南</v>
      </c>
      <c r="C163" s="5">
        <f t="shared" si="66"/>
        <v>3</v>
      </c>
      <c r="D163" s="6">
        <v>5</v>
      </c>
      <c r="E163" s="5">
        <v>2</v>
      </c>
      <c r="F163" s="127">
        <v>92272</v>
      </c>
      <c r="G163" s="127">
        <v>92124</v>
      </c>
      <c r="H163" s="132">
        <v>92288</v>
      </c>
      <c r="I163" s="127">
        <v>92279</v>
      </c>
      <c r="J163" s="132">
        <v>92284</v>
      </c>
      <c r="K163" s="127">
        <v>92142</v>
      </c>
      <c r="L163" s="5">
        <f t="shared" si="67"/>
        <v>230.32</v>
      </c>
      <c r="M163" s="6">
        <f t="shared" si="52"/>
        <v>2058</v>
      </c>
      <c r="N163" s="6">
        <f t="shared" si="53"/>
        <v>104</v>
      </c>
      <c r="O163" s="6">
        <f t="shared" si="54"/>
        <v>44</v>
      </c>
      <c r="P163" s="27">
        <f t="shared" si="55"/>
        <v>6584</v>
      </c>
      <c r="Q163" s="27">
        <f t="shared" si="56"/>
        <v>258</v>
      </c>
      <c r="R163" s="27">
        <f t="shared" si="57"/>
        <v>90</v>
      </c>
    </row>
    <row r="164" spans="1:18">
      <c r="A164" s="20">
        <f t="shared" si="64"/>
        <v>101114</v>
      </c>
      <c r="B164" s="5" t="str">
        <f t="shared" si="65"/>
        <v>陈浩南</v>
      </c>
      <c r="C164" s="5">
        <f t="shared" si="66"/>
        <v>3</v>
      </c>
      <c r="D164" s="6">
        <v>6</v>
      </c>
      <c r="E164" s="5">
        <v>3</v>
      </c>
      <c r="F164" s="131">
        <v>92236</v>
      </c>
      <c r="G164" s="131">
        <v>92013</v>
      </c>
      <c r="H164" s="129">
        <v>92285</v>
      </c>
      <c r="I164" s="131">
        <v>92253</v>
      </c>
      <c r="J164" s="131">
        <v>92274</v>
      </c>
      <c r="K164" s="129">
        <v>92289</v>
      </c>
      <c r="L164" s="5">
        <f t="shared" si="67"/>
        <v>296.60000000000002</v>
      </c>
      <c r="M164" s="6">
        <f t="shared" si="52"/>
        <v>1440</v>
      </c>
      <c r="N164" s="6">
        <f t="shared" si="53"/>
        <v>146</v>
      </c>
      <c r="O164" s="6">
        <f t="shared" si="54"/>
        <v>93</v>
      </c>
      <c r="P164" s="27">
        <f t="shared" si="55"/>
        <v>8642</v>
      </c>
      <c r="Q164" s="27">
        <f t="shared" si="56"/>
        <v>362</v>
      </c>
      <c r="R164" s="27">
        <f t="shared" si="57"/>
        <v>134</v>
      </c>
    </row>
    <row r="165" spans="1:18">
      <c r="A165" s="20">
        <f t="shared" si="64"/>
        <v>101114</v>
      </c>
      <c r="B165" s="5" t="str">
        <f t="shared" si="65"/>
        <v>陈浩南</v>
      </c>
      <c r="C165" s="5">
        <f t="shared" si="66"/>
        <v>3</v>
      </c>
      <c r="D165" s="6">
        <v>7</v>
      </c>
      <c r="E165" s="5">
        <v>3</v>
      </c>
      <c r="F165" s="129">
        <v>92285</v>
      </c>
      <c r="G165" s="131">
        <v>92274</v>
      </c>
      <c r="H165" s="131">
        <v>92013</v>
      </c>
      <c r="I165" s="131">
        <v>92253</v>
      </c>
      <c r="J165" s="129">
        <v>92289</v>
      </c>
      <c r="K165" s="131">
        <v>92236</v>
      </c>
      <c r="L165" s="5">
        <f t="shared" si="67"/>
        <v>296.60000000000002</v>
      </c>
      <c r="M165" s="6">
        <f t="shared" si="52"/>
        <v>1440</v>
      </c>
      <c r="N165" s="6">
        <f t="shared" si="53"/>
        <v>146</v>
      </c>
      <c r="O165" s="6">
        <f t="shared" si="54"/>
        <v>93</v>
      </c>
      <c r="P165" s="27">
        <f t="shared" si="55"/>
        <v>10082</v>
      </c>
      <c r="Q165" s="27">
        <f t="shared" si="56"/>
        <v>508</v>
      </c>
      <c r="R165" s="27">
        <f t="shared" si="57"/>
        <v>227</v>
      </c>
    </row>
    <row r="166" spans="1:18">
      <c r="A166" s="20">
        <f t="shared" si="64"/>
        <v>101114</v>
      </c>
      <c r="B166" s="5" t="str">
        <f t="shared" si="65"/>
        <v>陈浩南</v>
      </c>
      <c r="C166" s="5">
        <f t="shared" si="66"/>
        <v>3</v>
      </c>
      <c r="D166" s="6">
        <v>8</v>
      </c>
      <c r="E166" s="5">
        <v>4</v>
      </c>
      <c r="F166" s="130">
        <v>92286</v>
      </c>
      <c r="G166" s="130">
        <v>92290</v>
      </c>
      <c r="H166" s="128">
        <v>92256</v>
      </c>
      <c r="I166" s="128">
        <v>92261</v>
      </c>
      <c r="J166" s="128">
        <v>92275</v>
      </c>
      <c r="K166" s="128">
        <v>92281</v>
      </c>
      <c r="L166" s="5">
        <f t="shared" si="67"/>
        <v>416.15999999999997</v>
      </c>
      <c r="M166" s="6">
        <f t="shared" si="52"/>
        <v>3704</v>
      </c>
      <c r="N166" s="6">
        <f t="shared" si="53"/>
        <v>188</v>
      </c>
      <c r="O166" s="6">
        <f t="shared" si="54"/>
        <v>80</v>
      </c>
      <c r="P166" s="27">
        <f t="shared" si="55"/>
        <v>11522</v>
      </c>
      <c r="Q166" s="27">
        <f t="shared" si="56"/>
        <v>654</v>
      </c>
      <c r="R166" s="27">
        <f t="shared" si="57"/>
        <v>320</v>
      </c>
    </row>
    <row r="167" spans="1:18">
      <c r="A167" s="20">
        <f t="shared" si="64"/>
        <v>101114</v>
      </c>
      <c r="B167" s="5" t="str">
        <f t="shared" si="65"/>
        <v>陈浩南</v>
      </c>
      <c r="C167" s="5">
        <f t="shared" si="66"/>
        <v>3</v>
      </c>
      <c r="D167" s="6">
        <v>9</v>
      </c>
      <c r="E167" s="5">
        <v>4</v>
      </c>
      <c r="F167" s="128">
        <v>92281</v>
      </c>
      <c r="G167" s="128">
        <v>92275</v>
      </c>
      <c r="H167" s="128">
        <v>92256</v>
      </c>
      <c r="I167" s="130">
        <v>92286</v>
      </c>
      <c r="J167" s="128">
        <v>92261</v>
      </c>
      <c r="K167" s="130">
        <v>92290</v>
      </c>
      <c r="L167" s="5">
        <f t="shared" si="67"/>
        <v>416.15999999999997</v>
      </c>
      <c r="M167" s="6">
        <f t="shared" si="52"/>
        <v>3704</v>
      </c>
      <c r="N167" s="6">
        <f t="shared" si="53"/>
        <v>188</v>
      </c>
      <c r="O167" s="6">
        <f t="shared" si="54"/>
        <v>80</v>
      </c>
      <c r="P167" s="27">
        <f t="shared" si="55"/>
        <v>15226</v>
      </c>
      <c r="Q167" s="27">
        <f t="shared" si="56"/>
        <v>842</v>
      </c>
      <c r="R167" s="27">
        <f t="shared" si="57"/>
        <v>400</v>
      </c>
    </row>
    <row r="168" spans="1:18">
      <c r="A168" s="20">
        <f t="shared" si="64"/>
        <v>101114</v>
      </c>
      <c r="B168" s="5" t="str">
        <f t="shared" si="65"/>
        <v>陈浩南</v>
      </c>
      <c r="C168" s="5">
        <f t="shared" si="66"/>
        <v>3</v>
      </c>
      <c r="D168" s="6">
        <v>10</v>
      </c>
      <c r="E168" s="5">
        <v>4</v>
      </c>
      <c r="F168" s="128">
        <v>92294</v>
      </c>
      <c r="G168" s="128">
        <v>92295</v>
      </c>
      <c r="H168" s="130">
        <v>92299</v>
      </c>
      <c r="I168" s="128">
        <v>92298</v>
      </c>
      <c r="J168" s="130">
        <v>92291</v>
      </c>
      <c r="K168" s="128">
        <v>92282</v>
      </c>
      <c r="L168" s="5">
        <f t="shared" si="67"/>
        <v>401.64</v>
      </c>
      <c r="M168" s="6">
        <f t="shared" si="52"/>
        <v>4116</v>
      </c>
      <c r="N168" s="6">
        <f t="shared" si="53"/>
        <v>105</v>
      </c>
      <c r="O168" s="6">
        <f t="shared" si="54"/>
        <v>132</v>
      </c>
      <c r="P168" s="27">
        <f t="shared" si="55"/>
        <v>18930</v>
      </c>
      <c r="Q168" s="27">
        <f t="shared" si="56"/>
        <v>1030</v>
      </c>
      <c r="R168" s="27">
        <f t="shared" si="57"/>
        <v>480</v>
      </c>
    </row>
    <row r="169" spans="1:18" ht="14.25" thickBot="1">
      <c r="A169" s="21">
        <f t="shared" si="64"/>
        <v>101114</v>
      </c>
      <c r="B169" s="22" t="str">
        <f t="shared" si="65"/>
        <v>陈浩南</v>
      </c>
      <c r="C169" s="22">
        <f t="shared" si="66"/>
        <v>3</v>
      </c>
      <c r="D169" s="6">
        <v>11</v>
      </c>
      <c r="E169" s="22">
        <v>4</v>
      </c>
      <c r="F169" s="130">
        <v>92299</v>
      </c>
      <c r="G169" s="128">
        <v>92276</v>
      </c>
      <c r="H169" s="128">
        <v>92294</v>
      </c>
      <c r="I169" s="128">
        <v>92262</v>
      </c>
      <c r="J169" s="128">
        <v>92297</v>
      </c>
      <c r="K169" s="130">
        <v>92291</v>
      </c>
      <c r="L169" s="22">
        <f t="shared" si="67"/>
        <v>439.96</v>
      </c>
      <c r="M169" s="6">
        <f t="shared" si="52"/>
        <v>6174</v>
      </c>
      <c r="N169" s="6">
        <f t="shared" si="53"/>
        <v>105</v>
      </c>
      <c r="O169" s="6">
        <f t="shared" si="54"/>
        <v>88</v>
      </c>
      <c r="P169" s="27">
        <f t="shared" si="55"/>
        <v>23046</v>
      </c>
      <c r="Q169" s="27">
        <f t="shared" si="56"/>
        <v>1135</v>
      </c>
      <c r="R169" s="27">
        <f t="shared" si="57"/>
        <v>612</v>
      </c>
    </row>
    <row r="170" spans="1:18">
      <c r="A170" s="18">
        <f>D_马仔表!A16</f>
        <v>101115</v>
      </c>
      <c r="B170" s="19" t="str">
        <f>D_马仔表!B16</f>
        <v>山鸡</v>
      </c>
      <c r="C170" s="19">
        <f>D_马仔表!D16</f>
        <v>3</v>
      </c>
      <c r="D170" s="6">
        <v>0</v>
      </c>
      <c r="E170" s="19">
        <v>0</v>
      </c>
      <c r="F170" s="123">
        <v>92131</v>
      </c>
      <c r="G170" s="124">
        <v>92263</v>
      </c>
      <c r="H170" s="123">
        <v>92121</v>
      </c>
      <c r="I170" s="123">
        <v>92232</v>
      </c>
      <c r="J170" s="124">
        <v>92277</v>
      </c>
      <c r="K170" s="123">
        <v>92228</v>
      </c>
      <c r="L170" s="19">
        <f t="shared" si="67"/>
        <v>44.480000000000004</v>
      </c>
      <c r="M170" s="6">
        <f t="shared" si="52"/>
        <v>412</v>
      </c>
      <c r="N170" s="6">
        <f t="shared" si="53"/>
        <v>20</v>
      </c>
      <c r="O170" s="6">
        <f t="shared" si="54"/>
        <v>8</v>
      </c>
      <c r="P170" s="27">
        <f t="shared" si="55"/>
        <v>0</v>
      </c>
      <c r="Q170" s="27">
        <f t="shared" si="56"/>
        <v>0</v>
      </c>
      <c r="R170" s="27">
        <f t="shared" si="57"/>
        <v>0</v>
      </c>
    </row>
    <row r="171" spans="1:18">
      <c r="A171" s="20">
        <f>A170</f>
        <v>101115</v>
      </c>
      <c r="B171" s="5" t="str">
        <f>B170</f>
        <v>山鸡</v>
      </c>
      <c r="C171" s="5">
        <f>C170</f>
        <v>3</v>
      </c>
      <c r="D171" s="6">
        <v>1</v>
      </c>
      <c r="E171" s="5">
        <v>0</v>
      </c>
      <c r="F171" s="123">
        <v>92011</v>
      </c>
      <c r="G171" s="123">
        <v>92131</v>
      </c>
      <c r="H171" s="124">
        <v>92263</v>
      </c>
      <c r="I171" s="123">
        <v>92243</v>
      </c>
      <c r="J171" s="123">
        <v>92228</v>
      </c>
      <c r="K171" s="123">
        <v>92131</v>
      </c>
      <c r="L171" s="5">
        <f t="shared" si="67"/>
        <v>44.480000000000004</v>
      </c>
      <c r="M171" s="6">
        <f t="shared" si="52"/>
        <v>412</v>
      </c>
      <c r="N171" s="6">
        <f t="shared" si="53"/>
        <v>20</v>
      </c>
      <c r="O171" s="6">
        <f t="shared" si="54"/>
        <v>8</v>
      </c>
      <c r="P171" s="27">
        <f t="shared" si="55"/>
        <v>412</v>
      </c>
      <c r="Q171" s="27">
        <f t="shared" si="56"/>
        <v>20</v>
      </c>
      <c r="R171" s="27">
        <f t="shared" si="57"/>
        <v>8</v>
      </c>
    </row>
    <row r="172" spans="1:18">
      <c r="A172" s="20">
        <f t="shared" ref="A172:A181" si="68">A171</f>
        <v>101115</v>
      </c>
      <c r="B172" s="5" t="str">
        <f t="shared" ref="B172:B181" si="69">B171</f>
        <v>山鸡</v>
      </c>
      <c r="C172" s="5">
        <f t="shared" ref="C172:C181" si="70">C171</f>
        <v>3</v>
      </c>
      <c r="D172" s="6">
        <v>2</v>
      </c>
      <c r="E172" s="5">
        <v>1</v>
      </c>
      <c r="F172" s="126">
        <v>92283</v>
      </c>
      <c r="G172" s="125">
        <v>92251</v>
      </c>
      <c r="H172" s="126">
        <v>92287</v>
      </c>
      <c r="I172" s="125">
        <v>92141</v>
      </c>
      <c r="J172" s="125">
        <v>92233</v>
      </c>
      <c r="K172" s="125">
        <v>92245</v>
      </c>
      <c r="L172" s="5">
        <f t="shared" si="67"/>
        <v>131.04000000000002</v>
      </c>
      <c r="M172" s="6">
        <f t="shared" si="52"/>
        <v>1851</v>
      </c>
      <c r="N172" s="6">
        <f t="shared" si="53"/>
        <v>31</v>
      </c>
      <c r="O172" s="6">
        <f t="shared" si="54"/>
        <v>26</v>
      </c>
      <c r="P172" s="27">
        <f t="shared" si="55"/>
        <v>824</v>
      </c>
      <c r="Q172" s="27">
        <f t="shared" si="56"/>
        <v>40</v>
      </c>
      <c r="R172" s="27">
        <f t="shared" si="57"/>
        <v>16</v>
      </c>
    </row>
    <row r="173" spans="1:18">
      <c r="A173" s="20">
        <f t="shared" si="68"/>
        <v>101115</v>
      </c>
      <c r="B173" s="5" t="str">
        <f t="shared" si="69"/>
        <v>山鸡</v>
      </c>
      <c r="C173" s="5">
        <f t="shared" si="70"/>
        <v>3</v>
      </c>
      <c r="D173" s="6">
        <v>3</v>
      </c>
      <c r="E173" s="5">
        <v>1</v>
      </c>
      <c r="F173" s="125">
        <v>92141</v>
      </c>
      <c r="G173" s="125">
        <v>92271</v>
      </c>
      <c r="H173" s="126">
        <v>92287</v>
      </c>
      <c r="I173" s="125">
        <v>92233</v>
      </c>
      <c r="J173" s="126">
        <v>92283</v>
      </c>
      <c r="K173" s="125">
        <v>92122</v>
      </c>
      <c r="L173" s="5">
        <f t="shared" si="67"/>
        <v>131.04</v>
      </c>
      <c r="M173" s="6">
        <f t="shared" si="52"/>
        <v>1851</v>
      </c>
      <c r="N173" s="6">
        <f t="shared" si="53"/>
        <v>31</v>
      </c>
      <c r="O173" s="6">
        <f t="shared" si="54"/>
        <v>26</v>
      </c>
      <c r="P173" s="27">
        <f t="shared" si="55"/>
        <v>2675</v>
      </c>
      <c r="Q173" s="27">
        <f t="shared" si="56"/>
        <v>71</v>
      </c>
      <c r="R173" s="27">
        <f t="shared" si="57"/>
        <v>42</v>
      </c>
    </row>
    <row r="174" spans="1:18">
      <c r="A174" s="20">
        <f t="shared" si="68"/>
        <v>101115</v>
      </c>
      <c r="B174" s="5" t="str">
        <f t="shared" si="69"/>
        <v>山鸡</v>
      </c>
      <c r="C174" s="5">
        <f t="shared" si="70"/>
        <v>3</v>
      </c>
      <c r="D174" s="6">
        <v>4</v>
      </c>
      <c r="E174" s="5">
        <v>2</v>
      </c>
      <c r="F174" s="127">
        <v>92273</v>
      </c>
      <c r="G174" s="127">
        <v>92272</v>
      </c>
      <c r="H174" s="132">
        <v>92284</v>
      </c>
      <c r="I174" s="127">
        <v>92235</v>
      </c>
      <c r="J174" s="127">
        <v>92142</v>
      </c>
      <c r="K174" s="132">
        <v>92288</v>
      </c>
      <c r="L174" s="5">
        <f t="shared" si="67"/>
        <v>260.32</v>
      </c>
      <c r="M174" s="6">
        <f t="shared" si="52"/>
        <v>2058</v>
      </c>
      <c r="N174" s="6">
        <f t="shared" si="53"/>
        <v>156</v>
      </c>
      <c r="O174" s="6">
        <f t="shared" si="54"/>
        <v>22</v>
      </c>
      <c r="P174" s="27">
        <f t="shared" si="55"/>
        <v>4526</v>
      </c>
      <c r="Q174" s="27">
        <f t="shared" si="56"/>
        <v>102</v>
      </c>
      <c r="R174" s="27">
        <f t="shared" si="57"/>
        <v>68</v>
      </c>
    </row>
    <row r="175" spans="1:18">
      <c r="A175" s="20">
        <f t="shared" si="68"/>
        <v>101115</v>
      </c>
      <c r="B175" s="5" t="str">
        <f t="shared" si="69"/>
        <v>山鸡</v>
      </c>
      <c r="C175" s="5">
        <f t="shared" si="70"/>
        <v>3</v>
      </c>
      <c r="D175" s="6">
        <v>5</v>
      </c>
      <c r="E175" s="5">
        <v>2</v>
      </c>
      <c r="F175" s="127">
        <v>92012</v>
      </c>
      <c r="G175" s="132">
        <v>92284</v>
      </c>
      <c r="H175" s="127">
        <v>92235</v>
      </c>
      <c r="I175" s="132">
        <v>92288</v>
      </c>
      <c r="J175" s="127">
        <v>92252</v>
      </c>
      <c r="K175" s="127">
        <v>92279</v>
      </c>
      <c r="L175" s="5">
        <f t="shared" si="67"/>
        <v>230.32</v>
      </c>
      <c r="M175" s="6">
        <f t="shared" si="52"/>
        <v>2058</v>
      </c>
      <c r="N175" s="6">
        <f t="shared" si="53"/>
        <v>104</v>
      </c>
      <c r="O175" s="6">
        <f t="shared" si="54"/>
        <v>44</v>
      </c>
      <c r="P175" s="27">
        <f t="shared" si="55"/>
        <v>6584</v>
      </c>
      <c r="Q175" s="27">
        <f t="shared" si="56"/>
        <v>258</v>
      </c>
      <c r="R175" s="27">
        <f t="shared" si="57"/>
        <v>90</v>
      </c>
    </row>
    <row r="176" spans="1:18">
      <c r="A176" s="20">
        <f t="shared" si="68"/>
        <v>101115</v>
      </c>
      <c r="B176" s="5" t="str">
        <f t="shared" si="69"/>
        <v>山鸡</v>
      </c>
      <c r="C176" s="5">
        <f t="shared" si="70"/>
        <v>3</v>
      </c>
      <c r="D176" s="6">
        <v>6</v>
      </c>
      <c r="E176" s="5">
        <v>3</v>
      </c>
      <c r="F176" s="131">
        <v>92134</v>
      </c>
      <c r="G176" s="131">
        <v>92253</v>
      </c>
      <c r="H176" s="129">
        <v>92289</v>
      </c>
      <c r="I176" s="131">
        <v>92013</v>
      </c>
      <c r="J176" s="129">
        <v>92285</v>
      </c>
      <c r="K176" s="131">
        <v>92254</v>
      </c>
      <c r="L176" s="5">
        <f t="shared" si="67"/>
        <v>338.6</v>
      </c>
      <c r="M176" s="6">
        <f t="shared" si="52"/>
        <v>1440</v>
      </c>
      <c r="N176" s="6">
        <f t="shared" si="53"/>
        <v>219</v>
      </c>
      <c r="O176" s="6">
        <f t="shared" si="54"/>
        <v>62</v>
      </c>
      <c r="P176" s="27">
        <f t="shared" si="55"/>
        <v>8642</v>
      </c>
      <c r="Q176" s="27">
        <f t="shared" si="56"/>
        <v>362</v>
      </c>
      <c r="R176" s="27">
        <f t="shared" si="57"/>
        <v>134</v>
      </c>
    </row>
    <row r="177" spans="1:18">
      <c r="A177" s="20">
        <f t="shared" si="68"/>
        <v>101115</v>
      </c>
      <c r="B177" s="5" t="str">
        <f t="shared" si="69"/>
        <v>山鸡</v>
      </c>
      <c r="C177" s="5">
        <f t="shared" si="70"/>
        <v>3</v>
      </c>
      <c r="D177" s="6">
        <v>7</v>
      </c>
      <c r="E177" s="5">
        <v>3</v>
      </c>
      <c r="F177" s="131">
        <v>92253</v>
      </c>
      <c r="G177" s="129">
        <v>92285</v>
      </c>
      <c r="H177" s="131">
        <v>92134</v>
      </c>
      <c r="I177" s="131">
        <v>92223</v>
      </c>
      <c r="J177" s="131">
        <v>92013</v>
      </c>
      <c r="K177" s="129">
        <v>92289</v>
      </c>
      <c r="L177" s="5">
        <f t="shared" si="67"/>
        <v>296.60000000000002</v>
      </c>
      <c r="M177" s="6">
        <f t="shared" si="52"/>
        <v>1440</v>
      </c>
      <c r="N177" s="6">
        <f t="shared" si="53"/>
        <v>146</v>
      </c>
      <c r="O177" s="6">
        <f t="shared" si="54"/>
        <v>93</v>
      </c>
      <c r="P177" s="27">
        <f t="shared" si="55"/>
        <v>10082</v>
      </c>
      <c r="Q177" s="27">
        <f t="shared" si="56"/>
        <v>581</v>
      </c>
      <c r="R177" s="27">
        <f t="shared" si="57"/>
        <v>196</v>
      </c>
    </row>
    <row r="178" spans="1:18">
      <c r="A178" s="20">
        <f t="shared" si="68"/>
        <v>101115</v>
      </c>
      <c r="B178" s="5" t="str">
        <f t="shared" si="69"/>
        <v>山鸡</v>
      </c>
      <c r="C178" s="5">
        <f t="shared" si="70"/>
        <v>3</v>
      </c>
      <c r="D178" s="6">
        <v>8</v>
      </c>
      <c r="E178" s="5">
        <v>4</v>
      </c>
      <c r="F178" s="128">
        <v>92240</v>
      </c>
      <c r="G178" s="128">
        <v>92275</v>
      </c>
      <c r="H178" s="128">
        <v>92256</v>
      </c>
      <c r="I178" s="130">
        <v>92286</v>
      </c>
      <c r="J178" s="130">
        <v>92290</v>
      </c>
      <c r="K178" s="128">
        <v>92292</v>
      </c>
      <c r="L178" s="5">
        <f t="shared" si="67"/>
        <v>396.23999999999995</v>
      </c>
      <c r="M178" s="6">
        <f t="shared" si="52"/>
        <v>5556</v>
      </c>
      <c r="N178" s="6">
        <f t="shared" si="53"/>
        <v>94</v>
      </c>
      <c r="O178" s="6">
        <f t="shared" si="54"/>
        <v>80</v>
      </c>
      <c r="P178" s="27">
        <f t="shared" si="55"/>
        <v>11522</v>
      </c>
      <c r="Q178" s="27">
        <f t="shared" si="56"/>
        <v>727</v>
      </c>
      <c r="R178" s="27">
        <f t="shared" si="57"/>
        <v>289</v>
      </c>
    </row>
    <row r="179" spans="1:18">
      <c r="A179" s="20">
        <f t="shared" si="68"/>
        <v>101115</v>
      </c>
      <c r="B179" s="5" t="str">
        <f t="shared" si="69"/>
        <v>山鸡</v>
      </c>
      <c r="C179" s="5">
        <f t="shared" si="70"/>
        <v>3</v>
      </c>
      <c r="D179" s="6">
        <v>9</v>
      </c>
      <c r="E179" s="5">
        <v>4</v>
      </c>
      <c r="F179" s="130">
        <v>92286</v>
      </c>
      <c r="G179" s="128">
        <v>92240</v>
      </c>
      <c r="H179" s="130">
        <v>92290</v>
      </c>
      <c r="I179" s="128">
        <v>92296</v>
      </c>
      <c r="J179" s="128">
        <v>92014</v>
      </c>
      <c r="K179" s="128">
        <v>92261</v>
      </c>
      <c r="L179" s="5">
        <f t="shared" si="67"/>
        <v>362.15999999999997</v>
      </c>
      <c r="M179" s="6">
        <f t="shared" si="52"/>
        <v>3704</v>
      </c>
      <c r="N179" s="6">
        <f t="shared" si="53"/>
        <v>94</v>
      </c>
      <c r="O179" s="6">
        <f t="shared" si="54"/>
        <v>120</v>
      </c>
      <c r="P179" s="27">
        <f t="shared" si="55"/>
        <v>17078</v>
      </c>
      <c r="Q179" s="27">
        <f t="shared" si="56"/>
        <v>821</v>
      </c>
      <c r="R179" s="27">
        <f t="shared" si="57"/>
        <v>369</v>
      </c>
    </row>
    <row r="180" spans="1:18">
      <c r="A180" s="20">
        <f t="shared" si="68"/>
        <v>101115</v>
      </c>
      <c r="B180" s="5" t="str">
        <f t="shared" si="69"/>
        <v>山鸡</v>
      </c>
      <c r="C180" s="5">
        <f t="shared" si="70"/>
        <v>3</v>
      </c>
      <c r="D180" s="6">
        <v>10</v>
      </c>
      <c r="E180" s="5">
        <v>4</v>
      </c>
      <c r="F180" s="128">
        <v>92026</v>
      </c>
      <c r="G180" s="130">
        <v>92299</v>
      </c>
      <c r="H180" s="128">
        <v>92298</v>
      </c>
      <c r="I180" s="130">
        <v>92291</v>
      </c>
      <c r="J180" s="128">
        <v>92276</v>
      </c>
      <c r="K180" s="128">
        <v>92293</v>
      </c>
      <c r="L180" s="5">
        <f t="shared" si="67"/>
        <v>462.64</v>
      </c>
      <c r="M180" s="6">
        <f t="shared" si="52"/>
        <v>4116</v>
      </c>
      <c r="N180" s="6">
        <f t="shared" si="53"/>
        <v>210</v>
      </c>
      <c r="O180" s="6">
        <f t="shared" si="54"/>
        <v>88</v>
      </c>
      <c r="P180" s="27">
        <f t="shared" si="55"/>
        <v>20782</v>
      </c>
      <c r="Q180" s="27">
        <f t="shared" si="56"/>
        <v>915</v>
      </c>
      <c r="R180" s="27">
        <f t="shared" si="57"/>
        <v>489</v>
      </c>
    </row>
    <row r="181" spans="1:18" ht="14.25" thickBot="1">
      <c r="A181" s="21">
        <f t="shared" si="68"/>
        <v>101115</v>
      </c>
      <c r="B181" s="22" t="str">
        <f t="shared" si="69"/>
        <v>山鸡</v>
      </c>
      <c r="C181" s="22">
        <f t="shared" si="70"/>
        <v>3</v>
      </c>
      <c r="D181" s="6">
        <v>11</v>
      </c>
      <c r="E181" s="22">
        <v>4</v>
      </c>
      <c r="F181" s="128">
        <v>92255</v>
      </c>
      <c r="G181" s="130">
        <v>92291</v>
      </c>
      <c r="H181" s="128">
        <v>92295</v>
      </c>
      <c r="I181" s="128">
        <v>92293</v>
      </c>
      <c r="J181" s="130">
        <v>92299</v>
      </c>
      <c r="K181" s="128">
        <v>92282</v>
      </c>
      <c r="L181" s="22">
        <f t="shared" si="67"/>
        <v>462.64</v>
      </c>
      <c r="M181" s="6">
        <f t="shared" si="52"/>
        <v>4116</v>
      </c>
      <c r="N181" s="6">
        <f t="shared" si="53"/>
        <v>210</v>
      </c>
      <c r="O181" s="6">
        <f t="shared" si="54"/>
        <v>88</v>
      </c>
      <c r="P181" s="27">
        <f t="shared" si="55"/>
        <v>24898</v>
      </c>
      <c r="Q181" s="27">
        <f t="shared" si="56"/>
        <v>1125</v>
      </c>
      <c r="R181" s="27">
        <f t="shared" si="57"/>
        <v>577</v>
      </c>
    </row>
    <row r="182" spans="1:18">
      <c r="A182" s="18">
        <f>D_马仔表!A17</f>
        <v>101116</v>
      </c>
      <c r="B182" s="19" t="str">
        <f>D_马仔表!B17</f>
        <v>大天二</v>
      </c>
      <c r="C182" s="19">
        <f>D_马仔表!D17</f>
        <v>3</v>
      </c>
      <c r="D182" s="6">
        <v>0</v>
      </c>
      <c r="E182" s="19">
        <v>0</v>
      </c>
      <c r="F182" s="124">
        <v>92277</v>
      </c>
      <c r="G182" s="123">
        <v>92121</v>
      </c>
      <c r="H182" s="123">
        <v>92131</v>
      </c>
      <c r="I182" s="123">
        <v>92228</v>
      </c>
      <c r="J182" s="123">
        <v>92244</v>
      </c>
      <c r="K182" s="123">
        <v>92243</v>
      </c>
      <c r="L182" s="19">
        <f t="shared" si="67"/>
        <v>38.480000000000004</v>
      </c>
      <c r="M182" s="6">
        <f t="shared" si="52"/>
        <v>412</v>
      </c>
      <c r="N182" s="6">
        <f t="shared" si="53"/>
        <v>10</v>
      </c>
      <c r="O182" s="6">
        <f t="shared" si="54"/>
        <v>12</v>
      </c>
      <c r="P182" s="27">
        <f t="shared" si="55"/>
        <v>0</v>
      </c>
      <c r="Q182" s="27">
        <f t="shared" si="56"/>
        <v>0</v>
      </c>
      <c r="R182" s="27">
        <f t="shared" si="57"/>
        <v>0</v>
      </c>
    </row>
    <row r="183" spans="1:18">
      <c r="A183" s="20">
        <f>A182</f>
        <v>101116</v>
      </c>
      <c r="B183" s="5" t="str">
        <f>B182</f>
        <v>大天二</v>
      </c>
      <c r="C183" s="5">
        <f>C182</f>
        <v>3</v>
      </c>
      <c r="D183" s="6">
        <v>1</v>
      </c>
      <c r="E183" s="5">
        <v>0</v>
      </c>
      <c r="F183" s="123">
        <v>92121</v>
      </c>
      <c r="G183" s="124">
        <v>92263</v>
      </c>
      <c r="H183" s="123">
        <v>92244</v>
      </c>
      <c r="I183" s="123">
        <v>92131</v>
      </c>
      <c r="J183" s="123">
        <v>92243</v>
      </c>
      <c r="K183" s="124">
        <v>92277</v>
      </c>
      <c r="L183" s="5">
        <f t="shared" si="67"/>
        <v>44.480000000000004</v>
      </c>
      <c r="M183" s="6">
        <f t="shared" si="52"/>
        <v>412</v>
      </c>
      <c r="N183" s="6">
        <f t="shared" si="53"/>
        <v>20</v>
      </c>
      <c r="O183" s="6">
        <f t="shared" si="54"/>
        <v>8</v>
      </c>
      <c r="P183" s="27">
        <f t="shared" si="55"/>
        <v>412</v>
      </c>
      <c r="Q183" s="27">
        <f t="shared" si="56"/>
        <v>10</v>
      </c>
      <c r="R183" s="27">
        <f t="shared" si="57"/>
        <v>12</v>
      </c>
    </row>
    <row r="184" spans="1:18">
      <c r="A184" s="20">
        <f t="shared" ref="A184:A229" si="71">A183</f>
        <v>101116</v>
      </c>
      <c r="B184" s="5" t="str">
        <f t="shared" ref="B184:B229" si="72">B183</f>
        <v>大天二</v>
      </c>
      <c r="C184" s="5">
        <f t="shared" ref="C184:C229" si="73">C183</f>
        <v>3</v>
      </c>
      <c r="D184" s="6">
        <v>2</v>
      </c>
      <c r="E184" s="5">
        <v>1</v>
      </c>
      <c r="F184" s="125">
        <v>92264</v>
      </c>
      <c r="G184" s="126">
        <v>92283</v>
      </c>
      <c r="H184" s="125">
        <v>92122</v>
      </c>
      <c r="I184" s="126">
        <v>92287</v>
      </c>
      <c r="J184" s="125">
        <v>92245</v>
      </c>
      <c r="K184" s="125">
        <v>92141</v>
      </c>
      <c r="L184" s="5">
        <f t="shared" si="67"/>
        <v>119.36000000000001</v>
      </c>
      <c r="M184" s="6">
        <f t="shared" si="52"/>
        <v>1234</v>
      </c>
      <c r="N184" s="6">
        <f t="shared" si="53"/>
        <v>31</v>
      </c>
      <c r="O184" s="6">
        <f t="shared" si="54"/>
        <v>39</v>
      </c>
      <c r="P184" s="27">
        <f t="shared" si="55"/>
        <v>824</v>
      </c>
      <c r="Q184" s="27">
        <f t="shared" si="56"/>
        <v>30</v>
      </c>
      <c r="R184" s="27">
        <f t="shared" si="57"/>
        <v>20</v>
      </c>
    </row>
    <row r="185" spans="1:18">
      <c r="A185" s="20">
        <f t="shared" si="71"/>
        <v>101116</v>
      </c>
      <c r="B185" s="5" t="str">
        <f t="shared" si="72"/>
        <v>大天二</v>
      </c>
      <c r="C185" s="5">
        <f t="shared" si="73"/>
        <v>3</v>
      </c>
      <c r="D185" s="6">
        <v>3</v>
      </c>
      <c r="E185" s="5">
        <v>1</v>
      </c>
      <c r="F185" s="125">
        <v>92278</v>
      </c>
      <c r="G185" s="125">
        <v>92122</v>
      </c>
      <c r="H185" s="126">
        <v>92283</v>
      </c>
      <c r="I185" s="125">
        <v>92245</v>
      </c>
      <c r="J185" s="125">
        <v>92264</v>
      </c>
      <c r="K185" s="126">
        <v>92287</v>
      </c>
      <c r="L185" s="5">
        <f t="shared" si="67"/>
        <v>137.36000000000001</v>
      </c>
      <c r="M185" s="6">
        <f t="shared" si="52"/>
        <v>1234</v>
      </c>
      <c r="N185" s="6">
        <f t="shared" si="53"/>
        <v>62</v>
      </c>
      <c r="O185" s="6">
        <f t="shared" si="54"/>
        <v>26</v>
      </c>
      <c r="P185" s="27">
        <f t="shared" si="55"/>
        <v>2058</v>
      </c>
      <c r="Q185" s="27">
        <f t="shared" si="56"/>
        <v>61</v>
      </c>
      <c r="R185" s="27">
        <f t="shared" si="57"/>
        <v>59</v>
      </c>
    </row>
    <row r="186" spans="1:18">
      <c r="A186" s="20">
        <f t="shared" si="71"/>
        <v>101116</v>
      </c>
      <c r="B186" s="5" t="str">
        <f t="shared" si="72"/>
        <v>大天二</v>
      </c>
      <c r="C186" s="5">
        <f t="shared" si="73"/>
        <v>3</v>
      </c>
      <c r="D186" s="6">
        <v>4</v>
      </c>
      <c r="E186" s="5">
        <v>2</v>
      </c>
      <c r="F186" s="132">
        <v>92284</v>
      </c>
      <c r="G186" s="127">
        <v>92124</v>
      </c>
      <c r="H186" s="127">
        <v>92279</v>
      </c>
      <c r="I186" s="132">
        <v>92288</v>
      </c>
      <c r="J186" s="127">
        <v>92252</v>
      </c>
      <c r="K186" s="127">
        <v>92273</v>
      </c>
      <c r="L186" s="5">
        <f t="shared" si="67"/>
        <v>241.16</v>
      </c>
      <c r="M186" s="6">
        <f t="shared" si="52"/>
        <v>1029</v>
      </c>
      <c r="N186" s="6">
        <f t="shared" si="53"/>
        <v>156</v>
      </c>
      <c r="O186" s="6">
        <f t="shared" si="54"/>
        <v>44</v>
      </c>
      <c r="P186" s="27">
        <f t="shared" si="55"/>
        <v>3292</v>
      </c>
      <c r="Q186" s="27">
        <f t="shared" si="56"/>
        <v>123</v>
      </c>
      <c r="R186" s="27">
        <f t="shared" si="57"/>
        <v>85</v>
      </c>
    </row>
    <row r="187" spans="1:18">
      <c r="A187" s="20">
        <f t="shared" si="71"/>
        <v>101116</v>
      </c>
      <c r="B187" s="5" t="str">
        <f t="shared" si="72"/>
        <v>大天二</v>
      </c>
      <c r="C187" s="5">
        <f t="shared" si="73"/>
        <v>3</v>
      </c>
      <c r="D187" s="6">
        <v>5</v>
      </c>
      <c r="E187" s="5">
        <v>2</v>
      </c>
      <c r="F187" s="127">
        <v>92142</v>
      </c>
      <c r="G187" s="132">
        <v>92288</v>
      </c>
      <c r="H187" s="127">
        <v>92124</v>
      </c>
      <c r="I187" s="127">
        <v>92012</v>
      </c>
      <c r="J187" s="132">
        <v>92284</v>
      </c>
      <c r="K187" s="127">
        <v>92252</v>
      </c>
      <c r="L187" s="5">
        <f t="shared" si="67"/>
        <v>260.32</v>
      </c>
      <c r="M187" s="6">
        <f t="shared" si="52"/>
        <v>2058</v>
      </c>
      <c r="N187" s="6">
        <f t="shared" si="53"/>
        <v>156</v>
      </c>
      <c r="O187" s="6">
        <f t="shared" si="54"/>
        <v>22</v>
      </c>
      <c r="P187" s="27">
        <f t="shared" si="55"/>
        <v>4321</v>
      </c>
      <c r="Q187" s="27">
        <f t="shared" si="56"/>
        <v>279</v>
      </c>
      <c r="R187" s="27">
        <f t="shared" si="57"/>
        <v>129</v>
      </c>
    </row>
    <row r="188" spans="1:18">
      <c r="A188" s="20">
        <f t="shared" si="71"/>
        <v>101116</v>
      </c>
      <c r="B188" s="5" t="str">
        <f t="shared" si="72"/>
        <v>大天二</v>
      </c>
      <c r="C188" s="5">
        <f t="shared" si="73"/>
        <v>3</v>
      </c>
      <c r="D188" s="6">
        <v>6</v>
      </c>
      <c r="E188" s="5">
        <v>3</v>
      </c>
      <c r="F188" s="131">
        <v>92125</v>
      </c>
      <c r="G188" s="131">
        <v>92280</v>
      </c>
      <c r="H188" s="129">
        <v>92285</v>
      </c>
      <c r="I188" s="131">
        <v>92013</v>
      </c>
      <c r="J188" s="129">
        <v>92289</v>
      </c>
      <c r="K188" s="131">
        <v>92223</v>
      </c>
      <c r="L188" s="5">
        <f t="shared" si="67"/>
        <v>254.6</v>
      </c>
      <c r="M188" s="6">
        <f t="shared" si="52"/>
        <v>1440</v>
      </c>
      <c r="N188" s="6">
        <f t="shared" si="53"/>
        <v>73</v>
      </c>
      <c r="O188" s="6">
        <f t="shared" si="54"/>
        <v>124</v>
      </c>
      <c r="P188" s="27">
        <f t="shared" si="55"/>
        <v>6379</v>
      </c>
      <c r="Q188" s="27">
        <f t="shared" si="56"/>
        <v>435</v>
      </c>
      <c r="R188" s="27">
        <f t="shared" si="57"/>
        <v>151</v>
      </c>
    </row>
    <row r="189" spans="1:18">
      <c r="A189" s="20">
        <f t="shared" si="71"/>
        <v>101116</v>
      </c>
      <c r="B189" s="5" t="str">
        <f t="shared" si="72"/>
        <v>大天二</v>
      </c>
      <c r="C189" s="5">
        <f t="shared" si="73"/>
        <v>3</v>
      </c>
      <c r="D189" s="6">
        <v>7</v>
      </c>
      <c r="E189" s="5">
        <v>3</v>
      </c>
      <c r="F189" s="131">
        <v>92134</v>
      </c>
      <c r="G189" s="129">
        <v>92289</v>
      </c>
      <c r="H189" s="131">
        <v>92013</v>
      </c>
      <c r="I189" s="131">
        <v>92254</v>
      </c>
      <c r="J189" s="131">
        <v>92280</v>
      </c>
      <c r="K189" s="129">
        <v>92285</v>
      </c>
      <c r="L189" s="5">
        <f t="shared" si="67"/>
        <v>338.6</v>
      </c>
      <c r="M189" s="6">
        <f t="shared" si="52"/>
        <v>1440</v>
      </c>
      <c r="N189" s="6">
        <f t="shared" si="53"/>
        <v>219</v>
      </c>
      <c r="O189" s="6">
        <f t="shared" si="54"/>
        <v>62</v>
      </c>
      <c r="P189" s="27">
        <f t="shared" si="55"/>
        <v>7819</v>
      </c>
      <c r="Q189" s="27">
        <f t="shared" si="56"/>
        <v>508</v>
      </c>
      <c r="R189" s="27">
        <f t="shared" si="57"/>
        <v>275</v>
      </c>
    </row>
    <row r="190" spans="1:18">
      <c r="A190" s="20">
        <f t="shared" si="71"/>
        <v>101116</v>
      </c>
      <c r="B190" s="5" t="str">
        <f t="shared" si="72"/>
        <v>大天二</v>
      </c>
      <c r="C190" s="5">
        <f t="shared" si="73"/>
        <v>3</v>
      </c>
      <c r="D190" s="6">
        <v>8</v>
      </c>
      <c r="E190" s="5">
        <v>4</v>
      </c>
      <c r="F190" s="128">
        <v>92281</v>
      </c>
      <c r="G190" s="128">
        <v>92296</v>
      </c>
      <c r="H190" s="128">
        <v>92240</v>
      </c>
      <c r="I190" s="130">
        <v>92286</v>
      </c>
      <c r="J190" s="130">
        <v>92290</v>
      </c>
      <c r="K190" s="128">
        <v>92256</v>
      </c>
      <c r="L190" s="5">
        <f t="shared" si="67"/>
        <v>436.08</v>
      </c>
      <c r="M190" s="6">
        <f t="shared" si="52"/>
        <v>1852</v>
      </c>
      <c r="N190" s="6">
        <f t="shared" si="53"/>
        <v>282</v>
      </c>
      <c r="O190" s="6">
        <f t="shared" si="54"/>
        <v>80</v>
      </c>
      <c r="P190" s="27">
        <f t="shared" si="55"/>
        <v>9259</v>
      </c>
      <c r="Q190" s="27">
        <f t="shared" si="56"/>
        <v>727</v>
      </c>
      <c r="R190" s="27">
        <f t="shared" si="57"/>
        <v>337</v>
      </c>
    </row>
    <row r="191" spans="1:18">
      <c r="A191" s="20">
        <f t="shared" si="71"/>
        <v>101116</v>
      </c>
      <c r="B191" s="5" t="str">
        <f t="shared" si="72"/>
        <v>大天二</v>
      </c>
      <c r="C191" s="5">
        <f t="shared" si="73"/>
        <v>3</v>
      </c>
      <c r="D191" s="6">
        <v>9</v>
      </c>
      <c r="E191" s="5">
        <v>4</v>
      </c>
      <c r="F191" s="130">
        <v>92286</v>
      </c>
      <c r="G191" s="128">
        <v>92261</v>
      </c>
      <c r="H191" s="130">
        <v>92290</v>
      </c>
      <c r="I191" s="128">
        <v>92240</v>
      </c>
      <c r="J191" s="128">
        <v>92256</v>
      </c>
      <c r="K191" s="128">
        <v>92014</v>
      </c>
      <c r="L191" s="5">
        <f t="shared" si="67"/>
        <v>362.15999999999997</v>
      </c>
      <c r="M191" s="6">
        <f t="shared" si="52"/>
        <v>3704</v>
      </c>
      <c r="N191" s="6">
        <f t="shared" si="53"/>
        <v>94</v>
      </c>
      <c r="O191" s="6">
        <f t="shared" si="54"/>
        <v>120</v>
      </c>
      <c r="P191" s="27">
        <f t="shared" si="55"/>
        <v>11111</v>
      </c>
      <c r="Q191" s="27">
        <f t="shared" si="56"/>
        <v>1009</v>
      </c>
      <c r="R191" s="27">
        <f t="shared" si="57"/>
        <v>417</v>
      </c>
    </row>
    <row r="192" spans="1:18">
      <c r="A192" s="20">
        <f t="shared" si="71"/>
        <v>101116</v>
      </c>
      <c r="B192" s="5" t="str">
        <f t="shared" si="72"/>
        <v>大天二</v>
      </c>
      <c r="C192" s="5">
        <f t="shared" si="73"/>
        <v>3</v>
      </c>
      <c r="D192" s="6">
        <v>10</v>
      </c>
      <c r="E192" s="5">
        <v>4</v>
      </c>
      <c r="F192" s="128">
        <v>92026</v>
      </c>
      <c r="G192" s="130">
        <v>92291</v>
      </c>
      <c r="H192" s="128">
        <v>92298</v>
      </c>
      <c r="I192" s="130">
        <v>92299</v>
      </c>
      <c r="J192" s="128">
        <v>92276</v>
      </c>
      <c r="K192" s="128">
        <v>92293</v>
      </c>
      <c r="L192" s="5">
        <f t="shared" si="67"/>
        <v>462.64</v>
      </c>
      <c r="M192" s="6">
        <f t="shared" si="52"/>
        <v>4116</v>
      </c>
      <c r="N192" s="6">
        <f t="shared" si="53"/>
        <v>210</v>
      </c>
      <c r="O192" s="6">
        <f t="shared" si="54"/>
        <v>88</v>
      </c>
      <c r="P192" s="27">
        <f t="shared" si="55"/>
        <v>14815</v>
      </c>
      <c r="Q192" s="27">
        <f t="shared" si="56"/>
        <v>1103</v>
      </c>
      <c r="R192" s="27">
        <f t="shared" si="57"/>
        <v>537</v>
      </c>
    </row>
    <row r="193" spans="1:18" ht="14.25" thickBot="1">
      <c r="A193" s="21">
        <f t="shared" si="71"/>
        <v>101116</v>
      </c>
      <c r="B193" s="22" t="str">
        <f t="shared" si="72"/>
        <v>大天二</v>
      </c>
      <c r="C193" s="22">
        <f t="shared" si="73"/>
        <v>3</v>
      </c>
      <c r="D193" s="6">
        <v>11</v>
      </c>
      <c r="E193" s="22">
        <v>4</v>
      </c>
      <c r="F193" s="130">
        <v>92299</v>
      </c>
      <c r="G193" s="128">
        <v>92026</v>
      </c>
      <c r="H193" s="128">
        <v>92297</v>
      </c>
      <c r="I193" s="128">
        <v>92276</v>
      </c>
      <c r="J193" s="128">
        <v>92293</v>
      </c>
      <c r="K193" s="130">
        <v>92291</v>
      </c>
      <c r="L193" s="22">
        <f t="shared" si="67"/>
        <v>500.96</v>
      </c>
      <c r="M193" s="6">
        <f t="shared" si="52"/>
        <v>6174</v>
      </c>
      <c r="N193" s="6">
        <f t="shared" si="53"/>
        <v>210</v>
      </c>
      <c r="O193" s="6">
        <f t="shared" si="54"/>
        <v>44</v>
      </c>
      <c r="P193" s="27">
        <f t="shared" si="55"/>
        <v>18931</v>
      </c>
      <c r="Q193" s="27">
        <f t="shared" si="56"/>
        <v>1313</v>
      </c>
      <c r="R193" s="27">
        <f t="shared" si="57"/>
        <v>625</v>
      </c>
    </row>
    <row r="194" spans="1:18" ht="14.25" thickBot="1">
      <c r="A194" s="21">
        <f>D_马仔表!A18</f>
        <v>101117</v>
      </c>
      <c r="B194" s="21" t="str">
        <f>D_马仔表!B18</f>
        <v>巴闭</v>
      </c>
      <c r="C194" s="21">
        <f>D_马仔表!D18</f>
        <v>1</v>
      </c>
      <c r="D194" s="6">
        <v>0</v>
      </c>
      <c r="E194" s="19">
        <v>0</v>
      </c>
      <c r="F194" s="123">
        <v>92244</v>
      </c>
      <c r="G194" s="123">
        <v>92121</v>
      </c>
      <c r="H194" s="123">
        <v>92228</v>
      </c>
      <c r="I194" s="124">
        <v>92263</v>
      </c>
      <c r="J194" s="123">
        <v>92131</v>
      </c>
      <c r="K194" s="123">
        <v>92243</v>
      </c>
      <c r="L194" s="22">
        <f t="shared" ref="L194:L206" si="74">VLOOKUP(F194,$W$1:$AD$64,8,FALSE)+VLOOKUP(G194,$W$1:$AD$64,8,FALSE)+VLOOKUP(H194,$W$1:$AD$64,8,FALSE)+VLOOKUP(I194,$W$1:$AD$64,8,FALSE)+VLOOKUP(J194,$W$1:$AD$64,8,FALSE)+VLOOKUP(K194,$W$1:$AD$64,8,FALSE)</f>
        <v>44.480000000000004</v>
      </c>
      <c r="M194" s="6">
        <f t="shared" ref="M194:M206" si="75">VLOOKUP(F194,$W$1:$AD$64,5,FALSE)+VLOOKUP(G194,$W$1:$AD$64,5,FALSE)+VLOOKUP(H194,$W$1:$AD$64,5,FALSE)+VLOOKUP(I194,$W$1:$AD$64,5,FALSE)+VLOOKUP(J194,$W$1:$AD$64,5,FALSE)+VLOOKUP(K194,$W$1:$AD$64,5,FALSE)</f>
        <v>412</v>
      </c>
      <c r="N194" s="6">
        <f t="shared" ref="N194:N206" si="76">VLOOKUP(F194,$W$1:$AD$64,6,FALSE)+VLOOKUP(G194,$W$1:$AD$64,6,FALSE)+VLOOKUP(H194,$W$1:$AD$64,6,FALSE)+VLOOKUP(I194,$W$1:$AD$64,6,FALSE)+VLOOKUP(J194,$W$1:$AD$64,6,FALSE)+VLOOKUP(K194,$W$1:$AD$64,6,FALSE)</f>
        <v>20</v>
      </c>
      <c r="O194" s="6">
        <f t="shared" ref="O194:O206" si="77">VLOOKUP(F194,$W$1:$AD$64,7,FALSE)+VLOOKUP(G194,$W$1:$AD$64,7,FALSE)+VLOOKUP(H194,$W$1:$AD$64,7,FALSE)+VLOOKUP(I194,$W$1:$AD$64,7,FALSE)+VLOOKUP(J194,$W$1:$AD$64,7,FALSE)+VLOOKUP(K194,$W$1:$AD$64,7,FALSE)</f>
        <v>8</v>
      </c>
      <c r="P194" s="27">
        <f t="shared" si="55"/>
        <v>0</v>
      </c>
      <c r="Q194" s="27">
        <f t="shared" si="56"/>
        <v>0</v>
      </c>
      <c r="R194" s="27">
        <f t="shared" si="57"/>
        <v>0</v>
      </c>
    </row>
    <row r="195" spans="1:18" ht="14.25" thickBot="1">
      <c r="A195" s="21">
        <f t="shared" si="71"/>
        <v>101117</v>
      </c>
      <c r="B195" s="22" t="str">
        <f t="shared" si="72"/>
        <v>巴闭</v>
      </c>
      <c r="C195" s="22">
        <f t="shared" si="73"/>
        <v>1</v>
      </c>
      <c r="D195" s="6">
        <v>1</v>
      </c>
      <c r="E195" s="5">
        <v>0</v>
      </c>
      <c r="F195" s="123">
        <v>92228</v>
      </c>
      <c r="G195" s="124">
        <v>92277</v>
      </c>
      <c r="H195" s="123">
        <v>92121</v>
      </c>
      <c r="I195" s="123">
        <v>92243</v>
      </c>
      <c r="J195" s="123">
        <v>92232</v>
      </c>
      <c r="K195" s="123">
        <v>92131</v>
      </c>
      <c r="L195" s="22">
        <f t="shared" si="74"/>
        <v>38.480000000000004</v>
      </c>
      <c r="M195" s="6">
        <f t="shared" si="75"/>
        <v>412</v>
      </c>
      <c r="N195" s="6">
        <f t="shared" si="76"/>
        <v>10</v>
      </c>
      <c r="O195" s="6">
        <f t="shared" si="77"/>
        <v>12</v>
      </c>
      <c r="P195" s="27">
        <f t="shared" ref="P195:P229" si="78">IF($D195=0,0,M194+P194)</f>
        <v>412</v>
      </c>
      <c r="Q195" s="27">
        <f t="shared" ref="Q195:Q229" si="79">IF($D195=0,0,N194+Q194)</f>
        <v>20</v>
      </c>
      <c r="R195" s="27">
        <f t="shared" ref="R195:R229" si="80">IF($D195=0,0,O194+R194)</f>
        <v>8</v>
      </c>
    </row>
    <row r="196" spans="1:18" ht="14.25" thickBot="1">
      <c r="A196" s="21">
        <f t="shared" si="71"/>
        <v>101117</v>
      </c>
      <c r="B196" s="22" t="str">
        <f t="shared" si="72"/>
        <v>巴闭</v>
      </c>
      <c r="C196" s="22">
        <f t="shared" si="73"/>
        <v>1</v>
      </c>
      <c r="D196" s="6">
        <v>2</v>
      </c>
      <c r="E196" s="5">
        <v>1</v>
      </c>
      <c r="F196" s="125">
        <v>92278</v>
      </c>
      <c r="G196" s="125">
        <v>92245</v>
      </c>
      <c r="H196" s="126">
        <v>92283</v>
      </c>
      <c r="I196" s="125">
        <v>92233</v>
      </c>
      <c r="J196" s="125">
        <v>92271</v>
      </c>
      <c r="K196" s="125">
        <v>92141</v>
      </c>
      <c r="L196" s="22">
        <f t="shared" si="74"/>
        <v>131.04000000000002</v>
      </c>
      <c r="M196" s="6">
        <f t="shared" si="75"/>
        <v>1851</v>
      </c>
      <c r="N196" s="6">
        <f t="shared" si="76"/>
        <v>31</v>
      </c>
      <c r="O196" s="6">
        <f t="shared" si="77"/>
        <v>26</v>
      </c>
      <c r="P196" s="27">
        <f t="shared" si="78"/>
        <v>824</v>
      </c>
      <c r="Q196" s="27">
        <f t="shared" si="79"/>
        <v>30</v>
      </c>
      <c r="R196" s="27">
        <f t="shared" si="80"/>
        <v>20</v>
      </c>
    </row>
    <row r="197" spans="1:18" ht="14.25" thickBot="1">
      <c r="A197" s="21">
        <f t="shared" si="71"/>
        <v>101117</v>
      </c>
      <c r="B197" s="22" t="str">
        <f t="shared" si="72"/>
        <v>巴闭</v>
      </c>
      <c r="C197" s="22">
        <f t="shared" si="73"/>
        <v>1</v>
      </c>
      <c r="D197" s="6">
        <v>3</v>
      </c>
      <c r="E197" s="5">
        <v>1</v>
      </c>
      <c r="F197" s="125">
        <v>92245</v>
      </c>
      <c r="G197" s="126">
        <v>92287</v>
      </c>
      <c r="H197" s="125">
        <v>92271</v>
      </c>
      <c r="I197" s="125">
        <v>92122</v>
      </c>
      <c r="J197" s="126">
        <v>92283</v>
      </c>
      <c r="K197" s="125">
        <v>92264</v>
      </c>
      <c r="L197" s="22">
        <f t="shared" si="74"/>
        <v>131.04</v>
      </c>
      <c r="M197" s="6">
        <f t="shared" si="75"/>
        <v>1851</v>
      </c>
      <c r="N197" s="6">
        <f t="shared" si="76"/>
        <v>31</v>
      </c>
      <c r="O197" s="6">
        <f t="shared" si="77"/>
        <v>26</v>
      </c>
      <c r="P197" s="27">
        <f t="shared" si="78"/>
        <v>2675</v>
      </c>
      <c r="Q197" s="27">
        <f t="shared" si="79"/>
        <v>61</v>
      </c>
      <c r="R197" s="27">
        <f t="shared" si="80"/>
        <v>46</v>
      </c>
    </row>
    <row r="198" spans="1:18" ht="14.25" thickBot="1">
      <c r="A198" s="21">
        <f t="shared" si="71"/>
        <v>101117</v>
      </c>
      <c r="B198" s="22" t="str">
        <f t="shared" si="72"/>
        <v>巴闭</v>
      </c>
      <c r="C198" s="22">
        <f t="shared" si="73"/>
        <v>1</v>
      </c>
      <c r="D198" s="6">
        <v>4</v>
      </c>
      <c r="E198" s="5">
        <v>2</v>
      </c>
      <c r="F198" s="127">
        <v>92273</v>
      </c>
      <c r="G198" s="127">
        <v>92272</v>
      </c>
      <c r="H198" s="132">
        <v>92288</v>
      </c>
      <c r="I198" s="127">
        <v>92279</v>
      </c>
      <c r="J198" s="127">
        <v>92252</v>
      </c>
      <c r="K198" s="127">
        <v>92012</v>
      </c>
      <c r="L198" s="22">
        <f t="shared" si="74"/>
        <v>260.32</v>
      </c>
      <c r="M198" s="6">
        <f t="shared" si="75"/>
        <v>2058</v>
      </c>
      <c r="N198" s="6">
        <f t="shared" si="76"/>
        <v>156</v>
      </c>
      <c r="O198" s="6">
        <f t="shared" si="77"/>
        <v>22</v>
      </c>
      <c r="P198" s="27">
        <f t="shared" si="78"/>
        <v>4526</v>
      </c>
      <c r="Q198" s="27">
        <f t="shared" si="79"/>
        <v>92</v>
      </c>
      <c r="R198" s="27">
        <f t="shared" si="80"/>
        <v>72</v>
      </c>
    </row>
    <row r="199" spans="1:18" ht="14.25" thickBot="1">
      <c r="A199" s="21">
        <f t="shared" si="71"/>
        <v>101117</v>
      </c>
      <c r="B199" s="22" t="str">
        <f t="shared" si="72"/>
        <v>巴闭</v>
      </c>
      <c r="C199" s="22">
        <f t="shared" si="73"/>
        <v>1</v>
      </c>
      <c r="D199" s="6">
        <v>5</v>
      </c>
      <c r="E199" s="5">
        <v>2</v>
      </c>
      <c r="F199" s="127">
        <v>92252</v>
      </c>
      <c r="G199" s="132">
        <v>92284</v>
      </c>
      <c r="H199" s="127">
        <v>92235</v>
      </c>
      <c r="I199" s="127">
        <v>92142</v>
      </c>
      <c r="J199" s="132">
        <v>92288</v>
      </c>
      <c r="K199" s="127">
        <v>92124</v>
      </c>
      <c r="L199" s="22">
        <f t="shared" si="74"/>
        <v>241.16</v>
      </c>
      <c r="M199" s="6">
        <f t="shared" si="75"/>
        <v>1029</v>
      </c>
      <c r="N199" s="6">
        <f t="shared" si="76"/>
        <v>156</v>
      </c>
      <c r="O199" s="6">
        <f t="shared" si="77"/>
        <v>44</v>
      </c>
      <c r="P199" s="27">
        <f t="shared" si="78"/>
        <v>6584</v>
      </c>
      <c r="Q199" s="27">
        <f t="shared" si="79"/>
        <v>248</v>
      </c>
      <c r="R199" s="27">
        <f t="shared" si="80"/>
        <v>94</v>
      </c>
    </row>
    <row r="200" spans="1:18" ht="14.25" thickBot="1">
      <c r="A200" s="21">
        <f t="shared" si="71"/>
        <v>101117</v>
      </c>
      <c r="B200" s="22" t="str">
        <f t="shared" si="72"/>
        <v>巴闭</v>
      </c>
      <c r="C200" s="22">
        <f t="shared" si="73"/>
        <v>1</v>
      </c>
      <c r="D200" s="6">
        <v>6</v>
      </c>
      <c r="E200" s="5">
        <v>3</v>
      </c>
      <c r="F200" s="131">
        <v>92134</v>
      </c>
      <c r="G200" s="131">
        <v>92227</v>
      </c>
      <c r="H200" s="131">
        <v>92013</v>
      </c>
      <c r="I200" s="131">
        <v>92125</v>
      </c>
      <c r="J200" s="131">
        <v>92274</v>
      </c>
      <c r="K200" s="131">
        <v>92254</v>
      </c>
      <c r="L200" s="22">
        <f t="shared" si="74"/>
        <v>296.60000000000002</v>
      </c>
      <c r="M200" s="6">
        <f t="shared" si="75"/>
        <v>1440</v>
      </c>
      <c r="N200" s="6">
        <f t="shared" si="76"/>
        <v>146</v>
      </c>
      <c r="O200" s="6">
        <f t="shared" si="77"/>
        <v>93</v>
      </c>
      <c r="P200" s="27">
        <f t="shared" si="78"/>
        <v>7613</v>
      </c>
      <c r="Q200" s="27">
        <f t="shared" si="79"/>
        <v>404</v>
      </c>
      <c r="R200" s="27">
        <f t="shared" si="80"/>
        <v>138</v>
      </c>
    </row>
    <row r="201" spans="1:18" ht="14.25" thickBot="1">
      <c r="A201" s="21">
        <f t="shared" si="71"/>
        <v>101117</v>
      </c>
      <c r="B201" s="22" t="str">
        <f t="shared" si="72"/>
        <v>巴闭</v>
      </c>
      <c r="C201" s="22">
        <f t="shared" si="73"/>
        <v>1</v>
      </c>
      <c r="D201" s="6">
        <v>7</v>
      </c>
      <c r="E201" s="5">
        <v>3</v>
      </c>
      <c r="F201" s="131">
        <v>92253</v>
      </c>
      <c r="G201" s="129">
        <v>92285</v>
      </c>
      <c r="H201" s="131">
        <v>92227</v>
      </c>
      <c r="I201" s="131">
        <v>92254</v>
      </c>
      <c r="J201" s="129">
        <v>92289</v>
      </c>
      <c r="K201" s="131">
        <v>92274</v>
      </c>
      <c r="L201" s="22">
        <f t="shared" si="74"/>
        <v>323.2</v>
      </c>
      <c r="M201" s="6">
        <f t="shared" si="75"/>
        <v>2880</v>
      </c>
      <c r="N201" s="6">
        <f t="shared" si="76"/>
        <v>146</v>
      </c>
      <c r="O201" s="6">
        <f t="shared" si="77"/>
        <v>62</v>
      </c>
      <c r="P201" s="27">
        <f t="shared" si="78"/>
        <v>9053</v>
      </c>
      <c r="Q201" s="27">
        <f t="shared" si="79"/>
        <v>550</v>
      </c>
      <c r="R201" s="27">
        <f t="shared" si="80"/>
        <v>231</v>
      </c>
    </row>
    <row r="202" spans="1:18" ht="14.25" thickBot="1">
      <c r="A202" s="21">
        <f t="shared" si="71"/>
        <v>101117</v>
      </c>
      <c r="B202" s="22" t="str">
        <f t="shared" si="72"/>
        <v>巴闭</v>
      </c>
      <c r="C202" s="22">
        <f t="shared" si="73"/>
        <v>1</v>
      </c>
      <c r="D202" s="6">
        <v>8</v>
      </c>
      <c r="E202" s="5">
        <v>4</v>
      </c>
      <c r="F202" s="128">
        <v>92261</v>
      </c>
      <c r="G202" s="128">
        <v>92281</v>
      </c>
      <c r="H202" s="130">
        <v>92286</v>
      </c>
      <c r="I202" s="128">
        <v>92275</v>
      </c>
      <c r="J202" s="128">
        <v>92292</v>
      </c>
      <c r="K202" s="128">
        <v>92240</v>
      </c>
      <c r="L202" s="22">
        <f t="shared" si="74"/>
        <v>362.15999999999997</v>
      </c>
      <c r="M202" s="6">
        <f t="shared" si="75"/>
        <v>3704</v>
      </c>
      <c r="N202" s="6">
        <f t="shared" si="76"/>
        <v>94</v>
      </c>
      <c r="O202" s="6">
        <f t="shared" si="77"/>
        <v>120</v>
      </c>
      <c r="P202" s="27">
        <f t="shared" si="78"/>
        <v>11933</v>
      </c>
      <c r="Q202" s="27">
        <f t="shared" si="79"/>
        <v>696</v>
      </c>
      <c r="R202" s="27">
        <f t="shared" si="80"/>
        <v>293</v>
      </c>
    </row>
    <row r="203" spans="1:18" ht="14.25" thickBot="1">
      <c r="A203" s="21">
        <f t="shared" si="71"/>
        <v>101117</v>
      </c>
      <c r="B203" s="22" t="str">
        <f t="shared" si="72"/>
        <v>巴闭</v>
      </c>
      <c r="C203" s="22">
        <f t="shared" si="73"/>
        <v>1</v>
      </c>
      <c r="D203" s="6">
        <v>9</v>
      </c>
      <c r="E203" s="5">
        <v>4</v>
      </c>
      <c r="F203" s="130">
        <v>92290</v>
      </c>
      <c r="G203" s="128">
        <v>92256</v>
      </c>
      <c r="H203" s="128">
        <v>92261</v>
      </c>
      <c r="I203" s="130">
        <v>92290</v>
      </c>
      <c r="J203" s="128">
        <v>92275</v>
      </c>
      <c r="K203" s="128">
        <v>92014</v>
      </c>
      <c r="L203" s="22">
        <f t="shared" si="74"/>
        <v>430.31999999999994</v>
      </c>
      <c r="M203" s="6">
        <f t="shared" si="75"/>
        <v>7408</v>
      </c>
      <c r="N203" s="6">
        <f t="shared" si="76"/>
        <v>94</v>
      </c>
      <c r="O203" s="6">
        <f t="shared" si="77"/>
        <v>40</v>
      </c>
      <c r="P203" s="27">
        <f t="shared" si="78"/>
        <v>15637</v>
      </c>
      <c r="Q203" s="27">
        <f t="shared" si="79"/>
        <v>790</v>
      </c>
      <c r="R203" s="27">
        <f t="shared" si="80"/>
        <v>413</v>
      </c>
    </row>
    <row r="204" spans="1:18" ht="14.25" thickBot="1">
      <c r="A204" s="21">
        <f t="shared" si="71"/>
        <v>101117</v>
      </c>
      <c r="B204" s="22" t="str">
        <f t="shared" si="72"/>
        <v>巴闭</v>
      </c>
      <c r="C204" s="22">
        <f t="shared" si="73"/>
        <v>1</v>
      </c>
      <c r="D204" s="6">
        <v>10</v>
      </c>
      <c r="E204" s="5">
        <v>4</v>
      </c>
      <c r="F204" s="128">
        <v>92262</v>
      </c>
      <c r="G204" s="128">
        <v>92255</v>
      </c>
      <c r="H204" s="128">
        <v>92294</v>
      </c>
      <c r="I204" s="128">
        <v>92026</v>
      </c>
      <c r="J204" s="128">
        <v>92282</v>
      </c>
      <c r="K204" s="128">
        <v>92298</v>
      </c>
      <c r="L204" s="22">
        <f t="shared" si="74"/>
        <v>447</v>
      </c>
      <c r="M204" s="6">
        <f t="shared" si="75"/>
        <v>0</v>
      </c>
      <c r="N204" s="6">
        <f t="shared" si="76"/>
        <v>315</v>
      </c>
      <c r="O204" s="6">
        <f t="shared" si="77"/>
        <v>132</v>
      </c>
      <c r="P204" s="27">
        <f t="shared" si="78"/>
        <v>23045</v>
      </c>
      <c r="Q204" s="27">
        <f t="shared" si="79"/>
        <v>884</v>
      </c>
      <c r="R204" s="27">
        <f t="shared" si="80"/>
        <v>453</v>
      </c>
    </row>
    <row r="205" spans="1:18" ht="14.25" thickBot="1">
      <c r="A205" s="21">
        <f t="shared" si="71"/>
        <v>101117</v>
      </c>
      <c r="B205" s="22" t="str">
        <f t="shared" si="72"/>
        <v>巴闭</v>
      </c>
      <c r="C205" s="22">
        <f t="shared" si="73"/>
        <v>1</v>
      </c>
      <c r="D205" s="6">
        <v>11</v>
      </c>
      <c r="E205" s="22">
        <v>4</v>
      </c>
      <c r="F205" s="128">
        <v>92255</v>
      </c>
      <c r="G205" s="130">
        <v>92291</v>
      </c>
      <c r="H205" s="128">
        <v>92262</v>
      </c>
      <c r="I205" s="128">
        <v>92294</v>
      </c>
      <c r="J205" s="130">
        <v>92299</v>
      </c>
      <c r="K205" s="128">
        <v>92297</v>
      </c>
      <c r="L205" s="22">
        <f t="shared" si="74"/>
        <v>401.64</v>
      </c>
      <c r="M205" s="6">
        <f t="shared" si="75"/>
        <v>4116</v>
      </c>
      <c r="N205" s="6">
        <f t="shared" si="76"/>
        <v>105</v>
      </c>
      <c r="O205" s="6">
        <f t="shared" si="77"/>
        <v>132</v>
      </c>
      <c r="P205" s="27">
        <f t="shared" si="78"/>
        <v>23045</v>
      </c>
      <c r="Q205" s="27">
        <f t="shared" si="79"/>
        <v>1199</v>
      </c>
      <c r="R205" s="27">
        <f t="shared" si="80"/>
        <v>585</v>
      </c>
    </row>
    <row r="206" spans="1:18" ht="14.25" thickBot="1">
      <c r="A206" s="21">
        <f>D_马仔表!A19</f>
        <v>101118</v>
      </c>
      <c r="B206" s="21" t="str">
        <f>D_马仔表!B19</f>
        <v>耀阳</v>
      </c>
      <c r="C206" s="21">
        <f>D_马仔表!D19</f>
        <v>2</v>
      </c>
      <c r="D206" s="6">
        <v>0</v>
      </c>
      <c r="E206" s="19">
        <v>0</v>
      </c>
      <c r="F206" s="123">
        <v>92243</v>
      </c>
      <c r="G206" s="123">
        <v>92131</v>
      </c>
      <c r="H206" s="123">
        <v>92011</v>
      </c>
      <c r="I206" s="124">
        <v>92277</v>
      </c>
      <c r="J206" s="123">
        <v>92232</v>
      </c>
      <c r="K206" s="123">
        <v>92244</v>
      </c>
      <c r="L206" s="22">
        <f t="shared" si="74"/>
        <v>42.720000000000006</v>
      </c>
      <c r="M206" s="6">
        <f t="shared" si="75"/>
        <v>618</v>
      </c>
      <c r="N206" s="6">
        <f t="shared" si="76"/>
        <v>10</v>
      </c>
      <c r="O206" s="6">
        <f t="shared" si="77"/>
        <v>8</v>
      </c>
      <c r="P206" s="27">
        <f t="shared" si="78"/>
        <v>0</v>
      </c>
      <c r="Q206" s="27">
        <f t="shared" si="79"/>
        <v>0</v>
      </c>
      <c r="R206" s="27">
        <f t="shared" si="80"/>
        <v>0</v>
      </c>
    </row>
    <row r="207" spans="1:18" ht="14.25" thickBot="1">
      <c r="A207" s="21">
        <f t="shared" si="71"/>
        <v>101118</v>
      </c>
      <c r="B207" s="22" t="str">
        <f t="shared" si="72"/>
        <v>耀阳</v>
      </c>
      <c r="C207" s="22">
        <f t="shared" si="73"/>
        <v>2</v>
      </c>
      <c r="D207" s="6">
        <v>1</v>
      </c>
      <c r="E207" s="5">
        <v>0</v>
      </c>
      <c r="F207" s="124">
        <v>92263</v>
      </c>
      <c r="G207" s="123">
        <v>92232</v>
      </c>
      <c r="H207" s="123">
        <v>92244</v>
      </c>
      <c r="I207" s="123">
        <v>92131</v>
      </c>
      <c r="J207" s="123">
        <v>92243</v>
      </c>
      <c r="K207" s="123">
        <v>92228</v>
      </c>
      <c r="L207" s="22">
        <f t="shared" ref="L207:L219" si="81">VLOOKUP(F207,$W$1:$AD$64,8,FALSE)+VLOOKUP(G207,$W$1:$AD$64,8,FALSE)+VLOOKUP(H207,$W$1:$AD$64,8,FALSE)+VLOOKUP(I207,$W$1:$AD$64,8,FALSE)+VLOOKUP(J207,$W$1:$AD$64,8,FALSE)+VLOOKUP(K207,$W$1:$AD$64,8,FALSE)</f>
        <v>42.720000000000006</v>
      </c>
      <c r="M207" s="6">
        <f t="shared" ref="M207:M219" si="82">VLOOKUP(F207,$W$1:$AD$64,5,FALSE)+VLOOKUP(G207,$W$1:$AD$64,5,FALSE)+VLOOKUP(H207,$W$1:$AD$64,5,FALSE)+VLOOKUP(I207,$W$1:$AD$64,5,FALSE)+VLOOKUP(J207,$W$1:$AD$64,5,FALSE)+VLOOKUP(K207,$W$1:$AD$64,5,FALSE)</f>
        <v>618</v>
      </c>
      <c r="N207" s="6">
        <f t="shared" ref="N207:N219" si="83">VLOOKUP(F207,$W$1:$AD$64,6,FALSE)+VLOOKUP(G207,$W$1:$AD$64,6,FALSE)+VLOOKUP(H207,$W$1:$AD$64,6,FALSE)+VLOOKUP(I207,$W$1:$AD$64,6,FALSE)+VLOOKUP(J207,$W$1:$AD$64,6,FALSE)+VLOOKUP(K207,$W$1:$AD$64,6,FALSE)</f>
        <v>10</v>
      </c>
      <c r="O207" s="6">
        <f t="shared" ref="O207:O219" si="84">VLOOKUP(F207,$W$1:$AD$64,7,FALSE)+VLOOKUP(G207,$W$1:$AD$64,7,FALSE)+VLOOKUP(H207,$W$1:$AD$64,7,FALSE)+VLOOKUP(I207,$W$1:$AD$64,7,FALSE)+VLOOKUP(J207,$W$1:$AD$64,7,FALSE)+VLOOKUP(K207,$W$1:$AD$64,7,FALSE)</f>
        <v>8</v>
      </c>
      <c r="P207" s="27">
        <f t="shared" si="78"/>
        <v>618</v>
      </c>
      <c r="Q207" s="27">
        <f t="shared" si="79"/>
        <v>10</v>
      </c>
      <c r="R207" s="27">
        <f t="shared" si="80"/>
        <v>8</v>
      </c>
    </row>
    <row r="208" spans="1:18" ht="14.25" thickBot="1">
      <c r="A208" s="21">
        <f t="shared" si="71"/>
        <v>101118</v>
      </c>
      <c r="B208" s="22" t="str">
        <f t="shared" si="72"/>
        <v>耀阳</v>
      </c>
      <c r="C208" s="22">
        <f t="shared" si="73"/>
        <v>2</v>
      </c>
      <c r="D208" s="6">
        <v>2</v>
      </c>
      <c r="E208" s="5">
        <v>1</v>
      </c>
      <c r="F208" s="125">
        <v>92245</v>
      </c>
      <c r="G208" s="125">
        <v>92278</v>
      </c>
      <c r="H208" s="125">
        <v>92141</v>
      </c>
      <c r="I208" s="126">
        <v>92287</v>
      </c>
      <c r="J208" s="125">
        <v>92264</v>
      </c>
      <c r="K208" s="125">
        <v>92233</v>
      </c>
      <c r="L208" s="22">
        <f t="shared" si="81"/>
        <v>131.04000000000002</v>
      </c>
      <c r="M208" s="6">
        <f t="shared" si="82"/>
        <v>1851</v>
      </c>
      <c r="N208" s="6">
        <f t="shared" si="83"/>
        <v>31</v>
      </c>
      <c r="O208" s="6">
        <f t="shared" si="84"/>
        <v>26</v>
      </c>
      <c r="P208" s="27">
        <f t="shared" si="78"/>
        <v>1236</v>
      </c>
      <c r="Q208" s="27">
        <f t="shared" si="79"/>
        <v>20</v>
      </c>
      <c r="R208" s="27">
        <f t="shared" si="80"/>
        <v>16</v>
      </c>
    </row>
    <row r="209" spans="1:18" ht="14.25" thickBot="1">
      <c r="A209" s="21">
        <f t="shared" si="71"/>
        <v>101118</v>
      </c>
      <c r="B209" s="22" t="str">
        <f t="shared" si="72"/>
        <v>耀阳</v>
      </c>
      <c r="C209" s="22">
        <f t="shared" si="73"/>
        <v>2</v>
      </c>
      <c r="D209" s="6">
        <v>3</v>
      </c>
      <c r="E209" s="5">
        <v>1</v>
      </c>
      <c r="F209" s="125">
        <v>92251</v>
      </c>
      <c r="G209" s="125">
        <v>92122</v>
      </c>
      <c r="H209" s="126">
        <v>92283</v>
      </c>
      <c r="I209" s="125">
        <v>92245</v>
      </c>
      <c r="J209" s="126">
        <v>92287</v>
      </c>
      <c r="K209" s="125">
        <v>92271</v>
      </c>
      <c r="L209" s="22">
        <f t="shared" si="81"/>
        <v>149.04000000000002</v>
      </c>
      <c r="M209" s="6">
        <f t="shared" si="82"/>
        <v>1851</v>
      </c>
      <c r="N209" s="6">
        <f t="shared" si="83"/>
        <v>62</v>
      </c>
      <c r="O209" s="6">
        <f t="shared" si="84"/>
        <v>13</v>
      </c>
      <c r="P209" s="27">
        <f t="shared" si="78"/>
        <v>3087</v>
      </c>
      <c r="Q209" s="27">
        <f t="shared" si="79"/>
        <v>51</v>
      </c>
      <c r="R209" s="27">
        <f t="shared" si="80"/>
        <v>42</v>
      </c>
    </row>
    <row r="210" spans="1:18" ht="14.25" thickBot="1">
      <c r="A210" s="21">
        <f t="shared" si="71"/>
        <v>101118</v>
      </c>
      <c r="B210" s="22" t="str">
        <f t="shared" si="72"/>
        <v>耀阳</v>
      </c>
      <c r="C210" s="22">
        <f t="shared" si="73"/>
        <v>2</v>
      </c>
      <c r="D210" s="6">
        <v>4</v>
      </c>
      <c r="E210" s="5">
        <v>2</v>
      </c>
      <c r="F210" s="127">
        <v>92252</v>
      </c>
      <c r="G210" s="127">
        <v>92124</v>
      </c>
      <c r="H210" s="132">
        <v>92284</v>
      </c>
      <c r="I210" s="127">
        <v>92012</v>
      </c>
      <c r="J210" s="127">
        <v>92235</v>
      </c>
      <c r="K210" s="127">
        <v>92142</v>
      </c>
      <c r="L210" s="22">
        <f t="shared" si="81"/>
        <v>230.32</v>
      </c>
      <c r="M210" s="6">
        <f t="shared" si="82"/>
        <v>2058</v>
      </c>
      <c r="N210" s="6">
        <f t="shared" si="83"/>
        <v>104</v>
      </c>
      <c r="O210" s="6">
        <f t="shared" si="84"/>
        <v>44</v>
      </c>
      <c r="P210" s="27">
        <f t="shared" si="78"/>
        <v>4938</v>
      </c>
      <c r="Q210" s="27">
        <f t="shared" si="79"/>
        <v>113</v>
      </c>
      <c r="R210" s="27">
        <f t="shared" si="80"/>
        <v>55</v>
      </c>
    </row>
    <row r="211" spans="1:18" ht="14.25" thickBot="1">
      <c r="A211" s="21">
        <f t="shared" si="71"/>
        <v>101118</v>
      </c>
      <c r="B211" s="22" t="str">
        <f t="shared" si="72"/>
        <v>耀阳</v>
      </c>
      <c r="C211" s="22">
        <f t="shared" si="73"/>
        <v>2</v>
      </c>
      <c r="D211" s="6">
        <v>5</v>
      </c>
      <c r="E211" s="5">
        <v>2</v>
      </c>
      <c r="F211" s="127">
        <v>92124</v>
      </c>
      <c r="G211" s="132">
        <v>92288</v>
      </c>
      <c r="H211" s="127">
        <v>92012</v>
      </c>
      <c r="I211" s="127">
        <v>92252</v>
      </c>
      <c r="J211" s="132">
        <v>92284</v>
      </c>
      <c r="K211" s="127">
        <v>92272</v>
      </c>
      <c r="L211" s="22">
        <f t="shared" si="81"/>
        <v>249.48</v>
      </c>
      <c r="M211" s="6">
        <f t="shared" si="82"/>
        <v>3087</v>
      </c>
      <c r="N211" s="6">
        <f t="shared" si="83"/>
        <v>104</v>
      </c>
      <c r="O211" s="6">
        <f t="shared" si="84"/>
        <v>22</v>
      </c>
      <c r="P211" s="27">
        <f t="shared" si="78"/>
        <v>6996</v>
      </c>
      <c r="Q211" s="27">
        <f t="shared" si="79"/>
        <v>217</v>
      </c>
      <c r="R211" s="27">
        <f t="shared" si="80"/>
        <v>99</v>
      </c>
    </row>
    <row r="212" spans="1:18" ht="14.25" thickBot="1">
      <c r="A212" s="21">
        <f t="shared" si="71"/>
        <v>101118</v>
      </c>
      <c r="B212" s="22" t="str">
        <f t="shared" si="72"/>
        <v>耀阳</v>
      </c>
      <c r="C212" s="22">
        <f t="shared" si="73"/>
        <v>2</v>
      </c>
      <c r="D212" s="6">
        <v>6</v>
      </c>
      <c r="E212" s="5">
        <v>3</v>
      </c>
      <c r="F212" s="131">
        <v>92013</v>
      </c>
      <c r="G212" s="131">
        <v>92253</v>
      </c>
      <c r="H212" s="131">
        <v>92236</v>
      </c>
      <c r="I212" s="131">
        <v>92280</v>
      </c>
      <c r="J212" s="131">
        <v>92227</v>
      </c>
      <c r="K212" s="131">
        <v>92125</v>
      </c>
      <c r="L212" s="22">
        <f t="shared" si="81"/>
        <v>307.8</v>
      </c>
      <c r="M212" s="6">
        <f t="shared" si="82"/>
        <v>4320</v>
      </c>
      <c r="N212" s="6">
        <f t="shared" si="83"/>
        <v>73</v>
      </c>
      <c r="O212" s="6">
        <f t="shared" si="84"/>
        <v>62</v>
      </c>
      <c r="P212" s="27">
        <f t="shared" si="78"/>
        <v>10083</v>
      </c>
      <c r="Q212" s="27">
        <f t="shared" si="79"/>
        <v>321</v>
      </c>
      <c r="R212" s="27">
        <f t="shared" si="80"/>
        <v>121</v>
      </c>
    </row>
    <row r="213" spans="1:18" ht="14.25" thickBot="1">
      <c r="A213" s="21">
        <f t="shared" si="71"/>
        <v>101118</v>
      </c>
      <c r="B213" s="22" t="str">
        <f t="shared" si="72"/>
        <v>耀阳</v>
      </c>
      <c r="C213" s="22">
        <f t="shared" si="73"/>
        <v>2</v>
      </c>
      <c r="D213" s="6">
        <v>7</v>
      </c>
      <c r="E213" s="5">
        <v>3</v>
      </c>
      <c r="F213" s="131">
        <v>92227</v>
      </c>
      <c r="G213" s="129">
        <v>92289</v>
      </c>
      <c r="H213" s="131">
        <v>92253</v>
      </c>
      <c r="I213" s="129">
        <v>92285</v>
      </c>
      <c r="J213" s="131">
        <v>92280</v>
      </c>
      <c r="K213" s="131">
        <v>92223</v>
      </c>
      <c r="L213" s="22">
        <f t="shared" si="81"/>
        <v>307.8</v>
      </c>
      <c r="M213" s="6">
        <f t="shared" si="82"/>
        <v>4320</v>
      </c>
      <c r="N213" s="6">
        <f t="shared" si="83"/>
        <v>73</v>
      </c>
      <c r="O213" s="6">
        <f t="shared" si="84"/>
        <v>62</v>
      </c>
      <c r="P213" s="27">
        <f t="shared" si="78"/>
        <v>14403</v>
      </c>
      <c r="Q213" s="27">
        <f t="shared" si="79"/>
        <v>394</v>
      </c>
      <c r="R213" s="27">
        <f t="shared" si="80"/>
        <v>183</v>
      </c>
    </row>
    <row r="214" spans="1:18" ht="14.25" thickBot="1">
      <c r="A214" s="21">
        <f t="shared" si="71"/>
        <v>101118</v>
      </c>
      <c r="B214" s="22" t="str">
        <f t="shared" si="72"/>
        <v>耀阳</v>
      </c>
      <c r="C214" s="22">
        <f t="shared" si="73"/>
        <v>2</v>
      </c>
      <c r="D214" s="6">
        <v>8</v>
      </c>
      <c r="E214" s="5">
        <v>4</v>
      </c>
      <c r="F214" s="128">
        <v>92026</v>
      </c>
      <c r="G214" s="128">
        <v>92255</v>
      </c>
      <c r="H214" s="128">
        <v>92297</v>
      </c>
      <c r="I214" s="128">
        <v>92293</v>
      </c>
      <c r="J214" s="128">
        <v>92294</v>
      </c>
      <c r="K214" s="128">
        <v>92295</v>
      </c>
      <c r="L214" s="22">
        <f t="shared" si="81"/>
        <v>462.64</v>
      </c>
      <c r="M214" s="6">
        <f t="shared" si="82"/>
        <v>4116</v>
      </c>
      <c r="N214" s="6">
        <f t="shared" si="83"/>
        <v>210</v>
      </c>
      <c r="O214" s="6">
        <f t="shared" si="84"/>
        <v>88</v>
      </c>
      <c r="P214" s="27">
        <f t="shared" si="78"/>
        <v>18723</v>
      </c>
      <c r="Q214" s="27">
        <f t="shared" si="79"/>
        <v>467</v>
      </c>
      <c r="R214" s="27">
        <f t="shared" si="80"/>
        <v>245</v>
      </c>
    </row>
    <row r="215" spans="1:18" ht="14.25" thickBot="1">
      <c r="A215" s="21">
        <f t="shared" si="71"/>
        <v>101118</v>
      </c>
      <c r="B215" s="22" t="str">
        <f t="shared" si="72"/>
        <v>耀阳</v>
      </c>
      <c r="C215" s="22">
        <f t="shared" si="73"/>
        <v>2</v>
      </c>
      <c r="D215" s="6">
        <v>9</v>
      </c>
      <c r="E215" s="5">
        <v>4</v>
      </c>
      <c r="F215" s="128">
        <v>92282</v>
      </c>
      <c r="G215" s="128">
        <v>92026</v>
      </c>
      <c r="H215" s="128">
        <v>92298</v>
      </c>
      <c r="I215" s="130">
        <v>92290</v>
      </c>
      <c r="J215" s="128">
        <v>92255</v>
      </c>
      <c r="K215" s="130">
        <v>92286</v>
      </c>
      <c r="L215" s="22">
        <f t="shared" si="81"/>
        <v>412.08</v>
      </c>
      <c r="M215" s="6">
        <f t="shared" si="82"/>
        <v>1852</v>
      </c>
      <c r="N215" s="6">
        <f t="shared" si="83"/>
        <v>210</v>
      </c>
      <c r="O215" s="6">
        <f t="shared" si="84"/>
        <v>128</v>
      </c>
      <c r="P215" s="27">
        <f t="shared" si="78"/>
        <v>22839</v>
      </c>
      <c r="Q215" s="27">
        <f t="shared" si="79"/>
        <v>677</v>
      </c>
      <c r="R215" s="27">
        <f t="shared" si="80"/>
        <v>333</v>
      </c>
    </row>
    <row r="216" spans="1:18" ht="14.25" thickBot="1">
      <c r="A216" s="21">
        <f t="shared" si="71"/>
        <v>101118</v>
      </c>
      <c r="B216" s="22" t="str">
        <f t="shared" si="72"/>
        <v>耀阳</v>
      </c>
      <c r="C216" s="22">
        <f t="shared" si="73"/>
        <v>2</v>
      </c>
      <c r="D216" s="6">
        <v>10</v>
      </c>
      <c r="E216" s="5">
        <v>4</v>
      </c>
      <c r="F216" s="128">
        <v>92282</v>
      </c>
      <c r="G216" s="128">
        <v>92295</v>
      </c>
      <c r="H216" s="130">
        <v>92291</v>
      </c>
      <c r="I216" s="128">
        <v>92294</v>
      </c>
      <c r="J216" s="128">
        <v>92298</v>
      </c>
      <c r="K216" s="128">
        <v>92262</v>
      </c>
      <c r="L216" s="22">
        <f t="shared" si="81"/>
        <v>462.64</v>
      </c>
      <c r="M216" s="6">
        <f t="shared" si="82"/>
        <v>4116</v>
      </c>
      <c r="N216" s="6">
        <f t="shared" si="83"/>
        <v>210</v>
      </c>
      <c r="O216" s="6">
        <f t="shared" si="84"/>
        <v>88</v>
      </c>
      <c r="P216" s="27">
        <f t="shared" si="78"/>
        <v>24691</v>
      </c>
      <c r="Q216" s="27">
        <f t="shared" si="79"/>
        <v>887</v>
      </c>
      <c r="R216" s="27">
        <f t="shared" si="80"/>
        <v>461</v>
      </c>
    </row>
    <row r="217" spans="1:18" ht="14.25" thickBot="1">
      <c r="A217" s="21">
        <f t="shared" si="71"/>
        <v>101118</v>
      </c>
      <c r="B217" s="22" t="str">
        <f t="shared" si="72"/>
        <v>耀阳</v>
      </c>
      <c r="C217" s="22">
        <f t="shared" si="73"/>
        <v>2</v>
      </c>
      <c r="D217" s="6">
        <v>11</v>
      </c>
      <c r="E217" s="22">
        <v>4</v>
      </c>
      <c r="F217" s="130">
        <v>92291</v>
      </c>
      <c r="G217" s="128">
        <v>92294</v>
      </c>
      <c r="H217" s="128">
        <v>92262</v>
      </c>
      <c r="I217" s="128">
        <v>92026</v>
      </c>
      <c r="J217" s="128">
        <v>92282</v>
      </c>
      <c r="K217" s="130">
        <v>92299</v>
      </c>
      <c r="L217" s="22">
        <f t="shared" si="81"/>
        <v>485.32</v>
      </c>
      <c r="M217" s="6">
        <f t="shared" si="82"/>
        <v>2058</v>
      </c>
      <c r="N217" s="6">
        <f t="shared" si="83"/>
        <v>315</v>
      </c>
      <c r="O217" s="6">
        <f t="shared" si="84"/>
        <v>88</v>
      </c>
      <c r="P217" s="27">
        <f t="shared" si="78"/>
        <v>28807</v>
      </c>
      <c r="Q217" s="27">
        <f t="shared" si="79"/>
        <v>1097</v>
      </c>
      <c r="R217" s="27">
        <f t="shared" si="80"/>
        <v>549</v>
      </c>
    </row>
    <row r="218" spans="1:18" ht="14.25" thickBot="1">
      <c r="A218" s="21">
        <f>D_马仔表!A20</f>
        <v>101119</v>
      </c>
      <c r="B218" s="21" t="str">
        <f>D_马仔表!B20</f>
        <v>笑面虎</v>
      </c>
      <c r="C218" s="22">
        <f t="shared" si="73"/>
        <v>2</v>
      </c>
      <c r="D218" s="6">
        <v>0</v>
      </c>
      <c r="E218" s="19">
        <v>0</v>
      </c>
      <c r="F218" s="123">
        <v>92011</v>
      </c>
      <c r="G218" s="124">
        <v>92263</v>
      </c>
      <c r="H218" s="123">
        <v>92232</v>
      </c>
      <c r="I218" s="124">
        <v>92277</v>
      </c>
      <c r="J218" s="123">
        <v>92228</v>
      </c>
      <c r="K218" s="123">
        <v>92131</v>
      </c>
      <c r="L218" s="22">
        <f t="shared" si="81"/>
        <v>44.480000000000004</v>
      </c>
      <c r="M218" s="6">
        <f t="shared" si="82"/>
        <v>412</v>
      </c>
      <c r="N218" s="6">
        <f t="shared" si="83"/>
        <v>20</v>
      </c>
      <c r="O218" s="6">
        <f t="shared" si="84"/>
        <v>8</v>
      </c>
      <c r="P218" s="27">
        <f t="shared" si="78"/>
        <v>0</v>
      </c>
      <c r="Q218" s="27">
        <f t="shared" si="79"/>
        <v>0</v>
      </c>
      <c r="R218" s="27">
        <f t="shared" si="80"/>
        <v>0</v>
      </c>
    </row>
    <row r="219" spans="1:18" ht="14.25" thickBot="1">
      <c r="A219" s="21">
        <f t="shared" si="71"/>
        <v>101119</v>
      </c>
      <c r="B219" s="22" t="str">
        <f t="shared" si="72"/>
        <v>笑面虎</v>
      </c>
      <c r="C219" s="22">
        <f t="shared" si="73"/>
        <v>2</v>
      </c>
      <c r="D219" s="6">
        <v>1</v>
      </c>
      <c r="E219" s="5">
        <v>0</v>
      </c>
      <c r="F219" s="123">
        <v>92011</v>
      </c>
      <c r="G219" s="123">
        <v>92121</v>
      </c>
      <c r="H219" s="123">
        <v>92131</v>
      </c>
      <c r="I219" s="123">
        <v>92228</v>
      </c>
      <c r="J219" s="123">
        <v>92244</v>
      </c>
      <c r="K219" s="124">
        <v>92277</v>
      </c>
      <c r="L219" s="22">
        <f t="shared" si="81"/>
        <v>44.480000000000004</v>
      </c>
      <c r="M219" s="6">
        <f t="shared" si="82"/>
        <v>412</v>
      </c>
      <c r="N219" s="6">
        <f t="shared" si="83"/>
        <v>20</v>
      </c>
      <c r="O219" s="6">
        <f t="shared" si="84"/>
        <v>8</v>
      </c>
      <c r="P219" s="27">
        <f t="shared" si="78"/>
        <v>412</v>
      </c>
      <c r="Q219" s="27">
        <f t="shared" si="79"/>
        <v>20</v>
      </c>
      <c r="R219" s="27">
        <f t="shared" si="80"/>
        <v>8</v>
      </c>
    </row>
    <row r="220" spans="1:18" ht="14.25" thickBot="1">
      <c r="A220" s="21">
        <f t="shared" si="71"/>
        <v>101119</v>
      </c>
      <c r="B220" s="22" t="str">
        <f t="shared" si="72"/>
        <v>笑面虎</v>
      </c>
      <c r="C220" s="22">
        <f t="shared" si="73"/>
        <v>2</v>
      </c>
      <c r="D220" s="6">
        <v>2</v>
      </c>
      <c r="E220" s="5">
        <v>1</v>
      </c>
      <c r="F220" s="125">
        <v>92264</v>
      </c>
      <c r="G220" s="125">
        <v>92245</v>
      </c>
      <c r="H220" s="125">
        <v>92251</v>
      </c>
      <c r="I220" s="126">
        <v>92287</v>
      </c>
      <c r="J220" s="125">
        <v>92271</v>
      </c>
      <c r="K220" s="125">
        <v>92141</v>
      </c>
      <c r="L220" s="22">
        <f t="shared" ref="L220:L228" si="85">VLOOKUP(F220,$W$1:$AD$64,8,FALSE)+VLOOKUP(G220,$W$1:$AD$64,8,FALSE)+VLOOKUP(H220,$W$1:$AD$64,8,FALSE)+VLOOKUP(I220,$W$1:$AD$64,8,FALSE)+VLOOKUP(J220,$W$1:$AD$64,8,FALSE)+VLOOKUP(K220,$W$1:$AD$64,8,FALSE)</f>
        <v>131.04000000000002</v>
      </c>
      <c r="M220" s="6">
        <f t="shared" ref="M220:M228" si="86">VLOOKUP(F220,$W$1:$AD$64,5,FALSE)+VLOOKUP(G220,$W$1:$AD$64,5,FALSE)+VLOOKUP(H220,$W$1:$AD$64,5,FALSE)+VLOOKUP(I220,$W$1:$AD$64,5,FALSE)+VLOOKUP(J220,$W$1:$AD$64,5,FALSE)+VLOOKUP(K220,$W$1:$AD$64,5,FALSE)</f>
        <v>1851</v>
      </c>
      <c r="N220" s="6">
        <f t="shared" ref="N220:N228" si="87">VLOOKUP(F220,$W$1:$AD$64,6,FALSE)+VLOOKUP(G220,$W$1:$AD$64,6,FALSE)+VLOOKUP(H220,$W$1:$AD$64,6,FALSE)+VLOOKUP(I220,$W$1:$AD$64,6,FALSE)+VLOOKUP(J220,$W$1:$AD$64,6,FALSE)+VLOOKUP(K220,$W$1:$AD$64,6,FALSE)</f>
        <v>31</v>
      </c>
      <c r="O220" s="6">
        <f t="shared" ref="O220:O228" si="88">VLOOKUP(F220,$W$1:$AD$64,7,FALSE)+VLOOKUP(G220,$W$1:$AD$64,7,FALSE)+VLOOKUP(H220,$W$1:$AD$64,7,FALSE)+VLOOKUP(I220,$W$1:$AD$64,7,FALSE)+VLOOKUP(J220,$W$1:$AD$64,7,FALSE)+VLOOKUP(K220,$W$1:$AD$64,7,FALSE)</f>
        <v>26</v>
      </c>
      <c r="P220" s="27">
        <f t="shared" si="78"/>
        <v>824</v>
      </c>
      <c r="Q220" s="27">
        <f t="shared" si="79"/>
        <v>40</v>
      </c>
      <c r="R220" s="27">
        <f t="shared" si="80"/>
        <v>16</v>
      </c>
    </row>
    <row r="221" spans="1:18" ht="14.25" thickBot="1">
      <c r="A221" s="21">
        <f t="shared" si="71"/>
        <v>101119</v>
      </c>
      <c r="B221" s="22" t="str">
        <f t="shared" si="72"/>
        <v>笑面虎</v>
      </c>
      <c r="C221" s="22">
        <f t="shared" si="73"/>
        <v>2</v>
      </c>
      <c r="D221" s="6">
        <v>3</v>
      </c>
      <c r="E221" s="5">
        <v>1</v>
      </c>
      <c r="F221" s="125">
        <v>92271</v>
      </c>
      <c r="G221" s="126">
        <v>92287</v>
      </c>
      <c r="H221" s="125">
        <v>92264</v>
      </c>
      <c r="I221" s="125">
        <v>92251</v>
      </c>
      <c r="J221" s="126">
        <v>92283</v>
      </c>
      <c r="K221" s="125">
        <v>92122</v>
      </c>
      <c r="L221" s="22">
        <f t="shared" si="85"/>
        <v>137.36000000000001</v>
      </c>
      <c r="M221" s="6">
        <f t="shared" si="86"/>
        <v>1234</v>
      </c>
      <c r="N221" s="6">
        <f t="shared" si="87"/>
        <v>62</v>
      </c>
      <c r="O221" s="6">
        <f t="shared" si="88"/>
        <v>26</v>
      </c>
      <c r="P221" s="27">
        <f t="shared" si="78"/>
        <v>2675</v>
      </c>
      <c r="Q221" s="27">
        <f t="shared" si="79"/>
        <v>71</v>
      </c>
      <c r="R221" s="27">
        <f t="shared" si="80"/>
        <v>42</v>
      </c>
    </row>
    <row r="222" spans="1:18" ht="14.25" thickBot="1">
      <c r="A222" s="21">
        <f t="shared" si="71"/>
        <v>101119</v>
      </c>
      <c r="B222" s="22" t="str">
        <f t="shared" si="72"/>
        <v>笑面虎</v>
      </c>
      <c r="C222" s="22">
        <f t="shared" si="73"/>
        <v>2</v>
      </c>
      <c r="D222" s="6">
        <v>4</v>
      </c>
      <c r="E222" s="5">
        <v>2</v>
      </c>
      <c r="F222" s="127">
        <v>92012</v>
      </c>
      <c r="G222" s="127">
        <v>92272</v>
      </c>
      <c r="H222" s="127">
        <v>92124</v>
      </c>
      <c r="I222" s="132">
        <v>92288</v>
      </c>
      <c r="J222" s="127">
        <v>92279</v>
      </c>
      <c r="K222" s="127">
        <v>92235</v>
      </c>
      <c r="L222" s="22">
        <f t="shared" si="85"/>
        <v>200.32</v>
      </c>
      <c r="M222" s="6">
        <f t="shared" si="86"/>
        <v>2058</v>
      </c>
      <c r="N222" s="6">
        <f t="shared" si="87"/>
        <v>52</v>
      </c>
      <c r="O222" s="6">
        <f t="shared" si="88"/>
        <v>66</v>
      </c>
      <c r="P222" s="27">
        <f t="shared" si="78"/>
        <v>3909</v>
      </c>
      <c r="Q222" s="27">
        <f t="shared" si="79"/>
        <v>133</v>
      </c>
      <c r="R222" s="27">
        <f t="shared" si="80"/>
        <v>68</v>
      </c>
    </row>
    <row r="223" spans="1:18" ht="14.25" thickBot="1">
      <c r="A223" s="21">
        <f t="shared" si="71"/>
        <v>101119</v>
      </c>
      <c r="B223" s="22" t="str">
        <f t="shared" si="72"/>
        <v>笑面虎</v>
      </c>
      <c r="C223" s="22">
        <f t="shared" si="73"/>
        <v>2</v>
      </c>
      <c r="D223" s="6">
        <v>5</v>
      </c>
      <c r="E223" s="5">
        <v>2</v>
      </c>
      <c r="F223" s="127">
        <v>92124</v>
      </c>
      <c r="G223" s="132">
        <v>92284</v>
      </c>
      <c r="H223" s="127">
        <v>92272</v>
      </c>
      <c r="I223" s="127">
        <v>92279</v>
      </c>
      <c r="J223" s="132">
        <v>92288</v>
      </c>
      <c r="K223" s="127">
        <v>92142</v>
      </c>
      <c r="L223" s="22">
        <f t="shared" si="85"/>
        <v>230.32</v>
      </c>
      <c r="M223" s="6">
        <f t="shared" si="86"/>
        <v>2058</v>
      </c>
      <c r="N223" s="6">
        <f t="shared" si="87"/>
        <v>104</v>
      </c>
      <c r="O223" s="6">
        <f t="shared" si="88"/>
        <v>44</v>
      </c>
      <c r="P223" s="27">
        <f t="shared" si="78"/>
        <v>5967</v>
      </c>
      <c r="Q223" s="27">
        <f t="shared" si="79"/>
        <v>185</v>
      </c>
      <c r="R223" s="27">
        <f t="shared" si="80"/>
        <v>134</v>
      </c>
    </row>
    <row r="224" spans="1:18" ht="14.25" thickBot="1">
      <c r="A224" s="21">
        <f t="shared" si="71"/>
        <v>101119</v>
      </c>
      <c r="B224" s="22" t="str">
        <f t="shared" si="72"/>
        <v>笑面虎</v>
      </c>
      <c r="C224" s="22">
        <f t="shared" si="73"/>
        <v>2</v>
      </c>
      <c r="D224" s="6">
        <v>6</v>
      </c>
      <c r="E224" s="5">
        <v>3</v>
      </c>
      <c r="F224" s="131">
        <v>92254</v>
      </c>
      <c r="G224" s="131">
        <v>92280</v>
      </c>
      <c r="H224" s="131">
        <v>92227</v>
      </c>
      <c r="I224" s="131">
        <v>92253</v>
      </c>
      <c r="J224" s="131">
        <v>92236</v>
      </c>
      <c r="K224" s="131">
        <v>92125</v>
      </c>
      <c r="L224" s="22">
        <f t="shared" si="85"/>
        <v>349.79999999999995</v>
      </c>
      <c r="M224" s="6">
        <f t="shared" si="86"/>
        <v>4320</v>
      </c>
      <c r="N224" s="6">
        <f t="shared" si="87"/>
        <v>146</v>
      </c>
      <c r="O224" s="6">
        <f t="shared" si="88"/>
        <v>31</v>
      </c>
      <c r="P224" s="27">
        <f t="shared" si="78"/>
        <v>8025</v>
      </c>
      <c r="Q224" s="27">
        <f t="shared" si="79"/>
        <v>289</v>
      </c>
      <c r="R224" s="27">
        <f t="shared" si="80"/>
        <v>178</v>
      </c>
    </row>
    <row r="225" spans="1:18" ht="14.25" thickBot="1">
      <c r="A225" s="21">
        <f t="shared" si="71"/>
        <v>101119</v>
      </c>
      <c r="B225" s="22" t="str">
        <f t="shared" si="72"/>
        <v>笑面虎</v>
      </c>
      <c r="C225" s="22">
        <f t="shared" si="73"/>
        <v>2</v>
      </c>
      <c r="D225" s="6">
        <v>7</v>
      </c>
      <c r="E225" s="5">
        <v>3</v>
      </c>
      <c r="F225" s="131">
        <v>92274</v>
      </c>
      <c r="G225" s="129">
        <v>92289</v>
      </c>
      <c r="H225" s="131">
        <v>92254</v>
      </c>
      <c r="I225" s="131">
        <v>92253</v>
      </c>
      <c r="J225" s="129">
        <v>92285</v>
      </c>
      <c r="K225" s="131">
        <v>92236</v>
      </c>
      <c r="L225" s="22">
        <f t="shared" si="85"/>
        <v>338.6</v>
      </c>
      <c r="M225" s="6">
        <f t="shared" si="86"/>
        <v>1440</v>
      </c>
      <c r="N225" s="6">
        <f t="shared" si="87"/>
        <v>219</v>
      </c>
      <c r="O225" s="6">
        <f t="shared" si="88"/>
        <v>62</v>
      </c>
      <c r="P225" s="27">
        <f t="shared" si="78"/>
        <v>12345</v>
      </c>
      <c r="Q225" s="27">
        <f t="shared" si="79"/>
        <v>435</v>
      </c>
      <c r="R225" s="27">
        <f t="shared" si="80"/>
        <v>209</v>
      </c>
    </row>
    <row r="226" spans="1:18" ht="14.25" thickBot="1">
      <c r="A226" s="21">
        <f t="shared" si="71"/>
        <v>101119</v>
      </c>
      <c r="B226" s="22" t="str">
        <f t="shared" si="72"/>
        <v>笑面虎</v>
      </c>
      <c r="C226" s="22">
        <f t="shared" si="73"/>
        <v>2</v>
      </c>
      <c r="D226" s="6">
        <v>8</v>
      </c>
      <c r="E226" s="5">
        <v>4</v>
      </c>
      <c r="F226" s="128">
        <v>92256</v>
      </c>
      <c r="G226" s="128">
        <v>92014</v>
      </c>
      <c r="H226" s="128">
        <v>92296</v>
      </c>
      <c r="I226" s="128">
        <v>92292</v>
      </c>
      <c r="J226" s="128">
        <v>92261</v>
      </c>
      <c r="K226" s="128">
        <v>92281</v>
      </c>
      <c r="L226" s="22">
        <f t="shared" si="85"/>
        <v>470.15999999999997</v>
      </c>
      <c r="M226" s="6">
        <f t="shared" si="86"/>
        <v>3704</v>
      </c>
      <c r="N226" s="6">
        <f t="shared" si="87"/>
        <v>282</v>
      </c>
      <c r="O226" s="6">
        <f t="shared" si="88"/>
        <v>40</v>
      </c>
      <c r="P226" s="27">
        <f t="shared" si="78"/>
        <v>13785</v>
      </c>
      <c r="Q226" s="27">
        <f t="shared" si="79"/>
        <v>654</v>
      </c>
      <c r="R226" s="27">
        <f t="shared" si="80"/>
        <v>271</v>
      </c>
    </row>
    <row r="227" spans="1:18" ht="14.25" thickBot="1">
      <c r="A227" s="21">
        <f t="shared" si="71"/>
        <v>101119</v>
      </c>
      <c r="B227" s="22" t="str">
        <f t="shared" si="72"/>
        <v>笑面虎</v>
      </c>
      <c r="C227" s="22">
        <f t="shared" si="73"/>
        <v>2</v>
      </c>
      <c r="D227" s="6">
        <v>9</v>
      </c>
      <c r="E227" s="5">
        <v>4</v>
      </c>
      <c r="F227" s="130">
        <v>92286</v>
      </c>
      <c r="G227" s="128">
        <v>92296</v>
      </c>
      <c r="H227" s="128">
        <v>92014</v>
      </c>
      <c r="I227" s="130">
        <v>92290</v>
      </c>
      <c r="J227" s="128">
        <v>92281</v>
      </c>
      <c r="K227" s="128">
        <v>92256</v>
      </c>
      <c r="L227" s="22">
        <f t="shared" si="85"/>
        <v>470.15999999999997</v>
      </c>
      <c r="M227" s="6">
        <f t="shared" si="86"/>
        <v>3704</v>
      </c>
      <c r="N227" s="6">
        <f t="shared" si="87"/>
        <v>282</v>
      </c>
      <c r="O227" s="6">
        <f t="shared" si="88"/>
        <v>40</v>
      </c>
      <c r="P227" s="27">
        <f t="shared" si="78"/>
        <v>17489</v>
      </c>
      <c r="Q227" s="27">
        <f t="shared" si="79"/>
        <v>936</v>
      </c>
      <c r="R227" s="27">
        <f t="shared" si="80"/>
        <v>311</v>
      </c>
    </row>
    <row r="228" spans="1:18" ht="14.25" thickBot="1">
      <c r="A228" s="21">
        <f t="shared" si="71"/>
        <v>101119</v>
      </c>
      <c r="B228" s="22" t="str">
        <f t="shared" si="72"/>
        <v>笑面虎</v>
      </c>
      <c r="C228" s="22">
        <f t="shared" si="73"/>
        <v>2</v>
      </c>
      <c r="D228" s="6">
        <v>10</v>
      </c>
      <c r="E228" s="5">
        <v>4</v>
      </c>
      <c r="F228" s="128">
        <v>92293</v>
      </c>
      <c r="G228" s="128">
        <v>92255</v>
      </c>
      <c r="H228" s="130">
        <v>92299</v>
      </c>
      <c r="I228" s="128">
        <v>92262</v>
      </c>
      <c r="J228" s="128">
        <v>92026</v>
      </c>
      <c r="K228" s="128">
        <v>92282</v>
      </c>
      <c r="L228" s="22">
        <f t="shared" si="85"/>
        <v>508</v>
      </c>
      <c r="M228" s="6">
        <f t="shared" si="86"/>
        <v>0</v>
      </c>
      <c r="N228" s="6">
        <f t="shared" si="87"/>
        <v>420</v>
      </c>
      <c r="O228" s="6">
        <f t="shared" si="88"/>
        <v>88</v>
      </c>
      <c r="P228" s="27">
        <f t="shared" si="78"/>
        <v>21193</v>
      </c>
      <c r="Q228" s="27">
        <f t="shared" si="79"/>
        <v>1218</v>
      </c>
      <c r="R228" s="27">
        <f t="shared" si="80"/>
        <v>351</v>
      </c>
    </row>
    <row r="229" spans="1:18" ht="14.25" thickBot="1">
      <c r="A229" s="21">
        <f t="shared" si="71"/>
        <v>101119</v>
      </c>
      <c r="B229" s="22" t="str">
        <f t="shared" si="72"/>
        <v>笑面虎</v>
      </c>
      <c r="C229" s="22">
        <f t="shared" si="73"/>
        <v>2</v>
      </c>
      <c r="D229" s="6">
        <v>11</v>
      </c>
      <c r="E229" s="22">
        <v>4</v>
      </c>
      <c r="F229" s="128">
        <v>92255</v>
      </c>
      <c r="G229" s="130">
        <v>92299</v>
      </c>
      <c r="H229" s="128">
        <v>92293</v>
      </c>
      <c r="I229" s="128">
        <v>92276</v>
      </c>
      <c r="J229" s="130">
        <v>92291</v>
      </c>
      <c r="K229" s="128">
        <v>92026</v>
      </c>
      <c r="L229" s="22">
        <f t="shared" ref="L229" si="89">VLOOKUP(F229,$W$1:$AD$64,8,FALSE)+VLOOKUP(G229,$W$1:$AD$64,8,FALSE)+VLOOKUP(H229,$W$1:$AD$64,8,FALSE)+VLOOKUP(I229,$W$1:$AD$64,8,FALSE)+VLOOKUP(J229,$W$1:$AD$64,8,FALSE)+VLOOKUP(K229,$W$1:$AD$64,8,FALSE)</f>
        <v>462.64</v>
      </c>
      <c r="M229" s="6">
        <f t="shared" ref="M229" si="90">VLOOKUP(F229,$W$1:$AD$64,5,FALSE)+VLOOKUP(G229,$W$1:$AD$64,5,FALSE)+VLOOKUP(H229,$W$1:$AD$64,5,FALSE)+VLOOKUP(I229,$W$1:$AD$64,5,FALSE)+VLOOKUP(J229,$W$1:$AD$64,5,FALSE)+VLOOKUP(K229,$W$1:$AD$64,5,FALSE)</f>
        <v>4116</v>
      </c>
      <c r="N229" s="6">
        <f t="shared" ref="N229" si="91">VLOOKUP(F229,$W$1:$AD$64,6,FALSE)+VLOOKUP(G229,$W$1:$AD$64,6,FALSE)+VLOOKUP(H229,$W$1:$AD$64,6,FALSE)+VLOOKUP(I229,$W$1:$AD$64,6,FALSE)+VLOOKUP(J229,$W$1:$AD$64,6,FALSE)+VLOOKUP(K229,$W$1:$AD$64,6,FALSE)</f>
        <v>210</v>
      </c>
      <c r="O229" s="6">
        <f t="shared" ref="O229" si="92">VLOOKUP(F229,$W$1:$AD$64,7,FALSE)+VLOOKUP(G229,$W$1:$AD$64,7,FALSE)+VLOOKUP(H229,$W$1:$AD$64,7,FALSE)+VLOOKUP(I229,$W$1:$AD$64,7,FALSE)+VLOOKUP(J229,$W$1:$AD$64,7,FALSE)+VLOOKUP(K229,$W$1:$AD$64,7,FALSE)</f>
        <v>88</v>
      </c>
      <c r="P229" s="27">
        <f t="shared" si="78"/>
        <v>21193</v>
      </c>
      <c r="Q229" s="27">
        <f t="shared" si="79"/>
        <v>1638</v>
      </c>
      <c r="R229" s="27">
        <f t="shared" si="80"/>
        <v>439</v>
      </c>
    </row>
  </sheetData>
  <autoFilter ref="A1:AK193"/>
  <phoneticPr fontId="1" type="noConversion"/>
  <conditionalFormatting sqref="L2:R2 D2:E217 E218:E229 L39:O229 M38:O38 L3:O37 P3:R229">
    <cfRule type="expression" dxfId="1219" priority="1414">
      <formula>$E2=4</formula>
    </cfRule>
    <cfRule type="expression" dxfId="1218" priority="1415">
      <formula>$E2=3</formula>
    </cfRule>
    <cfRule type="expression" dxfId="1217" priority="1416">
      <formula>$E2=2</formula>
    </cfRule>
    <cfRule type="expression" dxfId="1216" priority="1417">
      <formula>$E2=1</formula>
    </cfRule>
    <cfRule type="expression" dxfId="1215" priority="1418">
      <formula>$E2=0</formula>
    </cfRule>
  </conditionalFormatting>
  <conditionalFormatting sqref="W2:AC64">
    <cfRule type="expression" dxfId="1214" priority="1392">
      <formula>$Z2=4</formula>
    </cfRule>
    <cfRule type="expression" dxfId="1213" priority="1393">
      <formula>$Z2=3</formula>
    </cfRule>
    <cfRule type="expression" dxfId="1212" priority="1394">
      <formula>$Z2=2</formula>
    </cfRule>
    <cfRule type="expression" dxfId="1211" priority="1395">
      <formula>$Z2=1</formula>
    </cfRule>
    <cfRule type="expression" dxfId="1210" priority="1396">
      <formula>$Z2=0</formula>
    </cfRule>
  </conditionalFormatting>
  <conditionalFormatting sqref="A218:C229 A2:E217 E218:E229">
    <cfRule type="expression" dxfId="1209" priority="1614">
      <formula>$C2=4</formula>
    </cfRule>
    <cfRule type="expression" dxfId="1208" priority="1615">
      <formula>$C2=3</formula>
    </cfRule>
    <cfRule type="expression" dxfId="1207" priority="1616">
      <formula>$C2=2</formula>
    </cfRule>
    <cfRule type="expression" dxfId="1206" priority="1617">
      <formula>$C2=1</formula>
    </cfRule>
    <cfRule type="expression" dxfId="1205" priority="1618">
      <formula>$C2=0</formula>
    </cfRule>
  </conditionalFormatting>
  <conditionalFormatting sqref="D218:D229">
    <cfRule type="expression" dxfId="1204" priority="209">
      <formula>$E218=4</formula>
    </cfRule>
    <cfRule type="expression" dxfId="1203" priority="210">
      <formula>$E218=3</formula>
    </cfRule>
    <cfRule type="expression" dxfId="1202" priority="211">
      <formula>$E218=2</formula>
    </cfRule>
    <cfRule type="expression" dxfId="1201" priority="212">
      <formula>$E218=1</formula>
    </cfRule>
    <cfRule type="expression" dxfId="1200" priority="213">
      <formula>$E218=0</formula>
    </cfRule>
  </conditionalFormatting>
  <conditionalFormatting sqref="D218:D229">
    <cfRule type="expression" dxfId="1199" priority="214">
      <formula>$C218=4</formula>
    </cfRule>
    <cfRule type="expression" dxfId="1198" priority="215">
      <formula>$C218=3</formula>
    </cfRule>
    <cfRule type="expression" dxfId="1197" priority="216">
      <formula>$C218=2</formula>
    </cfRule>
    <cfRule type="expression" dxfId="1196" priority="217">
      <formula>$C218=1</formula>
    </cfRule>
    <cfRule type="expression" dxfId="1195" priority="218">
      <formula>$C218=0</formula>
    </cfRule>
  </conditionalFormatting>
  <conditionalFormatting sqref="L38">
    <cfRule type="duplicateValues" dxfId="1194" priority="103"/>
  </conditionalFormatting>
  <conditionalFormatting sqref="F2 H2:K2">
    <cfRule type="duplicateValues" dxfId="1193" priority="52"/>
  </conditionalFormatting>
  <conditionalFormatting sqref="F3:H3 J3:K3">
    <cfRule type="duplicateValues" dxfId="1192" priority="51"/>
  </conditionalFormatting>
  <conditionalFormatting sqref="F14:G14 I14:K14">
    <cfRule type="duplicateValues" dxfId="1191" priority="50"/>
  </conditionalFormatting>
  <conditionalFormatting sqref="F15 H15:I15 K15">
    <cfRule type="duplicateValues" dxfId="1190" priority="49"/>
  </conditionalFormatting>
  <conditionalFormatting sqref="F26:H26 K26">
    <cfRule type="duplicateValues" dxfId="1189" priority="47"/>
  </conditionalFormatting>
  <conditionalFormatting sqref="J26">
    <cfRule type="duplicateValues" dxfId="1188" priority="46"/>
  </conditionalFormatting>
  <conditionalFormatting sqref="F27:I27 K27">
    <cfRule type="duplicateValues" dxfId="1187" priority="45"/>
  </conditionalFormatting>
  <conditionalFormatting sqref="F26:H26 J26:K26">
    <cfRule type="duplicateValues" dxfId="1186" priority="48"/>
  </conditionalFormatting>
  <conditionalFormatting sqref="G38 I38:K38">
    <cfRule type="duplicateValues" dxfId="1185" priority="44"/>
  </conditionalFormatting>
  <conditionalFormatting sqref="F39:H39 J39:K39">
    <cfRule type="duplicateValues" dxfId="1184" priority="43"/>
  </conditionalFormatting>
  <conditionalFormatting sqref="F50:H50 J50:K50">
    <cfRule type="duplicateValues" dxfId="1183" priority="42"/>
  </conditionalFormatting>
  <conditionalFormatting sqref="F62:J62">
    <cfRule type="duplicateValues" dxfId="1182" priority="41"/>
  </conditionalFormatting>
  <conditionalFormatting sqref="F51 H51:J51">
    <cfRule type="duplicateValues" dxfId="1181" priority="40"/>
  </conditionalFormatting>
  <conditionalFormatting sqref="F63:G63 I63:K63">
    <cfRule type="duplicateValues" dxfId="1180" priority="39"/>
  </conditionalFormatting>
  <conditionalFormatting sqref="F74 H74:I74">
    <cfRule type="duplicateValues" dxfId="1179" priority="37"/>
  </conditionalFormatting>
  <conditionalFormatting sqref="K74">
    <cfRule type="duplicateValues" dxfId="1178" priority="36"/>
  </conditionalFormatting>
  <conditionalFormatting sqref="F75:H75 J75:K75">
    <cfRule type="duplicateValues" dxfId="1177" priority="35"/>
  </conditionalFormatting>
  <conditionalFormatting sqref="F75:H75 J75:K75">
    <cfRule type="duplicateValues" dxfId="1176" priority="38"/>
  </conditionalFormatting>
  <conditionalFormatting sqref="F86:H86 J86:K86">
    <cfRule type="duplicateValues" dxfId="1175" priority="33"/>
  </conditionalFormatting>
  <conditionalFormatting sqref="F87 H87:K87">
    <cfRule type="duplicateValues" dxfId="1174" priority="32"/>
  </conditionalFormatting>
  <conditionalFormatting sqref="F98:H98 J98:K98">
    <cfRule type="duplicateValues" dxfId="1173" priority="31"/>
  </conditionalFormatting>
  <conditionalFormatting sqref="F99 H99:K99">
    <cfRule type="duplicateValues" dxfId="1172" priority="30"/>
  </conditionalFormatting>
  <conditionalFormatting sqref="F110:H110 J110:K110">
    <cfRule type="duplicateValues" dxfId="1171" priority="29"/>
  </conditionalFormatting>
  <conditionalFormatting sqref="F111:G111 I111:K111">
    <cfRule type="duplicateValues" dxfId="1170" priority="28"/>
  </conditionalFormatting>
  <conditionalFormatting sqref="F122:J122">
    <cfRule type="duplicateValues" dxfId="1169" priority="26"/>
  </conditionalFormatting>
  <conditionalFormatting sqref="F123 K123 H123:I123">
    <cfRule type="duplicateValues" dxfId="1168" priority="25"/>
  </conditionalFormatting>
  <conditionalFormatting sqref="J123">
    <cfRule type="duplicateValues" dxfId="1167" priority="24"/>
  </conditionalFormatting>
  <conditionalFormatting sqref="F123 H123:K123">
    <cfRule type="duplicateValues" dxfId="1166" priority="27"/>
  </conditionalFormatting>
  <conditionalFormatting sqref="G134:H134 J134:K134">
    <cfRule type="duplicateValues" dxfId="1165" priority="23"/>
  </conditionalFormatting>
  <conditionalFormatting sqref="F135 H135:K135">
    <cfRule type="duplicateValues" dxfId="1164" priority="22"/>
  </conditionalFormatting>
  <conditionalFormatting sqref="F146:I146 K146">
    <cfRule type="duplicateValues" dxfId="1163" priority="21"/>
  </conditionalFormatting>
  <conditionalFormatting sqref="F147:G147 J147">
    <cfRule type="duplicateValues" dxfId="1162" priority="20"/>
  </conditionalFormatting>
  <conditionalFormatting sqref="F158:H158 J158:K158">
    <cfRule type="duplicateValues" dxfId="1161" priority="19"/>
  </conditionalFormatting>
  <conditionalFormatting sqref="F159 H159:K159">
    <cfRule type="duplicateValues" dxfId="1160" priority="18"/>
  </conditionalFormatting>
  <conditionalFormatting sqref="F170 H170:I170 K170">
    <cfRule type="duplicateValues" dxfId="1159" priority="17"/>
  </conditionalFormatting>
  <conditionalFormatting sqref="F171:G171 I171:J171">
    <cfRule type="duplicateValues" dxfId="1158" priority="16"/>
  </conditionalFormatting>
  <conditionalFormatting sqref="K171">
    <cfRule type="duplicateValues" dxfId="1157" priority="15"/>
  </conditionalFormatting>
  <conditionalFormatting sqref="G182:H182 J182:K182">
    <cfRule type="duplicateValues" dxfId="1156" priority="13"/>
  </conditionalFormatting>
  <conditionalFormatting sqref="I182">
    <cfRule type="duplicateValues" dxfId="1155" priority="12"/>
  </conditionalFormatting>
  <conditionalFormatting sqref="F183 H183:J183">
    <cfRule type="duplicateValues" dxfId="1154" priority="11"/>
  </conditionalFormatting>
  <conditionalFormatting sqref="G182:K182">
    <cfRule type="duplicateValues" dxfId="1153" priority="14"/>
  </conditionalFormatting>
  <conditionalFormatting sqref="F194:H194 J194:K194">
    <cfRule type="duplicateValues" dxfId="1152" priority="10"/>
  </conditionalFormatting>
  <conditionalFormatting sqref="F195 H195:K195">
    <cfRule type="duplicateValues" dxfId="1151" priority="9"/>
  </conditionalFormatting>
  <conditionalFormatting sqref="F206:H206 J206:K206">
    <cfRule type="duplicateValues" dxfId="1150" priority="8"/>
  </conditionalFormatting>
  <conditionalFormatting sqref="G207:K207">
    <cfRule type="duplicateValues" dxfId="1149" priority="7"/>
  </conditionalFormatting>
  <conditionalFormatting sqref="F218 H218 J218">
    <cfRule type="duplicateValues" dxfId="1148" priority="6"/>
  </conditionalFormatting>
  <conditionalFormatting sqref="K218">
    <cfRule type="duplicateValues" dxfId="1147" priority="5"/>
  </conditionalFormatting>
  <conditionalFormatting sqref="F219:H219 J219">
    <cfRule type="duplicateValues" dxfId="1146" priority="3"/>
  </conditionalFormatting>
  <conditionalFormatting sqref="I219">
    <cfRule type="duplicateValues" dxfId="1145" priority="2"/>
  </conditionalFormatting>
  <conditionalFormatting sqref="F219:J219">
    <cfRule type="duplicateValues" dxfId="1144" priority="4"/>
  </conditionalFormatting>
  <conditionalFormatting sqref="I147">
    <cfRule type="duplicateValues" dxfId="1143" priority="1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02" id="{3A604400-D445-4B50-8B1A-D12565332DFA}">
            <xm:f>马仔培养辅助表!$D15=4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2103" id="{F79EFC50-F28D-4180-9A6E-B3B195F46AE6}">
            <xm:f>马仔培养辅助表!$D15=3</xm:f>
            <x14:dxf>
              <font>
                <color theme="0"/>
              </font>
              <fill>
                <patternFill>
                  <bgColor theme="9" tint="-0.24994659260841701"/>
                </patternFill>
              </fill>
            </x14:dxf>
          </x14:cfRule>
          <x14:cfRule type="expression" priority="2104" id="{E08ED996-EDF5-498E-8A07-6B69A9768EC9}">
            <xm:f>马仔培养辅助表!$D15=2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105" id="{48715FCA-D995-4EE5-B8EC-5752F1A85E7A}">
            <xm:f>马仔培养辅助表!$D15=1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expression" priority="2106" id="{079C5B71-1D12-4A13-9ADB-346F1AA20A4C}">
            <xm:f>马仔培养辅助表!$D15=0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m:sqref>Z15:Z31</xm:sqref>
        </x14:conditionalFormatting>
        <x14:conditionalFormatting xmlns:xm="http://schemas.microsoft.com/office/excel/2006/main">
          <x14:cfRule type="expression" priority="2107" id="{E215D617-9C6D-48D4-8846-DA942E3E0147}">
            <xm:f>马仔培养辅助表!$D39=4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2108" id="{22456F22-0AD3-4396-AD69-E935A894AD10}">
            <xm:f>马仔培养辅助表!$D39=3</xm:f>
            <x14:dxf>
              <font>
                <color theme="0"/>
              </font>
              <fill>
                <patternFill>
                  <bgColor theme="9" tint="-0.24994659260841701"/>
                </patternFill>
              </fill>
            </x14:dxf>
          </x14:cfRule>
          <x14:cfRule type="expression" priority="2109" id="{882150C6-1203-4257-A3F4-D1B735E1B9AF}">
            <xm:f>马仔培养辅助表!$D39=2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110" id="{7D3F15D0-FDFD-47DB-98C8-3E4EB7437E27}">
            <xm:f>马仔培养辅助表!$D39=1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expression" priority="2111" id="{E6206F4C-DBFF-47EB-8605-0288958651DE}">
            <xm:f>马仔培养辅助表!$D39=0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m:sqref>Z32:Z64</xm:sqref>
        </x14:conditionalFormatting>
        <x14:conditionalFormatting xmlns:xm="http://schemas.microsoft.com/office/excel/2006/main">
          <x14:cfRule type="expression" priority="2097" id="{F2FFCCED-7006-4330-BE01-3CB847773AAC}">
            <xm:f>马仔培养辅助表!$G2=4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2098" id="{A42C31E6-52A6-4025-AD34-B4277C0CDBFB}">
            <xm:f>马仔培养辅助表!$G2=3</xm:f>
            <x14:dxf>
              <font>
                <color theme="0"/>
              </font>
              <fill>
                <patternFill>
                  <bgColor theme="9" tint="-0.24994659260841701"/>
                </patternFill>
              </fill>
            </x14:dxf>
          </x14:cfRule>
          <x14:cfRule type="expression" priority="2099" id="{5A53AD1C-DAB3-4846-8B77-3FF7769BCB13}">
            <xm:f>马仔培养辅助表!$G2=2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100" id="{BE98890F-D133-451E-98E5-21806C6F57F2}">
            <xm:f>马仔培养辅助表!$G2=1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expression" priority="2101" id="{29DD9AAA-8998-4E40-B18A-78EAD62B9542}">
            <xm:f>马仔培养辅助表!$G2=0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m:sqref>A2:E229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Q118"/>
  <sheetViews>
    <sheetView workbookViewId="0">
      <pane xSplit="2" ySplit="1" topLeftCell="I26" activePane="bottomRight" state="frozen"/>
      <selection pane="topRight" activeCell="C1" sqref="C1"/>
      <selection pane="bottomLeft" activeCell="A4" sqref="A4"/>
      <selection pane="bottomRight" activeCell="M54" sqref="M54"/>
    </sheetView>
  </sheetViews>
  <sheetFormatPr defaultRowHeight="13.5"/>
  <cols>
    <col min="1" max="1" width="7.5" bestFit="1" customWidth="1"/>
    <col min="2" max="2" width="13" bestFit="1" customWidth="1"/>
    <col min="3" max="3" width="25.5" bestFit="1" customWidth="1"/>
    <col min="4" max="4" width="9" bestFit="1" customWidth="1"/>
    <col min="5" max="5" width="10.5" bestFit="1" customWidth="1"/>
    <col min="6" max="6" width="9" bestFit="1" customWidth="1"/>
    <col min="7" max="7" width="10.5" customWidth="1"/>
    <col min="8" max="8" width="6.5" customWidth="1"/>
    <col min="9" max="9" width="6.625" customWidth="1"/>
    <col min="10" max="10" width="6.125" customWidth="1"/>
    <col min="11" max="11" width="9" style="99" bestFit="1" customWidth="1"/>
    <col min="12" max="12" width="9" bestFit="1" customWidth="1"/>
    <col min="13" max="13" width="18.375" customWidth="1"/>
    <col min="14" max="14" width="10" bestFit="1" customWidth="1"/>
    <col min="15" max="15" width="10.5" bestFit="1" customWidth="1"/>
    <col min="16" max="16" width="18.375" customWidth="1"/>
    <col min="17" max="18" width="10.5" customWidth="1"/>
    <col min="19" max="19" width="18.375" customWidth="1"/>
    <col min="20" max="21" width="10.5" customWidth="1"/>
    <col min="22" max="22" width="8.125" style="39" customWidth="1"/>
    <col min="23" max="23" width="7.125" bestFit="1" customWidth="1"/>
    <col min="24" max="24" width="10.5" customWidth="1"/>
    <col min="25" max="27" width="9" customWidth="1"/>
    <col min="28" max="28" width="11.625" bestFit="1" customWidth="1"/>
    <col min="38" max="38" width="8.125" bestFit="1" customWidth="1"/>
    <col min="39" max="39" width="6.5" bestFit="1" customWidth="1"/>
    <col min="74" max="74" width="9.5" bestFit="1" customWidth="1"/>
  </cols>
  <sheetData>
    <row r="1" spans="1:95">
      <c r="A1" s="13" t="s">
        <v>32</v>
      </c>
      <c r="B1" s="13" t="s">
        <v>138</v>
      </c>
      <c r="C1" s="13" t="s">
        <v>139</v>
      </c>
      <c r="D1" s="13" t="s">
        <v>254</v>
      </c>
      <c r="E1" s="13" t="s">
        <v>91</v>
      </c>
      <c r="F1" s="13" t="s">
        <v>140</v>
      </c>
      <c r="G1" s="13" t="s">
        <v>202</v>
      </c>
      <c r="H1" s="1" t="s">
        <v>0</v>
      </c>
      <c r="I1" s="1" t="s">
        <v>1</v>
      </c>
      <c r="J1" s="2" t="s">
        <v>2</v>
      </c>
      <c r="K1" s="97" t="s">
        <v>547</v>
      </c>
      <c r="L1" s="95" t="s">
        <v>546</v>
      </c>
      <c r="M1" s="13" t="s">
        <v>404</v>
      </c>
      <c r="N1" s="13" t="s">
        <v>93</v>
      </c>
      <c r="O1" s="13" t="s">
        <v>94</v>
      </c>
      <c r="P1" s="13" t="s">
        <v>405</v>
      </c>
      <c r="Q1" s="13" t="s">
        <v>95</v>
      </c>
      <c r="R1" s="13" t="s">
        <v>96</v>
      </c>
      <c r="S1" s="13" t="s">
        <v>406</v>
      </c>
      <c r="T1" s="13" t="s">
        <v>97</v>
      </c>
      <c r="U1" s="13" t="s">
        <v>98</v>
      </c>
      <c r="V1" s="96" t="s">
        <v>550</v>
      </c>
      <c r="W1" s="95" t="s">
        <v>545</v>
      </c>
      <c r="X1" t="s">
        <v>205</v>
      </c>
      <c r="Y1" s="1" t="s">
        <v>0</v>
      </c>
      <c r="Z1" s="1" t="s">
        <v>1</v>
      </c>
      <c r="AA1" s="2" t="s">
        <v>2</v>
      </c>
      <c r="AB1" t="s">
        <v>204</v>
      </c>
      <c r="AC1" s="94" t="s">
        <v>549</v>
      </c>
      <c r="AH1" s="7">
        <v>2</v>
      </c>
      <c r="AI1" s="7">
        <v>3</v>
      </c>
      <c r="AJ1" s="7">
        <v>4</v>
      </c>
      <c r="AK1" s="93"/>
      <c r="AL1">
        <v>1</v>
      </c>
      <c r="AM1" t="s">
        <v>548</v>
      </c>
      <c r="AN1" s="13" t="s">
        <v>93</v>
      </c>
      <c r="AO1" s="13" t="s">
        <v>94</v>
      </c>
      <c r="AP1" s="13" t="s">
        <v>553</v>
      </c>
      <c r="AQ1" s="13" t="s">
        <v>554</v>
      </c>
      <c r="AR1" s="13" t="s">
        <v>555</v>
      </c>
      <c r="AS1" s="13" t="s">
        <v>556</v>
      </c>
      <c r="AT1" s="100" t="s">
        <v>562</v>
      </c>
      <c r="BA1" s="100" t="s">
        <v>557</v>
      </c>
      <c r="BH1" s="100" t="s">
        <v>563</v>
      </c>
      <c r="BO1" s="100" t="s">
        <v>558</v>
      </c>
      <c r="BV1" s="100" t="s">
        <v>560</v>
      </c>
      <c r="CC1" t="s">
        <v>559</v>
      </c>
      <c r="CJ1" t="s">
        <v>561</v>
      </c>
      <c r="CQ1" s="101"/>
    </row>
    <row r="2" spans="1:95">
      <c r="A2" s="5">
        <v>92131</v>
      </c>
      <c r="B2" s="5" t="s">
        <v>441</v>
      </c>
      <c r="C2" s="5" t="s">
        <v>496</v>
      </c>
      <c r="D2" s="5">
        <v>1</v>
      </c>
      <c r="E2" s="5" t="s">
        <v>37</v>
      </c>
      <c r="F2" s="5">
        <v>0</v>
      </c>
      <c r="G2" s="5">
        <v>1</v>
      </c>
      <c r="H2" s="5">
        <f t="shared" ref="H2:H33" si="0">ROUND(($X2*Y2)/IF(SUMPRODUCT(Y$2:Y$64*$X$2:$X$64)=0,1,SUMPRODUCT(Y$2:Y$64*$X$2:$X$64))*AH$3,0)</f>
        <v>206</v>
      </c>
      <c r="I2" s="5">
        <f t="shared" ref="I2:I33" si="1">ROUND(($X2*Z2)/IF(SUMPRODUCT(Z$2:Z$64*$X$2:$X$64)=0,1,SUMPRODUCT(Z$2:Z$64*$X$2:$X$64))*AI$3,0)</f>
        <v>0</v>
      </c>
      <c r="J2" s="5">
        <f t="shared" ref="J2:J33" si="2">ROUND(($X2*AA2)/IF(SUMPRODUCT(AA$2:AA$64*$X$2:$X$64)=0,1,SUMPRODUCT(AA$2:AA$64*$X$2:$X$64))*AJ$3,0)</f>
        <v>0</v>
      </c>
      <c r="K2" s="98">
        <f t="shared" ref="K2:K33" si="3">COUNTIF($Q$2:$U$64,A2)</f>
        <v>1</v>
      </c>
      <c r="L2" s="5">
        <v>0</v>
      </c>
      <c r="M2" s="5" t="str">
        <f t="shared" ref="M2:M33" si="4">IFERROR(VLOOKUP(N2,$A$2:$F$118,2,FALSE)&amp;"  "&amp;VLOOKUP(N2,$A$2:$F$118,6,FALSE),"")</f>
        <v/>
      </c>
      <c r="N2" s="5"/>
      <c r="O2" s="5"/>
      <c r="P2" s="5" t="str">
        <f t="shared" ref="P2:P33" si="5">IFERROR(VLOOKUP(Q2,$A$2:$F$118,2,FALSE)&amp;"  "&amp;VLOOKUP(Q2,$A$2:$F$118,6,FALSE),"")</f>
        <v/>
      </c>
      <c r="Q2" s="5"/>
      <c r="R2" s="5"/>
      <c r="S2" s="5" t="str">
        <f t="shared" ref="S2:S33" si="6">IFERROR(VLOOKUP(T2,$A$2:$F$118,2,FALSE)&amp;"  "&amp;VLOOKUP(T2,$A$2:$F$118,6,FALSE),"")</f>
        <v/>
      </c>
      <c r="T2" s="5"/>
      <c r="U2" s="5"/>
      <c r="V2" s="39">
        <f>AD2</f>
        <v>250</v>
      </c>
      <c r="W2">
        <f>AB2*(F2+2)</f>
        <v>16.48</v>
      </c>
      <c r="X2">
        <f>F2+1+L2</f>
        <v>1</v>
      </c>
      <c r="Y2" s="6">
        <v>1</v>
      </c>
      <c r="Z2" s="6"/>
      <c r="AA2" s="6"/>
      <c r="AB2">
        <f>SUMPRODUCT($AH$8:$AJ$8,H2:J2)</f>
        <v>8.24</v>
      </c>
      <c r="AC2">
        <f>5*(F2+3)</f>
        <v>15</v>
      </c>
      <c r="AD2">
        <f>AL2+AT2+BA2+BH2+BO2+BV2+CC2+CJ2</f>
        <v>250</v>
      </c>
      <c r="AF2" s="6" t="s">
        <v>133</v>
      </c>
      <c r="AG2" s="6">
        <v>0.5</v>
      </c>
      <c r="AH2" s="25" t="s">
        <v>130</v>
      </c>
      <c r="AI2" s="1" t="s">
        <v>131</v>
      </c>
      <c r="AJ2" s="2" t="s">
        <v>132</v>
      </c>
      <c r="AL2">
        <f>CHOOSE(2,1,COUNTIF(D_马仔培养宝物!$F$2:$K$229,D_马仔宝物!A2))</f>
        <v>29</v>
      </c>
      <c r="AM2">
        <f t="shared" ref="AM2:AM33" si="7">A2</f>
        <v>92131</v>
      </c>
      <c r="AN2">
        <f>N2</f>
        <v>0</v>
      </c>
      <c r="AO2">
        <f>O2*AL2</f>
        <v>0</v>
      </c>
      <c r="AP2">
        <f t="shared" ref="AP2:AP33" si="8">Q2</f>
        <v>0</v>
      </c>
      <c r="AQ2">
        <f t="shared" ref="AQ2:AQ33" si="9">IF(AP2=0,0,SUMIF($A:$A,AM2,$R:$R))*AL2</f>
        <v>0</v>
      </c>
      <c r="AR2">
        <f t="shared" ref="AR2:AR33" si="10">T2</f>
        <v>0</v>
      </c>
      <c r="AS2">
        <f t="shared" ref="AS2:AS33" si="11">IF(AR2=0,0,SUMIF($A:$A,AM2,$U:$U))*AL2</f>
        <v>0</v>
      </c>
      <c r="AT2">
        <f t="shared" ref="AT2:AT33" si="12">SUMIF(AP:AP,AM2,AQ:AQ)+SUMIF(AR:AR,AM2,AS:AS)+SUMIF(AN:AN,AM2,AO:AO)</f>
        <v>24</v>
      </c>
      <c r="AV2">
        <f t="shared" ref="AV2:AV33" si="13">AM2</f>
        <v>92131</v>
      </c>
      <c r="AW2">
        <f>AP2</f>
        <v>0</v>
      </c>
      <c r="AX2">
        <f t="shared" ref="AX2:AX33" si="14">SUMIF($A:$A,AV2,$R:$R)*AT2</f>
        <v>0</v>
      </c>
      <c r="AY2">
        <f>AR2</f>
        <v>0</v>
      </c>
      <c r="AZ2">
        <f t="shared" ref="AZ2:AZ33" si="15">SUMIF($A:$A,AV2,$U:$U)*AT2</f>
        <v>0</v>
      </c>
      <c r="BA2">
        <f t="shared" ref="BA2:BA33" si="16">SUMIF(AW:AW,AV2,AX:AX)+SUMIF(AY:AY,AV2,AZ:AZ)</f>
        <v>33</v>
      </c>
      <c r="BC2">
        <f t="shared" ref="BC2:BC33" si="17">AV2</f>
        <v>92131</v>
      </c>
      <c r="BD2">
        <f>AW2</f>
        <v>0</v>
      </c>
      <c r="BE2">
        <f t="shared" ref="BE2:BE33" si="18">SUMIF($A:$A,BC2,$R:$R)*BA2</f>
        <v>0</v>
      </c>
      <c r="BF2">
        <f>AY2</f>
        <v>0</v>
      </c>
      <c r="BG2">
        <f t="shared" ref="BG2:BG33" si="19">SUMIF($A:$A,BC2,$U:$U)*BA2</f>
        <v>0</v>
      </c>
      <c r="BH2">
        <f t="shared" ref="BH2:BH33" si="20">SUMIF(BD:BD,BC2,BE:BE)+SUMIF(BF:BF,BC2,BG:BG)</f>
        <v>64</v>
      </c>
      <c r="BJ2">
        <f t="shared" ref="BJ2:BJ33" si="21">BC2</f>
        <v>92131</v>
      </c>
      <c r="BK2">
        <f>BD2</f>
        <v>0</v>
      </c>
      <c r="BL2">
        <f t="shared" ref="BL2:BL33" si="22">SUMIF($A:$A,BJ2,$R:$R)*BH2</f>
        <v>0</v>
      </c>
      <c r="BM2">
        <f>BF2</f>
        <v>0</v>
      </c>
      <c r="BN2">
        <f t="shared" ref="BN2:BN33" si="23">SUMIF($A:$A,BJ2,$U:$U)*BH2</f>
        <v>0</v>
      </c>
      <c r="BO2">
        <f t="shared" ref="BO2:BO33" si="24">SUMIF(BK:BK,BJ2,BL:BL)+SUMIF(BM:BM,BJ2,BN:BN)</f>
        <v>100</v>
      </c>
      <c r="BQ2">
        <f t="shared" ref="BQ2:BQ33" si="25">BJ2</f>
        <v>92131</v>
      </c>
      <c r="BR2">
        <f>BK2</f>
        <v>0</v>
      </c>
      <c r="BS2">
        <f t="shared" ref="BS2:BS33" si="26">SUMIF($A:$A,BQ2,$R:$R)*BO2</f>
        <v>0</v>
      </c>
      <c r="BT2">
        <f>BM2</f>
        <v>0</v>
      </c>
      <c r="BU2">
        <f t="shared" ref="BU2:BU33" si="27">SUMIF($A:$A,BQ2,$U:$U)*BO2</f>
        <v>0</v>
      </c>
      <c r="BV2">
        <f t="shared" ref="BV2:BV33" si="28">SUMIF(BR:BR,BQ2,BS:BS)+SUMIF(BT:BT,BQ2,BU:BU)</f>
        <v>0</v>
      </c>
      <c r="BX2">
        <f>BQ2</f>
        <v>92131</v>
      </c>
      <c r="BY2">
        <f>BR2</f>
        <v>0</v>
      </c>
      <c r="BZ2">
        <f t="shared" ref="BZ2:BZ33" si="29">SUMIF($A:$A,BX2,$R:$R)*BV2</f>
        <v>0</v>
      </c>
      <c r="CA2">
        <f>BT2</f>
        <v>0</v>
      </c>
      <c r="CB2">
        <f t="shared" ref="CB2:CB33" si="30">SUMIF($A:$A,BX2,$U:$U)*BV2</f>
        <v>0</v>
      </c>
      <c r="CC2">
        <f t="shared" ref="CC2:CC33" si="31">SUMIF(BY:BY,BX2,BZ:BZ)+SUMIF(CA:CA,BX2,CB:CB)</f>
        <v>0</v>
      </c>
      <c r="CE2">
        <f t="shared" ref="CE2" si="32">BX2</f>
        <v>92131</v>
      </c>
      <c r="CF2">
        <f>BY2</f>
        <v>0</v>
      </c>
      <c r="CG2">
        <f t="shared" ref="CG2:CG33" si="33">SUMIF($A:$A,CE2,$R:$R)*CC2</f>
        <v>0</v>
      </c>
      <c r="CH2">
        <f>CA2</f>
        <v>0</v>
      </c>
      <c r="CI2">
        <f t="shared" ref="CI2:CI33" si="34">SUMIF($A:$A,CE2,$U:$U)*CC2</f>
        <v>0</v>
      </c>
      <c r="CJ2">
        <f t="shared" ref="CJ2:CJ33" si="35">SUMIF(CF:CF,CE2,CG:CG)+SUMIF(CH:CH,CE2,CI:CI)</f>
        <v>0</v>
      </c>
    </row>
    <row r="3" spans="1:95">
      <c r="A3" s="5">
        <v>92011</v>
      </c>
      <c r="B3" s="5" t="s">
        <v>438</v>
      </c>
      <c r="C3" s="5" t="s">
        <v>496</v>
      </c>
      <c r="D3" s="5">
        <v>1</v>
      </c>
      <c r="E3" s="5" t="s">
        <v>34</v>
      </c>
      <c r="F3" s="5">
        <v>0</v>
      </c>
      <c r="G3" s="5">
        <v>1</v>
      </c>
      <c r="H3" s="5">
        <f t="shared" si="0"/>
        <v>0</v>
      </c>
      <c r="I3" s="5">
        <f t="shared" si="1"/>
        <v>10</v>
      </c>
      <c r="J3" s="5">
        <f t="shared" si="2"/>
        <v>0</v>
      </c>
      <c r="K3" s="98">
        <f t="shared" si="3"/>
        <v>1</v>
      </c>
      <c r="L3" s="5">
        <v>0</v>
      </c>
      <c r="M3" s="5" t="str">
        <f t="shared" si="4"/>
        <v/>
      </c>
      <c r="N3" s="5"/>
      <c r="O3" s="5"/>
      <c r="P3" s="5" t="str">
        <f t="shared" si="5"/>
        <v/>
      </c>
      <c r="Q3" s="5"/>
      <c r="R3" s="5"/>
      <c r="S3" s="5" t="str">
        <f t="shared" si="6"/>
        <v/>
      </c>
      <c r="T3" s="5"/>
      <c r="U3" s="5"/>
      <c r="V3" s="39">
        <f t="shared" ref="V3:V78" si="36">AD3</f>
        <v>126</v>
      </c>
      <c r="W3">
        <f t="shared" ref="W3:W10" si="37">AB3*(F3+2)</f>
        <v>20</v>
      </c>
      <c r="X3">
        <f t="shared" ref="X3:X64" si="38">F3+1+L3</f>
        <v>1</v>
      </c>
      <c r="Y3" s="6"/>
      <c r="Z3" s="6">
        <v>1</v>
      </c>
      <c r="AA3" s="6"/>
      <c r="AB3">
        <f t="shared" ref="AB3:AB33" si="39">SUMPRODUCT($AH$8:$AJ$8,H3:J3)</f>
        <v>10</v>
      </c>
      <c r="AC3">
        <f t="shared" ref="AC3:AC65" si="40">5*(F3+3)</f>
        <v>15</v>
      </c>
      <c r="AD3">
        <f t="shared" ref="AD3:AD64" si="41">AL3+AT3+BA3+BH3+BO3+BV3+CC3+CJ3</f>
        <v>126</v>
      </c>
      <c r="AF3" s="6"/>
      <c r="AG3" s="6"/>
      <c r="AH3" s="26">
        <f>马仔辅助表!P3</f>
        <v>26132.106546560368</v>
      </c>
      <c r="AI3" s="26">
        <f>马仔辅助表!Q3</f>
        <v>1327.3257754010697</v>
      </c>
      <c r="AJ3" s="26">
        <f>马仔辅助表!R3</f>
        <v>573.5642287694975</v>
      </c>
      <c r="AK3" s="27"/>
      <c r="AL3">
        <f>CHOOSE(2,1,COUNTIF(D_马仔培养宝物!$F$2:$K$229,D_马仔宝物!A3))</f>
        <v>21</v>
      </c>
      <c r="AM3">
        <f t="shared" si="7"/>
        <v>92011</v>
      </c>
      <c r="AN3">
        <f t="shared" ref="AN3:AN33" si="42">N3</f>
        <v>0</v>
      </c>
      <c r="AO3">
        <f t="shared" ref="AO3:AO63" si="43">O3*AL3</f>
        <v>0</v>
      </c>
      <c r="AP3">
        <f t="shared" si="8"/>
        <v>0</v>
      </c>
      <c r="AQ3">
        <f t="shared" si="9"/>
        <v>0</v>
      </c>
      <c r="AR3">
        <f t="shared" si="10"/>
        <v>0</v>
      </c>
      <c r="AS3">
        <f t="shared" si="11"/>
        <v>0</v>
      </c>
      <c r="AT3">
        <f t="shared" si="12"/>
        <v>20</v>
      </c>
      <c r="AV3">
        <f t="shared" si="13"/>
        <v>92011</v>
      </c>
      <c r="AW3">
        <f t="shared" ref="AW3:AW65" si="44">AP3</f>
        <v>0</v>
      </c>
      <c r="AX3">
        <f t="shared" si="14"/>
        <v>0</v>
      </c>
      <c r="AY3">
        <f t="shared" ref="AY3:AY65" si="45">AR3</f>
        <v>0</v>
      </c>
      <c r="AZ3">
        <f t="shared" si="15"/>
        <v>0</v>
      </c>
      <c r="BA3">
        <f t="shared" si="16"/>
        <v>21</v>
      </c>
      <c r="BC3">
        <f t="shared" si="17"/>
        <v>92011</v>
      </c>
      <c r="BD3">
        <f t="shared" ref="BD3:BD65" si="46">AW3</f>
        <v>0</v>
      </c>
      <c r="BE3">
        <f t="shared" si="18"/>
        <v>0</v>
      </c>
      <c r="BF3">
        <f t="shared" ref="BF3:BF65" si="47">AY3</f>
        <v>0</v>
      </c>
      <c r="BG3">
        <f t="shared" si="19"/>
        <v>0</v>
      </c>
      <c r="BH3">
        <f t="shared" si="20"/>
        <v>23</v>
      </c>
      <c r="BJ3">
        <f t="shared" si="21"/>
        <v>92011</v>
      </c>
      <c r="BK3">
        <f t="shared" ref="BK3:BK65" si="48">BD3</f>
        <v>0</v>
      </c>
      <c r="BL3">
        <f t="shared" si="22"/>
        <v>0</v>
      </c>
      <c r="BM3">
        <f t="shared" ref="BM3:BM65" si="49">BF3</f>
        <v>0</v>
      </c>
      <c r="BN3">
        <f t="shared" si="23"/>
        <v>0</v>
      </c>
      <c r="BO3">
        <f t="shared" si="24"/>
        <v>41</v>
      </c>
      <c r="BQ3">
        <f t="shared" si="25"/>
        <v>92011</v>
      </c>
      <c r="BR3">
        <f t="shared" ref="BR3:BR65" si="50">BK3</f>
        <v>0</v>
      </c>
      <c r="BS3">
        <f t="shared" si="26"/>
        <v>0</v>
      </c>
      <c r="BT3">
        <f t="shared" ref="BT3:BT65" si="51">BM3</f>
        <v>0</v>
      </c>
      <c r="BU3">
        <f t="shared" si="27"/>
        <v>0</v>
      </c>
      <c r="BV3">
        <f t="shared" si="28"/>
        <v>0</v>
      </c>
      <c r="BX3">
        <f t="shared" ref="BX3:BX78" si="52">BQ3</f>
        <v>92011</v>
      </c>
      <c r="BY3">
        <f t="shared" ref="BY3:BY78" si="53">BR3</f>
        <v>0</v>
      </c>
      <c r="BZ3">
        <f t="shared" si="29"/>
        <v>0</v>
      </c>
      <c r="CA3">
        <f t="shared" ref="CA3:CA78" si="54">BT3</f>
        <v>0</v>
      </c>
      <c r="CB3">
        <f t="shared" si="30"/>
        <v>0</v>
      </c>
      <c r="CC3">
        <f t="shared" si="31"/>
        <v>0</v>
      </c>
      <c r="CE3">
        <f t="shared" ref="CE3:CE78" si="55">BX3</f>
        <v>92011</v>
      </c>
      <c r="CF3">
        <f t="shared" ref="CF3:CF78" si="56">BY3</f>
        <v>0</v>
      </c>
      <c r="CG3">
        <f t="shared" si="33"/>
        <v>0</v>
      </c>
      <c r="CH3">
        <f t="shared" ref="CH3:CH78" si="57">CA3</f>
        <v>0</v>
      </c>
      <c r="CI3">
        <f t="shared" si="34"/>
        <v>0</v>
      </c>
      <c r="CJ3">
        <f t="shared" si="35"/>
        <v>0</v>
      </c>
    </row>
    <row r="4" spans="1:95">
      <c r="A4" s="5">
        <v>92228</v>
      </c>
      <c r="B4" s="5" t="s">
        <v>442</v>
      </c>
      <c r="C4" s="5" t="s">
        <v>496</v>
      </c>
      <c r="D4" s="5">
        <v>1</v>
      </c>
      <c r="E4" s="5" t="s">
        <v>38</v>
      </c>
      <c r="F4" s="5">
        <v>0</v>
      </c>
      <c r="G4" s="5">
        <v>1</v>
      </c>
      <c r="H4" s="5">
        <f t="shared" si="0"/>
        <v>0</v>
      </c>
      <c r="I4" s="5">
        <f t="shared" si="1"/>
        <v>0</v>
      </c>
      <c r="J4" s="5">
        <f t="shared" si="2"/>
        <v>4</v>
      </c>
      <c r="K4" s="98">
        <f t="shared" si="3"/>
        <v>1</v>
      </c>
      <c r="L4" s="5">
        <v>0</v>
      </c>
      <c r="M4" s="5" t="str">
        <f t="shared" si="4"/>
        <v/>
      </c>
      <c r="N4" s="5"/>
      <c r="O4" s="5"/>
      <c r="P4" s="5" t="str">
        <f t="shared" si="5"/>
        <v/>
      </c>
      <c r="Q4" s="5"/>
      <c r="R4" s="5"/>
      <c r="S4" s="5" t="str">
        <f t="shared" si="6"/>
        <v/>
      </c>
      <c r="T4" s="5"/>
      <c r="U4" s="5"/>
      <c r="V4" s="39">
        <f t="shared" si="36"/>
        <v>253</v>
      </c>
      <c r="W4">
        <f t="shared" si="37"/>
        <v>8</v>
      </c>
      <c r="X4">
        <f t="shared" si="38"/>
        <v>1</v>
      </c>
      <c r="Y4" s="6"/>
      <c r="Z4" s="6"/>
      <c r="AA4" s="6">
        <v>1</v>
      </c>
      <c r="AB4">
        <f t="shared" si="39"/>
        <v>4</v>
      </c>
      <c r="AC4">
        <f t="shared" si="40"/>
        <v>15</v>
      </c>
      <c r="AD4">
        <f t="shared" si="41"/>
        <v>253</v>
      </c>
      <c r="AL4">
        <f>CHOOSE(2,1,COUNTIF(D_马仔培养宝物!$F$2:$K$229,D_马仔宝物!A4))</f>
        <v>26</v>
      </c>
      <c r="AM4">
        <f t="shared" si="7"/>
        <v>92228</v>
      </c>
      <c r="AN4">
        <f t="shared" si="42"/>
        <v>0</v>
      </c>
      <c r="AO4">
        <f t="shared" si="43"/>
        <v>0</v>
      </c>
      <c r="AP4">
        <f t="shared" si="8"/>
        <v>0</v>
      </c>
      <c r="AQ4">
        <f t="shared" si="9"/>
        <v>0</v>
      </c>
      <c r="AR4">
        <f t="shared" si="10"/>
        <v>0</v>
      </c>
      <c r="AS4">
        <f t="shared" si="11"/>
        <v>0</v>
      </c>
      <c r="AT4">
        <f t="shared" si="12"/>
        <v>19</v>
      </c>
      <c r="AV4">
        <f t="shared" si="13"/>
        <v>92228</v>
      </c>
      <c r="AW4">
        <f t="shared" si="44"/>
        <v>0</v>
      </c>
      <c r="AX4">
        <f t="shared" si="14"/>
        <v>0</v>
      </c>
      <c r="AY4">
        <f t="shared" si="45"/>
        <v>0</v>
      </c>
      <c r="AZ4">
        <f t="shared" si="15"/>
        <v>0</v>
      </c>
      <c r="BA4">
        <f t="shared" si="16"/>
        <v>40</v>
      </c>
      <c r="BC4">
        <f t="shared" si="17"/>
        <v>92228</v>
      </c>
      <c r="BD4">
        <f t="shared" si="46"/>
        <v>0</v>
      </c>
      <c r="BE4">
        <f t="shared" si="18"/>
        <v>0</v>
      </c>
      <c r="BF4">
        <f t="shared" si="47"/>
        <v>0</v>
      </c>
      <c r="BG4">
        <f t="shared" si="19"/>
        <v>0</v>
      </c>
      <c r="BH4">
        <f t="shared" si="20"/>
        <v>60</v>
      </c>
      <c r="BJ4">
        <f t="shared" si="21"/>
        <v>92228</v>
      </c>
      <c r="BK4">
        <f t="shared" si="48"/>
        <v>0</v>
      </c>
      <c r="BL4">
        <f t="shared" si="22"/>
        <v>0</v>
      </c>
      <c r="BM4">
        <f t="shared" si="49"/>
        <v>0</v>
      </c>
      <c r="BN4">
        <f t="shared" si="23"/>
        <v>0</v>
      </c>
      <c r="BO4">
        <f t="shared" si="24"/>
        <v>108</v>
      </c>
      <c r="BQ4">
        <f t="shared" si="25"/>
        <v>92228</v>
      </c>
      <c r="BR4">
        <f t="shared" si="50"/>
        <v>0</v>
      </c>
      <c r="BS4">
        <f t="shared" si="26"/>
        <v>0</v>
      </c>
      <c r="BT4">
        <f t="shared" si="51"/>
        <v>0</v>
      </c>
      <c r="BU4">
        <f t="shared" si="27"/>
        <v>0</v>
      </c>
      <c r="BV4">
        <f t="shared" si="28"/>
        <v>0</v>
      </c>
      <c r="BX4">
        <f t="shared" si="52"/>
        <v>92228</v>
      </c>
      <c r="BY4">
        <f t="shared" si="53"/>
        <v>0</v>
      </c>
      <c r="BZ4">
        <f t="shared" si="29"/>
        <v>0</v>
      </c>
      <c r="CA4">
        <f t="shared" si="54"/>
        <v>0</v>
      </c>
      <c r="CB4">
        <f t="shared" si="30"/>
        <v>0</v>
      </c>
      <c r="CC4">
        <f t="shared" si="31"/>
        <v>0</v>
      </c>
      <c r="CE4">
        <f t="shared" si="55"/>
        <v>92228</v>
      </c>
      <c r="CF4">
        <f t="shared" si="56"/>
        <v>0</v>
      </c>
      <c r="CG4">
        <f t="shared" si="33"/>
        <v>0</v>
      </c>
      <c r="CH4">
        <f t="shared" si="57"/>
        <v>0</v>
      </c>
      <c r="CI4">
        <f t="shared" si="34"/>
        <v>0</v>
      </c>
      <c r="CJ4">
        <f t="shared" si="35"/>
        <v>0</v>
      </c>
    </row>
    <row r="5" spans="1:95">
      <c r="A5" s="5">
        <v>92232</v>
      </c>
      <c r="B5" s="5" t="s">
        <v>449</v>
      </c>
      <c r="C5" s="5" t="s">
        <v>496</v>
      </c>
      <c r="D5" s="5">
        <v>1</v>
      </c>
      <c r="E5" s="5" t="s">
        <v>43</v>
      </c>
      <c r="F5" s="5">
        <v>0</v>
      </c>
      <c r="G5" s="5">
        <v>1</v>
      </c>
      <c r="H5" s="5">
        <f t="shared" si="0"/>
        <v>206</v>
      </c>
      <c r="I5" s="5">
        <f t="shared" si="1"/>
        <v>0</v>
      </c>
      <c r="J5" s="5">
        <f t="shared" si="2"/>
        <v>0</v>
      </c>
      <c r="K5" s="98">
        <f t="shared" si="3"/>
        <v>1</v>
      </c>
      <c r="L5" s="5">
        <v>0</v>
      </c>
      <c r="M5" s="5" t="str">
        <f t="shared" si="4"/>
        <v/>
      </c>
      <c r="N5" s="5"/>
      <c r="O5" s="5"/>
      <c r="P5" s="5" t="str">
        <f t="shared" si="5"/>
        <v/>
      </c>
      <c r="Q5" s="5"/>
      <c r="R5" s="5"/>
      <c r="S5" s="5" t="str">
        <f t="shared" si="6"/>
        <v/>
      </c>
      <c r="T5" s="5"/>
      <c r="U5" s="5"/>
      <c r="V5" s="39">
        <f t="shared" si="36"/>
        <v>718</v>
      </c>
      <c r="W5">
        <f t="shared" si="37"/>
        <v>16.48</v>
      </c>
      <c r="X5">
        <f t="shared" si="38"/>
        <v>1</v>
      </c>
      <c r="Y5" s="6">
        <v>1</v>
      </c>
      <c r="Z5" s="6"/>
      <c r="AA5" s="6"/>
      <c r="AB5">
        <f t="shared" si="39"/>
        <v>8.24</v>
      </c>
      <c r="AC5">
        <f t="shared" si="40"/>
        <v>15</v>
      </c>
      <c r="AD5">
        <f t="shared" si="41"/>
        <v>718</v>
      </c>
      <c r="AL5">
        <f>CHOOSE(2,1,COUNTIF(D_马仔培养宝物!$F$2:$K$229,D_马仔宝物!A5))</f>
        <v>31</v>
      </c>
      <c r="AM5">
        <f t="shared" si="7"/>
        <v>92232</v>
      </c>
      <c r="AN5">
        <f t="shared" si="42"/>
        <v>0</v>
      </c>
      <c r="AO5">
        <f t="shared" si="43"/>
        <v>0</v>
      </c>
      <c r="AP5">
        <f t="shared" si="8"/>
        <v>0</v>
      </c>
      <c r="AQ5">
        <f t="shared" si="9"/>
        <v>0</v>
      </c>
      <c r="AR5">
        <f t="shared" si="10"/>
        <v>0</v>
      </c>
      <c r="AS5">
        <f t="shared" si="11"/>
        <v>0</v>
      </c>
      <c r="AT5">
        <f t="shared" si="12"/>
        <v>30</v>
      </c>
      <c r="AV5">
        <f t="shared" si="13"/>
        <v>92232</v>
      </c>
      <c r="AW5">
        <f t="shared" si="44"/>
        <v>0</v>
      </c>
      <c r="AX5">
        <f t="shared" si="14"/>
        <v>0</v>
      </c>
      <c r="AY5">
        <f t="shared" si="45"/>
        <v>0</v>
      </c>
      <c r="AZ5">
        <f t="shared" si="15"/>
        <v>0</v>
      </c>
      <c r="BA5">
        <f t="shared" si="16"/>
        <v>65</v>
      </c>
      <c r="BC5">
        <f t="shared" si="17"/>
        <v>92232</v>
      </c>
      <c r="BD5">
        <f t="shared" si="46"/>
        <v>0</v>
      </c>
      <c r="BE5">
        <f t="shared" si="18"/>
        <v>0</v>
      </c>
      <c r="BF5">
        <f t="shared" si="47"/>
        <v>0</v>
      </c>
      <c r="BG5">
        <f t="shared" si="19"/>
        <v>0</v>
      </c>
      <c r="BH5">
        <f t="shared" si="20"/>
        <v>169</v>
      </c>
      <c r="BJ5">
        <f t="shared" si="21"/>
        <v>92232</v>
      </c>
      <c r="BK5">
        <f t="shared" si="48"/>
        <v>0</v>
      </c>
      <c r="BL5">
        <f t="shared" si="22"/>
        <v>0</v>
      </c>
      <c r="BM5">
        <f t="shared" si="49"/>
        <v>0</v>
      </c>
      <c r="BN5">
        <f t="shared" si="23"/>
        <v>0</v>
      </c>
      <c r="BO5">
        <f t="shared" si="24"/>
        <v>423</v>
      </c>
      <c r="BQ5">
        <f t="shared" si="25"/>
        <v>92232</v>
      </c>
      <c r="BR5">
        <f t="shared" si="50"/>
        <v>0</v>
      </c>
      <c r="BS5">
        <f t="shared" si="26"/>
        <v>0</v>
      </c>
      <c r="BT5">
        <f t="shared" si="51"/>
        <v>0</v>
      </c>
      <c r="BU5">
        <f t="shared" si="27"/>
        <v>0</v>
      </c>
      <c r="BV5">
        <f t="shared" si="28"/>
        <v>0</v>
      </c>
      <c r="BX5">
        <f t="shared" si="52"/>
        <v>92232</v>
      </c>
      <c r="BY5">
        <f t="shared" si="53"/>
        <v>0</v>
      </c>
      <c r="BZ5">
        <f t="shared" si="29"/>
        <v>0</v>
      </c>
      <c r="CA5">
        <f t="shared" si="54"/>
        <v>0</v>
      </c>
      <c r="CB5">
        <f t="shared" si="30"/>
        <v>0</v>
      </c>
      <c r="CC5">
        <f t="shared" si="31"/>
        <v>0</v>
      </c>
      <c r="CE5">
        <f t="shared" si="55"/>
        <v>92232</v>
      </c>
      <c r="CF5">
        <f t="shared" si="56"/>
        <v>0</v>
      </c>
      <c r="CG5">
        <f t="shared" si="33"/>
        <v>0</v>
      </c>
      <c r="CH5">
        <f t="shared" si="57"/>
        <v>0</v>
      </c>
      <c r="CI5">
        <f t="shared" si="34"/>
        <v>0</v>
      </c>
      <c r="CJ5">
        <f t="shared" si="35"/>
        <v>0</v>
      </c>
    </row>
    <row r="6" spans="1:95">
      <c r="A6" s="5">
        <v>92121</v>
      </c>
      <c r="B6" s="5" t="s">
        <v>443</v>
      </c>
      <c r="C6" s="5" t="s">
        <v>496</v>
      </c>
      <c r="D6" s="5">
        <v>1</v>
      </c>
      <c r="E6" s="5" t="s">
        <v>40</v>
      </c>
      <c r="F6" s="5">
        <v>0</v>
      </c>
      <c r="G6" s="5">
        <v>1</v>
      </c>
      <c r="H6" s="5">
        <f t="shared" si="0"/>
        <v>0</v>
      </c>
      <c r="I6" s="5">
        <f t="shared" si="1"/>
        <v>10</v>
      </c>
      <c r="J6" s="5">
        <f t="shared" si="2"/>
        <v>0</v>
      </c>
      <c r="K6" s="98">
        <f t="shared" si="3"/>
        <v>1</v>
      </c>
      <c r="L6" s="5">
        <v>0</v>
      </c>
      <c r="M6" s="5" t="str">
        <f t="shared" si="4"/>
        <v/>
      </c>
      <c r="N6" s="5"/>
      <c r="O6" s="5"/>
      <c r="P6" s="5" t="str">
        <f t="shared" si="5"/>
        <v/>
      </c>
      <c r="Q6" s="5"/>
      <c r="R6" s="5"/>
      <c r="S6" s="5" t="str">
        <f t="shared" si="6"/>
        <v/>
      </c>
      <c r="T6" s="5"/>
      <c r="U6" s="5"/>
      <c r="V6" s="39">
        <f t="shared" si="36"/>
        <v>259</v>
      </c>
      <c r="W6">
        <f t="shared" si="37"/>
        <v>20</v>
      </c>
      <c r="X6">
        <f t="shared" si="38"/>
        <v>1</v>
      </c>
      <c r="Y6" s="6"/>
      <c r="Z6" s="6">
        <v>1</v>
      </c>
      <c r="AA6" s="6"/>
      <c r="AB6">
        <f t="shared" si="39"/>
        <v>10</v>
      </c>
      <c r="AC6">
        <f t="shared" si="40"/>
        <v>15</v>
      </c>
      <c r="AD6">
        <f t="shared" si="41"/>
        <v>259</v>
      </c>
      <c r="AL6">
        <f>CHOOSE(2,1,COUNTIF(D_马仔培养宝物!$F$2:$K$229,D_马仔宝物!A6))</f>
        <v>25</v>
      </c>
      <c r="AM6">
        <f t="shared" si="7"/>
        <v>92121</v>
      </c>
      <c r="AN6">
        <f t="shared" si="42"/>
        <v>0</v>
      </c>
      <c r="AO6">
        <f t="shared" si="43"/>
        <v>0</v>
      </c>
      <c r="AP6">
        <f t="shared" si="8"/>
        <v>0</v>
      </c>
      <c r="AQ6">
        <f t="shared" si="9"/>
        <v>0</v>
      </c>
      <c r="AR6">
        <f t="shared" si="10"/>
        <v>0</v>
      </c>
      <c r="AS6">
        <f t="shared" si="11"/>
        <v>0</v>
      </c>
      <c r="AT6">
        <f t="shared" si="12"/>
        <v>22</v>
      </c>
      <c r="AV6">
        <f t="shared" si="13"/>
        <v>92121</v>
      </c>
      <c r="AW6">
        <f t="shared" si="44"/>
        <v>0</v>
      </c>
      <c r="AX6">
        <f t="shared" si="14"/>
        <v>0</v>
      </c>
      <c r="AY6">
        <f t="shared" si="45"/>
        <v>0</v>
      </c>
      <c r="AZ6">
        <f t="shared" si="15"/>
        <v>0</v>
      </c>
      <c r="BA6">
        <f t="shared" si="16"/>
        <v>38</v>
      </c>
      <c r="BC6">
        <f t="shared" si="17"/>
        <v>92121</v>
      </c>
      <c r="BD6">
        <f t="shared" si="46"/>
        <v>0</v>
      </c>
      <c r="BE6">
        <f t="shared" si="18"/>
        <v>0</v>
      </c>
      <c r="BF6">
        <f t="shared" si="47"/>
        <v>0</v>
      </c>
      <c r="BG6">
        <f t="shared" si="19"/>
        <v>0</v>
      </c>
      <c r="BH6">
        <f t="shared" si="20"/>
        <v>40</v>
      </c>
      <c r="BJ6">
        <f t="shared" si="21"/>
        <v>92121</v>
      </c>
      <c r="BK6">
        <f t="shared" si="48"/>
        <v>0</v>
      </c>
      <c r="BL6">
        <f t="shared" si="22"/>
        <v>0</v>
      </c>
      <c r="BM6">
        <f t="shared" si="49"/>
        <v>0</v>
      </c>
      <c r="BN6">
        <f t="shared" si="23"/>
        <v>0</v>
      </c>
      <c r="BO6">
        <f t="shared" si="24"/>
        <v>134</v>
      </c>
      <c r="BQ6">
        <f t="shared" si="25"/>
        <v>92121</v>
      </c>
      <c r="BR6">
        <f t="shared" si="50"/>
        <v>0</v>
      </c>
      <c r="BS6">
        <f t="shared" si="26"/>
        <v>0</v>
      </c>
      <c r="BT6">
        <f t="shared" si="51"/>
        <v>0</v>
      </c>
      <c r="BU6">
        <f t="shared" si="27"/>
        <v>0</v>
      </c>
      <c r="BV6">
        <f t="shared" si="28"/>
        <v>0</v>
      </c>
      <c r="BX6">
        <f t="shared" si="52"/>
        <v>92121</v>
      </c>
      <c r="BY6">
        <f t="shared" si="53"/>
        <v>0</v>
      </c>
      <c r="BZ6">
        <f t="shared" si="29"/>
        <v>0</v>
      </c>
      <c r="CA6">
        <f t="shared" si="54"/>
        <v>0</v>
      </c>
      <c r="CB6">
        <f t="shared" si="30"/>
        <v>0</v>
      </c>
      <c r="CC6">
        <f t="shared" si="31"/>
        <v>0</v>
      </c>
      <c r="CE6">
        <f t="shared" si="55"/>
        <v>92121</v>
      </c>
      <c r="CF6">
        <f t="shared" si="56"/>
        <v>0</v>
      </c>
      <c r="CG6">
        <f t="shared" si="33"/>
        <v>0</v>
      </c>
      <c r="CH6">
        <f t="shared" si="57"/>
        <v>0</v>
      </c>
      <c r="CI6">
        <f t="shared" si="34"/>
        <v>0</v>
      </c>
      <c r="CJ6">
        <f t="shared" si="35"/>
        <v>0</v>
      </c>
    </row>
    <row r="7" spans="1:95">
      <c r="A7" s="5">
        <v>92243</v>
      </c>
      <c r="B7" s="5" t="s">
        <v>440</v>
      </c>
      <c r="C7" s="5" t="s">
        <v>496</v>
      </c>
      <c r="D7" s="5">
        <v>1</v>
      </c>
      <c r="E7" s="5" t="s">
        <v>36</v>
      </c>
      <c r="F7" s="5">
        <v>0</v>
      </c>
      <c r="G7" s="5">
        <v>1</v>
      </c>
      <c r="H7" s="5">
        <f t="shared" si="0"/>
        <v>0</v>
      </c>
      <c r="I7" s="5">
        <f t="shared" si="1"/>
        <v>0</v>
      </c>
      <c r="J7" s="5">
        <f t="shared" si="2"/>
        <v>4</v>
      </c>
      <c r="K7" s="98">
        <f t="shared" si="3"/>
        <v>1</v>
      </c>
      <c r="L7" s="5">
        <v>0</v>
      </c>
      <c r="M7" s="5" t="str">
        <f t="shared" si="4"/>
        <v/>
      </c>
      <c r="N7" s="5"/>
      <c r="O7" s="5"/>
      <c r="P7" s="5" t="str">
        <f t="shared" si="5"/>
        <v/>
      </c>
      <c r="Q7" s="5"/>
      <c r="R7" s="5"/>
      <c r="S7" s="5" t="str">
        <f t="shared" si="6"/>
        <v/>
      </c>
      <c r="T7" s="5"/>
      <c r="U7" s="5"/>
      <c r="V7" s="39">
        <f t="shared" si="36"/>
        <v>333</v>
      </c>
      <c r="W7">
        <f t="shared" si="37"/>
        <v>8</v>
      </c>
      <c r="X7">
        <f t="shared" si="38"/>
        <v>1</v>
      </c>
      <c r="Y7" s="6"/>
      <c r="Z7" s="6"/>
      <c r="AA7" s="6">
        <v>1</v>
      </c>
      <c r="AB7">
        <f t="shared" si="39"/>
        <v>4</v>
      </c>
      <c r="AC7">
        <f t="shared" si="40"/>
        <v>15</v>
      </c>
      <c r="AD7">
        <f t="shared" si="41"/>
        <v>333</v>
      </c>
      <c r="AG7" t="s">
        <v>203</v>
      </c>
      <c r="AH7" s="25" t="s">
        <v>130</v>
      </c>
      <c r="AI7" s="1" t="s">
        <v>131</v>
      </c>
      <c r="AJ7" s="2" t="s">
        <v>2</v>
      </c>
      <c r="AL7">
        <f>CHOOSE(2,1,COUNTIF(D_马仔培养宝物!$F$2:$K$229,D_马仔宝物!A7))</f>
        <v>25</v>
      </c>
      <c r="AM7">
        <f t="shared" si="7"/>
        <v>92243</v>
      </c>
      <c r="AN7">
        <f t="shared" si="42"/>
        <v>0</v>
      </c>
      <c r="AO7">
        <f t="shared" si="43"/>
        <v>0</v>
      </c>
      <c r="AP7">
        <f t="shared" si="8"/>
        <v>0</v>
      </c>
      <c r="AQ7">
        <f t="shared" si="9"/>
        <v>0</v>
      </c>
      <c r="AR7">
        <f t="shared" si="10"/>
        <v>0</v>
      </c>
      <c r="AS7">
        <f t="shared" si="11"/>
        <v>0</v>
      </c>
      <c r="AT7">
        <f t="shared" si="12"/>
        <v>20</v>
      </c>
      <c r="AV7">
        <f t="shared" si="13"/>
        <v>92243</v>
      </c>
      <c r="AW7">
        <f t="shared" si="44"/>
        <v>0</v>
      </c>
      <c r="AX7">
        <f t="shared" si="14"/>
        <v>0</v>
      </c>
      <c r="AY7">
        <f t="shared" si="45"/>
        <v>0</v>
      </c>
      <c r="AZ7">
        <f t="shared" si="15"/>
        <v>0</v>
      </c>
      <c r="BA7">
        <f t="shared" si="16"/>
        <v>36</v>
      </c>
      <c r="BC7">
        <f t="shared" si="17"/>
        <v>92243</v>
      </c>
      <c r="BD7">
        <f t="shared" si="46"/>
        <v>0</v>
      </c>
      <c r="BE7">
        <f t="shared" si="18"/>
        <v>0</v>
      </c>
      <c r="BF7">
        <f t="shared" si="47"/>
        <v>0</v>
      </c>
      <c r="BG7">
        <f t="shared" si="19"/>
        <v>0</v>
      </c>
      <c r="BH7">
        <f t="shared" si="20"/>
        <v>92</v>
      </c>
      <c r="BJ7">
        <f t="shared" si="21"/>
        <v>92243</v>
      </c>
      <c r="BK7">
        <f t="shared" si="48"/>
        <v>0</v>
      </c>
      <c r="BL7">
        <f t="shared" si="22"/>
        <v>0</v>
      </c>
      <c r="BM7">
        <f t="shared" si="49"/>
        <v>0</v>
      </c>
      <c r="BN7">
        <f t="shared" si="23"/>
        <v>0</v>
      </c>
      <c r="BO7">
        <f t="shared" si="24"/>
        <v>160</v>
      </c>
      <c r="BQ7">
        <f t="shared" si="25"/>
        <v>92243</v>
      </c>
      <c r="BR7">
        <f t="shared" si="50"/>
        <v>0</v>
      </c>
      <c r="BS7">
        <f t="shared" si="26"/>
        <v>0</v>
      </c>
      <c r="BT7">
        <f t="shared" si="51"/>
        <v>0</v>
      </c>
      <c r="BU7">
        <f t="shared" si="27"/>
        <v>0</v>
      </c>
      <c r="BV7">
        <f t="shared" si="28"/>
        <v>0</v>
      </c>
      <c r="BX7">
        <f t="shared" si="52"/>
        <v>92243</v>
      </c>
      <c r="BY7">
        <f t="shared" si="53"/>
        <v>0</v>
      </c>
      <c r="BZ7">
        <f t="shared" si="29"/>
        <v>0</v>
      </c>
      <c r="CA7">
        <f t="shared" si="54"/>
        <v>0</v>
      </c>
      <c r="CB7">
        <f t="shared" si="30"/>
        <v>0</v>
      </c>
      <c r="CC7">
        <f t="shared" si="31"/>
        <v>0</v>
      </c>
      <c r="CE7">
        <f t="shared" si="55"/>
        <v>92243</v>
      </c>
      <c r="CF7">
        <f t="shared" si="56"/>
        <v>0</v>
      </c>
      <c r="CG7">
        <f t="shared" si="33"/>
        <v>0</v>
      </c>
      <c r="CH7">
        <f t="shared" si="57"/>
        <v>0</v>
      </c>
      <c r="CI7">
        <f t="shared" si="34"/>
        <v>0</v>
      </c>
      <c r="CJ7">
        <f t="shared" si="35"/>
        <v>0</v>
      </c>
    </row>
    <row r="8" spans="1:95">
      <c r="A8" s="5">
        <v>92244</v>
      </c>
      <c r="B8" s="5" t="s">
        <v>451</v>
      </c>
      <c r="C8" s="5" t="s">
        <v>496</v>
      </c>
      <c r="D8" s="5">
        <v>1</v>
      </c>
      <c r="E8" s="5" t="s">
        <v>48</v>
      </c>
      <c r="F8" s="5">
        <v>0</v>
      </c>
      <c r="G8" s="5">
        <v>1</v>
      </c>
      <c r="H8" s="5">
        <f>ROUND(($X8*Y8)/IF(SUMPRODUCT(Y$2:Y$64*$X$2:$X$64)=0,1,SUMPRODUCT(Y$2:Y$64*$X$2:$X$64))*AH$3,0)</f>
        <v>206</v>
      </c>
      <c r="I8" s="5">
        <f t="shared" si="1"/>
        <v>0</v>
      </c>
      <c r="J8" s="5">
        <f t="shared" si="2"/>
        <v>0</v>
      </c>
      <c r="K8" s="98">
        <f t="shared" si="3"/>
        <v>1</v>
      </c>
      <c r="L8" s="5">
        <v>0</v>
      </c>
      <c r="M8" s="5" t="str">
        <f t="shared" si="4"/>
        <v/>
      </c>
      <c r="N8" s="5"/>
      <c r="O8" s="5"/>
      <c r="P8" s="5" t="str">
        <f t="shared" si="5"/>
        <v/>
      </c>
      <c r="Q8" s="5"/>
      <c r="R8" s="5"/>
      <c r="S8" s="5" t="str">
        <f t="shared" si="6"/>
        <v/>
      </c>
      <c r="T8" s="5"/>
      <c r="U8" s="5"/>
      <c r="V8" s="39">
        <f t="shared" si="36"/>
        <v>653</v>
      </c>
      <c r="W8">
        <f t="shared" si="37"/>
        <v>16.48</v>
      </c>
      <c r="X8">
        <f t="shared" si="38"/>
        <v>1</v>
      </c>
      <c r="Y8" s="6">
        <v>1</v>
      </c>
      <c r="Z8" s="6"/>
      <c r="AA8" s="6"/>
      <c r="AB8">
        <f t="shared" si="39"/>
        <v>8.24</v>
      </c>
      <c r="AC8">
        <f t="shared" si="40"/>
        <v>15</v>
      </c>
      <c r="AD8">
        <f t="shared" si="41"/>
        <v>653</v>
      </c>
      <c r="AH8">
        <f>[1]各种公式!C13</f>
        <v>0.04</v>
      </c>
      <c r="AI8">
        <f>[1]各种公式!D13</f>
        <v>1</v>
      </c>
      <c r="AJ8">
        <f>[1]各种公式!E13</f>
        <v>1</v>
      </c>
      <c r="AL8">
        <f>CHOOSE(2,1,COUNTIF(D_马仔培养宝物!$F$2:$K$229,D_马仔宝物!A8))</f>
        <v>24</v>
      </c>
      <c r="AM8">
        <f t="shared" si="7"/>
        <v>92244</v>
      </c>
      <c r="AN8">
        <f t="shared" si="42"/>
        <v>0</v>
      </c>
      <c r="AO8">
        <f t="shared" si="43"/>
        <v>0</v>
      </c>
      <c r="AP8">
        <f t="shared" si="8"/>
        <v>0</v>
      </c>
      <c r="AQ8">
        <f t="shared" si="9"/>
        <v>0</v>
      </c>
      <c r="AR8">
        <f t="shared" si="10"/>
        <v>0</v>
      </c>
      <c r="AS8">
        <f t="shared" si="11"/>
        <v>0</v>
      </c>
      <c r="AT8">
        <f t="shared" si="12"/>
        <v>30</v>
      </c>
      <c r="AV8">
        <f t="shared" si="13"/>
        <v>92244</v>
      </c>
      <c r="AW8">
        <f t="shared" si="44"/>
        <v>0</v>
      </c>
      <c r="AX8">
        <f t="shared" si="14"/>
        <v>0</v>
      </c>
      <c r="AY8">
        <f t="shared" si="45"/>
        <v>0</v>
      </c>
      <c r="AZ8">
        <f t="shared" si="15"/>
        <v>0</v>
      </c>
      <c r="BA8">
        <f t="shared" si="16"/>
        <v>61</v>
      </c>
      <c r="BC8">
        <f t="shared" si="17"/>
        <v>92244</v>
      </c>
      <c r="BD8">
        <f t="shared" si="46"/>
        <v>0</v>
      </c>
      <c r="BE8">
        <f t="shared" si="18"/>
        <v>0</v>
      </c>
      <c r="BF8">
        <f t="shared" si="47"/>
        <v>0</v>
      </c>
      <c r="BG8">
        <f t="shared" si="19"/>
        <v>0</v>
      </c>
      <c r="BH8">
        <f t="shared" si="20"/>
        <v>157</v>
      </c>
      <c r="BJ8">
        <f t="shared" si="21"/>
        <v>92244</v>
      </c>
      <c r="BK8">
        <f t="shared" si="48"/>
        <v>0</v>
      </c>
      <c r="BL8">
        <f t="shared" si="22"/>
        <v>0</v>
      </c>
      <c r="BM8">
        <f t="shared" si="49"/>
        <v>0</v>
      </c>
      <c r="BN8">
        <f t="shared" si="23"/>
        <v>0</v>
      </c>
      <c r="BO8">
        <f t="shared" si="24"/>
        <v>381</v>
      </c>
      <c r="BQ8">
        <f t="shared" si="25"/>
        <v>92244</v>
      </c>
      <c r="BR8">
        <f t="shared" si="50"/>
        <v>0</v>
      </c>
      <c r="BS8">
        <f t="shared" si="26"/>
        <v>0</v>
      </c>
      <c r="BT8">
        <f t="shared" si="51"/>
        <v>0</v>
      </c>
      <c r="BU8">
        <f t="shared" si="27"/>
        <v>0</v>
      </c>
      <c r="BV8">
        <f t="shared" si="28"/>
        <v>0</v>
      </c>
      <c r="BX8">
        <f t="shared" si="52"/>
        <v>92244</v>
      </c>
      <c r="BY8">
        <f t="shared" si="53"/>
        <v>0</v>
      </c>
      <c r="BZ8">
        <f t="shared" si="29"/>
        <v>0</v>
      </c>
      <c r="CA8">
        <f t="shared" si="54"/>
        <v>0</v>
      </c>
      <c r="CB8">
        <f t="shared" si="30"/>
        <v>0</v>
      </c>
      <c r="CC8">
        <f t="shared" si="31"/>
        <v>0</v>
      </c>
      <c r="CE8">
        <f t="shared" si="55"/>
        <v>92244</v>
      </c>
      <c r="CF8">
        <f t="shared" si="56"/>
        <v>0</v>
      </c>
      <c r="CG8">
        <f t="shared" si="33"/>
        <v>0</v>
      </c>
      <c r="CH8">
        <f t="shared" si="57"/>
        <v>0</v>
      </c>
      <c r="CI8">
        <f t="shared" si="34"/>
        <v>0</v>
      </c>
      <c r="CJ8">
        <f t="shared" si="35"/>
        <v>0</v>
      </c>
    </row>
    <row r="9" spans="1:95">
      <c r="A9" s="5">
        <v>92263</v>
      </c>
      <c r="B9" s="5" t="s">
        <v>446</v>
      </c>
      <c r="C9" s="5" t="s">
        <v>496</v>
      </c>
      <c r="D9" s="5">
        <v>1</v>
      </c>
      <c r="E9" s="5" t="s">
        <v>46</v>
      </c>
      <c r="F9" s="5">
        <v>0</v>
      </c>
      <c r="G9" s="5">
        <v>1</v>
      </c>
      <c r="H9" s="5">
        <f t="shared" si="0"/>
        <v>0</v>
      </c>
      <c r="I9" s="5">
        <f t="shared" si="1"/>
        <v>10</v>
      </c>
      <c r="J9" s="5">
        <f t="shared" si="2"/>
        <v>0</v>
      </c>
      <c r="K9" s="98">
        <f t="shared" si="3"/>
        <v>1</v>
      </c>
      <c r="L9" s="5">
        <v>0</v>
      </c>
      <c r="M9" s="5" t="str">
        <f t="shared" si="4"/>
        <v/>
      </c>
      <c r="N9" s="5"/>
      <c r="O9" s="5"/>
      <c r="P9" s="5" t="str">
        <f t="shared" si="5"/>
        <v/>
      </c>
      <c r="Q9" s="5"/>
      <c r="R9" s="5"/>
      <c r="S9" s="5" t="str">
        <f t="shared" si="6"/>
        <v/>
      </c>
      <c r="T9" s="5"/>
      <c r="U9" s="5"/>
      <c r="V9" s="39">
        <f t="shared" si="36"/>
        <v>117</v>
      </c>
      <c r="W9">
        <f t="shared" si="37"/>
        <v>20</v>
      </c>
      <c r="X9">
        <f t="shared" si="38"/>
        <v>1</v>
      </c>
      <c r="Y9" s="6"/>
      <c r="Z9" s="6">
        <v>1</v>
      </c>
      <c r="AA9" s="6"/>
      <c r="AB9">
        <f t="shared" si="39"/>
        <v>10</v>
      </c>
      <c r="AC9">
        <f t="shared" si="40"/>
        <v>15</v>
      </c>
      <c r="AD9">
        <f t="shared" si="41"/>
        <v>117</v>
      </c>
      <c r="AL9">
        <f>CHOOSE(2,1,COUNTIF(D_马仔培养宝物!$F$2:$K$229,D_马仔宝物!A9))</f>
        <v>24</v>
      </c>
      <c r="AM9">
        <f t="shared" si="7"/>
        <v>92263</v>
      </c>
      <c r="AN9">
        <f t="shared" si="42"/>
        <v>0</v>
      </c>
      <c r="AO9">
        <f t="shared" si="43"/>
        <v>0</v>
      </c>
      <c r="AP9">
        <f t="shared" si="8"/>
        <v>0</v>
      </c>
      <c r="AQ9">
        <f t="shared" si="9"/>
        <v>0</v>
      </c>
      <c r="AR9">
        <f t="shared" si="10"/>
        <v>0</v>
      </c>
      <c r="AS9">
        <f t="shared" si="11"/>
        <v>0</v>
      </c>
      <c r="AT9">
        <f t="shared" si="12"/>
        <v>23</v>
      </c>
      <c r="AV9">
        <f t="shared" si="13"/>
        <v>92263</v>
      </c>
      <c r="AW9">
        <f t="shared" si="44"/>
        <v>0</v>
      </c>
      <c r="AX9">
        <f t="shared" si="14"/>
        <v>0</v>
      </c>
      <c r="AY9">
        <f t="shared" si="45"/>
        <v>0</v>
      </c>
      <c r="AZ9">
        <f t="shared" si="15"/>
        <v>0</v>
      </c>
      <c r="BA9">
        <f t="shared" si="16"/>
        <v>16</v>
      </c>
      <c r="BC9">
        <f t="shared" si="17"/>
        <v>92263</v>
      </c>
      <c r="BD9">
        <f t="shared" si="46"/>
        <v>0</v>
      </c>
      <c r="BE9">
        <f t="shared" si="18"/>
        <v>0</v>
      </c>
      <c r="BF9">
        <f t="shared" si="47"/>
        <v>0</v>
      </c>
      <c r="BG9">
        <f t="shared" si="19"/>
        <v>0</v>
      </c>
      <c r="BH9">
        <f t="shared" si="20"/>
        <v>18</v>
      </c>
      <c r="BJ9">
        <f t="shared" si="21"/>
        <v>92263</v>
      </c>
      <c r="BK9">
        <f t="shared" si="48"/>
        <v>0</v>
      </c>
      <c r="BL9">
        <f t="shared" si="22"/>
        <v>0</v>
      </c>
      <c r="BM9">
        <f t="shared" si="49"/>
        <v>0</v>
      </c>
      <c r="BN9">
        <f t="shared" si="23"/>
        <v>0</v>
      </c>
      <c r="BO9">
        <f t="shared" si="24"/>
        <v>36</v>
      </c>
      <c r="BQ9">
        <f t="shared" si="25"/>
        <v>92263</v>
      </c>
      <c r="BR9">
        <f t="shared" si="50"/>
        <v>0</v>
      </c>
      <c r="BS9">
        <f t="shared" si="26"/>
        <v>0</v>
      </c>
      <c r="BT9">
        <f t="shared" si="51"/>
        <v>0</v>
      </c>
      <c r="BU9">
        <f t="shared" si="27"/>
        <v>0</v>
      </c>
      <c r="BV9">
        <f t="shared" si="28"/>
        <v>0</v>
      </c>
      <c r="BX9">
        <f t="shared" si="52"/>
        <v>92263</v>
      </c>
      <c r="BY9">
        <f t="shared" si="53"/>
        <v>0</v>
      </c>
      <c r="BZ9">
        <f t="shared" si="29"/>
        <v>0</v>
      </c>
      <c r="CA9">
        <f t="shared" si="54"/>
        <v>0</v>
      </c>
      <c r="CB9">
        <f t="shared" si="30"/>
        <v>0</v>
      </c>
      <c r="CC9">
        <f t="shared" si="31"/>
        <v>0</v>
      </c>
      <c r="CE9">
        <f t="shared" si="55"/>
        <v>92263</v>
      </c>
      <c r="CF9">
        <f t="shared" si="56"/>
        <v>0</v>
      </c>
      <c r="CG9">
        <f t="shared" si="33"/>
        <v>0</v>
      </c>
      <c r="CH9">
        <f t="shared" si="57"/>
        <v>0</v>
      </c>
      <c r="CI9">
        <f t="shared" si="34"/>
        <v>0</v>
      </c>
      <c r="CJ9">
        <f t="shared" si="35"/>
        <v>0</v>
      </c>
    </row>
    <row r="10" spans="1:95">
      <c r="A10" s="5">
        <v>92277</v>
      </c>
      <c r="B10" s="5" t="s">
        <v>668</v>
      </c>
      <c r="C10" s="5" t="s">
        <v>496</v>
      </c>
      <c r="D10" s="5">
        <v>1</v>
      </c>
      <c r="E10" s="5" t="s">
        <v>52</v>
      </c>
      <c r="F10" s="5">
        <v>0</v>
      </c>
      <c r="G10" s="5">
        <v>1</v>
      </c>
      <c r="H10" s="5">
        <f t="shared" si="0"/>
        <v>0</v>
      </c>
      <c r="I10" s="5">
        <f t="shared" si="1"/>
        <v>0</v>
      </c>
      <c r="J10" s="5">
        <f t="shared" si="2"/>
        <v>4</v>
      </c>
      <c r="K10" s="98">
        <f t="shared" si="3"/>
        <v>1</v>
      </c>
      <c r="L10" s="5">
        <v>0</v>
      </c>
      <c r="M10" s="5" t="str">
        <f t="shared" si="4"/>
        <v/>
      </c>
      <c r="N10" s="5"/>
      <c r="O10" s="5"/>
      <c r="P10" s="5" t="str">
        <f t="shared" si="5"/>
        <v/>
      </c>
      <c r="Q10" s="5"/>
      <c r="R10" s="5"/>
      <c r="S10" s="5" t="str">
        <f t="shared" si="6"/>
        <v/>
      </c>
      <c r="T10" s="5"/>
      <c r="U10" s="5"/>
      <c r="V10" s="39">
        <f t="shared" si="36"/>
        <v>122</v>
      </c>
      <c r="W10">
        <f t="shared" si="37"/>
        <v>8</v>
      </c>
      <c r="X10">
        <f t="shared" si="38"/>
        <v>1</v>
      </c>
      <c r="Y10" s="6"/>
      <c r="Z10" s="6"/>
      <c r="AA10" s="6">
        <v>1</v>
      </c>
      <c r="AB10">
        <f t="shared" si="39"/>
        <v>4</v>
      </c>
      <c r="AC10">
        <f t="shared" si="40"/>
        <v>15</v>
      </c>
      <c r="AD10">
        <f t="shared" si="41"/>
        <v>122</v>
      </c>
      <c r="AL10">
        <f>CHOOSE(2,1,COUNTIF(D_马仔培养宝物!$F$2:$K$229,D_马仔宝物!A10))</f>
        <v>23</v>
      </c>
      <c r="AM10">
        <f t="shared" si="7"/>
        <v>92277</v>
      </c>
      <c r="AN10">
        <f t="shared" si="42"/>
        <v>0</v>
      </c>
      <c r="AO10">
        <f t="shared" si="43"/>
        <v>0</v>
      </c>
      <c r="AP10">
        <f t="shared" si="8"/>
        <v>0</v>
      </c>
      <c r="AQ10">
        <f t="shared" si="9"/>
        <v>0</v>
      </c>
      <c r="AR10">
        <f t="shared" si="10"/>
        <v>0</v>
      </c>
      <c r="AS10">
        <f t="shared" si="11"/>
        <v>0</v>
      </c>
      <c r="AT10">
        <f t="shared" si="12"/>
        <v>24</v>
      </c>
      <c r="AV10">
        <f t="shared" si="13"/>
        <v>92277</v>
      </c>
      <c r="AW10">
        <f t="shared" si="44"/>
        <v>0</v>
      </c>
      <c r="AX10">
        <f t="shared" si="14"/>
        <v>0</v>
      </c>
      <c r="AY10">
        <f t="shared" si="45"/>
        <v>0</v>
      </c>
      <c r="AZ10">
        <f t="shared" si="15"/>
        <v>0</v>
      </c>
      <c r="BA10">
        <f t="shared" si="16"/>
        <v>17</v>
      </c>
      <c r="BC10">
        <f t="shared" si="17"/>
        <v>92277</v>
      </c>
      <c r="BD10">
        <f t="shared" si="46"/>
        <v>0</v>
      </c>
      <c r="BE10">
        <f t="shared" si="18"/>
        <v>0</v>
      </c>
      <c r="BF10">
        <f t="shared" si="47"/>
        <v>0</v>
      </c>
      <c r="BG10">
        <f t="shared" si="19"/>
        <v>0</v>
      </c>
      <c r="BH10">
        <f t="shared" si="20"/>
        <v>19</v>
      </c>
      <c r="BJ10">
        <f t="shared" si="21"/>
        <v>92277</v>
      </c>
      <c r="BK10">
        <f t="shared" si="48"/>
        <v>0</v>
      </c>
      <c r="BL10">
        <f t="shared" si="22"/>
        <v>0</v>
      </c>
      <c r="BM10">
        <f t="shared" si="49"/>
        <v>0</v>
      </c>
      <c r="BN10">
        <f t="shared" si="23"/>
        <v>0</v>
      </c>
      <c r="BO10">
        <f t="shared" si="24"/>
        <v>39</v>
      </c>
      <c r="BQ10">
        <f t="shared" si="25"/>
        <v>92277</v>
      </c>
      <c r="BR10">
        <f t="shared" si="50"/>
        <v>0</v>
      </c>
      <c r="BS10">
        <f t="shared" si="26"/>
        <v>0</v>
      </c>
      <c r="BT10">
        <f t="shared" si="51"/>
        <v>0</v>
      </c>
      <c r="BU10">
        <f t="shared" si="27"/>
        <v>0</v>
      </c>
      <c r="BV10">
        <f t="shared" si="28"/>
        <v>0</v>
      </c>
      <c r="BX10">
        <f t="shared" si="52"/>
        <v>92277</v>
      </c>
      <c r="BY10">
        <f t="shared" si="53"/>
        <v>0</v>
      </c>
      <c r="BZ10">
        <f t="shared" si="29"/>
        <v>0</v>
      </c>
      <c r="CA10">
        <f t="shared" si="54"/>
        <v>0</v>
      </c>
      <c r="CB10">
        <f t="shared" si="30"/>
        <v>0</v>
      </c>
      <c r="CC10">
        <f t="shared" si="31"/>
        <v>0</v>
      </c>
      <c r="CE10">
        <f t="shared" si="55"/>
        <v>92277</v>
      </c>
      <c r="CF10">
        <f t="shared" si="56"/>
        <v>0</v>
      </c>
      <c r="CG10">
        <f t="shared" si="33"/>
        <v>0</v>
      </c>
      <c r="CH10">
        <f t="shared" si="57"/>
        <v>0</v>
      </c>
      <c r="CI10">
        <f t="shared" si="34"/>
        <v>0</v>
      </c>
      <c r="CJ10">
        <f t="shared" si="35"/>
        <v>0</v>
      </c>
    </row>
    <row r="11" spans="1:95">
      <c r="A11" s="5">
        <v>92233</v>
      </c>
      <c r="B11" s="5" t="s">
        <v>453</v>
      </c>
      <c r="C11" s="5" t="s">
        <v>496</v>
      </c>
      <c r="D11" s="5">
        <v>1</v>
      </c>
      <c r="E11" s="5" t="s">
        <v>50</v>
      </c>
      <c r="F11" s="5">
        <v>1</v>
      </c>
      <c r="G11" s="5">
        <v>21</v>
      </c>
      <c r="H11" s="5">
        <f t="shared" si="0"/>
        <v>617</v>
      </c>
      <c r="I11" s="5">
        <f t="shared" si="1"/>
        <v>0</v>
      </c>
      <c r="J11" s="5">
        <f t="shared" si="2"/>
        <v>0</v>
      </c>
      <c r="K11" s="98">
        <f t="shared" si="3"/>
        <v>2</v>
      </c>
      <c r="L11" s="5">
        <f t="shared" ref="L11:L43" si="58">1+MAX(IF(Q11,VLOOKUP(Q11,A:L,12,0),0),IF(T11,VLOOKUP(T11,A:L,12,0),0))</f>
        <v>1</v>
      </c>
      <c r="M11" s="5" t="str">
        <f t="shared" si="4"/>
        <v>白金手环碎片  1</v>
      </c>
      <c r="N11" s="5">
        <f>A65</f>
        <v>93233</v>
      </c>
      <c r="O11" s="5">
        <v>5</v>
      </c>
      <c r="P11" s="5" t="str">
        <f t="shared" si="5"/>
        <v/>
      </c>
      <c r="Q11" s="5"/>
      <c r="R11" s="91"/>
      <c r="S11" s="5" t="str">
        <f t="shared" si="6"/>
        <v/>
      </c>
      <c r="T11" s="5"/>
      <c r="U11" s="91"/>
      <c r="V11" s="39">
        <f t="shared" si="36"/>
        <v>382</v>
      </c>
      <c r="W11">
        <f t="shared" ref="W11:W22" si="59">(O11*SUMIF(A:A,N11,W:W)+SUMIF(A:A,Q11,W:W)*R11*2^(SUMIF(A:A,Q11,F:F)-F11-L11/2+SUMIF(A:A,Q11,L:L)/2)+IF(T11,SUMIF(A:A,T11,W:W)*U11*2^(SUMIF(A:A,T11,F:F)-F11-L11/2+SUMIF(A:A,T11,L:L)/2),0))</f>
        <v>50</v>
      </c>
      <c r="X11">
        <f t="shared" si="38"/>
        <v>3</v>
      </c>
      <c r="Y11" s="6">
        <v>1</v>
      </c>
      <c r="Z11" s="6"/>
      <c r="AA11" s="6"/>
      <c r="AB11">
        <f t="shared" si="39"/>
        <v>24.68</v>
      </c>
      <c r="AC11">
        <f t="shared" si="40"/>
        <v>20</v>
      </c>
      <c r="AD11">
        <f t="shared" si="41"/>
        <v>382</v>
      </c>
      <c r="AL11">
        <f>CHOOSE(2,1,COUNTIF(D_马仔培养宝物!$F$2:$K$229,D_马仔宝物!A11))</f>
        <v>20</v>
      </c>
      <c r="AM11">
        <f t="shared" si="7"/>
        <v>92233</v>
      </c>
      <c r="AN11">
        <f t="shared" si="42"/>
        <v>93233</v>
      </c>
      <c r="AO11">
        <f t="shared" si="43"/>
        <v>100</v>
      </c>
      <c r="AP11">
        <f t="shared" si="8"/>
        <v>0</v>
      </c>
      <c r="AQ11">
        <f t="shared" si="9"/>
        <v>0</v>
      </c>
      <c r="AR11">
        <f t="shared" si="10"/>
        <v>0</v>
      </c>
      <c r="AS11">
        <f t="shared" si="11"/>
        <v>0</v>
      </c>
      <c r="AT11">
        <f t="shared" si="12"/>
        <v>47</v>
      </c>
      <c r="AV11">
        <f t="shared" si="13"/>
        <v>92233</v>
      </c>
      <c r="AW11">
        <f t="shared" si="44"/>
        <v>0</v>
      </c>
      <c r="AX11">
        <f t="shared" si="14"/>
        <v>0</v>
      </c>
      <c r="AY11">
        <f t="shared" si="45"/>
        <v>0</v>
      </c>
      <c r="AZ11">
        <f t="shared" si="15"/>
        <v>0</v>
      </c>
      <c r="BA11">
        <f t="shared" si="16"/>
        <v>71</v>
      </c>
      <c r="BC11">
        <f t="shared" si="17"/>
        <v>92233</v>
      </c>
      <c r="BD11">
        <f t="shared" si="46"/>
        <v>0</v>
      </c>
      <c r="BE11">
        <f t="shared" si="18"/>
        <v>0</v>
      </c>
      <c r="BF11">
        <f t="shared" si="47"/>
        <v>0</v>
      </c>
      <c r="BG11">
        <f t="shared" si="19"/>
        <v>0</v>
      </c>
      <c r="BH11">
        <f t="shared" si="20"/>
        <v>144</v>
      </c>
      <c r="BJ11">
        <f t="shared" si="21"/>
        <v>92233</v>
      </c>
      <c r="BK11">
        <f t="shared" si="48"/>
        <v>0</v>
      </c>
      <c r="BL11">
        <f t="shared" si="22"/>
        <v>0</v>
      </c>
      <c r="BM11">
        <f t="shared" si="49"/>
        <v>0</v>
      </c>
      <c r="BN11">
        <f t="shared" si="23"/>
        <v>0</v>
      </c>
      <c r="BO11">
        <f t="shared" si="24"/>
        <v>100</v>
      </c>
      <c r="BQ11">
        <f t="shared" si="25"/>
        <v>92233</v>
      </c>
      <c r="BR11">
        <f t="shared" si="50"/>
        <v>0</v>
      </c>
      <c r="BS11">
        <f t="shared" si="26"/>
        <v>0</v>
      </c>
      <c r="BT11">
        <f t="shared" si="51"/>
        <v>0</v>
      </c>
      <c r="BU11">
        <f t="shared" si="27"/>
        <v>0</v>
      </c>
      <c r="BV11">
        <f t="shared" si="28"/>
        <v>0</v>
      </c>
      <c r="BX11">
        <f t="shared" si="52"/>
        <v>92233</v>
      </c>
      <c r="BY11">
        <f t="shared" si="53"/>
        <v>0</v>
      </c>
      <c r="BZ11">
        <f t="shared" si="29"/>
        <v>0</v>
      </c>
      <c r="CA11">
        <f t="shared" si="54"/>
        <v>0</v>
      </c>
      <c r="CB11">
        <f t="shared" si="30"/>
        <v>0</v>
      </c>
      <c r="CC11">
        <f t="shared" si="31"/>
        <v>0</v>
      </c>
      <c r="CE11">
        <f t="shared" si="55"/>
        <v>92233</v>
      </c>
      <c r="CF11">
        <f t="shared" si="56"/>
        <v>0</v>
      </c>
      <c r="CG11">
        <f t="shared" si="33"/>
        <v>0</v>
      </c>
      <c r="CH11">
        <f t="shared" si="57"/>
        <v>0</v>
      </c>
      <c r="CI11">
        <f t="shared" si="34"/>
        <v>0</v>
      </c>
      <c r="CJ11">
        <f t="shared" si="35"/>
        <v>0</v>
      </c>
    </row>
    <row r="12" spans="1:95">
      <c r="A12" s="5">
        <v>92122</v>
      </c>
      <c r="B12" s="5" t="s">
        <v>450</v>
      </c>
      <c r="C12" s="5" t="s">
        <v>496</v>
      </c>
      <c r="D12" s="5">
        <v>1</v>
      </c>
      <c r="E12" s="5" t="s">
        <v>47</v>
      </c>
      <c r="F12" s="5">
        <v>1</v>
      </c>
      <c r="G12" s="5">
        <v>21</v>
      </c>
      <c r="H12" s="5">
        <f t="shared" si="0"/>
        <v>0</v>
      </c>
      <c r="I12" s="5">
        <f t="shared" si="1"/>
        <v>31</v>
      </c>
      <c r="J12" s="5">
        <f t="shared" si="2"/>
        <v>0</v>
      </c>
      <c r="K12" s="98">
        <f t="shared" si="3"/>
        <v>2</v>
      </c>
      <c r="L12" s="5">
        <f t="shared" si="58"/>
        <v>1</v>
      </c>
      <c r="M12" s="5" t="str">
        <f t="shared" si="4"/>
        <v>银饰耳钉碎片  1</v>
      </c>
      <c r="N12" s="5">
        <f t="shared" ref="N12:N64" si="60">A66</f>
        <v>93122</v>
      </c>
      <c r="O12" s="5">
        <v>5</v>
      </c>
      <c r="P12" s="5" t="str">
        <f t="shared" si="5"/>
        <v/>
      </c>
      <c r="Q12" s="5"/>
      <c r="R12" s="91"/>
      <c r="S12" s="5" t="str">
        <f t="shared" si="6"/>
        <v/>
      </c>
      <c r="T12" s="5"/>
      <c r="U12" s="91"/>
      <c r="V12" s="39">
        <f t="shared" si="36"/>
        <v>362</v>
      </c>
      <c r="W12">
        <f t="shared" si="59"/>
        <v>50</v>
      </c>
      <c r="X12">
        <f t="shared" si="38"/>
        <v>3</v>
      </c>
      <c r="Y12" s="6"/>
      <c r="Z12" s="6">
        <v>1</v>
      </c>
      <c r="AA12" s="6"/>
      <c r="AB12">
        <f t="shared" si="39"/>
        <v>31</v>
      </c>
      <c r="AC12">
        <f t="shared" si="40"/>
        <v>20</v>
      </c>
      <c r="AD12">
        <f t="shared" si="41"/>
        <v>362</v>
      </c>
      <c r="AL12">
        <f>CHOOSE(2,1,COUNTIF(D_马仔培养宝物!$F$2:$K$229,D_马仔宝物!A12))</f>
        <v>24</v>
      </c>
      <c r="AM12">
        <f t="shared" si="7"/>
        <v>92122</v>
      </c>
      <c r="AN12">
        <f t="shared" si="42"/>
        <v>93122</v>
      </c>
      <c r="AO12">
        <f t="shared" si="43"/>
        <v>120</v>
      </c>
      <c r="AP12">
        <f t="shared" si="8"/>
        <v>0</v>
      </c>
      <c r="AQ12">
        <f t="shared" si="9"/>
        <v>0</v>
      </c>
      <c r="AR12">
        <f t="shared" si="10"/>
        <v>0</v>
      </c>
      <c r="AS12">
        <f t="shared" si="11"/>
        <v>0</v>
      </c>
      <c r="AT12">
        <f t="shared" si="12"/>
        <v>39</v>
      </c>
      <c r="AV12">
        <f t="shared" si="13"/>
        <v>92122</v>
      </c>
      <c r="AW12">
        <f t="shared" si="44"/>
        <v>0</v>
      </c>
      <c r="AX12">
        <f t="shared" si="14"/>
        <v>0</v>
      </c>
      <c r="AY12">
        <f t="shared" si="45"/>
        <v>0</v>
      </c>
      <c r="AZ12">
        <f t="shared" si="15"/>
        <v>0</v>
      </c>
      <c r="BA12">
        <f t="shared" si="16"/>
        <v>58</v>
      </c>
      <c r="BC12">
        <f t="shared" si="17"/>
        <v>92122</v>
      </c>
      <c r="BD12">
        <f t="shared" si="46"/>
        <v>0</v>
      </c>
      <c r="BE12">
        <f t="shared" si="18"/>
        <v>0</v>
      </c>
      <c r="BF12">
        <f t="shared" si="47"/>
        <v>0</v>
      </c>
      <c r="BG12">
        <f t="shared" si="19"/>
        <v>0</v>
      </c>
      <c r="BH12">
        <f t="shared" si="20"/>
        <v>107</v>
      </c>
      <c r="BJ12">
        <f t="shared" si="21"/>
        <v>92122</v>
      </c>
      <c r="BK12">
        <f t="shared" si="48"/>
        <v>0</v>
      </c>
      <c r="BL12">
        <f t="shared" si="22"/>
        <v>0</v>
      </c>
      <c r="BM12">
        <f t="shared" si="49"/>
        <v>0</v>
      </c>
      <c r="BN12">
        <f t="shared" si="23"/>
        <v>0</v>
      </c>
      <c r="BO12">
        <f t="shared" si="24"/>
        <v>134</v>
      </c>
      <c r="BQ12">
        <f t="shared" si="25"/>
        <v>92122</v>
      </c>
      <c r="BR12">
        <f t="shared" si="50"/>
        <v>0</v>
      </c>
      <c r="BS12">
        <f t="shared" si="26"/>
        <v>0</v>
      </c>
      <c r="BT12">
        <f t="shared" si="51"/>
        <v>0</v>
      </c>
      <c r="BU12">
        <f t="shared" si="27"/>
        <v>0</v>
      </c>
      <c r="BV12">
        <f t="shared" si="28"/>
        <v>0</v>
      </c>
      <c r="BX12">
        <f t="shared" si="52"/>
        <v>92122</v>
      </c>
      <c r="BY12">
        <f t="shared" si="53"/>
        <v>0</v>
      </c>
      <c r="BZ12">
        <f t="shared" si="29"/>
        <v>0</v>
      </c>
      <c r="CA12">
        <f t="shared" si="54"/>
        <v>0</v>
      </c>
      <c r="CB12">
        <f t="shared" si="30"/>
        <v>0</v>
      </c>
      <c r="CC12">
        <f t="shared" si="31"/>
        <v>0</v>
      </c>
      <c r="CE12">
        <f t="shared" si="55"/>
        <v>92122</v>
      </c>
      <c r="CF12">
        <f t="shared" si="56"/>
        <v>0</v>
      </c>
      <c r="CG12">
        <f t="shared" si="33"/>
        <v>0</v>
      </c>
      <c r="CH12">
        <f t="shared" si="57"/>
        <v>0</v>
      </c>
      <c r="CI12">
        <f t="shared" si="34"/>
        <v>0</v>
      </c>
      <c r="CJ12">
        <f t="shared" si="35"/>
        <v>0</v>
      </c>
    </row>
    <row r="13" spans="1:95">
      <c r="A13" s="5">
        <v>92141</v>
      </c>
      <c r="B13" s="5" t="s">
        <v>445</v>
      </c>
      <c r="C13" s="5" t="s">
        <v>496</v>
      </c>
      <c r="D13" s="5">
        <v>1</v>
      </c>
      <c r="E13" s="5" t="s">
        <v>42</v>
      </c>
      <c r="F13" s="5">
        <v>1</v>
      </c>
      <c r="G13" s="5">
        <v>22</v>
      </c>
      <c r="H13" s="5">
        <f t="shared" si="0"/>
        <v>0</v>
      </c>
      <c r="I13" s="5">
        <f t="shared" si="1"/>
        <v>0</v>
      </c>
      <c r="J13" s="5">
        <f t="shared" si="2"/>
        <v>13</v>
      </c>
      <c r="K13" s="98">
        <f t="shared" si="3"/>
        <v>2</v>
      </c>
      <c r="L13" s="5">
        <f t="shared" si="58"/>
        <v>1</v>
      </c>
      <c r="M13" s="5" t="str">
        <f t="shared" si="4"/>
        <v>白银戒指碎片  1</v>
      </c>
      <c r="N13" s="5">
        <f t="shared" si="60"/>
        <v>93141</v>
      </c>
      <c r="O13" s="5">
        <v>5</v>
      </c>
      <c r="P13" s="5" t="str">
        <f t="shared" si="5"/>
        <v/>
      </c>
      <c r="Q13" s="5"/>
      <c r="R13" s="91"/>
      <c r="S13" s="5" t="str">
        <f t="shared" si="6"/>
        <v/>
      </c>
      <c r="T13" s="5"/>
      <c r="U13" s="91"/>
      <c r="V13" s="39">
        <f t="shared" si="36"/>
        <v>381</v>
      </c>
      <c r="W13">
        <f t="shared" si="59"/>
        <v>50</v>
      </c>
      <c r="X13">
        <f t="shared" si="38"/>
        <v>3</v>
      </c>
      <c r="Y13" s="6"/>
      <c r="Z13" s="6"/>
      <c r="AA13" s="6">
        <v>1</v>
      </c>
      <c r="AB13">
        <f t="shared" si="39"/>
        <v>13</v>
      </c>
      <c r="AC13">
        <f t="shared" si="40"/>
        <v>20</v>
      </c>
      <c r="AD13">
        <f t="shared" si="41"/>
        <v>381</v>
      </c>
      <c r="AL13">
        <f>CHOOSE(2,1,COUNTIF(D_马仔培养宝物!$F$2:$K$229,D_马仔宝物!A13))</f>
        <v>24</v>
      </c>
      <c r="AM13">
        <f t="shared" si="7"/>
        <v>92141</v>
      </c>
      <c r="AN13">
        <f t="shared" si="42"/>
        <v>93141</v>
      </c>
      <c r="AO13">
        <f t="shared" si="43"/>
        <v>120</v>
      </c>
      <c r="AP13">
        <f t="shared" si="8"/>
        <v>0</v>
      </c>
      <c r="AQ13">
        <f t="shared" si="9"/>
        <v>0</v>
      </c>
      <c r="AR13">
        <f t="shared" si="10"/>
        <v>0</v>
      </c>
      <c r="AS13">
        <f t="shared" si="11"/>
        <v>0</v>
      </c>
      <c r="AT13">
        <f t="shared" si="12"/>
        <v>35</v>
      </c>
      <c r="AV13">
        <f t="shared" si="13"/>
        <v>92141</v>
      </c>
      <c r="AW13">
        <f t="shared" si="44"/>
        <v>0</v>
      </c>
      <c r="AX13">
        <f t="shared" si="14"/>
        <v>0</v>
      </c>
      <c r="AY13">
        <f t="shared" si="45"/>
        <v>0</v>
      </c>
      <c r="AZ13">
        <f t="shared" si="15"/>
        <v>0</v>
      </c>
      <c r="BA13">
        <f t="shared" si="16"/>
        <v>82</v>
      </c>
      <c r="BC13">
        <f t="shared" si="17"/>
        <v>92141</v>
      </c>
      <c r="BD13">
        <f t="shared" si="46"/>
        <v>0</v>
      </c>
      <c r="BE13">
        <f t="shared" si="18"/>
        <v>0</v>
      </c>
      <c r="BF13">
        <f t="shared" si="47"/>
        <v>0</v>
      </c>
      <c r="BG13">
        <f t="shared" si="19"/>
        <v>0</v>
      </c>
      <c r="BH13">
        <f t="shared" si="20"/>
        <v>132</v>
      </c>
      <c r="BJ13">
        <f t="shared" si="21"/>
        <v>92141</v>
      </c>
      <c r="BK13">
        <f t="shared" si="48"/>
        <v>0</v>
      </c>
      <c r="BL13">
        <f t="shared" si="22"/>
        <v>0</v>
      </c>
      <c r="BM13">
        <f t="shared" si="49"/>
        <v>0</v>
      </c>
      <c r="BN13">
        <f t="shared" si="23"/>
        <v>0</v>
      </c>
      <c r="BO13">
        <f t="shared" si="24"/>
        <v>108</v>
      </c>
      <c r="BQ13">
        <f t="shared" si="25"/>
        <v>92141</v>
      </c>
      <c r="BR13">
        <f t="shared" si="50"/>
        <v>0</v>
      </c>
      <c r="BS13">
        <f t="shared" si="26"/>
        <v>0</v>
      </c>
      <c r="BT13">
        <f t="shared" si="51"/>
        <v>0</v>
      </c>
      <c r="BU13">
        <f t="shared" si="27"/>
        <v>0</v>
      </c>
      <c r="BV13">
        <f t="shared" si="28"/>
        <v>0</v>
      </c>
      <c r="BX13">
        <f t="shared" si="52"/>
        <v>92141</v>
      </c>
      <c r="BY13">
        <f t="shared" si="53"/>
        <v>0</v>
      </c>
      <c r="BZ13">
        <f t="shared" si="29"/>
        <v>0</v>
      </c>
      <c r="CA13">
        <f t="shared" si="54"/>
        <v>0</v>
      </c>
      <c r="CB13">
        <f t="shared" si="30"/>
        <v>0</v>
      </c>
      <c r="CC13">
        <f t="shared" si="31"/>
        <v>0</v>
      </c>
      <c r="CE13">
        <f t="shared" si="55"/>
        <v>92141</v>
      </c>
      <c r="CF13">
        <f t="shared" si="56"/>
        <v>0</v>
      </c>
      <c r="CG13">
        <f t="shared" si="33"/>
        <v>0</v>
      </c>
      <c r="CH13">
        <f t="shared" si="57"/>
        <v>0</v>
      </c>
      <c r="CI13">
        <f t="shared" si="34"/>
        <v>0</v>
      </c>
      <c r="CJ13">
        <f t="shared" si="35"/>
        <v>0</v>
      </c>
    </row>
    <row r="14" spans="1:95">
      <c r="A14" s="5">
        <v>92245</v>
      </c>
      <c r="B14" s="5" t="s">
        <v>444</v>
      </c>
      <c r="C14" s="5" t="s">
        <v>496</v>
      </c>
      <c r="D14" s="5">
        <v>1</v>
      </c>
      <c r="E14" s="5" t="s">
        <v>41</v>
      </c>
      <c r="F14" s="5">
        <v>1</v>
      </c>
      <c r="G14" s="5">
        <v>22</v>
      </c>
      <c r="H14" s="5">
        <f t="shared" si="0"/>
        <v>617</v>
      </c>
      <c r="I14" s="5">
        <f t="shared" si="1"/>
        <v>0</v>
      </c>
      <c r="J14" s="5">
        <f t="shared" si="2"/>
        <v>0</v>
      </c>
      <c r="K14" s="98">
        <f t="shared" si="3"/>
        <v>2</v>
      </c>
      <c r="L14" s="5">
        <f t="shared" si="58"/>
        <v>1</v>
      </c>
      <c r="M14" s="5" t="str">
        <f t="shared" si="4"/>
        <v>水晶项链碎片  1</v>
      </c>
      <c r="N14" s="5">
        <f t="shared" si="60"/>
        <v>93245</v>
      </c>
      <c r="O14" s="5">
        <v>5</v>
      </c>
      <c r="P14" s="5" t="str">
        <f t="shared" si="5"/>
        <v/>
      </c>
      <c r="Q14" s="5"/>
      <c r="R14" s="91"/>
      <c r="S14" s="5" t="str">
        <f t="shared" si="6"/>
        <v/>
      </c>
      <c r="T14" s="5"/>
      <c r="U14" s="91"/>
      <c r="V14" s="39">
        <f t="shared" si="36"/>
        <v>276</v>
      </c>
      <c r="W14">
        <f t="shared" si="59"/>
        <v>50</v>
      </c>
      <c r="X14">
        <f t="shared" si="38"/>
        <v>3</v>
      </c>
      <c r="Y14" s="6">
        <v>1</v>
      </c>
      <c r="Z14" s="6"/>
      <c r="AA14" s="6"/>
      <c r="AB14">
        <f t="shared" si="39"/>
        <v>24.68</v>
      </c>
      <c r="AC14">
        <f t="shared" si="40"/>
        <v>20</v>
      </c>
      <c r="AD14">
        <f t="shared" si="41"/>
        <v>276</v>
      </c>
      <c r="AL14">
        <f>CHOOSE(2,1,COUNTIF(D_马仔培养宝物!$F$2:$K$229,D_马仔宝物!A14))</f>
        <v>23</v>
      </c>
      <c r="AM14">
        <f t="shared" si="7"/>
        <v>92245</v>
      </c>
      <c r="AN14">
        <f t="shared" si="42"/>
        <v>93245</v>
      </c>
      <c r="AO14">
        <f t="shared" si="43"/>
        <v>115</v>
      </c>
      <c r="AP14">
        <f t="shared" si="8"/>
        <v>0</v>
      </c>
      <c r="AQ14">
        <f t="shared" si="9"/>
        <v>0</v>
      </c>
      <c r="AR14">
        <f t="shared" si="10"/>
        <v>0</v>
      </c>
      <c r="AS14">
        <f t="shared" si="11"/>
        <v>0</v>
      </c>
      <c r="AT14">
        <f t="shared" si="12"/>
        <v>42</v>
      </c>
      <c r="AV14">
        <f t="shared" si="13"/>
        <v>92245</v>
      </c>
      <c r="AW14">
        <f t="shared" si="44"/>
        <v>0</v>
      </c>
      <c r="AX14">
        <f t="shared" si="14"/>
        <v>0</v>
      </c>
      <c r="AY14">
        <f t="shared" si="45"/>
        <v>0</v>
      </c>
      <c r="AZ14">
        <f t="shared" si="15"/>
        <v>0</v>
      </c>
      <c r="BA14">
        <f t="shared" si="16"/>
        <v>67</v>
      </c>
      <c r="BC14">
        <f t="shared" si="17"/>
        <v>92245</v>
      </c>
      <c r="BD14">
        <f t="shared" si="46"/>
        <v>0</v>
      </c>
      <c r="BE14">
        <f t="shared" si="18"/>
        <v>0</v>
      </c>
      <c r="BF14">
        <f t="shared" si="47"/>
        <v>0</v>
      </c>
      <c r="BG14">
        <f t="shared" si="19"/>
        <v>0</v>
      </c>
      <c r="BH14">
        <f t="shared" si="20"/>
        <v>103</v>
      </c>
      <c r="BJ14">
        <f t="shared" si="21"/>
        <v>92245</v>
      </c>
      <c r="BK14">
        <f t="shared" si="48"/>
        <v>0</v>
      </c>
      <c r="BL14">
        <f t="shared" si="22"/>
        <v>0</v>
      </c>
      <c r="BM14">
        <f t="shared" si="49"/>
        <v>0</v>
      </c>
      <c r="BN14">
        <f t="shared" si="23"/>
        <v>0</v>
      </c>
      <c r="BO14">
        <f t="shared" si="24"/>
        <v>41</v>
      </c>
      <c r="BQ14">
        <f t="shared" si="25"/>
        <v>92245</v>
      </c>
      <c r="BR14">
        <f t="shared" si="50"/>
        <v>0</v>
      </c>
      <c r="BS14">
        <f t="shared" si="26"/>
        <v>0</v>
      </c>
      <c r="BT14">
        <f t="shared" si="51"/>
        <v>0</v>
      </c>
      <c r="BU14">
        <f t="shared" si="27"/>
        <v>0</v>
      </c>
      <c r="BV14">
        <f t="shared" si="28"/>
        <v>0</v>
      </c>
      <c r="BX14">
        <f t="shared" si="52"/>
        <v>92245</v>
      </c>
      <c r="BY14">
        <f t="shared" si="53"/>
        <v>0</v>
      </c>
      <c r="BZ14">
        <f t="shared" si="29"/>
        <v>0</v>
      </c>
      <c r="CA14">
        <f t="shared" si="54"/>
        <v>0</v>
      </c>
      <c r="CB14">
        <f t="shared" si="30"/>
        <v>0</v>
      </c>
      <c r="CC14">
        <f t="shared" si="31"/>
        <v>0</v>
      </c>
      <c r="CE14">
        <f t="shared" si="55"/>
        <v>92245</v>
      </c>
      <c r="CF14">
        <f t="shared" si="56"/>
        <v>0</v>
      </c>
      <c r="CG14">
        <f t="shared" si="33"/>
        <v>0</v>
      </c>
      <c r="CH14">
        <f t="shared" si="57"/>
        <v>0</v>
      </c>
      <c r="CI14">
        <f t="shared" si="34"/>
        <v>0</v>
      </c>
      <c r="CJ14">
        <f t="shared" si="35"/>
        <v>0</v>
      </c>
    </row>
    <row r="15" spans="1:95">
      <c r="A15" s="5">
        <v>92251</v>
      </c>
      <c r="B15" s="5" t="s">
        <v>458</v>
      </c>
      <c r="C15" s="5" t="s">
        <v>496</v>
      </c>
      <c r="D15" s="5">
        <v>1</v>
      </c>
      <c r="E15" s="5" t="s">
        <v>44</v>
      </c>
      <c r="F15" s="5">
        <v>1</v>
      </c>
      <c r="G15" s="5">
        <v>23</v>
      </c>
      <c r="H15" s="5">
        <f t="shared" si="0"/>
        <v>0</v>
      </c>
      <c r="I15" s="5">
        <f t="shared" si="1"/>
        <v>31</v>
      </c>
      <c r="J15" s="5">
        <f t="shared" si="2"/>
        <v>0</v>
      </c>
      <c r="K15" s="98">
        <f t="shared" si="3"/>
        <v>2</v>
      </c>
      <c r="L15" s="5">
        <f t="shared" si="58"/>
        <v>1</v>
      </c>
      <c r="M15" s="5" t="str">
        <f t="shared" si="4"/>
        <v>红石项链碎片  1</v>
      </c>
      <c r="N15" s="5">
        <f t="shared" si="60"/>
        <v>93251</v>
      </c>
      <c r="O15" s="5">
        <v>5</v>
      </c>
      <c r="P15" s="5" t="str">
        <f t="shared" si="5"/>
        <v/>
      </c>
      <c r="Q15" s="5"/>
      <c r="R15" s="91"/>
      <c r="S15" s="5" t="str">
        <f t="shared" si="6"/>
        <v/>
      </c>
      <c r="T15" s="5"/>
      <c r="U15" s="91"/>
      <c r="V15" s="39">
        <f t="shared" si="36"/>
        <v>469</v>
      </c>
      <c r="W15">
        <f t="shared" si="59"/>
        <v>50</v>
      </c>
      <c r="X15">
        <f t="shared" si="38"/>
        <v>3</v>
      </c>
      <c r="Y15" s="6"/>
      <c r="Z15" s="6">
        <v>1</v>
      </c>
      <c r="AA15" s="6"/>
      <c r="AB15">
        <f t="shared" si="39"/>
        <v>31</v>
      </c>
      <c r="AC15">
        <f t="shared" si="40"/>
        <v>20</v>
      </c>
      <c r="AD15">
        <f t="shared" si="41"/>
        <v>469</v>
      </c>
      <c r="AL15">
        <f>CHOOSE(2,1,COUNTIF(D_马仔培养宝物!$F$2:$K$229,D_马仔宝物!A15))</f>
        <v>21</v>
      </c>
      <c r="AM15">
        <f t="shared" si="7"/>
        <v>92251</v>
      </c>
      <c r="AN15">
        <f t="shared" si="42"/>
        <v>93251</v>
      </c>
      <c r="AO15">
        <f t="shared" si="43"/>
        <v>105</v>
      </c>
      <c r="AP15">
        <f t="shared" si="8"/>
        <v>0</v>
      </c>
      <c r="AQ15">
        <f t="shared" si="9"/>
        <v>0</v>
      </c>
      <c r="AR15">
        <f t="shared" si="10"/>
        <v>0</v>
      </c>
      <c r="AS15">
        <f t="shared" si="11"/>
        <v>0</v>
      </c>
      <c r="AT15">
        <f t="shared" si="12"/>
        <v>34</v>
      </c>
      <c r="AV15">
        <f t="shared" si="13"/>
        <v>92251</v>
      </c>
      <c r="AW15">
        <f t="shared" si="44"/>
        <v>0</v>
      </c>
      <c r="AX15">
        <f t="shared" si="14"/>
        <v>0</v>
      </c>
      <c r="AY15">
        <f t="shared" si="45"/>
        <v>0</v>
      </c>
      <c r="AZ15">
        <f t="shared" si="15"/>
        <v>0</v>
      </c>
      <c r="BA15">
        <f t="shared" si="16"/>
        <v>82</v>
      </c>
      <c r="BC15">
        <f t="shared" si="17"/>
        <v>92251</v>
      </c>
      <c r="BD15">
        <f t="shared" si="46"/>
        <v>0</v>
      </c>
      <c r="BE15">
        <f t="shared" si="18"/>
        <v>0</v>
      </c>
      <c r="BF15">
        <f t="shared" si="47"/>
        <v>0</v>
      </c>
      <c r="BG15">
        <f t="shared" si="19"/>
        <v>0</v>
      </c>
      <c r="BH15">
        <f t="shared" si="20"/>
        <v>172</v>
      </c>
      <c r="BJ15">
        <f t="shared" si="21"/>
        <v>92251</v>
      </c>
      <c r="BK15">
        <f t="shared" si="48"/>
        <v>0</v>
      </c>
      <c r="BL15">
        <f t="shared" si="22"/>
        <v>0</v>
      </c>
      <c r="BM15">
        <f t="shared" si="49"/>
        <v>0</v>
      </c>
      <c r="BN15">
        <f t="shared" si="23"/>
        <v>0</v>
      </c>
      <c r="BO15">
        <f t="shared" si="24"/>
        <v>160</v>
      </c>
      <c r="BQ15">
        <f t="shared" si="25"/>
        <v>92251</v>
      </c>
      <c r="BR15">
        <f t="shared" si="50"/>
        <v>0</v>
      </c>
      <c r="BS15">
        <f t="shared" si="26"/>
        <v>0</v>
      </c>
      <c r="BT15">
        <f t="shared" si="51"/>
        <v>0</v>
      </c>
      <c r="BU15">
        <f t="shared" si="27"/>
        <v>0</v>
      </c>
      <c r="BV15">
        <f t="shared" si="28"/>
        <v>0</v>
      </c>
      <c r="BX15">
        <f t="shared" si="52"/>
        <v>92251</v>
      </c>
      <c r="BY15">
        <f t="shared" si="53"/>
        <v>0</v>
      </c>
      <c r="BZ15">
        <f t="shared" si="29"/>
        <v>0</v>
      </c>
      <c r="CA15">
        <f t="shared" si="54"/>
        <v>0</v>
      </c>
      <c r="CB15">
        <f t="shared" si="30"/>
        <v>0</v>
      </c>
      <c r="CC15">
        <f t="shared" si="31"/>
        <v>0</v>
      </c>
      <c r="CE15">
        <f t="shared" si="55"/>
        <v>92251</v>
      </c>
      <c r="CF15">
        <f t="shared" si="56"/>
        <v>0</v>
      </c>
      <c r="CG15">
        <f t="shared" si="33"/>
        <v>0</v>
      </c>
      <c r="CH15">
        <f t="shared" si="57"/>
        <v>0</v>
      </c>
      <c r="CI15">
        <f t="shared" si="34"/>
        <v>0</v>
      </c>
      <c r="CJ15">
        <f t="shared" si="35"/>
        <v>0</v>
      </c>
    </row>
    <row r="16" spans="1:95">
      <c r="A16" s="5">
        <v>92264</v>
      </c>
      <c r="B16" s="5" t="s">
        <v>448</v>
      </c>
      <c r="C16" s="5" t="s">
        <v>496</v>
      </c>
      <c r="D16" s="5">
        <v>1</v>
      </c>
      <c r="E16" s="5" t="s">
        <v>39</v>
      </c>
      <c r="F16" s="5">
        <v>1</v>
      </c>
      <c r="G16" s="5">
        <v>23</v>
      </c>
      <c r="H16" s="5">
        <f t="shared" si="0"/>
        <v>0</v>
      </c>
      <c r="I16" s="5">
        <f t="shared" si="1"/>
        <v>0</v>
      </c>
      <c r="J16" s="5">
        <f t="shared" si="2"/>
        <v>13</v>
      </c>
      <c r="K16" s="98">
        <f t="shared" si="3"/>
        <v>2</v>
      </c>
      <c r="L16" s="5">
        <f t="shared" si="58"/>
        <v>1</v>
      </c>
      <c r="M16" s="5" t="str">
        <f t="shared" si="4"/>
        <v>越野手表碎片  1</v>
      </c>
      <c r="N16" s="5">
        <f t="shared" si="60"/>
        <v>93264</v>
      </c>
      <c r="O16" s="5">
        <v>5</v>
      </c>
      <c r="P16" s="5" t="str">
        <f t="shared" si="5"/>
        <v/>
      </c>
      <c r="Q16" s="5"/>
      <c r="R16" s="91"/>
      <c r="S16" s="5" t="str">
        <f t="shared" si="6"/>
        <v/>
      </c>
      <c r="T16" s="5"/>
      <c r="U16" s="91"/>
      <c r="V16" s="39">
        <f t="shared" si="36"/>
        <v>204</v>
      </c>
      <c r="W16">
        <f t="shared" si="59"/>
        <v>50</v>
      </c>
      <c r="X16">
        <f t="shared" si="38"/>
        <v>3</v>
      </c>
      <c r="Y16" s="6"/>
      <c r="Z16" s="6"/>
      <c r="AA16" s="6">
        <v>1</v>
      </c>
      <c r="AB16">
        <f t="shared" si="39"/>
        <v>13</v>
      </c>
      <c r="AC16">
        <f t="shared" si="40"/>
        <v>20</v>
      </c>
      <c r="AD16">
        <f t="shared" si="41"/>
        <v>204</v>
      </c>
      <c r="AL16">
        <f>CHOOSE(2,1,COUNTIF(D_马仔培养宝物!$F$2:$K$229,D_马仔宝物!A16))</f>
        <v>25</v>
      </c>
      <c r="AM16">
        <f t="shared" si="7"/>
        <v>92264</v>
      </c>
      <c r="AN16">
        <f t="shared" si="42"/>
        <v>93264</v>
      </c>
      <c r="AO16">
        <f t="shared" si="43"/>
        <v>125</v>
      </c>
      <c r="AP16">
        <f t="shared" si="8"/>
        <v>0</v>
      </c>
      <c r="AQ16">
        <f t="shared" si="9"/>
        <v>0</v>
      </c>
      <c r="AR16">
        <f t="shared" si="10"/>
        <v>0</v>
      </c>
      <c r="AS16">
        <f t="shared" si="11"/>
        <v>0</v>
      </c>
      <c r="AT16">
        <f t="shared" si="12"/>
        <v>39</v>
      </c>
      <c r="AV16">
        <f t="shared" si="13"/>
        <v>92264</v>
      </c>
      <c r="AW16">
        <f t="shared" si="44"/>
        <v>0</v>
      </c>
      <c r="AX16">
        <f t="shared" si="14"/>
        <v>0</v>
      </c>
      <c r="AY16">
        <f t="shared" si="45"/>
        <v>0</v>
      </c>
      <c r="AZ16">
        <f t="shared" si="15"/>
        <v>0</v>
      </c>
      <c r="BA16">
        <f t="shared" si="16"/>
        <v>32</v>
      </c>
      <c r="BC16">
        <f t="shared" si="17"/>
        <v>92264</v>
      </c>
      <c r="BD16">
        <f t="shared" si="46"/>
        <v>0</v>
      </c>
      <c r="BE16">
        <f t="shared" si="18"/>
        <v>0</v>
      </c>
      <c r="BF16">
        <f t="shared" si="47"/>
        <v>0</v>
      </c>
      <c r="BG16">
        <f t="shared" si="19"/>
        <v>0</v>
      </c>
      <c r="BH16">
        <f t="shared" si="20"/>
        <v>36</v>
      </c>
      <c r="BJ16">
        <f t="shared" si="21"/>
        <v>92264</v>
      </c>
      <c r="BK16">
        <f t="shared" si="48"/>
        <v>0</v>
      </c>
      <c r="BL16">
        <f t="shared" si="22"/>
        <v>0</v>
      </c>
      <c r="BM16">
        <f t="shared" si="49"/>
        <v>0</v>
      </c>
      <c r="BN16">
        <f t="shared" si="23"/>
        <v>0</v>
      </c>
      <c r="BO16">
        <f t="shared" si="24"/>
        <v>72</v>
      </c>
      <c r="BQ16">
        <f t="shared" si="25"/>
        <v>92264</v>
      </c>
      <c r="BR16">
        <f t="shared" si="50"/>
        <v>0</v>
      </c>
      <c r="BS16">
        <f t="shared" si="26"/>
        <v>0</v>
      </c>
      <c r="BT16">
        <f t="shared" si="51"/>
        <v>0</v>
      </c>
      <c r="BU16">
        <f t="shared" si="27"/>
        <v>0</v>
      </c>
      <c r="BV16">
        <f t="shared" si="28"/>
        <v>0</v>
      </c>
      <c r="BX16">
        <f t="shared" si="52"/>
        <v>92264</v>
      </c>
      <c r="BY16">
        <f t="shared" si="53"/>
        <v>0</v>
      </c>
      <c r="BZ16">
        <f t="shared" si="29"/>
        <v>0</v>
      </c>
      <c r="CA16">
        <f t="shared" si="54"/>
        <v>0</v>
      </c>
      <c r="CB16">
        <f t="shared" si="30"/>
        <v>0</v>
      </c>
      <c r="CC16">
        <f t="shared" si="31"/>
        <v>0</v>
      </c>
      <c r="CE16">
        <f t="shared" si="55"/>
        <v>92264</v>
      </c>
      <c r="CF16">
        <f t="shared" si="56"/>
        <v>0</v>
      </c>
      <c r="CG16">
        <f t="shared" si="33"/>
        <v>0</v>
      </c>
      <c r="CH16">
        <f t="shared" si="57"/>
        <v>0</v>
      </c>
      <c r="CI16">
        <f t="shared" si="34"/>
        <v>0</v>
      </c>
      <c r="CJ16">
        <f t="shared" si="35"/>
        <v>0</v>
      </c>
    </row>
    <row r="17" spans="1:88">
      <c r="A17" s="5">
        <v>92271</v>
      </c>
      <c r="B17" s="5" t="s">
        <v>459</v>
      </c>
      <c r="C17" s="5" t="s">
        <v>496</v>
      </c>
      <c r="D17" s="5">
        <v>1</v>
      </c>
      <c r="E17" s="5" t="s">
        <v>45</v>
      </c>
      <c r="F17" s="5">
        <v>1</v>
      </c>
      <c r="G17" s="5">
        <v>24</v>
      </c>
      <c r="H17" s="5">
        <f t="shared" si="0"/>
        <v>617</v>
      </c>
      <c r="I17" s="5">
        <f t="shared" si="1"/>
        <v>0</v>
      </c>
      <c r="J17" s="5">
        <f t="shared" si="2"/>
        <v>0</v>
      </c>
      <c r="K17" s="98">
        <f t="shared" si="3"/>
        <v>1</v>
      </c>
      <c r="L17" s="5">
        <f t="shared" si="58"/>
        <v>1</v>
      </c>
      <c r="M17" s="5" t="str">
        <f t="shared" si="4"/>
        <v>精准手表碎片  1</v>
      </c>
      <c r="N17" s="5">
        <f t="shared" si="60"/>
        <v>93271</v>
      </c>
      <c r="O17" s="5">
        <v>5</v>
      </c>
      <c r="P17" s="5" t="str">
        <f t="shared" si="5"/>
        <v/>
      </c>
      <c r="Q17" s="5"/>
      <c r="R17" s="91"/>
      <c r="S17" s="5" t="str">
        <f t="shared" si="6"/>
        <v/>
      </c>
      <c r="T17" s="5"/>
      <c r="U17" s="91"/>
      <c r="V17" s="39">
        <f t="shared" si="36"/>
        <v>108</v>
      </c>
      <c r="W17">
        <f t="shared" si="59"/>
        <v>50</v>
      </c>
      <c r="X17">
        <f t="shared" si="38"/>
        <v>3</v>
      </c>
      <c r="Y17" s="6">
        <v>1</v>
      </c>
      <c r="Z17" s="6"/>
      <c r="AA17" s="6"/>
      <c r="AB17">
        <f t="shared" si="39"/>
        <v>24.68</v>
      </c>
      <c r="AC17">
        <f t="shared" si="40"/>
        <v>20</v>
      </c>
      <c r="AD17">
        <f t="shared" si="41"/>
        <v>108</v>
      </c>
      <c r="AL17">
        <f>CHOOSE(2,1,COUNTIF(D_马仔培养宝物!$F$2:$K$229,D_马仔宝物!A17))</f>
        <v>22</v>
      </c>
      <c r="AM17">
        <f t="shared" si="7"/>
        <v>92271</v>
      </c>
      <c r="AN17">
        <f t="shared" si="42"/>
        <v>93271</v>
      </c>
      <c r="AO17">
        <f t="shared" si="43"/>
        <v>110</v>
      </c>
      <c r="AP17">
        <f t="shared" si="8"/>
        <v>0</v>
      </c>
      <c r="AQ17">
        <f t="shared" si="9"/>
        <v>0</v>
      </c>
      <c r="AR17">
        <f t="shared" si="10"/>
        <v>0</v>
      </c>
      <c r="AS17">
        <f t="shared" si="11"/>
        <v>0</v>
      </c>
      <c r="AT17">
        <f t="shared" si="12"/>
        <v>16</v>
      </c>
      <c r="AV17">
        <f t="shared" si="13"/>
        <v>92271</v>
      </c>
      <c r="AW17">
        <f t="shared" si="44"/>
        <v>0</v>
      </c>
      <c r="AX17">
        <f t="shared" si="14"/>
        <v>0</v>
      </c>
      <c r="AY17">
        <f t="shared" si="45"/>
        <v>0</v>
      </c>
      <c r="AZ17">
        <f t="shared" si="15"/>
        <v>0</v>
      </c>
      <c r="BA17">
        <f t="shared" si="16"/>
        <v>16</v>
      </c>
      <c r="BC17">
        <f t="shared" si="17"/>
        <v>92271</v>
      </c>
      <c r="BD17">
        <f t="shared" si="46"/>
        <v>0</v>
      </c>
      <c r="BE17">
        <f t="shared" si="18"/>
        <v>0</v>
      </c>
      <c r="BF17">
        <f t="shared" si="47"/>
        <v>0</v>
      </c>
      <c r="BG17">
        <f t="shared" si="19"/>
        <v>0</v>
      </c>
      <c r="BH17">
        <f t="shared" si="20"/>
        <v>18</v>
      </c>
      <c r="BJ17">
        <f t="shared" si="21"/>
        <v>92271</v>
      </c>
      <c r="BK17">
        <f t="shared" si="48"/>
        <v>0</v>
      </c>
      <c r="BL17">
        <f t="shared" si="22"/>
        <v>0</v>
      </c>
      <c r="BM17">
        <f t="shared" si="49"/>
        <v>0</v>
      </c>
      <c r="BN17">
        <f t="shared" si="23"/>
        <v>0</v>
      </c>
      <c r="BO17">
        <f t="shared" si="24"/>
        <v>36</v>
      </c>
      <c r="BQ17">
        <f t="shared" si="25"/>
        <v>92271</v>
      </c>
      <c r="BR17">
        <f t="shared" si="50"/>
        <v>0</v>
      </c>
      <c r="BS17">
        <f t="shared" si="26"/>
        <v>0</v>
      </c>
      <c r="BT17">
        <f t="shared" si="51"/>
        <v>0</v>
      </c>
      <c r="BU17">
        <f t="shared" si="27"/>
        <v>0</v>
      </c>
      <c r="BV17">
        <f t="shared" si="28"/>
        <v>0</v>
      </c>
      <c r="BX17">
        <f t="shared" si="52"/>
        <v>92271</v>
      </c>
      <c r="BY17">
        <f t="shared" si="53"/>
        <v>0</v>
      </c>
      <c r="BZ17">
        <f t="shared" si="29"/>
        <v>0</v>
      </c>
      <c r="CA17">
        <f t="shared" si="54"/>
        <v>0</v>
      </c>
      <c r="CB17">
        <f t="shared" si="30"/>
        <v>0</v>
      </c>
      <c r="CC17">
        <f t="shared" si="31"/>
        <v>0</v>
      </c>
      <c r="CE17">
        <f t="shared" si="55"/>
        <v>92271</v>
      </c>
      <c r="CF17">
        <f t="shared" si="56"/>
        <v>0</v>
      </c>
      <c r="CG17">
        <f t="shared" si="33"/>
        <v>0</v>
      </c>
      <c r="CH17">
        <f t="shared" si="57"/>
        <v>0</v>
      </c>
      <c r="CI17">
        <f t="shared" si="34"/>
        <v>0</v>
      </c>
      <c r="CJ17">
        <f t="shared" si="35"/>
        <v>0</v>
      </c>
    </row>
    <row r="18" spans="1:88">
      <c r="A18" s="5">
        <v>92278</v>
      </c>
      <c r="B18" s="5" t="s">
        <v>480</v>
      </c>
      <c r="C18" s="5" t="s">
        <v>496</v>
      </c>
      <c r="D18" s="5">
        <v>1</v>
      </c>
      <c r="E18" s="5" t="s">
        <v>58</v>
      </c>
      <c r="F18" s="5">
        <v>1</v>
      </c>
      <c r="G18" s="5">
        <v>24</v>
      </c>
      <c r="H18" s="5">
        <f t="shared" si="0"/>
        <v>0</v>
      </c>
      <c r="I18" s="5">
        <f t="shared" si="1"/>
        <v>31</v>
      </c>
      <c r="J18" s="5">
        <f t="shared" si="2"/>
        <v>0</v>
      </c>
      <c r="K18" s="98">
        <f t="shared" si="3"/>
        <v>2</v>
      </c>
      <c r="L18" s="5">
        <f t="shared" si="58"/>
        <v>1</v>
      </c>
      <c r="M18" s="5" t="str">
        <f t="shared" si="4"/>
        <v>宝驼碎片  1</v>
      </c>
      <c r="N18" s="5">
        <f t="shared" si="60"/>
        <v>93278</v>
      </c>
      <c r="O18" s="5">
        <v>5</v>
      </c>
      <c r="P18" s="5" t="str">
        <f t="shared" si="5"/>
        <v/>
      </c>
      <c r="Q18" s="5"/>
      <c r="R18" s="91"/>
      <c r="S18" s="5" t="str">
        <f t="shared" si="6"/>
        <v/>
      </c>
      <c r="T18" s="5"/>
      <c r="U18" s="91"/>
      <c r="V18" s="39">
        <f t="shared" si="36"/>
        <v>224</v>
      </c>
      <c r="W18">
        <f t="shared" si="59"/>
        <v>50</v>
      </c>
      <c r="X18">
        <f t="shared" si="38"/>
        <v>3</v>
      </c>
      <c r="Y18" s="6"/>
      <c r="Z18" s="6">
        <v>1</v>
      </c>
      <c r="AA18" s="6"/>
      <c r="AB18">
        <f t="shared" si="39"/>
        <v>31</v>
      </c>
      <c r="AC18">
        <f t="shared" si="40"/>
        <v>20</v>
      </c>
      <c r="AD18">
        <f t="shared" si="41"/>
        <v>224</v>
      </c>
      <c r="AL18">
        <f>CHOOSE(2,1,COUNTIF(D_马仔培养宝物!$F$2:$K$229,D_马仔宝物!A18))</f>
        <v>17</v>
      </c>
      <c r="AM18">
        <f t="shared" si="7"/>
        <v>92278</v>
      </c>
      <c r="AN18">
        <f t="shared" si="42"/>
        <v>93278</v>
      </c>
      <c r="AO18">
        <f t="shared" si="43"/>
        <v>85</v>
      </c>
      <c r="AP18">
        <f t="shared" si="8"/>
        <v>0</v>
      </c>
      <c r="AQ18">
        <f t="shared" si="9"/>
        <v>0</v>
      </c>
      <c r="AR18">
        <f t="shared" si="10"/>
        <v>0</v>
      </c>
      <c r="AS18">
        <f t="shared" si="11"/>
        <v>0</v>
      </c>
      <c r="AT18">
        <f t="shared" si="12"/>
        <v>45</v>
      </c>
      <c r="AV18">
        <f t="shared" si="13"/>
        <v>92278</v>
      </c>
      <c r="AW18">
        <f t="shared" si="44"/>
        <v>0</v>
      </c>
      <c r="AX18">
        <f t="shared" si="14"/>
        <v>0</v>
      </c>
      <c r="AY18">
        <f t="shared" si="45"/>
        <v>0</v>
      </c>
      <c r="AZ18">
        <f t="shared" si="15"/>
        <v>0</v>
      </c>
      <c r="BA18">
        <f t="shared" si="16"/>
        <v>37</v>
      </c>
      <c r="BC18">
        <f t="shared" si="17"/>
        <v>92278</v>
      </c>
      <c r="BD18">
        <f t="shared" si="46"/>
        <v>0</v>
      </c>
      <c r="BE18">
        <f t="shared" si="18"/>
        <v>0</v>
      </c>
      <c r="BF18">
        <f t="shared" si="47"/>
        <v>0</v>
      </c>
      <c r="BG18">
        <f t="shared" si="19"/>
        <v>0</v>
      </c>
      <c r="BH18">
        <f t="shared" si="20"/>
        <v>86</v>
      </c>
      <c r="BJ18">
        <f t="shared" si="21"/>
        <v>92278</v>
      </c>
      <c r="BK18">
        <f t="shared" si="48"/>
        <v>0</v>
      </c>
      <c r="BL18">
        <f t="shared" si="22"/>
        <v>0</v>
      </c>
      <c r="BM18">
        <f t="shared" si="49"/>
        <v>0</v>
      </c>
      <c r="BN18">
        <f t="shared" si="23"/>
        <v>0</v>
      </c>
      <c r="BO18">
        <f t="shared" si="24"/>
        <v>39</v>
      </c>
      <c r="BQ18">
        <f t="shared" si="25"/>
        <v>92278</v>
      </c>
      <c r="BR18">
        <f t="shared" si="50"/>
        <v>0</v>
      </c>
      <c r="BS18">
        <f t="shared" si="26"/>
        <v>0</v>
      </c>
      <c r="BT18">
        <f t="shared" si="51"/>
        <v>0</v>
      </c>
      <c r="BU18">
        <f t="shared" si="27"/>
        <v>0</v>
      </c>
      <c r="BV18">
        <f t="shared" si="28"/>
        <v>0</v>
      </c>
      <c r="BX18">
        <f t="shared" si="52"/>
        <v>92278</v>
      </c>
      <c r="BY18">
        <f t="shared" si="53"/>
        <v>0</v>
      </c>
      <c r="BZ18">
        <f t="shared" si="29"/>
        <v>0</v>
      </c>
      <c r="CA18">
        <f t="shared" si="54"/>
        <v>0</v>
      </c>
      <c r="CB18">
        <f t="shared" si="30"/>
        <v>0</v>
      </c>
      <c r="CC18">
        <f t="shared" si="31"/>
        <v>0</v>
      </c>
      <c r="CE18">
        <f t="shared" si="55"/>
        <v>92278</v>
      </c>
      <c r="CF18">
        <f t="shared" si="56"/>
        <v>0</v>
      </c>
      <c r="CG18">
        <f t="shared" si="33"/>
        <v>0</v>
      </c>
      <c r="CH18">
        <f t="shared" si="57"/>
        <v>0</v>
      </c>
      <c r="CI18">
        <f t="shared" si="34"/>
        <v>0</v>
      </c>
      <c r="CJ18">
        <f t="shared" si="35"/>
        <v>0</v>
      </c>
    </row>
    <row r="19" spans="1:88">
      <c r="A19" s="5">
        <v>92283</v>
      </c>
      <c r="B19" s="5" t="s">
        <v>463</v>
      </c>
      <c r="C19" s="5" t="s">
        <v>496</v>
      </c>
      <c r="D19" s="5">
        <v>1</v>
      </c>
      <c r="E19" s="5" t="s">
        <v>53</v>
      </c>
      <c r="F19" s="5">
        <v>1</v>
      </c>
      <c r="G19" s="5">
        <v>25</v>
      </c>
      <c r="H19" s="5">
        <f t="shared" si="0"/>
        <v>0</v>
      </c>
      <c r="I19" s="5">
        <f t="shared" si="1"/>
        <v>0</v>
      </c>
      <c r="J19" s="5">
        <f t="shared" si="2"/>
        <v>13</v>
      </c>
      <c r="K19" s="98">
        <f t="shared" si="3"/>
        <v>1</v>
      </c>
      <c r="L19" s="5">
        <f t="shared" si="58"/>
        <v>1</v>
      </c>
      <c r="M19" s="5" t="str">
        <f t="shared" si="4"/>
        <v>小迭钞票碎片  1</v>
      </c>
      <c r="N19" s="5">
        <f t="shared" si="60"/>
        <v>93283</v>
      </c>
      <c r="O19" s="5">
        <v>5</v>
      </c>
      <c r="P19" s="5" t="str">
        <f t="shared" si="5"/>
        <v/>
      </c>
      <c r="Q19" s="5"/>
      <c r="R19" s="91"/>
      <c r="S19" s="5" t="str">
        <f t="shared" si="6"/>
        <v/>
      </c>
      <c r="T19" s="5"/>
      <c r="U19" s="91"/>
      <c r="V19" s="39">
        <f t="shared" si="36"/>
        <v>713</v>
      </c>
      <c r="W19">
        <f t="shared" si="59"/>
        <v>50</v>
      </c>
      <c r="X19">
        <f t="shared" si="38"/>
        <v>3</v>
      </c>
      <c r="Y19" s="6"/>
      <c r="Z19" s="6"/>
      <c r="AA19" s="6">
        <v>1</v>
      </c>
      <c r="AB19">
        <f t="shared" si="39"/>
        <v>13</v>
      </c>
      <c r="AC19">
        <f t="shared" si="40"/>
        <v>20</v>
      </c>
      <c r="AD19">
        <f t="shared" si="41"/>
        <v>713</v>
      </c>
      <c r="AL19">
        <f>CHOOSE(2,1,COUNTIF(D_马仔培养宝物!$F$2:$K$229,D_马仔宝物!A19))</f>
        <v>26</v>
      </c>
      <c r="AM19">
        <f t="shared" si="7"/>
        <v>92283</v>
      </c>
      <c r="AN19">
        <f t="shared" si="42"/>
        <v>93283</v>
      </c>
      <c r="AO19">
        <f t="shared" si="43"/>
        <v>130</v>
      </c>
      <c r="AP19">
        <f t="shared" si="8"/>
        <v>0</v>
      </c>
      <c r="AQ19">
        <f t="shared" si="9"/>
        <v>0</v>
      </c>
      <c r="AR19">
        <f t="shared" si="10"/>
        <v>0</v>
      </c>
      <c r="AS19">
        <f t="shared" si="11"/>
        <v>0</v>
      </c>
      <c r="AT19">
        <f t="shared" si="12"/>
        <v>30</v>
      </c>
      <c r="AV19">
        <f t="shared" si="13"/>
        <v>92283</v>
      </c>
      <c r="AW19">
        <f t="shared" si="44"/>
        <v>0</v>
      </c>
      <c r="AX19">
        <f t="shared" si="14"/>
        <v>0</v>
      </c>
      <c r="AY19">
        <f t="shared" si="45"/>
        <v>0</v>
      </c>
      <c r="AZ19">
        <f t="shared" si="15"/>
        <v>0</v>
      </c>
      <c r="BA19">
        <f t="shared" si="16"/>
        <v>65</v>
      </c>
      <c r="BC19">
        <f t="shared" si="17"/>
        <v>92283</v>
      </c>
      <c r="BD19">
        <f t="shared" si="46"/>
        <v>0</v>
      </c>
      <c r="BE19">
        <f t="shared" si="18"/>
        <v>0</v>
      </c>
      <c r="BF19">
        <f t="shared" si="47"/>
        <v>0</v>
      </c>
      <c r="BG19">
        <f t="shared" si="19"/>
        <v>0</v>
      </c>
      <c r="BH19">
        <f t="shared" si="20"/>
        <v>169</v>
      </c>
      <c r="BJ19">
        <f t="shared" si="21"/>
        <v>92283</v>
      </c>
      <c r="BK19">
        <f t="shared" si="48"/>
        <v>0</v>
      </c>
      <c r="BL19">
        <f t="shared" si="22"/>
        <v>0</v>
      </c>
      <c r="BM19">
        <f t="shared" si="49"/>
        <v>0</v>
      </c>
      <c r="BN19">
        <f t="shared" si="23"/>
        <v>0</v>
      </c>
      <c r="BO19">
        <f t="shared" si="24"/>
        <v>423</v>
      </c>
      <c r="BQ19">
        <f t="shared" si="25"/>
        <v>92283</v>
      </c>
      <c r="BR19">
        <f t="shared" si="50"/>
        <v>0</v>
      </c>
      <c r="BS19">
        <f t="shared" si="26"/>
        <v>0</v>
      </c>
      <c r="BT19">
        <f t="shared" si="51"/>
        <v>0</v>
      </c>
      <c r="BU19">
        <f t="shared" si="27"/>
        <v>0</v>
      </c>
      <c r="BV19">
        <f t="shared" si="28"/>
        <v>0</v>
      </c>
      <c r="BX19">
        <f t="shared" si="52"/>
        <v>92283</v>
      </c>
      <c r="BY19">
        <f t="shared" si="53"/>
        <v>0</v>
      </c>
      <c r="BZ19">
        <f t="shared" si="29"/>
        <v>0</v>
      </c>
      <c r="CA19">
        <f t="shared" si="54"/>
        <v>0</v>
      </c>
      <c r="CB19">
        <f t="shared" si="30"/>
        <v>0</v>
      </c>
      <c r="CC19">
        <f t="shared" si="31"/>
        <v>0</v>
      </c>
      <c r="CE19">
        <f t="shared" si="55"/>
        <v>92283</v>
      </c>
      <c r="CF19">
        <f t="shared" si="56"/>
        <v>0</v>
      </c>
      <c r="CG19">
        <f t="shared" si="33"/>
        <v>0</v>
      </c>
      <c r="CH19">
        <f t="shared" si="57"/>
        <v>0</v>
      </c>
      <c r="CI19">
        <f t="shared" si="34"/>
        <v>0</v>
      </c>
      <c r="CJ19">
        <f t="shared" si="35"/>
        <v>0</v>
      </c>
    </row>
    <row r="20" spans="1:88">
      <c r="A20" s="5">
        <v>92287</v>
      </c>
      <c r="B20" s="5" t="s">
        <v>464</v>
      </c>
      <c r="C20" s="5" t="s">
        <v>496</v>
      </c>
      <c r="D20" s="5">
        <v>1</v>
      </c>
      <c r="E20" s="5" t="s">
        <v>62</v>
      </c>
      <c r="F20" s="5">
        <v>1</v>
      </c>
      <c r="G20" s="5">
        <v>25</v>
      </c>
      <c r="H20" s="5">
        <f t="shared" si="0"/>
        <v>617</v>
      </c>
      <c r="I20" s="5">
        <f t="shared" si="1"/>
        <v>0</v>
      </c>
      <c r="J20" s="5">
        <f t="shared" si="2"/>
        <v>0</v>
      </c>
      <c r="K20" s="98">
        <f t="shared" si="3"/>
        <v>1</v>
      </c>
      <c r="L20" s="5">
        <f t="shared" si="58"/>
        <v>1</v>
      </c>
      <c r="M20" s="5" t="str">
        <f t="shared" si="4"/>
        <v>金块碎片  1</v>
      </c>
      <c r="N20" s="5">
        <f t="shared" si="60"/>
        <v>93287</v>
      </c>
      <c r="O20" s="5">
        <v>5</v>
      </c>
      <c r="P20" s="5" t="str">
        <f t="shared" si="5"/>
        <v/>
      </c>
      <c r="Q20" s="5"/>
      <c r="R20" s="91"/>
      <c r="S20" s="5" t="str">
        <f t="shared" si="6"/>
        <v/>
      </c>
      <c r="T20" s="5"/>
      <c r="U20" s="91"/>
      <c r="V20" s="39">
        <f t="shared" si="36"/>
        <v>655</v>
      </c>
      <c r="W20">
        <f t="shared" si="59"/>
        <v>50</v>
      </c>
      <c r="X20">
        <f t="shared" si="38"/>
        <v>3</v>
      </c>
      <c r="Y20" s="6">
        <v>1</v>
      </c>
      <c r="Z20" s="6"/>
      <c r="AA20" s="6"/>
      <c r="AB20">
        <f t="shared" si="39"/>
        <v>24.68</v>
      </c>
      <c r="AC20">
        <f t="shared" si="40"/>
        <v>20</v>
      </c>
      <c r="AD20">
        <f t="shared" si="41"/>
        <v>655</v>
      </c>
      <c r="AL20">
        <f>CHOOSE(2,1,COUNTIF(D_马仔培养宝物!$F$2:$K$229,D_马仔宝物!A20))</f>
        <v>26</v>
      </c>
      <c r="AM20">
        <f t="shared" si="7"/>
        <v>92287</v>
      </c>
      <c r="AN20">
        <f t="shared" si="42"/>
        <v>93287</v>
      </c>
      <c r="AO20">
        <f t="shared" si="43"/>
        <v>130</v>
      </c>
      <c r="AP20">
        <f t="shared" si="8"/>
        <v>0</v>
      </c>
      <c r="AQ20">
        <f t="shared" si="9"/>
        <v>0</v>
      </c>
      <c r="AR20">
        <f t="shared" si="10"/>
        <v>0</v>
      </c>
      <c r="AS20">
        <f t="shared" si="11"/>
        <v>0</v>
      </c>
      <c r="AT20">
        <f t="shared" si="12"/>
        <v>30</v>
      </c>
      <c r="AV20">
        <f t="shared" si="13"/>
        <v>92287</v>
      </c>
      <c r="AW20">
        <f t="shared" si="44"/>
        <v>0</v>
      </c>
      <c r="AX20">
        <f t="shared" si="14"/>
        <v>0</v>
      </c>
      <c r="AY20">
        <f t="shared" si="45"/>
        <v>0</v>
      </c>
      <c r="AZ20">
        <f t="shared" si="15"/>
        <v>0</v>
      </c>
      <c r="BA20">
        <f t="shared" si="16"/>
        <v>61</v>
      </c>
      <c r="BC20">
        <f t="shared" si="17"/>
        <v>92287</v>
      </c>
      <c r="BD20">
        <f t="shared" si="46"/>
        <v>0</v>
      </c>
      <c r="BE20">
        <f t="shared" si="18"/>
        <v>0</v>
      </c>
      <c r="BF20">
        <f t="shared" si="47"/>
        <v>0</v>
      </c>
      <c r="BG20">
        <f t="shared" si="19"/>
        <v>0</v>
      </c>
      <c r="BH20">
        <f t="shared" si="20"/>
        <v>157</v>
      </c>
      <c r="BJ20">
        <f t="shared" si="21"/>
        <v>92287</v>
      </c>
      <c r="BK20">
        <f t="shared" si="48"/>
        <v>0</v>
      </c>
      <c r="BL20">
        <f t="shared" si="22"/>
        <v>0</v>
      </c>
      <c r="BM20">
        <f t="shared" si="49"/>
        <v>0</v>
      </c>
      <c r="BN20">
        <f t="shared" si="23"/>
        <v>0</v>
      </c>
      <c r="BO20">
        <f t="shared" si="24"/>
        <v>381</v>
      </c>
      <c r="BQ20">
        <f t="shared" si="25"/>
        <v>92287</v>
      </c>
      <c r="BR20">
        <f t="shared" si="50"/>
        <v>0</v>
      </c>
      <c r="BS20">
        <f t="shared" si="26"/>
        <v>0</v>
      </c>
      <c r="BT20">
        <f t="shared" si="51"/>
        <v>0</v>
      </c>
      <c r="BU20">
        <f t="shared" si="27"/>
        <v>0</v>
      </c>
      <c r="BV20">
        <f t="shared" si="28"/>
        <v>0</v>
      </c>
      <c r="BX20">
        <f t="shared" si="52"/>
        <v>92287</v>
      </c>
      <c r="BY20">
        <f t="shared" si="53"/>
        <v>0</v>
      </c>
      <c r="BZ20">
        <f t="shared" si="29"/>
        <v>0</v>
      </c>
      <c r="CA20">
        <f t="shared" si="54"/>
        <v>0</v>
      </c>
      <c r="CB20">
        <f t="shared" si="30"/>
        <v>0</v>
      </c>
      <c r="CC20">
        <f t="shared" si="31"/>
        <v>0</v>
      </c>
      <c r="CE20">
        <f t="shared" si="55"/>
        <v>92287</v>
      </c>
      <c r="CF20">
        <f t="shared" si="56"/>
        <v>0</v>
      </c>
      <c r="CG20">
        <f t="shared" si="33"/>
        <v>0</v>
      </c>
      <c r="CH20">
        <f t="shared" si="57"/>
        <v>0</v>
      </c>
      <c r="CI20">
        <f t="shared" si="34"/>
        <v>0</v>
      </c>
      <c r="CJ20">
        <f t="shared" si="35"/>
        <v>0</v>
      </c>
    </row>
    <row r="21" spans="1:88">
      <c r="A21" s="5">
        <v>92142</v>
      </c>
      <c r="B21" s="5" t="s">
        <v>452</v>
      </c>
      <c r="C21" s="5" t="s">
        <v>496</v>
      </c>
      <c r="D21" s="5">
        <v>1</v>
      </c>
      <c r="E21" s="5" t="s">
        <v>49</v>
      </c>
      <c r="F21" s="5">
        <v>2</v>
      </c>
      <c r="G21" s="5">
        <v>36</v>
      </c>
      <c r="H21" s="5">
        <f t="shared" si="0"/>
        <v>0</v>
      </c>
      <c r="I21" s="5">
        <f t="shared" si="1"/>
        <v>52</v>
      </c>
      <c r="J21" s="5">
        <f t="shared" si="2"/>
        <v>0</v>
      </c>
      <c r="K21" s="98">
        <f t="shared" si="3"/>
        <v>2</v>
      </c>
      <c r="L21" s="5">
        <f>1+MAX(IF(Q21,VLOOKUP(Q21,A:L,12,0),0),IF(T21,VLOOKUP(T21,A:L,12,0),0))</f>
        <v>2</v>
      </c>
      <c r="M21" s="5" t="str">
        <f t="shared" si="4"/>
        <v>黄金戒指碎片  2</v>
      </c>
      <c r="N21" s="5">
        <f t="shared" si="60"/>
        <v>93142</v>
      </c>
      <c r="O21" s="5">
        <v>5</v>
      </c>
      <c r="P21" s="5" t="str">
        <f t="shared" si="5"/>
        <v>白金手环  1</v>
      </c>
      <c r="Q21" s="5">
        <f>A11</f>
        <v>92233</v>
      </c>
      <c r="R21" s="91">
        <f t="shared" ref="R21:R22" si="61">MIN(ROUNDUP(IF(Q21="",0,IF(T21="",1.5,1))*AC21*MAX((F21-SUMIF(A:A,Q21,F:F)),1)/20,0),IF(T21="",2,1))</f>
        <v>1</v>
      </c>
      <c r="S21" s="5" t="str">
        <f t="shared" si="6"/>
        <v>幸运戒指  0</v>
      </c>
      <c r="T21" s="5">
        <f>A2</f>
        <v>92131</v>
      </c>
      <c r="U21" s="91">
        <f t="shared" ref="U21:U24" si="62">MIN(IF(T21="",0,ROUNDUP(AC21*MAX((F21-SUMIF(A:A,T21,F:F)),1)/20,0)),1)</f>
        <v>1</v>
      </c>
      <c r="V21" s="39">
        <f t="shared" si="36"/>
        <v>221</v>
      </c>
      <c r="W21">
        <f t="shared" si="59"/>
        <v>119.73766952966369</v>
      </c>
      <c r="X21">
        <f t="shared" si="38"/>
        <v>5</v>
      </c>
      <c r="Y21" s="6"/>
      <c r="Z21" s="6">
        <v>1</v>
      </c>
      <c r="AA21" s="6"/>
      <c r="AB21">
        <f t="shared" si="39"/>
        <v>52</v>
      </c>
      <c r="AC21">
        <f t="shared" si="40"/>
        <v>25</v>
      </c>
      <c r="AD21">
        <f t="shared" si="41"/>
        <v>221</v>
      </c>
      <c r="AL21">
        <f>CHOOSE(2,1,COUNTIF(D_马仔培养宝物!$F$2:$K$229,D_马仔宝物!A21))</f>
        <v>24</v>
      </c>
      <c r="AM21">
        <f t="shared" si="7"/>
        <v>92142</v>
      </c>
      <c r="AN21">
        <f t="shared" si="42"/>
        <v>93142</v>
      </c>
      <c r="AO21">
        <f t="shared" si="43"/>
        <v>120</v>
      </c>
      <c r="AP21">
        <f t="shared" si="8"/>
        <v>92233</v>
      </c>
      <c r="AQ21">
        <f t="shared" si="9"/>
        <v>24</v>
      </c>
      <c r="AR21">
        <f t="shared" si="10"/>
        <v>92131</v>
      </c>
      <c r="AS21">
        <f t="shared" si="11"/>
        <v>24</v>
      </c>
      <c r="AT21">
        <f t="shared" si="12"/>
        <v>33</v>
      </c>
      <c r="AV21">
        <f t="shared" si="13"/>
        <v>92142</v>
      </c>
      <c r="AW21">
        <f t="shared" si="44"/>
        <v>92233</v>
      </c>
      <c r="AX21">
        <f t="shared" si="14"/>
        <v>33</v>
      </c>
      <c r="AY21">
        <f t="shared" si="45"/>
        <v>92131</v>
      </c>
      <c r="AZ21">
        <f t="shared" si="15"/>
        <v>33</v>
      </c>
      <c r="BA21">
        <f t="shared" si="16"/>
        <v>64</v>
      </c>
      <c r="BC21">
        <f t="shared" si="17"/>
        <v>92142</v>
      </c>
      <c r="BD21">
        <f t="shared" si="46"/>
        <v>92233</v>
      </c>
      <c r="BE21">
        <f t="shared" si="18"/>
        <v>64</v>
      </c>
      <c r="BF21">
        <f t="shared" si="47"/>
        <v>92131</v>
      </c>
      <c r="BG21">
        <f t="shared" si="19"/>
        <v>64</v>
      </c>
      <c r="BH21">
        <f t="shared" si="20"/>
        <v>100</v>
      </c>
      <c r="BJ21">
        <f t="shared" si="21"/>
        <v>92142</v>
      </c>
      <c r="BK21">
        <f t="shared" si="48"/>
        <v>92233</v>
      </c>
      <c r="BL21">
        <f t="shared" si="22"/>
        <v>100</v>
      </c>
      <c r="BM21">
        <f t="shared" si="49"/>
        <v>92131</v>
      </c>
      <c r="BN21">
        <f t="shared" si="23"/>
        <v>100</v>
      </c>
      <c r="BO21">
        <f t="shared" si="24"/>
        <v>0</v>
      </c>
      <c r="BQ21">
        <f t="shared" si="25"/>
        <v>92142</v>
      </c>
      <c r="BR21">
        <f t="shared" si="50"/>
        <v>92233</v>
      </c>
      <c r="BS21">
        <f t="shared" si="26"/>
        <v>0</v>
      </c>
      <c r="BT21">
        <f t="shared" si="51"/>
        <v>92131</v>
      </c>
      <c r="BU21">
        <f t="shared" si="27"/>
        <v>0</v>
      </c>
      <c r="BV21">
        <f t="shared" si="28"/>
        <v>0</v>
      </c>
      <c r="BX21">
        <f t="shared" si="52"/>
        <v>92142</v>
      </c>
      <c r="BY21">
        <f t="shared" si="53"/>
        <v>92233</v>
      </c>
      <c r="BZ21">
        <f t="shared" si="29"/>
        <v>0</v>
      </c>
      <c r="CA21">
        <f t="shared" si="54"/>
        <v>92131</v>
      </c>
      <c r="CB21">
        <f t="shared" si="30"/>
        <v>0</v>
      </c>
      <c r="CC21">
        <f t="shared" si="31"/>
        <v>0</v>
      </c>
      <c r="CE21">
        <f t="shared" si="55"/>
        <v>92142</v>
      </c>
      <c r="CF21">
        <f t="shared" si="56"/>
        <v>92233</v>
      </c>
      <c r="CG21">
        <f t="shared" si="33"/>
        <v>0</v>
      </c>
      <c r="CH21">
        <f t="shared" si="57"/>
        <v>92131</v>
      </c>
      <c r="CI21">
        <f t="shared" si="34"/>
        <v>0</v>
      </c>
      <c r="CJ21">
        <f t="shared" si="35"/>
        <v>0</v>
      </c>
    </row>
    <row r="22" spans="1:88">
      <c r="A22" s="5">
        <v>92235</v>
      </c>
      <c r="B22" s="5" t="s">
        <v>483</v>
      </c>
      <c r="C22" s="5" t="s">
        <v>496</v>
      </c>
      <c r="D22" s="5">
        <v>1</v>
      </c>
      <c r="E22" s="5" t="s">
        <v>61</v>
      </c>
      <c r="F22" s="5">
        <v>2</v>
      </c>
      <c r="G22" s="5">
        <v>36</v>
      </c>
      <c r="H22" s="5">
        <f t="shared" si="0"/>
        <v>0</v>
      </c>
      <c r="I22" s="5">
        <f t="shared" si="1"/>
        <v>0</v>
      </c>
      <c r="J22" s="5">
        <f t="shared" si="2"/>
        <v>22</v>
      </c>
      <c r="K22" s="98">
        <f t="shared" si="3"/>
        <v>2</v>
      </c>
      <c r="L22" s="5">
        <f t="shared" si="58"/>
        <v>2</v>
      </c>
      <c r="M22" s="5" t="str">
        <f t="shared" si="4"/>
        <v>宝石手环碎片  2</v>
      </c>
      <c r="N22" s="5">
        <f t="shared" si="60"/>
        <v>93235</v>
      </c>
      <c r="O22" s="5">
        <v>5</v>
      </c>
      <c r="P22" s="5" t="str">
        <f t="shared" si="5"/>
        <v>白银戒指  1</v>
      </c>
      <c r="Q22" s="5">
        <f>A13</f>
        <v>92141</v>
      </c>
      <c r="R22" s="91">
        <f t="shared" si="61"/>
        <v>1</v>
      </c>
      <c r="S22" s="5" t="str">
        <f t="shared" si="6"/>
        <v>银色手环  0</v>
      </c>
      <c r="T22" s="5">
        <f>A4</f>
        <v>92228</v>
      </c>
      <c r="U22" s="91">
        <f t="shared" si="62"/>
        <v>1</v>
      </c>
      <c r="V22" s="39">
        <f t="shared" si="36"/>
        <v>227</v>
      </c>
      <c r="W22">
        <f t="shared" si="59"/>
        <v>118.67766952966369</v>
      </c>
      <c r="X22">
        <f t="shared" si="38"/>
        <v>5</v>
      </c>
      <c r="Y22" s="6"/>
      <c r="Z22" s="6"/>
      <c r="AA22" s="6">
        <v>1</v>
      </c>
      <c r="AB22">
        <f t="shared" si="39"/>
        <v>22</v>
      </c>
      <c r="AC22">
        <f t="shared" si="40"/>
        <v>25</v>
      </c>
      <c r="AD22">
        <f t="shared" si="41"/>
        <v>227</v>
      </c>
      <c r="AL22">
        <f>CHOOSE(2,1,COUNTIF(D_马仔培养宝物!$F$2:$K$229,D_马仔宝物!A22))</f>
        <v>19</v>
      </c>
      <c r="AM22">
        <f t="shared" si="7"/>
        <v>92235</v>
      </c>
      <c r="AN22">
        <f t="shared" si="42"/>
        <v>93235</v>
      </c>
      <c r="AO22">
        <f t="shared" si="43"/>
        <v>95</v>
      </c>
      <c r="AP22">
        <f t="shared" si="8"/>
        <v>92141</v>
      </c>
      <c r="AQ22">
        <f t="shared" si="9"/>
        <v>19</v>
      </c>
      <c r="AR22">
        <f t="shared" si="10"/>
        <v>92228</v>
      </c>
      <c r="AS22">
        <f t="shared" si="11"/>
        <v>19</v>
      </c>
      <c r="AT22">
        <f t="shared" si="12"/>
        <v>40</v>
      </c>
      <c r="AV22">
        <f t="shared" si="13"/>
        <v>92235</v>
      </c>
      <c r="AW22">
        <f t="shared" si="44"/>
        <v>92141</v>
      </c>
      <c r="AX22">
        <f t="shared" si="14"/>
        <v>40</v>
      </c>
      <c r="AY22">
        <f t="shared" si="45"/>
        <v>92228</v>
      </c>
      <c r="AZ22">
        <f t="shared" si="15"/>
        <v>40</v>
      </c>
      <c r="BA22">
        <f t="shared" si="16"/>
        <v>60</v>
      </c>
      <c r="BC22">
        <f t="shared" si="17"/>
        <v>92235</v>
      </c>
      <c r="BD22">
        <f t="shared" si="46"/>
        <v>92141</v>
      </c>
      <c r="BE22">
        <f t="shared" si="18"/>
        <v>60</v>
      </c>
      <c r="BF22">
        <f t="shared" si="47"/>
        <v>92228</v>
      </c>
      <c r="BG22">
        <f t="shared" si="19"/>
        <v>60</v>
      </c>
      <c r="BH22">
        <f t="shared" si="20"/>
        <v>108</v>
      </c>
      <c r="BJ22">
        <f t="shared" si="21"/>
        <v>92235</v>
      </c>
      <c r="BK22">
        <f t="shared" si="48"/>
        <v>92141</v>
      </c>
      <c r="BL22">
        <f t="shared" si="22"/>
        <v>108</v>
      </c>
      <c r="BM22">
        <f t="shared" si="49"/>
        <v>92228</v>
      </c>
      <c r="BN22">
        <f t="shared" si="23"/>
        <v>108</v>
      </c>
      <c r="BO22">
        <f t="shared" si="24"/>
        <v>0</v>
      </c>
      <c r="BQ22">
        <f t="shared" si="25"/>
        <v>92235</v>
      </c>
      <c r="BR22">
        <f t="shared" si="50"/>
        <v>92141</v>
      </c>
      <c r="BS22">
        <f t="shared" si="26"/>
        <v>0</v>
      </c>
      <c r="BT22">
        <f t="shared" si="51"/>
        <v>92228</v>
      </c>
      <c r="BU22">
        <f t="shared" si="27"/>
        <v>0</v>
      </c>
      <c r="BV22">
        <f t="shared" si="28"/>
        <v>0</v>
      </c>
      <c r="BX22">
        <f t="shared" si="52"/>
        <v>92235</v>
      </c>
      <c r="BY22">
        <f t="shared" si="53"/>
        <v>92141</v>
      </c>
      <c r="BZ22">
        <f t="shared" si="29"/>
        <v>0</v>
      </c>
      <c r="CA22">
        <f t="shared" si="54"/>
        <v>92228</v>
      </c>
      <c r="CB22">
        <f t="shared" si="30"/>
        <v>0</v>
      </c>
      <c r="CC22">
        <f t="shared" si="31"/>
        <v>0</v>
      </c>
      <c r="CE22">
        <f t="shared" si="55"/>
        <v>92235</v>
      </c>
      <c r="CF22">
        <f t="shared" si="56"/>
        <v>92141</v>
      </c>
      <c r="CG22">
        <f t="shared" si="33"/>
        <v>0</v>
      </c>
      <c r="CH22">
        <f t="shared" si="57"/>
        <v>92228</v>
      </c>
      <c r="CI22">
        <f t="shared" si="34"/>
        <v>0</v>
      </c>
      <c r="CJ22">
        <f t="shared" si="35"/>
        <v>0</v>
      </c>
    </row>
    <row r="23" spans="1:88">
      <c r="A23" s="5">
        <v>92012</v>
      </c>
      <c r="B23" s="5" t="s">
        <v>29</v>
      </c>
      <c r="C23" s="5" t="s">
        <v>497</v>
      </c>
      <c r="D23" s="5">
        <v>1</v>
      </c>
      <c r="E23" s="5" t="s">
        <v>670</v>
      </c>
      <c r="F23" s="5">
        <v>2</v>
      </c>
      <c r="G23" s="5">
        <v>37</v>
      </c>
      <c r="H23" s="5">
        <f t="shared" si="0"/>
        <v>1029</v>
      </c>
      <c r="I23" s="5">
        <f t="shared" si="1"/>
        <v>0</v>
      </c>
      <c r="J23" s="5">
        <f t="shared" si="2"/>
        <v>0</v>
      </c>
      <c r="K23" s="98">
        <f t="shared" si="3"/>
        <v>1</v>
      </c>
      <c r="L23" s="5">
        <f t="shared" si="58"/>
        <v>2</v>
      </c>
      <c r="M23" s="5" t="str">
        <f t="shared" si="4"/>
        <v>摩拉碎片  2</v>
      </c>
      <c r="N23" s="5">
        <f t="shared" si="60"/>
        <v>93012</v>
      </c>
      <c r="O23" s="5">
        <f t="shared" ref="O23:O64" si="63">MAX(MIN(INT((AC23-SUMIF(A:A,Q23,AC:AC)*R23*2^(SUMIF(A:A,Q23,F:F)-F23-L23)-SUMIF(A:A,T23,AC:AC)*U23*2^(SUMIF(A:A,T23,F:F)-F23-L23))/SUMIF(A:A,N23,W:W)),L23+4+IF(T23="",1,0)),5*2^(F23-2))</f>
        <v>5</v>
      </c>
      <c r="P23" s="5" t="str">
        <f t="shared" si="5"/>
        <v>水晶项链  1</v>
      </c>
      <c r="Q23" s="91">
        <f>A14</f>
        <v>92245</v>
      </c>
      <c r="R23" s="91">
        <f t="shared" ref="R23:R64" si="64">MIN(ROUNDUP(IF(Q23="",0,IF(T23="",1.5,1))*AC23*MAX((F23-SUMIF(A:A,Q23,F:F)),1)/20,0),IF(T23="",2,1))</f>
        <v>1</v>
      </c>
      <c r="S23" s="5" t="str">
        <f t="shared" si="6"/>
        <v>亚诺  0</v>
      </c>
      <c r="T23" s="5">
        <f>A3</f>
        <v>92011</v>
      </c>
      <c r="U23" s="91">
        <f t="shared" si="62"/>
        <v>1</v>
      </c>
      <c r="V23" s="39">
        <f t="shared" si="36"/>
        <v>105</v>
      </c>
      <c r="W23">
        <f t="shared" ref="W23:W64" si="65">(O23*SUMIF(A:A,N23,W:W)+SUMIF(A:A,Q23,W:W)*R23*2^(SUMIF(A:A,Q23,F:F)-F23-L23/2+SUMIF(A:A,Q23,L:L)/2)+IF(T23,SUMIF(A:A,T23,W:W)*U23*2^(SUMIF(A:A,T23,F:F)-F23-L23/2+SUMIF(A:A,T23,L:L)/2),0))</f>
        <v>120.17766952966369</v>
      </c>
      <c r="X23">
        <f>F23+1+L23</f>
        <v>5</v>
      </c>
      <c r="Y23" s="6">
        <v>1</v>
      </c>
      <c r="Z23" s="6"/>
      <c r="AA23" s="6"/>
      <c r="AB23">
        <f t="shared" si="39"/>
        <v>41.160000000000004</v>
      </c>
      <c r="AC23">
        <f t="shared" si="40"/>
        <v>25</v>
      </c>
      <c r="AD23">
        <f t="shared" si="41"/>
        <v>105</v>
      </c>
      <c r="AL23">
        <f>CHOOSE(2,1,COUNTIF(D_马仔培养宝物!$F$2:$K$229,D_马仔宝物!A23))</f>
        <v>20</v>
      </c>
      <c r="AM23">
        <f t="shared" si="7"/>
        <v>92012</v>
      </c>
      <c r="AN23">
        <f t="shared" si="42"/>
        <v>93012</v>
      </c>
      <c r="AO23">
        <f>O23*AL23</f>
        <v>100</v>
      </c>
      <c r="AP23">
        <f t="shared" si="8"/>
        <v>92245</v>
      </c>
      <c r="AQ23">
        <f t="shared" si="9"/>
        <v>20</v>
      </c>
      <c r="AR23">
        <f t="shared" si="10"/>
        <v>92011</v>
      </c>
      <c r="AS23">
        <f t="shared" si="11"/>
        <v>20</v>
      </c>
      <c r="AT23">
        <f t="shared" si="12"/>
        <v>21</v>
      </c>
      <c r="AV23">
        <f t="shared" si="13"/>
        <v>92012</v>
      </c>
      <c r="AW23">
        <f t="shared" si="44"/>
        <v>92245</v>
      </c>
      <c r="AX23">
        <f t="shared" si="14"/>
        <v>21</v>
      </c>
      <c r="AY23">
        <f t="shared" si="45"/>
        <v>92011</v>
      </c>
      <c r="AZ23">
        <f t="shared" si="15"/>
        <v>21</v>
      </c>
      <c r="BA23">
        <f t="shared" si="16"/>
        <v>23</v>
      </c>
      <c r="BC23">
        <f t="shared" si="17"/>
        <v>92012</v>
      </c>
      <c r="BD23">
        <f t="shared" si="46"/>
        <v>92245</v>
      </c>
      <c r="BE23">
        <f t="shared" si="18"/>
        <v>23</v>
      </c>
      <c r="BF23">
        <f t="shared" si="47"/>
        <v>92011</v>
      </c>
      <c r="BG23">
        <f t="shared" si="19"/>
        <v>23</v>
      </c>
      <c r="BH23">
        <f t="shared" si="20"/>
        <v>41</v>
      </c>
      <c r="BJ23">
        <f t="shared" si="21"/>
        <v>92012</v>
      </c>
      <c r="BK23">
        <f t="shared" si="48"/>
        <v>92245</v>
      </c>
      <c r="BL23">
        <f t="shared" si="22"/>
        <v>41</v>
      </c>
      <c r="BM23">
        <f t="shared" si="49"/>
        <v>92011</v>
      </c>
      <c r="BN23">
        <f t="shared" si="23"/>
        <v>41</v>
      </c>
      <c r="BO23">
        <f t="shared" si="24"/>
        <v>0</v>
      </c>
      <c r="BQ23">
        <f t="shared" si="25"/>
        <v>92012</v>
      </c>
      <c r="BR23">
        <f t="shared" si="50"/>
        <v>92245</v>
      </c>
      <c r="BS23">
        <f t="shared" si="26"/>
        <v>0</v>
      </c>
      <c r="BT23">
        <f t="shared" si="51"/>
        <v>92011</v>
      </c>
      <c r="BU23">
        <f t="shared" si="27"/>
        <v>0</v>
      </c>
      <c r="BV23">
        <f t="shared" si="28"/>
        <v>0</v>
      </c>
      <c r="BX23">
        <f t="shared" si="52"/>
        <v>92012</v>
      </c>
      <c r="BY23">
        <f t="shared" si="53"/>
        <v>92245</v>
      </c>
      <c r="BZ23">
        <f t="shared" si="29"/>
        <v>0</v>
      </c>
      <c r="CA23">
        <f t="shared" si="54"/>
        <v>92011</v>
      </c>
      <c r="CB23">
        <f t="shared" si="30"/>
        <v>0</v>
      </c>
      <c r="CC23">
        <f t="shared" si="31"/>
        <v>0</v>
      </c>
      <c r="CE23">
        <f t="shared" si="55"/>
        <v>92012</v>
      </c>
      <c r="CF23">
        <f t="shared" si="56"/>
        <v>92245</v>
      </c>
      <c r="CG23">
        <f t="shared" si="33"/>
        <v>0</v>
      </c>
      <c r="CH23">
        <f t="shared" si="57"/>
        <v>92011</v>
      </c>
      <c r="CI23">
        <f t="shared" si="34"/>
        <v>0</v>
      </c>
      <c r="CJ23">
        <f t="shared" si="35"/>
        <v>0</v>
      </c>
    </row>
    <row r="24" spans="1:88">
      <c r="A24" s="5">
        <v>92252</v>
      </c>
      <c r="B24" s="5" t="s">
        <v>455</v>
      </c>
      <c r="C24" s="5" t="s">
        <v>496</v>
      </c>
      <c r="D24" s="5">
        <v>1</v>
      </c>
      <c r="E24" s="5" t="s">
        <v>56</v>
      </c>
      <c r="F24" s="5">
        <v>2</v>
      </c>
      <c r="G24" s="5">
        <v>37</v>
      </c>
      <c r="H24" s="5">
        <f t="shared" si="0"/>
        <v>0</v>
      </c>
      <c r="I24" s="5">
        <f t="shared" si="1"/>
        <v>52</v>
      </c>
      <c r="J24" s="5">
        <f t="shared" si="2"/>
        <v>0</v>
      </c>
      <c r="K24" s="98">
        <f t="shared" si="3"/>
        <v>2</v>
      </c>
      <c r="L24" s="5">
        <f t="shared" si="58"/>
        <v>2</v>
      </c>
      <c r="M24" s="5" t="str">
        <f t="shared" si="4"/>
        <v>青玉项链碎片  2</v>
      </c>
      <c r="N24" s="5">
        <f t="shared" si="60"/>
        <v>93252</v>
      </c>
      <c r="O24" s="5">
        <f t="shared" si="63"/>
        <v>5</v>
      </c>
      <c r="P24" s="5" t="str">
        <f t="shared" si="5"/>
        <v>红石项链  1</v>
      </c>
      <c r="Q24" s="91">
        <f>A15</f>
        <v>92251</v>
      </c>
      <c r="R24" s="91">
        <f t="shared" si="64"/>
        <v>1</v>
      </c>
      <c r="S24" s="5" t="str">
        <f t="shared" si="6"/>
        <v>诅咒项链  0</v>
      </c>
      <c r="T24" s="5">
        <f>A7</f>
        <v>92243</v>
      </c>
      <c r="U24" s="91">
        <f t="shared" si="62"/>
        <v>1</v>
      </c>
      <c r="V24" s="39">
        <f t="shared" si="36"/>
        <v>308</v>
      </c>
      <c r="W24">
        <f t="shared" si="65"/>
        <v>118.67766952966369</v>
      </c>
      <c r="X24">
        <f t="shared" si="38"/>
        <v>5</v>
      </c>
      <c r="Y24" s="6"/>
      <c r="Z24" s="6">
        <v>1</v>
      </c>
      <c r="AA24" s="6"/>
      <c r="AB24">
        <f t="shared" si="39"/>
        <v>52</v>
      </c>
      <c r="AC24">
        <f t="shared" si="40"/>
        <v>25</v>
      </c>
      <c r="AD24">
        <f t="shared" si="41"/>
        <v>308</v>
      </c>
      <c r="AL24">
        <f>CHOOSE(2,1,COUNTIF(D_马仔培养宝物!$F$2:$K$229,D_马仔宝物!A24))</f>
        <v>20</v>
      </c>
      <c r="AM24">
        <f t="shared" si="7"/>
        <v>92252</v>
      </c>
      <c r="AN24">
        <f t="shared" si="42"/>
        <v>93252</v>
      </c>
      <c r="AO24">
        <f>O24*AL24</f>
        <v>100</v>
      </c>
      <c r="AP24">
        <f t="shared" si="8"/>
        <v>92251</v>
      </c>
      <c r="AQ24">
        <f t="shared" si="9"/>
        <v>20</v>
      </c>
      <c r="AR24">
        <f t="shared" si="10"/>
        <v>92243</v>
      </c>
      <c r="AS24">
        <f t="shared" si="11"/>
        <v>20</v>
      </c>
      <c r="AT24">
        <f t="shared" si="12"/>
        <v>36</v>
      </c>
      <c r="AV24">
        <f t="shared" si="13"/>
        <v>92252</v>
      </c>
      <c r="AW24">
        <f t="shared" si="44"/>
        <v>92251</v>
      </c>
      <c r="AX24">
        <f t="shared" si="14"/>
        <v>36</v>
      </c>
      <c r="AY24">
        <f t="shared" si="45"/>
        <v>92243</v>
      </c>
      <c r="AZ24">
        <f t="shared" si="15"/>
        <v>36</v>
      </c>
      <c r="BA24">
        <f t="shared" si="16"/>
        <v>92</v>
      </c>
      <c r="BC24">
        <f t="shared" si="17"/>
        <v>92252</v>
      </c>
      <c r="BD24">
        <f t="shared" si="46"/>
        <v>92251</v>
      </c>
      <c r="BE24">
        <f t="shared" si="18"/>
        <v>92</v>
      </c>
      <c r="BF24">
        <f t="shared" si="47"/>
        <v>92243</v>
      </c>
      <c r="BG24">
        <f t="shared" si="19"/>
        <v>92</v>
      </c>
      <c r="BH24">
        <f t="shared" si="20"/>
        <v>160</v>
      </c>
      <c r="BJ24">
        <f t="shared" si="21"/>
        <v>92252</v>
      </c>
      <c r="BK24">
        <f t="shared" si="48"/>
        <v>92251</v>
      </c>
      <c r="BL24">
        <f t="shared" si="22"/>
        <v>160</v>
      </c>
      <c r="BM24">
        <f t="shared" si="49"/>
        <v>92243</v>
      </c>
      <c r="BN24">
        <f t="shared" si="23"/>
        <v>160</v>
      </c>
      <c r="BO24">
        <f t="shared" si="24"/>
        <v>0</v>
      </c>
      <c r="BQ24">
        <f t="shared" si="25"/>
        <v>92252</v>
      </c>
      <c r="BR24">
        <f t="shared" si="50"/>
        <v>92251</v>
      </c>
      <c r="BS24">
        <f t="shared" si="26"/>
        <v>0</v>
      </c>
      <c r="BT24">
        <f t="shared" si="51"/>
        <v>92243</v>
      </c>
      <c r="BU24">
        <f t="shared" si="27"/>
        <v>0</v>
      </c>
      <c r="BV24">
        <f t="shared" si="28"/>
        <v>0</v>
      </c>
      <c r="BX24">
        <f t="shared" si="52"/>
        <v>92252</v>
      </c>
      <c r="BY24">
        <f t="shared" si="53"/>
        <v>92251</v>
      </c>
      <c r="BZ24">
        <f t="shared" si="29"/>
        <v>0</v>
      </c>
      <c r="CA24">
        <f t="shared" si="54"/>
        <v>92243</v>
      </c>
      <c r="CB24">
        <f t="shared" si="30"/>
        <v>0</v>
      </c>
      <c r="CC24">
        <f t="shared" si="31"/>
        <v>0</v>
      </c>
      <c r="CE24">
        <f t="shared" si="55"/>
        <v>92252</v>
      </c>
      <c r="CF24">
        <f t="shared" si="56"/>
        <v>92251</v>
      </c>
      <c r="CG24">
        <f t="shared" si="33"/>
        <v>0</v>
      </c>
      <c r="CH24">
        <f t="shared" si="57"/>
        <v>92243</v>
      </c>
      <c r="CI24">
        <f t="shared" si="34"/>
        <v>0</v>
      </c>
      <c r="CJ24">
        <f t="shared" si="35"/>
        <v>0</v>
      </c>
    </row>
    <row r="25" spans="1:88">
      <c r="A25" s="5">
        <v>92124</v>
      </c>
      <c r="B25" s="5" t="s">
        <v>447</v>
      </c>
      <c r="C25" s="5" t="s">
        <v>496</v>
      </c>
      <c r="D25" s="5">
        <v>1</v>
      </c>
      <c r="E25" s="5" t="s">
        <v>60</v>
      </c>
      <c r="F25" s="5">
        <v>2</v>
      </c>
      <c r="G25" s="5">
        <v>38</v>
      </c>
      <c r="H25" s="5">
        <f t="shared" si="0"/>
        <v>0</v>
      </c>
      <c r="I25" s="5">
        <f t="shared" si="1"/>
        <v>0</v>
      </c>
      <c r="J25" s="5">
        <f t="shared" si="2"/>
        <v>22</v>
      </c>
      <c r="K25" s="98">
        <f t="shared" si="3"/>
        <v>2</v>
      </c>
      <c r="L25" s="5">
        <f t="shared" si="58"/>
        <v>2</v>
      </c>
      <c r="M25" s="5" t="str">
        <f t="shared" si="4"/>
        <v>水晶耳钉碎片  2</v>
      </c>
      <c r="N25" s="5">
        <f t="shared" si="60"/>
        <v>93124</v>
      </c>
      <c r="O25" s="5">
        <f t="shared" si="63"/>
        <v>5</v>
      </c>
      <c r="P25" s="5" t="str">
        <f t="shared" si="5"/>
        <v>银饰耳钉  1</v>
      </c>
      <c r="Q25" s="91">
        <f>A12</f>
        <v>92122</v>
      </c>
      <c r="R25" s="91">
        <f t="shared" si="64"/>
        <v>1</v>
      </c>
      <c r="S25" s="5" t="str">
        <f t="shared" si="6"/>
        <v>镀金耳钉  0</v>
      </c>
      <c r="T25" s="5">
        <f>A6</f>
        <v>92121</v>
      </c>
      <c r="U25" s="91">
        <f t="shared" ref="U25:U64" si="66">MIN(IF(T25="",0,ROUNDUP(AC25*MAX((F25-SUMIF(A:A,T25,F:F)),1)/20,0)),1)</f>
        <v>1</v>
      </c>
      <c r="V25" s="39">
        <f t="shared" si="36"/>
        <v>234</v>
      </c>
      <c r="W25">
        <f t="shared" si="65"/>
        <v>120.17766952966369</v>
      </c>
      <c r="X25">
        <f t="shared" si="38"/>
        <v>5</v>
      </c>
      <c r="Y25" s="6"/>
      <c r="Z25" s="6"/>
      <c r="AA25" s="6">
        <v>1</v>
      </c>
      <c r="AB25">
        <f t="shared" si="39"/>
        <v>22</v>
      </c>
      <c r="AC25">
        <f t="shared" si="40"/>
        <v>25</v>
      </c>
      <c r="AD25">
        <f t="shared" si="41"/>
        <v>234</v>
      </c>
      <c r="AL25">
        <f>CHOOSE(2,1,COUNTIF(D_马仔培养宝物!$F$2:$K$229,D_马仔宝物!A25))</f>
        <v>22</v>
      </c>
      <c r="AM25">
        <f t="shared" si="7"/>
        <v>92124</v>
      </c>
      <c r="AN25">
        <f t="shared" si="42"/>
        <v>93124</v>
      </c>
      <c r="AO25">
        <f t="shared" si="43"/>
        <v>110</v>
      </c>
      <c r="AP25">
        <f t="shared" si="8"/>
        <v>92122</v>
      </c>
      <c r="AQ25">
        <f t="shared" si="9"/>
        <v>22</v>
      </c>
      <c r="AR25">
        <f t="shared" si="10"/>
        <v>92121</v>
      </c>
      <c r="AS25">
        <f t="shared" si="11"/>
        <v>22</v>
      </c>
      <c r="AT25">
        <f t="shared" si="12"/>
        <v>38</v>
      </c>
      <c r="AV25">
        <f t="shared" si="13"/>
        <v>92124</v>
      </c>
      <c r="AW25">
        <f t="shared" si="44"/>
        <v>92122</v>
      </c>
      <c r="AX25">
        <f t="shared" si="14"/>
        <v>38</v>
      </c>
      <c r="AY25">
        <f t="shared" si="45"/>
        <v>92121</v>
      </c>
      <c r="AZ25">
        <f t="shared" si="15"/>
        <v>38</v>
      </c>
      <c r="BA25">
        <f t="shared" si="16"/>
        <v>40</v>
      </c>
      <c r="BC25">
        <f t="shared" si="17"/>
        <v>92124</v>
      </c>
      <c r="BD25">
        <f t="shared" si="46"/>
        <v>92122</v>
      </c>
      <c r="BE25">
        <f t="shared" si="18"/>
        <v>40</v>
      </c>
      <c r="BF25">
        <f t="shared" si="47"/>
        <v>92121</v>
      </c>
      <c r="BG25">
        <f t="shared" si="19"/>
        <v>40</v>
      </c>
      <c r="BH25">
        <f t="shared" si="20"/>
        <v>134</v>
      </c>
      <c r="BJ25">
        <f t="shared" si="21"/>
        <v>92124</v>
      </c>
      <c r="BK25">
        <f t="shared" si="48"/>
        <v>92122</v>
      </c>
      <c r="BL25">
        <f t="shared" si="22"/>
        <v>134</v>
      </c>
      <c r="BM25">
        <f t="shared" si="49"/>
        <v>92121</v>
      </c>
      <c r="BN25">
        <f t="shared" si="23"/>
        <v>134</v>
      </c>
      <c r="BO25">
        <f t="shared" si="24"/>
        <v>0</v>
      </c>
      <c r="BQ25">
        <f t="shared" si="25"/>
        <v>92124</v>
      </c>
      <c r="BR25">
        <f t="shared" si="50"/>
        <v>92122</v>
      </c>
      <c r="BS25">
        <f t="shared" si="26"/>
        <v>0</v>
      </c>
      <c r="BT25">
        <f t="shared" si="51"/>
        <v>92121</v>
      </c>
      <c r="BU25">
        <f t="shared" si="27"/>
        <v>0</v>
      </c>
      <c r="BV25">
        <f t="shared" si="28"/>
        <v>0</v>
      </c>
      <c r="BX25">
        <f t="shared" si="52"/>
        <v>92124</v>
      </c>
      <c r="BY25">
        <f t="shared" si="53"/>
        <v>92122</v>
      </c>
      <c r="BZ25">
        <f t="shared" si="29"/>
        <v>0</v>
      </c>
      <c r="CA25">
        <f t="shared" si="54"/>
        <v>92121</v>
      </c>
      <c r="CB25">
        <f t="shared" si="30"/>
        <v>0</v>
      </c>
      <c r="CC25">
        <f t="shared" si="31"/>
        <v>0</v>
      </c>
      <c r="CE25">
        <f t="shared" si="55"/>
        <v>92124</v>
      </c>
      <c r="CF25">
        <f t="shared" si="56"/>
        <v>92122</v>
      </c>
      <c r="CG25">
        <f t="shared" si="33"/>
        <v>0</v>
      </c>
      <c r="CH25">
        <f t="shared" si="57"/>
        <v>92121</v>
      </c>
      <c r="CI25">
        <f t="shared" si="34"/>
        <v>0</v>
      </c>
      <c r="CJ25">
        <f t="shared" si="35"/>
        <v>0</v>
      </c>
    </row>
    <row r="26" spans="1:88">
      <c r="A26" s="5">
        <v>92272</v>
      </c>
      <c r="B26" s="5" t="s">
        <v>454</v>
      </c>
      <c r="C26" s="5" t="s">
        <v>496</v>
      </c>
      <c r="D26" s="5">
        <v>1</v>
      </c>
      <c r="E26" s="5" t="s">
        <v>51</v>
      </c>
      <c r="F26" s="5">
        <v>2</v>
      </c>
      <c r="G26" s="5">
        <v>38</v>
      </c>
      <c r="H26" s="5">
        <f t="shared" si="0"/>
        <v>1029</v>
      </c>
      <c r="I26" s="5">
        <f t="shared" si="1"/>
        <v>0</v>
      </c>
      <c r="J26" s="5">
        <f t="shared" si="2"/>
        <v>0</v>
      </c>
      <c r="K26" s="98">
        <f t="shared" si="3"/>
        <v>1</v>
      </c>
      <c r="L26" s="5">
        <f t="shared" si="58"/>
        <v>2</v>
      </c>
      <c r="M26" s="5" t="str">
        <f t="shared" si="4"/>
        <v>金针手表碎片  2</v>
      </c>
      <c r="N26" s="5">
        <f t="shared" si="60"/>
        <v>93272</v>
      </c>
      <c r="O26" s="5">
        <f t="shared" si="63"/>
        <v>5</v>
      </c>
      <c r="P26" s="5" t="str">
        <f t="shared" si="5"/>
        <v>越野手表  1</v>
      </c>
      <c r="Q26" s="5">
        <f>A16</f>
        <v>92264</v>
      </c>
      <c r="R26" s="91">
        <f t="shared" si="64"/>
        <v>1</v>
      </c>
      <c r="S26" s="5" t="str">
        <f t="shared" si="6"/>
        <v>银针手表  0</v>
      </c>
      <c r="T26" s="5">
        <f>A9</f>
        <v>92263</v>
      </c>
      <c r="U26" s="91">
        <f t="shared" si="66"/>
        <v>1</v>
      </c>
      <c r="V26" s="39">
        <f t="shared" si="36"/>
        <v>93</v>
      </c>
      <c r="W26">
        <f t="shared" si="65"/>
        <v>120.17766952966369</v>
      </c>
      <c r="X26">
        <f t="shared" si="38"/>
        <v>5</v>
      </c>
      <c r="Y26" s="6">
        <v>1</v>
      </c>
      <c r="Z26" s="6"/>
      <c r="AA26" s="6"/>
      <c r="AB26">
        <f t="shared" si="39"/>
        <v>41.160000000000004</v>
      </c>
      <c r="AC26">
        <f t="shared" si="40"/>
        <v>25</v>
      </c>
      <c r="AD26">
        <f t="shared" si="41"/>
        <v>93</v>
      </c>
      <c r="AL26">
        <f>CHOOSE(2,1,COUNTIF(D_马仔培养宝物!$F$2:$K$229,D_马仔宝物!A26))</f>
        <v>23</v>
      </c>
      <c r="AM26">
        <f t="shared" si="7"/>
        <v>92272</v>
      </c>
      <c r="AN26">
        <f t="shared" si="42"/>
        <v>93272</v>
      </c>
      <c r="AO26">
        <f t="shared" si="43"/>
        <v>115</v>
      </c>
      <c r="AP26">
        <f t="shared" si="8"/>
        <v>92264</v>
      </c>
      <c r="AQ26">
        <f t="shared" si="9"/>
        <v>23</v>
      </c>
      <c r="AR26">
        <f t="shared" si="10"/>
        <v>92263</v>
      </c>
      <c r="AS26">
        <f t="shared" si="11"/>
        <v>23</v>
      </c>
      <c r="AT26">
        <f t="shared" si="12"/>
        <v>16</v>
      </c>
      <c r="AV26">
        <f t="shared" si="13"/>
        <v>92272</v>
      </c>
      <c r="AW26">
        <f t="shared" si="44"/>
        <v>92264</v>
      </c>
      <c r="AX26">
        <f t="shared" si="14"/>
        <v>16</v>
      </c>
      <c r="AY26">
        <f t="shared" si="45"/>
        <v>92263</v>
      </c>
      <c r="AZ26">
        <f t="shared" si="15"/>
        <v>16</v>
      </c>
      <c r="BA26">
        <f t="shared" si="16"/>
        <v>18</v>
      </c>
      <c r="BC26">
        <f t="shared" si="17"/>
        <v>92272</v>
      </c>
      <c r="BD26">
        <f t="shared" si="46"/>
        <v>92264</v>
      </c>
      <c r="BE26">
        <f t="shared" si="18"/>
        <v>18</v>
      </c>
      <c r="BF26">
        <f t="shared" si="47"/>
        <v>92263</v>
      </c>
      <c r="BG26">
        <f t="shared" si="19"/>
        <v>18</v>
      </c>
      <c r="BH26">
        <f t="shared" si="20"/>
        <v>36</v>
      </c>
      <c r="BJ26">
        <f t="shared" si="21"/>
        <v>92272</v>
      </c>
      <c r="BK26">
        <f t="shared" si="48"/>
        <v>92264</v>
      </c>
      <c r="BL26">
        <f t="shared" si="22"/>
        <v>36</v>
      </c>
      <c r="BM26">
        <f t="shared" si="49"/>
        <v>92263</v>
      </c>
      <c r="BN26">
        <f t="shared" si="23"/>
        <v>36</v>
      </c>
      <c r="BO26">
        <f t="shared" si="24"/>
        <v>0</v>
      </c>
      <c r="BQ26">
        <f t="shared" si="25"/>
        <v>92272</v>
      </c>
      <c r="BR26">
        <f t="shared" si="50"/>
        <v>92264</v>
      </c>
      <c r="BS26">
        <f t="shared" si="26"/>
        <v>0</v>
      </c>
      <c r="BT26">
        <f t="shared" si="51"/>
        <v>92263</v>
      </c>
      <c r="BU26">
        <f t="shared" si="27"/>
        <v>0</v>
      </c>
      <c r="BV26">
        <f t="shared" si="28"/>
        <v>0</v>
      </c>
      <c r="BX26">
        <f t="shared" si="52"/>
        <v>92272</v>
      </c>
      <c r="BY26">
        <f t="shared" si="53"/>
        <v>92264</v>
      </c>
      <c r="BZ26">
        <f t="shared" si="29"/>
        <v>0</v>
      </c>
      <c r="CA26">
        <f t="shared" si="54"/>
        <v>92263</v>
      </c>
      <c r="CB26">
        <f t="shared" si="30"/>
        <v>0</v>
      </c>
      <c r="CC26">
        <f t="shared" si="31"/>
        <v>0</v>
      </c>
      <c r="CE26">
        <f t="shared" si="55"/>
        <v>92272</v>
      </c>
      <c r="CF26">
        <f t="shared" si="56"/>
        <v>92264</v>
      </c>
      <c r="CG26">
        <f t="shared" si="33"/>
        <v>0</v>
      </c>
      <c r="CH26">
        <f t="shared" si="57"/>
        <v>92263</v>
      </c>
      <c r="CI26">
        <f t="shared" si="34"/>
        <v>0</v>
      </c>
      <c r="CJ26">
        <f t="shared" si="35"/>
        <v>0</v>
      </c>
    </row>
    <row r="27" spans="1:88">
      <c r="A27" s="5">
        <v>92273</v>
      </c>
      <c r="B27" s="5" t="s">
        <v>479</v>
      </c>
      <c r="C27" s="5" t="s">
        <v>496</v>
      </c>
      <c r="D27" s="5">
        <v>1</v>
      </c>
      <c r="E27" s="5" t="s">
        <v>57</v>
      </c>
      <c r="F27" s="5">
        <v>2</v>
      </c>
      <c r="G27" s="5">
        <v>39</v>
      </c>
      <c r="H27" s="5">
        <f t="shared" si="0"/>
        <v>0</v>
      </c>
      <c r="I27" s="5">
        <f t="shared" si="1"/>
        <v>52</v>
      </c>
      <c r="J27" s="5">
        <f t="shared" si="2"/>
        <v>0</v>
      </c>
      <c r="K27" s="98">
        <f t="shared" si="3"/>
        <v>1</v>
      </c>
      <c r="L27" s="5">
        <f t="shared" si="58"/>
        <v>2</v>
      </c>
      <c r="M27" s="5" t="str">
        <f t="shared" si="4"/>
        <v>智能手表碎片  2</v>
      </c>
      <c r="N27" s="5">
        <f t="shared" si="60"/>
        <v>93273</v>
      </c>
      <c r="O27" s="5">
        <f t="shared" si="63"/>
        <v>5</v>
      </c>
      <c r="P27" s="5" t="str">
        <f t="shared" si="5"/>
        <v>精准手表  1</v>
      </c>
      <c r="Q27" s="91">
        <f>A17</f>
        <v>92271</v>
      </c>
      <c r="R27" s="91">
        <f t="shared" si="64"/>
        <v>1</v>
      </c>
      <c r="S27" s="5" t="str">
        <f t="shared" si="6"/>
        <v>越野手表  1</v>
      </c>
      <c r="T27" s="5">
        <f>A16</f>
        <v>92264</v>
      </c>
      <c r="U27" s="91">
        <f t="shared" si="66"/>
        <v>1</v>
      </c>
      <c r="V27" s="39">
        <f t="shared" si="36"/>
        <v>86</v>
      </c>
      <c r="W27">
        <f t="shared" si="65"/>
        <v>135.35533905932738</v>
      </c>
      <c r="X27">
        <f t="shared" si="38"/>
        <v>5</v>
      </c>
      <c r="Y27" s="6"/>
      <c r="Z27" s="6">
        <v>1</v>
      </c>
      <c r="AA27" s="6"/>
      <c r="AB27">
        <f t="shared" si="39"/>
        <v>52</v>
      </c>
      <c r="AC27">
        <f t="shared" si="40"/>
        <v>25</v>
      </c>
      <c r="AD27">
        <f t="shared" si="41"/>
        <v>86</v>
      </c>
      <c r="AL27">
        <f>CHOOSE(2,1,COUNTIF(D_马仔培养宝物!$F$2:$K$229,D_马仔宝物!A27))</f>
        <v>16</v>
      </c>
      <c r="AM27">
        <f t="shared" si="7"/>
        <v>92273</v>
      </c>
      <c r="AN27">
        <f t="shared" si="42"/>
        <v>93273</v>
      </c>
      <c r="AO27">
        <f t="shared" si="43"/>
        <v>80</v>
      </c>
      <c r="AP27">
        <f t="shared" si="8"/>
        <v>92271</v>
      </c>
      <c r="AQ27">
        <f t="shared" si="9"/>
        <v>16</v>
      </c>
      <c r="AR27">
        <f t="shared" si="10"/>
        <v>92264</v>
      </c>
      <c r="AS27">
        <f t="shared" si="11"/>
        <v>16</v>
      </c>
      <c r="AT27">
        <f t="shared" si="12"/>
        <v>16</v>
      </c>
      <c r="AV27">
        <f t="shared" si="13"/>
        <v>92273</v>
      </c>
      <c r="AW27">
        <f t="shared" si="44"/>
        <v>92271</v>
      </c>
      <c r="AX27">
        <f t="shared" si="14"/>
        <v>16</v>
      </c>
      <c r="AY27">
        <f t="shared" si="45"/>
        <v>92264</v>
      </c>
      <c r="AZ27">
        <f t="shared" si="15"/>
        <v>16</v>
      </c>
      <c r="BA27">
        <f t="shared" si="16"/>
        <v>18</v>
      </c>
      <c r="BC27">
        <f t="shared" si="17"/>
        <v>92273</v>
      </c>
      <c r="BD27">
        <f t="shared" si="46"/>
        <v>92271</v>
      </c>
      <c r="BE27">
        <f t="shared" si="18"/>
        <v>18</v>
      </c>
      <c r="BF27">
        <f t="shared" si="47"/>
        <v>92264</v>
      </c>
      <c r="BG27">
        <f t="shared" si="19"/>
        <v>18</v>
      </c>
      <c r="BH27">
        <f t="shared" si="20"/>
        <v>36</v>
      </c>
      <c r="BJ27">
        <f t="shared" si="21"/>
        <v>92273</v>
      </c>
      <c r="BK27">
        <f t="shared" si="48"/>
        <v>92271</v>
      </c>
      <c r="BL27">
        <f t="shared" si="22"/>
        <v>36</v>
      </c>
      <c r="BM27">
        <f t="shared" si="49"/>
        <v>92264</v>
      </c>
      <c r="BN27">
        <f t="shared" si="23"/>
        <v>36</v>
      </c>
      <c r="BO27">
        <f t="shared" si="24"/>
        <v>0</v>
      </c>
      <c r="BQ27">
        <f t="shared" si="25"/>
        <v>92273</v>
      </c>
      <c r="BR27">
        <f t="shared" si="50"/>
        <v>92271</v>
      </c>
      <c r="BS27">
        <f t="shared" si="26"/>
        <v>0</v>
      </c>
      <c r="BT27">
        <f t="shared" si="51"/>
        <v>92264</v>
      </c>
      <c r="BU27">
        <f t="shared" si="27"/>
        <v>0</v>
      </c>
      <c r="BV27">
        <f t="shared" si="28"/>
        <v>0</v>
      </c>
      <c r="BX27">
        <f t="shared" si="52"/>
        <v>92273</v>
      </c>
      <c r="BY27">
        <f t="shared" si="53"/>
        <v>92271</v>
      </c>
      <c r="BZ27">
        <f t="shared" si="29"/>
        <v>0</v>
      </c>
      <c r="CA27">
        <f t="shared" si="54"/>
        <v>92264</v>
      </c>
      <c r="CB27">
        <f t="shared" si="30"/>
        <v>0</v>
      </c>
      <c r="CC27">
        <f t="shared" si="31"/>
        <v>0</v>
      </c>
      <c r="CE27">
        <f t="shared" si="55"/>
        <v>92273</v>
      </c>
      <c r="CF27">
        <f t="shared" si="56"/>
        <v>92271</v>
      </c>
      <c r="CG27">
        <f t="shared" si="33"/>
        <v>0</v>
      </c>
      <c r="CH27">
        <f t="shared" si="57"/>
        <v>92264</v>
      </c>
      <c r="CI27">
        <f t="shared" si="34"/>
        <v>0</v>
      </c>
      <c r="CJ27">
        <f t="shared" si="35"/>
        <v>0</v>
      </c>
    </row>
    <row r="28" spans="1:88">
      <c r="A28" s="5">
        <v>92279</v>
      </c>
      <c r="B28" s="5" t="s">
        <v>478</v>
      </c>
      <c r="C28" s="5" t="s">
        <v>496</v>
      </c>
      <c r="D28" s="5">
        <v>1</v>
      </c>
      <c r="E28" s="5" t="s">
        <v>66</v>
      </c>
      <c r="F28" s="5">
        <v>2</v>
      </c>
      <c r="G28" s="5">
        <v>39</v>
      </c>
      <c r="H28" s="5">
        <f t="shared" si="0"/>
        <v>0</v>
      </c>
      <c r="I28" s="5">
        <f t="shared" si="1"/>
        <v>0</v>
      </c>
      <c r="J28" s="5">
        <f t="shared" si="2"/>
        <v>22</v>
      </c>
      <c r="K28" s="98">
        <f t="shared" si="3"/>
        <v>1</v>
      </c>
      <c r="L28" s="5">
        <f t="shared" si="58"/>
        <v>2</v>
      </c>
      <c r="M28" s="5" t="str">
        <f t="shared" si="4"/>
        <v>宾倪碎片  2</v>
      </c>
      <c r="N28" s="5">
        <f t="shared" si="60"/>
        <v>93279</v>
      </c>
      <c r="O28" s="5">
        <f t="shared" si="63"/>
        <v>5</v>
      </c>
      <c r="P28" s="5" t="str">
        <f t="shared" si="5"/>
        <v>宝驼  1</v>
      </c>
      <c r="Q28" s="91">
        <f>A18</f>
        <v>92278</v>
      </c>
      <c r="R28" s="91">
        <f t="shared" si="64"/>
        <v>1</v>
      </c>
      <c r="S28" s="5" t="str">
        <f t="shared" si="6"/>
        <v>冬利  0</v>
      </c>
      <c r="T28" s="5">
        <f>A10</f>
        <v>92277</v>
      </c>
      <c r="U28" s="91">
        <f t="shared" si="66"/>
        <v>1</v>
      </c>
      <c r="V28" s="39">
        <f t="shared" si="36"/>
        <v>99</v>
      </c>
      <c r="W28">
        <f t="shared" si="65"/>
        <v>118.67766952966369</v>
      </c>
      <c r="X28">
        <f t="shared" si="38"/>
        <v>5</v>
      </c>
      <c r="Y28" s="6"/>
      <c r="Z28" s="6"/>
      <c r="AA28" s="6">
        <v>1</v>
      </c>
      <c r="AB28">
        <f t="shared" si="39"/>
        <v>22</v>
      </c>
      <c r="AC28">
        <f t="shared" si="40"/>
        <v>25</v>
      </c>
      <c r="AD28">
        <f t="shared" si="41"/>
        <v>99</v>
      </c>
      <c r="AL28">
        <f>CHOOSE(2,1,COUNTIF(D_马仔培养宝物!$F$2:$K$229,D_马仔宝物!A28))</f>
        <v>24</v>
      </c>
      <c r="AM28">
        <f t="shared" si="7"/>
        <v>92279</v>
      </c>
      <c r="AN28">
        <f t="shared" si="42"/>
        <v>93279</v>
      </c>
      <c r="AO28">
        <f t="shared" si="43"/>
        <v>120</v>
      </c>
      <c r="AP28">
        <f t="shared" si="8"/>
        <v>92278</v>
      </c>
      <c r="AQ28">
        <f t="shared" si="9"/>
        <v>24</v>
      </c>
      <c r="AR28">
        <f t="shared" si="10"/>
        <v>92277</v>
      </c>
      <c r="AS28">
        <f t="shared" si="11"/>
        <v>24</v>
      </c>
      <c r="AT28">
        <f t="shared" si="12"/>
        <v>17</v>
      </c>
      <c r="AV28">
        <f t="shared" si="13"/>
        <v>92279</v>
      </c>
      <c r="AW28">
        <f t="shared" si="44"/>
        <v>92278</v>
      </c>
      <c r="AX28">
        <f t="shared" si="14"/>
        <v>17</v>
      </c>
      <c r="AY28">
        <f t="shared" si="45"/>
        <v>92277</v>
      </c>
      <c r="AZ28">
        <f t="shared" si="15"/>
        <v>17</v>
      </c>
      <c r="BA28">
        <f t="shared" si="16"/>
        <v>19</v>
      </c>
      <c r="BC28">
        <f t="shared" si="17"/>
        <v>92279</v>
      </c>
      <c r="BD28">
        <f t="shared" si="46"/>
        <v>92278</v>
      </c>
      <c r="BE28">
        <f t="shared" si="18"/>
        <v>19</v>
      </c>
      <c r="BF28">
        <f t="shared" si="47"/>
        <v>92277</v>
      </c>
      <c r="BG28">
        <f t="shared" si="19"/>
        <v>19</v>
      </c>
      <c r="BH28">
        <f t="shared" si="20"/>
        <v>39</v>
      </c>
      <c r="BJ28">
        <f t="shared" si="21"/>
        <v>92279</v>
      </c>
      <c r="BK28">
        <f t="shared" si="48"/>
        <v>92278</v>
      </c>
      <c r="BL28">
        <f t="shared" si="22"/>
        <v>39</v>
      </c>
      <c r="BM28">
        <f t="shared" si="49"/>
        <v>92277</v>
      </c>
      <c r="BN28">
        <f t="shared" si="23"/>
        <v>39</v>
      </c>
      <c r="BO28">
        <f t="shared" si="24"/>
        <v>0</v>
      </c>
      <c r="BQ28">
        <f t="shared" si="25"/>
        <v>92279</v>
      </c>
      <c r="BR28">
        <f t="shared" si="50"/>
        <v>92278</v>
      </c>
      <c r="BS28">
        <f t="shared" si="26"/>
        <v>0</v>
      </c>
      <c r="BT28">
        <f t="shared" si="51"/>
        <v>92277</v>
      </c>
      <c r="BU28">
        <f t="shared" si="27"/>
        <v>0</v>
      </c>
      <c r="BV28">
        <f t="shared" si="28"/>
        <v>0</v>
      </c>
      <c r="BX28">
        <f t="shared" si="52"/>
        <v>92279</v>
      </c>
      <c r="BY28">
        <f t="shared" si="53"/>
        <v>92278</v>
      </c>
      <c r="BZ28">
        <f t="shared" si="29"/>
        <v>0</v>
      </c>
      <c r="CA28">
        <f t="shared" si="54"/>
        <v>92277</v>
      </c>
      <c r="CB28">
        <f t="shared" si="30"/>
        <v>0</v>
      </c>
      <c r="CC28">
        <f t="shared" si="31"/>
        <v>0</v>
      </c>
      <c r="CE28">
        <f t="shared" si="55"/>
        <v>92279</v>
      </c>
      <c r="CF28">
        <f t="shared" si="56"/>
        <v>92278</v>
      </c>
      <c r="CG28">
        <f t="shared" si="33"/>
        <v>0</v>
      </c>
      <c r="CH28">
        <f t="shared" si="57"/>
        <v>92277</v>
      </c>
      <c r="CI28">
        <f t="shared" si="34"/>
        <v>0</v>
      </c>
      <c r="CJ28">
        <f t="shared" si="35"/>
        <v>0</v>
      </c>
    </row>
    <row r="29" spans="1:88">
      <c r="A29" s="5">
        <v>92284</v>
      </c>
      <c r="B29" s="5" t="s">
        <v>465</v>
      </c>
      <c r="C29" s="5" t="s">
        <v>496</v>
      </c>
      <c r="D29" s="5">
        <v>1</v>
      </c>
      <c r="E29" s="5" t="s">
        <v>70</v>
      </c>
      <c r="F29" s="5">
        <v>2</v>
      </c>
      <c r="G29" s="5">
        <v>40</v>
      </c>
      <c r="H29" s="5">
        <f t="shared" si="0"/>
        <v>1029</v>
      </c>
      <c r="I29" s="5">
        <f t="shared" si="1"/>
        <v>0</v>
      </c>
      <c r="J29" s="5">
        <f t="shared" si="2"/>
        <v>0</v>
      </c>
      <c r="K29" s="98">
        <f t="shared" si="3"/>
        <v>2</v>
      </c>
      <c r="L29" s="5">
        <f t="shared" si="58"/>
        <v>2</v>
      </c>
      <c r="M29" s="5" t="str">
        <f t="shared" si="4"/>
        <v>大迭钞票碎片  2</v>
      </c>
      <c r="N29" s="5">
        <f t="shared" si="60"/>
        <v>93284</v>
      </c>
      <c r="O29" s="5">
        <f t="shared" si="63"/>
        <v>5</v>
      </c>
      <c r="P29" s="5" t="str">
        <f t="shared" si="5"/>
        <v>小迭钞票  1</v>
      </c>
      <c r="Q29" s="91">
        <f>A19</f>
        <v>92283</v>
      </c>
      <c r="R29" s="91">
        <f t="shared" si="64"/>
        <v>1</v>
      </c>
      <c r="S29" s="5" t="str">
        <f t="shared" si="6"/>
        <v>鎏金手环  0</v>
      </c>
      <c r="T29" s="91">
        <v>92232</v>
      </c>
      <c r="U29" s="91">
        <f t="shared" si="66"/>
        <v>1</v>
      </c>
      <c r="V29" s="39">
        <f t="shared" si="36"/>
        <v>687</v>
      </c>
      <c r="W29">
        <f t="shared" si="65"/>
        <v>119.73766952966369</v>
      </c>
      <c r="X29">
        <f t="shared" si="38"/>
        <v>5</v>
      </c>
      <c r="Y29" s="6">
        <v>1</v>
      </c>
      <c r="Z29" s="6"/>
      <c r="AA29" s="6"/>
      <c r="AB29">
        <f t="shared" si="39"/>
        <v>41.160000000000004</v>
      </c>
      <c r="AC29">
        <f t="shared" si="40"/>
        <v>25</v>
      </c>
      <c r="AD29">
        <f t="shared" si="41"/>
        <v>687</v>
      </c>
      <c r="AL29">
        <f>CHOOSE(2,1,COUNTIF(D_马仔培养宝物!$F$2:$K$229,D_马仔宝物!A29))</f>
        <v>30</v>
      </c>
      <c r="AM29">
        <f t="shared" si="7"/>
        <v>92284</v>
      </c>
      <c r="AN29">
        <f t="shared" si="42"/>
        <v>93284</v>
      </c>
      <c r="AO29">
        <f t="shared" si="43"/>
        <v>150</v>
      </c>
      <c r="AP29">
        <f t="shared" si="8"/>
        <v>92283</v>
      </c>
      <c r="AQ29">
        <f t="shared" si="9"/>
        <v>30</v>
      </c>
      <c r="AR29">
        <f t="shared" si="10"/>
        <v>92232</v>
      </c>
      <c r="AS29">
        <f t="shared" si="11"/>
        <v>30</v>
      </c>
      <c r="AT29">
        <f t="shared" si="12"/>
        <v>65</v>
      </c>
      <c r="AV29">
        <f t="shared" si="13"/>
        <v>92284</v>
      </c>
      <c r="AW29">
        <f t="shared" si="44"/>
        <v>92283</v>
      </c>
      <c r="AX29">
        <f t="shared" si="14"/>
        <v>65</v>
      </c>
      <c r="AY29">
        <f t="shared" si="45"/>
        <v>92232</v>
      </c>
      <c r="AZ29">
        <f t="shared" si="15"/>
        <v>65</v>
      </c>
      <c r="BA29">
        <f t="shared" si="16"/>
        <v>169</v>
      </c>
      <c r="BC29">
        <f t="shared" si="17"/>
        <v>92284</v>
      </c>
      <c r="BD29">
        <f t="shared" si="46"/>
        <v>92283</v>
      </c>
      <c r="BE29">
        <f t="shared" si="18"/>
        <v>169</v>
      </c>
      <c r="BF29">
        <f t="shared" si="47"/>
        <v>92232</v>
      </c>
      <c r="BG29">
        <f t="shared" si="19"/>
        <v>169</v>
      </c>
      <c r="BH29">
        <f t="shared" si="20"/>
        <v>423</v>
      </c>
      <c r="BJ29">
        <f t="shared" si="21"/>
        <v>92284</v>
      </c>
      <c r="BK29">
        <f t="shared" si="48"/>
        <v>92283</v>
      </c>
      <c r="BL29">
        <f t="shared" si="22"/>
        <v>423</v>
      </c>
      <c r="BM29">
        <f t="shared" si="49"/>
        <v>92232</v>
      </c>
      <c r="BN29">
        <f t="shared" si="23"/>
        <v>423</v>
      </c>
      <c r="BO29">
        <f t="shared" si="24"/>
        <v>0</v>
      </c>
      <c r="BQ29">
        <f t="shared" si="25"/>
        <v>92284</v>
      </c>
      <c r="BR29">
        <f t="shared" si="50"/>
        <v>92283</v>
      </c>
      <c r="BS29">
        <f t="shared" si="26"/>
        <v>0</v>
      </c>
      <c r="BT29">
        <f t="shared" si="51"/>
        <v>92232</v>
      </c>
      <c r="BU29">
        <f t="shared" si="27"/>
        <v>0</v>
      </c>
      <c r="BV29">
        <f t="shared" si="28"/>
        <v>0</v>
      </c>
      <c r="BX29">
        <f t="shared" si="52"/>
        <v>92284</v>
      </c>
      <c r="BY29">
        <f t="shared" si="53"/>
        <v>92283</v>
      </c>
      <c r="BZ29">
        <f t="shared" si="29"/>
        <v>0</v>
      </c>
      <c r="CA29">
        <f t="shared" si="54"/>
        <v>92232</v>
      </c>
      <c r="CB29">
        <f t="shared" si="30"/>
        <v>0</v>
      </c>
      <c r="CC29">
        <f t="shared" si="31"/>
        <v>0</v>
      </c>
      <c r="CE29">
        <f t="shared" si="55"/>
        <v>92284</v>
      </c>
      <c r="CF29">
        <f t="shared" si="56"/>
        <v>92283</v>
      </c>
      <c r="CG29">
        <f t="shared" si="33"/>
        <v>0</v>
      </c>
      <c r="CH29">
        <f t="shared" si="57"/>
        <v>92232</v>
      </c>
      <c r="CI29">
        <f t="shared" si="34"/>
        <v>0</v>
      </c>
      <c r="CJ29">
        <f t="shared" si="35"/>
        <v>0</v>
      </c>
    </row>
    <row r="30" spans="1:88">
      <c r="A30" s="5">
        <v>92288</v>
      </c>
      <c r="B30" s="5" t="s">
        <v>475</v>
      </c>
      <c r="C30" s="5" t="s">
        <v>496</v>
      </c>
      <c r="D30" s="5">
        <v>1</v>
      </c>
      <c r="E30" s="5" t="s">
        <v>67</v>
      </c>
      <c r="F30" s="5">
        <v>2</v>
      </c>
      <c r="G30" s="5">
        <v>40</v>
      </c>
      <c r="H30" s="5">
        <f t="shared" si="0"/>
        <v>0</v>
      </c>
      <c r="I30" s="5">
        <f t="shared" si="1"/>
        <v>52</v>
      </c>
      <c r="J30" s="5">
        <f t="shared" si="2"/>
        <v>0</v>
      </c>
      <c r="K30" s="98">
        <f t="shared" si="3"/>
        <v>2</v>
      </c>
      <c r="L30" s="5">
        <f t="shared" si="58"/>
        <v>2</v>
      </c>
      <c r="M30" s="5" t="str">
        <f t="shared" si="4"/>
        <v>大金块碎片  2</v>
      </c>
      <c r="N30" s="5">
        <f t="shared" si="60"/>
        <v>93288</v>
      </c>
      <c r="O30" s="5">
        <f t="shared" si="63"/>
        <v>5</v>
      </c>
      <c r="P30" s="5" t="str">
        <f t="shared" si="5"/>
        <v>金块  1</v>
      </c>
      <c r="Q30" s="91">
        <f>A20</f>
        <v>92287</v>
      </c>
      <c r="R30" s="91">
        <f t="shared" si="64"/>
        <v>1</v>
      </c>
      <c r="S30" s="5" t="str">
        <f t="shared" si="6"/>
        <v>金饰项链  0</v>
      </c>
      <c r="T30" s="5">
        <v>92244</v>
      </c>
      <c r="U30" s="91">
        <f t="shared" si="66"/>
        <v>1</v>
      </c>
      <c r="V30" s="39">
        <f t="shared" si="36"/>
        <v>629</v>
      </c>
      <c r="W30">
        <f t="shared" si="65"/>
        <v>119.73766952966369</v>
      </c>
      <c r="X30">
        <f t="shared" si="38"/>
        <v>5</v>
      </c>
      <c r="Y30" s="6"/>
      <c r="Z30" s="6">
        <v>1</v>
      </c>
      <c r="AA30" s="6"/>
      <c r="AB30">
        <f t="shared" si="39"/>
        <v>52</v>
      </c>
      <c r="AC30">
        <f t="shared" si="40"/>
        <v>25</v>
      </c>
      <c r="AD30">
        <f t="shared" si="41"/>
        <v>629</v>
      </c>
      <c r="AL30">
        <f>CHOOSE(2,1,COUNTIF(D_马仔培养宝物!$F$2:$K$229,D_马仔宝物!A30))</f>
        <v>30</v>
      </c>
      <c r="AM30">
        <f t="shared" si="7"/>
        <v>92288</v>
      </c>
      <c r="AN30">
        <f t="shared" si="42"/>
        <v>93288</v>
      </c>
      <c r="AO30">
        <f t="shared" si="43"/>
        <v>150</v>
      </c>
      <c r="AP30">
        <f t="shared" si="8"/>
        <v>92287</v>
      </c>
      <c r="AQ30">
        <f t="shared" si="9"/>
        <v>30</v>
      </c>
      <c r="AR30">
        <f t="shared" si="10"/>
        <v>92244</v>
      </c>
      <c r="AS30">
        <f t="shared" si="11"/>
        <v>30</v>
      </c>
      <c r="AT30">
        <f t="shared" si="12"/>
        <v>61</v>
      </c>
      <c r="AV30">
        <f t="shared" si="13"/>
        <v>92288</v>
      </c>
      <c r="AW30">
        <f t="shared" si="44"/>
        <v>92287</v>
      </c>
      <c r="AX30">
        <f t="shared" si="14"/>
        <v>61</v>
      </c>
      <c r="AY30">
        <f t="shared" si="45"/>
        <v>92244</v>
      </c>
      <c r="AZ30">
        <f t="shared" si="15"/>
        <v>61</v>
      </c>
      <c r="BA30">
        <f t="shared" si="16"/>
        <v>157</v>
      </c>
      <c r="BC30">
        <f t="shared" si="17"/>
        <v>92288</v>
      </c>
      <c r="BD30">
        <f t="shared" si="46"/>
        <v>92287</v>
      </c>
      <c r="BE30">
        <f t="shared" si="18"/>
        <v>157</v>
      </c>
      <c r="BF30">
        <f t="shared" si="47"/>
        <v>92244</v>
      </c>
      <c r="BG30">
        <f t="shared" si="19"/>
        <v>157</v>
      </c>
      <c r="BH30">
        <f t="shared" si="20"/>
        <v>381</v>
      </c>
      <c r="BJ30">
        <f t="shared" si="21"/>
        <v>92288</v>
      </c>
      <c r="BK30">
        <f t="shared" si="48"/>
        <v>92287</v>
      </c>
      <c r="BL30">
        <f t="shared" si="22"/>
        <v>381</v>
      </c>
      <c r="BM30">
        <f t="shared" si="49"/>
        <v>92244</v>
      </c>
      <c r="BN30">
        <f t="shared" si="23"/>
        <v>381</v>
      </c>
      <c r="BO30">
        <f t="shared" si="24"/>
        <v>0</v>
      </c>
      <c r="BQ30">
        <f t="shared" si="25"/>
        <v>92288</v>
      </c>
      <c r="BR30">
        <f t="shared" si="50"/>
        <v>92287</v>
      </c>
      <c r="BS30">
        <f t="shared" si="26"/>
        <v>0</v>
      </c>
      <c r="BT30">
        <f t="shared" si="51"/>
        <v>92244</v>
      </c>
      <c r="BU30">
        <f t="shared" si="27"/>
        <v>0</v>
      </c>
      <c r="BV30">
        <f t="shared" si="28"/>
        <v>0</v>
      </c>
      <c r="BX30">
        <f t="shared" si="52"/>
        <v>92288</v>
      </c>
      <c r="BY30">
        <f t="shared" si="53"/>
        <v>92287</v>
      </c>
      <c r="BZ30">
        <f t="shared" si="29"/>
        <v>0</v>
      </c>
      <c r="CA30">
        <f t="shared" si="54"/>
        <v>92244</v>
      </c>
      <c r="CB30">
        <f t="shared" si="30"/>
        <v>0</v>
      </c>
      <c r="CC30">
        <f t="shared" si="31"/>
        <v>0</v>
      </c>
      <c r="CE30">
        <f t="shared" si="55"/>
        <v>92288</v>
      </c>
      <c r="CF30">
        <f t="shared" si="56"/>
        <v>92287</v>
      </c>
      <c r="CG30">
        <f t="shared" si="33"/>
        <v>0</v>
      </c>
      <c r="CH30">
        <f t="shared" si="57"/>
        <v>92244</v>
      </c>
      <c r="CI30">
        <f t="shared" si="34"/>
        <v>0</v>
      </c>
      <c r="CJ30">
        <f t="shared" si="35"/>
        <v>0</v>
      </c>
    </row>
    <row r="31" spans="1:88">
      <c r="A31" s="5">
        <v>92125</v>
      </c>
      <c r="B31" s="5" t="s">
        <v>472</v>
      </c>
      <c r="C31" s="5" t="s">
        <v>496</v>
      </c>
      <c r="D31" s="5">
        <v>1</v>
      </c>
      <c r="E31" s="5" t="s">
        <v>74</v>
      </c>
      <c r="F31" s="5">
        <v>3</v>
      </c>
      <c r="G31" s="5">
        <v>45</v>
      </c>
      <c r="H31" s="5">
        <f t="shared" si="0"/>
        <v>0</v>
      </c>
      <c r="I31" s="5">
        <f t="shared" si="1"/>
        <v>0</v>
      </c>
      <c r="J31" s="5">
        <f t="shared" si="2"/>
        <v>31</v>
      </c>
      <c r="K31" s="98">
        <f t="shared" si="3"/>
        <v>1</v>
      </c>
      <c r="L31" s="5">
        <f t="shared" si="58"/>
        <v>3</v>
      </c>
      <c r="M31" s="5" t="str">
        <f t="shared" si="4"/>
        <v>红石耳钉碎片  3</v>
      </c>
      <c r="N31" s="5">
        <f t="shared" si="60"/>
        <v>93125</v>
      </c>
      <c r="O31" s="5">
        <f t="shared" si="63"/>
        <v>10</v>
      </c>
      <c r="P31" s="5" t="str">
        <f t="shared" si="5"/>
        <v>水晶耳钉  2</v>
      </c>
      <c r="Q31" s="5">
        <f>A25</f>
        <v>92124</v>
      </c>
      <c r="R31" s="91">
        <f t="shared" si="64"/>
        <v>1</v>
      </c>
      <c r="S31" s="5" t="str">
        <f t="shared" si="6"/>
        <v>银饰耳钉  1</v>
      </c>
      <c r="T31" s="5">
        <f>A12</f>
        <v>92122</v>
      </c>
      <c r="U31" s="91">
        <f t="shared" si="66"/>
        <v>1</v>
      </c>
      <c r="V31" s="39">
        <f t="shared" si="36"/>
        <v>104</v>
      </c>
      <c r="W31">
        <f t="shared" si="65"/>
        <v>348.73922253581054</v>
      </c>
      <c r="X31">
        <f t="shared" si="38"/>
        <v>7</v>
      </c>
      <c r="Y31" s="6"/>
      <c r="Z31" s="6"/>
      <c r="AA31" s="6">
        <v>1</v>
      </c>
      <c r="AB31">
        <f t="shared" si="39"/>
        <v>31</v>
      </c>
      <c r="AC31">
        <f t="shared" si="40"/>
        <v>30</v>
      </c>
      <c r="AD31">
        <f t="shared" si="41"/>
        <v>104</v>
      </c>
      <c r="AL31">
        <f>CHOOSE(2,1,COUNTIF(D_马仔培养宝物!$F$2:$K$229,D_马仔宝物!A31))</f>
        <v>17</v>
      </c>
      <c r="AM31">
        <f t="shared" si="7"/>
        <v>92125</v>
      </c>
      <c r="AN31">
        <f t="shared" si="42"/>
        <v>93125</v>
      </c>
      <c r="AO31">
        <f t="shared" si="43"/>
        <v>170</v>
      </c>
      <c r="AP31">
        <f t="shared" si="8"/>
        <v>92124</v>
      </c>
      <c r="AQ31">
        <f t="shared" si="9"/>
        <v>17</v>
      </c>
      <c r="AR31">
        <f t="shared" si="10"/>
        <v>92122</v>
      </c>
      <c r="AS31">
        <f t="shared" si="11"/>
        <v>17</v>
      </c>
      <c r="AT31">
        <f t="shared" si="12"/>
        <v>20</v>
      </c>
      <c r="AV31">
        <f t="shared" si="13"/>
        <v>92125</v>
      </c>
      <c r="AW31">
        <f t="shared" si="44"/>
        <v>92124</v>
      </c>
      <c r="AX31">
        <f t="shared" si="14"/>
        <v>20</v>
      </c>
      <c r="AY31">
        <f t="shared" si="45"/>
        <v>92122</v>
      </c>
      <c r="AZ31">
        <f t="shared" si="15"/>
        <v>20</v>
      </c>
      <c r="BA31">
        <f t="shared" si="16"/>
        <v>67</v>
      </c>
      <c r="BC31">
        <f t="shared" si="17"/>
        <v>92125</v>
      </c>
      <c r="BD31">
        <f t="shared" si="46"/>
        <v>92124</v>
      </c>
      <c r="BE31">
        <f t="shared" si="18"/>
        <v>67</v>
      </c>
      <c r="BF31">
        <f t="shared" si="47"/>
        <v>92122</v>
      </c>
      <c r="BG31">
        <f t="shared" si="19"/>
        <v>67</v>
      </c>
      <c r="BH31">
        <f t="shared" si="20"/>
        <v>0</v>
      </c>
      <c r="BJ31">
        <f t="shared" si="21"/>
        <v>92125</v>
      </c>
      <c r="BK31">
        <f t="shared" si="48"/>
        <v>92124</v>
      </c>
      <c r="BL31">
        <f t="shared" si="22"/>
        <v>0</v>
      </c>
      <c r="BM31">
        <f t="shared" si="49"/>
        <v>92122</v>
      </c>
      <c r="BN31">
        <f t="shared" si="23"/>
        <v>0</v>
      </c>
      <c r="BO31">
        <f t="shared" si="24"/>
        <v>0</v>
      </c>
      <c r="BQ31">
        <f t="shared" si="25"/>
        <v>92125</v>
      </c>
      <c r="BR31">
        <f t="shared" si="50"/>
        <v>92124</v>
      </c>
      <c r="BS31">
        <f t="shared" si="26"/>
        <v>0</v>
      </c>
      <c r="BT31">
        <f t="shared" si="51"/>
        <v>92122</v>
      </c>
      <c r="BU31">
        <f t="shared" si="27"/>
        <v>0</v>
      </c>
      <c r="BV31">
        <f t="shared" si="28"/>
        <v>0</v>
      </c>
      <c r="BX31">
        <f t="shared" si="52"/>
        <v>92125</v>
      </c>
      <c r="BY31">
        <f t="shared" si="53"/>
        <v>92124</v>
      </c>
      <c r="BZ31">
        <f t="shared" si="29"/>
        <v>0</v>
      </c>
      <c r="CA31">
        <f t="shared" si="54"/>
        <v>92122</v>
      </c>
      <c r="CB31">
        <f t="shared" si="30"/>
        <v>0</v>
      </c>
      <c r="CC31">
        <f t="shared" si="31"/>
        <v>0</v>
      </c>
      <c r="CE31">
        <f t="shared" si="55"/>
        <v>92125</v>
      </c>
      <c r="CF31">
        <f t="shared" si="56"/>
        <v>92124</v>
      </c>
      <c r="CG31">
        <f t="shared" si="33"/>
        <v>0</v>
      </c>
      <c r="CH31">
        <f t="shared" si="57"/>
        <v>92122</v>
      </c>
      <c r="CI31">
        <f t="shared" si="34"/>
        <v>0</v>
      </c>
      <c r="CJ31">
        <f t="shared" si="35"/>
        <v>0</v>
      </c>
    </row>
    <row r="32" spans="1:88">
      <c r="A32" s="5">
        <v>92134</v>
      </c>
      <c r="B32" s="5" t="s">
        <v>439</v>
      </c>
      <c r="C32" s="5" t="s">
        <v>496</v>
      </c>
      <c r="D32" s="5">
        <v>1</v>
      </c>
      <c r="E32" s="5" t="s">
        <v>35</v>
      </c>
      <c r="F32" s="5">
        <v>3</v>
      </c>
      <c r="G32" s="5">
        <v>45</v>
      </c>
      <c r="H32" s="5">
        <f t="shared" si="0"/>
        <v>0</v>
      </c>
      <c r="I32" s="5">
        <f t="shared" si="1"/>
        <v>73</v>
      </c>
      <c r="J32" s="5">
        <f t="shared" si="2"/>
        <v>0</v>
      </c>
      <c r="K32" s="98">
        <f t="shared" si="3"/>
        <v>1</v>
      </c>
      <c r="L32" s="5">
        <f t="shared" si="58"/>
        <v>3</v>
      </c>
      <c r="M32" s="5" t="str">
        <f t="shared" si="4"/>
        <v>毒蝎耳钉碎片  3</v>
      </c>
      <c r="N32" s="5">
        <f t="shared" si="60"/>
        <v>93134</v>
      </c>
      <c r="O32" s="5">
        <f t="shared" si="63"/>
        <v>10</v>
      </c>
      <c r="P32" s="5" t="str">
        <f t="shared" si="5"/>
        <v>水晶耳钉  2</v>
      </c>
      <c r="Q32" s="5">
        <f>A25</f>
        <v>92124</v>
      </c>
      <c r="R32" s="91">
        <f t="shared" si="64"/>
        <v>1</v>
      </c>
      <c r="S32" s="5" t="str">
        <f t="shared" si="6"/>
        <v>宝驼  1</v>
      </c>
      <c r="T32" s="5">
        <f>A18</f>
        <v>92278</v>
      </c>
      <c r="U32" s="91">
        <f t="shared" si="66"/>
        <v>1</v>
      </c>
      <c r="V32" s="39">
        <f t="shared" si="36"/>
        <v>108</v>
      </c>
      <c r="W32">
        <f t="shared" si="65"/>
        <v>348.73922253581054</v>
      </c>
      <c r="X32">
        <f t="shared" si="38"/>
        <v>7</v>
      </c>
      <c r="Y32" s="6"/>
      <c r="Z32" s="6">
        <v>1</v>
      </c>
      <c r="AA32" s="6"/>
      <c r="AB32">
        <f t="shared" si="39"/>
        <v>73</v>
      </c>
      <c r="AC32">
        <f t="shared" si="40"/>
        <v>30</v>
      </c>
      <c r="AD32">
        <f t="shared" si="41"/>
        <v>108</v>
      </c>
      <c r="AL32">
        <f>CHOOSE(2,1,COUNTIF(D_马仔培养宝物!$F$2:$K$229,D_马仔宝物!A32))</f>
        <v>21</v>
      </c>
      <c r="AM32">
        <f t="shared" si="7"/>
        <v>92134</v>
      </c>
      <c r="AN32">
        <f t="shared" si="42"/>
        <v>93134</v>
      </c>
      <c r="AO32">
        <f t="shared" si="43"/>
        <v>210</v>
      </c>
      <c r="AP32">
        <f t="shared" si="8"/>
        <v>92124</v>
      </c>
      <c r="AQ32">
        <f t="shared" si="9"/>
        <v>21</v>
      </c>
      <c r="AR32">
        <f t="shared" si="10"/>
        <v>92278</v>
      </c>
      <c r="AS32">
        <f t="shared" si="11"/>
        <v>21</v>
      </c>
      <c r="AT32">
        <f t="shared" si="12"/>
        <v>20</v>
      </c>
      <c r="AV32">
        <f t="shared" si="13"/>
        <v>92134</v>
      </c>
      <c r="AW32">
        <f t="shared" si="44"/>
        <v>92124</v>
      </c>
      <c r="AX32">
        <f t="shared" si="14"/>
        <v>20</v>
      </c>
      <c r="AY32">
        <f t="shared" si="45"/>
        <v>92278</v>
      </c>
      <c r="AZ32">
        <f t="shared" si="15"/>
        <v>20</v>
      </c>
      <c r="BA32">
        <f t="shared" si="16"/>
        <v>67</v>
      </c>
      <c r="BC32">
        <f t="shared" si="17"/>
        <v>92134</v>
      </c>
      <c r="BD32">
        <f t="shared" si="46"/>
        <v>92124</v>
      </c>
      <c r="BE32">
        <f t="shared" si="18"/>
        <v>67</v>
      </c>
      <c r="BF32">
        <f t="shared" si="47"/>
        <v>92278</v>
      </c>
      <c r="BG32">
        <f t="shared" si="19"/>
        <v>67</v>
      </c>
      <c r="BH32">
        <f t="shared" si="20"/>
        <v>0</v>
      </c>
      <c r="BJ32">
        <f t="shared" si="21"/>
        <v>92134</v>
      </c>
      <c r="BK32">
        <f t="shared" si="48"/>
        <v>92124</v>
      </c>
      <c r="BL32">
        <f t="shared" si="22"/>
        <v>0</v>
      </c>
      <c r="BM32">
        <f t="shared" si="49"/>
        <v>92278</v>
      </c>
      <c r="BN32">
        <f t="shared" si="23"/>
        <v>0</v>
      </c>
      <c r="BO32">
        <f t="shared" si="24"/>
        <v>0</v>
      </c>
      <c r="BQ32">
        <f t="shared" si="25"/>
        <v>92134</v>
      </c>
      <c r="BR32">
        <f t="shared" si="50"/>
        <v>92124</v>
      </c>
      <c r="BS32">
        <f t="shared" si="26"/>
        <v>0</v>
      </c>
      <c r="BT32">
        <f t="shared" si="51"/>
        <v>92278</v>
      </c>
      <c r="BU32">
        <f t="shared" si="27"/>
        <v>0</v>
      </c>
      <c r="BV32">
        <f t="shared" si="28"/>
        <v>0</v>
      </c>
      <c r="BX32">
        <f t="shared" si="52"/>
        <v>92134</v>
      </c>
      <c r="BY32">
        <f t="shared" si="53"/>
        <v>92124</v>
      </c>
      <c r="BZ32">
        <f t="shared" si="29"/>
        <v>0</v>
      </c>
      <c r="CA32">
        <f t="shared" si="54"/>
        <v>92278</v>
      </c>
      <c r="CB32">
        <f t="shared" si="30"/>
        <v>0</v>
      </c>
      <c r="CC32">
        <f t="shared" si="31"/>
        <v>0</v>
      </c>
      <c r="CE32">
        <f t="shared" si="55"/>
        <v>92134</v>
      </c>
      <c r="CF32">
        <f t="shared" si="56"/>
        <v>92124</v>
      </c>
      <c r="CG32">
        <f t="shared" si="33"/>
        <v>0</v>
      </c>
      <c r="CH32">
        <f t="shared" si="57"/>
        <v>92278</v>
      </c>
      <c r="CI32">
        <f t="shared" si="34"/>
        <v>0</v>
      </c>
      <c r="CJ32">
        <f t="shared" si="35"/>
        <v>0</v>
      </c>
    </row>
    <row r="33" spans="1:88">
      <c r="A33" s="5">
        <v>92223</v>
      </c>
      <c r="B33" s="5" t="s">
        <v>669</v>
      </c>
      <c r="C33" s="5" t="s">
        <v>496</v>
      </c>
      <c r="D33" s="5">
        <v>1</v>
      </c>
      <c r="E33" s="5" t="s">
        <v>55</v>
      </c>
      <c r="F33" s="5">
        <v>3</v>
      </c>
      <c r="G33" s="5">
        <v>46</v>
      </c>
      <c r="H33" s="5">
        <f t="shared" si="0"/>
        <v>0</v>
      </c>
      <c r="I33" s="5">
        <f t="shared" si="1"/>
        <v>0</v>
      </c>
      <c r="J33" s="5">
        <f t="shared" si="2"/>
        <v>31</v>
      </c>
      <c r="K33" s="98">
        <f t="shared" si="3"/>
        <v>2</v>
      </c>
      <c r="L33" s="5">
        <f t="shared" si="58"/>
        <v>3</v>
      </c>
      <c r="M33" s="5" t="str">
        <f t="shared" si="4"/>
        <v>赤金戒指碎片  3</v>
      </c>
      <c r="N33" s="5">
        <f t="shared" si="60"/>
        <v>93223</v>
      </c>
      <c r="O33" s="5">
        <f t="shared" si="63"/>
        <v>10</v>
      </c>
      <c r="P33" s="5" t="str">
        <f t="shared" si="5"/>
        <v>黄金戒指  2</v>
      </c>
      <c r="Q33" s="5">
        <f>A21</f>
        <v>92142</v>
      </c>
      <c r="R33" s="91">
        <f t="shared" si="64"/>
        <v>1</v>
      </c>
      <c r="S33" s="5" t="str">
        <f t="shared" si="6"/>
        <v>白银戒指  1</v>
      </c>
      <c r="T33" s="91">
        <f>A13</f>
        <v>92141</v>
      </c>
      <c r="U33" s="91">
        <f t="shared" si="66"/>
        <v>1</v>
      </c>
      <c r="V33" s="39">
        <f t="shared" si="36"/>
        <v>130</v>
      </c>
      <c r="W33">
        <f t="shared" si="65"/>
        <v>348.58365904394952</v>
      </c>
      <c r="X33">
        <f t="shared" si="38"/>
        <v>7</v>
      </c>
      <c r="Y33" s="6"/>
      <c r="Z33" s="6"/>
      <c r="AA33" s="6">
        <v>1</v>
      </c>
      <c r="AB33">
        <f t="shared" si="39"/>
        <v>31</v>
      </c>
      <c r="AC33">
        <f t="shared" si="40"/>
        <v>30</v>
      </c>
      <c r="AD33">
        <f t="shared" si="41"/>
        <v>130</v>
      </c>
      <c r="AL33">
        <f>CHOOSE(2,1,COUNTIF(D_马仔培养宝物!$F$2:$K$229,D_马仔宝物!A33))</f>
        <v>16</v>
      </c>
      <c r="AM33">
        <f t="shared" si="7"/>
        <v>92223</v>
      </c>
      <c r="AN33">
        <f t="shared" si="42"/>
        <v>93223</v>
      </c>
      <c r="AO33">
        <f t="shared" si="43"/>
        <v>160</v>
      </c>
      <c r="AP33">
        <f t="shared" si="8"/>
        <v>92142</v>
      </c>
      <c r="AQ33">
        <f t="shared" si="9"/>
        <v>16</v>
      </c>
      <c r="AR33">
        <f t="shared" si="10"/>
        <v>92141</v>
      </c>
      <c r="AS33">
        <f t="shared" si="11"/>
        <v>16</v>
      </c>
      <c r="AT33">
        <f t="shared" si="12"/>
        <v>42</v>
      </c>
      <c r="AV33">
        <f t="shared" si="13"/>
        <v>92223</v>
      </c>
      <c r="AW33">
        <f t="shared" si="44"/>
        <v>92142</v>
      </c>
      <c r="AX33">
        <f t="shared" si="14"/>
        <v>42</v>
      </c>
      <c r="AY33">
        <f t="shared" si="45"/>
        <v>92141</v>
      </c>
      <c r="AZ33">
        <f t="shared" si="15"/>
        <v>42</v>
      </c>
      <c r="BA33">
        <f t="shared" si="16"/>
        <v>72</v>
      </c>
      <c r="BC33">
        <f t="shared" si="17"/>
        <v>92223</v>
      </c>
      <c r="BD33">
        <f t="shared" si="46"/>
        <v>92142</v>
      </c>
      <c r="BE33">
        <f t="shared" si="18"/>
        <v>72</v>
      </c>
      <c r="BF33">
        <f t="shared" si="47"/>
        <v>92141</v>
      </c>
      <c r="BG33">
        <f t="shared" si="19"/>
        <v>72</v>
      </c>
      <c r="BH33">
        <f t="shared" si="20"/>
        <v>0</v>
      </c>
      <c r="BJ33">
        <f t="shared" si="21"/>
        <v>92223</v>
      </c>
      <c r="BK33">
        <f t="shared" si="48"/>
        <v>92142</v>
      </c>
      <c r="BL33">
        <f t="shared" si="22"/>
        <v>0</v>
      </c>
      <c r="BM33">
        <f t="shared" si="49"/>
        <v>92141</v>
      </c>
      <c r="BN33">
        <f t="shared" si="23"/>
        <v>0</v>
      </c>
      <c r="BO33">
        <f t="shared" si="24"/>
        <v>0</v>
      </c>
      <c r="BQ33">
        <f t="shared" si="25"/>
        <v>92223</v>
      </c>
      <c r="BR33">
        <f t="shared" si="50"/>
        <v>92142</v>
      </c>
      <c r="BS33">
        <f t="shared" si="26"/>
        <v>0</v>
      </c>
      <c r="BT33">
        <f t="shared" si="51"/>
        <v>92141</v>
      </c>
      <c r="BU33">
        <f t="shared" si="27"/>
        <v>0</v>
      </c>
      <c r="BV33">
        <f t="shared" si="28"/>
        <v>0</v>
      </c>
      <c r="BX33">
        <f t="shared" si="52"/>
        <v>92223</v>
      </c>
      <c r="BY33">
        <f t="shared" si="53"/>
        <v>92142</v>
      </c>
      <c r="BZ33">
        <f t="shared" si="29"/>
        <v>0</v>
      </c>
      <c r="CA33">
        <f t="shared" si="54"/>
        <v>92141</v>
      </c>
      <c r="CB33">
        <f t="shared" si="30"/>
        <v>0</v>
      </c>
      <c r="CC33">
        <f t="shared" si="31"/>
        <v>0</v>
      </c>
      <c r="CE33">
        <f t="shared" si="55"/>
        <v>92223</v>
      </c>
      <c r="CF33">
        <f t="shared" si="56"/>
        <v>92142</v>
      </c>
      <c r="CG33">
        <f t="shared" si="33"/>
        <v>0</v>
      </c>
      <c r="CH33">
        <f t="shared" si="57"/>
        <v>92141</v>
      </c>
      <c r="CI33">
        <f t="shared" si="34"/>
        <v>0</v>
      </c>
      <c r="CJ33">
        <f t="shared" si="35"/>
        <v>0</v>
      </c>
    </row>
    <row r="34" spans="1:88">
      <c r="A34" s="5">
        <v>92227</v>
      </c>
      <c r="B34" s="5" t="s">
        <v>462</v>
      </c>
      <c r="C34" s="5" t="s">
        <v>496</v>
      </c>
      <c r="D34" s="5">
        <v>1</v>
      </c>
      <c r="E34" s="5" t="s">
        <v>673</v>
      </c>
      <c r="F34" s="5">
        <v>3</v>
      </c>
      <c r="G34" s="5">
        <v>46</v>
      </c>
      <c r="H34" s="5">
        <f t="shared" ref="H34:H64" si="67">ROUND(($X34*Y34)/IF(SUMPRODUCT(Y$2:Y$64*$X$2:$X$64)=0,1,SUMPRODUCT(Y$2:Y$64*$X$2:$X$64))*AH$3,0)</f>
        <v>1440</v>
      </c>
      <c r="I34" s="5">
        <f t="shared" ref="I34:I64" si="68">ROUND(($X34*Z34)/IF(SUMPRODUCT(Z$2:Z$64*$X$2:$X$64)=0,1,SUMPRODUCT(Z$2:Z$64*$X$2:$X$64))*AI$3,0)</f>
        <v>0</v>
      </c>
      <c r="J34" s="5">
        <f t="shared" ref="J34:J64" si="69">ROUND(($X34*AA34)/IF(SUMPRODUCT(AA$2:AA$64*$X$2:$X$64)=0,1,SUMPRODUCT(AA$2:AA$64*$X$2:$X$64))*AJ$3,0)</f>
        <v>0</v>
      </c>
      <c r="K34" s="98">
        <f t="shared" ref="K34:K64" si="70">COUNTIF($Q$2:$U$64,A34)</f>
        <v>2</v>
      </c>
      <c r="L34" s="5">
        <f t="shared" si="58"/>
        <v>3</v>
      </c>
      <c r="M34" s="5" t="str">
        <f t="shared" ref="M34:M65" si="71">IFERROR(VLOOKUP(N34,$A$2:$F$118,2,FALSE)&amp;"  "&amp;VLOOKUP(N34,$A$2:$F$118,6,FALSE),"")</f>
        <v>王者手环碎片  3</v>
      </c>
      <c r="N34" s="5">
        <f t="shared" si="60"/>
        <v>93227</v>
      </c>
      <c r="O34" s="5">
        <f t="shared" si="63"/>
        <v>10</v>
      </c>
      <c r="P34" s="5" t="str">
        <f t="shared" ref="P34:P65" si="72">IFERROR(VLOOKUP(Q34,$A$2:$F$118,2,FALSE)&amp;"  "&amp;VLOOKUP(Q34,$A$2:$F$118,6,FALSE),"")</f>
        <v>宝石手环  2</v>
      </c>
      <c r="Q34" s="5">
        <f>A22</f>
        <v>92235</v>
      </c>
      <c r="R34" s="91">
        <f t="shared" si="64"/>
        <v>1</v>
      </c>
      <c r="S34" s="5" t="str">
        <f t="shared" ref="S34:S65" si="73">IFERROR(VLOOKUP(T34,$A$2:$F$118,2,FALSE)&amp;"  "&amp;VLOOKUP(T34,$A$2:$F$118,6,FALSE),"")</f>
        <v>白金手环  1</v>
      </c>
      <c r="T34" s="91">
        <f>A11</f>
        <v>92233</v>
      </c>
      <c r="U34" s="91">
        <f t="shared" si="66"/>
        <v>1</v>
      </c>
      <c r="V34" s="39">
        <f t="shared" si="36"/>
        <v>141</v>
      </c>
      <c r="W34">
        <f t="shared" si="65"/>
        <v>348.20889244992065</v>
      </c>
      <c r="X34">
        <f>F34+1+L34</f>
        <v>7</v>
      </c>
      <c r="Y34" s="6">
        <v>1</v>
      </c>
      <c r="Z34" s="6"/>
      <c r="AA34" s="6"/>
      <c r="AB34">
        <f t="shared" ref="AB34:AB64" si="74">SUMPRODUCT($AH$8:$AJ$8,H34:J34)</f>
        <v>57.6</v>
      </c>
      <c r="AC34">
        <f t="shared" si="40"/>
        <v>30</v>
      </c>
      <c r="AD34">
        <f t="shared" si="41"/>
        <v>141</v>
      </c>
      <c r="AL34">
        <f>CHOOSE(2,1,COUNTIF(D_马仔培养宝物!$F$2:$K$229,D_马仔宝物!A34))</f>
        <v>23</v>
      </c>
      <c r="AM34">
        <f t="shared" ref="AM34:AM77" si="75">A34</f>
        <v>92227</v>
      </c>
      <c r="AN34">
        <f t="shared" ref="AN34:AN76" si="76">N34</f>
        <v>93227</v>
      </c>
      <c r="AO34">
        <f t="shared" si="43"/>
        <v>230</v>
      </c>
      <c r="AP34">
        <f t="shared" ref="AP34:AP76" si="77">Q34</f>
        <v>92235</v>
      </c>
      <c r="AQ34">
        <f t="shared" ref="AQ34:AQ65" si="78">IF(AP34=0,0,SUMIF($A:$A,AM34,$R:$R))*AL34</f>
        <v>23</v>
      </c>
      <c r="AR34">
        <f t="shared" ref="AR34:AR76" si="79">T34</f>
        <v>92233</v>
      </c>
      <c r="AS34">
        <f t="shared" ref="AS34:AS65" si="80">IF(AR34=0,0,SUMIF($A:$A,AM34,$U:$U))*AL34</f>
        <v>23</v>
      </c>
      <c r="AT34">
        <f t="shared" ref="AT34:AT65" si="81">SUMIF(AP:AP,AM34,AQ:AQ)+SUMIF(AR:AR,AM34,AS:AS)+SUMIF(AN:AN,AM34,AO:AO)</f>
        <v>38</v>
      </c>
      <c r="AV34">
        <f t="shared" ref="AV34:AV77" si="82">AM34</f>
        <v>92227</v>
      </c>
      <c r="AW34">
        <f t="shared" si="44"/>
        <v>92235</v>
      </c>
      <c r="AX34">
        <f t="shared" ref="AX34:AX65" si="83">SUMIF($A:$A,AV34,$R:$R)*AT34</f>
        <v>38</v>
      </c>
      <c r="AY34">
        <f t="shared" si="45"/>
        <v>92233</v>
      </c>
      <c r="AZ34">
        <f t="shared" ref="AZ34:AZ65" si="84">SUMIF($A:$A,AV34,$U:$U)*AT34</f>
        <v>38</v>
      </c>
      <c r="BA34">
        <f t="shared" ref="BA34:BA65" si="85">SUMIF(AW:AW,AV34,AX:AX)+SUMIF(AY:AY,AV34,AZ:AZ)</f>
        <v>80</v>
      </c>
      <c r="BC34">
        <f t="shared" ref="BC34:BC77" si="86">AV34</f>
        <v>92227</v>
      </c>
      <c r="BD34">
        <f t="shared" si="46"/>
        <v>92235</v>
      </c>
      <c r="BE34">
        <f t="shared" ref="BE34:BE65" si="87">SUMIF($A:$A,BC34,$R:$R)*BA34</f>
        <v>80</v>
      </c>
      <c r="BF34">
        <f t="shared" si="47"/>
        <v>92233</v>
      </c>
      <c r="BG34">
        <f t="shared" ref="BG34:BG65" si="88">SUMIF($A:$A,BC34,$U:$U)*BA34</f>
        <v>80</v>
      </c>
      <c r="BH34">
        <f t="shared" ref="BH34:BH65" si="89">SUMIF(BD:BD,BC34,BE:BE)+SUMIF(BF:BF,BC34,BG:BG)</f>
        <v>0</v>
      </c>
      <c r="BJ34">
        <f t="shared" ref="BJ34:BJ77" si="90">BC34</f>
        <v>92227</v>
      </c>
      <c r="BK34">
        <f t="shared" si="48"/>
        <v>92235</v>
      </c>
      <c r="BL34">
        <f t="shared" ref="BL34:BL65" si="91">SUMIF($A:$A,BJ34,$R:$R)*BH34</f>
        <v>0</v>
      </c>
      <c r="BM34">
        <f t="shared" si="49"/>
        <v>92233</v>
      </c>
      <c r="BN34">
        <f t="shared" ref="BN34:BN65" si="92">SUMIF($A:$A,BJ34,$U:$U)*BH34</f>
        <v>0</v>
      </c>
      <c r="BO34">
        <f t="shared" ref="BO34:BO65" si="93">SUMIF(BK:BK,BJ34,BL:BL)+SUMIF(BM:BM,BJ34,BN:BN)</f>
        <v>0</v>
      </c>
      <c r="BQ34">
        <f t="shared" ref="BQ34:BQ77" si="94">BJ34</f>
        <v>92227</v>
      </c>
      <c r="BR34">
        <f t="shared" si="50"/>
        <v>92235</v>
      </c>
      <c r="BS34">
        <f t="shared" ref="BS34:BS65" si="95">SUMIF($A:$A,BQ34,$R:$R)*BO34</f>
        <v>0</v>
      </c>
      <c r="BT34">
        <f t="shared" si="51"/>
        <v>92233</v>
      </c>
      <c r="BU34">
        <f t="shared" ref="BU34:BU65" si="96">SUMIF($A:$A,BQ34,$U:$U)*BO34</f>
        <v>0</v>
      </c>
      <c r="BV34">
        <f t="shared" ref="BV34:BV65" si="97">SUMIF(BR:BR,BQ34,BS:BS)+SUMIF(BT:BT,BQ34,BU:BU)</f>
        <v>0</v>
      </c>
      <c r="BX34">
        <f t="shared" si="52"/>
        <v>92227</v>
      </c>
      <c r="BY34">
        <f t="shared" si="53"/>
        <v>92235</v>
      </c>
      <c r="BZ34">
        <f t="shared" ref="BZ34:BZ65" si="98">SUMIF($A:$A,BX34,$R:$R)*BV34</f>
        <v>0</v>
      </c>
      <c r="CA34">
        <f t="shared" si="54"/>
        <v>92233</v>
      </c>
      <c r="CB34">
        <f t="shared" ref="CB34:CB65" si="99">SUMIF($A:$A,BX34,$U:$U)*BV34</f>
        <v>0</v>
      </c>
      <c r="CC34">
        <f t="shared" ref="CC34:CC65" si="100">SUMIF(BY:BY,BX34,BZ:BZ)+SUMIF(CA:CA,BX34,CB:CB)</f>
        <v>0</v>
      </c>
      <c r="CE34">
        <f t="shared" si="55"/>
        <v>92227</v>
      </c>
      <c r="CF34">
        <f t="shared" si="56"/>
        <v>92235</v>
      </c>
      <c r="CG34">
        <f t="shared" ref="CG34:CG65" si="101">SUMIF($A:$A,CE34,$R:$R)*CC34</f>
        <v>0</v>
      </c>
      <c r="CH34">
        <f t="shared" si="57"/>
        <v>92233</v>
      </c>
      <c r="CI34">
        <f t="shared" ref="CI34:CI65" si="102">SUMIF($A:$A,CE34,$U:$U)*CC34</f>
        <v>0</v>
      </c>
      <c r="CJ34">
        <f t="shared" ref="CJ34:CJ65" si="103">SUMIF(CF:CF,CE34,CG:CG)+SUMIF(CH:CH,CE34,CI:CI)</f>
        <v>0</v>
      </c>
    </row>
    <row r="35" spans="1:88">
      <c r="A35" s="5">
        <v>92236</v>
      </c>
      <c r="B35" s="5" t="s">
        <v>469</v>
      </c>
      <c r="C35" s="5" t="s">
        <v>496</v>
      </c>
      <c r="D35" s="5">
        <v>1</v>
      </c>
      <c r="E35" s="5" t="s">
        <v>69</v>
      </c>
      <c r="F35" s="5">
        <v>3</v>
      </c>
      <c r="G35" s="5">
        <v>47</v>
      </c>
      <c r="H35" s="5">
        <f t="shared" si="67"/>
        <v>0</v>
      </c>
      <c r="I35" s="5">
        <f t="shared" si="68"/>
        <v>73</v>
      </c>
      <c r="J35" s="5">
        <f t="shared" si="69"/>
        <v>0</v>
      </c>
      <c r="K35" s="98">
        <f t="shared" si="70"/>
        <v>1</v>
      </c>
      <c r="L35" s="5">
        <f t="shared" si="58"/>
        <v>3</v>
      </c>
      <c r="M35" s="5" t="str">
        <f t="shared" si="71"/>
        <v>符文手环碎片  3</v>
      </c>
      <c r="N35" s="5">
        <f t="shared" si="60"/>
        <v>93236</v>
      </c>
      <c r="O35" s="5">
        <f t="shared" si="63"/>
        <v>10</v>
      </c>
      <c r="P35" s="5" t="str">
        <f t="shared" si="72"/>
        <v>宝石手环  2</v>
      </c>
      <c r="Q35" s="5">
        <f>A22</f>
        <v>92235</v>
      </c>
      <c r="R35" s="91">
        <f t="shared" si="64"/>
        <v>1</v>
      </c>
      <c r="S35" s="5" t="str">
        <f t="shared" si="73"/>
        <v>黄金戒指  2</v>
      </c>
      <c r="T35" s="91">
        <f>A21</f>
        <v>92142</v>
      </c>
      <c r="U35" s="91">
        <f t="shared" si="66"/>
        <v>1</v>
      </c>
      <c r="V35" s="39">
        <f t="shared" si="36"/>
        <v>67</v>
      </c>
      <c r="W35">
        <f t="shared" si="65"/>
        <v>384.29255149387018</v>
      </c>
      <c r="X35">
        <f t="shared" si="38"/>
        <v>7</v>
      </c>
      <c r="Y35" s="6"/>
      <c r="Z35" s="6">
        <v>1</v>
      </c>
      <c r="AA35" s="6"/>
      <c r="AB35">
        <f t="shared" si="74"/>
        <v>73</v>
      </c>
      <c r="AC35">
        <f t="shared" si="40"/>
        <v>30</v>
      </c>
      <c r="AD35">
        <f t="shared" si="41"/>
        <v>67</v>
      </c>
      <c r="AL35">
        <f>CHOOSE(2,1,COUNTIF(D_马仔培养宝物!$F$2:$K$229,D_马仔宝物!A35))</f>
        <v>17</v>
      </c>
      <c r="AM35">
        <f t="shared" si="75"/>
        <v>92236</v>
      </c>
      <c r="AN35">
        <f t="shared" si="76"/>
        <v>93236</v>
      </c>
      <c r="AO35">
        <f t="shared" si="43"/>
        <v>170</v>
      </c>
      <c r="AP35">
        <f t="shared" si="77"/>
        <v>92235</v>
      </c>
      <c r="AQ35">
        <f t="shared" si="78"/>
        <v>17</v>
      </c>
      <c r="AR35">
        <f t="shared" si="79"/>
        <v>92142</v>
      </c>
      <c r="AS35">
        <f t="shared" si="80"/>
        <v>17</v>
      </c>
      <c r="AT35">
        <f t="shared" si="81"/>
        <v>22</v>
      </c>
      <c r="AV35">
        <f t="shared" si="82"/>
        <v>92236</v>
      </c>
      <c r="AW35">
        <f t="shared" si="44"/>
        <v>92235</v>
      </c>
      <c r="AX35">
        <f t="shared" si="83"/>
        <v>22</v>
      </c>
      <c r="AY35">
        <f t="shared" si="45"/>
        <v>92142</v>
      </c>
      <c r="AZ35">
        <f t="shared" si="84"/>
        <v>22</v>
      </c>
      <c r="BA35">
        <f t="shared" si="85"/>
        <v>28</v>
      </c>
      <c r="BC35">
        <f t="shared" si="86"/>
        <v>92236</v>
      </c>
      <c r="BD35">
        <f t="shared" si="46"/>
        <v>92235</v>
      </c>
      <c r="BE35">
        <f t="shared" si="87"/>
        <v>28</v>
      </c>
      <c r="BF35">
        <f t="shared" si="47"/>
        <v>92142</v>
      </c>
      <c r="BG35">
        <f t="shared" si="88"/>
        <v>28</v>
      </c>
      <c r="BH35">
        <f t="shared" si="89"/>
        <v>0</v>
      </c>
      <c r="BJ35">
        <f t="shared" si="90"/>
        <v>92236</v>
      </c>
      <c r="BK35">
        <f t="shared" si="48"/>
        <v>92235</v>
      </c>
      <c r="BL35">
        <f t="shared" si="91"/>
        <v>0</v>
      </c>
      <c r="BM35">
        <f t="shared" si="49"/>
        <v>92142</v>
      </c>
      <c r="BN35">
        <f t="shared" si="92"/>
        <v>0</v>
      </c>
      <c r="BO35">
        <f t="shared" si="93"/>
        <v>0</v>
      </c>
      <c r="BQ35">
        <f t="shared" si="94"/>
        <v>92236</v>
      </c>
      <c r="BR35">
        <f t="shared" si="50"/>
        <v>92235</v>
      </c>
      <c r="BS35">
        <f t="shared" si="95"/>
        <v>0</v>
      </c>
      <c r="BT35">
        <f t="shared" si="51"/>
        <v>92142</v>
      </c>
      <c r="BU35">
        <f t="shared" si="96"/>
        <v>0</v>
      </c>
      <c r="BV35">
        <f t="shared" si="97"/>
        <v>0</v>
      </c>
      <c r="BX35">
        <f t="shared" si="52"/>
        <v>92236</v>
      </c>
      <c r="BY35">
        <f t="shared" si="53"/>
        <v>92235</v>
      </c>
      <c r="BZ35">
        <f t="shared" si="98"/>
        <v>0</v>
      </c>
      <c r="CA35">
        <f t="shared" si="54"/>
        <v>92142</v>
      </c>
      <c r="CB35">
        <f t="shared" si="99"/>
        <v>0</v>
      </c>
      <c r="CC35">
        <f t="shared" si="100"/>
        <v>0</v>
      </c>
      <c r="CE35">
        <f t="shared" si="55"/>
        <v>92236</v>
      </c>
      <c r="CF35">
        <f t="shared" si="56"/>
        <v>92235</v>
      </c>
      <c r="CG35">
        <f t="shared" si="101"/>
        <v>0</v>
      </c>
      <c r="CH35">
        <f t="shared" si="57"/>
        <v>92142</v>
      </c>
      <c r="CI35">
        <f t="shared" si="102"/>
        <v>0</v>
      </c>
      <c r="CJ35">
        <f t="shared" si="103"/>
        <v>0</v>
      </c>
    </row>
    <row r="36" spans="1:88">
      <c r="A36" s="5">
        <v>92013</v>
      </c>
      <c r="B36" s="5" t="s">
        <v>30</v>
      </c>
      <c r="C36" s="5" t="s">
        <v>496</v>
      </c>
      <c r="D36" s="5">
        <v>1</v>
      </c>
      <c r="E36" s="5" t="s">
        <v>671</v>
      </c>
      <c r="F36" s="5">
        <v>3</v>
      </c>
      <c r="G36" s="5">
        <v>47</v>
      </c>
      <c r="H36" s="5">
        <f t="shared" si="67"/>
        <v>0</v>
      </c>
      <c r="I36" s="5">
        <f t="shared" si="68"/>
        <v>0</v>
      </c>
      <c r="J36" s="5">
        <f t="shared" si="69"/>
        <v>31</v>
      </c>
      <c r="K36" s="98">
        <f t="shared" si="70"/>
        <v>1</v>
      </c>
      <c r="L36" s="5">
        <f t="shared" si="58"/>
        <v>3</v>
      </c>
      <c r="M36" s="5" t="str">
        <f t="shared" si="71"/>
        <v>月立碎片  3</v>
      </c>
      <c r="N36" s="5">
        <f t="shared" si="60"/>
        <v>93013</v>
      </c>
      <c r="O36" s="5">
        <f t="shared" si="63"/>
        <v>10</v>
      </c>
      <c r="P36" s="5" t="str">
        <f t="shared" si="72"/>
        <v>摩拉  2</v>
      </c>
      <c r="Q36" s="5">
        <f>A23</f>
        <v>92012</v>
      </c>
      <c r="R36" s="91">
        <f t="shared" si="64"/>
        <v>1</v>
      </c>
      <c r="S36" s="5" t="str">
        <f t="shared" si="73"/>
        <v>大迭钞票  2</v>
      </c>
      <c r="T36" s="5">
        <f>A29</f>
        <v>92284</v>
      </c>
      <c r="U36" s="91">
        <f t="shared" si="66"/>
        <v>1</v>
      </c>
      <c r="V36" s="39">
        <f t="shared" si="36"/>
        <v>85</v>
      </c>
      <c r="W36">
        <f t="shared" si="65"/>
        <v>384.82288157976006</v>
      </c>
      <c r="X36">
        <f t="shared" si="38"/>
        <v>7</v>
      </c>
      <c r="Y36" s="6"/>
      <c r="Z36" s="6"/>
      <c r="AA36" s="6">
        <v>1</v>
      </c>
      <c r="AB36">
        <f t="shared" si="74"/>
        <v>31</v>
      </c>
      <c r="AC36">
        <f t="shared" si="40"/>
        <v>30</v>
      </c>
      <c r="AD36">
        <f t="shared" si="41"/>
        <v>85</v>
      </c>
      <c r="AL36">
        <f>CHOOSE(2,1,COUNTIF(D_马仔培养宝物!$F$2:$K$229,D_马仔宝物!A36))</f>
        <v>21</v>
      </c>
      <c r="AM36">
        <f t="shared" si="75"/>
        <v>92013</v>
      </c>
      <c r="AN36">
        <f t="shared" si="76"/>
        <v>93013</v>
      </c>
      <c r="AO36">
        <f t="shared" si="43"/>
        <v>210</v>
      </c>
      <c r="AP36">
        <f t="shared" si="77"/>
        <v>92012</v>
      </c>
      <c r="AQ36">
        <f t="shared" si="78"/>
        <v>21</v>
      </c>
      <c r="AR36">
        <f t="shared" si="79"/>
        <v>92284</v>
      </c>
      <c r="AS36">
        <f t="shared" si="80"/>
        <v>21</v>
      </c>
      <c r="AT36">
        <f t="shared" si="81"/>
        <v>23</v>
      </c>
      <c r="AV36">
        <f t="shared" si="82"/>
        <v>92013</v>
      </c>
      <c r="AW36">
        <f t="shared" si="44"/>
        <v>92012</v>
      </c>
      <c r="AX36">
        <f t="shared" si="83"/>
        <v>23</v>
      </c>
      <c r="AY36">
        <f t="shared" si="45"/>
        <v>92284</v>
      </c>
      <c r="AZ36">
        <f t="shared" si="84"/>
        <v>23</v>
      </c>
      <c r="BA36">
        <f t="shared" si="85"/>
        <v>41</v>
      </c>
      <c r="BC36">
        <f t="shared" si="86"/>
        <v>92013</v>
      </c>
      <c r="BD36">
        <f t="shared" si="46"/>
        <v>92012</v>
      </c>
      <c r="BE36">
        <f t="shared" si="87"/>
        <v>41</v>
      </c>
      <c r="BF36">
        <f t="shared" si="47"/>
        <v>92284</v>
      </c>
      <c r="BG36">
        <f t="shared" si="88"/>
        <v>41</v>
      </c>
      <c r="BH36">
        <f t="shared" si="89"/>
        <v>0</v>
      </c>
      <c r="BJ36">
        <f t="shared" si="90"/>
        <v>92013</v>
      </c>
      <c r="BK36">
        <f t="shared" si="48"/>
        <v>92012</v>
      </c>
      <c r="BL36">
        <f t="shared" si="91"/>
        <v>0</v>
      </c>
      <c r="BM36">
        <f t="shared" si="49"/>
        <v>92284</v>
      </c>
      <c r="BN36">
        <f t="shared" si="92"/>
        <v>0</v>
      </c>
      <c r="BO36">
        <f t="shared" si="93"/>
        <v>0</v>
      </c>
      <c r="BQ36">
        <f t="shared" si="94"/>
        <v>92013</v>
      </c>
      <c r="BR36">
        <f t="shared" si="50"/>
        <v>92012</v>
      </c>
      <c r="BS36">
        <f t="shared" si="95"/>
        <v>0</v>
      </c>
      <c r="BT36">
        <f t="shared" si="51"/>
        <v>92284</v>
      </c>
      <c r="BU36">
        <f t="shared" si="96"/>
        <v>0</v>
      </c>
      <c r="BV36">
        <f t="shared" si="97"/>
        <v>0</v>
      </c>
      <c r="BX36">
        <f t="shared" si="52"/>
        <v>92013</v>
      </c>
      <c r="BY36">
        <f t="shared" si="53"/>
        <v>92012</v>
      </c>
      <c r="BZ36">
        <f t="shared" si="98"/>
        <v>0</v>
      </c>
      <c r="CA36">
        <f t="shared" si="54"/>
        <v>92284</v>
      </c>
      <c r="CB36">
        <f t="shared" si="99"/>
        <v>0</v>
      </c>
      <c r="CC36">
        <f t="shared" si="100"/>
        <v>0</v>
      </c>
      <c r="CE36">
        <f t="shared" si="55"/>
        <v>92013</v>
      </c>
      <c r="CF36">
        <f t="shared" si="56"/>
        <v>92012</v>
      </c>
      <c r="CG36">
        <f t="shared" si="101"/>
        <v>0</v>
      </c>
      <c r="CH36">
        <f t="shared" si="57"/>
        <v>92284</v>
      </c>
      <c r="CI36">
        <f t="shared" si="102"/>
        <v>0</v>
      </c>
      <c r="CJ36">
        <f t="shared" si="103"/>
        <v>0</v>
      </c>
    </row>
    <row r="37" spans="1:88">
      <c r="A37" s="5">
        <v>92253</v>
      </c>
      <c r="B37" s="5" t="s">
        <v>456</v>
      </c>
      <c r="C37" s="5" t="s">
        <v>496</v>
      </c>
      <c r="D37" s="5">
        <v>1</v>
      </c>
      <c r="E37" s="5" t="s">
        <v>59</v>
      </c>
      <c r="F37" s="5">
        <v>3</v>
      </c>
      <c r="G37" s="5">
        <v>48</v>
      </c>
      <c r="H37" s="5">
        <f t="shared" si="67"/>
        <v>1440</v>
      </c>
      <c r="I37" s="5">
        <f t="shared" si="68"/>
        <v>0</v>
      </c>
      <c r="J37" s="5">
        <f t="shared" si="69"/>
        <v>0</v>
      </c>
      <c r="K37" s="98">
        <f t="shared" si="70"/>
        <v>2</v>
      </c>
      <c r="L37" s="5">
        <f t="shared" si="58"/>
        <v>3</v>
      </c>
      <c r="M37" s="5" t="str">
        <f t="shared" si="71"/>
        <v>猫妖项链碎片  3</v>
      </c>
      <c r="N37" s="5">
        <f t="shared" si="60"/>
        <v>93253</v>
      </c>
      <c r="O37" s="5">
        <f t="shared" si="63"/>
        <v>10</v>
      </c>
      <c r="P37" s="5" t="str">
        <f t="shared" si="72"/>
        <v>青玉项链  2</v>
      </c>
      <c r="Q37" s="5">
        <f>A24</f>
        <v>92252</v>
      </c>
      <c r="R37" s="91">
        <f t="shared" si="64"/>
        <v>1</v>
      </c>
      <c r="S37" s="5" t="str">
        <f t="shared" si="73"/>
        <v>水晶项链  1</v>
      </c>
      <c r="T37" s="5">
        <f>A14</f>
        <v>92245</v>
      </c>
      <c r="U37" s="91">
        <f t="shared" si="66"/>
        <v>1</v>
      </c>
      <c r="V37" s="39">
        <f t="shared" si="36"/>
        <v>148</v>
      </c>
      <c r="W37">
        <f t="shared" si="65"/>
        <v>348.20889244992065</v>
      </c>
      <c r="X37">
        <f t="shared" si="38"/>
        <v>7</v>
      </c>
      <c r="Y37" s="6">
        <v>1</v>
      </c>
      <c r="Z37" s="6"/>
      <c r="AA37" s="6"/>
      <c r="AB37">
        <f t="shared" si="74"/>
        <v>57.6</v>
      </c>
      <c r="AC37">
        <f t="shared" si="40"/>
        <v>30</v>
      </c>
      <c r="AD37">
        <f t="shared" si="41"/>
        <v>148</v>
      </c>
      <c r="AL37">
        <f>CHOOSE(2,1,COUNTIF(D_马仔培养宝物!$F$2:$K$229,D_马仔宝物!A37))</f>
        <v>22</v>
      </c>
      <c r="AM37">
        <f t="shared" si="75"/>
        <v>92253</v>
      </c>
      <c r="AN37">
        <f t="shared" si="76"/>
        <v>93253</v>
      </c>
      <c r="AO37">
        <f t="shared" si="43"/>
        <v>220</v>
      </c>
      <c r="AP37">
        <f t="shared" si="77"/>
        <v>92252</v>
      </c>
      <c r="AQ37">
        <f t="shared" si="78"/>
        <v>22</v>
      </c>
      <c r="AR37">
        <f t="shared" si="79"/>
        <v>92245</v>
      </c>
      <c r="AS37">
        <f t="shared" si="80"/>
        <v>22</v>
      </c>
      <c r="AT37">
        <f t="shared" si="81"/>
        <v>46</v>
      </c>
      <c r="AV37">
        <f t="shared" si="82"/>
        <v>92253</v>
      </c>
      <c r="AW37">
        <f t="shared" si="44"/>
        <v>92252</v>
      </c>
      <c r="AX37">
        <f t="shared" si="83"/>
        <v>46</v>
      </c>
      <c r="AY37">
        <f t="shared" si="45"/>
        <v>92245</v>
      </c>
      <c r="AZ37">
        <f t="shared" si="84"/>
        <v>46</v>
      </c>
      <c r="BA37">
        <f t="shared" si="85"/>
        <v>80</v>
      </c>
      <c r="BC37">
        <f t="shared" si="86"/>
        <v>92253</v>
      </c>
      <c r="BD37">
        <f t="shared" si="46"/>
        <v>92252</v>
      </c>
      <c r="BE37">
        <f t="shared" si="87"/>
        <v>80</v>
      </c>
      <c r="BF37">
        <f t="shared" si="47"/>
        <v>92245</v>
      </c>
      <c r="BG37">
        <f t="shared" si="88"/>
        <v>80</v>
      </c>
      <c r="BH37">
        <f t="shared" si="89"/>
        <v>0</v>
      </c>
      <c r="BJ37">
        <f t="shared" si="90"/>
        <v>92253</v>
      </c>
      <c r="BK37">
        <f t="shared" si="48"/>
        <v>92252</v>
      </c>
      <c r="BL37">
        <f t="shared" si="91"/>
        <v>0</v>
      </c>
      <c r="BM37">
        <f t="shared" si="49"/>
        <v>92245</v>
      </c>
      <c r="BN37">
        <f t="shared" si="92"/>
        <v>0</v>
      </c>
      <c r="BO37">
        <f t="shared" si="93"/>
        <v>0</v>
      </c>
      <c r="BQ37">
        <f t="shared" si="94"/>
        <v>92253</v>
      </c>
      <c r="BR37">
        <f t="shared" si="50"/>
        <v>92252</v>
      </c>
      <c r="BS37">
        <f t="shared" si="95"/>
        <v>0</v>
      </c>
      <c r="BT37">
        <f t="shared" si="51"/>
        <v>92245</v>
      </c>
      <c r="BU37">
        <f t="shared" si="96"/>
        <v>0</v>
      </c>
      <c r="BV37">
        <f t="shared" si="97"/>
        <v>0</v>
      </c>
      <c r="BX37">
        <f t="shared" si="52"/>
        <v>92253</v>
      </c>
      <c r="BY37">
        <f t="shared" si="53"/>
        <v>92252</v>
      </c>
      <c r="BZ37">
        <f t="shared" si="98"/>
        <v>0</v>
      </c>
      <c r="CA37">
        <f t="shared" si="54"/>
        <v>92245</v>
      </c>
      <c r="CB37">
        <f t="shared" si="99"/>
        <v>0</v>
      </c>
      <c r="CC37">
        <f t="shared" si="100"/>
        <v>0</v>
      </c>
      <c r="CE37">
        <f t="shared" si="55"/>
        <v>92253</v>
      </c>
      <c r="CF37">
        <f t="shared" si="56"/>
        <v>92252</v>
      </c>
      <c r="CG37">
        <f t="shared" si="101"/>
        <v>0</v>
      </c>
      <c r="CH37">
        <f t="shared" si="57"/>
        <v>92245</v>
      </c>
      <c r="CI37">
        <f t="shared" si="102"/>
        <v>0</v>
      </c>
      <c r="CJ37">
        <f t="shared" si="103"/>
        <v>0</v>
      </c>
    </row>
    <row r="38" spans="1:88">
      <c r="A38" s="5">
        <v>92254</v>
      </c>
      <c r="B38" s="5" t="s">
        <v>460</v>
      </c>
      <c r="C38" s="5" t="s">
        <v>496</v>
      </c>
      <c r="D38" s="5">
        <v>1</v>
      </c>
      <c r="E38" s="5" t="s">
        <v>63</v>
      </c>
      <c r="F38" s="5">
        <v>3</v>
      </c>
      <c r="G38" s="5">
        <v>48</v>
      </c>
      <c r="H38" s="5">
        <f t="shared" si="67"/>
        <v>0</v>
      </c>
      <c r="I38" s="5">
        <f t="shared" si="68"/>
        <v>73</v>
      </c>
      <c r="J38" s="5">
        <f t="shared" si="69"/>
        <v>0</v>
      </c>
      <c r="K38" s="98">
        <f t="shared" si="70"/>
        <v>2</v>
      </c>
      <c r="L38" s="5">
        <f t="shared" si="58"/>
        <v>3</v>
      </c>
      <c r="M38" s="5" t="str">
        <f t="shared" si="71"/>
        <v>苍蓝项链碎片  3</v>
      </c>
      <c r="N38" s="5">
        <f t="shared" si="60"/>
        <v>93254</v>
      </c>
      <c r="O38" s="5">
        <f t="shared" si="63"/>
        <v>10</v>
      </c>
      <c r="P38" s="5" t="str">
        <f t="shared" si="72"/>
        <v>青玉项链  2</v>
      </c>
      <c r="Q38" s="5">
        <f>A24</f>
        <v>92252</v>
      </c>
      <c r="R38" s="91">
        <f t="shared" si="64"/>
        <v>1</v>
      </c>
      <c r="S38" s="5" t="str">
        <f t="shared" si="73"/>
        <v>红石项链  1</v>
      </c>
      <c r="T38" s="5">
        <f>A15</f>
        <v>92251</v>
      </c>
      <c r="U38" s="91">
        <f t="shared" si="66"/>
        <v>1</v>
      </c>
      <c r="V38" s="39">
        <f t="shared" si="36"/>
        <v>140</v>
      </c>
      <c r="W38">
        <f t="shared" si="65"/>
        <v>348.20889244992065</v>
      </c>
      <c r="X38">
        <f t="shared" si="38"/>
        <v>7</v>
      </c>
      <c r="Y38" s="6"/>
      <c r="Z38" s="6">
        <v>1</v>
      </c>
      <c r="AA38" s="6"/>
      <c r="AB38">
        <f t="shared" si="74"/>
        <v>73</v>
      </c>
      <c r="AC38">
        <f t="shared" si="40"/>
        <v>30</v>
      </c>
      <c r="AD38">
        <f t="shared" si="41"/>
        <v>140</v>
      </c>
      <c r="AL38">
        <f>CHOOSE(2,1,COUNTIF(D_马仔培养宝物!$F$2:$K$229,D_马仔宝物!A38))</f>
        <v>14</v>
      </c>
      <c r="AM38">
        <f t="shared" si="75"/>
        <v>92254</v>
      </c>
      <c r="AN38">
        <f t="shared" si="76"/>
        <v>93254</v>
      </c>
      <c r="AO38">
        <f t="shared" si="43"/>
        <v>140</v>
      </c>
      <c r="AP38">
        <f t="shared" si="77"/>
        <v>92252</v>
      </c>
      <c r="AQ38">
        <f t="shared" si="78"/>
        <v>14</v>
      </c>
      <c r="AR38">
        <f t="shared" si="79"/>
        <v>92251</v>
      </c>
      <c r="AS38">
        <f t="shared" si="80"/>
        <v>14</v>
      </c>
      <c r="AT38">
        <f t="shared" si="81"/>
        <v>46</v>
      </c>
      <c r="AV38">
        <f t="shared" si="82"/>
        <v>92254</v>
      </c>
      <c r="AW38">
        <f t="shared" si="44"/>
        <v>92252</v>
      </c>
      <c r="AX38">
        <f t="shared" si="83"/>
        <v>46</v>
      </c>
      <c r="AY38">
        <f t="shared" si="45"/>
        <v>92251</v>
      </c>
      <c r="AZ38">
        <f t="shared" si="84"/>
        <v>46</v>
      </c>
      <c r="BA38">
        <f t="shared" si="85"/>
        <v>80</v>
      </c>
      <c r="BC38">
        <f t="shared" si="86"/>
        <v>92254</v>
      </c>
      <c r="BD38">
        <f t="shared" si="46"/>
        <v>92252</v>
      </c>
      <c r="BE38">
        <f t="shared" si="87"/>
        <v>80</v>
      </c>
      <c r="BF38">
        <f t="shared" si="47"/>
        <v>92251</v>
      </c>
      <c r="BG38">
        <f t="shared" si="88"/>
        <v>80</v>
      </c>
      <c r="BH38">
        <f t="shared" si="89"/>
        <v>0</v>
      </c>
      <c r="BJ38">
        <f t="shared" si="90"/>
        <v>92254</v>
      </c>
      <c r="BK38">
        <f t="shared" si="48"/>
        <v>92252</v>
      </c>
      <c r="BL38">
        <f t="shared" si="91"/>
        <v>0</v>
      </c>
      <c r="BM38">
        <f t="shared" si="49"/>
        <v>92251</v>
      </c>
      <c r="BN38">
        <f t="shared" si="92"/>
        <v>0</v>
      </c>
      <c r="BO38">
        <f t="shared" si="93"/>
        <v>0</v>
      </c>
      <c r="BQ38">
        <f t="shared" si="94"/>
        <v>92254</v>
      </c>
      <c r="BR38">
        <f t="shared" si="50"/>
        <v>92252</v>
      </c>
      <c r="BS38">
        <f t="shared" si="95"/>
        <v>0</v>
      </c>
      <c r="BT38">
        <f t="shared" si="51"/>
        <v>92251</v>
      </c>
      <c r="BU38">
        <f t="shared" si="96"/>
        <v>0</v>
      </c>
      <c r="BV38">
        <f t="shared" si="97"/>
        <v>0</v>
      </c>
      <c r="BX38">
        <f t="shared" si="52"/>
        <v>92254</v>
      </c>
      <c r="BY38">
        <f t="shared" si="53"/>
        <v>92252</v>
      </c>
      <c r="BZ38">
        <f t="shared" si="98"/>
        <v>0</v>
      </c>
      <c r="CA38">
        <f t="shared" si="54"/>
        <v>92251</v>
      </c>
      <c r="CB38">
        <f t="shared" si="99"/>
        <v>0</v>
      </c>
      <c r="CC38">
        <f t="shared" si="100"/>
        <v>0</v>
      </c>
      <c r="CE38">
        <f t="shared" si="55"/>
        <v>92254</v>
      </c>
      <c r="CF38">
        <f t="shared" si="56"/>
        <v>92252</v>
      </c>
      <c r="CG38">
        <f t="shared" si="101"/>
        <v>0</v>
      </c>
      <c r="CH38">
        <f t="shared" si="57"/>
        <v>92251</v>
      </c>
      <c r="CI38">
        <f t="shared" si="102"/>
        <v>0</v>
      </c>
      <c r="CJ38">
        <f t="shared" si="103"/>
        <v>0</v>
      </c>
    </row>
    <row r="39" spans="1:88">
      <c r="A39" s="5">
        <v>92274</v>
      </c>
      <c r="B39" s="5" t="s">
        <v>466</v>
      </c>
      <c r="C39" s="5" t="s">
        <v>496</v>
      </c>
      <c r="D39" s="5">
        <v>1</v>
      </c>
      <c r="E39" s="5" t="s">
        <v>64</v>
      </c>
      <c r="F39" s="5">
        <v>3</v>
      </c>
      <c r="G39" s="5">
        <v>49</v>
      </c>
      <c r="H39" s="5">
        <f t="shared" si="67"/>
        <v>0</v>
      </c>
      <c r="I39" s="5">
        <f t="shared" si="68"/>
        <v>0</v>
      </c>
      <c r="J39" s="5">
        <f t="shared" si="69"/>
        <v>31</v>
      </c>
      <c r="K39" s="98">
        <f t="shared" si="70"/>
        <v>1</v>
      </c>
      <c r="L39" s="5">
        <f t="shared" si="58"/>
        <v>3</v>
      </c>
      <c r="M39" s="5" t="str">
        <f t="shared" si="71"/>
        <v>汉密手表碎片  3</v>
      </c>
      <c r="N39" s="5">
        <f t="shared" si="60"/>
        <v>93274</v>
      </c>
      <c r="O39" s="5">
        <f t="shared" si="63"/>
        <v>10</v>
      </c>
      <c r="P39" s="5" t="str">
        <f t="shared" si="72"/>
        <v>金针手表  2</v>
      </c>
      <c r="Q39" s="5">
        <f>A26</f>
        <v>92272</v>
      </c>
      <c r="R39" s="91">
        <f t="shared" si="64"/>
        <v>1</v>
      </c>
      <c r="S39" s="5" t="str">
        <f t="shared" si="73"/>
        <v>智能手表  2</v>
      </c>
      <c r="T39" s="5">
        <f>A27</f>
        <v>92273</v>
      </c>
      <c r="U39" s="91">
        <f t="shared" si="66"/>
        <v>1</v>
      </c>
      <c r="V39" s="39">
        <f t="shared" si="36"/>
        <v>70</v>
      </c>
      <c r="W39">
        <f t="shared" si="65"/>
        <v>390.34456159513792</v>
      </c>
      <c r="X39">
        <f t="shared" si="38"/>
        <v>7</v>
      </c>
      <c r="Y39" s="6"/>
      <c r="Z39" s="6"/>
      <c r="AA39" s="6">
        <v>1</v>
      </c>
      <c r="AB39">
        <f t="shared" si="74"/>
        <v>31</v>
      </c>
      <c r="AC39">
        <f t="shared" si="40"/>
        <v>30</v>
      </c>
      <c r="AD39">
        <f t="shared" si="41"/>
        <v>70</v>
      </c>
      <c r="AL39">
        <f>CHOOSE(2,1,COUNTIF(D_马仔培养宝物!$F$2:$K$229,D_马仔宝物!A39))</f>
        <v>16</v>
      </c>
      <c r="AM39">
        <f t="shared" si="75"/>
        <v>92274</v>
      </c>
      <c r="AN39">
        <f t="shared" si="76"/>
        <v>93274</v>
      </c>
      <c r="AO39">
        <f t="shared" si="43"/>
        <v>160</v>
      </c>
      <c r="AP39">
        <f t="shared" si="77"/>
        <v>92272</v>
      </c>
      <c r="AQ39">
        <f t="shared" si="78"/>
        <v>16</v>
      </c>
      <c r="AR39">
        <f t="shared" si="79"/>
        <v>92273</v>
      </c>
      <c r="AS39">
        <f t="shared" si="80"/>
        <v>16</v>
      </c>
      <c r="AT39">
        <f t="shared" si="81"/>
        <v>18</v>
      </c>
      <c r="AV39">
        <f t="shared" si="82"/>
        <v>92274</v>
      </c>
      <c r="AW39">
        <f t="shared" si="44"/>
        <v>92272</v>
      </c>
      <c r="AX39">
        <f t="shared" si="83"/>
        <v>18</v>
      </c>
      <c r="AY39">
        <f t="shared" si="45"/>
        <v>92273</v>
      </c>
      <c r="AZ39">
        <f t="shared" si="84"/>
        <v>18</v>
      </c>
      <c r="BA39">
        <f t="shared" si="85"/>
        <v>36</v>
      </c>
      <c r="BC39">
        <f t="shared" si="86"/>
        <v>92274</v>
      </c>
      <c r="BD39">
        <f t="shared" si="46"/>
        <v>92272</v>
      </c>
      <c r="BE39">
        <f t="shared" si="87"/>
        <v>36</v>
      </c>
      <c r="BF39">
        <f t="shared" si="47"/>
        <v>92273</v>
      </c>
      <c r="BG39">
        <f t="shared" si="88"/>
        <v>36</v>
      </c>
      <c r="BH39">
        <f t="shared" si="89"/>
        <v>0</v>
      </c>
      <c r="BJ39">
        <f t="shared" si="90"/>
        <v>92274</v>
      </c>
      <c r="BK39">
        <f t="shared" si="48"/>
        <v>92272</v>
      </c>
      <c r="BL39">
        <f t="shared" si="91"/>
        <v>0</v>
      </c>
      <c r="BM39">
        <f t="shared" si="49"/>
        <v>92273</v>
      </c>
      <c r="BN39">
        <f t="shared" si="92"/>
        <v>0</v>
      </c>
      <c r="BO39">
        <f t="shared" si="93"/>
        <v>0</v>
      </c>
      <c r="BQ39">
        <f t="shared" si="94"/>
        <v>92274</v>
      </c>
      <c r="BR39">
        <f t="shared" si="50"/>
        <v>92272</v>
      </c>
      <c r="BS39">
        <f t="shared" si="95"/>
        <v>0</v>
      </c>
      <c r="BT39">
        <f t="shared" si="51"/>
        <v>92273</v>
      </c>
      <c r="BU39">
        <f t="shared" si="96"/>
        <v>0</v>
      </c>
      <c r="BV39">
        <f t="shared" si="97"/>
        <v>0</v>
      </c>
      <c r="BX39">
        <f t="shared" si="52"/>
        <v>92274</v>
      </c>
      <c r="BY39">
        <f t="shared" si="53"/>
        <v>92272</v>
      </c>
      <c r="BZ39">
        <f t="shared" si="98"/>
        <v>0</v>
      </c>
      <c r="CA39">
        <f t="shared" si="54"/>
        <v>92273</v>
      </c>
      <c r="CB39">
        <f t="shared" si="99"/>
        <v>0</v>
      </c>
      <c r="CC39">
        <f t="shared" si="100"/>
        <v>0</v>
      </c>
      <c r="CE39">
        <f t="shared" si="55"/>
        <v>92274</v>
      </c>
      <c r="CF39">
        <f t="shared" si="56"/>
        <v>92272</v>
      </c>
      <c r="CG39">
        <f t="shared" si="101"/>
        <v>0</v>
      </c>
      <c r="CH39">
        <f t="shared" si="57"/>
        <v>92273</v>
      </c>
      <c r="CI39">
        <f t="shared" si="102"/>
        <v>0</v>
      </c>
      <c r="CJ39">
        <f t="shared" si="103"/>
        <v>0</v>
      </c>
    </row>
    <row r="40" spans="1:88">
      <c r="A40" s="5">
        <v>92280</v>
      </c>
      <c r="B40" s="5" t="s">
        <v>667</v>
      </c>
      <c r="C40" s="5" t="s">
        <v>496</v>
      </c>
      <c r="D40" s="5">
        <v>1</v>
      </c>
      <c r="E40" s="5" t="s">
        <v>71</v>
      </c>
      <c r="F40" s="5">
        <v>3</v>
      </c>
      <c r="G40" s="5">
        <v>49</v>
      </c>
      <c r="H40" s="5">
        <f t="shared" si="67"/>
        <v>1440</v>
      </c>
      <c r="I40" s="5">
        <f t="shared" si="68"/>
        <v>0</v>
      </c>
      <c r="J40" s="5">
        <f t="shared" si="69"/>
        <v>0</v>
      </c>
      <c r="K40" s="98">
        <f t="shared" si="70"/>
        <v>1</v>
      </c>
      <c r="L40" s="5">
        <f t="shared" si="58"/>
        <v>3</v>
      </c>
      <c r="M40" s="5" t="str">
        <f t="shared" si="71"/>
        <v>法拉捷碎片  3</v>
      </c>
      <c r="N40" s="5">
        <f t="shared" si="60"/>
        <v>93280</v>
      </c>
      <c r="O40" s="5">
        <f t="shared" si="63"/>
        <v>10</v>
      </c>
      <c r="P40" s="5" t="str">
        <f t="shared" si="72"/>
        <v>宾倪  2</v>
      </c>
      <c r="Q40" s="5">
        <f>A28</f>
        <v>92279</v>
      </c>
      <c r="R40" s="91">
        <f t="shared" si="64"/>
        <v>1</v>
      </c>
      <c r="S40" s="5" t="str">
        <f t="shared" si="73"/>
        <v>大金块  2</v>
      </c>
      <c r="T40" s="5">
        <f>A30</f>
        <v>92288</v>
      </c>
      <c r="U40" s="91">
        <f t="shared" si="66"/>
        <v>1</v>
      </c>
      <c r="V40" s="39">
        <f t="shared" si="36"/>
        <v>75</v>
      </c>
      <c r="W40">
        <f t="shared" si="65"/>
        <v>384.29255149387018</v>
      </c>
      <c r="X40">
        <f t="shared" si="38"/>
        <v>7</v>
      </c>
      <c r="Y40" s="6">
        <v>1</v>
      </c>
      <c r="Z40" s="6"/>
      <c r="AA40" s="6"/>
      <c r="AB40">
        <f t="shared" si="74"/>
        <v>57.6</v>
      </c>
      <c r="AC40">
        <f t="shared" si="40"/>
        <v>30</v>
      </c>
      <c r="AD40">
        <f t="shared" si="41"/>
        <v>75</v>
      </c>
      <c r="AL40">
        <f>CHOOSE(2,1,COUNTIF(D_马仔培养宝物!$F$2:$K$229,D_马仔宝物!A40))</f>
        <v>17</v>
      </c>
      <c r="AM40">
        <f t="shared" si="75"/>
        <v>92280</v>
      </c>
      <c r="AN40">
        <f t="shared" si="76"/>
        <v>93280</v>
      </c>
      <c r="AO40">
        <f t="shared" si="43"/>
        <v>170</v>
      </c>
      <c r="AP40">
        <f t="shared" si="77"/>
        <v>92279</v>
      </c>
      <c r="AQ40">
        <f t="shared" si="78"/>
        <v>17</v>
      </c>
      <c r="AR40">
        <f t="shared" si="79"/>
        <v>92288</v>
      </c>
      <c r="AS40">
        <f t="shared" si="80"/>
        <v>17</v>
      </c>
      <c r="AT40">
        <f t="shared" si="81"/>
        <v>19</v>
      </c>
      <c r="AV40">
        <f t="shared" si="82"/>
        <v>92280</v>
      </c>
      <c r="AW40">
        <f t="shared" si="44"/>
        <v>92279</v>
      </c>
      <c r="AX40">
        <f t="shared" si="83"/>
        <v>19</v>
      </c>
      <c r="AY40">
        <f t="shared" si="45"/>
        <v>92288</v>
      </c>
      <c r="AZ40">
        <f t="shared" si="84"/>
        <v>19</v>
      </c>
      <c r="BA40">
        <f t="shared" si="85"/>
        <v>39</v>
      </c>
      <c r="BC40">
        <f t="shared" si="86"/>
        <v>92280</v>
      </c>
      <c r="BD40">
        <f t="shared" si="46"/>
        <v>92279</v>
      </c>
      <c r="BE40">
        <f t="shared" si="87"/>
        <v>39</v>
      </c>
      <c r="BF40">
        <f t="shared" si="47"/>
        <v>92288</v>
      </c>
      <c r="BG40">
        <f t="shared" si="88"/>
        <v>39</v>
      </c>
      <c r="BH40">
        <f t="shared" si="89"/>
        <v>0</v>
      </c>
      <c r="BJ40">
        <f t="shared" si="90"/>
        <v>92280</v>
      </c>
      <c r="BK40">
        <f t="shared" si="48"/>
        <v>92279</v>
      </c>
      <c r="BL40">
        <f t="shared" si="91"/>
        <v>0</v>
      </c>
      <c r="BM40">
        <f t="shared" si="49"/>
        <v>92288</v>
      </c>
      <c r="BN40">
        <f t="shared" si="92"/>
        <v>0</v>
      </c>
      <c r="BO40">
        <f t="shared" si="93"/>
        <v>0</v>
      </c>
      <c r="BQ40">
        <f t="shared" si="94"/>
        <v>92280</v>
      </c>
      <c r="BR40">
        <f t="shared" si="50"/>
        <v>92279</v>
      </c>
      <c r="BS40">
        <f t="shared" si="95"/>
        <v>0</v>
      </c>
      <c r="BT40">
        <f t="shared" si="51"/>
        <v>92288</v>
      </c>
      <c r="BU40">
        <f t="shared" si="96"/>
        <v>0</v>
      </c>
      <c r="BV40">
        <f t="shared" si="97"/>
        <v>0</v>
      </c>
      <c r="BX40">
        <f t="shared" si="52"/>
        <v>92280</v>
      </c>
      <c r="BY40">
        <f t="shared" si="53"/>
        <v>92279</v>
      </c>
      <c r="BZ40">
        <f t="shared" si="98"/>
        <v>0</v>
      </c>
      <c r="CA40">
        <f t="shared" si="54"/>
        <v>92288</v>
      </c>
      <c r="CB40">
        <f t="shared" si="99"/>
        <v>0</v>
      </c>
      <c r="CC40">
        <f t="shared" si="100"/>
        <v>0</v>
      </c>
      <c r="CE40">
        <f t="shared" si="55"/>
        <v>92280</v>
      </c>
      <c r="CF40">
        <f t="shared" si="56"/>
        <v>92279</v>
      </c>
      <c r="CG40">
        <f t="shared" si="101"/>
        <v>0</v>
      </c>
      <c r="CH40">
        <f t="shared" si="57"/>
        <v>92288</v>
      </c>
      <c r="CI40">
        <f t="shared" si="102"/>
        <v>0</v>
      </c>
      <c r="CJ40">
        <f t="shared" si="103"/>
        <v>0</v>
      </c>
    </row>
    <row r="41" spans="1:88">
      <c r="A41" s="5">
        <v>92285</v>
      </c>
      <c r="B41" s="5" t="s">
        <v>477</v>
      </c>
      <c r="C41" s="5" t="s">
        <v>496</v>
      </c>
      <c r="D41" s="5">
        <v>1</v>
      </c>
      <c r="E41" s="5" t="s">
        <v>77</v>
      </c>
      <c r="F41" s="5">
        <v>3</v>
      </c>
      <c r="G41" s="5">
        <v>50</v>
      </c>
      <c r="H41" s="5">
        <f t="shared" si="67"/>
        <v>0</v>
      </c>
      <c r="I41" s="5">
        <f t="shared" si="68"/>
        <v>73</v>
      </c>
      <c r="J41" s="5">
        <f t="shared" si="69"/>
        <v>0</v>
      </c>
      <c r="K41" s="98">
        <f t="shared" si="70"/>
        <v>2</v>
      </c>
      <c r="L41" s="5">
        <f t="shared" si="58"/>
        <v>3</v>
      </c>
      <c r="M41" s="5" t="str">
        <f t="shared" si="71"/>
        <v>大堆钞票碎片  3</v>
      </c>
      <c r="N41" s="5">
        <f t="shared" si="60"/>
        <v>93285</v>
      </c>
      <c r="O41" s="5">
        <f t="shared" si="63"/>
        <v>10</v>
      </c>
      <c r="P41" s="5" t="str">
        <f t="shared" si="72"/>
        <v>大迭钞票  2</v>
      </c>
      <c r="Q41" s="5">
        <f t="shared" ref="Q41:Q42" si="104">A29</f>
        <v>92284</v>
      </c>
      <c r="R41" s="91">
        <f t="shared" si="64"/>
        <v>2</v>
      </c>
      <c r="S41" s="5" t="str">
        <f t="shared" si="73"/>
        <v/>
      </c>
      <c r="T41" s="5"/>
      <c r="U41" s="91">
        <f t="shared" si="66"/>
        <v>0</v>
      </c>
      <c r="V41" s="39">
        <f t="shared" si="36"/>
        <v>286</v>
      </c>
      <c r="W41">
        <f t="shared" si="65"/>
        <v>384.66731808789905</v>
      </c>
      <c r="X41">
        <f t="shared" si="38"/>
        <v>7</v>
      </c>
      <c r="Y41" s="6"/>
      <c r="Z41" s="6">
        <v>1</v>
      </c>
      <c r="AA41" s="6"/>
      <c r="AB41">
        <f t="shared" si="74"/>
        <v>73</v>
      </c>
      <c r="AC41">
        <f t="shared" si="40"/>
        <v>30</v>
      </c>
      <c r="AD41">
        <f t="shared" si="41"/>
        <v>286</v>
      </c>
      <c r="AL41">
        <f>CHOOSE(2,1,COUNTIF(D_马仔培养宝物!$F$2:$K$229,D_马仔宝物!A41))</f>
        <v>22</v>
      </c>
      <c r="AM41">
        <f t="shared" si="75"/>
        <v>92285</v>
      </c>
      <c r="AN41">
        <f t="shared" si="76"/>
        <v>93285</v>
      </c>
      <c r="AO41">
        <f t="shared" si="43"/>
        <v>220</v>
      </c>
      <c r="AP41">
        <f t="shared" si="77"/>
        <v>92284</v>
      </c>
      <c r="AQ41">
        <f t="shared" si="78"/>
        <v>44</v>
      </c>
      <c r="AR41">
        <f t="shared" si="79"/>
        <v>0</v>
      </c>
      <c r="AS41">
        <f t="shared" si="80"/>
        <v>0</v>
      </c>
      <c r="AT41">
        <f t="shared" si="81"/>
        <v>73</v>
      </c>
      <c r="AV41">
        <f t="shared" si="82"/>
        <v>92285</v>
      </c>
      <c r="AW41">
        <f t="shared" si="44"/>
        <v>92284</v>
      </c>
      <c r="AX41">
        <f t="shared" si="83"/>
        <v>146</v>
      </c>
      <c r="AY41">
        <f t="shared" si="45"/>
        <v>0</v>
      </c>
      <c r="AZ41">
        <f t="shared" si="84"/>
        <v>0</v>
      </c>
      <c r="BA41">
        <f t="shared" si="85"/>
        <v>191</v>
      </c>
      <c r="BC41">
        <f t="shared" si="86"/>
        <v>92285</v>
      </c>
      <c r="BD41">
        <f t="shared" si="46"/>
        <v>92284</v>
      </c>
      <c r="BE41">
        <f t="shared" si="87"/>
        <v>382</v>
      </c>
      <c r="BF41">
        <f t="shared" si="47"/>
        <v>0</v>
      </c>
      <c r="BG41">
        <f t="shared" si="88"/>
        <v>0</v>
      </c>
      <c r="BH41">
        <f t="shared" si="89"/>
        <v>0</v>
      </c>
      <c r="BJ41">
        <f t="shared" si="90"/>
        <v>92285</v>
      </c>
      <c r="BK41">
        <f t="shared" si="48"/>
        <v>92284</v>
      </c>
      <c r="BL41">
        <f t="shared" si="91"/>
        <v>0</v>
      </c>
      <c r="BM41">
        <f t="shared" si="49"/>
        <v>0</v>
      </c>
      <c r="BN41">
        <f t="shared" si="92"/>
        <v>0</v>
      </c>
      <c r="BO41">
        <f t="shared" si="93"/>
        <v>0</v>
      </c>
      <c r="BQ41">
        <f t="shared" si="94"/>
        <v>92285</v>
      </c>
      <c r="BR41">
        <f t="shared" si="50"/>
        <v>92284</v>
      </c>
      <c r="BS41">
        <f t="shared" si="95"/>
        <v>0</v>
      </c>
      <c r="BT41">
        <f t="shared" si="51"/>
        <v>0</v>
      </c>
      <c r="BU41">
        <f t="shared" si="96"/>
        <v>0</v>
      </c>
      <c r="BV41">
        <f t="shared" si="97"/>
        <v>0</v>
      </c>
      <c r="BX41">
        <f t="shared" si="52"/>
        <v>92285</v>
      </c>
      <c r="BY41">
        <f t="shared" si="53"/>
        <v>92284</v>
      </c>
      <c r="BZ41">
        <f t="shared" si="98"/>
        <v>0</v>
      </c>
      <c r="CA41">
        <f t="shared" si="54"/>
        <v>0</v>
      </c>
      <c r="CB41">
        <f t="shared" si="99"/>
        <v>0</v>
      </c>
      <c r="CC41">
        <f t="shared" si="100"/>
        <v>0</v>
      </c>
      <c r="CE41">
        <f t="shared" si="55"/>
        <v>92285</v>
      </c>
      <c r="CF41">
        <f t="shared" si="56"/>
        <v>92284</v>
      </c>
      <c r="CG41">
        <f t="shared" si="101"/>
        <v>0</v>
      </c>
      <c r="CH41">
        <f t="shared" si="57"/>
        <v>0</v>
      </c>
      <c r="CI41">
        <f t="shared" si="102"/>
        <v>0</v>
      </c>
      <c r="CJ41">
        <f t="shared" si="103"/>
        <v>0</v>
      </c>
    </row>
    <row r="42" spans="1:88">
      <c r="A42" s="5">
        <v>92289</v>
      </c>
      <c r="B42" s="5" t="s">
        <v>471</v>
      </c>
      <c r="C42" s="5" t="s">
        <v>496</v>
      </c>
      <c r="D42" s="5">
        <v>1</v>
      </c>
      <c r="E42" s="5" t="s">
        <v>73</v>
      </c>
      <c r="F42" s="5">
        <v>3</v>
      </c>
      <c r="G42" s="5">
        <v>50</v>
      </c>
      <c r="H42" s="5">
        <f t="shared" si="67"/>
        <v>0</v>
      </c>
      <c r="I42" s="5">
        <f t="shared" si="68"/>
        <v>0</v>
      </c>
      <c r="J42" s="5">
        <f t="shared" si="69"/>
        <v>31</v>
      </c>
      <c r="K42" s="98">
        <f t="shared" si="70"/>
        <v>2</v>
      </c>
      <c r="L42" s="5">
        <f t="shared" si="58"/>
        <v>3</v>
      </c>
      <c r="M42" s="5" t="str">
        <f t="shared" si="71"/>
        <v>小堆金块碎片  3</v>
      </c>
      <c r="N42" s="5">
        <f t="shared" si="60"/>
        <v>93289</v>
      </c>
      <c r="O42" s="5">
        <f t="shared" si="63"/>
        <v>10</v>
      </c>
      <c r="P42" s="5" t="str">
        <f t="shared" si="72"/>
        <v>大金块  2</v>
      </c>
      <c r="Q42" s="5">
        <f t="shared" si="104"/>
        <v>92288</v>
      </c>
      <c r="R42" s="91">
        <f t="shared" si="64"/>
        <v>2</v>
      </c>
      <c r="S42" s="5" t="str">
        <f t="shared" si="73"/>
        <v/>
      </c>
      <c r="T42" s="5"/>
      <c r="U42" s="91">
        <f t="shared" si="66"/>
        <v>0</v>
      </c>
      <c r="V42" s="39">
        <f t="shared" si="36"/>
        <v>262</v>
      </c>
      <c r="W42">
        <f t="shared" si="65"/>
        <v>384.66731808789905</v>
      </c>
      <c r="X42">
        <f t="shared" si="38"/>
        <v>7</v>
      </c>
      <c r="Y42" s="6"/>
      <c r="Z42" s="6"/>
      <c r="AA42" s="6">
        <v>1</v>
      </c>
      <c r="AB42">
        <f t="shared" si="74"/>
        <v>31</v>
      </c>
      <c r="AC42">
        <f t="shared" si="40"/>
        <v>30</v>
      </c>
      <c r="AD42">
        <f t="shared" si="41"/>
        <v>262</v>
      </c>
      <c r="AL42">
        <f>CHOOSE(2,1,COUNTIF(D_马仔培养宝物!$F$2:$K$229,D_马仔宝物!A42))</f>
        <v>22</v>
      </c>
      <c r="AM42">
        <f t="shared" si="75"/>
        <v>92289</v>
      </c>
      <c r="AN42">
        <f t="shared" si="76"/>
        <v>93289</v>
      </c>
      <c r="AO42">
        <f t="shared" si="43"/>
        <v>220</v>
      </c>
      <c r="AP42">
        <f t="shared" si="77"/>
        <v>92288</v>
      </c>
      <c r="AQ42">
        <f t="shared" si="78"/>
        <v>44</v>
      </c>
      <c r="AR42">
        <f t="shared" si="79"/>
        <v>0</v>
      </c>
      <c r="AS42">
        <f t="shared" si="80"/>
        <v>0</v>
      </c>
      <c r="AT42">
        <f t="shared" si="81"/>
        <v>69</v>
      </c>
      <c r="AV42">
        <f t="shared" si="82"/>
        <v>92289</v>
      </c>
      <c r="AW42">
        <f t="shared" si="44"/>
        <v>92288</v>
      </c>
      <c r="AX42">
        <f t="shared" si="83"/>
        <v>138</v>
      </c>
      <c r="AY42">
        <f t="shared" si="45"/>
        <v>0</v>
      </c>
      <c r="AZ42">
        <f t="shared" si="84"/>
        <v>0</v>
      </c>
      <c r="BA42">
        <f t="shared" si="85"/>
        <v>171</v>
      </c>
      <c r="BC42">
        <f t="shared" si="86"/>
        <v>92289</v>
      </c>
      <c r="BD42">
        <f t="shared" si="46"/>
        <v>92288</v>
      </c>
      <c r="BE42">
        <f t="shared" si="87"/>
        <v>342</v>
      </c>
      <c r="BF42">
        <f t="shared" si="47"/>
        <v>0</v>
      </c>
      <c r="BG42">
        <f t="shared" si="88"/>
        <v>0</v>
      </c>
      <c r="BH42">
        <f t="shared" si="89"/>
        <v>0</v>
      </c>
      <c r="BJ42">
        <f t="shared" si="90"/>
        <v>92289</v>
      </c>
      <c r="BK42">
        <f t="shared" si="48"/>
        <v>92288</v>
      </c>
      <c r="BL42">
        <f t="shared" si="91"/>
        <v>0</v>
      </c>
      <c r="BM42">
        <f t="shared" si="49"/>
        <v>0</v>
      </c>
      <c r="BN42">
        <f t="shared" si="92"/>
        <v>0</v>
      </c>
      <c r="BO42">
        <f t="shared" si="93"/>
        <v>0</v>
      </c>
      <c r="BQ42">
        <f t="shared" si="94"/>
        <v>92289</v>
      </c>
      <c r="BR42">
        <f t="shared" si="50"/>
        <v>92288</v>
      </c>
      <c r="BS42">
        <f t="shared" si="95"/>
        <v>0</v>
      </c>
      <c r="BT42">
        <f t="shared" si="51"/>
        <v>0</v>
      </c>
      <c r="BU42">
        <f t="shared" si="96"/>
        <v>0</v>
      </c>
      <c r="BV42">
        <f t="shared" si="97"/>
        <v>0</v>
      </c>
      <c r="BX42">
        <f t="shared" si="52"/>
        <v>92289</v>
      </c>
      <c r="BY42">
        <f t="shared" si="53"/>
        <v>92288</v>
      </c>
      <c r="BZ42">
        <f t="shared" si="98"/>
        <v>0</v>
      </c>
      <c r="CA42">
        <f t="shared" si="54"/>
        <v>0</v>
      </c>
      <c r="CB42">
        <f t="shared" si="99"/>
        <v>0</v>
      </c>
      <c r="CC42">
        <f t="shared" si="100"/>
        <v>0</v>
      </c>
      <c r="CE42">
        <f t="shared" si="55"/>
        <v>92289</v>
      </c>
      <c r="CF42">
        <f t="shared" si="56"/>
        <v>92288</v>
      </c>
      <c r="CG42">
        <f t="shared" si="101"/>
        <v>0</v>
      </c>
      <c r="CH42">
        <f t="shared" si="57"/>
        <v>0</v>
      </c>
      <c r="CI42">
        <f t="shared" si="102"/>
        <v>0</v>
      </c>
      <c r="CJ42">
        <f t="shared" si="103"/>
        <v>0</v>
      </c>
    </row>
    <row r="43" spans="1:88">
      <c r="A43" s="5">
        <v>92014</v>
      </c>
      <c r="B43" s="5" t="s">
        <v>476</v>
      </c>
      <c r="C43" s="5" t="s">
        <v>498</v>
      </c>
      <c r="D43" s="5">
        <v>1</v>
      </c>
      <c r="E43" s="5" t="s">
        <v>54</v>
      </c>
      <c r="F43" s="5">
        <v>4</v>
      </c>
      <c r="G43" s="5">
        <v>56</v>
      </c>
      <c r="H43" s="5">
        <f t="shared" si="67"/>
        <v>1852</v>
      </c>
      <c r="I43" s="5">
        <f t="shared" si="68"/>
        <v>0</v>
      </c>
      <c r="J43" s="5">
        <f t="shared" si="69"/>
        <v>0</v>
      </c>
      <c r="K43" s="98">
        <f t="shared" si="70"/>
        <v>2</v>
      </c>
      <c r="L43" s="5">
        <f t="shared" si="58"/>
        <v>4</v>
      </c>
      <c r="M43" s="5" t="str">
        <f t="shared" si="71"/>
        <v>菠萝碎片  4</v>
      </c>
      <c r="N43" s="5">
        <f t="shared" si="60"/>
        <v>93014</v>
      </c>
      <c r="O43" s="5">
        <f t="shared" si="63"/>
        <v>20</v>
      </c>
      <c r="P43" s="5" t="str">
        <f t="shared" si="72"/>
        <v>月立  3</v>
      </c>
      <c r="Q43" s="5">
        <f>A36</f>
        <v>92013</v>
      </c>
      <c r="R43" s="91">
        <f t="shared" si="64"/>
        <v>1</v>
      </c>
      <c r="S43" s="5" t="str">
        <f t="shared" si="73"/>
        <v>大堆钞票  3</v>
      </c>
      <c r="T43" s="5">
        <f>A41</f>
        <v>92285</v>
      </c>
      <c r="U43" s="91">
        <f t="shared" si="66"/>
        <v>1</v>
      </c>
      <c r="V43" s="39">
        <f t="shared" si="36"/>
        <v>64</v>
      </c>
      <c r="W43">
        <f t="shared" si="65"/>
        <v>1072.0558691207962</v>
      </c>
      <c r="X43">
        <f t="shared" si="38"/>
        <v>9</v>
      </c>
      <c r="Y43" s="6">
        <v>1</v>
      </c>
      <c r="Z43" s="6"/>
      <c r="AA43" s="6"/>
      <c r="AB43">
        <f t="shared" si="74"/>
        <v>74.08</v>
      </c>
      <c r="AC43">
        <f t="shared" si="40"/>
        <v>35</v>
      </c>
      <c r="AD43">
        <f t="shared" si="41"/>
        <v>64</v>
      </c>
      <c r="AL43">
        <f>CHOOSE(2,1,COUNTIF(D_马仔培养宝物!$F$2:$K$229,D_马仔宝物!A43))</f>
        <v>23</v>
      </c>
      <c r="AM43">
        <f t="shared" si="75"/>
        <v>92014</v>
      </c>
      <c r="AN43">
        <f t="shared" si="76"/>
        <v>93014</v>
      </c>
      <c r="AO43">
        <f t="shared" si="43"/>
        <v>460</v>
      </c>
      <c r="AP43">
        <f t="shared" si="77"/>
        <v>92013</v>
      </c>
      <c r="AQ43">
        <f t="shared" si="78"/>
        <v>23</v>
      </c>
      <c r="AR43">
        <f t="shared" si="79"/>
        <v>92285</v>
      </c>
      <c r="AS43">
        <f t="shared" si="80"/>
        <v>23</v>
      </c>
      <c r="AT43">
        <f t="shared" si="81"/>
        <v>41</v>
      </c>
      <c r="AV43">
        <f t="shared" si="82"/>
        <v>92014</v>
      </c>
      <c r="AW43">
        <f t="shared" si="44"/>
        <v>92013</v>
      </c>
      <c r="AX43">
        <f t="shared" si="83"/>
        <v>41</v>
      </c>
      <c r="AY43">
        <f t="shared" si="45"/>
        <v>92285</v>
      </c>
      <c r="AZ43">
        <f t="shared" si="84"/>
        <v>41</v>
      </c>
      <c r="BA43">
        <f t="shared" si="85"/>
        <v>0</v>
      </c>
      <c r="BC43">
        <f t="shared" si="86"/>
        <v>92014</v>
      </c>
      <c r="BD43">
        <f t="shared" si="46"/>
        <v>92013</v>
      </c>
      <c r="BE43">
        <f t="shared" si="87"/>
        <v>0</v>
      </c>
      <c r="BF43">
        <f t="shared" si="47"/>
        <v>92285</v>
      </c>
      <c r="BG43">
        <f t="shared" si="88"/>
        <v>0</v>
      </c>
      <c r="BH43">
        <f t="shared" si="89"/>
        <v>0</v>
      </c>
      <c r="BJ43">
        <f t="shared" si="90"/>
        <v>92014</v>
      </c>
      <c r="BK43">
        <f t="shared" si="48"/>
        <v>92013</v>
      </c>
      <c r="BL43">
        <f t="shared" si="91"/>
        <v>0</v>
      </c>
      <c r="BM43">
        <f t="shared" si="49"/>
        <v>92285</v>
      </c>
      <c r="BN43">
        <f t="shared" si="92"/>
        <v>0</v>
      </c>
      <c r="BO43">
        <f t="shared" si="93"/>
        <v>0</v>
      </c>
      <c r="BQ43">
        <f t="shared" si="94"/>
        <v>92014</v>
      </c>
      <c r="BR43">
        <f t="shared" si="50"/>
        <v>92013</v>
      </c>
      <c r="BS43">
        <f t="shared" si="95"/>
        <v>0</v>
      </c>
      <c r="BT43">
        <f t="shared" si="51"/>
        <v>92285</v>
      </c>
      <c r="BU43">
        <f t="shared" si="96"/>
        <v>0</v>
      </c>
      <c r="BV43">
        <f t="shared" si="97"/>
        <v>0</v>
      </c>
      <c r="BX43">
        <f t="shared" si="52"/>
        <v>92014</v>
      </c>
      <c r="BY43">
        <f t="shared" si="53"/>
        <v>92013</v>
      </c>
      <c r="BZ43">
        <f t="shared" si="98"/>
        <v>0</v>
      </c>
      <c r="CA43">
        <f t="shared" si="54"/>
        <v>92285</v>
      </c>
      <c r="CB43">
        <f t="shared" si="99"/>
        <v>0</v>
      </c>
      <c r="CC43">
        <f t="shared" si="100"/>
        <v>0</v>
      </c>
      <c r="CE43">
        <f t="shared" si="55"/>
        <v>92014</v>
      </c>
      <c r="CF43">
        <f t="shared" si="56"/>
        <v>92013</v>
      </c>
      <c r="CG43">
        <f t="shared" si="101"/>
        <v>0</v>
      </c>
      <c r="CH43">
        <f t="shared" si="57"/>
        <v>92285</v>
      </c>
      <c r="CI43">
        <f t="shared" si="102"/>
        <v>0</v>
      </c>
      <c r="CJ43">
        <f t="shared" si="103"/>
        <v>0</v>
      </c>
    </row>
    <row r="44" spans="1:88">
      <c r="A44" s="5">
        <v>92296</v>
      </c>
      <c r="B44" s="5" t="s">
        <v>468</v>
      </c>
      <c r="C44" s="5" t="s">
        <v>496</v>
      </c>
      <c r="D44" s="5">
        <v>1</v>
      </c>
      <c r="E44" s="5" t="s">
        <v>78</v>
      </c>
      <c r="F44" s="5">
        <v>4</v>
      </c>
      <c r="G44" s="5">
        <v>56</v>
      </c>
      <c r="H44" s="5">
        <f t="shared" si="67"/>
        <v>0</v>
      </c>
      <c r="I44" s="5">
        <f t="shared" si="68"/>
        <v>94</v>
      </c>
      <c r="J44" s="5">
        <f t="shared" si="69"/>
        <v>0</v>
      </c>
      <c r="K44" s="98">
        <f t="shared" si="70"/>
        <v>4</v>
      </c>
      <c r="L44" s="5">
        <f t="shared" ref="L44:L64" si="105">1+MAX(IF(Q44,VLOOKUP(Q44,A:L,12,0),0),IF(T44,VLOOKUP(T44,A:L,12,0),0))</f>
        <v>4</v>
      </c>
      <c r="M44" s="5" t="str">
        <f t="shared" si="71"/>
        <v>星光红石碎片  4</v>
      </c>
      <c r="N44" s="5">
        <f t="shared" si="60"/>
        <v>93296</v>
      </c>
      <c r="O44" s="5">
        <f t="shared" si="63"/>
        <v>20</v>
      </c>
      <c r="P44" s="5" t="str">
        <f t="shared" si="72"/>
        <v>红石耳钉  3</v>
      </c>
      <c r="Q44" s="5">
        <f>A31</f>
        <v>92125</v>
      </c>
      <c r="R44" s="91">
        <f t="shared" si="64"/>
        <v>1</v>
      </c>
      <c r="S44" s="5" t="str">
        <f t="shared" si="73"/>
        <v>毒蝎耳钉  3</v>
      </c>
      <c r="T44" s="5">
        <f>A32</f>
        <v>92134</v>
      </c>
      <c r="U44" s="91">
        <f t="shared" si="66"/>
        <v>1</v>
      </c>
      <c r="V44" s="39">
        <f t="shared" si="36"/>
        <v>87</v>
      </c>
      <c r="W44">
        <f t="shared" si="65"/>
        <v>1046.5958691207961</v>
      </c>
      <c r="X44">
        <f t="shared" si="38"/>
        <v>9</v>
      </c>
      <c r="Y44" s="6"/>
      <c r="Z44" s="6">
        <v>1</v>
      </c>
      <c r="AA44" s="6"/>
      <c r="AB44">
        <f t="shared" si="74"/>
        <v>94</v>
      </c>
      <c r="AC44">
        <f t="shared" si="40"/>
        <v>35</v>
      </c>
      <c r="AD44">
        <f t="shared" si="41"/>
        <v>87</v>
      </c>
      <c r="AL44">
        <f>CHOOSE(2,1,COUNTIF(D_马仔培养宝物!$F$2:$K$229,D_马仔宝物!A44))</f>
        <v>20</v>
      </c>
      <c r="AM44">
        <f t="shared" si="75"/>
        <v>92296</v>
      </c>
      <c r="AN44">
        <f t="shared" si="76"/>
        <v>93296</v>
      </c>
      <c r="AO44">
        <f t="shared" si="43"/>
        <v>400</v>
      </c>
      <c r="AP44">
        <f t="shared" si="77"/>
        <v>92125</v>
      </c>
      <c r="AQ44">
        <f t="shared" si="78"/>
        <v>20</v>
      </c>
      <c r="AR44">
        <f t="shared" si="79"/>
        <v>92134</v>
      </c>
      <c r="AS44">
        <f t="shared" si="80"/>
        <v>20</v>
      </c>
      <c r="AT44">
        <f t="shared" si="81"/>
        <v>67</v>
      </c>
      <c r="AV44">
        <f t="shared" si="82"/>
        <v>92296</v>
      </c>
      <c r="AW44">
        <f t="shared" si="44"/>
        <v>92125</v>
      </c>
      <c r="AX44">
        <f t="shared" si="83"/>
        <v>67</v>
      </c>
      <c r="AY44">
        <f t="shared" si="45"/>
        <v>92134</v>
      </c>
      <c r="AZ44">
        <f t="shared" si="84"/>
        <v>67</v>
      </c>
      <c r="BA44">
        <f t="shared" si="85"/>
        <v>0</v>
      </c>
      <c r="BC44">
        <f t="shared" si="86"/>
        <v>92296</v>
      </c>
      <c r="BD44">
        <f t="shared" si="46"/>
        <v>92125</v>
      </c>
      <c r="BE44">
        <f t="shared" si="87"/>
        <v>0</v>
      </c>
      <c r="BF44">
        <f t="shared" si="47"/>
        <v>92134</v>
      </c>
      <c r="BG44">
        <f t="shared" si="88"/>
        <v>0</v>
      </c>
      <c r="BH44">
        <f t="shared" si="89"/>
        <v>0</v>
      </c>
      <c r="BJ44">
        <f t="shared" si="90"/>
        <v>92296</v>
      </c>
      <c r="BK44">
        <f t="shared" si="48"/>
        <v>92125</v>
      </c>
      <c r="BL44">
        <f t="shared" si="91"/>
        <v>0</v>
      </c>
      <c r="BM44">
        <f t="shared" si="49"/>
        <v>92134</v>
      </c>
      <c r="BN44">
        <f t="shared" si="92"/>
        <v>0</v>
      </c>
      <c r="BO44">
        <f t="shared" si="93"/>
        <v>0</v>
      </c>
      <c r="BQ44">
        <f t="shared" si="94"/>
        <v>92296</v>
      </c>
      <c r="BR44">
        <f t="shared" si="50"/>
        <v>92125</v>
      </c>
      <c r="BS44">
        <f t="shared" si="95"/>
        <v>0</v>
      </c>
      <c r="BT44">
        <f t="shared" si="51"/>
        <v>92134</v>
      </c>
      <c r="BU44">
        <f t="shared" si="96"/>
        <v>0</v>
      </c>
      <c r="BV44">
        <f t="shared" si="97"/>
        <v>0</v>
      </c>
      <c r="BX44">
        <f t="shared" si="52"/>
        <v>92296</v>
      </c>
      <c r="BY44">
        <f t="shared" si="53"/>
        <v>92125</v>
      </c>
      <c r="BZ44">
        <f t="shared" si="98"/>
        <v>0</v>
      </c>
      <c r="CA44">
        <f t="shared" si="54"/>
        <v>92134</v>
      </c>
      <c r="CB44">
        <f t="shared" si="99"/>
        <v>0</v>
      </c>
      <c r="CC44">
        <f t="shared" si="100"/>
        <v>0</v>
      </c>
      <c r="CE44">
        <f t="shared" si="55"/>
        <v>92296</v>
      </c>
      <c r="CF44">
        <f t="shared" si="56"/>
        <v>92125</v>
      </c>
      <c r="CG44">
        <f t="shared" si="101"/>
        <v>0</v>
      </c>
      <c r="CH44">
        <f t="shared" si="57"/>
        <v>92134</v>
      </c>
      <c r="CI44">
        <f t="shared" si="102"/>
        <v>0</v>
      </c>
      <c r="CJ44">
        <f t="shared" si="103"/>
        <v>0</v>
      </c>
    </row>
    <row r="45" spans="1:88">
      <c r="A45" s="5">
        <v>92240</v>
      </c>
      <c r="B45" s="5" t="s">
        <v>457</v>
      </c>
      <c r="C45" s="5" t="s">
        <v>496</v>
      </c>
      <c r="D45" s="5">
        <v>1</v>
      </c>
      <c r="E45" s="5" t="s">
        <v>672</v>
      </c>
      <c r="F45" s="5">
        <v>4</v>
      </c>
      <c r="G45" s="5">
        <v>57</v>
      </c>
      <c r="H45" s="5">
        <f t="shared" si="67"/>
        <v>0</v>
      </c>
      <c r="I45" s="5">
        <f t="shared" si="68"/>
        <v>0</v>
      </c>
      <c r="J45" s="5">
        <f t="shared" si="69"/>
        <v>40</v>
      </c>
      <c r="K45" s="98">
        <f t="shared" si="70"/>
        <v>2</v>
      </c>
      <c r="L45" s="5">
        <f t="shared" si="105"/>
        <v>4</v>
      </c>
      <c r="M45" s="5" t="str">
        <f t="shared" si="71"/>
        <v>苍蓝戒指碎片  4</v>
      </c>
      <c r="N45" s="5">
        <f t="shared" si="60"/>
        <v>93240</v>
      </c>
      <c r="O45" s="5">
        <f t="shared" si="63"/>
        <v>20</v>
      </c>
      <c r="P45" s="5" t="str">
        <f t="shared" si="72"/>
        <v>赤金戒指  3</v>
      </c>
      <c r="Q45" s="5">
        <f>A33</f>
        <v>92223</v>
      </c>
      <c r="R45" s="91">
        <f t="shared" si="64"/>
        <v>1</v>
      </c>
      <c r="S45" s="5" t="str">
        <f t="shared" si="73"/>
        <v>符文手环  3</v>
      </c>
      <c r="T45" s="5">
        <f>A35</f>
        <v>92236</v>
      </c>
      <c r="U45" s="91">
        <f t="shared" si="66"/>
        <v>1</v>
      </c>
      <c r="V45" s="39">
        <f t="shared" si="36"/>
        <v>50</v>
      </c>
      <c r="W45">
        <f t="shared" si="65"/>
        <v>1059.110869120796</v>
      </c>
      <c r="X45">
        <f t="shared" si="38"/>
        <v>9</v>
      </c>
      <c r="Y45" s="6"/>
      <c r="Z45" s="6"/>
      <c r="AA45" s="6">
        <v>1</v>
      </c>
      <c r="AB45">
        <f t="shared" si="74"/>
        <v>40</v>
      </c>
      <c r="AC45">
        <f t="shared" si="40"/>
        <v>35</v>
      </c>
      <c r="AD45">
        <f t="shared" si="41"/>
        <v>50</v>
      </c>
      <c r="AL45">
        <f>CHOOSE(2,1,COUNTIF(D_马仔培养宝物!$F$2:$K$229,D_马仔宝物!A45))</f>
        <v>22</v>
      </c>
      <c r="AM45">
        <f t="shared" si="75"/>
        <v>92240</v>
      </c>
      <c r="AN45">
        <f t="shared" si="76"/>
        <v>93240</v>
      </c>
      <c r="AO45">
        <f t="shared" si="43"/>
        <v>440</v>
      </c>
      <c r="AP45">
        <f t="shared" si="77"/>
        <v>92223</v>
      </c>
      <c r="AQ45">
        <f t="shared" si="78"/>
        <v>22</v>
      </c>
      <c r="AR45">
        <f t="shared" si="79"/>
        <v>92236</v>
      </c>
      <c r="AS45">
        <f t="shared" si="80"/>
        <v>22</v>
      </c>
      <c r="AT45">
        <f t="shared" si="81"/>
        <v>28</v>
      </c>
      <c r="AV45">
        <f t="shared" si="82"/>
        <v>92240</v>
      </c>
      <c r="AW45">
        <f t="shared" si="44"/>
        <v>92223</v>
      </c>
      <c r="AX45">
        <f t="shared" si="83"/>
        <v>28</v>
      </c>
      <c r="AY45">
        <f t="shared" si="45"/>
        <v>92236</v>
      </c>
      <c r="AZ45">
        <f t="shared" si="84"/>
        <v>28</v>
      </c>
      <c r="BA45">
        <f t="shared" si="85"/>
        <v>0</v>
      </c>
      <c r="BC45">
        <f t="shared" si="86"/>
        <v>92240</v>
      </c>
      <c r="BD45">
        <f t="shared" si="46"/>
        <v>92223</v>
      </c>
      <c r="BE45">
        <f t="shared" si="87"/>
        <v>0</v>
      </c>
      <c r="BF45">
        <f t="shared" si="47"/>
        <v>92236</v>
      </c>
      <c r="BG45">
        <f t="shared" si="88"/>
        <v>0</v>
      </c>
      <c r="BH45">
        <f t="shared" si="89"/>
        <v>0</v>
      </c>
      <c r="BJ45">
        <f t="shared" si="90"/>
        <v>92240</v>
      </c>
      <c r="BK45">
        <f t="shared" si="48"/>
        <v>92223</v>
      </c>
      <c r="BL45">
        <f t="shared" si="91"/>
        <v>0</v>
      </c>
      <c r="BM45">
        <f t="shared" si="49"/>
        <v>92236</v>
      </c>
      <c r="BN45">
        <f t="shared" si="92"/>
        <v>0</v>
      </c>
      <c r="BO45">
        <f t="shared" si="93"/>
        <v>0</v>
      </c>
      <c r="BQ45">
        <f t="shared" si="94"/>
        <v>92240</v>
      </c>
      <c r="BR45">
        <f t="shared" si="50"/>
        <v>92223</v>
      </c>
      <c r="BS45">
        <f t="shared" si="95"/>
        <v>0</v>
      </c>
      <c r="BT45">
        <f t="shared" si="51"/>
        <v>92236</v>
      </c>
      <c r="BU45">
        <f t="shared" si="96"/>
        <v>0</v>
      </c>
      <c r="BV45">
        <f t="shared" si="97"/>
        <v>0</v>
      </c>
      <c r="BX45">
        <f t="shared" si="52"/>
        <v>92240</v>
      </c>
      <c r="BY45">
        <f t="shared" si="53"/>
        <v>92223</v>
      </c>
      <c r="BZ45">
        <f t="shared" si="98"/>
        <v>0</v>
      </c>
      <c r="CA45">
        <f t="shared" si="54"/>
        <v>92236</v>
      </c>
      <c r="CB45">
        <f t="shared" si="99"/>
        <v>0</v>
      </c>
      <c r="CC45">
        <f t="shared" si="100"/>
        <v>0</v>
      </c>
      <c r="CE45">
        <f t="shared" si="55"/>
        <v>92240</v>
      </c>
      <c r="CF45">
        <f t="shared" si="56"/>
        <v>92223</v>
      </c>
      <c r="CG45">
        <f t="shared" si="101"/>
        <v>0</v>
      </c>
      <c r="CH45">
        <f t="shared" si="57"/>
        <v>92236</v>
      </c>
      <c r="CI45">
        <f t="shared" si="102"/>
        <v>0</v>
      </c>
      <c r="CJ45">
        <f t="shared" si="103"/>
        <v>0</v>
      </c>
    </row>
    <row r="46" spans="1:88">
      <c r="A46" s="5">
        <v>92292</v>
      </c>
      <c r="B46" s="5" t="s">
        <v>473</v>
      </c>
      <c r="C46" s="5" t="s">
        <v>496</v>
      </c>
      <c r="D46" s="5">
        <v>1</v>
      </c>
      <c r="E46" s="5" t="s">
        <v>674</v>
      </c>
      <c r="F46" s="5">
        <v>4</v>
      </c>
      <c r="G46" s="5">
        <v>57</v>
      </c>
      <c r="H46" s="5">
        <f t="shared" si="67"/>
        <v>1852</v>
      </c>
      <c r="I46" s="5">
        <f t="shared" si="68"/>
        <v>0</v>
      </c>
      <c r="J46" s="5">
        <f t="shared" si="69"/>
        <v>0</v>
      </c>
      <c r="K46" s="98">
        <f t="shared" si="70"/>
        <v>2</v>
      </c>
      <c r="L46" s="5">
        <f t="shared" si="105"/>
        <v>4</v>
      </c>
      <c r="M46" s="5" t="str">
        <f t="shared" si="71"/>
        <v>金饰宝盒碎片  4</v>
      </c>
      <c r="N46" s="5">
        <f t="shared" si="60"/>
        <v>93292</v>
      </c>
      <c r="O46" s="5">
        <f t="shared" si="63"/>
        <v>20</v>
      </c>
      <c r="P46" s="5" t="str">
        <f t="shared" si="72"/>
        <v>王者手环  3</v>
      </c>
      <c r="Q46" s="5">
        <f>A34</f>
        <v>92227</v>
      </c>
      <c r="R46" s="91">
        <f t="shared" si="64"/>
        <v>1</v>
      </c>
      <c r="S46" s="5" t="str">
        <f t="shared" si="73"/>
        <v>赤金戒指  3</v>
      </c>
      <c r="T46" s="5">
        <f>A33</f>
        <v>92223</v>
      </c>
      <c r="U46" s="91">
        <f t="shared" si="66"/>
        <v>1</v>
      </c>
      <c r="V46" s="39">
        <f t="shared" si="36"/>
        <v>64</v>
      </c>
      <c r="W46">
        <f t="shared" si="65"/>
        <v>1046.3533691207961</v>
      </c>
      <c r="X46">
        <f t="shared" si="38"/>
        <v>9</v>
      </c>
      <c r="Y46" s="6">
        <v>1</v>
      </c>
      <c r="Z46" s="6"/>
      <c r="AA46" s="6"/>
      <c r="AB46">
        <f t="shared" si="74"/>
        <v>74.08</v>
      </c>
      <c r="AC46">
        <f t="shared" si="40"/>
        <v>35</v>
      </c>
      <c r="AD46">
        <f t="shared" si="41"/>
        <v>64</v>
      </c>
      <c r="AL46">
        <f>CHOOSE(2,1,COUNTIF(D_马仔培养宝物!$F$2:$K$229,D_马仔宝物!A46))</f>
        <v>20</v>
      </c>
      <c r="AM46">
        <f t="shared" si="75"/>
        <v>92292</v>
      </c>
      <c r="AN46">
        <f t="shared" si="76"/>
        <v>93292</v>
      </c>
      <c r="AO46">
        <f t="shared" si="43"/>
        <v>400</v>
      </c>
      <c r="AP46">
        <f t="shared" si="77"/>
        <v>92227</v>
      </c>
      <c r="AQ46">
        <f t="shared" si="78"/>
        <v>20</v>
      </c>
      <c r="AR46">
        <f t="shared" si="79"/>
        <v>92223</v>
      </c>
      <c r="AS46">
        <f t="shared" si="80"/>
        <v>20</v>
      </c>
      <c r="AT46">
        <f t="shared" si="81"/>
        <v>44</v>
      </c>
      <c r="AV46">
        <f t="shared" si="82"/>
        <v>92292</v>
      </c>
      <c r="AW46">
        <f t="shared" si="44"/>
        <v>92227</v>
      </c>
      <c r="AX46">
        <f t="shared" si="83"/>
        <v>44</v>
      </c>
      <c r="AY46">
        <f t="shared" si="45"/>
        <v>92223</v>
      </c>
      <c r="AZ46">
        <f t="shared" si="84"/>
        <v>44</v>
      </c>
      <c r="BA46">
        <f t="shared" si="85"/>
        <v>0</v>
      </c>
      <c r="BC46">
        <f t="shared" si="86"/>
        <v>92292</v>
      </c>
      <c r="BD46">
        <f t="shared" si="46"/>
        <v>92227</v>
      </c>
      <c r="BE46">
        <f t="shared" si="87"/>
        <v>0</v>
      </c>
      <c r="BF46">
        <f t="shared" si="47"/>
        <v>92223</v>
      </c>
      <c r="BG46">
        <f t="shared" si="88"/>
        <v>0</v>
      </c>
      <c r="BH46">
        <f t="shared" si="89"/>
        <v>0</v>
      </c>
      <c r="BJ46">
        <f t="shared" si="90"/>
        <v>92292</v>
      </c>
      <c r="BK46">
        <f t="shared" si="48"/>
        <v>92227</v>
      </c>
      <c r="BL46">
        <f t="shared" si="91"/>
        <v>0</v>
      </c>
      <c r="BM46">
        <f t="shared" si="49"/>
        <v>92223</v>
      </c>
      <c r="BN46">
        <f t="shared" si="92"/>
        <v>0</v>
      </c>
      <c r="BO46">
        <f t="shared" si="93"/>
        <v>0</v>
      </c>
      <c r="BQ46">
        <f t="shared" si="94"/>
        <v>92292</v>
      </c>
      <c r="BR46">
        <f t="shared" si="50"/>
        <v>92227</v>
      </c>
      <c r="BS46">
        <f t="shared" si="95"/>
        <v>0</v>
      </c>
      <c r="BT46">
        <f t="shared" si="51"/>
        <v>92223</v>
      </c>
      <c r="BU46">
        <f t="shared" si="96"/>
        <v>0</v>
      </c>
      <c r="BV46">
        <f t="shared" si="97"/>
        <v>0</v>
      </c>
      <c r="BX46">
        <f t="shared" si="52"/>
        <v>92292</v>
      </c>
      <c r="BY46">
        <f t="shared" si="53"/>
        <v>92227</v>
      </c>
      <c r="BZ46">
        <f t="shared" si="98"/>
        <v>0</v>
      </c>
      <c r="CA46">
        <f t="shared" si="54"/>
        <v>92223</v>
      </c>
      <c r="CB46">
        <f t="shared" si="99"/>
        <v>0</v>
      </c>
      <c r="CC46">
        <f t="shared" si="100"/>
        <v>0</v>
      </c>
      <c r="CE46">
        <f t="shared" si="55"/>
        <v>92292</v>
      </c>
      <c r="CF46">
        <f t="shared" si="56"/>
        <v>92227</v>
      </c>
      <c r="CG46">
        <f t="shared" si="101"/>
        <v>0</v>
      </c>
      <c r="CH46">
        <f t="shared" si="57"/>
        <v>92223</v>
      </c>
      <c r="CI46">
        <f t="shared" si="102"/>
        <v>0</v>
      </c>
      <c r="CJ46">
        <f t="shared" si="103"/>
        <v>0</v>
      </c>
    </row>
    <row r="47" spans="1:88">
      <c r="A47" s="5">
        <v>92256</v>
      </c>
      <c r="B47" s="5" t="s">
        <v>470</v>
      </c>
      <c r="C47" s="5" t="s">
        <v>496</v>
      </c>
      <c r="D47" s="5">
        <v>1</v>
      </c>
      <c r="E47" s="5" t="s">
        <v>72</v>
      </c>
      <c r="F47" s="5">
        <v>4</v>
      </c>
      <c r="G47" s="5">
        <v>58</v>
      </c>
      <c r="H47" s="5">
        <f t="shared" si="67"/>
        <v>0</v>
      </c>
      <c r="I47" s="5">
        <f t="shared" si="68"/>
        <v>94</v>
      </c>
      <c r="J47" s="5">
        <f t="shared" si="69"/>
        <v>0</v>
      </c>
      <c r="K47" s="98">
        <f t="shared" si="70"/>
        <v>2</v>
      </c>
      <c r="L47" s="5">
        <f t="shared" si="105"/>
        <v>4</v>
      </c>
      <c r="M47" s="5" t="str">
        <f t="shared" si="71"/>
        <v>圣徒项链碎片  4</v>
      </c>
      <c r="N47" s="5">
        <f t="shared" si="60"/>
        <v>93256</v>
      </c>
      <c r="O47" s="5">
        <f t="shared" si="63"/>
        <v>20</v>
      </c>
      <c r="P47" s="5" t="str">
        <f t="shared" si="72"/>
        <v>猫妖项链  3</v>
      </c>
      <c r="Q47" s="5">
        <f t="shared" ref="Q47:Q53" si="106">A37</f>
        <v>92253</v>
      </c>
      <c r="R47" s="91">
        <f t="shared" si="64"/>
        <v>1</v>
      </c>
      <c r="S47" s="5" t="str">
        <f t="shared" si="73"/>
        <v>苍蓝项链  3</v>
      </c>
      <c r="T47" s="5">
        <f>A38</f>
        <v>92254</v>
      </c>
      <c r="U47" s="91">
        <f t="shared" si="66"/>
        <v>1</v>
      </c>
      <c r="V47" s="39">
        <f t="shared" si="36"/>
        <v>66</v>
      </c>
      <c r="W47">
        <f t="shared" si="65"/>
        <v>1046.2208691207961</v>
      </c>
      <c r="X47">
        <f t="shared" si="38"/>
        <v>9</v>
      </c>
      <c r="Y47" s="6"/>
      <c r="Z47" s="6">
        <v>1</v>
      </c>
      <c r="AA47" s="6"/>
      <c r="AB47">
        <f t="shared" si="74"/>
        <v>94</v>
      </c>
      <c r="AC47">
        <f t="shared" si="40"/>
        <v>35</v>
      </c>
      <c r="AD47">
        <f t="shared" si="41"/>
        <v>66</v>
      </c>
      <c r="AL47">
        <f>CHOOSE(2,1,COUNTIF(D_马仔培养宝物!$F$2:$K$229,D_马仔宝物!A47))</f>
        <v>26</v>
      </c>
      <c r="AM47">
        <f t="shared" si="75"/>
        <v>92256</v>
      </c>
      <c r="AN47">
        <f t="shared" si="76"/>
        <v>93256</v>
      </c>
      <c r="AO47">
        <f t="shared" si="43"/>
        <v>520</v>
      </c>
      <c r="AP47">
        <f t="shared" si="77"/>
        <v>92253</v>
      </c>
      <c r="AQ47">
        <f t="shared" si="78"/>
        <v>26</v>
      </c>
      <c r="AR47">
        <f t="shared" si="79"/>
        <v>92254</v>
      </c>
      <c r="AS47">
        <f t="shared" si="80"/>
        <v>26</v>
      </c>
      <c r="AT47">
        <f t="shared" si="81"/>
        <v>40</v>
      </c>
      <c r="AV47">
        <f t="shared" si="82"/>
        <v>92256</v>
      </c>
      <c r="AW47">
        <f t="shared" si="44"/>
        <v>92253</v>
      </c>
      <c r="AX47">
        <f t="shared" si="83"/>
        <v>40</v>
      </c>
      <c r="AY47">
        <f t="shared" si="45"/>
        <v>92254</v>
      </c>
      <c r="AZ47">
        <f t="shared" si="84"/>
        <v>40</v>
      </c>
      <c r="BA47">
        <f t="shared" si="85"/>
        <v>0</v>
      </c>
      <c r="BC47">
        <f t="shared" si="86"/>
        <v>92256</v>
      </c>
      <c r="BD47">
        <f t="shared" si="46"/>
        <v>92253</v>
      </c>
      <c r="BE47">
        <f t="shared" si="87"/>
        <v>0</v>
      </c>
      <c r="BF47">
        <f t="shared" si="47"/>
        <v>92254</v>
      </c>
      <c r="BG47">
        <f t="shared" si="88"/>
        <v>0</v>
      </c>
      <c r="BH47">
        <f t="shared" si="89"/>
        <v>0</v>
      </c>
      <c r="BJ47">
        <f t="shared" si="90"/>
        <v>92256</v>
      </c>
      <c r="BK47">
        <f t="shared" si="48"/>
        <v>92253</v>
      </c>
      <c r="BL47">
        <f t="shared" si="91"/>
        <v>0</v>
      </c>
      <c r="BM47">
        <f t="shared" si="49"/>
        <v>92254</v>
      </c>
      <c r="BN47">
        <f t="shared" si="92"/>
        <v>0</v>
      </c>
      <c r="BO47">
        <f t="shared" si="93"/>
        <v>0</v>
      </c>
      <c r="BQ47">
        <f t="shared" si="94"/>
        <v>92256</v>
      </c>
      <c r="BR47">
        <f t="shared" si="50"/>
        <v>92253</v>
      </c>
      <c r="BS47">
        <f t="shared" si="95"/>
        <v>0</v>
      </c>
      <c r="BT47">
        <f t="shared" si="51"/>
        <v>92254</v>
      </c>
      <c r="BU47">
        <f t="shared" si="96"/>
        <v>0</v>
      </c>
      <c r="BV47">
        <f t="shared" si="97"/>
        <v>0</v>
      </c>
      <c r="BX47">
        <f t="shared" si="52"/>
        <v>92256</v>
      </c>
      <c r="BY47">
        <f t="shared" si="53"/>
        <v>92253</v>
      </c>
      <c r="BZ47">
        <f t="shared" si="98"/>
        <v>0</v>
      </c>
      <c r="CA47">
        <f t="shared" si="54"/>
        <v>92254</v>
      </c>
      <c r="CB47">
        <f t="shared" si="99"/>
        <v>0</v>
      </c>
      <c r="CC47">
        <f t="shared" si="100"/>
        <v>0</v>
      </c>
      <c r="CE47">
        <f t="shared" si="55"/>
        <v>92256</v>
      </c>
      <c r="CF47">
        <f t="shared" si="56"/>
        <v>92253</v>
      </c>
      <c r="CG47">
        <f t="shared" si="101"/>
        <v>0</v>
      </c>
      <c r="CH47">
        <f t="shared" si="57"/>
        <v>92254</v>
      </c>
      <c r="CI47">
        <f t="shared" si="102"/>
        <v>0</v>
      </c>
      <c r="CJ47">
        <f t="shared" si="103"/>
        <v>0</v>
      </c>
    </row>
    <row r="48" spans="1:88">
      <c r="A48" s="5">
        <v>92261</v>
      </c>
      <c r="B48" s="5" t="s">
        <v>461</v>
      </c>
      <c r="C48" s="5" t="s">
        <v>496</v>
      </c>
      <c r="D48" s="5">
        <v>1</v>
      </c>
      <c r="E48" s="5" t="s">
        <v>76</v>
      </c>
      <c r="F48" s="5">
        <v>4</v>
      </c>
      <c r="G48" s="5">
        <v>58</v>
      </c>
      <c r="H48" s="5">
        <f t="shared" si="67"/>
        <v>0</v>
      </c>
      <c r="I48" s="5">
        <f t="shared" si="68"/>
        <v>0</v>
      </c>
      <c r="J48" s="5">
        <f t="shared" si="69"/>
        <v>40</v>
      </c>
      <c r="K48" s="98">
        <f t="shared" si="70"/>
        <v>2</v>
      </c>
      <c r="L48" s="5">
        <f t="shared" si="105"/>
        <v>4</v>
      </c>
      <c r="M48" s="5" t="str">
        <f t="shared" si="71"/>
        <v>贵族项链碎片  4</v>
      </c>
      <c r="N48" s="5">
        <f t="shared" si="60"/>
        <v>93261</v>
      </c>
      <c r="O48" s="5">
        <f t="shared" si="63"/>
        <v>20</v>
      </c>
      <c r="P48" s="5" t="str">
        <f t="shared" si="72"/>
        <v>苍蓝项链  3</v>
      </c>
      <c r="Q48" s="5">
        <f t="shared" si="106"/>
        <v>92254</v>
      </c>
      <c r="R48" s="91">
        <f t="shared" si="64"/>
        <v>1</v>
      </c>
      <c r="S48" s="5" t="str">
        <f t="shared" si="73"/>
        <v>猫妖项链  3</v>
      </c>
      <c r="T48" s="5">
        <f>A37</f>
        <v>92253</v>
      </c>
      <c r="U48" s="91">
        <f t="shared" si="66"/>
        <v>1</v>
      </c>
      <c r="V48" s="39">
        <f t="shared" si="36"/>
        <v>60</v>
      </c>
      <c r="W48">
        <f t="shared" si="65"/>
        <v>1046.2208691207961</v>
      </c>
      <c r="X48">
        <f t="shared" si="38"/>
        <v>9</v>
      </c>
      <c r="Y48" s="6"/>
      <c r="Z48" s="6"/>
      <c r="AA48" s="6">
        <v>1</v>
      </c>
      <c r="AB48">
        <f t="shared" si="74"/>
        <v>40</v>
      </c>
      <c r="AC48">
        <f t="shared" si="40"/>
        <v>35</v>
      </c>
      <c r="AD48">
        <f t="shared" si="41"/>
        <v>60</v>
      </c>
      <c r="AL48">
        <f>CHOOSE(2,1,COUNTIF(D_马仔培养宝物!$F$2:$K$229,D_马仔宝物!A48))</f>
        <v>20</v>
      </c>
      <c r="AM48">
        <f t="shared" si="75"/>
        <v>92261</v>
      </c>
      <c r="AN48">
        <f t="shared" si="76"/>
        <v>93261</v>
      </c>
      <c r="AO48">
        <f t="shared" si="43"/>
        <v>400</v>
      </c>
      <c r="AP48">
        <f t="shared" si="77"/>
        <v>92254</v>
      </c>
      <c r="AQ48">
        <f t="shared" si="78"/>
        <v>20</v>
      </c>
      <c r="AR48">
        <f t="shared" si="79"/>
        <v>92253</v>
      </c>
      <c r="AS48">
        <f t="shared" si="80"/>
        <v>20</v>
      </c>
      <c r="AT48">
        <f t="shared" si="81"/>
        <v>40</v>
      </c>
      <c r="AV48">
        <f t="shared" si="82"/>
        <v>92261</v>
      </c>
      <c r="AW48">
        <f t="shared" si="44"/>
        <v>92254</v>
      </c>
      <c r="AX48">
        <f t="shared" si="83"/>
        <v>40</v>
      </c>
      <c r="AY48">
        <f t="shared" si="45"/>
        <v>92253</v>
      </c>
      <c r="AZ48">
        <f t="shared" si="84"/>
        <v>40</v>
      </c>
      <c r="BA48">
        <f t="shared" si="85"/>
        <v>0</v>
      </c>
      <c r="BC48">
        <f t="shared" si="86"/>
        <v>92261</v>
      </c>
      <c r="BD48">
        <f t="shared" si="46"/>
        <v>92254</v>
      </c>
      <c r="BE48">
        <f t="shared" si="87"/>
        <v>0</v>
      </c>
      <c r="BF48">
        <f t="shared" si="47"/>
        <v>92253</v>
      </c>
      <c r="BG48">
        <f t="shared" si="88"/>
        <v>0</v>
      </c>
      <c r="BH48">
        <f t="shared" si="89"/>
        <v>0</v>
      </c>
      <c r="BJ48">
        <f t="shared" si="90"/>
        <v>92261</v>
      </c>
      <c r="BK48">
        <f t="shared" si="48"/>
        <v>92254</v>
      </c>
      <c r="BL48">
        <f t="shared" si="91"/>
        <v>0</v>
      </c>
      <c r="BM48">
        <f t="shared" si="49"/>
        <v>92253</v>
      </c>
      <c r="BN48">
        <f t="shared" si="92"/>
        <v>0</v>
      </c>
      <c r="BO48">
        <f t="shared" si="93"/>
        <v>0</v>
      </c>
      <c r="BQ48">
        <f t="shared" si="94"/>
        <v>92261</v>
      </c>
      <c r="BR48">
        <f t="shared" si="50"/>
        <v>92254</v>
      </c>
      <c r="BS48">
        <f t="shared" si="95"/>
        <v>0</v>
      </c>
      <c r="BT48">
        <f t="shared" si="51"/>
        <v>92253</v>
      </c>
      <c r="BU48">
        <f t="shared" si="96"/>
        <v>0</v>
      </c>
      <c r="BV48">
        <f t="shared" si="97"/>
        <v>0</v>
      </c>
      <c r="BX48">
        <f t="shared" si="52"/>
        <v>92261</v>
      </c>
      <c r="BY48">
        <f t="shared" si="53"/>
        <v>92254</v>
      </c>
      <c r="BZ48">
        <f t="shared" si="98"/>
        <v>0</v>
      </c>
      <c r="CA48">
        <f t="shared" si="54"/>
        <v>92253</v>
      </c>
      <c r="CB48">
        <f t="shared" si="99"/>
        <v>0</v>
      </c>
      <c r="CC48">
        <f t="shared" si="100"/>
        <v>0</v>
      </c>
      <c r="CE48">
        <f t="shared" si="55"/>
        <v>92261</v>
      </c>
      <c r="CF48">
        <f t="shared" si="56"/>
        <v>92254</v>
      </c>
      <c r="CG48">
        <f t="shared" si="101"/>
        <v>0</v>
      </c>
      <c r="CH48">
        <f t="shared" si="57"/>
        <v>92253</v>
      </c>
      <c r="CI48">
        <f t="shared" si="102"/>
        <v>0</v>
      </c>
      <c r="CJ48">
        <f t="shared" si="103"/>
        <v>0</v>
      </c>
    </row>
    <row r="49" spans="1:88">
      <c r="A49" s="5">
        <v>92275</v>
      </c>
      <c r="B49" s="5" t="s">
        <v>474</v>
      </c>
      <c r="C49" s="5" t="s">
        <v>496</v>
      </c>
      <c r="D49" s="5">
        <v>1</v>
      </c>
      <c r="E49" s="5" t="s">
        <v>75</v>
      </c>
      <c r="F49" s="5">
        <v>4</v>
      </c>
      <c r="G49" s="5">
        <v>59</v>
      </c>
      <c r="H49" s="5">
        <f t="shared" si="67"/>
        <v>1852</v>
      </c>
      <c r="I49" s="5">
        <f t="shared" si="68"/>
        <v>0</v>
      </c>
      <c r="J49" s="5">
        <f t="shared" si="69"/>
        <v>0</v>
      </c>
      <c r="K49" s="98">
        <f t="shared" si="70"/>
        <v>2</v>
      </c>
      <c r="L49" s="5">
        <f t="shared" si="105"/>
        <v>4</v>
      </c>
      <c r="M49" s="5" t="str">
        <f t="shared" si="71"/>
        <v>千国手表碎片  4</v>
      </c>
      <c r="N49" s="5">
        <f t="shared" si="60"/>
        <v>93275</v>
      </c>
      <c r="O49" s="5">
        <f t="shared" si="63"/>
        <v>20</v>
      </c>
      <c r="P49" s="5" t="str">
        <f t="shared" si="72"/>
        <v>汉密手表  3</v>
      </c>
      <c r="Q49" s="5">
        <f t="shared" si="106"/>
        <v>92274</v>
      </c>
      <c r="R49" s="91">
        <f t="shared" si="64"/>
        <v>1</v>
      </c>
      <c r="S49" s="5" t="str">
        <f t="shared" si="73"/>
        <v>王者手环  3</v>
      </c>
      <c r="T49" s="5">
        <f>A34</f>
        <v>92227</v>
      </c>
      <c r="U49" s="91">
        <f t="shared" si="66"/>
        <v>1</v>
      </c>
      <c r="V49" s="39">
        <f t="shared" si="36"/>
        <v>54</v>
      </c>
      <c r="W49">
        <f t="shared" si="65"/>
        <v>1061.1180778120042</v>
      </c>
      <c r="X49">
        <f t="shared" si="38"/>
        <v>9</v>
      </c>
      <c r="Y49" s="6">
        <v>1</v>
      </c>
      <c r="Z49" s="6"/>
      <c r="AA49" s="6"/>
      <c r="AB49">
        <f t="shared" si="74"/>
        <v>74.08</v>
      </c>
      <c r="AC49">
        <f t="shared" si="40"/>
        <v>35</v>
      </c>
      <c r="AD49">
        <f t="shared" si="41"/>
        <v>54</v>
      </c>
      <c r="AL49">
        <f>CHOOSE(2,1,COUNTIF(D_马仔培养宝物!$F$2:$K$229,D_马仔宝物!A49))</f>
        <v>18</v>
      </c>
      <c r="AM49">
        <f t="shared" si="75"/>
        <v>92275</v>
      </c>
      <c r="AN49">
        <f t="shared" si="76"/>
        <v>93275</v>
      </c>
      <c r="AO49">
        <f t="shared" si="43"/>
        <v>360</v>
      </c>
      <c r="AP49">
        <f t="shared" si="77"/>
        <v>92274</v>
      </c>
      <c r="AQ49">
        <f t="shared" si="78"/>
        <v>18</v>
      </c>
      <c r="AR49">
        <f t="shared" si="79"/>
        <v>92227</v>
      </c>
      <c r="AS49">
        <f t="shared" si="80"/>
        <v>18</v>
      </c>
      <c r="AT49">
        <f t="shared" si="81"/>
        <v>36</v>
      </c>
      <c r="AV49">
        <f t="shared" si="82"/>
        <v>92275</v>
      </c>
      <c r="AW49">
        <f t="shared" si="44"/>
        <v>92274</v>
      </c>
      <c r="AX49">
        <f t="shared" si="83"/>
        <v>36</v>
      </c>
      <c r="AY49">
        <f t="shared" si="45"/>
        <v>92227</v>
      </c>
      <c r="AZ49">
        <f t="shared" si="84"/>
        <v>36</v>
      </c>
      <c r="BA49">
        <f t="shared" si="85"/>
        <v>0</v>
      </c>
      <c r="BC49">
        <f t="shared" si="86"/>
        <v>92275</v>
      </c>
      <c r="BD49">
        <f t="shared" si="46"/>
        <v>92274</v>
      </c>
      <c r="BE49">
        <f t="shared" si="87"/>
        <v>0</v>
      </c>
      <c r="BF49">
        <f t="shared" si="47"/>
        <v>92227</v>
      </c>
      <c r="BG49">
        <f t="shared" si="88"/>
        <v>0</v>
      </c>
      <c r="BH49">
        <f t="shared" si="89"/>
        <v>0</v>
      </c>
      <c r="BJ49">
        <f t="shared" si="90"/>
        <v>92275</v>
      </c>
      <c r="BK49">
        <f t="shared" si="48"/>
        <v>92274</v>
      </c>
      <c r="BL49">
        <f t="shared" si="91"/>
        <v>0</v>
      </c>
      <c r="BM49">
        <f t="shared" si="49"/>
        <v>92227</v>
      </c>
      <c r="BN49">
        <f t="shared" si="92"/>
        <v>0</v>
      </c>
      <c r="BO49">
        <f t="shared" si="93"/>
        <v>0</v>
      </c>
      <c r="BQ49">
        <f t="shared" si="94"/>
        <v>92275</v>
      </c>
      <c r="BR49">
        <f t="shared" si="50"/>
        <v>92274</v>
      </c>
      <c r="BS49">
        <f t="shared" si="95"/>
        <v>0</v>
      </c>
      <c r="BT49">
        <f t="shared" si="51"/>
        <v>92227</v>
      </c>
      <c r="BU49">
        <f t="shared" si="96"/>
        <v>0</v>
      </c>
      <c r="BV49">
        <f t="shared" si="97"/>
        <v>0</v>
      </c>
      <c r="BX49">
        <f t="shared" si="52"/>
        <v>92275</v>
      </c>
      <c r="BY49">
        <f t="shared" si="53"/>
        <v>92274</v>
      </c>
      <c r="BZ49">
        <f t="shared" si="98"/>
        <v>0</v>
      </c>
      <c r="CA49">
        <f t="shared" si="54"/>
        <v>92227</v>
      </c>
      <c r="CB49">
        <f t="shared" si="99"/>
        <v>0</v>
      </c>
      <c r="CC49">
        <f t="shared" si="100"/>
        <v>0</v>
      </c>
      <c r="CE49">
        <f t="shared" si="55"/>
        <v>92275</v>
      </c>
      <c r="CF49">
        <f t="shared" si="56"/>
        <v>92274</v>
      </c>
      <c r="CG49">
        <f t="shared" si="101"/>
        <v>0</v>
      </c>
      <c r="CH49">
        <f t="shared" si="57"/>
        <v>92227</v>
      </c>
      <c r="CI49">
        <f t="shared" si="102"/>
        <v>0</v>
      </c>
      <c r="CJ49">
        <f t="shared" si="103"/>
        <v>0</v>
      </c>
    </row>
    <row r="50" spans="1:88">
      <c r="A50" s="5">
        <v>92281</v>
      </c>
      <c r="B50" s="5" t="s">
        <v>484</v>
      </c>
      <c r="C50" s="5" t="s">
        <v>496</v>
      </c>
      <c r="D50" s="5">
        <v>1</v>
      </c>
      <c r="E50" s="5" t="s">
        <v>79</v>
      </c>
      <c r="F50" s="5">
        <v>4</v>
      </c>
      <c r="G50" s="5">
        <v>59</v>
      </c>
      <c r="H50" s="5">
        <f t="shared" si="67"/>
        <v>0</v>
      </c>
      <c r="I50" s="5">
        <f t="shared" si="68"/>
        <v>94</v>
      </c>
      <c r="J50" s="5">
        <f t="shared" si="69"/>
        <v>0</v>
      </c>
      <c r="K50" s="98">
        <f t="shared" si="70"/>
        <v>2</v>
      </c>
      <c r="L50" s="5">
        <f t="shared" si="105"/>
        <v>4</v>
      </c>
      <c r="M50" s="5" t="str">
        <f t="shared" si="71"/>
        <v>红博机利碎片  4</v>
      </c>
      <c r="N50" s="5">
        <f t="shared" si="60"/>
        <v>93281</v>
      </c>
      <c r="O50" s="5">
        <f t="shared" si="63"/>
        <v>20</v>
      </c>
      <c r="P50" s="5" t="str">
        <f t="shared" si="72"/>
        <v>法拉捷  3</v>
      </c>
      <c r="Q50" s="5">
        <f t="shared" si="106"/>
        <v>92280</v>
      </c>
      <c r="R50" s="91">
        <f t="shared" si="64"/>
        <v>1</v>
      </c>
      <c r="S50" s="5" t="str">
        <f t="shared" si="73"/>
        <v>小堆金块  3</v>
      </c>
      <c r="T50" s="5">
        <f>A42</f>
        <v>92289</v>
      </c>
      <c r="U50" s="91">
        <f t="shared" si="66"/>
        <v>1</v>
      </c>
      <c r="V50" s="39">
        <f t="shared" si="36"/>
        <v>58</v>
      </c>
      <c r="W50">
        <f t="shared" si="65"/>
        <v>1071.8683691207962</v>
      </c>
      <c r="X50">
        <f t="shared" si="38"/>
        <v>9</v>
      </c>
      <c r="Y50" s="6"/>
      <c r="Z50" s="6">
        <v>1</v>
      </c>
      <c r="AA50" s="6"/>
      <c r="AB50">
        <f t="shared" si="74"/>
        <v>94</v>
      </c>
      <c r="AC50">
        <f t="shared" si="40"/>
        <v>35</v>
      </c>
      <c r="AD50">
        <f t="shared" si="41"/>
        <v>58</v>
      </c>
      <c r="AL50">
        <f>CHOOSE(2,1,COUNTIF(D_马仔培养宝物!$F$2:$K$229,D_马仔宝物!A50))</f>
        <v>19</v>
      </c>
      <c r="AM50">
        <f t="shared" si="75"/>
        <v>92281</v>
      </c>
      <c r="AN50">
        <f t="shared" si="76"/>
        <v>93281</v>
      </c>
      <c r="AO50">
        <f t="shared" si="43"/>
        <v>380</v>
      </c>
      <c r="AP50">
        <f t="shared" si="77"/>
        <v>92280</v>
      </c>
      <c r="AQ50">
        <f t="shared" si="78"/>
        <v>19</v>
      </c>
      <c r="AR50">
        <f t="shared" si="79"/>
        <v>92289</v>
      </c>
      <c r="AS50">
        <f t="shared" si="80"/>
        <v>19</v>
      </c>
      <c r="AT50">
        <f t="shared" si="81"/>
        <v>39</v>
      </c>
      <c r="AV50">
        <f t="shared" si="82"/>
        <v>92281</v>
      </c>
      <c r="AW50">
        <f t="shared" si="44"/>
        <v>92280</v>
      </c>
      <c r="AX50">
        <f t="shared" si="83"/>
        <v>39</v>
      </c>
      <c r="AY50">
        <f t="shared" si="45"/>
        <v>92289</v>
      </c>
      <c r="AZ50">
        <f t="shared" si="84"/>
        <v>39</v>
      </c>
      <c r="BA50">
        <f t="shared" si="85"/>
        <v>0</v>
      </c>
      <c r="BC50">
        <f t="shared" si="86"/>
        <v>92281</v>
      </c>
      <c r="BD50">
        <f t="shared" si="46"/>
        <v>92280</v>
      </c>
      <c r="BE50">
        <f t="shared" si="87"/>
        <v>0</v>
      </c>
      <c r="BF50">
        <f t="shared" si="47"/>
        <v>92289</v>
      </c>
      <c r="BG50">
        <f t="shared" si="88"/>
        <v>0</v>
      </c>
      <c r="BH50">
        <f t="shared" si="89"/>
        <v>0</v>
      </c>
      <c r="BJ50">
        <f t="shared" si="90"/>
        <v>92281</v>
      </c>
      <c r="BK50">
        <f t="shared" si="48"/>
        <v>92280</v>
      </c>
      <c r="BL50">
        <f t="shared" si="91"/>
        <v>0</v>
      </c>
      <c r="BM50">
        <f t="shared" si="49"/>
        <v>92289</v>
      </c>
      <c r="BN50">
        <f t="shared" si="92"/>
        <v>0</v>
      </c>
      <c r="BO50">
        <f t="shared" si="93"/>
        <v>0</v>
      </c>
      <c r="BQ50">
        <f t="shared" si="94"/>
        <v>92281</v>
      </c>
      <c r="BR50">
        <f t="shared" si="50"/>
        <v>92280</v>
      </c>
      <c r="BS50">
        <f t="shared" si="95"/>
        <v>0</v>
      </c>
      <c r="BT50">
        <f t="shared" si="51"/>
        <v>92289</v>
      </c>
      <c r="BU50">
        <f t="shared" si="96"/>
        <v>0</v>
      </c>
      <c r="BV50">
        <f t="shared" si="97"/>
        <v>0</v>
      </c>
      <c r="BX50">
        <f t="shared" si="52"/>
        <v>92281</v>
      </c>
      <c r="BY50">
        <f t="shared" si="53"/>
        <v>92280</v>
      </c>
      <c r="BZ50">
        <f t="shared" si="98"/>
        <v>0</v>
      </c>
      <c r="CA50">
        <f t="shared" si="54"/>
        <v>92289</v>
      </c>
      <c r="CB50">
        <f t="shared" si="99"/>
        <v>0</v>
      </c>
      <c r="CC50">
        <f t="shared" si="100"/>
        <v>0</v>
      </c>
      <c r="CE50">
        <f t="shared" si="55"/>
        <v>92281</v>
      </c>
      <c r="CF50">
        <f t="shared" si="56"/>
        <v>92280</v>
      </c>
      <c r="CG50">
        <f t="shared" si="101"/>
        <v>0</v>
      </c>
      <c r="CH50">
        <f t="shared" si="57"/>
        <v>92289</v>
      </c>
      <c r="CI50">
        <f t="shared" si="102"/>
        <v>0</v>
      </c>
      <c r="CJ50">
        <f t="shared" si="103"/>
        <v>0</v>
      </c>
    </row>
    <row r="51" spans="1:88">
      <c r="A51" s="5">
        <v>92286</v>
      </c>
      <c r="B51" s="5" t="s">
        <v>490</v>
      </c>
      <c r="C51" s="5" t="s">
        <v>496</v>
      </c>
      <c r="D51" s="5">
        <v>1</v>
      </c>
      <c r="E51" s="5" t="s">
        <v>85</v>
      </c>
      <c r="F51" s="5">
        <v>4</v>
      </c>
      <c r="G51" s="5">
        <v>60</v>
      </c>
      <c r="H51" s="5">
        <f t="shared" si="67"/>
        <v>0</v>
      </c>
      <c r="I51" s="5">
        <f t="shared" si="68"/>
        <v>0</v>
      </c>
      <c r="J51" s="5">
        <f t="shared" si="69"/>
        <v>40</v>
      </c>
      <c r="K51" s="98">
        <f t="shared" si="70"/>
        <v>2</v>
      </c>
      <c r="L51" s="5">
        <f t="shared" si="105"/>
        <v>4</v>
      </c>
      <c r="M51" s="5" t="str">
        <f t="shared" si="71"/>
        <v>巨额钞票碎片  4</v>
      </c>
      <c r="N51" s="5">
        <f t="shared" si="60"/>
        <v>93286</v>
      </c>
      <c r="O51" s="5">
        <f t="shared" si="63"/>
        <v>20</v>
      </c>
      <c r="P51" s="5" t="str">
        <f t="shared" si="72"/>
        <v>大堆钞票  3</v>
      </c>
      <c r="Q51" s="5">
        <f t="shared" si="106"/>
        <v>92285</v>
      </c>
      <c r="R51" s="91">
        <f t="shared" si="64"/>
        <v>2</v>
      </c>
      <c r="S51" s="5" t="str">
        <f t="shared" si="73"/>
        <v/>
      </c>
      <c r="T51" s="5"/>
      <c r="U51" s="91">
        <f t="shared" si="66"/>
        <v>0</v>
      </c>
      <c r="V51" s="39">
        <f t="shared" si="36"/>
        <v>100</v>
      </c>
      <c r="W51">
        <f t="shared" si="65"/>
        <v>1072.0008691207961</v>
      </c>
      <c r="X51">
        <f t="shared" si="38"/>
        <v>9</v>
      </c>
      <c r="Y51" s="6"/>
      <c r="Z51" s="6"/>
      <c r="AA51" s="6">
        <v>1</v>
      </c>
      <c r="AB51">
        <f t="shared" si="74"/>
        <v>40</v>
      </c>
      <c r="AC51">
        <f t="shared" si="40"/>
        <v>35</v>
      </c>
      <c r="AD51">
        <f t="shared" si="41"/>
        <v>100</v>
      </c>
      <c r="AL51">
        <f>CHOOSE(2,1,COUNTIF(D_马仔培养宝物!$F$2:$K$229,D_马仔宝物!A51))</f>
        <v>25</v>
      </c>
      <c r="AM51">
        <f t="shared" si="75"/>
        <v>92286</v>
      </c>
      <c r="AN51">
        <f t="shared" si="76"/>
        <v>93286</v>
      </c>
      <c r="AO51">
        <f t="shared" si="43"/>
        <v>500</v>
      </c>
      <c r="AP51">
        <f t="shared" si="77"/>
        <v>92285</v>
      </c>
      <c r="AQ51">
        <f t="shared" si="78"/>
        <v>50</v>
      </c>
      <c r="AR51">
        <f t="shared" si="79"/>
        <v>0</v>
      </c>
      <c r="AS51">
        <f t="shared" si="80"/>
        <v>0</v>
      </c>
      <c r="AT51">
        <f t="shared" si="81"/>
        <v>75</v>
      </c>
      <c r="AV51">
        <f t="shared" si="82"/>
        <v>92286</v>
      </c>
      <c r="AW51">
        <f t="shared" si="44"/>
        <v>92285</v>
      </c>
      <c r="AX51">
        <f t="shared" si="83"/>
        <v>150</v>
      </c>
      <c r="AY51">
        <f t="shared" si="45"/>
        <v>0</v>
      </c>
      <c r="AZ51">
        <f t="shared" si="84"/>
        <v>0</v>
      </c>
      <c r="BA51">
        <f t="shared" si="85"/>
        <v>0</v>
      </c>
      <c r="BC51">
        <f t="shared" si="86"/>
        <v>92286</v>
      </c>
      <c r="BD51">
        <f t="shared" si="46"/>
        <v>92285</v>
      </c>
      <c r="BE51">
        <f t="shared" si="87"/>
        <v>0</v>
      </c>
      <c r="BF51">
        <f t="shared" si="47"/>
        <v>0</v>
      </c>
      <c r="BG51">
        <f t="shared" si="88"/>
        <v>0</v>
      </c>
      <c r="BH51">
        <f t="shared" si="89"/>
        <v>0</v>
      </c>
      <c r="BJ51">
        <f t="shared" si="90"/>
        <v>92286</v>
      </c>
      <c r="BK51">
        <f t="shared" si="48"/>
        <v>92285</v>
      </c>
      <c r="BL51">
        <f t="shared" si="91"/>
        <v>0</v>
      </c>
      <c r="BM51">
        <f t="shared" si="49"/>
        <v>0</v>
      </c>
      <c r="BN51">
        <f t="shared" si="92"/>
        <v>0</v>
      </c>
      <c r="BO51">
        <f t="shared" si="93"/>
        <v>0</v>
      </c>
      <c r="BQ51">
        <f t="shared" si="94"/>
        <v>92286</v>
      </c>
      <c r="BR51">
        <f t="shared" si="50"/>
        <v>92285</v>
      </c>
      <c r="BS51">
        <f t="shared" si="95"/>
        <v>0</v>
      </c>
      <c r="BT51">
        <f t="shared" si="51"/>
        <v>0</v>
      </c>
      <c r="BU51">
        <f t="shared" si="96"/>
        <v>0</v>
      </c>
      <c r="BV51">
        <f t="shared" si="97"/>
        <v>0</v>
      </c>
      <c r="BX51">
        <f t="shared" si="52"/>
        <v>92286</v>
      </c>
      <c r="BY51">
        <f t="shared" si="53"/>
        <v>92285</v>
      </c>
      <c r="BZ51">
        <f t="shared" si="98"/>
        <v>0</v>
      </c>
      <c r="CA51">
        <f t="shared" si="54"/>
        <v>0</v>
      </c>
      <c r="CB51">
        <f t="shared" si="99"/>
        <v>0</v>
      </c>
      <c r="CC51">
        <f t="shared" si="100"/>
        <v>0</v>
      </c>
      <c r="CE51">
        <f t="shared" si="55"/>
        <v>92286</v>
      </c>
      <c r="CF51">
        <f t="shared" si="56"/>
        <v>92285</v>
      </c>
      <c r="CG51">
        <f t="shared" si="101"/>
        <v>0</v>
      </c>
      <c r="CH51">
        <f t="shared" si="57"/>
        <v>0</v>
      </c>
      <c r="CI51">
        <f t="shared" si="102"/>
        <v>0</v>
      </c>
      <c r="CJ51">
        <f t="shared" si="103"/>
        <v>0</v>
      </c>
    </row>
    <row r="52" spans="1:88">
      <c r="A52" s="5">
        <v>92290</v>
      </c>
      <c r="B52" s="5" t="s">
        <v>487</v>
      </c>
      <c r="C52" s="5" t="s">
        <v>496</v>
      </c>
      <c r="D52" s="5">
        <v>1</v>
      </c>
      <c r="E52" s="5" t="s">
        <v>82</v>
      </c>
      <c r="F52" s="5">
        <v>4</v>
      </c>
      <c r="G52" s="5">
        <v>60</v>
      </c>
      <c r="H52" s="5">
        <f t="shared" si="67"/>
        <v>1852</v>
      </c>
      <c r="I52" s="5">
        <f t="shared" si="68"/>
        <v>0</v>
      </c>
      <c r="J52" s="5">
        <f t="shared" si="69"/>
        <v>0</v>
      </c>
      <c r="K52" s="98">
        <f t="shared" si="70"/>
        <v>2</v>
      </c>
      <c r="L52" s="5">
        <f t="shared" si="105"/>
        <v>4</v>
      </c>
      <c r="M52" s="5" t="str">
        <f t="shared" si="71"/>
        <v>大堆金块碎片  4</v>
      </c>
      <c r="N52" s="5">
        <f t="shared" si="60"/>
        <v>93290</v>
      </c>
      <c r="O52" s="5">
        <f t="shared" si="63"/>
        <v>20</v>
      </c>
      <c r="P52" s="5" t="str">
        <f t="shared" si="72"/>
        <v>小堆金块  3</v>
      </c>
      <c r="Q52" s="5">
        <f t="shared" si="106"/>
        <v>92289</v>
      </c>
      <c r="R52" s="91">
        <f t="shared" si="64"/>
        <v>2</v>
      </c>
      <c r="S52" s="5" t="str">
        <f t="shared" si="73"/>
        <v/>
      </c>
      <c r="T52" s="5"/>
      <c r="U52" s="91">
        <f t="shared" si="66"/>
        <v>0</v>
      </c>
      <c r="V52" s="39">
        <f t="shared" si="36"/>
        <v>91</v>
      </c>
      <c r="W52">
        <f t="shared" si="65"/>
        <v>1072.0008691207961</v>
      </c>
      <c r="X52">
        <f t="shared" si="38"/>
        <v>9</v>
      </c>
      <c r="Y52" s="6">
        <v>1</v>
      </c>
      <c r="Z52" s="6"/>
      <c r="AA52" s="6"/>
      <c r="AB52">
        <f t="shared" si="74"/>
        <v>74.08</v>
      </c>
      <c r="AC52">
        <f t="shared" si="40"/>
        <v>35</v>
      </c>
      <c r="AD52">
        <f t="shared" si="41"/>
        <v>91</v>
      </c>
      <c r="AL52">
        <f>CHOOSE(2,1,COUNTIF(D_马仔培养宝物!$F$2:$K$229,D_马仔宝物!A52))</f>
        <v>25</v>
      </c>
      <c r="AM52">
        <f t="shared" si="75"/>
        <v>92290</v>
      </c>
      <c r="AN52">
        <f t="shared" si="76"/>
        <v>93290</v>
      </c>
      <c r="AO52">
        <f t="shared" si="43"/>
        <v>500</v>
      </c>
      <c r="AP52">
        <f t="shared" si="77"/>
        <v>92289</v>
      </c>
      <c r="AQ52">
        <f t="shared" si="78"/>
        <v>50</v>
      </c>
      <c r="AR52">
        <f t="shared" si="79"/>
        <v>0</v>
      </c>
      <c r="AS52">
        <f t="shared" si="80"/>
        <v>0</v>
      </c>
      <c r="AT52">
        <f t="shared" si="81"/>
        <v>66</v>
      </c>
      <c r="AV52">
        <f t="shared" si="82"/>
        <v>92290</v>
      </c>
      <c r="AW52">
        <f t="shared" si="44"/>
        <v>92289</v>
      </c>
      <c r="AX52">
        <f t="shared" si="83"/>
        <v>132</v>
      </c>
      <c r="AY52">
        <f t="shared" si="45"/>
        <v>0</v>
      </c>
      <c r="AZ52">
        <f t="shared" si="84"/>
        <v>0</v>
      </c>
      <c r="BA52">
        <f t="shared" si="85"/>
        <v>0</v>
      </c>
      <c r="BC52">
        <f t="shared" si="86"/>
        <v>92290</v>
      </c>
      <c r="BD52">
        <f t="shared" si="46"/>
        <v>92289</v>
      </c>
      <c r="BE52">
        <f t="shared" si="87"/>
        <v>0</v>
      </c>
      <c r="BF52">
        <f t="shared" si="47"/>
        <v>0</v>
      </c>
      <c r="BG52">
        <f t="shared" si="88"/>
        <v>0</v>
      </c>
      <c r="BH52">
        <f t="shared" si="89"/>
        <v>0</v>
      </c>
      <c r="BJ52">
        <f t="shared" si="90"/>
        <v>92290</v>
      </c>
      <c r="BK52">
        <f t="shared" si="48"/>
        <v>92289</v>
      </c>
      <c r="BL52">
        <f t="shared" si="91"/>
        <v>0</v>
      </c>
      <c r="BM52">
        <f t="shared" si="49"/>
        <v>0</v>
      </c>
      <c r="BN52">
        <f t="shared" si="92"/>
        <v>0</v>
      </c>
      <c r="BO52">
        <f t="shared" si="93"/>
        <v>0</v>
      </c>
      <c r="BQ52">
        <f t="shared" si="94"/>
        <v>92290</v>
      </c>
      <c r="BR52">
        <f t="shared" si="50"/>
        <v>92289</v>
      </c>
      <c r="BS52">
        <f t="shared" si="95"/>
        <v>0</v>
      </c>
      <c r="BT52">
        <f t="shared" si="51"/>
        <v>0</v>
      </c>
      <c r="BU52">
        <f t="shared" si="96"/>
        <v>0</v>
      </c>
      <c r="BV52">
        <f t="shared" si="97"/>
        <v>0</v>
      </c>
      <c r="BX52">
        <f t="shared" si="52"/>
        <v>92290</v>
      </c>
      <c r="BY52">
        <f t="shared" si="53"/>
        <v>92289</v>
      </c>
      <c r="BZ52">
        <f t="shared" si="98"/>
        <v>0</v>
      </c>
      <c r="CA52">
        <f t="shared" si="54"/>
        <v>0</v>
      </c>
      <c r="CB52">
        <f t="shared" si="99"/>
        <v>0</v>
      </c>
      <c r="CC52">
        <f t="shared" si="100"/>
        <v>0</v>
      </c>
      <c r="CE52">
        <f t="shared" si="55"/>
        <v>92290</v>
      </c>
      <c r="CF52">
        <f t="shared" si="56"/>
        <v>92289</v>
      </c>
      <c r="CG52">
        <f t="shared" si="101"/>
        <v>0</v>
      </c>
      <c r="CH52">
        <f t="shared" si="57"/>
        <v>0</v>
      </c>
      <c r="CI52">
        <f t="shared" si="102"/>
        <v>0</v>
      </c>
      <c r="CJ52">
        <f t="shared" si="103"/>
        <v>0</v>
      </c>
    </row>
    <row r="53" spans="1:88">
      <c r="A53" s="5">
        <v>92026</v>
      </c>
      <c r="B53" s="5" t="s">
        <v>467</v>
      </c>
      <c r="C53" s="5" t="s">
        <v>496</v>
      </c>
      <c r="D53" s="5">
        <v>1</v>
      </c>
      <c r="E53" s="5" t="s">
        <v>65</v>
      </c>
      <c r="F53" s="5">
        <v>4</v>
      </c>
      <c r="G53" s="5">
        <v>65</v>
      </c>
      <c r="H53" s="5">
        <f t="shared" si="67"/>
        <v>0</v>
      </c>
      <c r="I53" s="5">
        <f t="shared" si="68"/>
        <v>105</v>
      </c>
      <c r="J53" s="5">
        <f t="shared" si="69"/>
        <v>0</v>
      </c>
      <c r="K53" s="98">
        <f t="shared" si="70"/>
        <v>0</v>
      </c>
      <c r="L53" s="5">
        <f t="shared" si="105"/>
        <v>5</v>
      </c>
      <c r="M53" s="5" t="str">
        <f t="shared" si="71"/>
        <v>深蓝碎片  4</v>
      </c>
      <c r="N53" s="5">
        <f t="shared" si="60"/>
        <v>93026</v>
      </c>
      <c r="O53" s="5">
        <f t="shared" si="63"/>
        <v>20</v>
      </c>
      <c r="P53" s="5" t="str">
        <f t="shared" si="72"/>
        <v>菠萝  4</v>
      </c>
      <c r="Q53" s="5">
        <f t="shared" si="106"/>
        <v>92014</v>
      </c>
      <c r="R53" s="91">
        <f t="shared" si="64"/>
        <v>1</v>
      </c>
      <c r="S53" s="5" t="str">
        <f t="shared" si="73"/>
        <v>巨额钞票  4</v>
      </c>
      <c r="T53" s="5">
        <f>A51</f>
        <v>92286</v>
      </c>
      <c r="U53" s="91">
        <f t="shared" si="66"/>
        <v>1</v>
      </c>
      <c r="V53" s="39">
        <f t="shared" si="36"/>
        <v>25</v>
      </c>
      <c r="W53">
        <f t="shared" si="65"/>
        <v>2316.0770588593405</v>
      </c>
      <c r="X53">
        <f t="shared" si="38"/>
        <v>10</v>
      </c>
      <c r="Y53" s="6"/>
      <c r="Z53" s="6">
        <v>1</v>
      </c>
      <c r="AA53" s="6"/>
      <c r="AB53">
        <f t="shared" si="74"/>
        <v>105</v>
      </c>
      <c r="AC53">
        <f t="shared" si="40"/>
        <v>35</v>
      </c>
      <c r="AD53">
        <f t="shared" si="41"/>
        <v>25</v>
      </c>
      <c r="AL53">
        <f>CHOOSE(2,1,COUNTIF(D_马仔培养宝物!$F$2:$K$229,D_马仔宝物!A53))</f>
        <v>25</v>
      </c>
      <c r="AM53">
        <f t="shared" si="75"/>
        <v>92026</v>
      </c>
      <c r="AN53">
        <f t="shared" si="76"/>
        <v>93026</v>
      </c>
      <c r="AO53">
        <f t="shared" si="43"/>
        <v>500</v>
      </c>
      <c r="AP53">
        <f t="shared" si="77"/>
        <v>92014</v>
      </c>
      <c r="AQ53">
        <f t="shared" si="78"/>
        <v>25</v>
      </c>
      <c r="AR53">
        <f t="shared" si="79"/>
        <v>92286</v>
      </c>
      <c r="AS53">
        <f t="shared" si="80"/>
        <v>25</v>
      </c>
      <c r="AT53">
        <f t="shared" si="81"/>
        <v>0</v>
      </c>
      <c r="AV53">
        <f t="shared" si="82"/>
        <v>92026</v>
      </c>
      <c r="AW53">
        <f t="shared" si="44"/>
        <v>92014</v>
      </c>
      <c r="AX53">
        <f t="shared" si="83"/>
        <v>0</v>
      </c>
      <c r="AY53">
        <f t="shared" si="45"/>
        <v>92286</v>
      </c>
      <c r="AZ53">
        <f t="shared" si="84"/>
        <v>0</v>
      </c>
      <c r="BA53">
        <f t="shared" si="85"/>
        <v>0</v>
      </c>
      <c r="BC53">
        <f t="shared" si="86"/>
        <v>92026</v>
      </c>
      <c r="BD53">
        <f t="shared" si="46"/>
        <v>92014</v>
      </c>
      <c r="BE53">
        <f t="shared" si="87"/>
        <v>0</v>
      </c>
      <c r="BF53">
        <f t="shared" si="47"/>
        <v>92286</v>
      </c>
      <c r="BG53">
        <f t="shared" si="88"/>
        <v>0</v>
      </c>
      <c r="BH53">
        <f t="shared" si="89"/>
        <v>0</v>
      </c>
      <c r="BJ53">
        <f t="shared" si="90"/>
        <v>92026</v>
      </c>
      <c r="BK53">
        <f t="shared" si="48"/>
        <v>92014</v>
      </c>
      <c r="BL53">
        <f t="shared" si="91"/>
        <v>0</v>
      </c>
      <c r="BM53">
        <f t="shared" si="49"/>
        <v>92286</v>
      </c>
      <c r="BN53">
        <f t="shared" si="92"/>
        <v>0</v>
      </c>
      <c r="BO53">
        <f t="shared" si="93"/>
        <v>0</v>
      </c>
      <c r="BQ53">
        <f t="shared" si="94"/>
        <v>92026</v>
      </c>
      <c r="BR53">
        <f t="shared" si="50"/>
        <v>92014</v>
      </c>
      <c r="BS53">
        <f t="shared" si="95"/>
        <v>0</v>
      </c>
      <c r="BT53">
        <f t="shared" si="51"/>
        <v>92286</v>
      </c>
      <c r="BU53">
        <f t="shared" si="96"/>
        <v>0</v>
      </c>
      <c r="BV53">
        <f t="shared" si="97"/>
        <v>0</v>
      </c>
      <c r="BX53">
        <f t="shared" si="52"/>
        <v>92026</v>
      </c>
      <c r="BY53">
        <f t="shared" si="53"/>
        <v>92014</v>
      </c>
      <c r="BZ53">
        <f t="shared" si="98"/>
        <v>0</v>
      </c>
      <c r="CA53">
        <f t="shared" si="54"/>
        <v>92286</v>
      </c>
      <c r="CB53">
        <f t="shared" si="99"/>
        <v>0</v>
      </c>
      <c r="CC53">
        <f t="shared" si="100"/>
        <v>0</v>
      </c>
      <c r="CE53">
        <f t="shared" si="55"/>
        <v>92026</v>
      </c>
      <c r="CF53">
        <f t="shared" si="56"/>
        <v>92014</v>
      </c>
      <c r="CG53">
        <f t="shared" si="101"/>
        <v>0</v>
      </c>
      <c r="CH53">
        <f t="shared" si="57"/>
        <v>92286</v>
      </c>
      <c r="CI53">
        <f t="shared" si="102"/>
        <v>0</v>
      </c>
      <c r="CJ53">
        <f t="shared" si="103"/>
        <v>0</v>
      </c>
    </row>
    <row r="54" spans="1:88">
      <c r="A54" s="5">
        <v>92255</v>
      </c>
      <c r="B54" s="5" t="s">
        <v>481</v>
      </c>
      <c r="C54" s="5" t="s">
        <v>496</v>
      </c>
      <c r="D54" s="5">
        <v>1</v>
      </c>
      <c r="E54" s="5" t="s">
        <v>68</v>
      </c>
      <c r="F54" s="5">
        <v>4</v>
      </c>
      <c r="G54" s="5">
        <v>65</v>
      </c>
      <c r="H54" s="5">
        <f t="shared" si="67"/>
        <v>0</v>
      </c>
      <c r="I54" s="5">
        <f t="shared" si="68"/>
        <v>0</v>
      </c>
      <c r="J54" s="5">
        <f t="shared" si="69"/>
        <v>44</v>
      </c>
      <c r="K54" s="98">
        <f t="shared" si="70"/>
        <v>0</v>
      </c>
      <c r="L54" s="5">
        <f t="shared" si="105"/>
        <v>5</v>
      </c>
      <c r="M54" s="5" t="str">
        <f t="shared" si="71"/>
        <v>黑耀项链碎片  4</v>
      </c>
      <c r="N54" s="5">
        <f t="shared" si="60"/>
        <v>93255</v>
      </c>
      <c r="O54" s="5">
        <f t="shared" si="63"/>
        <v>20</v>
      </c>
      <c r="P54" s="5" t="str">
        <f t="shared" si="72"/>
        <v>圣徒项链  4</v>
      </c>
      <c r="Q54" s="5">
        <f>A47</f>
        <v>92256</v>
      </c>
      <c r="R54" s="91">
        <f t="shared" si="64"/>
        <v>1</v>
      </c>
      <c r="S54" s="5" t="str">
        <f t="shared" si="73"/>
        <v>贵族项链  4</v>
      </c>
      <c r="T54" s="5">
        <f>A48</f>
        <v>92261</v>
      </c>
      <c r="U54" s="91">
        <f t="shared" si="66"/>
        <v>1</v>
      </c>
      <c r="V54" s="39">
        <f t="shared" si="36"/>
        <v>26</v>
      </c>
      <c r="W54">
        <f t="shared" si="65"/>
        <v>2279.5797423483964</v>
      </c>
      <c r="X54">
        <f t="shared" si="38"/>
        <v>10</v>
      </c>
      <c r="Y54" s="6"/>
      <c r="Z54" s="6"/>
      <c r="AA54" s="6">
        <v>1</v>
      </c>
      <c r="AB54">
        <f t="shared" si="74"/>
        <v>44</v>
      </c>
      <c r="AC54">
        <f t="shared" si="40"/>
        <v>35</v>
      </c>
      <c r="AD54">
        <f t="shared" si="41"/>
        <v>26</v>
      </c>
      <c r="AL54">
        <f>CHOOSE(2,1,COUNTIF(D_马仔培养宝物!$F$2:$K$229,D_马仔宝物!A54))</f>
        <v>26</v>
      </c>
      <c r="AM54">
        <f t="shared" si="75"/>
        <v>92255</v>
      </c>
      <c r="AN54">
        <f t="shared" si="76"/>
        <v>93255</v>
      </c>
      <c r="AO54">
        <f t="shared" si="43"/>
        <v>520</v>
      </c>
      <c r="AP54">
        <f t="shared" si="77"/>
        <v>92256</v>
      </c>
      <c r="AQ54">
        <f t="shared" si="78"/>
        <v>26</v>
      </c>
      <c r="AR54">
        <f t="shared" si="79"/>
        <v>92261</v>
      </c>
      <c r="AS54">
        <f t="shared" si="80"/>
        <v>26</v>
      </c>
      <c r="AT54">
        <f t="shared" si="81"/>
        <v>0</v>
      </c>
      <c r="AV54">
        <f t="shared" si="82"/>
        <v>92255</v>
      </c>
      <c r="AW54">
        <f t="shared" si="44"/>
        <v>92256</v>
      </c>
      <c r="AX54">
        <f t="shared" si="83"/>
        <v>0</v>
      </c>
      <c r="AY54">
        <f t="shared" si="45"/>
        <v>92261</v>
      </c>
      <c r="AZ54">
        <f t="shared" si="84"/>
        <v>0</v>
      </c>
      <c r="BA54">
        <f t="shared" si="85"/>
        <v>0</v>
      </c>
      <c r="BC54">
        <f t="shared" si="86"/>
        <v>92255</v>
      </c>
      <c r="BD54">
        <f t="shared" si="46"/>
        <v>92256</v>
      </c>
      <c r="BE54">
        <f t="shared" si="87"/>
        <v>0</v>
      </c>
      <c r="BF54">
        <f t="shared" si="47"/>
        <v>92261</v>
      </c>
      <c r="BG54">
        <f t="shared" si="88"/>
        <v>0</v>
      </c>
      <c r="BH54">
        <f t="shared" si="89"/>
        <v>0</v>
      </c>
      <c r="BJ54">
        <f t="shared" si="90"/>
        <v>92255</v>
      </c>
      <c r="BK54">
        <f t="shared" si="48"/>
        <v>92256</v>
      </c>
      <c r="BL54">
        <f t="shared" si="91"/>
        <v>0</v>
      </c>
      <c r="BM54">
        <f t="shared" si="49"/>
        <v>92261</v>
      </c>
      <c r="BN54">
        <f t="shared" si="92"/>
        <v>0</v>
      </c>
      <c r="BO54">
        <f t="shared" si="93"/>
        <v>0</v>
      </c>
      <c r="BQ54">
        <f t="shared" si="94"/>
        <v>92255</v>
      </c>
      <c r="BR54">
        <f t="shared" si="50"/>
        <v>92256</v>
      </c>
      <c r="BS54">
        <f t="shared" si="95"/>
        <v>0</v>
      </c>
      <c r="BT54">
        <f t="shared" si="51"/>
        <v>92261</v>
      </c>
      <c r="BU54">
        <f t="shared" si="96"/>
        <v>0</v>
      </c>
      <c r="BV54">
        <f t="shared" si="97"/>
        <v>0</v>
      </c>
      <c r="BX54">
        <f t="shared" si="52"/>
        <v>92255</v>
      </c>
      <c r="BY54">
        <f t="shared" si="53"/>
        <v>92256</v>
      </c>
      <c r="BZ54">
        <f t="shared" si="98"/>
        <v>0</v>
      </c>
      <c r="CA54">
        <f t="shared" si="54"/>
        <v>92261</v>
      </c>
      <c r="CB54">
        <f t="shared" si="99"/>
        <v>0</v>
      </c>
      <c r="CC54">
        <f t="shared" si="100"/>
        <v>0</v>
      </c>
      <c r="CE54">
        <f t="shared" si="55"/>
        <v>92255</v>
      </c>
      <c r="CF54">
        <f t="shared" si="56"/>
        <v>92256</v>
      </c>
      <c r="CG54">
        <f t="shared" si="101"/>
        <v>0</v>
      </c>
      <c r="CH54">
        <f t="shared" si="57"/>
        <v>92261</v>
      </c>
      <c r="CI54">
        <f t="shared" si="102"/>
        <v>0</v>
      </c>
      <c r="CJ54">
        <f t="shared" si="103"/>
        <v>0</v>
      </c>
    </row>
    <row r="55" spans="1:88">
      <c r="A55" s="5">
        <v>92297</v>
      </c>
      <c r="B55" s="5" t="s">
        <v>489</v>
      </c>
      <c r="C55" s="5" t="s">
        <v>496</v>
      </c>
      <c r="D55" s="5">
        <v>1</v>
      </c>
      <c r="E55" s="5" t="s">
        <v>84</v>
      </c>
      <c r="F55" s="5">
        <v>4</v>
      </c>
      <c r="G55" s="5">
        <v>66</v>
      </c>
      <c r="H55" s="5">
        <f t="shared" si="67"/>
        <v>2058</v>
      </c>
      <c r="I55" s="5">
        <f t="shared" si="68"/>
        <v>0</v>
      </c>
      <c r="J55" s="5">
        <f t="shared" si="69"/>
        <v>0</v>
      </c>
      <c r="K55" s="98">
        <f t="shared" si="70"/>
        <v>0</v>
      </c>
      <c r="L55" s="5">
        <f t="shared" si="105"/>
        <v>5</v>
      </c>
      <c r="M55" s="5" t="str">
        <f t="shared" si="71"/>
        <v>翠绿之心碎片  4</v>
      </c>
      <c r="N55" s="5">
        <f t="shared" si="60"/>
        <v>93297</v>
      </c>
      <c r="O55" s="5">
        <f t="shared" si="63"/>
        <v>20</v>
      </c>
      <c r="P55" s="5" t="str">
        <f t="shared" si="72"/>
        <v>星光红石  4</v>
      </c>
      <c r="Q55" s="5">
        <f>A44</f>
        <v>92296</v>
      </c>
      <c r="R55" s="91">
        <f t="shared" si="64"/>
        <v>1</v>
      </c>
      <c r="S55" s="5" t="str">
        <f t="shared" si="73"/>
        <v>苍蓝戒指  4</v>
      </c>
      <c r="T55" s="5">
        <f>A45</f>
        <v>92240</v>
      </c>
      <c r="U55" s="91">
        <f t="shared" si="66"/>
        <v>1</v>
      </c>
      <c r="V55" s="39">
        <f t="shared" si="36"/>
        <v>11</v>
      </c>
      <c r="W55">
        <f t="shared" si="65"/>
        <v>2288.9595138008362</v>
      </c>
      <c r="X55">
        <f t="shared" si="38"/>
        <v>10</v>
      </c>
      <c r="Y55" s="6">
        <v>1</v>
      </c>
      <c r="Z55" s="6"/>
      <c r="AA55" s="6"/>
      <c r="AB55">
        <f t="shared" si="74"/>
        <v>82.320000000000007</v>
      </c>
      <c r="AC55">
        <f t="shared" si="40"/>
        <v>35</v>
      </c>
      <c r="AD55">
        <f t="shared" si="41"/>
        <v>11</v>
      </c>
      <c r="AL55">
        <f>CHOOSE(2,1,COUNTIF(D_马仔培养宝物!$F$2:$K$229,D_马仔宝物!A55))</f>
        <v>11</v>
      </c>
      <c r="AM55">
        <f t="shared" si="75"/>
        <v>92297</v>
      </c>
      <c r="AN55">
        <f t="shared" si="76"/>
        <v>93297</v>
      </c>
      <c r="AO55">
        <f t="shared" si="43"/>
        <v>220</v>
      </c>
      <c r="AP55">
        <f t="shared" si="77"/>
        <v>92296</v>
      </c>
      <c r="AQ55">
        <f t="shared" si="78"/>
        <v>11</v>
      </c>
      <c r="AR55">
        <f t="shared" si="79"/>
        <v>92240</v>
      </c>
      <c r="AS55">
        <f t="shared" si="80"/>
        <v>11</v>
      </c>
      <c r="AT55">
        <f t="shared" si="81"/>
        <v>0</v>
      </c>
      <c r="AV55">
        <f t="shared" si="82"/>
        <v>92297</v>
      </c>
      <c r="AW55">
        <f t="shared" si="44"/>
        <v>92296</v>
      </c>
      <c r="AX55">
        <f t="shared" si="83"/>
        <v>0</v>
      </c>
      <c r="AY55">
        <f t="shared" si="45"/>
        <v>92240</v>
      </c>
      <c r="AZ55">
        <f t="shared" si="84"/>
        <v>0</v>
      </c>
      <c r="BA55">
        <f t="shared" si="85"/>
        <v>0</v>
      </c>
      <c r="BC55">
        <f t="shared" si="86"/>
        <v>92297</v>
      </c>
      <c r="BD55">
        <f t="shared" si="46"/>
        <v>92296</v>
      </c>
      <c r="BE55">
        <f t="shared" si="87"/>
        <v>0</v>
      </c>
      <c r="BF55">
        <f t="shared" si="47"/>
        <v>92240</v>
      </c>
      <c r="BG55">
        <f t="shared" si="88"/>
        <v>0</v>
      </c>
      <c r="BH55">
        <f t="shared" si="89"/>
        <v>0</v>
      </c>
      <c r="BJ55">
        <f t="shared" si="90"/>
        <v>92297</v>
      </c>
      <c r="BK55">
        <f t="shared" si="48"/>
        <v>92296</v>
      </c>
      <c r="BL55">
        <f t="shared" si="91"/>
        <v>0</v>
      </c>
      <c r="BM55">
        <f t="shared" si="49"/>
        <v>92240</v>
      </c>
      <c r="BN55">
        <f t="shared" si="92"/>
        <v>0</v>
      </c>
      <c r="BO55">
        <f t="shared" si="93"/>
        <v>0</v>
      </c>
      <c r="BQ55">
        <f t="shared" si="94"/>
        <v>92297</v>
      </c>
      <c r="BR55">
        <f t="shared" si="50"/>
        <v>92296</v>
      </c>
      <c r="BS55">
        <f t="shared" si="95"/>
        <v>0</v>
      </c>
      <c r="BT55">
        <f t="shared" si="51"/>
        <v>92240</v>
      </c>
      <c r="BU55">
        <f t="shared" si="96"/>
        <v>0</v>
      </c>
      <c r="BV55">
        <f t="shared" si="97"/>
        <v>0</v>
      </c>
      <c r="BX55">
        <f t="shared" si="52"/>
        <v>92297</v>
      </c>
      <c r="BY55">
        <f t="shared" si="53"/>
        <v>92296</v>
      </c>
      <c r="BZ55">
        <f t="shared" si="98"/>
        <v>0</v>
      </c>
      <c r="CA55">
        <f t="shared" si="54"/>
        <v>92240</v>
      </c>
      <c r="CB55">
        <f t="shared" si="99"/>
        <v>0</v>
      </c>
      <c r="CC55">
        <f t="shared" si="100"/>
        <v>0</v>
      </c>
      <c r="CE55">
        <f t="shared" si="55"/>
        <v>92297</v>
      </c>
      <c r="CF55">
        <f t="shared" si="56"/>
        <v>92296</v>
      </c>
      <c r="CG55">
        <f t="shared" si="101"/>
        <v>0</v>
      </c>
      <c r="CH55">
        <f t="shared" si="57"/>
        <v>92240</v>
      </c>
      <c r="CI55">
        <f t="shared" si="102"/>
        <v>0</v>
      </c>
      <c r="CJ55">
        <f t="shared" si="103"/>
        <v>0</v>
      </c>
    </row>
    <row r="56" spans="1:88">
      <c r="A56" s="5">
        <v>92293</v>
      </c>
      <c r="B56" s="5" t="s">
        <v>482</v>
      </c>
      <c r="C56" s="5" t="s">
        <v>496</v>
      </c>
      <c r="D56" s="5">
        <v>1</v>
      </c>
      <c r="E56" s="5" t="s">
        <v>675</v>
      </c>
      <c r="F56" s="5">
        <v>4</v>
      </c>
      <c r="G56" s="5">
        <v>66</v>
      </c>
      <c r="H56" s="5">
        <f t="shared" si="67"/>
        <v>0</v>
      </c>
      <c r="I56" s="5">
        <f t="shared" si="68"/>
        <v>105</v>
      </c>
      <c r="J56" s="5">
        <f t="shared" si="69"/>
        <v>0</v>
      </c>
      <c r="K56" s="98">
        <f t="shared" si="70"/>
        <v>0</v>
      </c>
      <c r="L56" s="5">
        <f t="shared" si="105"/>
        <v>5</v>
      </c>
      <c r="M56" s="5" t="str">
        <f t="shared" si="71"/>
        <v>珍珠宝盒碎片  4</v>
      </c>
      <c r="N56" s="5">
        <f t="shared" si="60"/>
        <v>93293</v>
      </c>
      <c r="O56" s="5">
        <f t="shared" si="63"/>
        <v>20</v>
      </c>
      <c r="P56" s="5" t="str">
        <f t="shared" si="72"/>
        <v>星光红石  4</v>
      </c>
      <c r="Q56" s="5">
        <f>A44</f>
        <v>92296</v>
      </c>
      <c r="R56" s="91">
        <f t="shared" si="64"/>
        <v>1</v>
      </c>
      <c r="S56" s="5" t="str">
        <f t="shared" si="73"/>
        <v>千国手表  4</v>
      </c>
      <c r="T56" s="5">
        <f>A49</f>
        <v>92275</v>
      </c>
      <c r="U56" s="91">
        <f t="shared" si="66"/>
        <v>1</v>
      </c>
      <c r="V56" s="39">
        <f t="shared" si="36"/>
        <v>20</v>
      </c>
      <c r="W56">
        <f t="shared" si="65"/>
        <v>2290.3788246776458</v>
      </c>
      <c r="X56">
        <f t="shared" si="38"/>
        <v>10</v>
      </c>
      <c r="Y56" s="6"/>
      <c r="Z56" s="6">
        <v>1</v>
      </c>
      <c r="AA56" s="6"/>
      <c r="AB56">
        <f t="shared" si="74"/>
        <v>105</v>
      </c>
      <c r="AC56">
        <f t="shared" si="40"/>
        <v>35</v>
      </c>
      <c r="AD56">
        <f t="shared" si="41"/>
        <v>20</v>
      </c>
      <c r="AL56">
        <f>CHOOSE(2,1,COUNTIF(D_马仔培养宝物!$F$2:$K$229,D_马仔宝物!A56))</f>
        <v>20</v>
      </c>
      <c r="AM56">
        <f t="shared" si="75"/>
        <v>92293</v>
      </c>
      <c r="AN56">
        <f t="shared" si="76"/>
        <v>93293</v>
      </c>
      <c r="AO56">
        <f t="shared" si="43"/>
        <v>400</v>
      </c>
      <c r="AP56">
        <f t="shared" si="77"/>
        <v>92296</v>
      </c>
      <c r="AQ56">
        <f t="shared" si="78"/>
        <v>20</v>
      </c>
      <c r="AR56">
        <f t="shared" si="79"/>
        <v>92275</v>
      </c>
      <c r="AS56">
        <f t="shared" si="80"/>
        <v>20</v>
      </c>
      <c r="AT56">
        <f t="shared" si="81"/>
        <v>0</v>
      </c>
      <c r="AV56">
        <f t="shared" si="82"/>
        <v>92293</v>
      </c>
      <c r="AW56">
        <f t="shared" si="44"/>
        <v>92296</v>
      </c>
      <c r="AX56">
        <f t="shared" si="83"/>
        <v>0</v>
      </c>
      <c r="AY56">
        <f t="shared" si="45"/>
        <v>92275</v>
      </c>
      <c r="AZ56">
        <f t="shared" si="84"/>
        <v>0</v>
      </c>
      <c r="BA56">
        <f t="shared" si="85"/>
        <v>0</v>
      </c>
      <c r="BC56">
        <f t="shared" si="86"/>
        <v>92293</v>
      </c>
      <c r="BD56">
        <f t="shared" si="46"/>
        <v>92296</v>
      </c>
      <c r="BE56">
        <f t="shared" si="87"/>
        <v>0</v>
      </c>
      <c r="BF56">
        <f t="shared" si="47"/>
        <v>92275</v>
      </c>
      <c r="BG56">
        <f t="shared" si="88"/>
        <v>0</v>
      </c>
      <c r="BH56">
        <f t="shared" si="89"/>
        <v>0</v>
      </c>
      <c r="BJ56">
        <f t="shared" si="90"/>
        <v>92293</v>
      </c>
      <c r="BK56">
        <f t="shared" si="48"/>
        <v>92296</v>
      </c>
      <c r="BL56">
        <f t="shared" si="91"/>
        <v>0</v>
      </c>
      <c r="BM56">
        <f t="shared" si="49"/>
        <v>92275</v>
      </c>
      <c r="BN56">
        <f t="shared" si="92"/>
        <v>0</v>
      </c>
      <c r="BO56">
        <f t="shared" si="93"/>
        <v>0</v>
      </c>
      <c r="BQ56">
        <f t="shared" si="94"/>
        <v>92293</v>
      </c>
      <c r="BR56">
        <f t="shared" si="50"/>
        <v>92296</v>
      </c>
      <c r="BS56">
        <f t="shared" si="95"/>
        <v>0</v>
      </c>
      <c r="BT56">
        <f t="shared" si="51"/>
        <v>92275</v>
      </c>
      <c r="BU56">
        <f t="shared" si="96"/>
        <v>0</v>
      </c>
      <c r="BV56">
        <f t="shared" si="97"/>
        <v>0</v>
      </c>
      <c r="BX56">
        <f t="shared" si="52"/>
        <v>92293</v>
      </c>
      <c r="BY56">
        <f t="shared" si="53"/>
        <v>92296</v>
      </c>
      <c r="BZ56">
        <f t="shared" si="98"/>
        <v>0</v>
      </c>
      <c r="CA56">
        <f t="shared" si="54"/>
        <v>92275</v>
      </c>
      <c r="CB56">
        <f t="shared" si="99"/>
        <v>0</v>
      </c>
      <c r="CC56">
        <f t="shared" si="100"/>
        <v>0</v>
      </c>
      <c r="CE56">
        <f t="shared" si="55"/>
        <v>92293</v>
      </c>
      <c r="CF56">
        <f t="shared" si="56"/>
        <v>92296</v>
      </c>
      <c r="CG56">
        <f t="shared" si="101"/>
        <v>0</v>
      </c>
      <c r="CH56">
        <f t="shared" si="57"/>
        <v>92275</v>
      </c>
      <c r="CI56">
        <f t="shared" si="102"/>
        <v>0</v>
      </c>
      <c r="CJ56">
        <f t="shared" si="103"/>
        <v>0</v>
      </c>
    </row>
    <row r="57" spans="1:88">
      <c r="A57" s="5">
        <v>92294</v>
      </c>
      <c r="B57" s="5" t="s">
        <v>491</v>
      </c>
      <c r="C57" s="5" t="s">
        <v>496</v>
      </c>
      <c r="D57" s="5">
        <v>1</v>
      </c>
      <c r="E57" s="5" t="s">
        <v>86</v>
      </c>
      <c r="F57" s="5">
        <v>4</v>
      </c>
      <c r="G57" s="5">
        <v>67</v>
      </c>
      <c r="H57" s="5">
        <f t="shared" si="67"/>
        <v>0</v>
      </c>
      <c r="I57" s="5">
        <f t="shared" si="68"/>
        <v>0</v>
      </c>
      <c r="J57" s="5">
        <f t="shared" si="69"/>
        <v>44</v>
      </c>
      <c r="K57" s="98">
        <f t="shared" si="70"/>
        <v>0</v>
      </c>
      <c r="L57" s="5">
        <f t="shared" si="105"/>
        <v>5</v>
      </c>
      <c r="M57" s="5" t="str">
        <f t="shared" si="71"/>
        <v>古董宝盒碎片  4</v>
      </c>
      <c r="N57" s="5">
        <f t="shared" si="60"/>
        <v>93294</v>
      </c>
      <c r="O57" s="5">
        <f t="shared" si="63"/>
        <v>20</v>
      </c>
      <c r="P57" s="5" t="str">
        <f t="shared" si="72"/>
        <v>金饰宝盒  4</v>
      </c>
      <c r="Q57" s="5">
        <f>A46</f>
        <v>92292</v>
      </c>
      <c r="R57" s="91">
        <f t="shared" si="64"/>
        <v>1</v>
      </c>
      <c r="S57" s="5" t="str">
        <f t="shared" si="73"/>
        <v>红博机利  4</v>
      </c>
      <c r="T57" s="5">
        <f>A50</f>
        <v>92281</v>
      </c>
      <c r="U57" s="91">
        <f t="shared" si="66"/>
        <v>1</v>
      </c>
      <c r="V57" s="39">
        <f t="shared" si="36"/>
        <v>25</v>
      </c>
      <c r="W57">
        <f t="shared" si="65"/>
        <v>2297.8089551673856</v>
      </c>
      <c r="X57">
        <f t="shared" si="38"/>
        <v>10</v>
      </c>
      <c r="Y57" s="6"/>
      <c r="Z57" s="6"/>
      <c r="AA57" s="6">
        <v>1</v>
      </c>
      <c r="AB57">
        <f t="shared" si="74"/>
        <v>44</v>
      </c>
      <c r="AC57">
        <f t="shared" si="40"/>
        <v>35</v>
      </c>
      <c r="AD57">
        <f t="shared" si="41"/>
        <v>25</v>
      </c>
      <c r="AL57">
        <f>CHOOSE(2,1,COUNTIF(D_马仔培养宝物!$F$2:$K$229,D_马仔宝物!A57))</f>
        <v>25</v>
      </c>
      <c r="AM57">
        <f t="shared" si="75"/>
        <v>92294</v>
      </c>
      <c r="AN57">
        <f t="shared" si="76"/>
        <v>93294</v>
      </c>
      <c r="AO57">
        <f t="shared" si="43"/>
        <v>500</v>
      </c>
      <c r="AP57">
        <f t="shared" si="77"/>
        <v>92292</v>
      </c>
      <c r="AQ57">
        <f t="shared" si="78"/>
        <v>25</v>
      </c>
      <c r="AR57">
        <f t="shared" si="79"/>
        <v>92281</v>
      </c>
      <c r="AS57">
        <f t="shared" si="80"/>
        <v>25</v>
      </c>
      <c r="AT57">
        <f t="shared" si="81"/>
        <v>0</v>
      </c>
      <c r="AV57">
        <f t="shared" si="82"/>
        <v>92294</v>
      </c>
      <c r="AW57">
        <f t="shared" si="44"/>
        <v>92292</v>
      </c>
      <c r="AX57">
        <f t="shared" si="83"/>
        <v>0</v>
      </c>
      <c r="AY57">
        <f t="shared" si="45"/>
        <v>92281</v>
      </c>
      <c r="AZ57">
        <f t="shared" si="84"/>
        <v>0</v>
      </c>
      <c r="BA57">
        <f t="shared" si="85"/>
        <v>0</v>
      </c>
      <c r="BC57">
        <f t="shared" si="86"/>
        <v>92294</v>
      </c>
      <c r="BD57">
        <f t="shared" si="46"/>
        <v>92292</v>
      </c>
      <c r="BE57">
        <f t="shared" si="87"/>
        <v>0</v>
      </c>
      <c r="BF57">
        <f t="shared" si="47"/>
        <v>92281</v>
      </c>
      <c r="BG57">
        <f t="shared" si="88"/>
        <v>0</v>
      </c>
      <c r="BH57">
        <f t="shared" si="89"/>
        <v>0</v>
      </c>
      <c r="BJ57">
        <f t="shared" si="90"/>
        <v>92294</v>
      </c>
      <c r="BK57">
        <f t="shared" si="48"/>
        <v>92292</v>
      </c>
      <c r="BL57">
        <f t="shared" si="91"/>
        <v>0</v>
      </c>
      <c r="BM57">
        <f t="shared" si="49"/>
        <v>92281</v>
      </c>
      <c r="BN57">
        <f t="shared" si="92"/>
        <v>0</v>
      </c>
      <c r="BO57">
        <f t="shared" si="93"/>
        <v>0</v>
      </c>
      <c r="BQ57">
        <f t="shared" si="94"/>
        <v>92294</v>
      </c>
      <c r="BR57">
        <f t="shared" si="50"/>
        <v>92292</v>
      </c>
      <c r="BS57">
        <f t="shared" si="95"/>
        <v>0</v>
      </c>
      <c r="BT57">
        <f t="shared" si="51"/>
        <v>92281</v>
      </c>
      <c r="BU57">
        <f t="shared" si="96"/>
        <v>0</v>
      </c>
      <c r="BV57">
        <f t="shared" si="97"/>
        <v>0</v>
      </c>
      <c r="BX57">
        <f t="shared" si="52"/>
        <v>92294</v>
      </c>
      <c r="BY57">
        <f t="shared" si="53"/>
        <v>92292</v>
      </c>
      <c r="BZ57">
        <f t="shared" si="98"/>
        <v>0</v>
      </c>
      <c r="CA57">
        <f t="shared" si="54"/>
        <v>92281</v>
      </c>
      <c r="CB57">
        <f t="shared" si="99"/>
        <v>0</v>
      </c>
      <c r="CC57">
        <f t="shared" si="100"/>
        <v>0</v>
      </c>
      <c r="CE57">
        <f t="shared" si="55"/>
        <v>92294</v>
      </c>
      <c r="CF57">
        <f t="shared" si="56"/>
        <v>92292</v>
      </c>
      <c r="CG57">
        <f t="shared" si="101"/>
        <v>0</v>
      </c>
      <c r="CH57">
        <f t="shared" si="57"/>
        <v>92281</v>
      </c>
      <c r="CI57">
        <f t="shared" si="102"/>
        <v>0</v>
      </c>
      <c r="CJ57">
        <f t="shared" si="103"/>
        <v>0</v>
      </c>
    </row>
    <row r="58" spans="1:88">
      <c r="A58" s="5">
        <v>92295</v>
      </c>
      <c r="B58" s="5" t="s">
        <v>494</v>
      </c>
      <c r="C58" s="5" t="s">
        <v>496</v>
      </c>
      <c r="D58" s="5">
        <v>1</v>
      </c>
      <c r="E58" s="5" t="s">
        <v>89</v>
      </c>
      <c r="F58" s="5">
        <v>4</v>
      </c>
      <c r="G58" s="5">
        <v>67</v>
      </c>
      <c r="H58" s="5">
        <f t="shared" si="67"/>
        <v>2058</v>
      </c>
      <c r="I58" s="5">
        <f t="shared" si="68"/>
        <v>0</v>
      </c>
      <c r="J58" s="5">
        <f t="shared" si="69"/>
        <v>0</v>
      </c>
      <c r="K58" s="98">
        <f t="shared" si="70"/>
        <v>0</v>
      </c>
      <c r="L58" s="5">
        <f t="shared" si="105"/>
        <v>5</v>
      </c>
      <c r="M58" s="5" t="str">
        <f t="shared" si="71"/>
        <v>水晶宝盒碎片  4</v>
      </c>
      <c r="N58" s="5">
        <f t="shared" si="60"/>
        <v>93295</v>
      </c>
      <c r="O58" s="5">
        <f t="shared" si="63"/>
        <v>20</v>
      </c>
      <c r="P58" s="5" t="str">
        <f t="shared" si="72"/>
        <v>金饰宝盒  4</v>
      </c>
      <c r="Q58" s="5">
        <f>A46</f>
        <v>92292</v>
      </c>
      <c r="R58" s="91">
        <f t="shared" si="64"/>
        <v>1</v>
      </c>
      <c r="S58" s="5" t="str">
        <f t="shared" si="73"/>
        <v>星光红石  4</v>
      </c>
      <c r="T58" s="5">
        <f>A44</f>
        <v>92296</v>
      </c>
      <c r="U58" s="91">
        <f t="shared" si="66"/>
        <v>1</v>
      </c>
      <c r="V58" s="39">
        <f t="shared" si="36"/>
        <v>19</v>
      </c>
      <c r="W58">
        <f t="shared" si="65"/>
        <v>2279.9385990398487</v>
      </c>
      <c r="X58">
        <f t="shared" si="38"/>
        <v>10</v>
      </c>
      <c r="Y58" s="6">
        <v>1</v>
      </c>
      <c r="Z58" s="6"/>
      <c r="AA58" s="6"/>
      <c r="AB58">
        <f t="shared" si="74"/>
        <v>82.320000000000007</v>
      </c>
      <c r="AC58">
        <f t="shared" si="40"/>
        <v>35</v>
      </c>
      <c r="AD58">
        <f t="shared" si="41"/>
        <v>19</v>
      </c>
      <c r="AL58">
        <f>CHOOSE(2,1,COUNTIF(D_马仔培养宝物!$F$2:$K$229,D_马仔宝物!A58))</f>
        <v>19</v>
      </c>
      <c r="AM58">
        <f t="shared" si="75"/>
        <v>92295</v>
      </c>
      <c r="AN58">
        <f t="shared" si="76"/>
        <v>93295</v>
      </c>
      <c r="AO58">
        <f t="shared" si="43"/>
        <v>380</v>
      </c>
      <c r="AP58">
        <f t="shared" si="77"/>
        <v>92292</v>
      </c>
      <c r="AQ58">
        <f t="shared" si="78"/>
        <v>19</v>
      </c>
      <c r="AR58">
        <f t="shared" si="79"/>
        <v>92296</v>
      </c>
      <c r="AS58">
        <f t="shared" si="80"/>
        <v>19</v>
      </c>
      <c r="AT58">
        <f t="shared" si="81"/>
        <v>0</v>
      </c>
      <c r="AV58">
        <f t="shared" si="82"/>
        <v>92295</v>
      </c>
      <c r="AW58">
        <f t="shared" si="44"/>
        <v>92292</v>
      </c>
      <c r="AX58">
        <f t="shared" si="83"/>
        <v>0</v>
      </c>
      <c r="AY58">
        <f t="shared" si="45"/>
        <v>92296</v>
      </c>
      <c r="AZ58">
        <f t="shared" si="84"/>
        <v>0</v>
      </c>
      <c r="BA58">
        <f t="shared" si="85"/>
        <v>0</v>
      </c>
      <c r="BC58">
        <f t="shared" si="86"/>
        <v>92295</v>
      </c>
      <c r="BD58">
        <f t="shared" si="46"/>
        <v>92292</v>
      </c>
      <c r="BE58">
        <f t="shared" si="87"/>
        <v>0</v>
      </c>
      <c r="BF58">
        <f t="shared" si="47"/>
        <v>92296</v>
      </c>
      <c r="BG58">
        <f t="shared" si="88"/>
        <v>0</v>
      </c>
      <c r="BH58">
        <f t="shared" si="89"/>
        <v>0</v>
      </c>
      <c r="BJ58">
        <f t="shared" si="90"/>
        <v>92295</v>
      </c>
      <c r="BK58">
        <f t="shared" si="48"/>
        <v>92292</v>
      </c>
      <c r="BL58">
        <f t="shared" si="91"/>
        <v>0</v>
      </c>
      <c r="BM58">
        <f t="shared" si="49"/>
        <v>92296</v>
      </c>
      <c r="BN58">
        <f t="shared" si="92"/>
        <v>0</v>
      </c>
      <c r="BO58">
        <f t="shared" si="93"/>
        <v>0</v>
      </c>
      <c r="BQ58">
        <f t="shared" si="94"/>
        <v>92295</v>
      </c>
      <c r="BR58">
        <f t="shared" si="50"/>
        <v>92292</v>
      </c>
      <c r="BS58">
        <f t="shared" si="95"/>
        <v>0</v>
      </c>
      <c r="BT58">
        <f t="shared" si="51"/>
        <v>92296</v>
      </c>
      <c r="BU58">
        <f t="shared" si="96"/>
        <v>0</v>
      </c>
      <c r="BV58">
        <f t="shared" si="97"/>
        <v>0</v>
      </c>
      <c r="BX58">
        <f t="shared" si="52"/>
        <v>92295</v>
      </c>
      <c r="BY58">
        <f t="shared" si="53"/>
        <v>92292</v>
      </c>
      <c r="BZ58">
        <f t="shared" si="98"/>
        <v>0</v>
      </c>
      <c r="CA58">
        <f t="shared" si="54"/>
        <v>92296</v>
      </c>
      <c r="CB58">
        <f t="shared" si="99"/>
        <v>0</v>
      </c>
      <c r="CC58">
        <f t="shared" si="100"/>
        <v>0</v>
      </c>
      <c r="CE58">
        <f t="shared" si="55"/>
        <v>92295</v>
      </c>
      <c r="CF58">
        <f t="shared" si="56"/>
        <v>92292</v>
      </c>
      <c r="CG58">
        <f t="shared" si="101"/>
        <v>0</v>
      </c>
      <c r="CH58">
        <f t="shared" si="57"/>
        <v>92296</v>
      </c>
      <c r="CI58">
        <f t="shared" si="102"/>
        <v>0</v>
      </c>
      <c r="CJ58">
        <f t="shared" si="103"/>
        <v>0</v>
      </c>
    </row>
    <row r="59" spans="1:88">
      <c r="A59" s="5">
        <v>92262</v>
      </c>
      <c r="B59" s="5" t="s">
        <v>485</v>
      </c>
      <c r="C59" s="5" t="s">
        <v>496</v>
      </c>
      <c r="D59" s="5">
        <v>1</v>
      </c>
      <c r="E59" s="5" t="s">
        <v>80</v>
      </c>
      <c r="F59" s="5">
        <v>4</v>
      </c>
      <c r="G59" s="5">
        <v>68</v>
      </c>
      <c r="H59" s="5">
        <f t="shared" si="67"/>
        <v>0</v>
      </c>
      <c r="I59" s="5">
        <f t="shared" si="68"/>
        <v>105</v>
      </c>
      <c r="J59" s="5">
        <f t="shared" si="69"/>
        <v>0</v>
      </c>
      <c r="K59" s="98">
        <f t="shared" si="70"/>
        <v>0</v>
      </c>
      <c r="L59" s="5">
        <f t="shared" si="105"/>
        <v>5</v>
      </c>
      <c r="M59" s="5" t="str">
        <f t="shared" si="71"/>
        <v>皇家项链碎片  4</v>
      </c>
      <c r="N59" s="5">
        <f t="shared" si="60"/>
        <v>93262</v>
      </c>
      <c r="O59" s="5">
        <f t="shared" si="63"/>
        <v>20</v>
      </c>
      <c r="P59" s="5" t="str">
        <f t="shared" si="72"/>
        <v>贵族项链  4</v>
      </c>
      <c r="Q59" s="5">
        <f>A48</f>
        <v>92261</v>
      </c>
      <c r="R59" s="91">
        <f t="shared" si="64"/>
        <v>1</v>
      </c>
      <c r="S59" s="5" t="str">
        <f t="shared" si="73"/>
        <v>圣徒项链  4</v>
      </c>
      <c r="T59" s="5">
        <f>A47</f>
        <v>92256</v>
      </c>
      <c r="U59" s="91">
        <f t="shared" si="66"/>
        <v>1</v>
      </c>
      <c r="V59" s="39">
        <f t="shared" si="36"/>
        <v>14</v>
      </c>
      <c r="W59">
        <f t="shared" si="65"/>
        <v>2279.5797423483964</v>
      </c>
      <c r="X59">
        <f t="shared" si="38"/>
        <v>10</v>
      </c>
      <c r="Y59" s="6"/>
      <c r="Z59" s="6">
        <v>1</v>
      </c>
      <c r="AA59" s="6"/>
      <c r="AB59">
        <f t="shared" si="74"/>
        <v>105</v>
      </c>
      <c r="AC59">
        <f t="shared" si="40"/>
        <v>35</v>
      </c>
      <c r="AD59">
        <f t="shared" si="41"/>
        <v>14</v>
      </c>
      <c r="AL59">
        <f>CHOOSE(2,1,COUNTIF(D_马仔培养宝物!$F$2:$K$229,D_马仔宝物!A59))</f>
        <v>14</v>
      </c>
      <c r="AM59">
        <f t="shared" si="75"/>
        <v>92262</v>
      </c>
      <c r="AN59">
        <f t="shared" si="76"/>
        <v>93262</v>
      </c>
      <c r="AO59">
        <f t="shared" si="43"/>
        <v>280</v>
      </c>
      <c r="AP59">
        <f t="shared" si="77"/>
        <v>92261</v>
      </c>
      <c r="AQ59">
        <f t="shared" si="78"/>
        <v>14</v>
      </c>
      <c r="AR59">
        <f t="shared" si="79"/>
        <v>92256</v>
      </c>
      <c r="AS59">
        <f t="shared" si="80"/>
        <v>14</v>
      </c>
      <c r="AT59">
        <f t="shared" si="81"/>
        <v>0</v>
      </c>
      <c r="AV59">
        <f t="shared" si="82"/>
        <v>92262</v>
      </c>
      <c r="AW59">
        <f t="shared" si="44"/>
        <v>92261</v>
      </c>
      <c r="AX59">
        <f t="shared" si="83"/>
        <v>0</v>
      </c>
      <c r="AY59">
        <f t="shared" si="45"/>
        <v>92256</v>
      </c>
      <c r="AZ59">
        <f t="shared" si="84"/>
        <v>0</v>
      </c>
      <c r="BA59">
        <f t="shared" si="85"/>
        <v>0</v>
      </c>
      <c r="BC59">
        <f t="shared" si="86"/>
        <v>92262</v>
      </c>
      <c r="BD59">
        <f t="shared" si="46"/>
        <v>92261</v>
      </c>
      <c r="BE59">
        <f t="shared" si="87"/>
        <v>0</v>
      </c>
      <c r="BF59">
        <f t="shared" si="47"/>
        <v>92256</v>
      </c>
      <c r="BG59">
        <f t="shared" si="88"/>
        <v>0</v>
      </c>
      <c r="BH59">
        <f t="shared" si="89"/>
        <v>0</v>
      </c>
      <c r="BJ59">
        <f t="shared" si="90"/>
        <v>92262</v>
      </c>
      <c r="BK59">
        <f t="shared" si="48"/>
        <v>92261</v>
      </c>
      <c r="BL59">
        <f t="shared" si="91"/>
        <v>0</v>
      </c>
      <c r="BM59">
        <f t="shared" si="49"/>
        <v>92256</v>
      </c>
      <c r="BN59">
        <f t="shared" si="92"/>
        <v>0</v>
      </c>
      <c r="BO59">
        <f t="shared" si="93"/>
        <v>0</v>
      </c>
      <c r="BQ59">
        <f t="shared" si="94"/>
        <v>92262</v>
      </c>
      <c r="BR59">
        <f t="shared" si="50"/>
        <v>92261</v>
      </c>
      <c r="BS59">
        <f t="shared" si="95"/>
        <v>0</v>
      </c>
      <c r="BT59">
        <f t="shared" si="51"/>
        <v>92256</v>
      </c>
      <c r="BU59">
        <f t="shared" si="96"/>
        <v>0</v>
      </c>
      <c r="BV59">
        <f t="shared" si="97"/>
        <v>0</v>
      </c>
      <c r="BX59">
        <f t="shared" si="52"/>
        <v>92262</v>
      </c>
      <c r="BY59">
        <f t="shared" si="53"/>
        <v>92261</v>
      </c>
      <c r="BZ59">
        <f t="shared" si="98"/>
        <v>0</v>
      </c>
      <c r="CA59">
        <f t="shared" si="54"/>
        <v>92256</v>
      </c>
      <c r="CB59">
        <f t="shared" si="99"/>
        <v>0</v>
      </c>
      <c r="CC59">
        <f t="shared" si="100"/>
        <v>0</v>
      </c>
      <c r="CE59">
        <f t="shared" si="55"/>
        <v>92262</v>
      </c>
      <c r="CF59">
        <f t="shared" si="56"/>
        <v>92261</v>
      </c>
      <c r="CG59">
        <f t="shared" si="101"/>
        <v>0</v>
      </c>
      <c r="CH59">
        <f t="shared" si="57"/>
        <v>92256</v>
      </c>
      <c r="CI59">
        <f t="shared" si="102"/>
        <v>0</v>
      </c>
      <c r="CJ59">
        <f t="shared" si="103"/>
        <v>0</v>
      </c>
    </row>
    <row r="60" spans="1:88">
      <c r="A60" s="5">
        <v>92298</v>
      </c>
      <c r="B60" s="5" t="s">
        <v>492</v>
      </c>
      <c r="C60" s="5" t="s">
        <v>496</v>
      </c>
      <c r="D60" s="5">
        <v>1</v>
      </c>
      <c r="E60" s="5" t="s">
        <v>87</v>
      </c>
      <c r="F60" s="5">
        <v>4</v>
      </c>
      <c r="G60" s="5">
        <v>68</v>
      </c>
      <c r="H60" s="5">
        <f t="shared" si="67"/>
        <v>0</v>
      </c>
      <c r="I60" s="5">
        <f t="shared" si="68"/>
        <v>0</v>
      </c>
      <c r="J60" s="5">
        <f t="shared" si="69"/>
        <v>44</v>
      </c>
      <c r="K60" s="98">
        <f t="shared" si="70"/>
        <v>0</v>
      </c>
      <c r="L60" s="5">
        <f t="shared" si="105"/>
        <v>5</v>
      </c>
      <c r="M60" s="5" t="str">
        <f t="shared" si="71"/>
        <v>海洋之泪碎片  4</v>
      </c>
      <c r="N60" s="5">
        <f t="shared" si="60"/>
        <v>93298</v>
      </c>
      <c r="O60" s="5">
        <f t="shared" si="63"/>
        <v>20</v>
      </c>
      <c r="P60" s="5" t="str">
        <f t="shared" si="72"/>
        <v>苍蓝戒指  4</v>
      </c>
      <c r="Q60" s="5">
        <f>A45</f>
        <v>92240</v>
      </c>
      <c r="R60" s="91">
        <f t="shared" si="64"/>
        <v>1</v>
      </c>
      <c r="S60" s="5" t="str">
        <f t="shared" si="73"/>
        <v>星光红石  4</v>
      </c>
      <c r="T60" s="5">
        <f>A44</f>
        <v>92296</v>
      </c>
      <c r="U60" s="91">
        <f t="shared" si="66"/>
        <v>1</v>
      </c>
      <c r="V60" s="39">
        <f t="shared" si="36"/>
        <v>17</v>
      </c>
      <c r="W60">
        <f t="shared" si="65"/>
        <v>2288.9595138008362</v>
      </c>
      <c r="X60">
        <f t="shared" si="38"/>
        <v>10</v>
      </c>
      <c r="Y60" s="6"/>
      <c r="Z60" s="6"/>
      <c r="AA60" s="6">
        <v>1</v>
      </c>
      <c r="AB60">
        <f t="shared" si="74"/>
        <v>44</v>
      </c>
      <c r="AC60">
        <f t="shared" si="40"/>
        <v>35</v>
      </c>
      <c r="AD60">
        <f t="shared" si="41"/>
        <v>17</v>
      </c>
      <c r="AL60">
        <f>CHOOSE(2,1,COUNTIF(D_马仔培养宝物!$F$2:$K$229,D_马仔宝物!A60))</f>
        <v>17</v>
      </c>
      <c r="AM60">
        <f t="shared" si="75"/>
        <v>92298</v>
      </c>
      <c r="AN60">
        <f t="shared" si="76"/>
        <v>93298</v>
      </c>
      <c r="AO60">
        <f t="shared" si="43"/>
        <v>340</v>
      </c>
      <c r="AP60">
        <f t="shared" si="77"/>
        <v>92240</v>
      </c>
      <c r="AQ60">
        <f t="shared" si="78"/>
        <v>17</v>
      </c>
      <c r="AR60">
        <f t="shared" si="79"/>
        <v>92296</v>
      </c>
      <c r="AS60">
        <f t="shared" si="80"/>
        <v>17</v>
      </c>
      <c r="AT60">
        <f t="shared" si="81"/>
        <v>0</v>
      </c>
      <c r="AV60">
        <f t="shared" si="82"/>
        <v>92298</v>
      </c>
      <c r="AW60">
        <f t="shared" si="44"/>
        <v>92240</v>
      </c>
      <c r="AX60">
        <f t="shared" si="83"/>
        <v>0</v>
      </c>
      <c r="AY60">
        <f t="shared" si="45"/>
        <v>92296</v>
      </c>
      <c r="AZ60">
        <f t="shared" si="84"/>
        <v>0</v>
      </c>
      <c r="BA60">
        <f t="shared" si="85"/>
        <v>0</v>
      </c>
      <c r="BC60">
        <f t="shared" si="86"/>
        <v>92298</v>
      </c>
      <c r="BD60">
        <f t="shared" si="46"/>
        <v>92240</v>
      </c>
      <c r="BE60">
        <f t="shared" si="87"/>
        <v>0</v>
      </c>
      <c r="BF60">
        <f t="shared" si="47"/>
        <v>92296</v>
      </c>
      <c r="BG60">
        <f t="shared" si="88"/>
        <v>0</v>
      </c>
      <c r="BH60">
        <f t="shared" si="89"/>
        <v>0</v>
      </c>
      <c r="BJ60">
        <f t="shared" si="90"/>
        <v>92298</v>
      </c>
      <c r="BK60">
        <f t="shared" si="48"/>
        <v>92240</v>
      </c>
      <c r="BL60">
        <f t="shared" si="91"/>
        <v>0</v>
      </c>
      <c r="BM60">
        <f t="shared" si="49"/>
        <v>92296</v>
      </c>
      <c r="BN60">
        <f t="shared" si="92"/>
        <v>0</v>
      </c>
      <c r="BO60">
        <f t="shared" si="93"/>
        <v>0</v>
      </c>
      <c r="BQ60">
        <f t="shared" si="94"/>
        <v>92298</v>
      </c>
      <c r="BR60">
        <f t="shared" si="50"/>
        <v>92240</v>
      </c>
      <c r="BS60">
        <f t="shared" si="95"/>
        <v>0</v>
      </c>
      <c r="BT60">
        <f t="shared" si="51"/>
        <v>92296</v>
      </c>
      <c r="BU60">
        <f t="shared" si="96"/>
        <v>0</v>
      </c>
      <c r="BV60">
        <f t="shared" si="97"/>
        <v>0</v>
      </c>
      <c r="BX60">
        <f t="shared" si="52"/>
        <v>92298</v>
      </c>
      <c r="BY60">
        <f t="shared" si="53"/>
        <v>92240</v>
      </c>
      <c r="BZ60">
        <f t="shared" si="98"/>
        <v>0</v>
      </c>
      <c r="CA60">
        <f t="shared" si="54"/>
        <v>92296</v>
      </c>
      <c r="CB60">
        <f t="shared" si="99"/>
        <v>0</v>
      </c>
      <c r="CC60">
        <f t="shared" si="100"/>
        <v>0</v>
      </c>
      <c r="CE60">
        <f t="shared" si="55"/>
        <v>92298</v>
      </c>
      <c r="CF60">
        <f t="shared" si="56"/>
        <v>92240</v>
      </c>
      <c r="CG60">
        <f t="shared" si="101"/>
        <v>0</v>
      </c>
      <c r="CH60">
        <f t="shared" si="57"/>
        <v>92296</v>
      </c>
      <c r="CI60">
        <f t="shared" si="102"/>
        <v>0</v>
      </c>
      <c r="CJ60">
        <f t="shared" si="103"/>
        <v>0</v>
      </c>
    </row>
    <row r="61" spans="1:88">
      <c r="A61" s="5">
        <v>92276</v>
      </c>
      <c r="B61" s="5" t="s">
        <v>486</v>
      </c>
      <c r="C61" s="5" t="s">
        <v>496</v>
      </c>
      <c r="D61" s="5">
        <v>1</v>
      </c>
      <c r="E61" s="5" t="s">
        <v>81</v>
      </c>
      <c r="F61" s="5">
        <v>4</v>
      </c>
      <c r="G61" s="5">
        <v>69</v>
      </c>
      <c r="H61" s="5">
        <f t="shared" si="67"/>
        <v>2058</v>
      </c>
      <c r="I61" s="5">
        <f t="shared" si="68"/>
        <v>0</v>
      </c>
      <c r="J61" s="5">
        <f t="shared" si="69"/>
        <v>0</v>
      </c>
      <c r="K61" s="98">
        <f t="shared" si="70"/>
        <v>0</v>
      </c>
      <c r="L61" s="5">
        <f t="shared" si="105"/>
        <v>5</v>
      </c>
      <c r="M61" s="5" t="str">
        <f t="shared" si="71"/>
        <v>壕利手表碎片  4</v>
      </c>
      <c r="N61" s="5">
        <f t="shared" si="60"/>
        <v>93276</v>
      </c>
      <c r="O61" s="5">
        <f t="shared" si="63"/>
        <v>20</v>
      </c>
      <c r="P61" s="5" t="str">
        <f t="shared" si="72"/>
        <v>千国手表  4</v>
      </c>
      <c r="Q61" s="5">
        <f>A49</f>
        <v>92275</v>
      </c>
      <c r="R61" s="91">
        <f t="shared" si="64"/>
        <v>1</v>
      </c>
      <c r="S61" s="5" t="str">
        <f t="shared" si="73"/>
        <v>菠萝  4</v>
      </c>
      <c r="T61" s="5">
        <f>A43</f>
        <v>92014</v>
      </c>
      <c r="U61" s="91">
        <f t="shared" si="66"/>
        <v>1</v>
      </c>
      <c r="V61" s="39">
        <f t="shared" si="36"/>
        <v>16</v>
      </c>
      <c r="W61">
        <f t="shared" si="65"/>
        <v>2308.3817633266553</v>
      </c>
      <c r="X61">
        <f t="shared" si="38"/>
        <v>10</v>
      </c>
      <c r="Y61" s="6">
        <v>1</v>
      </c>
      <c r="Z61" s="6"/>
      <c r="AA61" s="6"/>
      <c r="AB61">
        <f t="shared" si="74"/>
        <v>82.320000000000007</v>
      </c>
      <c r="AC61">
        <f t="shared" si="40"/>
        <v>35</v>
      </c>
      <c r="AD61">
        <f t="shared" si="41"/>
        <v>16</v>
      </c>
      <c r="AL61">
        <f>CHOOSE(2,1,COUNTIF(D_马仔培养宝物!$F$2:$K$229,D_马仔宝物!A61))</f>
        <v>16</v>
      </c>
      <c r="AM61">
        <f t="shared" si="75"/>
        <v>92276</v>
      </c>
      <c r="AN61">
        <f t="shared" si="76"/>
        <v>93276</v>
      </c>
      <c r="AO61">
        <f t="shared" si="43"/>
        <v>320</v>
      </c>
      <c r="AP61">
        <f t="shared" si="77"/>
        <v>92275</v>
      </c>
      <c r="AQ61">
        <f t="shared" si="78"/>
        <v>16</v>
      </c>
      <c r="AR61">
        <f t="shared" si="79"/>
        <v>92014</v>
      </c>
      <c r="AS61">
        <f t="shared" si="80"/>
        <v>16</v>
      </c>
      <c r="AT61">
        <f t="shared" si="81"/>
        <v>0</v>
      </c>
      <c r="AV61">
        <f t="shared" si="82"/>
        <v>92276</v>
      </c>
      <c r="AW61">
        <f t="shared" si="44"/>
        <v>92275</v>
      </c>
      <c r="AX61">
        <f t="shared" si="83"/>
        <v>0</v>
      </c>
      <c r="AY61">
        <f t="shared" si="45"/>
        <v>92014</v>
      </c>
      <c r="AZ61">
        <f t="shared" si="84"/>
        <v>0</v>
      </c>
      <c r="BA61">
        <f t="shared" si="85"/>
        <v>0</v>
      </c>
      <c r="BC61">
        <f t="shared" si="86"/>
        <v>92276</v>
      </c>
      <c r="BD61">
        <f t="shared" si="46"/>
        <v>92275</v>
      </c>
      <c r="BE61">
        <f t="shared" si="87"/>
        <v>0</v>
      </c>
      <c r="BF61">
        <f t="shared" si="47"/>
        <v>92014</v>
      </c>
      <c r="BG61">
        <f t="shared" si="88"/>
        <v>0</v>
      </c>
      <c r="BH61">
        <f t="shared" si="89"/>
        <v>0</v>
      </c>
      <c r="BJ61">
        <f t="shared" si="90"/>
        <v>92276</v>
      </c>
      <c r="BK61">
        <f t="shared" si="48"/>
        <v>92275</v>
      </c>
      <c r="BL61">
        <f t="shared" si="91"/>
        <v>0</v>
      </c>
      <c r="BM61">
        <f t="shared" si="49"/>
        <v>92014</v>
      </c>
      <c r="BN61">
        <f t="shared" si="92"/>
        <v>0</v>
      </c>
      <c r="BO61">
        <f t="shared" si="93"/>
        <v>0</v>
      </c>
      <c r="BQ61">
        <f t="shared" si="94"/>
        <v>92276</v>
      </c>
      <c r="BR61">
        <f t="shared" si="50"/>
        <v>92275</v>
      </c>
      <c r="BS61">
        <f t="shared" si="95"/>
        <v>0</v>
      </c>
      <c r="BT61">
        <f t="shared" si="51"/>
        <v>92014</v>
      </c>
      <c r="BU61">
        <f t="shared" si="96"/>
        <v>0</v>
      </c>
      <c r="BV61">
        <f t="shared" si="97"/>
        <v>0</v>
      </c>
      <c r="BX61">
        <f t="shared" si="52"/>
        <v>92276</v>
      </c>
      <c r="BY61">
        <f t="shared" si="53"/>
        <v>92275</v>
      </c>
      <c r="BZ61">
        <f t="shared" si="98"/>
        <v>0</v>
      </c>
      <c r="CA61">
        <f t="shared" si="54"/>
        <v>92014</v>
      </c>
      <c r="CB61">
        <f t="shared" si="99"/>
        <v>0</v>
      </c>
      <c r="CC61">
        <f t="shared" si="100"/>
        <v>0</v>
      </c>
      <c r="CE61">
        <f t="shared" si="55"/>
        <v>92276</v>
      </c>
      <c r="CF61">
        <f t="shared" si="56"/>
        <v>92275</v>
      </c>
      <c r="CG61">
        <f t="shared" si="101"/>
        <v>0</v>
      </c>
      <c r="CH61">
        <f t="shared" si="57"/>
        <v>92014</v>
      </c>
      <c r="CI61">
        <f t="shared" si="102"/>
        <v>0</v>
      </c>
      <c r="CJ61">
        <f t="shared" si="103"/>
        <v>0</v>
      </c>
    </row>
    <row r="62" spans="1:88">
      <c r="A62" s="5">
        <v>92282</v>
      </c>
      <c r="B62" s="5" t="s">
        <v>488</v>
      </c>
      <c r="C62" s="5" t="s">
        <v>496</v>
      </c>
      <c r="D62" s="5">
        <v>1</v>
      </c>
      <c r="E62" s="5" t="s">
        <v>83</v>
      </c>
      <c r="F62" s="5">
        <v>4</v>
      </c>
      <c r="G62" s="5">
        <v>69</v>
      </c>
      <c r="H62" s="5">
        <f t="shared" si="67"/>
        <v>0</v>
      </c>
      <c r="I62" s="5">
        <f t="shared" si="68"/>
        <v>105</v>
      </c>
      <c r="J62" s="5">
        <f t="shared" si="69"/>
        <v>0</v>
      </c>
      <c r="K62" s="98">
        <f t="shared" si="70"/>
        <v>0</v>
      </c>
      <c r="L62" s="5">
        <f t="shared" si="105"/>
        <v>5</v>
      </c>
      <c r="M62" s="5" t="str">
        <f t="shared" si="71"/>
        <v>劳莱斯特碎片  4</v>
      </c>
      <c r="N62" s="5">
        <f t="shared" si="60"/>
        <v>93282</v>
      </c>
      <c r="O62" s="5">
        <f t="shared" si="63"/>
        <v>20</v>
      </c>
      <c r="P62" s="5" t="str">
        <f t="shared" si="72"/>
        <v>红博机利  4</v>
      </c>
      <c r="Q62" s="5">
        <f>A50</f>
        <v>92281</v>
      </c>
      <c r="R62" s="91">
        <f t="shared" si="64"/>
        <v>1</v>
      </c>
      <c r="S62" s="5" t="str">
        <f t="shared" si="73"/>
        <v>大堆金块  4</v>
      </c>
      <c r="T62" s="5">
        <f>A52</f>
        <v>92290</v>
      </c>
      <c r="U62" s="91">
        <f t="shared" si="66"/>
        <v>1</v>
      </c>
      <c r="V62" s="39">
        <f t="shared" si="36"/>
        <v>14</v>
      </c>
      <c r="W62">
        <f t="shared" si="65"/>
        <v>2315.9444763378679</v>
      </c>
      <c r="X62">
        <f t="shared" si="38"/>
        <v>10</v>
      </c>
      <c r="Y62" s="6"/>
      <c r="Z62" s="6">
        <v>1</v>
      </c>
      <c r="AA62" s="6"/>
      <c r="AB62">
        <f t="shared" si="74"/>
        <v>105</v>
      </c>
      <c r="AC62">
        <f t="shared" si="40"/>
        <v>35</v>
      </c>
      <c r="AD62">
        <f t="shared" si="41"/>
        <v>14</v>
      </c>
      <c r="AL62">
        <f>CHOOSE(2,1,COUNTIF(D_马仔培养宝物!$F$2:$K$229,D_马仔宝物!A62))</f>
        <v>14</v>
      </c>
      <c r="AM62">
        <f t="shared" si="75"/>
        <v>92282</v>
      </c>
      <c r="AN62">
        <f t="shared" si="76"/>
        <v>93282</v>
      </c>
      <c r="AO62">
        <f t="shared" si="43"/>
        <v>280</v>
      </c>
      <c r="AP62">
        <f t="shared" si="77"/>
        <v>92281</v>
      </c>
      <c r="AQ62">
        <f t="shared" si="78"/>
        <v>14</v>
      </c>
      <c r="AR62">
        <f t="shared" si="79"/>
        <v>92290</v>
      </c>
      <c r="AS62">
        <f t="shared" si="80"/>
        <v>14</v>
      </c>
      <c r="AT62">
        <f t="shared" si="81"/>
        <v>0</v>
      </c>
      <c r="AV62">
        <f t="shared" si="82"/>
        <v>92282</v>
      </c>
      <c r="AW62">
        <f t="shared" si="44"/>
        <v>92281</v>
      </c>
      <c r="AX62">
        <f t="shared" si="83"/>
        <v>0</v>
      </c>
      <c r="AY62">
        <f t="shared" si="45"/>
        <v>92290</v>
      </c>
      <c r="AZ62">
        <f t="shared" si="84"/>
        <v>0</v>
      </c>
      <c r="BA62">
        <f t="shared" si="85"/>
        <v>0</v>
      </c>
      <c r="BC62">
        <f t="shared" si="86"/>
        <v>92282</v>
      </c>
      <c r="BD62">
        <f t="shared" si="46"/>
        <v>92281</v>
      </c>
      <c r="BE62">
        <f t="shared" si="87"/>
        <v>0</v>
      </c>
      <c r="BF62">
        <f t="shared" si="47"/>
        <v>92290</v>
      </c>
      <c r="BG62">
        <f t="shared" si="88"/>
        <v>0</v>
      </c>
      <c r="BH62">
        <f t="shared" si="89"/>
        <v>0</v>
      </c>
      <c r="BJ62">
        <f t="shared" si="90"/>
        <v>92282</v>
      </c>
      <c r="BK62">
        <f t="shared" si="48"/>
        <v>92281</v>
      </c>
      <c r="BL62">
        <f t="shared" si="91"/>
        <v>0</v>
      </c>
      <c r="BM62">
        <f t="shared" si="49"/>
        <v>92290</v>
      </c>
      <c r="BN62">
        <f t="shared" si="92"/>
        <v>0</v>
      </c>
      <c r="BO62">
        <f t="shared" si="93"/>
        <v>0</v>
      </c>
      <c r="BQ62">
        <f t="shared" si="94"/>
        <v>92282</v>
      </c>
      <c r="BR62">
        <f t="shared" si="50"/>
        <v>92281</v>
      </c>
      <c r="BS62">
        <f t="shared" si="95"/>
        <v>0</v>
      </c>
      <c r="BT62">
        <f t="shared" si="51"/>
        <v>92290</v>
      </c>
      <c r="BU62">
        <f t="shared" si="96"/>
        <v>0</v>
      </c>
      <c r="BV62">
        <f t="shared" si="97"/>
        <v>0</v>
      </c>
      <c r="BX62">
        <f t="shared" si="52"/>
        <v>92282</v>
      </c>
      <c r="BY62">
        <f t="shared" si="53"/>
        <v>92281</v>
      </c>
      <c r="BZ62">
        <f t="shared" si="98"/>
        <v>0</v>
      </c>
      <c r="CA62">
        <f t="shared" si="54"/>
        <v>92290</v>
      </c>
      <c r="CB62">
        <f t="shared" si="99"/>
        <v>0</v>
      </c>
      <c r="CC62">
        <f t="shared" si="100"/>
        <v>0</v>
      </c>
      <c r="CE62">
        <f t="shared" si="55"/>
        <v>92282</v>
      </c>
      <c r="CF62">
        <f t="shared" si="56"/>
        <v>92281</v>
      </c>
      <c r="CG62">
        <f t="shared" si="101"/>
        <v>0</v>
      </c>
      <c r="CH62">
        <f t="shared" si="57"/>
        <v>92290</v>
      </c>
      <c r="CI62">
        <f t="shared" si="102"/>
        <v>0</v>
      </c>
      <c r="CJ62">
        <f t="shared" si="103"/>
        <v>0</v>
      </c>
    </row>
    <row r="63" spans="1:88">
      <c r="A63" s="5">
        <v>92299</v>
      </c>
      <c r="B63" s="5" t="s">
        <v>495</v>
      </c>
      <c r="C63" s="5" t="s">
        <v>496</v>
      </c>
      <c r="D63" s="5">
        <v>1</v>
      </c>
      <c r="E63" s="5" t="s">
        <v>90</v>
      </c>
      <c r="F63" s="5">
        <v>4</v>
      </c>
      <c r="G63" s="5">
        <v>70</v>
      </c>
      <c r="H63" s="5">
        <f t="shared" si="67"/>
        <v>0</v>
      </c>
      <c r="I63" s="5">
        <f t="shared" si="68"/>
        <v>0</v>
      </c>
      <c r="J63" s="5">
        <f t="shared" si="69"/>
        <v>44</v>
      </c>
      <c r="K63" s="98">
        <f t="shared" si="70"/>
        <v>0</v>
      </c>
      <c r="L63" s="5">
        <f t="shared" si="105"/>
        <v>5</v>
      </c>
      <c r="M63" s="5" t="str">
        <f t="shared" si="71"/>
        <v>房产证碎片  4</v>
      </c>
      <c r="N63" s="5">
        <f t="shared" si="60"/>
        <v>93299</v>
      </c>
      <c r="O63" s="5">
        <f t="shared" si="63"/>
        <v>20</v>
      </c>
      <c r="P63" s="5" t="str">
        <f t="shared" si="72"/>
        <v>巨额钞票  4</v>
      </c>
      <c r="Q63" s="5">
        <f>A51</f>
        <v>92286</v>
      </c>
      <c r="R63" s="91">
        <f t="shared" si="64"/>
        <v>2</v>
      </c>
      <c r="S63" s="5" t="str">
        <f t="shared" si="73"/>
        <v/>
      </c>
      <c r="T63" s="5"/>
      <c r="U63" s="91">
        <f t="shared" si="66"/>
        <v>0</v>
      </c>
      <c r="V63" s="39">
        <f t="shared" si="36"/>
        <v>25</v>
      </c>
      <c r="W63">
        <f t="shared" si="65"/>
        <v>2316.0381679863749</v>
      </c>
      <c r="X63">
        <f t="shared" si="38"/>
        <v>10</v>
      </c>
      <c r="Y63" s="6"/>
      <c r="Z63" s="6"/>
      <c r="AA63" s="6">
        <v>1</v>
      </c>
      <c r="AB63">
        <f t="shared" si="74"/>
        <v>44</v>
      </c>
      <c r="AC63">
        <f t="shared" si="40"/>
        <v>35</v>
      </c>
      <c r="AD63">
        <f t="shared" si="41"/>
        <v>25</v>
      </c>
      <c r="AL63">
        <f>CHOOSE(2,1,COUNTIF(D_马仔培养宝物!$F$2:$K$229,D_马仔宝物!A63))</f>
        <v>25</v>
      </c>
      <c r="AM63">
        <f t="shared" si="75"/>
        <v>92299</v>
      </c>
      <c r="AN63">
        <f t="shared" si="76"/>
        <v>93299</v>
      </c>
      <c r="AO63">
        <f t="shared" si="43"/>
        <v>500</v>
      </c>
      <c r="AP63">
        <f t="shared" si="77"/>
        <v>92286</v>
      </c>
      <c r="AQ63">
        <f t="shared" si="78"/>
        <v>50</v>
      </c>
      <c r="AR63">
        <f t="shared" si="79"/>
        <v>0</v>
      </c>
      <c r="AS63">
        <f t="shared" si="80"/>
        <v>0</v>
      </c>
      <c r="AT63">
        <f t="shared" si="81"/>
        <v>0</v>
      </c>
      <c r="AV63">
        <f t="shared" si="82"/>
        <v>92299</v>
      </c>
      <c r="AW63">
        <f t="shared" si="44"/>
        <v>92286</v>
      </c>
      <c r="AX63">
        <f t="shared" si="83"/>
        <v>0</v>
      </c>
      <c r="AY63">
        <f t="shared" si="45"/>
        <v>0</v>
      </c>
      <c r="AZ63">
        <f t="shared" si="84"/>
        <v>0</v>
      </c>
      <c r="BA63">
        <f t="shared" si="85"/>
        <v>0</v>
      </c>
      <c r="BC63">
        <f t="shared" si="86"/>
        <v>92299</v>
      </c>
      <c r="BD63">
        <f t="shared" si="46"/>
        <v>92286</v>
      </c>
      <c r="BE63">
        <f t="shared" si="87"/>
        <v>0</v>
      </c>
      <c r="BF63">
        <f t="shared" si="47"/>
        <v>0</v>
      </c>
      <c r="BG63">
        <f t="shared" si="88"/>
        <v>0</v>
      </c>
      <c r="BH63">
        <f t="shared" si="89"/>
        <v>0</v>
      </c>
      <c r="BJ63">
        <f t="shared" si="90"/>
        <v>92299</v>
      </c>
      <c r="BK63">
        <f t="shared" si="48"/>
        <v>92286</v>
      </c>
      <c r="BL63">
        <f t="shared" si="91"/>
        <v>0</v>
      </c>
      <c r="BM63">
        <f t="shared" si="49"/>
        <v>0</v>
      </c>
      <c r="BN63">
        <f t="shared" si="92"/>
        <v>0</v>
      </c>
      <c r="BO63">
        <f t="shared" si="93"/>
        <v>0</v>
      </c>
      <c r="BQ63">
        <f t="shared" si="94"/>
        <v>92299</v>
      </c>
      <c r="BR63">
        <f t="shared" si="50"/>
        <v>92286</v>
      </c>
      <c r="BS63">
        <f t="shared" si="95"/>
        <v>0</v>
      </c>
      <c r="BT63">
        <f t="shared" si="51"/>
        <v>0</v>
      </c>
      <c r="BU63">
        <f t="shared" si="96"/>
        <v>0</v>
      </c>
      <c r="BV63">
        <f t="shared" si="97"/>
        <v>0</v>
      </c>
      <c r="BX63">
        <f t="shared" si="52"/>
        <v>92299</v>
      </c>
      <c r="BY63">
        <f t="shared" si="53"/>
        <v>92286</v>
      </c>
      <c r="BZ63">
        <f t="shared" si="98"/>
        <v>0</v>
      </c>
      <c r="CA63">
        <f t="shared" si="54"/>
        <v>0</v>
      </c>
      <c r="CB63">
        <f t="shared" si="99"/>
        <v>0</v>
      </c>
      <c r="CC63">
        <f t="shared" si="100"/>
        <v>0</v>
      </c>
      <c r="CE63">
        <f t="shared" si="55"/>
        <v>92299</v>
      </c>
      <c r="CF63">
        <f t="shared" si="56"/>
        <v>92286</v>
      </c>
      <c r="CG63">
        <f t="shared" si="101"/>
        <v>0</v>
      </c>
      <c r="CH63">
        <f t="shared" si="57"/>
        <v>0</v>
      </c>
      <c r="CI63">
        <f t="shared" si="102"/>
        <v>0</v>
      </c>
      <c r="CJ63">
        <f t="shared" si="103"/>
        <v>0</v>
      </c>
    </row>
    <row r="64" spans="1:88">
      <c r="A64" s="5">
        <v>92291</v>
      </c>
      <c r="B64" s="5" t="s">
        <v>493</v>
      </c>
      <c r="C64" s="5" t="s">
        <v>496</v>
      </c>
      <c r="D64" s="5">
        <v>1</v>
      </c>
      <c r="E64" s="5" t="s">
        <v>88</v>
      </c>
      <c r="F64" s="5">
        <v>4</v>
      </c>
      <c r="G64" s="5">
        <v>70</v>
      </c>
      <c r="H64" s="5">
        <f t="shared" si="67"/>
        <v>2058</v>
      </c>
      <c r="I64" s="5">
        <f t="shared" si="68"/>
        <v>0</v>
      </c>
      <c r="J64" s="5">
        <f t="shared" si="69"/>
        <v>0</v>
      </c>
      <c r="K64" s="98">
        <f t="shared" si="70"/>
        <v>0</v>
      </c>
      <c r="L64" s="5">
        <f t="shared" si="105"/>
        <v>5</v>
      </c>
      <c r="M64" s="5" t="str">
        <f t="shared" si="71"/>
        <v>巨量金块碎片  4</v>
      </c>
      <c r="N64" s="5">
        <f t="shared" si="60"/>
        <v>93291</v>
      </c>
      <c r="O64" s="5">
        <f t="shared" si="63"/>
        <v>20</v>
      </c>
      <c r="P64" s="5" t="str">
        <f t="shared" si="72"/>
        <v>大堆金块  4</v>
      </c>
      <c r="Q64" s="5">
        <f>A52</f>
        <v>92290</v>
      </c>
      <c r="R64" s="91">
        <f t="shared" si="64"/>
        <v>2</v>
      </c>
      <c r="S64" s="5" t="str">
        <f t="shared" si="73"/>
        <v/>
      </c>
      <c r="T64" s="5"/>
      <c r="U64" s="91">
        <f t="shared" si="66"/>
        <v>0</v>
      </c>
      <c r="V64" s="39">
        <f t="shared" si="36"/>
        <v>26</v>
      </c>
      <c r="W64">
        <f t="shared" si="65"/>
        <v>2316.0381679863749</v>
      </c>
      <c r="X64">
        <f t="shared" si="38"/>
        <v>10</v>
      </c>
      <c r="Y64" s="6">
        <v>1</v>
      </c>
      <c r="Z64" s="6"/>
      <c r="AA64" s="6"/>
      <c r="AB64">
        <f t="shared" si="74"/>
        <v>82.320000000000007</v>
      </c>
      <c r="AC64">
        <f t="shared" si="40"/>
        <v>35</v>
      </c>
      <c r="AD64">
        <f t="shared" si="41"/>
        <v>26</v>
      </c>
      <c r="AL64">
        <f>CHOOSE(2,1,COUNTIF(D_马仔培养宝物!$F$2:$K$229,D_马仔宝物!A64))</f>
        <v>26</v>
      </c>
      <c r="AM64">
        <f t="shared" si="75"/>
        <v>92291</v>
      </c>
      <c r="AN64">
        <f t="shared" si="76"/>
        <v>93291</v>
      </c>
      <c r="AO64">
        <f>O64*AL64</f>
        <v>520</v>
      </c>
      <c r="AP64">
        <f t="shared" si="77"/>
        <v>92290</v>
      </c>
      <c r="AQ64">
        <f t="shared" si="78"/>
        <v>52</v>
      </c>
      <c r="AR64">
        <f t="shared" si="79"/>
        <v>0</v>
      </c>
      <c r="AS64">
        <f t="shared" si="80"/>
        <v>0</v>
      </c>
      <c r="AT64">
        <f t="shared" si="81"/>
        <v>0</v>
      </c>
      <c r="AV64">
        <f t="shared" si="82"/>
        <v>92291</v>
      </c>
      <c r="AW64">
        <f t="shared" si="44"/>
        <v>92290</v>
      </c>
      <c r="AX64">
        <f t="shared" si="83"/>
        <v>0</v>
      </c>
      <c r="AY64">
        <f t="shared" si="45"/>
        <v>0</v>
      </c>
      <c r="AZ64">
        <f t="shared" si="84"/>
        <v>0</v>
      </c>
      <c r="BA64">
        <f t="shared" si="85"/>
        <v>0</v>
      </c>
      <c r="BC64">
        <f t="shared" si="86"/>
        <v>92291</v>
      </c>
      <c r="BD64">
        <f t="shared" si="46"/>
        <v>92290</v>
      </c>
      <c r="BE64">
        <f t="shared" si="87"/>
        <v>0</v>
      </c>
      <c r="BF64">
        <f t="shared" si="47"/>
        <v>0</v>
      </c>
      <c r="BG64">
        <f t="shared" si="88"/>
        <v>0</v>
      </c>
      <c r="BH64">
        <f t="shared" si="89"/>
        <v>0</v>
      </c>
      <c r="BJ64">
        <f t="shared" si="90"/>
        <v>92291</v>
      </c>
      <c r="BK64">
        <f t="shared" si="48"/>
        <v>92290</v>
      </c>
      <c r="BL64">
        <f t="shared" si="91"/>
        <v>0</v>
      </c>
      <c r="BM64">
        <f t="shared" si="49"/>
        <v>0</v>
      </c>
      <c r="BN64">
        <f t="shared" si="92"/>
        <v>0</v>
      </c>
      <c r="BO64">
        <f t="shared" si="93"/>
        <v>0</v>
      </c>
      <c r="BQ64">
        <f t="shared" si="94"/>
        <v>92291</v>
      </c>
      <c r="BR64">
        <f t="shared" si="50"/>
        <v>92290</v>
      </c>
      <c r="BS64">
        <f t="shared" si="95"/>
        <v>0</v>
      </c>
      <c r="BT64">
        <f t="shared" si="51"/>
        <v>0</v>
      </c>
      <c r="BU64">
        <f t="shared" si="96"/>
        <v>0</v>
      </c>
      <c r="BV64">
        <f t="shared" si="97"/>
        <v>0</v>
      </c>
      <c r="BX64">
        <f t="shared" si="52"/>
        <v>92291</v>
      </c>
      <c r="BY64">
        <f t="shared" si="53"/>
        <v>92290</v>
      </c>
      <c r="BZ64">
        <f t="shared" si="98"/>
        <v>0</v>
      </c>
      <c r="CA64">
        <f t="shared" si="54"/>
        <v>0</v>
      </c>
      <c r="CB64">
        <f t="shared" si="99"/>
        <v>0</v>
      </c>
      <c r="CC64">
        <f t="shared" si="100"/>
        <v>0</v>
      </c>
      <c r="CE64">
        <f t="shared" si="55"/>
        <v>92291</v>
      </c>
      <c r="CF64">
        <f t="shared" si="56"/>
        <v>92290</v>
      </c>
      <c r="CG64">
        <f t="shared" si="101"/>
        <v>0</v>
      </c>
      <c r="CH64">
        <f t="shared" si="57"/>
        <v>0</v>
      </c>
      <c r="CI64">
        <f t="shared" si="102"/>
        <v>0</v>
      </c>
      <c r="CJ64">
        <f t="shared" si="103"/>
        <v>0</v>
      </c>
    </row>
    <row r="65" spans="1:88">
      <c r="A65" s="5">
        <f>A11+1000</f>
        <v>93233</v>
      </c>
      <c r="B65" s="5" t="str">
        <f t="shared" ref="B65:B96" si="107">B11&amp;"碎片"</f>
        <v>白金手环碎片</v>
      </c>
      <c r="C65" s="5" t="str">
        <f>"合成"&amp;B65&amp;"的必备材料"</f>
        <v>合成白金手环碎片的必备材料</v>
      </c>
      <c r="D65" s="5">
        <v>2</v>
      </c>
      <c r="E65" s="5" t="str">
        <f>E11</f>
        <v>92233.png</v>
      </c>
      <c r="F65" s="5">
        <f>F11</f>
        <v>1</v>
      </c>
      <c r="G65" s="5">
        <f>G11</f>
        <v>21</v>
      </c>
      <c r="H65" s="5"/>
      <c r="I65" s="5"/>
      <c r="J65" s="5"/>
      <c r="K65" s="98"/>
      <c r="L65" s="5"/>
      <c r="M65" s="5" t="str">
        <f t="shared" si="71"/>
        <v/>
      </c>
      <c r="N65" s="5"/>
      <c r="O65" s="5"/>
      <c r="P65" s="5" t="str">
        <f t="shared" si="72"/>
        <v/>
      </c>
      <c r="Q65" s="5"/>
      <c r="R65" s="5"/>
      <c r="S65" s="5" t="str">
        <f t="shared" si="73"/>
        <v/>
      </c>
      <c r="T65" s="5"/>
      <c r="U65" s="5"/>
      <c r="V65" s="39">
        <f t="shared" ref="V65" si="108">AD65</f>
        <v>1910</v>
      </c>
      <c r="W65">
        <f>10*F65</f>
        <v>10</v>
      </c>
      <c r="X65">
        <f t="shared" ref="X65" si="109">1+(F65+1)*$AG$2</f>
        <v>2</v>
      </c>
      <c r="Y65" s="6"/>
      <c r="Z65" s="6">
        <v>1</v>
      </c>
      <c r="AA65" s="6"/>
      <c r="AB65">
        <f>AB11/O11</f>
        <v>4.9359999999999999</v>
      </c>
      <c r="AC65">
        <f t="shared" si="40"/>
        <v>20</v>
      </c>
      <c r="AD65">
        <f t="shared" ref="AD65:AD96" si="110">AD11*O11</f>
        <v>1910</v>
      </c>
      <c r="AL65">
        <f>CHOOSE(2,1,COUNTIF(D_马仔培养宝物!$F$2:$K$229,D_马仔宝物!A65))</f>
        <v>0</v>
      </c>
      <c r="AM65">
        <f t="shared" ref="AM65" si="111">A65</f>
        <v>93233</v>
      </c>
      <c r="AN65">
        <f t="shared" ref="AN65" si="112">N65</f>
        <v>0</v>
      </c>
      <c r="AO65">
        <f t="shared" ref="AO65" si="113">O65*AL65</f>
        <v>0</v>
      </c>
      <c r="AP65">
        <f t="shared" ref="AP65" si="114">Q65</f>
        <v>0</v>
      </c>
      <c r="AQ65">
        <f t="shared" si="78"/>
        <v>0</v>
      </c>
      <c r="AR65">
        <f t="shared" ref="AR65" si="115">T65</f>
        <v>0</v>
      </c>
      <c r="AS65">
        <f t="shared" si="80"/>
        <v>0</v>
      </c>
      <c r="AT65">
        <f t="shared" si="81"/>
        <v>100</v>
      </c>
      <c r="AV65">
        <f t="shared" ref="AV65" si="116">AM65</f>
        <v>93233</v>
      </c>
      <c r="AW65">
        <f t="shared" si="44"/>
        <v>0</v>
      </c>
      <c r="AX65">
        <f t="shared" si="83"/>
        <v>0</v>
      </c>
      <c r="AY65">
        <f t="shared" si="45"/>
        <v>0</v>
      </c>
      <c r="AZ65">
        <f t="shared" si="84"/>
        <v>0</v>
      </c>
      <c r="BA65">
        <f t="shared" si="85"/>
        <v>0</v>
      </c>
      <c r="BC65">
        <f t="shared" ref="BC65" si="117">AV65</f>
        <v>93233</v>
      </c>
      <c r="BD65">
        <f t="shared" si="46"/>
        <v>0</v>
      </c>
      <c r="BE65">
        <f t="shared" si="87"/>
        <v>0</v>
      </c>
      <c r="BF65">
        <f t="shared" si="47"/>
        <v>0</v>
      </c>
      <c r="BG65">
        <f t="shared" si="88"/>
        <v>0</v>
      </c>
      <c r="BH65">
        <f t="shared" si="89"/>
        <v>0</v>
      </c>
      <c r="BJ65">
        <f t="shared" ref="BJ65" si="118">BC65</f>
        <v>93233</v>
      </c>
      <c r="BK65">
        <f t="shared" si="48"/>
        <v>0</v>
      </c>
      <c r="BL65">
        <f t="shared" si="91"/>
        <v>0</v>
      </c>
      <c r="BM65">
        <f t="shared" si="49"/>
        <v>0</v>
      </c>
      <c r="BN65">
        <f t="shared" si="92"/>
        <v>0</v>
      </c>
      <c r="BO65">
        <f t="shared" si="93"/>
        <v>0</v>
      </c>
      <c r="BQ65">
        <f t="shared" ref="BQ65" si="119">BJ65</f>
        <v>93233</v>
      </c>
      <c r="BR65">
        <f t="shared" si="50"/>
        <v>0</v>
      </c>
      <c r="BS65">
        <f t="shared" si="95"/>
        <v>0</v>
      </c>
      <c r="BT65">
        <f t="shared" si="51"/>
        <v>0</v>
      </c>
      <c r="BU65">
        <f t="shared" si="96"/>
        <v>0</v>
      </c>
      <c r="BV65">
        <f t="shared" si="97"/>
        <v>0</v>
      </c>
      <c r="BX65">
        <f t="shared" si="52"/>
        <v>93233</v>
      </c>
      <c r="BY65">
        <f t="shared" si="53"/>
        <v>0</v>
      </c>
      <c r="BZ65">
        <f t="shared" si="98"/>
        <v>0</v>
      </c>
      <c r="CA65">
        <f t="shared" si="54"/>
        <v>0</v>
      </c>
      <c r="CB65">
        <f t="shared" si="99"/>
        <v>0</v>
      </c>
      <c r="CC65">
        <f t="shared" si="100"/>
        <v>0</v>
      </c>
      <c r="CE65">
        <f t="shared" si="55"/>
        <v>93233</v>
      </c>
      <c r="CF65">
        <f t="shared" si="56"/>
        <v>0</v>
      </c>
      <c r="CG65">
        <f t="shared" si="101"/>
        <v>0</v>
      </c>
      <c r="CH65">
        <f t="shared" si="57"/>
        <v>0</v>
      </c>
      <c r="CI65">
        <f t="shared" si="102"/>
        <v>0</v>
      </c>
      <c r="CJ65">
        <f t="shared" si="103"/>
        <v>0</v>
      </c>
    </row>
    <row r="66" spans="1:88">
      <c r="A66" s="5">
        <f t="shared" ref="A66:A118" si="120">A12+1000</f>
        <v>93122</v>
      </c>
      <c r="B66" s="5" t="str">
        <f t="shared" si="107"/>
        <v>银饰耳钉碎片</v>
      </c>
      <c r="C66" s="5" t="str">
        <f>"合成"&amp;B66&amp;"的必备材料"</f>
        <v>合成银饰耳钉碎片的必备材料</v>
      </c>
      <c r="D66" s="5">
        <v>2</v>
      </c>
      <c r="E66" s="5" t="str">
        <f t="shared" ref="E66:E97" si="121">E12</f>
        <v>92122.png</v>
      </c>
      <c r="F66" s="5">
        <f t="shared" ref="F66:F118" si="122">F12</f>
        <v>1</v>
      </c>
      <c r="G66" s="5">
        <f t="shared" ref="G66:G97" si="123">G12</f>
        <v>21</v>
      </c>
      <c r="H66" s="5"/>
      <c r="I66" s="5"/>
      <c r="J66" s="5"/>
      <c r="K66" s="98"/>
      <c r="L66" s="5"/>
      <c r="M66" s="5" t="str">
        <f t="shared" ref="M66:M97" si="124">IFERROR(VLOOKUP(N66,$A$2:$F$118,2,FALSE)&amp;"  "&amp;VLOOKUP(N66,$A$2:$F$118,6,FALSE),"")</f>
        <v/>
      </c>
      <c r="N66" s="5"/>
      <c r="O66" s="5"/>
      <c r="P66" s="5" t="str">
        <f t="shared" ref="P66:P97" si="125">IFERROR(VLOOKUP(Q66,$A$2:$F$118,2,FALSE)&amp;"  "&amp;VLOOKUP(Q66,$A$2:$F$118,6,FALSE),"")</f>
        <v/>
      </c>
      <c r="Q66" s="5"/>
      <c r="R66" s="5"/>
      <c r="S66" s="5" t="str">
        <f t="shared" ref="S66:S97" si="126">IFERROR(VLOOKUP(T66,$A$2:$F$118,2,FALSE)&amp;"  "&amp;VLOOKUP(T66,$A$2:$F$118,6,FALSE),"")</f>
        <v/>
      </c>
      <c r="T66" s="5"/>
      <c r="U66" s="5"/>
      <c r="V66" s="39">
        <f t="shared" si="36"/>
        <v>1810</v>
      </c>
      <c r="W66">
        <f t="shared" ref="W66:W118" si="127">10*F66</f>
        <v>10</v>
      </c>
      <c r="X66">
        <f t="shared" ref="X66:X76" si="128">1+(F66+1)*$AG$2</f>
        <v>2</v>
      </c>
      <c r="Y66" s="6"/>
      <c r="Z66" s="6">
        <v>1</v>
      </c>
      <c r="AA66" s="6"/>
      <c r="AB66">
        <f t="shared" ref="AB66:AB118" si="129">AB12/O12</f>
        <v>6.2</v>
      </c>
      <c r="AC66">
        <f t="shared" ref="AC66:AC76" si="130">5*(F66+3)</f>
        <v>20</v>
      </c>
      <c r="AD66">
        <f t="shared" si="110"/>
        <v>1810</v>
      </c>
      <c r="AL66">
        <f>CHOOSE(2,1,COUNTIF(D_马仔培养宝物!$F$2:$K$229,D_马仔宝物!A66))</f>
        <v>0</v>
      </c>
      <c r="AM66">
        <f t="shared" si="75"/>
        <v>93122</v>
      </c>
      <c r="AN66">
        <f t="shared" si="76"/>
        <v>0</v>
      </c>
      <c r="AO66">
        <f t="shared" ref="AO66:AO76" si="131">O66*AL66</f>
        <v>0</v>
      </c>
      <c r="AP66">
        <f t="shared" si="77"/>
        <v>0</v>
      </c>
      <c r="AQ66">
        <f t="shared" ref="AQ66:AQ76" si="132">IF(AP66=0,0,SUMIF($A:$A,AM66,$R:$R))*AL66</f>
        <v>0</v>
      </c>
      <c r="AR66">
        <f t="shared" si="79"/>
        <v>0</v>
      </c>
      <c r="AS66">
        <f t="shared" ref="AS66:AS76" si="133">IF(AR66=0,0,SUMIF($A:$A,AM66,$U:$U))*AL66</f>
        <v>0</v>
      </c>
      <c r="AT66">
        <f t="shared" ref="AT66:AT97" si="134">SUMIF(AP:AP,AM66,AQ:AQ)+SUMIF(AR:AR,AM66,AS:AS)+SUMIF(AN:AN,AM66,AO:AO)</f>
        <v>120</v>
      </c>
      <c r="AV66">
        <f t="shared" si="82"/>
        <v>93122</v>
      </c>
      <c r="AW66">
        <f t="shared" ref="AW66:AW76" si="135">AP66</f>
        <v>0</v>
      </c>
      <c r="AX66">
        <f t="shared" ref="AX66:AX76" si="136">SUMIF($A:$A,AV66,$R:$R)*AT66</f>
        <v>0</v>
      </c>
      <c r="AY66">
        <f t="shared" ref="AY66:AY76" si="137">AR66</f>
        <v>0</v>
      </c>
      <c r="AZ66">
        <f t="shared" ref="AZ66:AZ76" si="138">SUMIF($A:$A,AV66,$U:$U)*AT66</f>
        <v>0</v>
      </c>
      <c r="BA66">
        <f t="shared" ref="BA66:BA97" si="139">SUMIF(AW:AW,AV66,AX:AX)+SUMIF(AY:AY,AV66,AZ:AZ)</f>
        <v>0</v>
      </c>
      <c r="BC66">
        <f t="shared" si="86"/>
        <v>93122</v>
      </c>
      <c r="BD66">
        <f t="shared" ref="BD66:BD76" si="140">AW66</f>
        <v>0</v>
      </c>
      <c r="BE66">
        <f t="shared" ref="BE66:BE76" si="141">SUMIF($A:$A,BC66,$R:$R)*BA66</f>
        <v>0</v>
      </c>
      <c r="BF66">
        <f t="shared" ref="BF66:BF76" si="142">AY66</f>
        <v>0</v>
      </c>
      <c r="BG66">
        <f t="shared" ref="BG66:BG76" si="143">SUMIF($A:$A,BC66,$U:$U)*BA66</f>
        <v>0</v>
      </c>
      <c r="BH66">
        <f t="shared" ref="BH66:BH76" si="144">SUMIF(BD:BD,BC66,BE:BE)+SUMIF(BF:BF,BC66,BG:BG)</f>
        <v>0</v>
      </c>
      <c r="BJ66">
        <f t="shared" si="90"/>
        <v>93122</v>
      </c>
      <c r="BK66">
        <f t="shared" ref="BK66:BK76" si="145">BD66</f>
        <v>0</v>
      </c>
      <c r="BL66">
        <f t="shared" ref="BL66:BL76" si="146">SUMIF($A:$A,BJ66,$R:$R)*BH66</f>
        <v>0</v>
      </c>
      <c r="BM66">
        <f t="shared" ref="BM66:BM76" si="147">BF66</f>
        <v>0</v>
      </c>
      <c r="BN66">
        <f t="shared" ref="BN66:BN76" si="148">SUMIF($A:$A,BJ66,$U:$U)*BH66</f>
        <v>0</v>
      </c>
      <c r="BO66">
        <f t="shared" ref="BO66:BO97" si="149">SUMIF(BK:BK,BJ66,BL:BL)+SUMIF(BM:BM,BJ66,BN:BN)</f>
        <v>0</v>
      </c>
      <c r="BQ66">
        <f t="shared" si="94"/>
        <v>93122</v>
      </c>
      <c r="BR66">
        <f t="shared" ref="BR66:BR76" si="150">BK66</f>
        <v>0</v>
      </c>
      <c r="BS66">
        <f t="shared" ref="BS66:BS76" si="151">SUMIF($A:$A,BQ66,$R:$R)*BO66</f>
        <v>0</v>
      </c>
      <c r="BT66">
        <f t="shared" ref="BT66:BT76" si="152">BM66</f>
        <v>0</v>
      </c>
      <c r="BU66">
        <f t="shared" ref="BU66:BU76" si="153">SUMIF($A:$A,BQ66,$U:$U)*BO66</f>
        <v>0</v>
      </c>
      <c r="BV66">
        <f t="shared" ref="BV66:BV97" si="154">SUMIF(BR:BR,BQ66,BS:BS)+SUMIF(BT:BT,BQ66,BU:BU)</f>
        <v>0</v>
      </c>
      <c r="BX66">
        <f t="shared" ref="BX66:BX76" si="155">BQ66</f>
        <v>93122</v>
      </c>
      <c r="BY66">
        <f t="shared" ref="BY66:BY76" si="156">BR66</f>
        <v>0</v>
      </c>
      <c r="BZ66">
        <f t="shared" ref="BZ66:BZ97" si="157">SUMIF($A:$A,BX66,$R:$R)*BV66</f>
        <v>0</v>
      </c>
      <c r="CA66">
        <f t="shared" ref="CA66:CA76" si="158">BT66</f>
        <v>0</v>
      </c>
      <c r="CB66">
        <f t="shared" ref="CB66:CB97" si="159">SUMIF($A:$A,BX66,$U:$U)*BV66</f>
        <v>0</v>
      </c>
      <c r="CC66">
        <f t="shared" ref="CC66:CC97" si="160">SUMIF(BY:BY,BX66,BZ:BZ)+SUMIF(CA:CA,BX66,CB:CB)</f>
        <v>0</v>
      </c>
      <c r="CE66">
        <f t="shared" ref="CE66:CE76" si="161">BX66</f>
        <v>93122</v>
      </c>
      <c r="CF66">
        <f t="shared" ref="CF66:CF76" si="162">BY66</f>
        <v>0</v>
      </c>
      <c r="CG66">
        <f t="shared" ref="CG66:CG97" si="163">SUMIF($A:$A,CE66,$R:$R)*CC66</f>
        <v>0</v>
      </c>
      <c r="CH66">
        <f t="shared" ref="CH66:CH76" si="164">CA66</f>
        <v>0</v>
      </c>
      <c r="CI66">
        <f t="shared" ref="CI66:CI97" si="165">SUMIF($A:$A,CE66,$U:$U)*CC66</f>
        <v>0</v>
      </c>
      <c r="CJ66">
        <f t="shared" ref="CJ66:CJ97" si="166">SUMIF(CF:CF,CE66,CG:CG)+SUMIF(CH:CH,CE66,CI:CI)</f>
        <v>0</v>
      </c>
    </row>
    <row r="67" spans="1:88">
      <c r="A67" s="5">
        <f t="shared" si="120"/>
        <v>93141</v>
      </c>
      <c r="B67" s="5" t="str">
        <f t="shared" si="107"/>
        <v>白银戒指碎片</v>
      </c>
      <c r="C67" s="5" t="str">
        <f t="shared" ref="C67:C76" si="167">"合成"&amp;B67&amp;"的必备材料"</f>
        <v>合成白银戒指碎片的必备材料</v>
      </c>
      <c r="D67" s="5">
        <v>2</v>
      </c>
      <c r="E67" s="5" t="str">
        <f t="shared" si="121"/>
        <v>92141.png</v>
      </c>
      <c r="F67" s="5">
        <f t="shared" si="122"/>
        <v>1</v>
      </c>
      <c r="G67" s="5">
        <f t="shared" si="123"/>
        <v>22</v>
      </c>
      <c r="H67" s="5"/>
      <c r="I67" s="5"/>
      <c r="J67" s="5"/>
      <c r="K67" s="98"/>
      <c r="L67" s="5"/>
      <c r="M67" s="5" t="str">
        <f t="shared" si="124"/>
        <v/>
      </c>
      <c r="N67" s="5"/>
      <c r="O67" s="5"/>
      <c r="P67" s="5" t="str">
        <f t="shared" si="125"/>
        <v/>
      </c>
      <c r="Q67" s="5"/>
      <c r="R67" s="5"/>
      <c r="S67" s="5" t="str">
        <f t="shared" si="126"/>
        <v/>
      </c>
      <c r="T67" s="5"/>
      <c r="U67" s="5"/>
      <c r="V67" s="39">
        <f t="shared" si="36"/>
        <v>1905</v>
      </c>
      <c r="W67">
        <f t="shared" si="127"/>
        <v>10</v>
      </c>
      <c r="X67">
        <f t="shared" si="128"/>
        <v>2</v>
      </c>
      <c r="Y67" s="6"/>
      <c r="Z67" s="6"/>
      <c r="AA67" s="6">
        <v>1</v>
      </c>
      <c r="AB67">
        <f t="shared" si="129"/>
        <v>2.6</v>
      </c>
      <c r="AC67">
        <f t="shared" si="130"/>
        <v>20</v>
      </c>
      <c r="AD67">
        <f t="shared" si="110"/>
        <v>1905</v>
      </c>
      <c r="AL67">
        <f>CHOOSE(2,1,COUNTIF(D_马仔培养宝物!$F$2:$K$229,D_马仔宝物!A67))</f>
        <v>0</v>
      </c>
      <c r="AM67">
        <f t="shared" si="75"/>
        <v>93141</v>
      </c>
      <c r="AN67">
        <f t="shared" si="76"/>
        <v>0</v>
      </c>
      <c r="AO67">
        <f t="shared" si="131"/>
        <v>0</v>
      </c>
      <c r="AP67">
        <f t="shared" si="77"/>
        <v>0</v>
      </c>
      <c r="AQ67">
        <f t="shared" si="132"/>
        <v>0</v>
      </c>
      <c r="AR67">
        <f t="shared" si="79"/>
        <v>0</v>
      </c>
      <c r="AS67">
        <f t="shared" si="133"/>
        <v>0</v>
      </c>
      <c r="AT67">
        <f t="shared" si="134"/>
        <v>120</v>
      </c>
      <c r="AV67">
        <f t="shared" si="82"/>
        <v>93141</v>
      </c>
      <c r="AW67">
        <f t="shared" si="135"/>
        <v>0</v>
      </c>
      <c r="AX67">
        <f t="shared" si="136"/>
        <v>0</v>
      </c>
      <c r="AY67">
        <f t="shared" si="137"/>
        <v>0</v>
      </c>
      <c r="AZ67">
        <f t="shared" si="138"/>
        <v>0</v>
      </c>
      <c r="BA67">
        <f t="shared" si="139"/>
        <v>0</v>
      </c>
      <c r="BC67">
        <f t="shared" si="86"/>
        <v>93141</v>
      </c>
      <c r="BD67">
        <f t="shared" si="140"/>
        <v>0</v>
      </c>
      <c r="BE67">
        <f t="shared" si="141"/>
        <v>0</v>
      </c>
      <c r="BF67">
        <f t="shared" si="142"/>
        <v>0</v>
      </c>
      <c r="BG67">
        <f t="shared" si="143"/>
        <v>0</v>
      </c>
      <c r="BH67">
        <f t="shared" si="144"/>
        <v>0</v>
      </c>
      <c r="BJ67">
        <f t="shared" si="90"/>
        <v>93141</v>
      </c>
      <c r="BK67">
        <f t="shared" si="145"/>
        <v>0</v>
      </c>
      <c r="BL67">
        <f t="shared" si="146"/>
        <v>0</v>
      </c>
      <c r="BM67">
        <f t="shared" si="147"/>
        <v>0</v>
      </c>
      <c r="BN67">
        <f t="shared" si="148"/>
        <v>0</v>
      </c>
      <c r="BO67">
        <f t="shared" si="149"/>
        <v>0</v>
      </c>
      <c r="BQ67">
        <f t="shared" si="94"/>
        <v>93141</v>
      </c>
      <c r="BR67">
        <f t="shared" si="150"/>
        <v>0</v>
      </c>
      <c r="BS67">
        <f t="shared" si="151"/>
        <v>0</v>
      </c>
      <c r="BT67">
        <f t="shared" si="152"/>
        <v>0</v>
      </c>
      <c r="BU67">
        <f t="shared" si="153"/>
        <v>0</v>
      </c>
      <c r="BV67">
        <f t="shared" si="154"/>
        <v>0</v>
      </c>
      <c r="BX67">
        <f t="shared" si="155"/>
        <v>93141</v>
      </c>
      <c r="BY67">
        <f t="shared" si="156"/>
        <v>0</v>
      </c>
      <c r="BZ67">
        <f t="shared" si="157"/>
        <v>0</v>
      </c>
      <c r="CA67">
        <f t="shared" si="158"/>
        <v>0</v>
      </c>
      <c r="CB67">
        <f t="shared" si="159"/>
        <v>0</v>
      </c>
      <c r="CC67">
        <f t="shared" si="160"/>
        <v>0</v>
      </c>
      <c r="CE67">
        <f t="shared" si="161"/>
        <v>93141</v>
      </c>
      <c r="CF67">
        <f t="shared" si="162"/>
        <v>0</v>
      </c>
      <c r="CG67">
        <f t="shared" si="163"/>
        <v>0</v>
      </c>
      <c r="CH67">
        <f t="shared" si="164"/>
        <v>0</v>
      </c>
      <c r="CI67">
        <f t="shared" si="165"/>
        <v>0</v>
      </c>
      <c r="CJ67">
        <f t="shared" si="166"/>
        <v>0</v>
      </c>
    </row>
    <row r="68" spans="1:88">
      <c r="A68" s="5">
        <f t="shared" si="120"/>
        <v>93245</v>
      </c>
      <c r="B68" s="5" t="str">
        <f t="shared" si="107"/>
        <v>水晶项链碎片</v>
      </c>
      <c r="C68" s="5" t="str">
        <f t="shared" si="167"/>
        <v>合成水晶项链碎片的必备材料</v>
      </c>
      <c r="D68" s="5">
        <v>2</v>
      </c>
      <c r="E68" s="5" t="str">
        <f t="shared" si="121"/>
        <v>92245.png</v>
      </c>
      <c r="F68" s="5">
        <f t="shared" si="122"/>
        <v>1</v>
      </c>
      <c r="G68" s="5">
        <f t="shared" si="123"/>
        <v>22</v>
      </c>
      <c r="H68" s="5"/>
      <c r="I68" s="5"/>
      <c r="J68" s="5"/>
      <c r="K68" s="98"/>
      <c r="L68" s="5"/>
      <c r="M68" s="5" t="str">
        <f t="shared" si="124"/>
        <v/>
      </c>
      <c r="N68" s="5"/>
      <c r="O68" s="5"/>
      <c r="P68" s="5" t="str">
        <f t="shared" si="125"/>
        <v/>
      </c>
      <c r="Q68" s="5"/>
      <c r="R68" s="5"/>
      <c r="S68" s="5" t="str">
        <f t="shared" si="126"/>
        <v/>
      </c>
      <c r="T68" s="5"/>
      <c r="U68" s="5"/>
      <c r="V68" s="39">
        <f t="shared" si="36"/>
        <v>1380</v>
      </c>
      <c r="W68">
        <f t="shared" si="127"/>
        <v>10</v>
      </c>
      <c r="X68">
        <f t="shared" si="128"/>
        <v>2</v>
      </c>
      <c r="Y68" s="6">
        <v>1</v>
      </c>
      <c r="Z68" s="6"/>
      <c r="AA68" s="6"/>
      <c r="AB68">
        <f t="shared" si="129"/>
        <v>4.9359999999999999</v>
      </c>
      <c r="AC68">
        <f t="shared" si="130"/>
        <v>20</v>
      </c>
      <c r="AD68">
        <f t="shared" si="110"/>
        <v>1380</v>
      </c>
      <c r="AL68">
        <f>CHOOSE(2,1,COUNTIF(D_马仔培养宝物!$F$2:$K$229,D_马仔宝物!A68))</f>
        <v>0</v>
      </c>
      <c r="AM68">
        <f t="shared" si="75"/>
        <v>93245</v>
      </c>
      <c r="AN68">
        <f t="shared" si="76"/>
        <v>0</v>
      </c>
      <c r="AO68">
        <f t="shared" si="131"/>
        <v>0</v>
      </c>
      <c r="AP68">
        <f t="shared" si="77"/>
        <v>0</v>
      </c>
      <c r="AQ68">
        <f t="shared" si="132"/>
        <v>0</v>
      </c>
      <c r="AR68">
        <f t="shared" si="79"/>
        <v>0</v>
      </c>
      <c r="AS68">
        <f t="shared" si="133"/>
        <v>0</v>
      </c>
      <c r="AT68">
        <f t="shared" si="134"/>
        <v>115</v>
      </c>
      <c r="AV68">
        <f t="shared" si="82"/>
        <v>93245</v>
      </c>
      <c r="AW68">
        <f t="shared" si="135"/>
        <v>0</v>
      </c>
      <c r="AX68">
        <f t="shared" si="136"/>
        <v>0</v>
      </c>
      <c r="AY68">
        <f t="shared" si="137"/>
        <v>0</v>
      </c>
      <c r="AZ68">
        <f t="shared" si="138"/>
        <v>0</v>
      </c>
      <c r="BA68">
        <f t="shared" si="139"/>
        <v>0</v>
      </c>
      <c r="BC68">
        <f t="shared" si="86"/>
        <v>93245</v>
      </c>
      <c r="BD68">
        <f t="shared" si="140"/>
        <v>0</v>
      </c>
      <c r="BE68">
        <f t="shared" si="141"/>
        <v>0</v>
      </c>
      <c r="BF68">
        <f t="shared" si="142"/>
        <v>0</v>
      </c>
      <c r="BG68">
        <f t="shared" si="143"/>
        <v>0</v>
      </c>
      <c r="BH68">
        <f t="shared" si="144"/>
        <v>0</v>
      </c>
      <c r="BJ68">
        <f t="shared" si="90"/>
        <v>93245</v>
      </c>
      <c r="BK68">
        <f t="shared" si="145"/>
        <v>0</v>
      </c>
      <c r="BL68">
        <f t="shared" si="146"/>
        <v>0</v>
      </c>
      <c r="BM68">
        <f t="shared" si="147"/>
        <v>0</v>
      </c>
      <c r="BN68">
        <f t="shared" si="148"/>
        <v>0</v>
      </c>
      <c r="BO68">
        <f t="shared" si="149"/>
        <v>0</v>
      </c>
      <c r="BQ68">
        <f t="shared" si="94"/>
        <v>93245</v>
      </c>
      <c r="BR68">
        <f t="shared" si="150"/>
        <v>0</v>
      </c>
      <c r="BS68">
        <f t="shared" si="151"/>
        <v>0</v>
      </c>
      <c r="BT68">
        <f t="shared" si="152"/>
        <v>0</v>
      </c>
      <c r="BU68">
        <f t="shared" si="153"/>
        <v>0</v>
      </c>
      <c r="BV68">
        <f t="shared" si="154"/>
        <v>0</v>
      </c>
      <c r="BX68">
        <f t="shared" si="155"/>
        <v>93245</v>
      </c>
      <c r="BY68">
        <f t="shared" si="156"/>
        <v>0</v>
      </c>
      <c r="BZ68">
        <f t="shared" si="157"/>
        <v>0</v>
      </c>
      <c r="CA68">
        <f t="shared" si="158"/>
        <v>0</v>
      </c>
      <c r="CB68">
        <f t="shared" si="159"/>
        <v>0</v>
      </c>
      <c r="CC68">
        <f t="shared" si="160"/>
        <v>0</v>
      </c>
      <c r="CE68">
        <f t="shared" si="161"/>
        <v>93245</v>
      </c>
      <c r="CF68">
        <f t="shared" si="162"/>
        <v>0</v>
      </c>
      <c r="CG68">
        <f t="shared" si="163"/>
        <v>0</v>
      </c>
      <c r="CH68">
        <f t="shared" si="164"/>
        <v>0</v>
      </c>
      <c r="CI68">
        <f t="shared" si="165"/>
        <v>0</v>
      </c>
      <c r="CJ68">
        <f t="shared" si="166"/>
        <v>0</v>
      </c>
    </row>
    <row r="69" spans="1:88">
      <c r="A69" s="5">
        <f t="shared" si="120"/>
        <v>93251</v>
      </c>
      <c r="B69" s="5" t="str">
        <f t="shared" si="107"/>
        <v>红石项链碎片</v>
      </c>
      <c r="C69" s="5" t="str">
        <f t="shared" si="167"/>
        <v>合成红石项链碎片的必备材料</v>
      </c>
      <c r="D69" s="5">
        <v>2</v>
      </c>
      <c r="E69" s="5" t="str">
        <f t="shared" si="121"/>
        <v>92251.png</v>
      </c>
      <c r="F69" s="5">
        <f t="shared" si="122"/>
        <v>1</v>
      </c>
      <c r="G69" s="5">
        <f t="shared" si="123"/>
        <v>23</v>
      </c>
      <c r="H69" s="5"/>
      <c r="I69" s="5"/>
      <c r="J69" s="5"/>
      <c r="K69" s="98"/>
      <c r="L69" s="5"/>
      <c r="M69" s="5" t="str">
        <f t="shared" si="124"/>
        <v/>
      </c>
      <c r="N69" s="5"/>
      <c r="O69" s="5"/>
      <c r="P69" s="5" t="str">
        <f t="shared" si="125"/>
        <v/>
      </c>
      <c r="Q69" s="5"/>
      <c r="R69" s="5"/>
      <c r="S69" s="5" t="str">
        <f t="shared" si="126"/>
        <v/>
      </c>
      <c r="T69" s="5"/>
      <c r="U69" s="5"/>
      <c r="V69" s="39">
        <f t="shared" si="36"/>
        <v>2345</v>
      </c>
      <c r="W69">
        <f t="shared" si="127"/>
        <v>10</v>
      </c>
      <c r="X69">
        <f t="shared" si="128"/>
        <v>2</v>
      </c>
      <c r="Y69" s="6"/>
      <c r="Z69" s="6">
        <v>1</v>
      </c>
      <c r="AA69" s="6"/>
      <c r="AB69">
        <f t="shared" si="129"/>
        <v>6.2</v>
      </c>
      <c r="AC69">
        <f t="shared" si="130"/>
        <v>20</v>
      </c>
      <c r="AD69">
        <f t="shared" si="110"/>
        <v>2345</v>
      </c>
      <c r="AL69">
        <f>CHOOSE(2,1,COUNTIF(D_马仔培养宝物!$F$2:$K$229,D_马仔宝物!A69))</f>
        <v>0</v>
      </c>
      <c r="AM69">
        <f t="shared" si="75"/>
        <v>93251</v>
      </c>
      <c r="AN69">
        <f t="shared" si="76"/>
        <v>0</v>
      </c>
      <c r="AO69">
        <f t="shared" si="131"/>
        <v>0</v>
      </c>
      <c r="AP69">
        <f t="shared" si="77"/>
        <v>0</v>
      </c>
      <c r="AQ69">
        <f t="shared" si="132"/>
        <v>0</v>
      </c>
      <c r="AR69">
        <f t="shared" si="79"/>
        <v>0</v>
      </c>
      <c r="AS69">
        <f t="shared" si="133"/>
        <v>0</v>
      </c>
      <c r="AT69">
        <f t="shared" si="134"/>
        <v>105</v>
      </c>
      <c r="AV69">
        <f t="shared" si="82"/>
        <v>93251</v>
      </c>
      <c r="AW69">
        <f t="shared" si="135"/>
        <v>0</v>
      </c>
      <c r="AX69">
        <f t="shared" si="136"/>
        <v>0</v>
      </c>
      <c r="AY69">
        <f t="shared" si="137"/>
        <v>0</v>
      </c>
      <c r="AZ69">
        <f t="shared" si="138"/>
        <v>0</v>
      </c>
      <c r="BA69">
        <f t="shared" si="139"/>
        <v>0</v>
      </c>
      <c r="BC69">
        <f t="shared" si="86"/>
        <v>93251</v>
      </c>
      <c r="BD69">
        <f t="shared" si="140"/>
        <v>0</v>
      </c>
      <c r="BE69">
        <f t="shared" si="141"/>
        <v>0</v>
      </c>
      <c r="BF69">
        <f t="shared" si="142"/>
        <v>0</v>
      </c>
      <c r="BG69">
        <f t="shared" si="143"/>
        <v>0</v>
      </c>
      <c r="BH69">
        <f t="shared" si="144"/>
        <v>0</v>
      </c>
      <c r="BJ69">
        <f t="shared" si="90"/>
        <v>93251</v>
      </c>
      <c r="BK69">
        <f t="shared" si="145"/>
        <v>0</v>
      </c>
      <c r="BL69">
        <f t="shared" si="146"/>
        <v>0</v>
      </c>
      <c r="BM69">
        <f t="shared" si="147"/>
        <v>0</v>
      </c>
      <c r="BN69">
        <f t="shared" si="148"/>
        <v>0</v>
      </c>
      <c r="BO69">
        <f t="shared" si="149"/>
        <v>0</v>
      </c>
      <c r="BQ69">
        <f t="shared" si="94"/>
        <v>93251</v>
      </c>
      <c r="BR69">
        <f t="shared" si="150"/>
        <v>0</v>
      </c>
      <c r="BS69">
        <f t="shared" si="151"/>
        <v>0</v>
      </c>
      <c r="BT69">
        <f t="shared" si="152"/>
        <v>0</v>
      </c>
      <c r="BU69">
        <f t="shared" si="153"/>
        <v>0</v>
      </c>
      <c r="BV69">
        <f t="shared" si="154"/>
        <v>0</v>
      </c>
      <c r="BX69">
        <f t="shared" si="155"/>
        <v>93251</v>
      </c>
      <c r="BY69">
        <f t="shared" si="156"/>
        <v>0</v>
      </c>
      <c r="BZ69">
        <f t="shared" si="157"/>
        <v>0</v>
      </c>
      <c r="CA69">
        <f t="shared" si="158"/>
        <v>0</v>
      </c>
      <c r="CB69">
        <f t="shared" si="159"/>
        <v>0</v>
      </c>
      <c r="CC69">
        <f t="shared" si="160"/>
        <v>0</v>
      </c>
      <c r="CE69">
        <f t="shared" si="161"/>
        <v>93251</v>
      </c>
      <c r="CF69">
        <f t="shared" si="162"/>
        <v>0</v>
      </c>
      <c r="CG69">
        <f t="shared" si="163"/>
        <v>0</v>
      </c>
      <c r="CH69">
        <f t="shared" si="164"/>
        <v>0</v>
      </c>
      <c r="CI69">
        <f t="shared" si="165"/>
        <v>0</v>
      </c>
      <c r="CJ69">
        <f t="shared" si="166"/>
        <v>0</v>
      </c>
    </row>
    <row r="70" spans="1:88">
      <c r="A70" s="5">
        <f t="shared" si="120"/>
        <v>93264</v>
      </c>
      <c r="B70" s="5" t="str">
        <f t="shared" si="107"/>
        <v>越野手表碎片</v>
      </c>
      <c r="C70" s="5" t="str">
        <f t="shared" si="167"/>
        <v>合成越野手表碎片的必备材料</v>
      </c>
      <c r="D70" s="5">
        <v>2</v>
      </c>
      <c r="E70" s="5" t="str">
        <f t="shared" si="121"/>
        <v>92264.png</v>
      </c>
      <c r="F70" s="5">
        <f t="shared" si="122"/>
        <v>1</v>
      </c>
      <c r="G70" s="5">
        <f t="shared" si="123"/>
        <v>23</v>
      </c>
      <c r="H70" s="5"/>
      <c r="I70" s="5"/>
      <c r="J70" s="5"/>
      <c r="K70" s="98"/>
      <c r="L70" s="5"/>
      <c r="M70" s="5" t="str">
        <f t="shared" si="124"/>
        <v/>
      </c>
      <c r="N70" s="5"/>
      <c r="O70" s="5"/>
      <c r="P70" s="5" t="str">
        <f t="shared" si="125"/>
        <v/>
      </c>
      <c r="Q70" s="5"/>
      <c r="R70" s="5"/>
      <c r="S70" s="5" t="str">
        <f t="shared" si="126"/>
        <v/>
      </c>
      <c r="T70" s="5"/>
      <c r="U70" s="5"/>
      <c r="V70" s="39">
        <f t="shared" si="36"/>
        <v>1020</v>
      </c>
      <c r="W70">
        <f t="shared" si="127"/>
        <v>10</v>
      </c>
      <c r="X70">
        <f t="shared" si="128"/>
        <v>2</v>
      </c>
      <c r="Y70" s="6"/>
      <c r="Z70" s="6"/>
      <c r="AA70" s="6">
        <v>1</v>
      </c>
      <c r="AB70">
        <f t="shared" si="129"/>
        <v>2.6</v>
      </c>
      <c r="AC70">
        <f t="shared" si="130"/>
        <v>20</v>
      </c>
      <c r="AD70">
        <f t="shared" si="110"/>
        <v>1020</v>
      </c>
      <c r="AL70">
        <f>CHOOSE(2,1,COUNTIF(D_马仔培养宝物!$F$2:$K$229,D_马仔宝物!A70))</f>
        <v>0</v>
      </c>
      <c r="AM70">
        <f t="shared" si="75"/>
        <v>93264</v>
      </c>
      <c r="AN70">
        <f t="shared" si="76"/>
        <v>0</v>
      </c>
      <c r="AO70">
        <f t="shared" si="131"/>
        <v>0</v>
      </c>
      <c r="AP70">
        <f t="shared" si="77"/>
        <v>0</v>
      </c>
      <c r="AQ70">
        <f t="shared" si="132"/>
        <v>0</v>
      </c>
      <c r="AR70">
        <f t="shared" si="79"/>
        <v>0</v>
      </c>
      <c r="AS70">
        <f t="shared" si="133"/>
        <v>0</v>
      </c>
      <c r="AT70">
        <f t="shared" si="134"/>
        <v>125</v>
      </c>
      <c r="AV70">
        <f t="shared" si="82"/>
        <v>93264</v>
      </c>
      <c r="AW70">
        <f t="shared" si="135"/>
        <v>0</v>
      </c>
      <c r="AX70">
        <f t="shared" si="136"/>
        <v>0</v>
      </c>
      <c r="AY70">
        <f t="shared" si="137"/>
        <v>0</v>
      </c>
      <c r="AZ70">
        <f t="shared" si="138"/>
        <v>0</v>
      </c>
      <c r="BA70">
        <f t="shared" si="139"/>
        <v>0</v>
      </c>
      <c r="BC70">
        <f t="shared" si="86"/>
        <v>93264</v>
      </c>
      <c r="BD70">
        <f t="shared" si="140"/>
        <v>0</v>
      </c>
      <c r="BE70">
        <f t="shared" si="141"/>
        <v>0</v>
      </c>
      <c r="BF70">
        <f t="shared" si="142"/>
        <v>0</v>
      </c>
      <c r="BG70">
        <f t="shared" si="143"/>
        <v>0</v>
      </c>
      <c r="BH70">
        <f t="shared" si="144"/>
        <v>0</v>
      </c>
      <c r="BJ70">
        <f t="shared" si="90"/>
        <v>93264</v>
      </c>
      <c r="BK70">
        <f t="shared" si="145"/>
        <v>0</v>
      </c>
      <c r="BL70">
        <f t="shared" si="146"/>
        <v>0</v>
      </c>
      <c r="BM70">
        <f t="shared" si="147"/>
        <v>0</v>
      </c>
      <c r="BN70">
        <f t="shared" si="148"/>
        <v>0</v>
      </c>
      <c r="BO70">
        <f t="shared" si="149"/>
        <v>0</v>
      </c>
      <c r="BQ70">
        <f t="shared" si="94"/>
        <v>93264</v>
      </c>
      <c r="BR70">
        <f t="shared" si="150"/>
        <v>0</v>
      </c>
      <c r="BS70">
        <f t="shared" si="151"/>
        <v>0</v>
      </c>
      <c r="BT70">
        <f t="shared" si="152"/>
        <v>0</v>
      </c>
      <c r="BU70">
        <f t="shared" si="153"/>
        <v>0</v>
      </c>
      <c r="BV70">
        <f t="shared" si="154"/>
        <v>0</v>
      </c>
      <c r="BX70">
        <f t="shared" si="155"/>
        <v>93264</v>
      </c>
      <c r="BY70">
        <f t="shared" si="156"/>
        <v>0</v>
      </c>
      <c r="BZ70">
        <f t="shared" si="157"/>
        <v>0</v>
      </c>
      <c r="CA70">
        <f t="shared" si="158"/>
        <v>0</v>
      </c>
      <c r="CB70">
        <f t="shared" si="159"/>
        <v>0</v>
      </c>
      <c r="CC70">
        <f t="shared" si="160"/>
        <v>0</v>
      </c>
      <c r="CE70">
        <f t="shared" si="161"/>
        <v>93264</v>
      </c>
      <c r="CF70">
        <f t="shared" si="162"/>
        <v>0</v>
      </c>
      <c r="CG70">
        <f t="shared" si="163"/>
        <v>0</v>
      </c>
      <c r="CH70">
        <f t="shared" si="164"/>
        <v>0</v>
      </c>
      <c r="CI70">
        <f t="shared" si="165"/>
        <v>0</v>
      </c>
      <c r="CJ70">
        <f t="shared" si="166"/>
        <v>0</v>
      </c>
    </row>
    <row r="71" spans="1:88">
      <c r="A71" s="5">
        <f t="shared" si="120"/>
        <v>93271</v>
      </c>
      <c r="B71" s="5" t="str">
        <f t="shared" si="107"/>
        <v>精准手表碎片</v>
      </c>
      <c r="C71" s="5" t="str">
        <f t="shared" si="167"/>
        <v>合成精准手表碎片的必备材料</v>
      </c>
      <c r="D71" s="5">
        <v>2</v>
      </c>
      <c r="E71" s="5" t="str">
        <f t="shared" si="121"/>
        <v>92271.png</v>
      </c>
      <c r="F71" s="5">
        <f t="shared" si="122"/>
        <v>1</v>
      </c>
      <c r="G71" s="5">
        <f t="shared" si="123"/>
        <v>24</v>
      </c>
      <c r="H71" s="5"/>
      <c r="I71" s="5"/>
      <c r="J71" s="5"/>
      <c r="K71" s="98"/>
      <c r="L71" s="5"/>
      <c r="M71" s="5" t="str">
        <f t="shared" si="124"/>
        <v/>
      </c>
      <c r="N71" s="5"/>
      <c r="O71" s="5"/>
      <c r="P71" s="5" t="str">
        <f t="shared" si="125"/>
        <v/>
      </c>
      <c r="Q71" s="5"/>
      <c r="R71" s="5"/>
      <c r="S71" s="5" t="str">
        <f t="shared" si="126"/>
        <v/>
      </c>
      <c r="T71" s="5"/>
      <c r="U71" s="5"/>
      <c r="V71" s="39">
        <f t="shared" si="36"/>
        <v>540</v>
      </c>
      <c r="W71">
        <f t="shared" si="127"/>
        <v>10</v>
      </c>
      <c r="X71">
        <f t="shared" si="128"/>
        <v>2</v>
      </c>
      <c r="Y71" s="6">
        <v>1</v>
      </c>
      <c r="Z71" s="6"/>
      <c r="AA71" s="6"/>
      <c r="AB71">
        <f t="shared" si="129"/>
        <v>4.9359999999999999</v>
      </c>
      <c r="AC71">
        <f t="shared" si="130"/>
        <v>20</v>
      </c>
      <c r="AD71">
        <f t="shared" si="110"/>
        <v>540</v>
      </c>
      <c r="AL71">
        <f>CHOOSE(2,1,COUNTIF(D_马仔培养宝物!$F$2:$K$229,D_马仔宝物!A71))</f>
        <v>0</v>
      </c>
      <c r="AM71">
        <f t="shared" si="75"/>
        <v>93271</v>
      </c>
      <c r="AN71">
        <f t="shared" si="76"/>
        <v>0</v>
      </c>
      <c r="AO71">
        <f t="shared" si="131"/>
        <v>0</v>
      </c>
      <c r="AP71">
        <f t="shared" si="77"/>
        <v>0</v>
      </c>
      <c r="AQ71">
        <f t="shared" si="132"/>
        <v>0</v>
      </c>
      <c r="AR71">
        <f t="shared" si="79"/>
        <v>0</v>
      </c>
      <c r="AS71">
        <f t="shared" si="133"/>
        <v>0</v>
      </c>
      <c r="AT71">
        <f t="shared" si="134"/>
        <v>110</v>
      </c>
      <c r="AV71">
        <f t="shared" si="82"/>
        <v>93271</v>
      </c>
      <c r="AW71">
        <f t="shared" si="135"/>
        <v>0</v>
      </c>
      <c r="AX71">
        <f t="shared" si="136"/>
        <v>0</v>
      </c>
      <c r="AY71">
        <f t="shared" si="137"/>
        <v>0</v>
      </c>
      <c r="AZ71">
        <f t="shared" si="138"/>
        <v>0</v>
      </c>
      <c r="BA71">
        <f t="shared" si="139"/>
        <v>0</v>
      </c>
      <c r="BC71">
        <f t="shared" si="86"/>
        <v>93271</v>
      </c>
      <c r="BD71">
        <f t="shared" si="140"/>
        <v>0</v>
      </c>
      <c r="BE71">
        <f t="shared" si="141"/>
        <v>0</v>
      </c>
      <c r="BF71">
        <f t="shared" si="142"/>
        <v>0</v>
      </c>
      <c r="BG71">
        <f t="shared" si="143"/>
        <v>0</v>
      </c>
      <c r="BH71">
        <f t="shared" si="144"/>
        <v>0</v>
      </c>
      <c r="BJ71">
        <f t="shared" si="90"/>
        <v>93271</v>
      </c>
      <c r="BK71">
        <f t="shared" si="145"/>
        <v>0</v>
      </c>
      <c r="BL71">
        <f t="shared" si="146"/>
        <v>0</v>
      </c>
      <c r="BM71">
        <f t="shared" si="147"/>
        <v>0</v>
      </c>
      <c r="BN71">
        <f t="shared" si="148"/>
        <v>0</v>
      </c>
      <c r="BO71">
        <f t="shared" si="149"/>
        <v>0</v>
      </c>
      <c r="BQ71">
        <f t="shared" si="94"/>
        <v>93271</v>
      </c>
      <c r="BR71">
        <f t="shared" si="150"/>
        <v>0</v>
      </c>
      <c r="BS71">
        <f t="shared" si="151"/>
        <v>0</v>
      </c>
      <c r="BT71">
        <f t="shared" si="152"/>
        <v>0</v>
      </c>
      <c r="BU71">
        <f t="shared" si="153"/>
        <v>0</v>
      </c>
      <c r="BV71">
        <f t="shared" si="154"/>
        <v>0</v>
      </c>
      <c r="BX71">
        <f t="shared" si="155"/>
        <v>93271</v>
      </c>
      <c r="BY71">
        <f t="shared" si="156"/>
        <v>0</v>
      </c>
      <c r="BZ71">
        <f t="shared" si="157"/>
        <v>0</v>
      </c>
      <c r="CA71">
        <f t="shared" si="158"/>
        <v>0</v>
      </c>
      <c r="CB71">
        <f t="shared" si="159"/>
        <v>0</v>
      </c>
      <c r="CC71">
        <f t="shared" si="160"/>
        <v>0</v>
      </c>
      <c r="CE71">
        <f t="shared" si="161"/>
        <v>93271</v>
      </c>
      <c r="CF71">
        <f t="shared" si="162"/>
        <v>0</v>
      </c>
      <c r="CG71">
        <f t="shared" si="163"/>
        <v>0</v>
      </c>
      <c r="CH71">
        <f t="shared" si="164"/>
        <v>0</v>
      </c>
      <c r="CI71">
        <f t="shared" si="165"/>
        <v>0</v>
      </c>
      <c r="CJ71">
        <f t="shared" si="166"/>
        <v>0</v>
      </c>
    </row>
    <row r="72" spans="1:88">
      <c r="A72" s="5">
        <f t="shared" si="120"/>
        <v>93278</v>
      </c>
      <c r="B72" s="5" t="str">
        <f t="shared" si="107"/>
        <v>宝驼碎片</v>
      </c>
      <c r="C72" s="5" t="str">
        <f t="shared" si="167"/>
        <v>合成宝驼碎片的必备材料</v>
      </c>
      <c r="D72" s="5">
        <v>2</v>
      </c>
      <c r="E72" s="5" t="str">
        <f t="shared" si="121"/>
        <v>92278.png</v>
      </c>
      <c r="F72" s="5">
        <f t="shared" si="122"/>
        <v>1</v>
      </c>
      <c r="G72" s="5">
        <f t="shared" si="123"/>
        <v>24</v>
      </c>
      <c r="H72" s="5"/>
      <c r="I72" s="5"/>
      <c r="J72" s="5"/>
      <c r="K72" s="98"/>
      <c r="L72" s="5"/>
      <c r="M72" s="5" t="str">
        <f t="shared" si="124"/>
        <v/>
      </c>
      <c r="N72" s="5"/>
      <c r="O72" s="5"/>
      <c r="P72" s="5" t="str">
        <f t="shared" si="125"/>
        <v/>
      </c>
      <c r="Q72" s="5"/>
      <c r="R72" s="5"/>
      <c r="S72" s="5" t="str">
        <f t="shared" si="126"/>
        <v/>
      </c>
      <c r="T72" s="5"/>
      <c r="U72" s="5"/>
      <c r="V72" s="39">
        <f t="shared" si="36"/>
        <v>1120</v>
      </c>
      <c r="W72">
        <f t="shared" si="127"/>
        <v>10</v>
      </c>
      <c r="X72">
        <f t="shared" si="128"/>
        <v>2</v>
      </c>
      <c r="Y72" s="6"/>
      <c r="Z72" s="6">
        <v>1</v>
      </c>
      <c r="AA72" s="6"/>
      <c r="AB72">
        <f t="shared" si="129"/>
        <v>6.2</v>
      </c>
      <c r="AC72">
        <f t="shared" si="130"/>
        <v>20</v>
      </c>
      <c r="AD72">
        <f t="shared" si="110"/>
        <v>1120</v>
      </c>
      <c r="AL72">
        <f>CHOOSE(2,1,COUNTIF(D_马仔培养宝物!$F$2:$K$229,D_马仔宝物!A72))</f>
        <v>0</v>
      </c>
      <c r="AM72">
        <f t="shared" si="75"/>
        <v>93278</v>
      </c>
      <c r="AN72">
        <f t="shared" si="76"/>
        <v>0</v>
      </c>
      <c r="AO72">
        <f t="shared" si="131"/>
        <v>0</v>
      </c>
      <c r="AP72">
        <f t="shared" si="77"/>
        <v>0</v>
      </c>
      <c r="AQ72">
        <f t="shared" si="132"/>
        <v>0</v>
      </c>
      <c r="AR72">
        <f t="shared" si="79"/>
        <v>0</v>
      </c>
      <c r="AS72">
        <f t="shared" si="133"/>
        <v>0</v>
      </c>
      <c r="AT72">
        <f t="shared" si="134"/>
        <v>85</v>
      </c>
      <c r="AV72">
        <f t="shared" si="82"/>
        <v>93278</v>
      </c>
      <c r="AW72">
        <f t="shared" si="135"/>
        <v>0</v>
      </c>
      <c r="AX72">
        <f t="shared" si="136"/>
        <v>0</v>
      </c>
      <c r="AY72">
        <f t="shared" si="137"/>
        <v>0</v>
      </c>
      <c r="AZ72">
        <f t="shared" si="138"/>
        <v>0</v>
      </c>
      <c r="BA72">
        <f t="shared" si="139"/>
        <v>0</v>
      </c>
      <c r="BC72">
        <f t="shared" si="86"/>
        <v>93278</v>
      </c>
      <c r="BD72">
        <f t="shared" si="140"/>
        <v>0</v>
      </c>
      <c r="BE72">
        <f t="shared" si="141"/>
        <v>0</v>
      </c>
      <c r="BF72">
        <f t="shared" si="142"/>
        <v>0</v>
      </c>
      <c r="BG72">
        <f t="shared" si="143"/>
        <v>0</v>
      </c>
      <c r="BH72">
        <f t="shared" si="144"/>
        <v>0</v>
      </c>
      <c r="BJ72">
        <f t="shared" si="90"/>
        <v>93278</v>
      </c>
      <c r="BK72">
        <f t="shared" si="145"/>
        <v>0</v>
      </c>
      <c r="BL72">
        <f t="shared" si="146"/>
        <v>0</v>
      </c>
      <c r="BM72">
        <f t="shared" si="147"/>
        <v>0</v>
      </c>
      <c r="BN72">
        <f t="shared" si="148"/>
        <v>0</v>
      </c>
      <c r="BO72">
        <f t="shared" si="149"/>
        <v>0</v>
      </c>
      <c r="BQ72">
        <f t="shared" si="94"/>
        <v>93278</v>
      </c>
      <c r="BR72">
        <f t="shared" si="150"/>
        <v>0</v>
      </c>
      <c r="BS72">
        <f t="shared" si="151"/>
        <v>0</v>
      </c>
      <c r="BT72">
        <f t="shared" si="152"/>
        <v>0</v>
      </c>
      <c r="BU72">
        <f t="shared" si="153"/>
        <v>0</v>
      </c>
      <c r="BV72">
        <f t="shared" si="154"/>
        <v>0</v>
      </c>
      <c r="BX72">
        <f t="shared" si="155"/>
        <v>93278</v>
      </c>
      <c r="BY72">
        <f t="shared" si="156"/>
        <v>0</v>
      </c>
      <c r="BZ72">
        <f t="shared" si="157"/>
        <v>0</v>
      </c>
      <c r="CA72">
        <f t="shared" si="158"/>
        <v>0</v>
      </c>
      <c r="CB72">
        <f t="shared" si="159"/>
        <v>0</v>
      </c>
      <c r="CC72">
        <f t="shared" si="160"/>
        <v>0</v>
      </c>
      <c r="CE72">
        <f t="shared" si="161"/>
        <v>93278</v>
      </c>
      <c r="CF72">
        <f t="shared" si="162"/>
        <v>0</v>
      </c>
      <c r="CG72">
        <f t="shared" si="163"/>
        <v>0</v>
      </c>
      <c r="CH72">
        <f t="shared" si="164"/>
        <v>0</v>
      </c>
      <c r="CI72">
        <f t="shared" si="165"/>
        <v>0</v>
      </c>
      <c r="CJ72">
        <f t="shared" si="166"/>
        <v>0</v>
      </c>
    </row>
    <row r="73" spans="1:88">
      <c r="A73" s="5">
        <f t="shared" si="120"/>
        <v>93283</v>
      </c>
      <c r="B73" s="5" t="str">
        <f t="shared" si="107"/>
        <v>小迭钞票碎片</v>
      </c>
      <c r="C73" s="5" t="str">
        <f t="shared" si="167"/>
        <v>合成小迭钞票碎片的必备材料</v>
      </c>
      <c r="D73" s="5">
        <v>2</v>
      </c>
      <c r="E73" s="5" t="str">
        <f t="shared" si="121"/>
        <v>92283.png</v>
      </c>
      <c r="F73" s="5">
        <f t="shared" si="122"/>
        <v>1</v>
      </c>
      <c r="G73" s="5">
        <f t="shared" si="123"/>
        <v>25</v>
      </c>
      <c r="H73" s="5"/>
      <c r="I73" s="5"/>
      <c r="J73" s="5"/>
      <c r="K73" s="98"/>
      <c r="L73" s="5"/>
      <c r="M73" s="5" t="str">
        <f t="shared" si="124"/>
        <v/>
      </c>
      <c r="N73" s="5"/>
      <c r="O73" s="5"/>
      <c r="P73" s="5" t="str">
        <f t="shared" si="125"/>
        <v/>
      </c>
      <c r="Q73" s="5"/>
      <c r="R73" s="5"/>
      <c r="S73" s="5" t="str">
        <f t="shared" si="126"/>
        <v/>
      </c>
      <c r="T73" s="5"/>
      <c r="U73" s="5"/>
      <c r="V73" s="39">
        <f t="shared" si="36"/>
        <v>3565</v>
      </c>
      <c r="W73">
        <f t="shared" si="127"/>
        <v>10</v>
      </c>
      <c r="X73">
        <f t="shared" si="128"/>
        <v>2</v>
      </c>
      <c r="Y73" s="6"/>
      <c r="Z73" s="6"/>
      <c r="AA73" s="6">
        <v>1</v>
      </c>
      <c r="AB73">
        <f t="shared" si="129"/>
        <v>2.6</v>
      </c>
      <c r="AC73">
        <f t="shared" si="130"/>
        <v>20</v>
      </c>
      <c r="AD73">
        <f t="shared" si="110"/>
        <v>3565</v>
      </c>
      <c r="AL73">
        <f>CHOOSE(2,1,COUNTIF(D_马仔培养宝物!$F$2:$K$229,D_马仔宝物!A73))</f>
        <v>0</v>
      </c>
      <c r="AM73">
        <f t="shared" si="75"/>
        <v>93283</v>
      </c>
      <c r="AN73">
        <f t="shared" si="76"/>
        <v>0</v>
      </c>
      <c r="AO73">
        <f t="shared" si="131"/>
        <v>0</v>
      </c>
      <c r="AP73">
        <f t="shared" si="77"/>
        <v>0</v>
      </c>
      <c r="AQ73">
        <f t="shared" si="132"/>
        <v>0</v>
      </c>
      <c r="AR73">
        <f t="shared" si="79"/>
        <v>0</v>
      </c>
      <c r="AS73">
        <f t="shared" si="133"/>
        <v>0</v>
      </c>
      <c r="AT73">
        <f t="shared" si="134"/>
        <v>130</v>
      </c>
      <c r="AV73">
        <f t="shared" si="82"/>
        <v>93283</v>
      </c>
      <c r="AW73">
        <f t="shared" si="135"/>
        <v>0</v>
      </c>
      <c r="AX73">
        <f t="shared" si="136"/>
        <v>0</v>
      </c>
      <c r="AY73">
        <f t="shared" si="137"/>
        <v>0</v>
      </c>
      <c r="AZ73">
        <f t="shared" si="138"/>
        <v>0</v>
      </c>
      <c r="BA73">
        <f t="shared" si="139"/>
        <v>0</v>
      </c>
      <c r="BC73">
        <f t="shared" si="86"/>
        <v>93283</v>
      </c>
      <c r="BD73">
        <f t="shared" si="140"/>
        <v>0</v>
      </c>
      <c r="BE73">
        <f t="shared" si="141"/>
        <v>0</v>
      </c>
      <c r="BF73">
        <f t="shared" si="142"/>
        <v>0</v>
      </c>
      <c r="BG73">
        <f t="shared" si="143"/>
        <v>0</v>
      </c>
      <c r="BH73">
        <f t="shared" si="144"/>
        <v>0</v>
      </c>
      <c r="BJ73">
        <f t="shared" si="90"/>
        <v>93283</v>
      </c>
      <c r="BK73">
        <f t="shared" si="145"/>
        <v>0</v>
      </c>
      <c r="BL73">
        <f t="shared" si="146"/>
        <v>0</v>
      </c>
      <c r="BM73">
        <f t="shared" si="147"/>
        <v>0</v>
      </c>
      <c r="BN73">
        <f t="shared" si="148"/>
        <v>0</v>
      </c>
      <c r="BO73">
        <f t="shared" si="149"/>
        <v>0</v>
      </c>
      <c r="BQ73">
        <f t="shared" si="94"/>
        <v>93283</v>
      </c>
      <c r="BR73">
        <f t="shared" si="150"/>
        <v>0</v>
      </c>
      <c r="BS73">
        <f t="shared" si="151"/>
        <v>0</v>
      </c>
      <c r="BT73">
        <f t="shared" si="152"/>
        <v>0</v>
      </c>
      <c r="BU73">
        <f t="shared" si="153"/>
        <v>0</v>
      </c>
      <c r="BV73">
        <f t="shared" si="154"/>
        <v>0</v>
      </c>
      <c r="BX73">
        <f t="shared" si="155"/>
        <v>93283</v>
      </c>
      <c r="BY73">
        <f t="shared" si="156"/>
        <v>0</v>
      </c>
      <c r="BZ73">
        <f t="shared" si="157"/>
        <v>0</v>
      </c>
      <c r="CA73">
        <f t="shared" si="158"/>
        <v>0</v>
      </c>
      <c r="CB73">
        <f t="shared" si="159"/>
        <v>0</v>
      </c>
      <c r="CC73">
        <f t="shared" si="160"/>
        <v>0</v>
      </c>
      <c r="CE73">
        <f t="shared" si="161"/>
        <v>93283</v>
      </c>
      <c r="CF73">
        <f t="shared" si="162"/>
        <v>0</v>
      </c>
      <c r="CG73">
        <f t="shared" si="163"/>
        <v>0</v>
      </c>
      <c r="CH73">
        <f t="shared" si="164"/>
        <v>0</v>
      </c>
      <c r="CI73">
        <f t="shared" si="165"/>
        <v>0</v>
      </c>
      <c r="CJ73">
        <f t="shared" si="166"/>
        <v>0</v>
      </c>
    </row>
    <row r="74" spans="1:88">
      <c r="A74" s="5">
        <f t="shared" si="120"/>
        <v>93287</v>
      </c>
      <c r="B74" s="5" t="str">
        <f t="shared" si="107"/>
        <v>金块碎片</v>
      </c>
      <c r="C74" s="5" t="str">
        <f t="shared" si="167"/>
        <v>合成金块碎片的必备材料</v>
      </c>
      <c r="D74" s="5">
        <v>2</v>
      </c>
      <c r="E74" s="5" t="str">
        <f t="shared" si="121"/>
        <v>92287.png</v>
      </c>
      <c r="F74" s="5">
        <f t="shared" si="122"/>
        <v>1</v>
      </c>
      <c r="G74" s="5">
        <f t="shared" si="123"/>
        <v>25</v>
      </c>
      <c r="H74" s="5"/>
      <c r="I74" s="5"/>
      <c r="J74" s="5"/>
      <c r="K74" s="98"/>
      <c r="L74" s="5"/>
      <c r="M74" s="5" t="str">
        <f t="shared" si="124"/>
        <v/>
      </c>
      <c r="N74" s="5"/>
      <c r="O74" s="5"/>
      <c r="P74" s="5" t="str">
        <f t="shared" si="125"/>
        <v/>
      </c>
      <c r="Q74" s="5"/>
      <c r="R74" s="5"/>
      <c r="S74" s="5" t="str">
        <f t="shared" si="126"/>
        <v/>
      </c>
      <c r="T74" s="5"/>
      <c r="U74" s="5"/>
      <c r="V74" s="39">
        <f t="shared" si="36"/>
        <v>3275</v>
      </c>
      <c r="W74">
        <f t="shared" si="127"/>
        <v>10</v>
      </c>
      <c r="X74">
        <f t="shared" si="128"/>
        <v>2</v>
      </c>
      <c r="Y74" s="6">
        <v>1</v>
      </c>
      <c r="Z74" s="6"/>
      <c r="AA74" s="6"/>
      <c r="AB74">
        <f t="shared" si="129"/>
        <v>4.9359999999999999</v>
      </c>
      <c r="AC74">
        <f t="shared" si="130"/>
        <v>20</v>
      </c>
      <c r="AD74">
        <f t="shared" si="110"/>
        <v>3275</v>
      </c>
      <c r="AL74">
        <f>CHOOSE(2,1,COUNTIF(D_马仔培养宝物!$F$2:$K$229,D_马仔宝物!A74))</f>
        <v>0</v>
      </c>
      <c r="AM74">
        <f t="shared" si="75"/>
        <v>93287</v>
      </c>
      <c r="AN74">
        <f t="shared" si="76"/>
        <v>0</v>
      </c>
      <c r="AO74">
        <f t="shared" si="131"/>
        <v>0</v>
      </c>
      <c r="AP74">
        <f t="shared" si="77"/>
        <v>0</v>
      </c>
      <c r="AQ74">
        <f t="shared" si="132"/>
        <v>0</v>
      </c>
      <c r="AR74">
        <f t="shared" si="79"/>
        <v>0</v>
      </c>
      <c r="AS74">
        <f t="shared" si="133"/>
        <v>0</v>
      </c>
      <c r="AT74">
        <f t="shared" si="134"/>
        <v>130</v>
      </c>
      <c r="AV74">
        <f t="shared" si="82"/>
        <v>93287</v>
      </c>
      <c r="AW74">
        <f t="shared" si="135"/>
        <v>0</v>
      </c>
      <c r="AX74">
        <f t="shared" si="136"/>
        <v>0</v>
      </c>
      <c r="AY74">
        <f t="shared" si="137"/>
        <v>0</v>
      </c>
      <c r="AZ74">
        <f t="shared" si="138"/>
        <v>0</v>
      </c>
      <c r="BA74">
        <f t="shared" si="139"/>
        <v>0</v>
      </c>
      <c r="BC74">
        <f t="shared" si="86"/>
        <v>93287</v>
      </c>
      <c r="BD74">
        <f t="shared" si="140"/>
        <v>0</v>
      </c>
      <c r="BE74">
        <f t="shared" si="141"/>
        <v>0</v>
      </c>
      <c r="BF74">
        <f t="shared" si="142"/>
        <v>0</v>
      </c>
      <c r="BG74">
        <f t="shared" si="143"/>
        <v>0</v>
      </c>
      <c r="BH74">
        <f t="shared" si="144"/>
        <v>0</v>
      </c>
      <c r="BJ74">
        <f t="shared" si="90"/>
        <v>93287</v>
      </c>
      <c r="BK74">
        <f t="shared" si="145"/>
        <v>0</v>
      </c>
      <c r="BL74">
        <f t="shared" si="146"/>
        <v>0</v>
      </c>
      <c r="BM74">
        <f t="shared" si="147"/>
        <v>0</v>
      </c>
      <c r="BN74">
        <f t="shared" si="148"/>
        <v>0</v>
      </c>
      <c r="BO74">
        <f t="shared" si="149"/>
        <v>0</v>
      </c>
      <c r="BQ74">
        <f t="shared" si="94"/>
        <v>93287</v>
      </c>
      <c r="BR74">
        <f t="shared" si="150"/>
        <v>0</v>
      </c>
      <c r="BS74">
        <f t="shared" si="151"/>
        <v>0</v>
      </c>
      <c r="BT74">
        <f t="shared" si="152"/>
        <v>0</v>
      </c>
      <c r="BU74">
        <f t="shared" si="153"/>
        <v>0</v>
      </c>
      <c r="BV74">
        <f t="shared" si="154"/>
        <v>0</v>
      </c>
      <c r="BX74">
        <f t="shared" si="155"/>
        <v>93287</v>
      </c>
      <c r="BY74">
        <f t="shared" si="156"/>
        <v>0</v>
      </c>
      <c r="BZ74">
        <f t="shared" si="157"/>
        <v>0</v>
      </c>
      <c r="CA74">
        <f t="shared" si="158"/>
        <v>0</v>
      </c>
      <c r="CB74">
        <f t="shared" si="159"/>
        <v>0</v>
      </c>
      <c r="CC74">
        <f t="shared" si="160"/>
        <v>0</v>
      </c>
      <c r="CE74">
        <f t="shared" si="161"/>
        <v>93287</v>
      </c>
      <c r="CF74">
        <f t="shared" si="162"/>
        <v>0</v>
      </c>
      <c r="CG74">
        <f t="shared" si="163"/>
        <v>0</v>
      </c>
      <c r="CH74">
        <f t="shared" si="164"/>
        <v>0</v>
      </c>
      <c r="CI74">
        <f t="shared" si="165"/>
        <v>0</v>
      </c>
      <c r="CJ74">
        <f t="shared" si="166"/>
        <v>0</v>
      </c>
    </row>
    <row r="75" spans="1:88">
      <c r="A75" s="5">
        <f t="shared" si="120"/>
        <v>93142</v>
      </c>
      <c r="B75" s="5" t="str">
        <f t="shared" si="107"/>
        <v>黄金戒指碎片</v>
      </c>
      <c r="C75" s="5" t="str">
        <f t="shared" si="167"/>
        <v>合成黄金戒指碎片的必备材料</v>
      </c>
      <c r="D75" s="5">
        <v>2</v>
      </c>
      <c r="E75" s="5" t="str">
        <f t="shared" si="121"/>
        <v>92142.png</v>
      </c>
      <c r="F75" s="5">
        <f t="shared" si="122"/>
        <v>2</v>
      </c>
      <c r="G75" s="5">
        <f t="shared" si="123"/>
        <v>36</v>
      </c>
      <c r="H75" s="5"/>
      <c r="I75" s="5"/>
      <c r="J75" s="5"/>
      <c r="K75" s="98"/>
      <c r="L75" s="5"/>
      <c r="M75" s="5" t="str">
        <f t="shared" si="124"/>
        <v/>
      </c>
      <c r="N75" s="5"/>
      <c r="O75" s="5"/>
      <c r="P75" s="5" t="str">
        <f t="shared" si="125"/>
        <v/>
      </c>
      <c r="Q75" s="5"/>
      <c r="R75" s="5"/>
      <c r="S75" s="5" t="str">
        <f t="shared" si="126"/>
        <v/>
      </c>
      <c r="T75" s="5"/>
      <c r="U75" s="5"/>
      <c r="V75" s="39">
        <f t="shared" si="36"/>
        <v>1105</v>
      </c>
      <c r="W75">
        <f t="shared" si="127"/>
        <v>20</v>
      </c>
      <c r="X75">
        <f t="shared" si="128"/>
        <v>2.5</v>
      </c>
      <c r="Y75" s="6"/>
      <c r="Z75" s="6">
        <v>1</v>
      </c>
      <c r="AA75" s="6"/>
      <c r="AB75">
        <f t="shared" si="129"/>
        <v>10.4</v>
      </c>
      <c r="AC75">
        <f t="shared" si="130"/>
        <v>25</v>
      </c>
      <c r="AD75">
        <f t="shared" si="110"/>
        <v>1105</v>
      </c>
      <c r="AL75">
        <f>CHOOSE(2,1,COUNTIF(D_马仔培养宝物!$F$2:$K$229,D_马仔宝物!A75))</f>
        <v>0</v>
      </c>
      <c r="AM75">
        <f t="shared" si="75"/>
        <v>93142</v>
      </c>
      <c r="AN75">
        <f t="shared" si="76"/>
        <v>0</v>
      </c>
      <c r="AO75">
        <f t="shared" si="131"/>
        <v>0</v>
      </c>
      <c r="AP75">
        <f t="shared" si="77"/>
        <v>0</v>
      </c>
      <c r="AQ75">
        <f t="shared" si="132"/>
        <v>0</v>
      </c>
      <c r="AR75">
        <f t="shared" si="79"/>
        <v>0</v>
      </c>
      <c r="AS75">
        <f t="shared" si="133"/>
        <v>0</v>
      </c>
      <c r="AT75">
        <f t="shared" si="134"/>
        <v>120</v>
      </c>
      <c r="AV75">
        <f t="shared" si="82"/>
        <v>93142</v>
      </c>
      <c r="AW75">
        <f t="shared" si="135"/>
        <v>0</v>
      </c>
      <c r="AX75">
        <f t="shared" si="136"/>
        <v>0</v>
      </c>
      <c r="AY75">
        <f t="shared" si="137"/>
        <v>0</v>
      </c>
      <c r="AZ75">
        <f t="shared" si="138"/>
        <v>0</v>
      </c>
      <c r="BA75">
        <f t="shared" si="139"/>
        <v>0</v>
      </c>
      <c r="BC75">
        <f t="shared" si="86"/>
        <v>93142</v>
      </c>
      <c r="BD75">
        <f t="shared" si="140"/>
        <v>0</v>
      </c>
      <c r="BE75">
        <f t="shared" si="141"/>
        <v>0</v>
      </c>
      <c r="BF75">
        <f t="shared" si="142"/>
        <v>0</v>
      </c>
      <c r="BG75">
        <f t="shared" si="143"/>
        <v>0</v>
      </c>
      <c r="BH75">
        <f t="shared" si="144"/>
        <v>0</v>
      </c>
      <c r="BJ75">
        <f t="shared" si="90"/>
        <v>93142</v>
      </c>
      <c r="BK75">
        <f t="shared" si="145"/>
        <v>0</v>
      </c>
      <c r="BL75">
        <f t="shared" si="146"/>
        <v>0</v>
      </c>
      <c r="BM75">
        <f t="shared" si="147"/>
        <v>0</v>
      </c>
      <c r="BN75">
        <f t="shared" si="148"/>
        <v>0</v>
      </c>
      <c r="BO75">
        <f t="shared" si="149"/>
        <v>0</v>
      </c>
      <c r="BQ75">
        <f t="shared" si="94"/>
        <v>93142</v>
      </c>
      <c r="BR75">
        <f t="shared" si="150"/>
        <v>0</v>
      </c>
      <c r="BS75">
        <f t="shared" si="151"/>
        <v>0</v>
      </c>
      <c r="BT75">
        <f t="shared" si="152"/>
        <v>0</v>
      </c>
      <c r="BU75">
        <f t="shared" si="153"/>
        <v>0</v>
      </c>
      <c r="BV75">
        <f t="shared" si="154"/>
        <v>0</v>
      </c>
      <c r="BX75">
        <f t="shared" si="155"/>
        <v>93142</v>
      </c>
      <c r="BY75">
        <f t="shared" si="156"/>
        <v>0</v>
      </c>
      <c r="BZ75">
        <f t="shared" si="157"/>
        <v>0</v>
      </c>
      <c r="CA75">
        <f t="shared" si="158"/>
        <v>0</v>
      </c>
      <c r="CB75">
        <f t="shared" si="159"/>
        <v>0</v>
      </c>
      <c r="CC75">
        <f t="shared" si="160"/>
        <v>0</v>
      </c>
      <c r="CE75">
        <f t="shared" si="161"/>
        <v>93142</v>
      </c>
      <c r="CF75">
        <f t="shared" si="162"/>
        <v>0</v>
      </c>
      <c r="CG75">
        <f t="shared" si="163"/>
        <v>0</v>
      </c>
      <c r="CH75">
        <f t="shared" si="164"/>
        <v>0</v>
      </c>
      <c r="CI75">
        <f t="shared" si="165"/>
        <v>0</v>
      </c>
      <c r="CJ75">
        <f t="shared" si="166"/>
        <v>0</v>
      </c>
    </row>
    <row r="76" spans="1:88">
      <c r="A76" s="5">
        <f t="shared" si="120"/>
        <v>93235</v>
      </c>
      <c r="B76" s="5" t="str">
        <f t="shared" si="107"/>
        <v>宝石手环碎片</v>
      </c>
      <c r="C76" s="5" t="str">
        <f t="shared" si="167"/>
        <v>合成宝石手环碎片的必备材料</v>
      </c>
      <c r="D76" s="5">
        <v>2</v>
      </c>
      <c r="E76" s="5" t="str">
        <f t="shared" si="121"/>
        <v>92235.png</v>
      </c>
      <c r="F76" s="5">
        <f t="shared" si="122"/>
        <v>2</v>
      </c>
      <c r="G76" s="5">
        <f t="shared" si="123"/>
        <v>36</v>
      </c>
      <c r="H76" s="5"/>
      <c r="I76" s="5"/>
      <c r="J76" s="5"/>
      <c r="K76" s="98"/>
      <c r="L76" s="5"/>
      <c r="M76" s="5" t="str">
        <f t="shared" si="124"/>
        <v/>
      </c>
      <c r="N76" s="5"/>
      <c r="O76" s="5"/>
      <c r="P76" s="5" t="str">
        <f t="shared" si="125"/>
        <v/>
      </c>
      <c r="Q76" s="5"/>
      <c r="R76" s="5"/>
      <c r="S76" s="5" t="str">
        <f t="shared" si="126"/>
        <v/>
      </c>
      <c r="T76" s="5"/>
      <c r="U76" s="5"/>
      <c r="V76" s="39">
        <f t="shared" si="36"/>
        <v>1135</v>
      </c>
      <c r="W76">
        <f t="shared" si="127"/>
        <v>20</v>
      </c>
      <c r="X76">
        <f t="shared" si="128"/>
        <v>2.5</v>
      </c>
      <c r="Y76" s="6"/>
      <c r="Z76" s="6"/>
      <c r="AA76" s="6">
        <v>1</v>
      </c>
      <c r="AB76">
        <f t="shared" si="129"/>
        <v>4.4000000000000004</v>
      </c>
      <c r="AC76">
        <f t="shared" si="130"/>
        <v>25</v>
      </c>
      <c r="AD76">
        <f t="shared" si="110"/>
        <v>1135</v>
      </c>
      <c r="AL76">
        <f>CHOOSE(2,1,COUNTIF(D_马仔培养宝物!$F$2:$K$229,D_马仔宝物!A76))</f>
        <v>0</v>
      </c>
      <c r="AM76">
        <f t="shared" si="75"/>
        <v>93235</v>
      </c>
      <c r="AN76">
        <f t="shared" si="76"/>
        <v>0</v>
      </c>
      <c r="AO76">
        <f t="shared" si="131"/>
        <v>0</v>
      </c>
      <c r="AP76">
        <f t="shared" si="77"/>
        <v>0</v>
      </c>
      <c r="AQ76">
        <f t="shared" si="132"/>
        <v>0</v>
      </c>
      <c r="AR76">
        <f t="shared" si="79"/>
        <v>0</v>
      </c>
      <c r="AS76">
        <f t="shared" si="133"/>
        <v>0</v>
      </c>
      <c r="AT76">
        <f t="shared" si="134"/>
        <v>95</v>
      </c>
      <c r="AV76">
        <f t="shared" si="82"/>
        <v>93235</v>
      </c>
      <c r="AW76">
        <f t="shared" si="135"/>
        <v>0</v>
      </c>
      <c r="AX76">
        <f t="shared" si="136"/>
        <v>0</v>
      </c>
      <c r="AY76">
        <f t="shared" si="137"/>
        <v>0</v>
      </c>
      <c r="AZ76">
        <f t="shared" si="138"/>
        <v>0</v>
      </c>
      <c r="BA76">
        <f t="shared" si="139"/>
        <v>0</v>
      </c>
      <c r="BC76">
        <f t="shared" si="86"/>
        <v>93235</v>
      </c>
      <c r="BD76">
        <f t="shared" si="140"/>
        <v>0</v>
      </c>
      <c r="BE76">
        <f t="shared" si="141"/>
        <v>0</v>
      </c>
      <c r="BF76">
        <f t="shared" si="142"/>
        <v>0</v>
      </c>
      <c r="BG76">
        <f t="shared" si="143"/>
        <v>0</v>
      </c>
      <c r="BH76">
        <f t="shared" si="144"/>
        <v>0</v>
      </c>
      <c r="BJ76">
        <f t="shared" si="90"/>
        <v>93235</v>
      </c>
      <c r="BK76">
        <f t="shared" si="145"/>
        <v>0</v>
      </c>
      <c r="BL76">
        <f t="shared" si="146"/>
        <v>0</v>
      </c>
      <c r="BM76">
        <f t="shared" si="147"/>
        <v>0</v>
      </c>
      <c r="BN76">
        <f t="shared" si="148"/>
        <v>0</v>
      </c>
      <c r="BO76">
        <f t="shared" si="149"/>
        <v>0</v>
      </c>
      <c r="BQ76">
        <f t="shared" si="94"/>
        <v>93235</v>
      </c>
      <c r="BR76">
        <f t="shared" si="150"/>
        <v>0</v>
      </c>
      <c r="BS76">
        <f t="shared" si="151"/>
        <v>0</v>
      </c>
      <c r="BT76">
        <f t="shared" si="152"/>
        <v>0</v>
      </c>
      <c r="BU76">
        <f t="shared" si="153"/>
        <v>0</v>
      </c>
      <c r="BV76">
        <f t="shared" si="154"/>
        <v>0</v>
      </c>
      <c r="BX76">
        <f t="shared" si="155"/>
        <v>93235</v>
      </c>
      <c r="BY76">
        <f t="shared" si="156"/>
        <v>0</v>
      </c>
      <c r="BZ76">
        <f t="shared" si="157"/>
        <v>0</v>
      </c>
      <c r="CA76">
        <f t="shared" si="158"/>
        <v>0</v>
      </c>
      <c r="CB76">
        <f t="shared" si="159"/>
        <v>0</v>
      </c>
      <c r="CC76">
        <f t="shared" si="160"/>
        <v>0</v>
      </c>
      <c r="CE76">
        <f t="shared" si="161"/>
        <v>93235</v>
      </c>
      <c r="CF76">
        <f t="shared" si="162"/>
        <v>0</v>
      </c>
      <c r="CG76">
        <f t="shared" si="163"/>
        <v>0</v>
      </c>
      <c r="CH76">
        <f t="shared" si="164"/>
        <v>0</v>
      </c>
      <c r="CI76">
        <f t="shared" si="165"/>
        <v>0</v>
      </c>
      <c r="CJ76">
        <f t="shared" si="166"/>
        <v>0</v>
      </c>
    </row>
    <row r="77" spans="1:88">
      <c r="A77" s="5">
        <f t="shared" si="120"/>
        <v>93012</v>
      </c>
      <c r="B77" s="5" t="str">
        <f t="shared" si="107"/>
        <v>摩拉碎片</v>
      </c>
      <c r="C77" s="5" t="s">
        <v>499</v>
      </c>
      <c r="D77" s="5">
        <v>2</v>
      </c>
      <c r="E77" s="5" t="str">
        <f t="shared" si="121"/>
        <v>92012.png</v>
      </c>
      <c r="F77" s="5">
        <f t="shared" si="122"/>
        <v>2</v>
      </c>
      <c r="G77" s="5">
        <f t="shared" si="123"/>
        <v>37</v>
      </c>
      <c r="H77" s="5"/>
      <c r="I77" s="5"/>
      <c r="J77" s="5"/>
      <c r="K77" s="98"/>
      <c r="L77" s="5"/>
      <c r="M77" s="5" t="str">
        <f t="shared" si="124"/>
        <v/>
      </c>
      <c r="N77" s="5"/>
      <c r="O77" s="5"/>
      <c r="P77" s="5" t="str">
        <f t="shared" si="125"/>
        <v/>
      </c>
      <c r="Q77" s="5"/>
      <c r="R77" s="5"/>
      <c r="S77" s="5" t="str">
        <f t="shared" si="126"/>
        <v/>
      </c>
      <c r="T77" s="5"/>
      <c r="U77" s="5"/>
      <c r="V77" s="39">
        <f t="shared" si="36"/>
        <v>525</v>
      </c>
      <c r="W77">
        <f t="shared" si="127"/>
        <v>20</v>
      </c>
      <c r="Z77">
        <f>VLOOKUP(A77,CHOOSE({1,2},N2:N132,A2:A132),2,FALSE)</f>
        <v>92012</v>
      </c>
      <c r="AA77">
        <f t="shared" ref="AA77:AA118" si="168">VLOOKUP(Z77,A1:AB176,10,FALSE)</f>
        <v>0</v>
      </c>
      <c r="AB77">
        <f t="shared" si="129"/>
        <v>8.2320000000000011</v>
      </c>
      <c r="AD77">
        <f t="shared" si="110"/>
        <v>525</v>
      </c>
      <c r="AL77">
        <f>CHOOSE(2,1,COUNTIF(D_马仔培养宝物!$F$2:$K$229,D_马仔宝物!A77))</f>
        <v>0</v>
      </c>
      <c r="AM77">
        <f t="shared" si="75"/>
        <v>93012</v>
      </c>
      <c r="AT77">
        <f t="shared" si="134"/>
        <v>100</v>
      </c>
      <c r="AV77">
        <f t="shared" si="82"/>
        <v>93012</v>
      </c>
      <c r="BA77">
        <f t="shared" si="139"/>
        <v>0</v>
      </c>
      <c r="BC77">
        <f t="shared" si="86"/>
        <v>93012</v>
      </c>
      <c r="BJ77">
        <f t="shared" si="90"/>
        <v>93012</v>
      </c>
      <c r="BO77">
        <f t="shared" si="149"/>
        <v>0</v>
      </c>
      <c r="BQ77">
        <f t="shared" si="94"/>
        <v>93012</v>
      </c>
      <c r="BV77">
        <f t="shared" si="154"/>
        <v>0</v>
      </c>
      <c r="BX77">
        <f t="shared" si="52"/>
        <v>93012</v>
      </c>
      <c r="BY77">
        <f t="shared" si="53"/>
        <v>0</v>
      </c>
      <c r="BZ77">
        <f t="shared" si="157"/>
        <v>0</v>
      </c>
      <c r="CA77">
        <f t="shared" si="54"/>
        <v>0</v>
      </c>
      <c r="CB77">
        <f t="shared" si="159"/>
        <v>0</v>
      </c>
      <c r="CC77">
        <f t="shared" si="160"/>
        <v>0</v>
      </c>
      <c r="CE77">
        <f t="shared" si="55"/>
        <v>93012</v>
      </c>
      <c r="CF77">
        <f t="shared" si="56"/>
        <v>0</v>
      </c>
      <c r="CG77">
        <f t="shared" si="163"/>
        <v>0</v>
      </c>
      <c r="CH77">
        <f t="shared" si="57"/>
        <v>0</v>
      </c>
      <c r="CI77">
        <f t="shared" si="165"/>
        <v>0</v>
      </c>
      <c r="CJ77">
        <f t="shared" si="166"/>
        <v>0</v>
      </c>
    </row>
    <row r="78" spans="1:88">
      <c r="A78" s="5">
        <f t="shared" si="120"/>
        <v>93252</v>
      </c>
      <c r="B78" s="5" t="str">
        <f t="shared" si="107"/>
        <v>青玉项链碎片</v>
      </c>
      <c r="C78" s="5" t="s">
        <v>500</v>
      </c>
      <c r="D78" s="5">
        <v>2</v>
      </c>
      <c r="E78" s="5" t="str">
        <f t="shared" si="121"/>
        <v>92252.png</v>
      </c>
      <c r="F78" s="5">
        <f t="shared" si="122"/>
        <v>2</v>
      </c>
      <c r="G78" s="5">
        <f t="shared" si="123"/>
        <v>37</v>
      </c>
      <c r="H78" s="5"/>
      <c r="I78" s="5"/>
      <c r="J78" s="5"/>
      <c r="K78" s="98"/>
      <c r="L78" s="5"/>
      <c r="M78" s="5" t="str">
        <f t="shared" si="124"/>
        <v/>
      </c>
      <c r="N78" s="5"/>
      <c r="O78" s="5"/>
      <c r="P78" s="5" t="str">
        <f t="shared" si="125"/>
        <v/>
      </c>
      <c r="Q78" s="5"/>
      <c r="R78" s="5"/>
      <c r="S78" s="5" t="str">
        <f t="shared" si="126"/>
        <v/>
      </c>
      <c r="T78" s="5"/>
      <c r="U78" s="5"/>
      <c r="V78" s="39">
        <f t="shared" si="36"/>
        <v>1540</v>
      </c>
      <c r="W78">
        <f t="shared" si="127"/>
        <v>20</v>
      </c>
      <c r="Z78">
        <f>VLOOKUP(A78,CHOOSE({1,2},N3:N133,A3:A133),2,FALSE)</f>
        <v>92252</v>
      </c>
      <c r="AA78">
        <f t="shared" si="168"/>
        <v>0</v>
      </c>
      <c r="AB78">
        <f t="shared" si="129"/>
        <v>10.4</v>
      </c>
      <c r="AD78">
        <f t="shared" si="110"/>
        <v>1540</v>
      </c>
      <c r="AL78">
        <f>CHOOSE(2,1,COUNTIF(D_马仔培养宝物!$F$2:$K$229,D_马仔宝物!A78))</f>
        <v>0</v>
      </c>
      <c r="AM78">
        <f t="shared" ref="AM78:AM109" si="169">A78</f>
        <v>93252</v>
      </c>
      <c r="AT78">
        <f t="shared" si="134"/>
        <v>100</v>
      </c>
      <c r="AV78">
        <f t="shared" ref="AV78:AV109" si="170">AM78</f>
        <v>93252</v>
      </c>
      <c r="BA78">
        <f t="shared" si="139"/>
        <v>0</v>
      </c>
      <c r="BC78">
        <f t="shared" ref="BC78:BC109" si="171">AV78</f>
        <v>93252</v>
      </c>
      <c r="BJ78">
        <f t="shared" ref="BJ78:BJ109" si="172">BC78</f>
        <v>93252</v>
      </c>
      <c r="BO78">
        <f t="shared" si="149"/>
        <v>0</v>
      </c>
      <c r="BQ78">
        <f t="shared" ref="BQ78:BQ109" si="173">BJ78</f>
        <v>93252</v>
      </c>
      <c r="BV78">
        <f t="shared" si="154"/>
        <v>0</v>
      </c>
      <c r="BX78">
        <f t="shared" si="52"/>
        <v>93252</v>
      </c>
      <c r="BY78">
        <f t="shared" si="53"/>
        <v>0</v>
      </c>
      <c r="BZ78">
        <f t="shared" si="157"/>
        <v>0</v>
      </c>
      <c r="CA78">
        <f t="shared" si="54"/>
        <v>0</v>
      </c>
      <c r="CB78">
        <f t="shared" si="159"/>
        <v>0</v>
      </c>
      <c r="CC78">
        <f t="shared" si="160"/>
        <v>0</v>
      </c>
      <c r="CE78">
        <f t="shared" si="55"/>
        <v>93252</v>
      </c>
      <c r="CF78">
        <f t="shared" si="56"/>
        <v>0</v>
      </c>
      <c r="CG78">
        <f t="shared" si="163"/>
        <v>0</v>
      </c>
      <c r="CH78">
        <f t="shared" si="57"/>
        <v>0</v>
      </c>
      <c r="CI78">
        <f t="shared" si="165"/>
        <v>0</v>
      </c>
      <c r="CJ78">
        <f t="shared" si="166"/>
        <v>0</v>
      </c>
    </row>
    <row r="79" spans="1:88">
      <c r="A79" s="5">
        <f t="shared" si="120"/>
        <v>93124</v>
      </c>
      <c r="B79" s="5" t="str">
        <f t="shared" si="107"/>
        <v>水晶耳钉碎片</v>
      </c>
      <c r="C79" s="5" t="s">
        <v>501</v>
      </c>
      <c r="D79" s="5">
        <v>2</v>
      </c>
      <c r="E79" s="5" t="str">
        <f t="shared" si="121"/>
        <v>92124.png</v>
      </c>
      <c r="F79" s="5">
        <f t="shared" si="122"/>
        <v>2</v>
      </c>
      <c r="G79" s="5">
        <f t="shared" si="123"/>
        <v>38</v>
      </c>
      <c r="H79" s="5"/>
      <c r="I79" s="5"/>
      <c r="J79" s="5"/>
      <c r="K79" s="98"/>
      <c r="L79" s="5"/>
      <c r="M79" s="5" t="str">
        <f t="shared" si="124"/>
        <v/>
      </c>
      <c r="N79" s="5"/>
      <c r="O79" s="5"/>
      <c r="P79" s="5" t="str">
        <f t="shared" si="125"/>
        <v/>
      </c>
      <c r="Q79" s="5"/>
      <c r="R79" s="5"/>
      <c r="S79" s="5" t="str">
        <f t="shared" si="126"/>
        <v/>
      </c>
      <c r="T79" s="5"/>
      <c r="U79" s="5"/>
      <c r="V79" s="39">
        <f t="shared" ref="V79:V118" si="174">AD79</f>
        <v>1170</v>
      </c>
      <c r="W79">
        <f t="shared" si="127"/>
        <v>20</v>
      </c>
      <c r="Z79">
        <f>VLOOKUP(A79,CHOOSE({1,2},N4:N134,A4:A134),2,FALSE)</f>
        <v>92124</v>
      </c>
      <c r="AA79">
        <f t="shared" si="168"/>
        <v>22</v>
      </c>
      <c r="AB79">
        <f t="shared" si="129"/>
        <v>4.4000000000000004</v>
      </c>
      <c r="AD79">
        <f t="shared" si="110"/>
        <v>1170</v>
      </c>
      <c r="AL79">
        <f>CHOOSE(2,1,COUNTIF(D_马仔培养宝物!$F$2:$K$229,D_马仔宝物!A79))</f>
        <v>0</v>
      </c>
      <c r="AM79">
        <f t="shared" si="169"/>
        <v>93124</v>
      </c>
      <c r="AT79">
        <f t="shared" si="134"/>
        <v>110</v>
      </c>
      <c r="AV79">
        <f t="shared" si="170"/>
        <v>93124</v>
      </c>
      <c r="BA79">
        <f t="shared" si="139"/>
        <v>0</v>
      </c>
      <c r="BC79">
        <f t="shared" si="171"/>
        <v>93124</v>
      </c>
      <c r="BJ79">
        <f t="shared" si="172"/>
        <v>93124</v>
      </c>
      <c r="BO79">
        <f t="shared" si="149"/>
        <v>0</v>
      </c>
      <c r="BQ79">
        <f t="shared" si="173"/>
        <v>93124</v>
      </c>
      <c r="BV79">
        <f t="shared" si="154"/>
        <v>0</v>
      </c>
      <c r="BX79">
        <f t="shared" ref="BX79:BX118" si="175">BQ79</f>
        <v>93124</v>
      </c>
      <c r="BY79">
        <f t="shared" ref="BY79:BY118" si="176">BR79</f>
        <v>0</v>
      </c>
      <c r="BZ79">
        <f t="shared" si="157"/>
        <v>0</v>
      </c>
      <c r="CA79">
        <f t="shared" ref="CA79:CA118" si="177">BT79</f>
        <v>0</v>
      </c>
      <c r="CB79">
        <f t="shared" si="159"/>
        <v>0</v>
      </c>
      <c r="CC79">
        <f t="shared" si="160"/>
        <v>0</v>
      </c>
      <c r="CE79">
        <f t="shared" ref="CE79:CE118" si="178">BX79</f>
        <v>93124</v>
      </c>
      <c r="CF79">
        <f t="shared" ref="CF79:CF118" si="179">BY79</f>
        <v>0</v>
      </c>
      <c r="CG79">
        <f t="shared" si="163"/>
        <v>0</v>
      </c>
      <c r="CH79">
        <f t="shared" ref="CH79:CH118" si="180">CA79</f>
        <v>0</v>
      </c>
      <c r="CI79">
        <f t="shared" si="165"/>
        <v>0</v>
      </c>
      <c r="CJ79">
        <f t="shared" si="166"/>
        <v>0</v>
      </c>
    </row>
    <row r="80" spans="1:88">
      <c r="A80" s="5">
        <f t="shared" si="120"/>
        <v>93272</v>
      </c>
      <c r="B80" s="5" t="str">
        <f t="shared" si="107"/>
        <v>金针手表碎片</v>
      </c>
      <c r="C80" s="5" t="s">
        <v>502</v>
      </c>
      <c r="D80" s="5">
        <v>2</v>
      </c>
      <c r="E80" s="5" t="str">
        <f t="shared" si="121"/>
        <v>92272.png</v>
      </c>
      <c r="F80" s="5">
        <f t="shared" si="122"/>
        <v>2</v>
      </c>
      <c r="G80" s="5">
        <f t="shared" si="123"/>
        <v>38</v>
      </c>
      <c r="H80" s="5"/>
      <c r="I80" s="5"/>
      <c r="J80" s="5"/>
      <c r="K80" s="98"/>
      <c r="L80" s="5"/>
      <c r="M80" s="5" t="str">
        <f t="shared" si="124"/>
        <v/>
      </c>
      <c r="N80" s="5"/>
      <c r="O80" s="5"/>
      <c r="P80" s="5" t="str">
        <f t="shared" si="125"/>
        <v/>
      </c>
      <c r="Q80" s="5"/>
      <c r="R80" s="5"/>
      <c r="S80" s="5" t="str">
        <f t="shared" si="126"/>
        <v/>
      </c>
      <c r="T80" s="5"/>
      <c r="U80" s="5"/>
      <c r="V80" s="39">
        <f t="shared" si="174"/>
        <v>465</v>
      </c>
      <c r="W80">
        <f t="shared" si="127"/>
        <v>20</v>
      </c>
      <c r="Z80">
        <f>VLOOKUP(A80,CHOOSE({1,2},N5:N135,A5:A135),2,FALSE)</f>
        <v>92272</v>
      </c>
      <c r="AA80">
        <f t="shared" si="168"/>
        <v>0</v>
      </c>
      <c r="AB80">
        <f t="shared" si="129"/>
        <v>8.2320000000000011</v>
      </c>
      <c r="AD80">
        <f t="shared" si="110"/>
        <v>465</v>
      </c>
      <c r="AL80">
        <f>CHOOSE(2,1,COUNTIF(D_马仔培养宝物!$F$2:$K$229,D_马仔宝物!A80))</f>
        <v>0</v>
      </c>
      <c r="AM80">
        <f t="shared" si="169"/>
        <v>93272</v>
      </c>
      <c r="AT80">
        <f t="shared" si="134"/>
        <v>115</v>
      </c>
      <c r="AV80">
        <f t="shared" si="170"/>
        <v>93272</v>
      </c>
      <c r="BA80">
        <f t="shared" si="139"/>
        <v>0</v>
      </c>
      <c r="BC80">
        <f t="shared" si="171"/>
        <v>93272</v>
      </c>
      <c r="BJ80">
        <f t="shared" si="172"/>
        <v>93272</v>
      </c>
      <c r="BO80">
        <f t="shared" si="149"/>
        <v>0</v>
      </c>
      <c r="BQ80">
        <f t="shared" si="173"/>
        <v>93272</v>
      </c>
      <c r="BV80">
        <f t="shared" si="154"/>
        <v>0</v>
      </c>
      <c r="BX80">
        <f t="shared" si="175"/>
        <v>93272</v>
      </c>
      <c r="BY80">
        <f t="shared" si="176"/>
        <v>0</v>
      </c>
      <c r="BZ80">
        <f t="shared" si="157"/>
        <v>0</v>
      </c>
      <c r="CA80">
        <f t="shared" si="177"/>
        <v>0</v>
      </c>
      <c r="CB80">
        <f t="shared" si="159"/>
        <v>0</v>
      </c>
      <c r="CC80">
        <f t="shared" si="160"/>
        <v>0</v>
      </c>
      <c r="CE80">
        <f t="shared" si="178"/>
        <v>93272</v>
      </c>
      <c r="CF80">
        <f t="shared" si="179"/>
        <v>0</v>
      </c>
      <c r="CG80">
        <f t="shared" si="163"/>
        <v>0</v>
      </c>
      <c r="CH80">
        <f t="shared" si="180"/>
        <v>0</v>
      </c>
      <c r="CI80">
        <f t="shared" si="165"/>
        <v>0</v>
      </c>
      <c r="CJ80">
        <f t="shared" si="166"/>
        <v>0</v>
      </c>
    </row>
    <row r="81" spans="1:88">
      <c r="A81" s="5">
        <f t="shared" si="120"/>
        <v>93273</v>
      </c>
      <c r="B81" s="5" t="str">
        <f t="shared" si="107"/>
        <v>智能手表碎片</v>
      </c>
      <c r="C81" s="5" t="s">
        <v>503</v>
      </c>
      <c r="D81" s="5">
        <v>2</v>
      </c>
      <c r="E81" s="5" t="str">
        <f t="shared" si="121"/>
        <v>92273.png</v>
      </c>
      <c r="F81" s="5">
        <f t="shared" si="122"/>
        <v>2</v>
      </c>
      <c r="G81" s="5">
        <f t="shared" si="123"/>
        <v>39</v>
      </c>
      <c r="H81" s="5"/>
      <c r="I81" s="5"/>
      <c r="J81" s="5"/>
      <c r="K81" s="98"/>
      <c r="L81" s="5"/>
      <c r="M81" s="5" t="str">
        <f t="shared" si="124"/>
        <v/>
      </c>
      <c r="N81" s="5"/>
      <c r="O81" s="5"/>
      <c r="P81" s="5" t="str">
        <f t="shared" si="125"/>
        <v/>
      </c>
      <c r="Q81" s="5"/>
      <c r="R81" s="5"/>
      <c r="S81" s="5" t="str">
        <f t="shared" si="126"/>
        <v/>
      </c>
      <c r="T81" s="5"/>
      <c r="U81" s="5"/>
      <c r="V81" s="39">
        <f t="shared" si="174"/>
        <v>430</v>
      </c>
      <c r="W81">
        <f t="shared" si="127"/>
        <v>20</v>
      </c>
      <c r="Z81">
        <f>VLOOKUP(A81,CHOOSE({1,2},N6:N136,A6:A136),2,FALSE)</f>
        <v>92273</v>
      </c>
      <c r="AA81">
        <f t="shared" si="168"/>
        <v>0</v>
      </c>
      <c r="AB81">
        <f t="shared" si="129"/>
        <v>10.4</v>
      </c>
      <c r="AD81">
        <f t="shared" si="110"/>
        <v>430</v>
      </c>
      <c r="AL81">
        <f>CHOOSE(2,1,COUNTIF(D_马仔培养宝物!$F$2:$K$229,D_马仔宝物!A81))</f>
        <v>0</v>
      </c>
      <c r="AM81">
        <f t="shared" si="169"/>
        <v>93273</v>
      </c>
      <c r="AT81">
        <f t="shared" si="134"/>
        <v>80</v>
      </c>
      <c r="AV81">
        <f t="shared" si="170"/>
        <v>93273</v>
      </c>
      <c r="BA81">
        <f t="shared" si="139"/>
        <v>0</v>
      </c>
      <c r="BC81">
        <f t="shared" si="171"/>
        <v>93273</v>
      </c>
      <c r="BJ81">
        <f t="shared" si="172"/>
        <v>93273</v>
      </c>
      <c r="BO81">
        <f t="shared" si="149"/>
        <v>0</v>
      </c>
      <c r="BQ81">
        <f t="shared" si="173"/>
        <v>93273</v>
      </c>
      <c r="BV81">
        <f t="shared" si="154"/>
        <v>0</v>
      </c>
      <c r="BX81">
        <f t="shared" si="175"/>
        <v>93273</v>
      </c>
      <c r="BY81">
        <f t="shared" si="176"/>
        <v>0</v>
      </c>
      <c r="BZ81">
        <f t="shared" si="157"/>
        <v>0</v>
      </c>
      <c r="CA81">
        <f t="shared" si="177"/>
        <v>0</v>
      </c>
      <c r="CB81">
        <f t="shared" si="159"/>
        <v>0</v>
      </c>
      <c r="CC81">
        <f t="shared" si="160"/>
        <v>0</v>
      </c>
      <c r="CE81">
        <f t="shared" si="178"/>
        <v>93273</v>
      </c>
      <c r="CF81">
        <f t="shared" si="179"/>
        <v>0</v>
      </c>
      <c r="CG81">
        <f t="shared" si="163"/>
        <v>0</v>
      </c>
      <c r="CH81">
        <f t="shared" si="180"/>
        <v>0</v>
      </c>
      <c r="CI81">
        <f t="shared" si="165"/>
        <v>0</v>
      </c>
      <c r="CJ81">
        <f t="shared" si="166"/>
        <v>0</v>
      </c>
    </row>
    <row r="82" spans="1:88">
      <c r="A82" s="5">
        <f t="shared" si="120"/>
        <v>93279</v>
      </c>
      <c r="B82" s="5" t="str">
        <f t="shared" si="107"/>
        <v>宾倪碎片</v>
      </c>
      <c r="C82" s="5" t="s">
        <v>504</v>
      </c>
      <c r="D82" s="5">
        <v>2</v>
      </c>
      <c r="E82" s="5" t="str">
        <f t="shared" si="121"/>
        <v>92279.png</v>
      </c>
      <c r="F82" s="5">
        <f t="shared" si="122"/>
        <v>2</v>
      </c>
      <c r="G82" s="5">
        <f t="shared" si="123"/>
        <v>39</v>
      </c>
      <c r="H82" s="5"/>
      <c r="I82" s="5"/>
      <c r="J82" s="5"/>
      <c r="K82" s="98"/>
      <c r="L82" s="5"/>
      <c r="M82" s="5" t="str">
        <f t="shared" si="124"/>
        <v/>
      </c>
      <c r="N82" s="5"/>
      <c r="O82" s="5"/>
      <c r="P82" s="5" t="str">
        <f t="shared" si="125"/>
        <v/>
      </c>
      <c r="Q82" s="5"/>
      <c r="R82" s="5"/>
      <c r="S82" s="5" t="str">
        <f t="shared" si="126"/>
        <v/>
      </c>
      <c r="T82" s="5"/>
      <c r="U82" s="5"/>
      <c r="V82" s="39">
        <f t="shared" si="174"/>
        <v>495</v>
      </c>
      <c r="W82">
        <f t="shared" si="127"/>
        <v>20</v>
      </c>
      <c r="Z82">
        <f>VLOOKUP(A82,CHOOSE({1,2},N7:N137,A7:A137),2,FALSE)</f>
        <v>92279</v>
      </c>
      <c r="AA82">
        <f t="shared" si="168"/>
        <v>22</v>
      </c>
      <c r="AB82">
        <f t="shared" si="129"/>
        <v>4.4000000000000004</v>
      </c>
      <c r="AD82">
        <f t="shared" si="110"/>
        <v>495</v>
      </c>
      <c r="AL82">
        <f>CHOOSE(2,1,COUNTIF(D_马仔培养宝物!$F$2:$K$229,D_马仔宝物!A82))</f>
        <v>0</v>
      </c>
      <c r="AM82">
        <f t="shared" si="169"/>
        <v>93279</v>
      </c>
      <c r="AT82">
        <f t="shared" si="134"/>
        <v>120</v>
      </c>
      <c r="AV82">
        <f t="shared" si="170"/>
        <v>93279</v>
      </c>
      <c r="BA82">
        <f t="shared" si="139"/>
        <v>0</v>
      </c>
      <c r="BC82">
        <f t="shared" si="171"/>
        <v>93279</v>
      </c>
      <c r="BJ82">
        <f t="shared" si="172"/>
        <v>93279</v>
      </c>
      <c r="BO82">
        <f t="shared" si="149"/>
        <v>0</v>
      </c>
      <c r="BQ82">
        <f t="shared" si="173"/>
        <v>93279</v>
      </c>
      <c r="BV82">
        <f t="shared" si="154"/>
        <v>0</v>
      </c>
      <c r="BX82">
        <f t="shared" si="175"/>
        <v>93279</v>
      </c>
      <c r="BY82">
        <f t="shared" si="176"/>
        <v>0</v>
      </c>
      <c r="BZ82">
        <f t="shared" si="157"/>
        <v>0</v>
      </c>
      <c r="CA82">
        <f t="shared" si="177"/>
        <v>0</v>
      </c>
      <c r="CB82">
        <f t="shared" si="159"/>
        <v>0</v>
      </c>
      <c r="CC82">
        <f t="shared" si="160"/>
        <v>0</v>
      </c>
      <c r="CE82">
        <f t="shared" si="178"/>
        <v>93279</v>
      </c>
      <c r="CF82">
        <f t="shared" si="179"/>
        <v>0</v>
      </c>
      <c r="CG82">
        <f t="shared" si="163"/>
        <v>0</v>
      </c>
      <c r="CH82">
        <f t="shared" si="180"/>
        <v>0</v>
      </c>
      <c r="CI82">
        <f t="shared" si="165"/>
        <v>0</v>
      </c>
      <c r="CJ82">
        <f t="shared" si="166"/>
        <v>0</v>
      </c>
    </row>
    <row r="83" spans="1:88">
      <c r="A83" s="5">
        <f t="shared" si="120"/>
        <v>93284</v>
      </c>
      <c r="B83" s="5" t="str">
        <f t="shared" si="107"/>
        <v>大迭钞票碎片</v>
      </c>
      <c r="C83" s="5" t="s">
        <v>505</v>
      </c>
      <c r="D83" s="5">
        <v>2</v>
      </c>
      <c r="E83" s="5" t="str">
        <f t="shared" si="121"/>
        <v>92284.png</v>
      </c>
      <c r="F83" s="5">
        <f t="shared" si="122"/>
        <v>2</v>
      </c>
      <c r="G83" s="5">
        <f t="shared" si="123"/>
        <v>40</v>
      </c>
      <c r="H83" s="5"/>
      <c r="I83" s="5"/>
      <c r="J83" s="5"/>
      <c r="K83" s="98"/>
      <c r="L83" s="5"/>
      <c r="M83" s="5" t="str">
        <f t="shared" si="124"/>
        <v/>
      </c>
      <c r="N83" s="5"/>
      <c r="O83" s="5"/>
      <c r="P83" s="5" t="str">
        <f t="shared" si="125"/>
        <v/>
      </c>
      <c r="Q83" s="5"/>
      <c r="R83" s="5"/>
      <c r="S83" s="5" t="str">
        <f t="shared" si="126"/>
        <v/>
      </c>
      <c r="T83" s="5"/>
      <c r="U83" s="5"/>
      <c r="V83" s="39">
        <f t="shared" si="174"/>
        <v>3435</v>
      </c>
      <c r="W83">
        <f t="shared" si="127"/>
        <v>20</v>
      </c>
      <c r="Z83">
        <f>VLOOKUP(A83,CHOOSE({1,2},N8:N138,A8:A138),2,FALSE)</f>
        <v>92284</v>
      </c>
      <c r="AA83">
        <f t="shared" si="168"/>
        <v>0</v>
      </c>
      <c r="AB83">
        <f t="shared" si="129"/>
        <v>8.2320000000000011</v>
      </c>
      <c r="AD83">
        <f t="shared" si="110"/>
        <v>3435</v>
      </c>
      <c r="AL83">
        <f>CHOOSE(2,1,COUNTIF(D_马仔培养宝物!$F$2:$K$229,D_马仔宝物!A83))</f>
        <v>0</v>
      </c>
      <c r="AM83">
        <f t="shared" si="169"/>
        <v>93284</v>
      </c>
      <c r="AT83">
        <f t="shared" si="134"/>
        <v>150</v>
      </c>
      <c r="AV83">
        <f t="shared" si="170"/>
        <v>93284</v>
      </c>
      <c r="BA83">
        <f t="shared" si="139"/>
        <v>0</v>
      </c>
      <c r="BC83">
        <f t="shared" si="171"/>
        <v>93284</v>
      </c>
      <c r="BJ83">
        <f t="shared" si="172"/>
        <v>93284</v>
      </c>
      <c r="BO83">
        <f t="shared" si="149"/>
        <v>0</v>
      </c>
      <c r="BQ83">
        <f t="shared" si="173"/>
        <v>93284</v>
      </c>
      <c r="BV83">
        <f t="shared" si="154"/>
        <v>0</v>
      </c>
      <c r="BX83">
        <f t="shared" si="175"/>
        <v>93284</v>
      </c>
      <c r="BY83">
        <f t="shared" si="176"/>
        <v>0</v>
      </c>
      <c r="BZ83">
        <f t="shared" si="157"/>
        <v>0</v>
      </c>
      <c r="CA83">
        <f t="shared" si="177"/>
        <v>0</v>
      </c>
      <c r="CB83">
        <f t="shared" si="159"/>
        <v>0</v>
      </c>
      <c r="CC83">
        <f t="shared" si="160"/>
        <v>0</v>
      </c>
      <c r="CE83">
        <f t="shared" si="178"/>
        <v>93284</v>
      </c>
      <c r="CF83">
        <f t="shared" si="179"/>
        <v>0</v>
      </c>
      <c r="CG83">
        <f t="shared" si="163"/>
        <v>0</v>
      </c>
      <c r="CH83">
        <f t="shared" si="180"/>
        <v>0</v>
      </c>
      <c r="CI83">
        <f t="shared" si="165"/>
        <v>0</v>
      </c>
      <c r="CJ83">
        <f t="shared" si="166"/>
        <v>0</v>
      </c>
    </row>
    <row r="84" spans="1:88">
      <c r="A84" s="5">
        <f t="shared" si="120"/>
        <v>93288</v>
      </c>
      <c r="B84" s="5" t="str">
        <f t="shared" si="107"/>
        <v>大金块碎片</v>
      </c>
      <c r="C84" s="5" t="s">
        <v>506</v>
      </c>
      <c r="D84" s="5">
        <v>2</v>
      </c>
      <c r="E84" s="5" t="str">
        <f t="shared" si="121"/>
        <v>92288.png</v>
      </c>
      <c r="F84" s="5">
        <f t="shared" si="122"/>
        <v>2</v>
      </c>
      <c r="G84" s="5">
        <f t="shared" si="123"/>
        <v>40</v>
      </c>
      <c r="H84" s="5"/>
      <c r="I84" s="5"/>
      <c r="J84" s="5"/>
      <c r="K84" s="98"/>
      <c r="L84" s="5"/>
      <c r="M84" s="5" t="str">
        <f t="shared" si="124"/>
        <v/>
      </c>
      <c r="N84" s="5"/>
      <c r="O84" s="5"/>
      <c r="P84" s="5" t="str">
        <f t="shared" si="125"/>
        <v/>
      </c>
      <c r="Q84" s="5"/>
      <c r="R84" s="5"/>
      <c r="S84" s="5" t="str">
        <f t="shared" si="126"/>
        <v/>
      </c>
      <c r="T84" s="5"/>
      <c r="U84" s="5"/>
      <c r="V84" s="39">
        <f t="shared" si="174"/>
        <v>3145</v>
      </c>
      <c r="W84">
        <f t="shared" si="127"/>
        <v>20</v>
      </c>
      <c r="Z84">
        <f>VLOOKUP(A84,CHOOSE({1,2},N9:N139,A9:A139),2,FALSE)</f>
        <v>92288</v>
      </c>
      <c r="AA84">
        <f t="shared" si="168"/>
        <v>0</v>
      </c>
      <c r="AB84">
        <f t="shared" si="129"/>
        <v>10.4</v>
      </c>
      <c r="AD84">
        <f t="shared" si="110"/>
        <v>3145</v>
      </c>
      <c r="AL84">
        <f>CHOOSE(2,1,COUNTIF(D_马仔培养宝物!$F$2:$K$229,D_马仔宝物!A84))</f>
        <v>0</v>
      </c>
      <c r="AM84">
        <f t="shared" si="169"/>
        <v>93288</v>
      </c>
      <c r="AT84">
        <f t="shared" si="134"/>
        <v>150</v>
      </c>
      <c r="AV84">
        <f t="shared" si="170"/>
        <v>93288</v>
      </c>
      <c r="BA84">
        <f t="shared" si="139"/>
        <v>0</v>
      </c>
      <c r="BC84">
        <f t="shared" si="171"/>
        <v>93288</v>
      </c>
      <c r="BJ84">
        <f t="shared" si="172"/>
        <v>93288</v>
      </c>
      <c r="BO84">
        <f t="shared" si="149"/>
        <v>0</v>
      </c>
      <c r="BQ84">
        <f t="shared" si="173"/>
        <v>93288</v>
      </c>
      <c r="BV84">
        <f t="shared" si="154"/>
        <v>0</v>
      </c>
      <c r="BX84">
        <f t="shared" si="175"/>
        <v>93288</v>
      </c>
      <c r="BY84">
        <f t="shared" si="176"/>
        <v>0</v>
      </c>
      <c r="BZ84">
        <f t="shared" si="157"/>
        <v>0</v>
      </c>
      <c r="CA84">
        <f t="shared" si="177"/>
        <v>0</v>
      </c>
      <c r="CB84">
        <f t="shared" si="159"/>
        <v>0</v>
      </c>
      <c r="CC84">
        <f t="shared" si="160"/>
        <v>0</v>
      </c>
      <c r="CE84">
        <f t="shared" si="178"/>
        <v>93288</v>
      </c>
      <c r="CF84">
        <f t="shared" si="179"/>
        <v>0</v>
      </c>
      <c r="CG84">
        <f t="shared" si="163"/>
        <v>0</v>
      </c>
      <c r="CH84">
        <f t="shared" si="180"/>
        <v>0</v>
      </c>
      <c r="CI84">
        <f t="shared" si="165"/>
        <v>0</v>
      </c>
      <c r="CJ84">
        <f t="shared" si="166"/>
        <v>0</v>
      </c>
    </row>
    <row r="85" spans="1:88">
      <c r="A85" s="5">
        <f t="shared" si="120"/>
        <v>93125</v>
      </c>
      <c r="B85" s="5" t="str">
        <f t="shared" si="107"/>
        <v>红石耳钉碎片</v>
      </c>
      <c r="C85" s="5" t="s">
        <v>507</v>
      </c>
      <c r="D85" s="5">
        <v>2</v>
      </c>
      <c r="E85" s="5" t="str">
        <f t="shared" si="121"/>
        <v>92125.png</v>
      </c>
      <c r="F85" s="5">
        <f t="shared" si="122"/>
        <v>3</v>
      </c>
      <c r="G85" s="5">
        <f t="shared" si="123"/>
        <v>45</v>
      </c>
      <c r="H85" s="5"/>
      <c r="I85" s="5"/>
      <c r="J85" s="5"/>
      <c r="K85" s="98"/>
      <c r="L85" s="5"/>
      <c r="M85" s="5" t="str">
        <f t="shared" si="124"/>
        <v/>
      </c>
      <c r="N85" s="5"/>
      <c r="O85" s="5"/>
      <c r="P85" s="5" t="str">
        <f t="shared" si="125"/>
        <v/>
      </c>
      <c r="Q85" s="5"/>
      <c r="R85" s="5"/>
      <c r="S85" s="5" t="str">
        <f t="shared" si="126"/>
        <v/>
      </c>
      <c r="T85" s="5"/>
      <c r="U85" s="5"/>
      <c r="V85" s="39">
        <f t="shared" si="174"/>
        <v>1040</v>
      </c>
      <c r="W85">
        <f t="shared" si="127"/>
        <v>30</v>
      </c>
      <c r="Z85">
        <f>VLOOKUP(A85,CHOOSE({1,2},N10:N140,A10:A140),2,FALSE)</f>
        <v>92125</v>
      </c>
      <c r="AA85">
        <f t="shared" si="168"/>
        <v>31</v>
      </c>
      <c r="AB85">
        <f t="shared" si="129"/>
        <v>3.1</v>
      </c>
      <c r="AD85">
        <f t="shared" si="110"/>
        <v>1040</v>
      </c>
      <c r="AL85">
        <f>CHOOSE(2,1,COUNTIF(D_马仔培养宝物!$F$2:$K$229,D_马仔宝物!A85))</f>
        <v>0</v>
      </c>
      <c r="AM85">
        <f t="shared" si="169"/>
        <v>93125</v>
      </c>
      <c r="AT85">
        <f t="shared" si="134"/>
        <v>170</v>
      </c>
      <c r="AV85">
        <f t="shared" si="170"/>
        <v>93125</v>
      </c>
      <c r="BA85">
        <f t="shared" si="139"/>
        <v>0</v>
      </c>
      <c r="BC85">
        <f t="shared" si="171"/>
        <v>93125</v>
      </c>
      <c r="BJ85">
        <f t="shared" si="172"/>
        <v>93125</v>
      </c>
      <c r="BO85">
        <f t="shared" si="149"/>
        <v>0</v>
      </c>
      <c r="BQ85">
        <f t="shared" si="173"/>
        <v>93125</v>
      </c>
      <c r="BV85">
        <f t="shared" si="154"/>
        <v>0</v>
      </c>
      <c r="BX85">
        <f t="shared" si="175"/>
        <v>93125</v>
      </c>
      <c r="BY85">
        <f t="shared" si="176"/>
        <v>0</v>
      </c>
      <c r="BZ85">
        <f t="shared" si="157"/>
        <v>0</v>
      </c>
      <c r="CA85">
        <f t="shared" si="177"/>
        <v>0</v>
      </c>
      <c r="CB85">
        <f t="shared" si="159"/>
        <v>0</v>
      </c>
      <c r="CC85">
        <f t="shared" si="160"/>
        <v>0</v>
      </c>
      <c r="CE85">
        <f t="shared" si="178"/>
        <v>93125</v>
      </c>
      <c r="CF85">
        <f t="shared" si="179"/>
        <v>0</v>
      </c>
      <c r="CG85">
        <f t="shared" si="163"/>
        <v>0</v>
      </c>
      <c r="CH85">
        <f t="shared" si="180"/>
        <v>0</v>
      </c>
      <c r="CI85">
        <f t="shared" si="165"/>
        <v>0</v>
      </c>
      <c r="CJ85">
        <f t="shared" si="166"/>
        <v>0</v>
      </c>
    </row>
    <row r="86" spans="1:88">
      <c r="A86" s="5">
        <f t="shared" si="120"/>
        <v>93134</v>
      </c>
      <c r="B86" s="5" t="str">
        <f t="shared" si="107"/>
        <v>毒蝎耳钉碎片</v>
      </c>
      <c r="C86" s="5" t="s">
        <v>508</v>
      </c>
      <c r="D86" s="5">
        <v>2</v>
      </c>
      <c r="E86" s="5" t="str">
        <f t="shared" si="121"/>
        <v>92134.png</v>
      </c>
      <c r="F86" s="5">
        <f t="shared" si="122"/>
        <v>3</v>
      </c>
      <c r="G86" s="5">
        <f t="shared" si="123"/>
        <v>45</v>
      </c>
      <c r="H86" s="5"/>
      <c r="I86" s="5"/>
      <c r="J86" s="5"/>
      <c r="K86" s="98"/>
      <c r="L86" s="5"/>
      <c r="M86" s="5" t="str">
        <f t="shared" si="124"/>
        <v/>
      </c>
      <c r="N86" s="5"/>
      <c r="O86" s="5"/>
      <c r="P86" s="5" t="str">
        <f t="shared" si="125"/>
        <v/>
      </c>
      <c r="Q86" s="5"/>
      <c r="R86" s="5"/>
      <c r="S86" s="5" t="str">
        <f t="shared" si="126"/>
        <v/>
      </c>
      <c r="T86" s="5"/>
      <c r="U86" s="5"/>
      <c r="V86" s="39">
        <f t="shared" si="174"/>
        <v>1080</v>
      </c>
      <c r="W86">
        <f t="shared" si="127"/>
        <v>30</v>
      </c>
      <c r="Z86">
        <f>VLOOKUP(A86,CHOOSE({1,2},N11:N141,A11:A141),2,FALSE)</f>
        <v>92134</v>
      </c>
      <c r="AA86">
        <f t="shared" si="168"/>
        <v>0</v>
      </c>
      <c r="AB86">
        <f t="shared" si="129"/>
        <v>7.3</v>
      </c>
      <c r="AD86">
        <f t="shared" si="110"/>
        <v>1080</v>
      </c>
      <c r="AL86">
        <f>CHOOSE(2,1,COUNTIF(D_马仔培养宝物!$F$2:$K$229,D_马仔宝物!A86))</f>
        <v>0</v>
      </c>
      <c r="AM86">
        <f t="shared" si="169"/>
        <v>93134</v>
      </c>
      <c r="AT86">
        <f t="shared" si="134"/>
        <v>210</v>
      </c>
      <c r="AV86">
        <f t="shared" si="170"/>
        <v>93134</v>
      </c>
      <c r="BA86">
        <f t="shared" si="139"/>
        <v>0</v>
      </c>
      <c r="BC86">
        <f t="shared" si="171"/>
        <v>93134</v>
      </c>
      <c r="BJ86">
        <f t="shared" si="172"/>
        <v>93134</v>
      </c>
      <c r="BO86">
        <f t="shared" si="149"/>
        <v>0</v>
      </c>
      <c r="BQ86">
        <f t="shared" si="173"/>
        <v>93134</v>
      </c>
      <c r="BV86">
        <f t="shared" si="154"/>
        <v>0</v>
      </c>
      <c r="BX86">
        <f t="shared" si="175"/>
        <v>93134</v>
      </c>
      <c r="BY86">
        <f t="shared" si="176"/>
        <v>0</v>
      </c>
      <c r="BZ86">
        <f t="shared" si="157"/>
        <v>0</v>
      </c>
      <c r="CA86">
        <f t="shared" si="177"/>
        <v>0</v>
      </c>
      <c r="CB86">
        <f t="shared" si="159"/>
        <v>0</v>
      </c>
      <c r="CC86">
        <f t="shared" si="160"/>
        <v>0</v>
      </c>
      <c r="CE86">
        <f t="shared" si="178"/>
        <v>93134</v>
      </c>
      <c r="CF86">
        <f t="shared" si="179"/>
        <v>0</v>
      </c>
      <c r="CG86">
        <f t="shared" si="163"/>
        <v>0</v>
      </c>
      <c r="CH86">
        <f t="shared" si="180"/>
        <v>0</v>
      </c>
      <c r="CI86">
        <f t="shared" si="165"/>
        <v>0</v>
      </c>
      <c r="CJ86">
        <f t="shared" si="166"/>
        <v>0</v>
      </c>
    </row>
    <row r="87" spans="1:88">
      <c r="A87" s="5">
        <f t="shared" si="120"/>
        <v>93223</v>
      </c>
      <c r="B87" s="5" t="str">
        <f t="shared" si="107"/>
        <v>赤金戒指碎片</v>
      </c>
      <c r="C87" s="5" t="s">
        <v>509</v>
      </c>
      <c r="D87" s="5">
        <v>2</v>
      </c>
      <c r="E87" s="5" t="str">
        <f t="shared" si="121"/>
        <v>92223.png</v>
      </c>
      <c r="F87" s="5">
        <f t="shared" si="122"/>
        <v>3</v>
      </c>
      <c r="G87" s="5">
        <f t="shared" si="123"/>
        <v>46</v>
      </c>
      <c r="H87" s="5"/>
      <c r="I87" s="5"/>
      <c r="J87" s="5"/>
      <c r="K87" s="98"/>
      <c r="L87" s="5"/>
      <c r="M87" s="5" t="str">
        <f t="shared" si="124"/>
        <v/>
      </c>
      <c r="N87" s="5"/>
      <c r="O87" s="5"/>
      <c r="P87" s="5" t="str">
        <f t="shared" si="125"/>
        <v/>
      </c>
      <c r="Q87" s="5"/>
      <c r="R87" s="5"/>
      <c r="S87" s="5" t="str">
        <f t="shared" si="126"/>
        <v/>
      </c>
      <c r="T87" s="5"/>
      <c r="U87" s="5"/>
      <c r="V87" s="39">
        <f t="shared" si="174"/>
        <v>1300</v>
      </c>
      <c r="W87">
        <f t="shared" si="127"/>
        <v>30</v>
      </c>
      <c r="Z87">
        <f>VLOOKUP(A87,CHOOSE({1,2},N12:N142,A12:A142),2,FALSE)</f>
        <v>92223</v>
      </c>
      <c r="AA87">
        <f t="shared" si="168"/>
        <v>31</v>
      </c>
      <c r="AB87">
        <f t="shared" si="129"/>
        <v>3.1</v>
      </c>
      <c r="AD87">
        <f t="shared" si="110"/>
        <v>1300</v>
      </c>
      <c r="AL87">
        <f>CHOOSE(2,1,COUNTIF(D_马仔培养宝物!$F$2:$K$229,D_马仔宝物!A87))</f>
        <v>0</v>
      </c>
      <c r="AM87">
        <f t="shared" si="169"/>
        <v>93223</v>
      </c>
      <c r="AT87">
        <f t="shared" si="134"/>
        <v>160</v>
      </c>
      <c r="AV87">
        <f t="shared" si="170"/>
        <v>93223</v>
      </c>
      <c r="BA87">
        <f t="shared" si="139"/>
        <v>0</v>
      </c>
      <c r="BC87">
        <f t="shared" si="171"/>
        <v>93223</v>
      </c>
      <c r="BJ87">
        <f t="shared" si="172"/>
        <v>93223</v>
      </c>
      <c r="BO87">
        <f t="shared" si="149"/>
        <v>0</v>
      </c>
      <c r="BQ87">
        <f t="shared" si="173"/>
        <v>93223</v>
      </c>
      <c r="BV87">
        <f t="shared" si="154"/>
        <v>0</v>
      </c>
      <c r="BX87">
        <f t="shared" si="175"/>
        <v>93223</v>
      </c>
      <c r="BY87">
        <f t="shared" si="176"/>
        <v>0</v>
      </c>
      <c r="BZ87">
        <f t="shared" si="157"/>
        <v>0</v>
      </c>
      <c r="CA87">
        <f t="shared" si="177"/>
        <v>0</v>
      </c>
      <c r="CB87">
        <f t="shared" si="159"/>
        <v>0</v>
      </c>
      <c r="CC87">
        <f t="shared" si="160"/>
        <v>0</v>
      </c>
      <c r="CE87">
        <f t="shared" si="178"/>
        <v>93223</v>
      </c>
      <c r="CF87">
        <f t="shared" si="179"/>
        <v>0</v>
      </c>
      <c r="CG87">
        <f t="shared" si="163"/>
        <v>0</v>
      </c>
      <c r="CH87">
        <f t="shared" si="180"/>
        <v>0</v>
      </c>
      <c r="CI87">
        <f t="shared" si="165"/>
        <v>0</v>
      </c>
      <c r="CJ87">
        <f t="shared" si="166"/>
        <v>0</v>
      </c>
    </row>
    <row r="88" spans="1:88">
      <c r="A88" s="5">
        <f t="shared" si="120"/>
        <v>93227</v>
      </c>
      <c r="B88" s="5" t="str">
        <f t="shared" si="107"/>
        <v>王者手环碎片</v>
      </c>
      <c r="C88" s="5" t="s">
        <v>510</v>
      </c>
      <c r="D88" s="5">
        <v>2</v>
      </c>
      <c r="E88" s="5" t="str">
        <f t="shared" si="121"/>
        <v>92227.png</v>
      </c>
      <c r="F88" s="5">
        <f t="shared" si="122"/>
        <v>3</v>
      </c>
      <c r="G88" s="5">
        <f t="shared" si="123"/>
        <v>46</v>
      </c>
      <c r="H88" s="5"/>
      <c r="I88" s="5"/>
      <c r="J88" s="5"/>
      <c r="K88" s="98"/>
      <c r="L88" s="5"/>
      <c r="M88" s="5" t="str">
        <f t="shared" si="124"/>
        <v/>
      </c>
      <c r="N88" s="5"/>
      <c r="O88" s="5"/>
      <c r="P88" s="5" t="str">
        <f t="shared" si="125"/>
        <v/>
      </c>
      <c r="Q88" s="5"/>
      <c r="R88" s="5"/>
      <c r="S88" s="5" t="str">
        <f t="shared" si="126"/>
        <v/>
      </c>
      <c r="T88" s="5"/>
      <c r="U88" s="5"/>
      <c r="V88" s="39">
        <f t="shared" si="174"/>
        <v>1410</v>
      </c>
      <c r="W88">
        <f t="shared" si="127"/>
        <v>30</v>
      </c>
      <c r="Z88">
        <f>VLOOKUP(A88,CHOOSE({1,2},N13:N143,A13:A143),2,FALSE)</f>
        <v>92227</v>
      </c>
      <c r="AA88">
        <f t="shared" si="168"/>
        <v>0</v>
      </c>
      <c r="AB88">
        <f t="shared" si="129"/>
        <v>5.76</v>
      </c>
      <c r="AD88">
        <f t="shared" si="110"/>
        <v>1410</v>
      </c>
      <c r="AL88">
        <f>CHOOSE(2,1,COUNTIF(D_马仔培养宝物!$F$2:$K$229,D_马仔宝物!A88))</f>
        <v>0</v>
      </c>
      <c r="AM88">
        <f t="shared" si="169"/>
        <v>93227</v>
      </c>
      <c r="AT88">
        <f t="shared" si="134"/>
        <v>230</v>
      </c>
      <c r="AV88">
        <f t="shared" si="170"/>
        <v>93227</v>
      </c>
      <c r="BA88">
        <f t="shared" si="139"/>
        <v>0</v>
      </c>
      <c r="BC88">
        <f t="shared" si="171"/>
        <v>93227</v>
      </c>
      <c r="BJ88">
        <f t="shared" si="172"/>
        <v>93227</v>
      </c>
      <c r="BO88">
        <f t="shared" si="149"/>
        <v>0</v>
      </c>
      <c r="BQ88">
        <f t="shared" si="173"/>
        <v>93227</v>
      </c>
      <c r="BV88">
        <f t="shared" si="154"/>
        <v>0</v>
      </c>
      <c r="BX88">
        <f t="shared" si="175"/>
        <v>93227</v>
      </c>
      <c r="BY88">
        <f t="shared" si="176"/>
        <v>0</v>
      </c>
      <c r="BZ88">
        <f t="shared" si="157"/>
        <v>0</v>
      </c>
      <c r="CA88">
        <f t="shared" si="177"/>
        <v>0</v>
      </c>
      <c r="CB88">
        <f t="shared" si="159"/>
        <v>0</v>
      </c>
      <c r="CC88">
        <f t="shared" si="160"/>
        <v>0</v>
      </c>
      <c r="CE88">
        <f t="shared" si="178"/>
        <v>93227</v>
      </c>
      <c r="CF88">
        <f t="shared" si="179"/>
        <v>0</v>
      </c>
      <c r="CG88">
        <f t="shared" si="163"/>
        <v>0</v>
      </c>
      <c r="CH88">
        <f t="shared" si="180"/>
        <v>0</v>
      </c>
      <c r="CI88">
        <f t="shared" si="165"/>
        <v>0</v>
      </c>
      <c r="CJ88">
        <f t="shared" si="166"/>
        <v>0</v>
      </c>
    </row>
    <row r="89" spans="1:88">
      <c r="A89" s="5">
        <f t="shared" si="120"/>
        <v>93236</v>
      </c>
      <c r="B89" s="5" t="str">
        <f t="shared" si="107"/>
        <v>符文手环碎片</v>
      </c>
      <c r="C89" s="5" t="s">
        <v>511</v>
      </c>
      <c r="D89" s="5">
        <v>2</v>
      </c>
      <c r="E89" s="5" t="str">
        <f t="shared" si="121"/>
        <v>92236.png</v>
      </c>
      <c r="F89" s="5">
        <f t="shared" si="122"/>
        <v>3</v>
      </c>
      <c r="G89" s="5">
        <f t="shared" si="123"/>
        <v>47</v>
      </c>
      <c r="H89" s="5"/>
      <c r="I89" s="5"/>
      <c r="J89" s="5"/>
      <c r="K89" s="98"/>
      <c r="L89" s="5"/>
      <c r="M89" s="5" t="str">
        <f t="shared" si="124"/>
        <v/>
      </c>
      <c r="N89" s="5"/>
      <c r="O89" s="5"/>
      <c r="P89" s="5" t="str">
        <f t="shared" si="125"/>
        <v/>
      </c>
      <c r="Q89" s="5"/>
      <c r="R89" s="5"/>
      <c r="S89" s="5" t="str">
        <f t="shared" si="126"/>
        <v/>
      </c>
      <c r="T89" s="5"/>
      <c r="U89" s="5"/>
      <c r="V89" s="39">
        <f t="shared" si="174"/>
        <v>670</v>
      </c>
      <c r="W89">
        <f t="shared" si="127"/>
        <v>30</v>
      </c>
      <c r="Z89">
        <f>VLOOKUP(A89,CHOOSE({1,2},N14:N144,A14:A144),2,FALSE)</f>
        <v>92236</v>
      </c>
      <c r="AA89">
        <f t="shared" si="168"/>
        <v>0</v>
      </c>
      <c r="AB89">
        <f t="shared" si="129"/>
        <v>7.3</v>
      </c>
      <c r="AD89">
        <f t="shared" si="110"/>
        <v>670</v>
      </c>
      <c r="AL89">
        <f>CHOOSE(2,1,COUNTIF(D_马仔培养宝物!$F$2:$K$229,D_马仔宝物!A89))</f>
        <v>0</v>
      </c>
      <c r="AM89">
        <f t="shared" si="169"/>
        <v>93236</v>
      </c>
      <c r="AT89">
        <f t="shared" si="134"/>
        <v>170</v>
      </c>
      <c r="AV89">
        <f t="shared" si="170"/>
        <v>93236</v>
      </c>
      <c r="BA89">
        <f t="shared" si="139"/>
        <v>0</v>
      </c>
      <c r="BC89">
        <f t="shared" si="171"/>
        <v>93236</v>
      </c>
      <c r="BJ89">
        <f t="shared" si="172"/>
        <v>93236</v>
      </c>
      <c r="BO89">
        <f t="shared" si="149"/>
        <v>0</v>
      </c>
      <c r="BQ89">
        <f t="shared" si="173"/>
        <v>93236</v>
      </c>
      <c r="BV89">
        <f t="shared" si="154"/>
        <v>0</v>
      </c>
      <c r="BX89">
        <f t="shared" si="175"/>
        <v>93236</v>
      </c>
      <c r="BY89">
        <f t="shared" si="176"/>
        <v>0</v>
      </c>
      <c r="BZ89">
        <f t="shared" si="157"/>
        <v>0</v>
      </c>
      <c r="CA89">
        <f t="shared" si="177"/>
        <v>0</v>
      </c>
      <c r="CB89">
        <f t="shared" si="159"/>
        <v>0</v>
      </c>
      <c r="CC89">
        <f t="shared" si="160"/>
        <v>0</v>
      </c>
      <c r="CE89">
        <f t="shared" si="178"/>
        <v>93236</v>
      </c>
      <c r="CF89">
        <f t="shared" si="179"/>
        <v>0</v>
      </c>
      <c r="CG89">
        <f t="shared" si="163"/>
        <v>0</v>
      </c>
      <c r="CH89">
        <f t="shared" si="180"/>
        <v>0</v>
      </c>
      <c r="CI89">
        <f t="shared" si="165"/>
        <v>0</v>
      </c>
      <c r="CJ89">
        <f t="shared" si="166"/>
        <v>0</v>
      </c>
    </row>
    <row r="90" spans="1:88">
      <c r="A90" s="5">
        <f t="shared" si="120"/>
        <v>93013</v>
      </c>
      <c r="B90" s="5" t="str">
        <f t="shared" si="107"/>
        <v>月立碎片</v>
      </c>
      <c r="C90" s="5" t="s">
        <v>512</v>
      </c>
      <c r="D90" s="5">
        <v>2</v>
      </c>
      <c r="E90" s="5" t="str">
        <f t="shared" si="121"/>
        <v>92013.png</v>
      </c>
      <c r="F90" s="5">
        <f t="shared" si="122"/>
        <v>3</v>
      </c>
      <c r="G90" s="5">
        <f t="shared" si="123"/>
        <v>47</v>
      </c>
      <c r="H90" s="5"/>
      <c r="I90" s="5"/>
      <c r="J90" s="5"/>
      <c r="K90" s="98"/>
      <c r="L90" s="5"/>
      <c r="M90" s="5" t="str">
        <f t="shared" si="124"/>
        <v/>
      </c>
      <c r="N90" s="5"/>
      <c r="O90" s="5"/>
      <c r="P90" s="5" t="str">
        <f t="shared" si="125"/>
        <v/>
      </c>
      <c r="Q90" s="5"/>
      <c r="R90" s="5"/>
      <c r="S90" s="5" t="str">
        <f t="shared" si="126"/>
        <v/>
      </c>
      <c r="T90" s="5"/>
      <c r="U90" s="5"/>
      <c r="V90" s="39">
        <f t="shared" si="174"/>
        <v>850</v>
      </c>
      <c r="W90">
        <f t="shared" si="127"/>
        <v>30</v>
      </c>
      <c r="Z90">
        <f>VLOOKUP(A90,CHOOSE({1,2},N15:N145,A15:A145),2,FALSE)</f>
        <v>92013</v>
      </c>
      <c r="AA90">
        <f t="shared" si="168"/>
        <v>31</v>
      </c>
      <c r="AB90">
        <f t="shared" si="129"/>
        <v>3.1</v>
      </c>
      <c r="AD90">
        <f t="shared" si="110"/>
        <v>850</v>
      </c>
      <c r="AL90">
        <f>CHOOSE(2,1,COUNTIF(D_马仔培养宝物!$F$2:$K$229,D_马仔宝物!A90))</f>
        <v>0</v>
      </c>
      <c r="AM90">
        <f t="shared" si="169"/>
        <v>93013</v>
      </c>
      <c r="AT90">
        <f t="shared" si="134"/>
        <v>210</v>
      </c>
      <c r="AV90">
        <f t="shared" si="170"/>
        <v>93013</v>
      </c>
      <c r="BA90">
        <f t="shared" si="139"/>
        <v>0</v>
      </c>
      <c r="BC90">
        <f t="shared" si="171"/>
        <v>93013</v>
      </c>
      <c r="BJ90">
        <f t="shared" si="172"/>
        <v>93013</v>
      </c>
      <c r="BO90">
        <f t="shared" si="149"/>
        <v>0</v>
      </c>
      <c r="BQ90">
        <f t="shared" si="173"/>
        <v>93013</v>
      </c>
      <c r="BV90">
        <f t="shared" si="154"/>
        <v>0</v>
      </c>
      <c r="BX90">
        <f t="shared" si="175"/>
        <v>93013</v>
      </c>
      <c r="BY90">
        <f t="shared" si="176"/>
        <v>0</v>
      </c>
      <c r="BZ90">
        <f t="shared" si="157"/>
        <v>0</v>
      </c>
      <c r="CA90">
        <f t="shared" si="177"/>
        <v>0</v>
      </c>
      <c r="CB90">
        <f t="shared" si="159"/>
        <v>0</v>
      </c>
      <c r="CC90">
        <f t="shared" si="160"/>
        <v>0</v>
      </c>
      <c r="CE90">
        <f t="shared" si="178"/>
        <v>93013</v>
      </c>
      <c r="CF90">
        <f t="shared" si="179"/>
        <v>0</v>
      </c>
      <c r="CG90">
        <f t="shared" si="163"/>
        <v>0</v>
      </c>
      <c r="CH90">
        <f t="shared" si="180"/>
        <v>0</v>
      </c>
      <c r="CI90">
        <f t="shared" si="165"/>
        <v>0</v>
      </c>
      <c r="CJ90">
        <f t="shared" si="166"/>
        <v>0</v>
      </c>
    </row>
    <row r="91" spans="1:88">
      <c r="A91" s="5">
        <f t="shared" si="120"/>
        <v>93253</v>
      </c>
      <c r="B91" s="5" t="str">
        <f t="shared" si="107"/>
        <v>猫妖项链碎片</v>
      </c>
      <c r="C91" s="5" t="s">
        <v>513</v>
      </c>
      <c r="D91" s="5">
        <v>2</v>
      </c>
      <c r="E91" s="5" t="str">
        <f t="shared" si="121"/>
        <v>92253.png</v>
      </c>
      <c r="F91" s="5">
        <f t="shared" si="122"/>
        <v>3</v>
      </c>
      <c r="G91" s="5">
        <f t="shared" si="123"/>
        <v>48</v>
      </c>
      <c r="H91" s="5"/>
      <c r="I91" s="5"/>
      <c r="J91" s="5"/>
      <c r="K91" s="98"/>
      <c r="L91" s="5"/>
      <c r="M91" s="5" t="str">
        <f t="shared" si="124"/>
        <v/>
      </c>
      <c r="N91" s="5"/>
      <c r="O91" s="5"/>
      <c r="P91" s="5" t="str">
        <f t="shared" si="125"/>
        <v/>
      </c>
      <c r="Q91" s="5"/>
      <c r="R91" s="5"/>
      <c r="S91" s="5" t="str">
        <f t="shared" si="126"/>
        <v/>
      </c>
      <c r="T91" s="5"/>
      <c r="U91" s="5"/>
      <c r="V91" s="39">
        <f t="shared" si="174"/>
        <v>1480</v>
      </c>
      <c r="W91">
        <f t="shared" si="127"/>
        <v>30</v>
      </c>
      <c r="Z91">
        <f>VLOOKUP(A91,CHOOSE({1,2},N16:N146,A16:A146),2,FALSE)</f>
        <v>92253</v>
      </c>
      <c r="AA91">
        <f t="shared" si="168"/>
        <v>0</v>
      </c>
      <c r="AB91">
        <f t="shared" si="129"/>
        <v>5.76</v>
      </c>
      <c r="AD91">
        <f t="shared" si="110"/>
        <v>1480</v>
      </c>
      <c r="AL91">
        <f>CHOOSE(2,1,COUNTIF(D_马仔培养宝物!$F$2:$K$229,D_马仔宝物!A91))</f>
        <v>0</v>
      </c>
      <c r="AM91">
        <f t="shared" si="169"/>
        <v>93253</v>
      </c>
      <c r="AT91">
        <f t="shared" si="134"/>
        <v>220</v>
      </c>
      <c r="AV91">
        <f t="shared" si="170"/>
        <v>93253</v>
      </c>
      <c r="BA91">
        <f t="shared" si="139"/>
        <v>0</v>
      </c>
      <c r="BC91">
        <f t="shared" si="171"/>
        <v>93253</v>
      </c>
      <c r="BJ91">
        <f t="shared" si="172"/>
        <v>93253</v>
      </c>
      <c r="BO91">
        <f t="shared" si="149"/>
        <v>0</v>
      </c>
      <c r="BQ91">
        <f t="shared" si="173"/>
        <v>93253</v>
      </c>
      <c r="BV91">
        <f t="shared" si="154"/>
        <v>0</v>
      </c>
      <c r="BX91">
        <f t="shared" si="175"/>
        <v>93253</v>
      </c>
      <c r="BY91">
        <f t="shared" si="176"/>
        <v>0</v>
      </c>
      <c r="BZ91">
        <f t="shared" si="157"/>
        <v>0</v>
      </c>
      <c r="CA91">
        <f t="shared" si="177"/>
        <v>0</v>
      </c>
      <c r="CB91">
        <f t="shared" si="159"/>
        <v>0</v>
      </c>
      <c r="CC91">
        <f t="shared" si="160"/>
        <v>0</v>
      </c>
      <c r="CE91">
        <f t="shared" si="178"/>
        <v>93253</v>
      </c>
      <c r="CF91">
        <f t="shared" si="179"/>
        <v>0</v>
      </c>
      <c r="CG91">
        <f t="shared" si="163"/>
        <v>0</v>
      </c>
      <c r="CH91">
        <f t="shared" si="180"/>
        <v>0</v>
      </c>
      <c r="CI91">
        <f t="shared" si="165"/>
        <v>0</v>
      </c>
      <c r="CJ91">
        <f t="shared" si="166"/>
        <v>0</v>
      </c>
    </row>
    <row r="92" spans="1:88">
      <c r="A92" s="5">
        <f t="shared" si="120"/>
        <v>93254</v>
      </c>
      <c r="B92" s="5" t="str">
        <f t="shared" si="107"/>
        <v>苍蓝项链碎片</v>
      </c>
      <c r="C92" s="5" t="s">
        <v>514</v>
      </c>
      <c r="D92" s="5">
        <v>2</v>
      </c>
      <c r="E92" s="5" t="str">
        <f t="shared" si="121"/>
        <v>92254.png</v>
      </c>
      <c r="F92" s="5">
        <f t="shared" si="122"/>
        <v>3</v>
      </c>
      <c r="G92" s="5">
        <f t="shared" si="123"/>
        <v>48</v>
      </c>
      <c r="H92" s="5"/>
      <c r="I92" s="5"/>
      <c r="J92" s="5"/>
      <c r="K92" s="98"/>
      <c r="L92" s="5"/>
      <c r="M92" s="5" t="str">
        <f t="shared" si="124"/>
        <v/>
      </c>
      <c r="N92" s="5"/>
      <c r="O92" s="5"/>
      <c r="P92" s="5" t="str">
        <f t="shared" si="125"/>
        <v/>
      </c>
      <c r="Q92" s="5"/>
      <c r="R92" s="5"/>
      <c r="S92" s="5" t="str">
        <f t="shared" si="126"/>
        <v/>
      </c>
      <c r="T92" s="5"/>
      <c r="U92" s="5"/>
      <c r="V92" s="39">
        <f t="shared" si="174"/>
        <v>1400</v>
      </c>
      <c r="W92">
        <f t="shared" si="127"/>
        <v>30</v>
      </c>
      <c r="Z92">
        <f>VLOOKUP(A92,CHOOSE({1,2},N17:N147,A17:A147),2,FALSE)</f>
        <v>92254</v>
      </c>
      <c r="AA92">
        <f t="shared" si="168"/>
        <v>0</v>
      </c>
      <c r="AB92">
        <f t="shared" si="129"/>
        <v>7.3</v>
      </c>
      <c r="AD92">
        <f t="shared" si="110"/>
        <v>1400</v>
      </c>
      <c r="AL92">
        <f>CHOOSE(2,1,COUNTIF(D_马仔培养宝物!$F$2:$K$229,D_马仔宝物!A92))</f>
        <v>0</v>
      </c>
      <c r="AM92">
        <f t="shared" si="169"/>
        <v>93254</v>
      </c>
      <c r="AT92">
        <f t="shared" si="134"/>
        <v>140</v>
      </c>
      <c r="AV92">
        <f t="shared" si="170"/>
        <v>93254</v>
      </c>
      <c r="BA92">
        <f t="shared" si="139"/>
        <v>0</v>
      </c>
      <c r="BC92">
        <f t="shared" si="171"/>
        <v>93254</v>
      </c>
      <c r="BJ92">
        <f t="shared" si="172"/>
        <v>93254</v>
      </c>
      <c r="BO92">
        <f t="shared" si="149"/>
        <v>0</v>
      </c>
      <c r="BQ92">
        <f t="shared" si="173"/>
        <v>93254</v>
      </c>
      <c r="BV92">
        <f t="shared" si="154"/>
        <v>0</v>
      </c>
      <c r="BX92">
        <f t="shared" si="175"/>
        <v>93254</v>
      </c>
      <c r="BY92">
        <f t="shared" si="176"/>
        <v>0</v>
      </c>
      <c r="BZ92">
        <f t="shared" si="157"/>
        <v>0</v>
      </c>
      <c r="CA92">
        <f t="shared" si="177"/>
        <v>0</v>
      </c>
      <c r="CB92">
        <f t="shared" si="159"/>
        <v>0</v>
      </c>
      <c r="CC92">
        <f t="shared" si="160"/>
        <v>0</v>
      </c>
      <c r="CE92">
        <f t="shared" si="178"/>
        <v>93254</v>
      </c>
      <c r="CF92">
        <f t="shared" si="179"/>
        <v>0</v>
      </c>
      <c r="CG92">
        <f t="shared" si="163"/>
        <v>0</v>
      </c>
      <c r="CH92">
        <f t="shared" si="180"/>
        <v>0</v>
      </c>
      <c r="CI92">
        <f t="shared" si="165"/>
        <v>0</v>
      </c>
      <c r="CJ92">
        <f t="shared" si="166"/>
        <v>0</v>
      </c>
    </row>
    <row r="93" spans="1:88">
      <c r="A93" s="5">
        <f t="shared" si="120"/>
        <v>93274</v>
      </c>
      <c r="B93" s="5" t="str">
        <f t="shared" si="107"/>
        <v>汉密手表碎片</v>
      </c>
      <c r="C93" s="5" t="s">
        <v>515</v>
      </c>
      <c r="D93" s="5">
        <v>2</v>
      </c>
      <c r="E93" s="5" t="str">
        <f t="shared" si="121"/>
        <v>92274.png</v>
      </c>
      <c r="F93" s="5">
        <f t="shared" si="122"/>
        <v>3</v>
      </c>
      <c r="G93" s="5">
        <f t="shared" si="123"/>
        <v>49</v>
      </c>
      <c r="H93" s="5"/>
      <c r="I93" s="5"/>
      <c r="J93" s="5"/>
      <c r="K93" s="98"/>
      <c r="L93" s="5"/>
      <c r="M93" s="5" t="str">
        <f t="shared" si="124"/>
        <v/>
      </c>
      <c r="N93" s="5"/>
      <c r="O93" s="5"/>
      <c r="P93" s="5" t="str">
        <f t="shared" si="125"/>
        <v/>
      </c>
      <c r="Q93" s="5"/>
      <c r="R93" s="5"/>
      <c r="S93" s="5" t="str">
        <f t="shared" si="126"/>
        <v/>
      </c>
      <c r="T93" s="5"/>
      <c r="U93" s="5"/>
      <c r="V93" s="39">
        <f t="shared" si="174"/>
        <v>700</v>
      </c>
      <c r="W93">
        <f t="shared" si="127"/>
        <v>30</v>
      </c>
      <c r="Z93">
        <f>VLOOKUP(A93,CHOOSE({1,2},N18:N148,A18:A148),2,FALSE)</f>
        <v>92274</v>
      </c>
      <c r="AA93">
        <f t="shared" si="168"/>
        <v>31</v>
      </c>
      <c r="AB93">
        <f t="shared" si="129"/>
        <v>3.1</v>
      </c>
      <c r="AD93">
        <f t="shared" si="110"/>
        <v>700</v>
      </c>
      <c r="AL93">
        <f>CHOOSE(2,1,COUNTIF(D_马仔培养宝物!$F$2:$K$229,D_马仔宝物!A93))</f>
        <v>0</v>
      </c>
      <c r="AM93">
        <f t="shared" si="169"/>
        <v>93274</v>
      </c>
      <c r="AT93">
        <f t="shared" si="134"/>
        <v>160</v>
      </c>
      <c r="AV93">
        <f t="shared" si="170"/>
        <v>93274</v>
      </c>
      <c r="BA93">
        <f t="shared" si="139"/>
        <v>0</v>
      </c>
      <c r="BC93">
        <f t="shared" si="171"/>
        <v>93274</v>
      </c>
      <c r="BJ93">
        <f t="shared" si="172"/>
        <v>93274</v>
      </c>
      <c r="BO93">
        <f t="shared" si="149"/>
        <v>0</v>
      </c>
      <c r="BQ93">
        <f t="shared" si="173"/>
        <v>93274</v>
      </c>
      <c r="BV93">
        <f t="shared" si="154"/>
        <v>0</v>
      </c>
      <c r="BX93">
        <f t="shared" si="175"/>
        <v>93274</v>
      </c>
      <c r="BY93">
        <f t="shared" si="176"/>
        <v>0</v>
      </c>
      <c r="BZ93">
        <f t="shared" si="157"/>
        <v>0</v>
      </c>
      <c r="CA93">
        <f t="shared" si="177"/>
        <v>0</v>
      </c>
      <c r="CB93">
        <f t="shared" si="159"/>
        <v>0</v>
      </c>
      <c r="CC93">
        <f t="shared" si="160"/>
        <v>0</v>
      </c>
      <c r="CE93">
        <f t="shared" si="178"/>
        <v>93274</v>
      </c>
      <c r="CF93">
        <f t="shared" si="179"/>
        <v>0</v>
      </c>
      <c r="CG93">
        <f t="shared" si="163"/>
        <v>0</v>
      </c>
      <c r="CH93">
        <f t="shared" si="180"/>
        <v>0</v>
      </c>
      <c r="CI93">
        <f t="shared" si="165"/>
        <v>0</v>
      </c>
      <c r="CJ93">
        <f t="shared" si="166"/>
        <v>0</v>
      </c>
    </row>
    <row r="94" spans="1:88">
      <c r="A94" s="5">
        <f t="shared" si="120"/>
        <v>93280</v>
      </c>
      <c r="B94" s="5" t="str">
        <f t="shared" si="107"/>
        <v>法拉捷碎片</v>
      </c>
      <c r="C94" s="5" t="s">
        <v>516</v>
      </c>
      <c r="D94" s="5">
        <v>2</v>
      </c>
      <c r="E94" s="5" t="str">
        <f t="shared" si="121"/>
        <v>92280.png</v>
      </c>
      <c r="F94" s="5">
        <f t="shared" si="122"/>
        <v>3</v>
      </c>
      <c r="G94" s="5">
        <f t="shared" si="123"/>
        <v>49</v>
      </c>
      <c r="H94" s="5"/>
      <c r="I94" s="5"/>
      <c r="J94" s="5"/>
      <c r="K94" s="98"/>
      <c r="L94" s="5"/>
      <c r="M94" s="5" t="str">
        <f t="shared" si="124"/>
        <v/>
      </c>
      <c r="N94" s="5"/>
      <c r="O94" s="5"/>
      <c r="P94" s="5" t="str">
        <f t="shared" si="125"/>
        <v/>
      </c>
      <c r="Q94" s="5"/>
      <c r="R94" s="5"/>
      <c r="S94" s="5" t="str">
        <f t="shared" si="126"/>
        <v/>
      </c>
      <c r="T94" s="5"/>
      <c r="U94" s="5"/>
      <c r="V94" s="39">
        <f t="shared" si="174"/>
        <v>750</v>
      </c>
      <c r="W94">
        <f t="shared" si="127"/>
        <v>30</v>
      </c>
      <c r="Z94">
        <f>VLOOKUP(A94,CHOOSE({1,2},N19:N149,A19:A149),2,FALSE)</f>
        <v>92280</v>
      </c>
      <c r="AA94">
        <f t="shared" si="168"/>
        <v>0</v>
      </c>
      <c r="AB94">
        <f t="shared" si="129"/>
        <v>5.76</v>
      </c>
      <c r="AD94">
        <f t="shared" si="110"/>
        <v>750</v>
      </c>
      <c r="AL94">
        <f>CHOOSE(2,1,COUNTIF(D_马仔培养宝物!$F$2:$K$229,D_马仔宝物!A94))</f>
        <v>0</v>
      </c>
      <c r="AM94">
        <f t="shared" si="169"/>
        <v>93280</v>
      </c>
      <c r="AT94">
        <f t="shared" si="134"/>
        <v>170</v>
      </c>
      <c r="AV94">
        <f t="shared" si="170"/>
        <v>93280</v>
      </c>
      <c r="BA94">
        <f t="shared" si="139"/>
        <v>0</v>
      </c>
      <c r="BC94">
        <f t="shared" si="171"/>
        <v>93280</v>
      </c>
      <c r="BJ94">
        <f t="shared" si="172"/>
        <v>93280</v>
      </c>
      <c r="BO94">
        <f t="shared" si="149"/>
        <v>0</v>
      </c>
      <c r="BQ94">
        <f t="shared" si="173"/>
        <v>93280</v>
      </c>
      <c r="BV94">
        <f t="shared" si="154"/>
        <v>0</v>
      </c>
      <c r="BX94">
        <f t="shared" si="175"/>
        <v>93280</v>
      </c>
      <c r="BY94">
        <f t="shared" si="176"/>
        <v>0</v>
      </c>
      <c r="BZ94">
        <f t="shared" si="157"/>
        <v>0</v>
      </c>
      <c r="CA94">
        <f t="shared" si="177"/>
        <v>0</v>
      </c>
      <c r="CB94">
        <f t="shared" si="159"/>
        <v>0</v>
      </c>
      <c r="CC94">
        <f t="shared" si="160"/>
        <v>0</v>
      </c>
      <c r="CE94">
        <f t="shared" si="178"/>
        <v>93280</v>
      </c>
      <c r="CF94">
        <f t="shared" si="179"/>
        <v>0</v>
      </c>
      <c r="CG94">
        <f t="shared" si="163"/>
        <v>0</v>
      </c>
      <c r="CH94">
        <f t="shared" si="180"/>
        <v>0</v>
      </c>
      <c r="CI94">
        <f t="shared" si="165"/>
        <v>0</v>
      </c>
      <c r="CJ94">
        <f t="shared" si="166"/>
        <v>0</v>
      </c>
    </row>
    <row r="95" spans="1:88">
      <c r="A95" s="5">
        <f t="shared" si="120"/>
        <v>93285</v>
      </c>
      <c r="B95" s="5" t="str">
        <f t="shared" si="107"/>
        <v>大堆钞票碎片</v>
      </c>
      <c r="C95" s="5" t="s">
        <v>517</v>
      </c>
      <c r="D95" s="5">
        <v>2</v>
      </c>
      <c r="E95" s="5" t="str">
        <f t="shared" si="121"/>
        <v>92285.png</v>
      </c>
      <c r="F95" s="5">
        <f t="shared" si="122"/>
        <v>3</v>
      </c>
      <c r="G95" s="5">
        <f t="shared" si="123"/>
        <v>50</v>
      </c>
      <c r="H95" s="5"/>
      <c r="I95" s="5"/>
      <c r="J95" s="5"/>
      <c r="K95" s="98"/>
      <c r="L95" s="5"/>
      <c r="M95" s="5" t="str">
        <f t="shared" si="124"/>
        <v/>
      </c>
      <c r="N95" s="5"/>
      <c r="O95" s="5"/>
      <c r="P95" s="5" t="str">
        <f t="shared" si="125"/>
        <v/>
      </c>
      <c r="Q95" s="5"/>
      <c r="R95" s="5"/>
      <c r="S95" s="5" t="str">
        <f t="shared" si="126"/>
        <v/>
      </c>
      <c r="T95" s="5"/>
      <c r="U95" s="5"/>
      <c r="V95" s="39">
        <f t="shared" si="174"/>
        <v>2860</v>
      </c>
      <c r="W95">
        <f t="shared" si="127"/>
        <v>30</v>
      </c>
      <c r="Z95">
        <f>VLOOKUP(A95,CHOOSE({1,2},N20:N150,A20:A150),2,FALSE)</f>
        <v>92285</v>
      </c>
      <c r="AA95">
        <f t="shared" si="168"/>
        <v>0</v>
      </c>
      <c r="AB95">
        <f t="shared" si="129"/>
        <v>7.3</v>
      </c>
      <c r="AD95">
        <f t="shared" si="110"/>
        <v>2860</v>
      </c>
      <c r="AL95">
        <f>CHOOSE(2,1,COUNTIF(D_马仔培养宝物!$F$2:$K$229,D_马仔宝物!A95))</f>
        <v>0</v>
      </c>
      <c r="AM95">
        <f t="shared" si="169"/>
        <v>93285</v>
      </c>
      <c r="AT95">
        <f t="shared" si="134"/>
        <v>220</v>
      </c>
      <c r="AV95">
        <f t="shared" si="170"/>
        <v>93285</v>
      </c>
      <c r="BA95">
        <f t="shared" si="139"/>
        <v>0</v>
      </c>
      <c r="BC95">
        <f t="shared" si="171"/>
        <v>93285</v>
      </c>
      <c r="BJ95">
        <f t="shared" si="172"/>
        <v>93285</v>
      </c>
      <c r="BO95">
        <f t="shared" si="149"/>
        <v>0</v>
      </c>
      <c r="BQ95">
        <f t="shared" si="173"/>
        <v>93285</v>
      </c>
      <c r="BV95">
        <f t="shared" si="154"/>
        <v>0</v>
      </c>
      <c r="BX95">
        <f t="shared" si="175"/>
        <v>93285</v>
      </c>
      <c r="BY95">
        <f t="shared" si="176"/>
        <v>0</v>
      </c>
      <c r="BZ95">
        <f t="shared" si="157"/>
        <v>0</v>
      </c>
      <c r="CA95">
        <f t="shared" si="177"/>
        <v>0</v>
      </c>
      <c r="CB95">
        <f t="shared" si="159"/>
        <v>0</v>
      </c>
      <c r="CC95">
        <f t="shared" si="160"/>
        <v>0</v>
      </c>
      <c r="CE95">
        <f t="shared" si="178"/>
        <v>93285</v>
      </c>
      <c r="CF95">
        <f t="shared" si="179"/>
        <v>0</v>
      </c>
      <c r="CG95">
        <f t="shared" si="163"/>
        <v>0</v>
      </c>
      <c r="CH95">
        <f t="shared" si="180"/>
        <v>0</v>
      </c>
      <c r="CI95">
        <f t="shared" si="165"/>
        <v>0</v>
      </c>
      <c r="CJ95">
        <f t="shared" si="166"/>
        <v>0</v>
      </c>
    </row>
    <row r="96" spans="1:88">
      <c r="A96" s="5">
        <f t="shared" si="120"/>
        <v>93289</v>
      </c>
      <c r="B96" s="5" t="str">
        <f t="shared" si="107"/>
        <v>小堆金块碎片</v>
      </c>
      <c r="C96" s="5" t="s">
        <v>518</v>
      </c>
      <c r="D96" s="5">
        <v>2</v>
      </c>
      <c r="E96" s="5" t="str">
        <f t="shared" si="121"/>
        <v>92289.png</v>
      </c>
      <c r="F96" s="5">
        <f t="shared" si="122"/>
        <v>3</v>
      </c>
      <c r="G96" s="5">
        <f t="shared" si="123"/>
        <v>50</v>
      </c>
      <c r="H96" s="5"/>
      <c r="I96" s="5"/>
      <c r="J96" s="5"/>
      <c r="K96" s="98"/>
      <c r="L96" s="5"/>
      <c r="M96" s="5" t="str">
        <f t="shared" si="124"/>
        <v/>
      </c>
      <c r="N96" s="5"/>
      <c r="O96" s="5"/>
      <c r="P96" s="5" t="str">
        <f t="shared" si="125"/>
        <v/>
      </c>
      <c r="Q96" s="5"/>
      <c r="R96" s="5"/>
      <c r="S96" s="5" t="str">
        <f t="shared" si="126"/>
        <v/>
      </c>
      <c r="T96" s="5"/>
      <c r="U96" s="5"/>
      <c r="V96" s="39">
        <f t="shared" si="174"/>
        <v>2620</v>
      </c>
      <c r="W96">
        <f t="shared" si="127"/>
        <v>30</v>
      </c>
      <c r="Z96">
        <f>VLOOKUP(A96,CHOOSE({1,2},N21:N151,A21:A151),2,FALSE)</f>
        <v>92289</v>
      </c>
      <c r="AA96">
        <f t="shared" si="168"/>
        <v>31</v>
      </c>
      <c r="AB96">
        <f t="shared" si="129"/>
        <v>3.1</v>
      </c>
      <c r="AD96">
        <f t="shared" si="110"/>
        <v>2620</v>
      </c>
      <c r="AL96">
        <f>CHOOSE(2,1,COUNTIF(D_马仔培养宝物!$F$2:$K$229,D_马仔宝物!A96))</f>
        <v>0</v>
      </c>
      <c r="AM96">
        <f t="shared" si="169"/>
        <v>93289</v>
      </c>
      <c r="AT96">
        <f t="shared" si="134"/>
        <v>220</v>
      </c>
      <c r="AV96">
        <f t="shared" si="170"/>
        <v>93289</v>
      </c>
      <c r="BA96">
        <f t="shared" si="139"/>
        <v>0</v>
      </c>
      <c r="BC96">
        <f t="shared" si="171"/>
        <v>93289</v>
      </c>
      <c r="BJ96">
        <f t="shared" si="172"/>
        <v>93289</v>
      </c>
      <c r="BO96">
        <f t="shared" si="149"/>
        <v>0</v>
      </c>
      <c r="BQ96">
        <f t="shared" si="173"/>
        <v>93289</v>
      </c>
      <c r="BV96">
        <f t="shared" si="154"/>
        <v>0</v>
      </c>
      <c r="BX96">
        <f t="shared" si="175"/>
        <v>93289</v>
      </c>
      <c r="BY96">
        <f t="shared" si="176"/>
        <v>0</v>
      </c>
      <c r="BZ96">
        <f t="shared" si="157"/>
        <v>0</v>
      </c>
      <c r="CA96">
        <f t="shared" si="177"/>
        <v>0</v>
      </c>
      <c r="CB96">
        <f t="shared" si="159"/>
        <v>0</v>
      </c>
      <c r="CC96">
        <f t="shared" si="160"/>
        <v>0</v>
      </c>
      <c r="CE96">
        <f t="shared" si="178"/>
        <v>93289</v>
      </c>
      <c r="CF96">
        <f t="shared" si="179"/>
        <v>0</v>
      </c>
      <c r="CG96">
        <f t="shared" si="163"/>
        <v>0</v>
      </c>
      <c r="CH96">
        <f t="shared" si="180"/>
        <v>0</v>
      </c>
      <c r="CI96">
        <f t="shared" si="165"/>
        <v>0</v>
      </c>
      <c r="CJ96">
        <f t="shared" si="166"/>
        <v>0</v>
      </c>
    </row>
    <row r="97" spans="1:88">
      <c r="A97" s="5">
        <f t="shared" si="120"/>
        <v>93014</v>
      </c>
      <c r="B97" s="5" t="str">
        <f t="shared" ref="B97:B118" si="181">B43&amp;"碎片"</f>
        <v>菠萝碎片</v>
      </c>
      <c r="C97" s="5" t="s">
        <v>519</v>
      </c>
      <c r="D97" s="5">
        <v>2</v>
      </c>
      <c r="E97" s="5" t="str">
        <f t="shared" si="121"/>
        <v>92014.png</v>
      </c>
      <c r="F97" s="5">
        <f t="shared" si="122"/>
        <v>4</v>
      </c>
      <c r="G97" s="5">
        <f t="shared" si="123"/>
        <v>56</v>
      </c>
      <c r="H97" s="5"/>
      <c r="I97" s="5"/>
      <c r="J97" s="5"/>
      <c r="K97" s="98"/>
      <c r="L97" s="5"/>
      <c r="M97" s="5" t="str">
        <f t="shared" si="124"/>
        <v/>
      </c>
      <c r="N97" s="5"/>
      <c r="O97" s="5"/>
      <c r="P97" s="5" t="str">
        <f t="shared" si="125"/>
        <v/>
      </c>
      <c r="Q97" s="5"/>
      <c r="R97" s="5"/>
      <c r="S97" s="5" t="str">
        <f t="shared" si="126"/>
        <v/>
      </c>
      <c r="T97" s="5"/>
      <c r="U97" s="5"/>
      <c r="V97" s="39">
        <f t="shared" si="174"/>
        <v>1280</v>
      </c>
      <c r="W97">
        <f t="shared" si="127"/>
        <v>40</v>
      </c>
      <c r="Z97">
        <f>VLOOKUP(A97,CHOOSE({1,2},N22:N152,A22:A152),2,FALSE)</f>
        <v>92014</v>
      </c>
      <c r="AA97">
        <f t="shared" si="168"/>
        <v>0</v>
      </c>
      <c r="AB97">
        <f t="shared" si="129"/>
        <v>3.7039999999999997</v>
      </c>
      <c r="AD97">
        <f t="shared" ref="AD97:AD118" si="182">AD43*O43</f>
        <v>1280</v>
      </c>
      <c r="AL97">
        <f>CHOOSE(2,1,COUNTIF(D_马仔培养宝物!$F$2:$K$229,D_马仔宝物!A97))</f>
        <v>0</v>
      </c>
      <c r="AM97">
        <f t="shared" si="169"/>
        <v>93014</v>
      </c>
      <c r="AT97">
        <f t="shared" si="134"/>
        <v>460</v>
      </c>
      <c r="AV97">
        <f t="shared" si="170"/>
        <v>93014</v>
      </c>
      <c r="BA97">
        <f t="shared" si="139"/>
        <v>0</v>
      </c>
      <c r="BC97">
        <f t="shared" si="171"/>
        <v>93014</v>
      </c>
      <c r="BJ97">
        <f t="shared" si="172"/>
        <v>93014</v>
      </c>
      <c r="BO97">
        <f t="shared" si="149"/>
        <v>0</v>
      </c>
      <c r="BQ97">
        <f t="shared" si="173"/>
        <v>93014</v>
      </c>
      <c r="BV97">
        <f t="shared" si="154"/>
        <v>0</v>
      </c>
      <c r="BX97">
        <f t="shared" si="175"/>
        <v>93014</v>
      </c>
      <c r="BY97">
        <f t="shared" si="176"/>
        <v>0</v>
      </c>
      <c r="BZ97">
        <f t="shared" si="157"/>
        <v>0</v>
      </c>
      <c r="CA97">
        <f t="shared" si="177"/>
        <v>0</v>
      </c>
      <c r="CB97">
        <f t="shared" si="159"/>
        <v>0</v>
      </c>
      <c r="CC97">
        <f t="shared" si="160"/>
        <v>0</v>
      </c>
      <c r="CE97">
        <f t="shared" si="178"/>
        <v>93014</v>
      </c>
      <c r="CF97">
        <f t="shared" si="179"/>
        <v>0</v>
      </c>
      <c r="CG97">
        <f t="shared" si="163"/>
        <v>0</v>
      </c>
      <c r="CH97">
        <f t="shared" si="180"/>
        <v>0</v>
      </c>
      <c r="CI97">
        <f t="shared" si="165"/>
        <v>0</v>
      </c>
      <c r="CJ97">
        <f t="shared" si="166"/>
        <v>0</v>
      </c>
    </row>
    <row r="98" spans="1:88">
      <c r="A98" s="5">
        <f t="shared" si="120"/>
        <v>93296</v>
      </c>
      <c r="B98" s="5" t="str">
        <f t="shared" si="181"/>
        <v>星光红石碎片</v>
      </c>
      <c r="C98" s="5" t="s">
        <v>520</v>
      </c>
      <c r="D98" s="5">
        <v>2</v>
      </c>
      <c r="E98" s="5" t="str">
        <f t="shared" ref="E98:E116" si="183">E44</f>
        <v>92296.png</v>
      </c>
      <c r="F98" s="5">
        <f t="shared" si="122"/>
        <v>4</v>
      </c>
      <c r="G98" s="5">
        <f t="shared" ref="G98:G116" si="184">G44</f>
        <v>56</v>
      </c>
      <c r="H98" s="5"/>
      <c r="I98" s="5"/>
      <c r="J98" s="5"/>
      <c r="K98" s="98"/>
      <c r="L98" s="5"/>
      <c r="M98" s="5" t="str">
        <f t="shared" ref="M98:M118" si="185">IFERROR(VLOOKUP(N98,$A$2:$F$118,2,FALSE)&amp;"  "&amp;VLOOKUP(N98,$A$2:$F$118,6,FALSE),"")</f>
        <v/>
      </c>
      <c r="N98" s="5"/>
      <c r="O98" s="5"/>
      <c r="P98" s="5" t="str">
        <f t="shared" ref="P98:P118" si="186">IFERROR(VLOOKUP(Q98,$A$2:$F$118,2,FALSE)&amp;"  "&amp;VLOOKUP(Q98,$A$2:$F$118,6,FALSE),"")</f>
        <v/>
      </c>
      <c r="Q98" s="5"/>
      <c r="R98" s="5"/>
      <c r="S98" s="5" t="str">
        <f t="shared" ref="S98:S118" si="187">IFERROR(VLOOKUP(T98,$A$2:$F$118,2,FALSE)&amp;"  "&amp;VLOOKUP(T98,$A$2:$F$118,6,FALSE),"")</f>
        <v/>
      </c>
      <c r="T98" s="5"/>
      <c r="U98" s="5"/>
      <c r="V98" s="39">
        <f t="shared" si="174"/>
        <v>1740</v>
      </c>
      <c r="W98">
        <f t="shared" si="127"/>
        <v>40</v>
      </c>
      <c r="Z98">
        <f>VLOOKUP(A98,CHOOSE({1,2},N23:N153,A23:A153),2,FALSE)</f>
        <v>92296</v>
      </c>
      <c r="AA98">
        <f t="shared" si="168"/>
        <v>0</v>
      </c>
      <c r="AB98">
        <f t="shared" si="129"/>
        <v>4.7</v>
      </c>
      <c r="AD98">
        <f t="shared" si="182"/>
        <v>1740</v>
      </c>
      <c r="AL98">
        <f>CHOOSE(2,1,COUNTIF(D_马仔培养宝物!$F$2:$K$229,D_马仔宝物!A98))</f>
        <v>0</v>
      </c>
      <c r="AM98">
        <f t="shared" si="169"/>
        <v>93296</v>
      </c>
      <c r="AT98">
        <f t="shared" ref="AT98:AT118" si="188">SUMIF(AP:AP,AM98,AQ:AQ)+SUMIF(AR:AR,AM98,AS:AS)+SUMIF(AN:AN,AM98,AO:AO)</f>
        <v>400</v>
      </c>
      <c r="AV98">
        <f t="shared" si="170"/>
        <v>93296</v>
      </c>
      <c r="BA98">
        <f t="shared" ref="BA98:BA118" si="189">SUMIF(AW:AW,AV98,AX:AX)+SUMIF(AY:AY,AV98,AZ:AZ)</f>
        <v>0</v>
      </c>
      <c r="BC98">
        <f t="shared" si="171"/>
        <v>93296</v>
      </c>
      <c r="BJ98">
        <f t="shared" si="172"/>
        <v>93296</v>
      </c>
      <c r="BO98">
        <f t="shared" ref="BO98:BO118" si="190">SUMIF(BK:BK,BJ98,BL:BL)+SUMIF(BM:BM,BJ98,BN:BN)</f>
        <v>0</v>
      </c>
      <c r="BQ98">
        <f t="shared" si="173"/>
        <v>93296</v>
      </c>
      <c r="BV98">
        <f t="shared" ref="BV98:BV118" si="191">SUMIF(BR:BR,BQ98,BS:BS)+SUMIF(BT:BT,BQ98,BU:BU)</f>
        <v>0</v>
      </c>
      <c r="BX98">
        <f t="shared" si="175"/>
        <v>93296</v>
      </c>
      <c r="BY98">
        <f t="shared" si="176"/>
        <v>0</v>
      </c>
      <c r="BZ98">
        <f t="shared" ref="BZ98:BZ118" si="192">SUMIF($A:$A,BX98,$R:$R)*BV98</f>
        <v>0</v>
      </c>
      <c r="CA98">
        <f t="shared" si="177"/>
        <v>0</v>
      </c>
      <c r="CB98">
        <f t="shared" ref="CB98:CB118" si="193">SUMIF($A:$A,BX98,$U:$U)*BV98</f>
        <v>0</v>
      </c>
      <c r="CC98">
        <f t="shared" ref="CC98:CC118" si="194">SUMIF(BY:BY,BX98,BZ:BZ)+SUMIF(CA:CA,BX98,CB:CB)</f>
        <v>0</v>
      </c>
      <c r="CE98">
        <f t="shared" si="178"/>
        <v>93296</v>
      </c>
      <c r="CF98">
        <f t="shared" si="179"/>
        <v>0</v>
      </c>
      <c r="CG98">
        <f t="shared" ref="CG98:CG118" si="195">SUMIF($A:$A,CE98,$R:$R)*CC98</f>
        <v>0</v>
      </c>
      <c r="CH98">
        <f t="shared" si="180"/>
        <v>0</v>
      </c>
      <c r="CI98">
        <f t="shared" ref="CI98:CI118" si="196">SUMIF($A:$A,CE98,$U:$U)*CC98</f>
        <v>0</v>
      </c>
      <c r="CJ98">
        <f t="shared" ref="CJ98:CJ118" si="197">SUMIF(CF:CF,CE98,CG:CG)+SUMIF(CH:CH,CE98,CI:CI)</f>
        <v>0</v>
      </c>
    </row>
    <row r="99" spans="1:88">
      <c r="A99" s="5">
        <f t="shared" si="120"/>
        <v>93240</v>
      </c>
      <c r="B99" s="5" t="str">
        <f t="shared" si="181"/>
        <v>苍蓝戒指碎片</v>
      </c>
      <c r="C99" s="5" t="s">
        <v>521</v>
      </c>
      <c r="D99" s="5">
        <v>2</v>
      </c>
      <c r="E99" s="5" t="str">
        <f t="shared" si="183"/>
        <v>92240.png</v>
      </c>
      <c r="F99" s="5">
        <f t="shared" si="122"/>
        <v>4</v>
      </c>
      <c r="G99" s="5">
        <f t="shared" si="184"/>
        <v>57</v>
      </c>
      <c r="H99" s="5"/>
      <c r="I99" s="5"/>
      <c r="J99" s="5"/>
      <c r="K99" s="98"/>
      <c r="L99" s="5"/>
      <c r="M99" s="5" t="str">
        <f t="shared" si="185"/>
        <v/>
      </c>
      <c r="N99" s="5"/>
      <c r="O99" s="5"/>
      <c r="P99" s="5" t="str">
        <f t="shared" si="186"/>
        <v/>
      </c>
      <c r="Q99" s="5"/>
      <c r="R99" s="5"/>
      <c r="S99" s="5" t="str">
        <f t="shared" si="187"/>
        <v/>
      </c>
      <c r="T99" s="5"/>
      <c r="U99" s="5"/>
      <c r="V99" s="39">
        <f t="shared" si="174"/>
        <v>1000</v>
      </c>
      <c r="W99">
        <f t="shared" si="127"/>
        <v>40</v>
      </c>
      <c r="Z99">
        <f>VLOOKUP(A99,CHOOSE({1,2},N24:N154,A24:A154),2,FALSE)</f>
        <v>92240</v>
      </c>
      <c r="AA99">
        <f t="shared" si="168"/>
        <v>40</v>
      </c>
      <c r="AB99">
        <f t="shared" si="129"/>
        <v>2</v>
      </c>
      <c r="AD99">
        <f t="shared" si="182"/>
        <v>1000</v>
      </c>
      <c r="AL99">
        <f>CHOOSE(2,1,COUNTIF(D_马仔培养宝物!$F$2:$K$229,D_马仔宝物!A99))</f>
        <v>0</v>
      </c>
      <c r="AM99">
        <f t="shared" si="169"/>
        <v>93240</v>
      </c>
      <c r="AT99">
        <f t="shared" si="188"/>
        <v>440</v>
      </c>
      <c r="AV99">
        <f t="shared" si="170"/>
        <v>93240</v>
      </c>
      <c r="BA99">
        <f t="shared" si="189"/>
        <v>0</v>
      </c>
      <c r="BC99">
        <f t="shared" si="171"/>
        <v>93240</v>
      </c>
      <c r="BJ99">
        <f t="shared" si="172"/>
        <v>93240</v>
      </c>
      <c r="BO99">
        <f t="shared" si="190"/>
        <v>0</v>
      </c>
      <c r="BQ99">
        <f t="shared" si="173"/>
        <v>93240</v>
      </c>
      <c r="BV99">
        <f t="shared" si="191"/>
        <v>0</v>
      </c>
      <c r="BX99">
        <f t="shared" si="175"/>
        <v>93240</v>
      </c>
      <c r="BY99">
        <f t="shared" si="176"/>
        <v>0</v>
      </c>
      <c r="BZ99">
        <f t="shared" si="192"/>
        <v>0</v>
      </c>
      <c r="CA99">
        <f t="shared" si="177"/>
        <v>0</v>
      </c>
      <c r="CB99">
        <f t="shared" si="193"/>
        <v>0</v>
      </c>
      <c r="CC99">
        <f t="shared" si="194"/>
        <v>0</v>
      </c>
      <c r="CE99">
        <f t="shared" si="178"/>
        <v>93240</v>
      </c>
      <c r="CF99">
        <f t="shared" si="179"/>
        <v>0</v>
      </c>
      <c r="CG99">
        <f t="shared" si="195"/>
        <v>0</v>
      </c>
      <c r="CH99">
        <f t="shared" si="180"/>
        <v>0</v>
      </c>
      <c r="CI99">
        <f t="shared" si="196"/>
        <v>0</v>
      </c>
      <c r="CJ99">
        <f t="shared" si="197"/>
        <v>0</v>
      </c>
    </row>
    <row r="100" spans="1:88">
      <c r="A100" s="5">
        <f t="shared" si="120"/>
        <v>93292</v>
      </c>
      <c r="B100" s="5" t="str">
        <f t="shared" si="181"/>
        <v>金饰宝盒碎片</v>
      </c>
      <c r="C100" s="5" t="s">
        <v>522</v>
      </c>
      <c r="D100" s="5">
        <v>2</v>
      </c>
      <c r="E100" s="5" t="str">
        <f t="shared" si="183"/>
        <v>92292.png</v>
      </c>
      <c r="F100" s="5">
        <f t="shared" si="122"/>
        <v>4</v>
      </c>
      <c r="G100" s="5">
        <f t="shared" si="184"/>
        <v>57</v>
      </c>
      <c r="H100" s="5"/>
      <c r="I100" s="5"/>
      <c r="J100" s="5"/>
      <c r="K100" s="98"/>
      <c r="L100" s="5"/>
      <c r="M100" s="5" t="str">
        <f t="shared" si="185"/>
        <v/>
      </c>
      <c r="N100" s="5"/>
      <c r="O100" s="5"/>
      <c r="P100" s="5" t="str">
        <f t="shared" si="186"/>
        <v/>
      </c>
      <c r="Q100" s="5"/>
      <c r="R100" s="5"/>
      <c r="S100" s="5" t="str">
        <f t="shared" si="187"/>
        <v/>
      </c>
      <c r="T100" s="5"/>
      <c r="U100" s="5"/>
      <c r="V100" s="39">
        <f t="shared" si="174"/>
        <v>1280</v>
      </c>
      <c r="W100">
        <f t="shared" si="127"/>
        <v>40</v>
      </c>
      <c r="Z100">
        <f>VLOOKUP(A100,CHOOSE({1,2},N25:N155,A25:A155),2,FALSE)</f>
        <v>92292</v>
      </c>
      <c r="AA100">
        <f t="shared" si="168"/>
        <v>0</v>
      </c>
      <c r="AB100">
        <f t="shared" si="129"/>
        <v>3.7039999999999997</v>
      </c>
      <c r="AD100">
        <f t="shared" si="182"/>
        <v>1280</v>
      </c>
      <c r="AL100">
        <f>CHOOSE(2,1,COUNTIF(D_马仔培养宝物!$F$2:$K$229,D_马仔宝物!A100))</f>
        <v>0</v>
      </c>
      <c r="AM100">
        <f t="shared" si="169"/>
        <v>93292</v>
      </c>
      <c r="AT100">
        <f t="shared" si="188"/>
        <v>400</v>
      </c>
      <c r="AV100">
        <f t="shared" si="170"/>
        <v>93292</v>
      </c>
      <c r="BA100">
        <f t="shared" si="189"/>
        <v>0</v>
      </c>
      <c r="BC100">
        <f t="shared" si="171"/>
        <v>93292</v>
      </c>
      <c r="BJ100">
        <f t="shared" si="172"/>
        <v>93292</v>
      </c>
      <c r="BO100">
        <f t="shared" si="190"/>
        <v>0</v>
      </c>
      <c r="BQ100">
        <f t="shared" si="173"/>
        <v>93292</v>
      </c>
      <c r="BV100">
        <f t="shared" si="191"/>
        <v>0</v>
      </c>
      <c r="BX100">
        <f t="shared" si="175"/>
        <v>93292</v>
      </c>
      <c r="BY100">
        <f t="shared" si="176"/>
        <v>0</v>
      </c>
      <c r="BZ100">
        <f t="shared" si="192"/>
        <v>0</v>
      </c>
      <c r="CA100">
        <f t="shared" si="177"/>
        <v>0</v>
      </c>
      <c r="CB100">
        <f t="shared" si="193"/>
        <v>0</v>
      </c>
      <c r="CC100">
        <f t="shared" si="194"/>
        <v>0</v>
      </c>
      <c r="CE100">
        <f t="shared" si="178"/>
        <v>93292</v>
      </c>
      <c r="CF100">
        <f t="shared" si="179"/>
        <v>0</v>
      </c>
      <c r="CG100">
        <f t="shared" si="195"/>
        <v>0</v>
      </c>
      <c r="CH100">
        <f t="shared" si="180"/>
        <v>0</v>
      </c>
      <c r="CI100">
        <f t="shared" si="196"/>
        <v>0</v>
      </c>
      <c r="CJ100">
        <f t="shared" si="197"/>
        <v>0</v>
      </c>
    </row>
    <row r="101" spans="1:88">
      <c r="A101" s="5">
        <f t="shared" si="120"/>
        <v>93256</v>
      </c>
      <c r="B101" s="5" t="str">
        <f t="shared" si="181"/>
        <v>圣徒项链碎片</v>
      </c>
      <c r="C101" s="5" t="s">
        <v>523</v>
      </c>
      <c r="D101" s="5">
        <v>2</v>
      </c>
      <c r="E101" s="5" t="str">
        <f t="shared" si="183"/>
        <v>92256.png</v>
      </c>
      <c r="F101" s="5">
        <f t="shared" si="122"/>
        <v>4</v>
      </c>
      <c r="G101" s="5">
        <f t="shared" si="184"/>
        <v>58</v>
      </c>
      <c r="H101" s="5"/>
      <c r="I101" s="5"/>
      <c r="J101" s="5"/>
      <c r="K101" s="98"/>
      <c r="L101" s="5"/>
      <c r="M101" s="5" t="str">
        <f t="shared" si="185"/>
        <v/>
      </c>
      <c r="N101" s="5"/>
      <c r="O101" s="5"/>
      <c r="P101" s="5" t="str">
        <f t="shared" si="186"/>
        <v/>
      </c>
      <c r="Q101" s="5"/>
      <c r="R101" s="5"/>
      <c r="S101" s="5" t="str">
        <f t="shared" si="187"/>
        <v/>
      </c>
      <c r="T101" s="5"/>
      <c r="U101" s="5"/>
      <c r="V101" s="39">
        <f t="shared" si="174"/>
        <v>1320</v>
      </c>
      <c r="W101">
        <f t="shared" si="127"/>
        <v>40</v>
      </c>
      <c r="Z101">
        <f>VLOOKUP(A101,CHOOSE({1,2},N26:N156,A26:A156),2,FALSE)</f>
        <v>92256</v>
      </c>
      <c r="AA101">
        <f t="shared" si="168"/>
        <v>0</v>
      </c>
      <c r="AB101">
        <f t="shared" si="129"/>
        <v>4.7</v>
      </c>
      <c r="AD101">
        <f t="shared" si="182"/>
        <v>1320</v>
      </c>
      <c r="AL101">
        <f>CHOOSE(2,1,COUNTIF(D_马仔培养宝物!$F$2:$K$229,D_马仔宝物!A101))</f>
        <v>0</v>
      </c>
      <c r="AM101">
        <f t="shared" si="169"/>
        <v>93256</v>
      </c>
      <c r="AT101">
        <f t="shared" si="188"/>
        <v>520</v>
      </c>
      <c r="AV101">
        <f t="shared" si="170"/>
        <v>93256</v>
      </c>
      <c r="BA101">
        <f t="shared" si="189"/>
        <v>0</v>
      </c>
      <c r="BC101">
        <f t="shared" si="171"/>
        <v>93256</v>
      </c>
      <c r="BJ101">
        <f t="shared" si="172"/>
        <v>93256</v>
      </c>
      <c r="BO101">
        <f t="shared" si="190"/>
        <v>0</v>
      </c>
      <c r="BQ101">
        <f t="shared" si="173"/>
        <v>93256</v>
      </c>
      <c r="BV101">
        <f t="shared" si="191"/>
        <v>0</v>
      </c>
      <c r="BX101">
        <f t="shared" si="175"/>
        <v>93256</v>
      </c>
      <c r="BY101">
        <f t="shared" si="176"/>
        <v>0</v>
      </c>
      <c r="BZ101">
        <f t="shared" si="192"/>
        <v>0</v>
      </c>
      <c r="CA101">
        <f t="shared" si="177"/>
        <v>0</v>
      </c>
      <c r="CB101">
        <f t="shared" si="193"/>
        <v>0</v>
      </c>
      <c r="CC101">
        <f t="shared" si="194"/>
        <v>0</v>
      </c>
      <c r="CE101">
        <f t="shared" si="178"/>
        <v>93256</v>
      </c>
      <c r="CF101">
        <f t="shared" si="179"/>
        <v>0</v>
      </c>
      <c r="CG101">
        <f t="shared" si="195"/>
        <v>0</v>
      </c>
      <c r="CH101">
        <f t="shared" si="180"/>
        <v>0</v>
      </c>
      <c r="CI101">
        <f t="shared" si="196"/>
        <v>0</v>
      </c>
      <c r="CJ101">
        <f t="shared" si="197"/>
        <v>0</v>
      </c>
    </row>
    <row r="102" spans="1:88">
      <c r="A102" s="5">
        <f t="shared" si="120"/>
        <v>93261</v>
      </c>
      <c r="B102" s="5" t="str">
        <f t="shared" si="181"/>
        <v>贵族项链碎片</v>
      </c>
      <c r="C102" s="5" t="s">
        <v>524</v>
      </c>
      <c r="D102" s="5">
        <v>2</v>
      </c>
      <c r="E102" s="5" t="str">
        <f t="shared" si="183"/>
        <v>92261.png</v>
      </c>
      <c r="F102" s="5">
        <f t="shared" si="122"/>
        <v>4</v>
      </c>
      <c r="G102" s="5">
        <f t="shared" si="184"/>
        <v>58</v>
      </c>
      <c r="H102" s="5"/>
      <c r="I102" s="5"/>
      <c r="J102" s="5"/>
      <c r="K102" s="98"/>
      <c r="L102" s="5"/>
      <c r="M102" s="5" t="str">
        <f t="shared" si="185"/>
        <v/>
      </c>
      <c r="N102" s="5"/>
      <c r="O102" s="5"/>
      <c r="P102" s="5" t="str">
        <f t="shared" si="186"/>
        <v/>
      </c>
      <c r="Q102" s="5"/>
      <c r="R102" s="5"/>
      <c r="S102" s="5" t="str">
        <f t="shared" si="187"/>
        <v/>
      </c>
      <c r="T102" s="5"/>
      <c r="U102" s="5"/>
      <c r="V102" s="39">
        <f t="shared" si="174"/>
        <v>1200</v>
      </c>
      <c r="W102">
        <f t="shared" si="127"/>
        <v>40</v>
      </c>
      <c r="Z102">
        <f>VLOOKUP(A102,CHOOSE({1,2},N27:N157,A27:A157),2,FALSE)</f>
        <v>92261</v>
      </c>
      <c r="AA102">
        <f t="shared" si="168"/>
        <v>40</v>
      </c>
      <c r="AB102">
        <f t="shared" si="129"/>
        <v>2</v>
      </c>
      <c r="AD102">
        <f t="shared" si="182"/>
        <v>1200</v>
      </c>
      <c r="AL102">
        <f>CHOOSE(2,1,COUNTIF(D_马仔培养宝物!$F$2:$K$229,D_马仔宝物!A102))</f>
        <v>0</v>
      </c>
      <c r="AM102">
        <f t="shared" si="169"/>
        <v>93261</v>
      </c>
      <c r="AT102">
        <f t="shared" si="188"/>
        <v>400</v>
      </c>
      <c r="AV102">
        <f t="shared" si="170"/>
        <v>93261</v>
      </c>
      <c r="BA102">
        <f t="shared" si="189"/>
        <v>0</v>
      </c>
      <c r="BC102">
        <f t="shared" si="171"/>
        <v>93261</v>
      </c>
      <c r="BJ102">
        <f t="shared" si="172"/>
        <v>93261</v>
      </c>
      <c r="BO102">
        <f t="shared" si="190"/>
        <v>0</v>
      </c>
      <c r="BQ102">
        <f t="shared" si="173"/>
        <v>93261</v>
      </c>
      <c r="BV102">
        <f t="shared" si="191"/>
        <v>0</v>
      </c>
      <c r="BX102">
        <f t="shared" si="175"/>
        <v>93261</v>
      </c>
      <c r="BY102">
        <f t="shared" si="176"/>
        <v>0</v>
      </c>
      <c r="BZ102">
        <f t="shared" si="192"/>
        <v>0</v>
      </c>
      <c r="CA102">
        <f t="shared" si="177"/>
        <v>0</v>
      </c>
      <c r="CB102">
        <f t="shared" si="193"/>
        <v>0</v>
      </c>
      <c r="CC102">
        <f t="shared" si="194"/>
        <v>0</v>
      </c>
      <c r="CE102">
        <f t="shared" si="178"/>
        <v>93261</v>
      </c>
      <c r="CF102">
        <f t="shared" si="179"/>
        <v>0</v>
      </c>
      <c r="CG102">
        <f t="shared" si="195"/>
        <v>0</v>
      </c>
      <c r="CH102">
        <f t="shared" si="180"/>
        <v>0</v>
      </c>
      <c r="CI102">
        <f t="shared" si="196"/>
        <v>0</v>
      </c>
      <c r="CJ102">
        <f t="shared" si="197"/>
        <v>0</v>
      </c>
    </row>
    <row r="103" spans="1:88">
      <c r="A103" s="5">
        <f t="shared" si="120"/>
        <v>93275</v>
      </c>
      <c r="B103" s="5" t="str">
        <f t="shared" si="181"/>
        <v>千国手表碎片</v>
      </c>
      <c r="C103" s="5" t="s">
        <v>525</v>
      </c>
      <c r="D103" s="5">
        <v>2</v>
      </c>
      <c r="E103" s="5" t="str">
        <f t="shared" si="183"/>
        <v>92275.png</v>
      </c>
      <c r="F103" s="5">
        <f t="shared" si="122"/>
        <v>4</v>
      </c>
      <c r="G103" s="5">
        <f t="shared" si="184"/>
        <v>59</v>
      </c>
      <c r="H103" s="5"/>
      <c r="I103" s="5"/>
      <c r="J103" s="5"/>
      <c r="K103" s="98"/>
      <c r="L103" s="5"/>
      <c r="M103" s="5" t="str">
        <f t="shared" si="185"/>
        <v/>
      </c>
      <c r="N103" s="5"/>
      <c r="O103" s="5"/>
      <c r="P103" s="5" t="str">
        <f t="shared" si="186"/>
        <v/>
      </c>
      <c r="Q103" s="5"/>
      <c r="R103" s="5"/>
      <c r="S103" s="5" t="str">
        <f t="shared" si="187"/>
        <v/>
      </c>
      <c r="T103" s="5"/>
      <c r="U103" s="5"/>
      <c r="V103" s="39">
        <f t="shared" si="174"/>
        <v>1080</v>
      </c>
      <c r="W103">
        <f t="shared" si="127"/>
        <v>40</v>
      </c>
      <c r="Z103">
        <f>VLOOKUP(A103,CHOOSE({1,2},N28:N158,A28:A158),2,FALSE)</f>
        <v>92275</v>
      </c>
      <c r="AA103">
        <f t="shared" si="168"/>
        <v>0</v>
      </c>
      <c r="AB103">
        <f t="shared" si="129"/>
        <v>3.7039999999999997</v>
      </c>
      <c r="AD103">
        <f t="shared" si="182"/>
        <v>1080</v>
      </c>
      <c r="AL103">
        <f>CHOOSE(2,1,COUNTIF(D_马仔培养宝物!$F$2:$K$229,D_马仔宝物!A103))</f>
        <v>0</v>
      </c>
      <c r="AM103">
        <f t="shared" si="169"/>
        <v>93275</v>
      </c>
      <c r="AT103">
        <f t="shared" si="188"/>
        <v>360</v>
      </c>
      <c r="AV103">
        <f t="shared" si="170"/>
        <v>93275</v>
      </c>
      <c r="BA103">
        <f t="shared" si="189"/>
        <v>0</v>
      </c>
      <c r="BC103">
        <f t="shared" si="171"/>
        <v>93275</v>
      </c>
      <c r="BJ103">
        <f t="shared" si="172"/>
        <v>93275</v>
      </c>
      <c r="BO103">
        <f t="shared" si="190"/>
        <v>0</v>
      </c>
      <c r="BQ103">
        <f t="shared" si="173"/>
        <v>93275</v>
      </c>
      <c r="BV103">
        <f t="shared" si="191"/>
        <v>0</v>
      </c>
      <c r="BX103">
        <f t="shared" si="175"/>
        <v>93275</v>
      </c>
      <c r="BY103">
        <f t="shared" si="176"/>
        <v>0</v>
      </c>
      <c r="BZ103">
        <f t="shared" si="192"/>
        <v>0</v>
      </c>
      <c r="CA103">
        <f t="shared" si="177"/>
        <v>0</v>
      </c>
      <c r="CB103">
        <f t="shared" si="193"/>
        <v>0</v>
      </c>
      <c r="CC103">
        <f t="shared" si="194"/>
        <v>0</v>
      </c>
      <c r="CE103">
        <f t="shared" si="178"/>
        <v>93275</v>
      </c>
      <c r="CF103">
        <f t="shared" si="179"/>
        <v>0</v>
      </c>
      <c r="CG103">
        <f t="shared" si="195"/>
        <v>0</v>
      </c>
      <c r="CH103">
        <f t="shared" si="180"/>
        <v>0</v>
      </c>
      <c r="CI103">
        <f t="shared" si="196"/>
        <v>0</v>
      </c>
      <c r="CJ103">
        <f t="shared" si="197"/>
        <v>0</v>
      </c>
    </row>
    <row r="104" spans="1:88">
      <c r="A104" s="5">
        <f t="shared" si="120"/>
        <v>93281</v>
      </c>
      <c r="B104" s="5" t="str">
        <f t="shared" si="181"/>
        <v>红博机利碎片</v>
      </c>
      <c r="C104" s="5" t="s">
        <v>526</v>
      </c>
      <c r="D104" s="5">
        <v>2</v>
      </c>
      <c r="E104" s="5" t="str">
        <f t="shared" si="183"/>
        <v>92281.png</v>
      </c>
      <c r="F104" s="5">
        <f t="shared" si="122"/>
        <v>4</v>
      </c>
      <c r="G104" s="5">
        <f t="shared" si="184"/>
        <v>59</v>
      </c>
      <c r="H104" s="5"/>
      <c r="I104" s="5"/>
      <c r="J104" s="5"/>
      <c r="K104" s="98"/>
      <c r="L104" s="5"/>
      <c r="M104" s="5" t="str">
        <f t="shared" si="185"/>
        <v/>
      </c>
      <c r="N104" s="5"/>
      <c r="O104" s="5"/>
      <c r="P104" s="5" t="str">
        <f t="shared" si="186"/>
        <v/>
      </c>
      <c r="Q104" s="5"/>
      <c r="R104" s="5"/>
      <c r="S104" s="5" t="str">
        <f t="shared" si="187"/>
        <v/>
      </c>
      <c r="T104" s="5"/>
      <c r="U104" s="5"/>
      <c r="V104" s="39">
        <f t="shared" si="174"/>
        <v>1160</v>
      </c>
      <c r="W104">
        <f t="shared" si="127"/>
        <v>40</v>
      </c>
      <c r="Z104">
        <f>VLOOKUP(A104,CHOOSE({1,2},N29:N159,A29:A159),2,FALSE)</f>
        <v>92281</v>
      </c>
      <c r="AA104">
        <f t="shared" si="168"/>
        <v>0</v>
      </c>
      <c r="AB104">
        <f t="shared" si="129"/>
        <v>4.7</v>
      </c>
      <c r="AD104">
        <f t="shared" si="182"/>
        <v>1160</v>
      </c>
      <c r="AL104">
        <f>CHOOSE(2,1,COUNTIF(D_马仔培养宝物!$F$2:$K$229,D_马仔宝物!A104))</f>
        <v>0</v>
      </c>
      <c r="AM104">
        <f t="shared" si="169"/>
        <v>93281</v>
      </c>
      <c r="AT104">
        <f t="shared" si="188"/>
        <v>380</v>
      </c>
      <c r="AV104">
        <f t="shared" si="170"/>
        <v>93281</v>
      </c>
      <c r="BA104">
        <f t="shared" si="189"/>
        <v>0</v>
      </c>
      <c r="BC104">
        <f t="shared" si="171"/>
        <v>93281</v>
      </c>
      <c r="BJ104">
        <f t="shared" si="172"/>
        <v>93281</v>
      </c>
      <c r="BO104">
        <f t="shared" si="190"/>
        <v>0</v>
      </c>
      <c r="BQ104">
        <f t="shared" si="173"/>
        <v>93281</v>
      </c>
      <c r="BV104">
        <f t="shared" si="191"/>
        <v>0</v>
      </c>
      <c r="BX104">
        <f t="shared" si="175"/>
        <v>93281</v>
      </c>
      <c r="BY104">
        <f t="shared" si="176"/>
        <v>0</v>
      </c>
      <c r="BZ104">
        <f t="shared" si="192"/>
        <v>0</v>
      </c>
      <c r="CA104">
        <f t="shared" si="177"/>
        <v>0</v>
      </c>
      <c r="CB104">
        <f t="shared" si="193"/>
        <v>0</v>
      </c>
      <c r="CC104">
        <f t="shared" si="194"/>
        <v>0</v>
      </c>
      <c r="CE104">
        <f t="shared" si="178"/>
        <v>93281</v>
      </c>
      <c r="CF104">
        <f t="shared" si="179"/>
        <v>0</v>
      </c>
      <c r="CG104">
        <f t="shared" si="195"/>
        <v>0</v>
      </c>
      <c r="CH104">
        <f t="shared" si="180"/>
        <v>0</v>
      </c>
      <c r="CI104">
        <f t="shared" si="196"/>
        <v>0</v>
      </c>
      <c r="CJ104">
        <f t="shared" si="197"/>
        <v>0</v>
      </c>
    </row>
    <row r="105" spans="1:88">
      <c r="A105" s="5">
        <f t="shared" si="120"/>
        <v>93286</v>
      </c>
      <c r="B105" s="5" t="str">
        <f t="shared" si="181"/>
        <v>巨额钞票碎片</v>
      </c>
      <c r="C105" s="5" t="s">
        <v>527</v>
      </c>
      <c r="D105" s="5">
        <v>2</v>
      </c>
      <c r="E105" s="5" t="str">
        <f t="shared" si="183"/>
        <v>92286.png</v>
      </c>
      <c r="F105" s="5">
        <f t="shared" si="122"/>
        <v>4</v>
      </c>
      <c r="G105" s="5">
        <f t="shared" si="184"/>
        <v>60</v>
      </c>
      <c r="H105" s="5"/>
      <c r="I105" s="5"/>
      <c r="J105" s="5"/>
      <c r="K105" s="98"/>
      <c r="L105" s="5"/>
      <c r="M105" s="5" t="str">
        <f t="shared" si="185"/>
        <v/>
      </c>
      <c r="N105" s="5"/>
      <c r="O105" s="5"/>
      <c r="P105" s="5" t="str">
        <f t="shared" si="186"/>
        <v/>
      </c>
      <c r="Q105" s="5"/>
      <c r="R105" s="5"/>
      <c r="S105" s="5" t="str">
        <f t="shared" si="187"/>
        <v/>
      </c>
      <c r="T105" s="5"/>
      <c r="U105" s="5"/>
      <c r="V105" s="39">
        <f t="shared" si="174"/>
        <v>2000</v>
      </c>
      <c r="W105">
        <f t="shared" si="127"/>
        <v>40</v>
      </c>
      <c r="Z105">
        <f>VLOOKUP(A105,CHOOSE({1,2},N30:N160,A30:A160),2,FALSE)</f>
        <v>92286</v>
      </c>
      <c r="AA105">
        <f t="shared" si="168"/>
        <v>40</v>
      </c>
      <c r="AB105">
        <f t="shared" si="129"/>
        <v>2</v>
      </c>
      <c r="AD105">
        <f t="shared" si="182"/>
        <v>2000</v>
      </c>
      <c r="AL105">
        <f>CHOOSE(2,1,COUNTIF(D_马仔培养宝物!$F$2:$K$229,D_马仔宝物!A105))</f>
        <v>0</v>
      </c>
      <c r="AM105">
        <f t="shared" si="169"/>
        <v>93286</v>
      </c>
      <c r="AT105">
        <f t="shared" si="188"/>
        <v>500</v>
      </c>
      <c r="AV105">
        <f t="shared" si="170"/>
        <v>93286</v>
      </c>
      <c r="BA105">
        <f t="shared" si="189"/>
        <v>0</v>
      </c>
      <c r="BC105">
        <f t="shared" si="171"/>
        <v>93286</v>
      </c>
      <c r="BJ105">
        <f t="shared" si="172"/>
        <v>93286</v>
      </c>
      <c r="BO105">
        <f t="shared" si="190"/>
        <v>0</v>
      </c>
      <c r="BQ105">
        <f t="shared" si="173"/>
        <v>93286</v>
      </c>
      <c r="BV105">
        <f t="shared" si="191"/>
        <v>0</v>
      </c>
      <c r="BX105">
        <f t="shared" si="175"/>
        <v>93286</v>
      </c>
      <c r="BY105">
        <f t="shared" si="176"/>
        <v>0</v>
      </c>
      <c r="BZ105">
        <f t="shared" si="192"/>
        <v>0</v>
      </c>
      <c r="CA105">
        <f t="shared" si="177"/>
        <v>0</v>
      </c>
      <c r="CB105">
        <f t="shared" si="193"/>
        <v>0</v>
      </c>
      <c r="CC105">
        <f t="shared" si="194"/>
        <v>0</v>
      </c>
      <c r="CE105">
        <f t="shared" si="178"/>
        <v>93286</v>
      </c>
      <c r="CF105">
        <f t="shared" si="179"/>
        <v>0</v>
      </c>
      <c r="CG105">
        <f t="shared" si="195"/>
        <v>0</v>
      </c>
      <c r="CH105">
        <f t="shared" si="180"/>
        <v>0</v>
      </c>
      <c r="CI105">
        <f t="shared" si="196"/>
        <v>0</v>
      </c>
      <c r="CJ105">
        <f t="shared" si="197"/>
        <v>0</v>
      </c>
    </row>
    <row r="106" spans="1:88">
      <c r="A106" s="5">
        <f t="shared" si="120"/>
        <v>93290</v>
      </c>
      <c r="B106" s="5" t="str">
        <f t="shared" si="181"/>
        <v>大堆金块碎片</v>
      </c>
      <c r="C106" s="5" t="s">
        <v>528</v>
      </c>
      <c r="D106" s="5">
        <v>2</v>
      </c>
      <c r="E106" s="5" t="str">
        <f t="shared" si="183"/>
        <v>92290.png</v>
      </c>
      <c r="F106" s="5">
        <f t="shared" si="122"/>
        <v>4</v>
      </c>
      <c r="G106" s="5">
        <f t="shared" si="184"/>
        <v>60</v>
      </c>
      <c r="H106" s="5"/>
      <c r="I106" s="5"/>
      <c r="J106" s="5"/>
      <c r="K106" s="98"/>
      <c r="L106" s="5"/>
      <c r="M106" s="5" t="str">
        <f t="shared" si="185"/>
        <v/>
      </c>
      <c r="N106" s="5"/>
      <c r="O106" s="5"/>
      <c r="P106" s="5" t="str">
        <f t="shared" si="186"/>
        <v/>
      </c>
      <c r="Q106" s="5"/>
      <c r="R106" s="5"/>
      <c r="S106" s="5" t="str">
        <f t="shared" si="187"/>
        <v/>
      </c>
      <c r="T106" s="5"/>
      <c r="U106" s="5"/>
      <c r="V106" s="39">
        <f t="shared" si="174"/>
        <v>1820</v>
      </c>
      <c r="W106">
        <f t="shared" si="127"/>
        <v>40</v>
      </c>
      <c r="Z106">
        <f>VLOOKUP(A106,CHOOSE({1,2},N31:N161,A31:A161),2,FALSE)</f>
        <v>92290</v>
      </c>
      <c r="AA106">
        <f t="shared" si="168"/>
        <v>0</v>
      </c>
      <c r="AB106">
        <f t="shared" si="129"/>
        <v>3.7039999999999997</v>
      </c>
      <c r="AD106">
        <f t="shared" si="182"/>
        <v>1820</v>
      </c>
      <c r="AL106">
        <f>CHOOSE(2,1,COUNTIF(D_马仔培养宝物!$F$2:$K$229,D_马仔宝物!A106))</f>
        <v>0</v>
      </c>
      <c r="AM106">
        <f t="shared" si="169"/>
        <v>93290</v>
      </c>
      <c r="AT106">
        <f t="shared" si="188"/>
        <v>500</v>
      </c>
      <c r="AV106">
        <f t="shared" si="170"/>
        <v>93290</v>
      </c>
      <c r="BA106">
        <f t="shared" si="189"/>
        <v>0</v>
      </c>
      <c r="BC106">
        <f t="shared" si="171"/>
        <v>93290</v>
      </c>
      <c r="BJ106">
        <f t="shared" si="172"/>
        <v>93290</v>
      </c>
      <c r="BO106">
        <f t="shared" si="190"/>
        <v>0</v>
      </c>
      <c r="BQ106">
        <f t="shared" si="173"/>
        <v>93290</v>
      </c>
      <c r="BV106">
        <f t="shared" si="191"/>
        <v>0</v>
      </c>
      <c r="BX106">
        <f t="shared" si="175"/>
        <v>93290</v>
      </c>
      <c r="BY106">
        <f t="shared" si="176"/>
        <v>0</v>
      </c>
      <c r="BZ106">
        <f t="shared" si="192"/>
        <v>0</v>
      </c>
      <c r="CA106">
        <f t="shared" si="177"/>
        <v>0</v>
      </c>
      <c r="CB106">
        <f t="shared" si="193"/>
        <v>0</v>
      </c>
      <c r="CC106">
        <f t="shared" si="194"/>
        <v>0</v>
      </c>
      <c r="CE106">
        <f t="shared" si="178"/>
        <v>93290</v>
      </c>
      <c r="CF106">
        <f t="shared" si="179"/>
        <v>0</v>
      </c>
      <c r="CG106">
        <f t="shared" si="195"/>
        <v>0</v>
      </c>
      <c r="CH106">
        <f t="shared" si="180"/>
        <v>0</v>
      </c>
      <c r="CI106">
        <f t="shared" si="196"/>
        <v>0</v>
      </c>
      <c r="CJ106">
        <f t="shared" si="197"/>
        <v>0</v>
      </c>
    </row>
    <row r="107" spans="1:88">
      <c r="A107" s="5">
        <f t="shared" si="120"/>
        <v>93026</v>
      </c>
      <c r="B107" s="5" t="str">
        <f t="shared" si="181"/>
        <v>深蓝碎片</v>
      </c>
      <c r="C107" s="5" t="s">
        <v>529</v>
      </c>
      <c r="D107" s="5">
        <v>2</v>
      </c>
      <c r="E107" s="5" t="str">
        <f t="shared" si="183"/>
        <v>92026.png</v>
      </c>
      <c r="F107" s="5">
        <f t="shared" si="122"/>
        <v>4</v>
      </c>
      <c r="G107" s="5">
        <f t="shared" si="184"/>
        <v>65</v>
      </c>
      <c r="H107" s="5"/>
      <c r="I107" s="5"/>
      <c r="J107" s="5"/>
      <c r="K107" s="98"/>
      <c r="L107" s="5"/>
      <c r="M107" s="5" t="str">
        <f t="shared" si="185"/>
        <v/>
      </c>
      <c r="N107" s="5"/>
      <c r="O107" s="5"/>
      <c r="P107" s="5" t="str">
        <f t="shared" si="186"/>
        <v/>
      </c>
      <c r="Q107" s="5"/>
      <c r="R107" s="5"/>
      <c r="S107" s="5" t="str">
        <f t="shared" si="187"/>
        <v/>
      </c>
      <c r="T107" s="5"/>
      <c r="U107" s="5"/>
      <c r="V107" s="39">
        <f t="shared" si="174"/>
        <v>500</v>
      </c>
      <c r="W107">
        <f t="shared" si="127"/>
        <v>40</v>
      </c>
      <c r="Z107">
        <f>VLOOKUP(A107,CHOOSE({1,2},N32:N162,A32:A162),2,FALSE)</f>
        <v>92026</v>
      </c>
      <c r="AA107">
        <f t="shared" si="168"/>
        <v>0</v>
      </c>
      <c r="AB107">
        <f t="shared" si="129"/>
        <v>5.25</v>
      </c>
      <c r="AD107">
        <f t="shared" si="182"/>
        <v>500</v>
      </c>
      <c r="AL107">
        <f>CHOOSE(2,1,COUNTIF(D_马仔培养宝物!$F$2:$K$229,D_马仔宝物!A107))</f>
        <v>0</v>
      </c>
      <c r="AM107">
        <f t="shared" si="169"/>
        <v>93026</v>
      </c>
      <c r="AT107">
        <f t="shared" si="188"/>
        <v>500</v>
      </c>
      <c r="AV107">
        <f t="shared" si="170"/>
        <v>93026</v>
      </c>
      <c r="BA107">
        <f t="shared" si="189"/>
        <v>0</v>
      </c>
      <c r="BC107">
        <f t="shared" si="171"/>
        <v>93026</v>
      </c>
      <c r="BJ107">
        <f t="shared" si="172"/>
        <v>93026</v>
      </c>
      <c r="BO107">
        <f t="shared" si="190"/>
        <v>0</v>
      </c>
      <c r="BQ107">
        <f t="shared" si="173"/>
        <v>93026</v>
      </c>
      <c r="BV107">
        <f t="shared" si="191"/>
        <v>0</v>
      </c>
      <c r="BX107">
        <f t="shared" si="175"/>
        <v>93026</v>
      </c>
      <c r="BY107">
        <f t="shared" si="176"/>
        <v>0</v>
      </c>
      <c r="BZ107">
        <f t="shared" si="192"/>
        <v>0</v>
      </c>
      <c r="CA107">
        <f t="shared" si="177"/>
        <v>0</v>
      </c>
      <c r="CB107">
        <f t="shared" si="193"/>
        <v>0</v>
      </c>
      <c r="CC107">
        <f t="shared" si="194"/>
        <v>0</v>
      </c>
      <c r="CE107">
        <f t="shared" si="178"/>
        <v>93026</v>
      </c>
      <c r="CF107">
        <f t="shared" si="179"/>
        <v>0</v>
      </c>
      <c r="CG107">
        <f t="shared" si="195"/>
        <v>0</v>
      </c>
      <c r="CH107">
        <f t="shared" si="180"/>
        <v>0</v>
      </c>
      <c r="CI107">
        <f t="shared" si="196"/>
        <v>0</v>
      </c>
      <c r="CJ107">
        <f t="shared" si="197"/>
        <v>0</v>
      </c>
    </row>
    <row r="108" spans="1:88">
      <c r="A108" s="5">
        <f t="shared" si="120"/>
        <v>93255</v>
      </c>
      <c r="B108" s="5" t="str">
        <f t="shared" si="181"/>
        <v>黑耀项链碎片</v>
      </c>
      <c r="C108" s="5" t="s">
        <v>530</v>
      </c>
      <c r="D108" s="5">
        <v>2</v>
      </c>
      <c r="E108" s="5" t="str">
        <f t="shared" si="183"/>
        <v>92255.png</v>
      </c>
      <c r="F108" s="5">
        <f t="shared" si="122"/>
        <v>4</v>
      </c>
      <c r="G108" s="5">
        <f t="shared" si="184"/>
        <v>65</v>
      </c>
      <c r="H108" s="5"/>
      <c r="I108" s="5"/>
      <c r="J108" s="5"/>
      <c r="K108" s="98"/>
      <c r="L108" s="5"/>
      <c r="M108" s="5" t="str">
        <f t="shared" si="185"/>
        <v/>
      </c>
      <c r="N108" s="5"/>
      <c r="O108" s="5"/>
      <c r="P108" s="5" t="str">
        <f t="shared" si="186"/>
        <v/>
      </c>
      <c r="Q108" s="5"/>
      <c r="R108" s="5"/>
      <c r="S108" s="5" t="str">
        <f t="shared" si="187"/>
        <v/>
      </c>
      <c r="T108" s="5"/>
      <c r="U108" s="5"/>
      <c r="V108" s="39">
        <f t="shared" si="174"/>
        <v>520</v>
      </c>
      <c r="W108">
        <f t="shared" si="127"/>
        <v>40</v>
      </c>
      <c r="Z108">
        <f>VLOOKUP(A108,CHOOSE({1,2},N33:N163,A33:A163),2,FALSE)</f>
        <v>92255</v>
      </c>
      <c r="AA108">
        <f t="shared" si="168"/>
        <v>44</v>
      </c>
      <c r="AB108">
        <f t="shared" si="129"/>
        <v>2.2000000000000002</v>
      </c>
      <c r="AD108">
        <f t="shared" si="182"/>
        <v>520</v>
      </c>
      <c r="AL108">
        <f>CHOOSE(2,1,COUNTIF(D_马仔培养宝物!$F$2:$K$229,D_马仔宝物!A108))</f>
        <v>0</v>
      </c>
      <c r="AM108">
        <f t="shared" si="169"/>
        <v>93255</v>
      </c>
      <c r="AT108">
        <f t="shared" si="188"/>
        <v>520</v>
      </c>
      <c r="AV108">
        <f t="shared" si="170"/>
        <v>93255</v>
      </c>
      <c r="BA108">
        <f t="shared" si="189"/>
        <v>0</v>
      </c>
      <c r="BC108">
        <f t="shared" si="171"/>
        <v>93255</v>
      </c>
      <c r="BJ108">
        <f t="shared" si="172"/>
        <v>93255</v>
      </c>
      <c r="BO108">
        <f t="shared" si="190"/>
        <v>0</v>
      </c>
      <c r="BQ108">
        <f t="shared" si="173"/>
        <v>93255</v>
      </c>
      <c r="BV108">
        <f t="shared" si="191"/>
        <v>0</v>
      </c>
      <c r="BX108">
        <f t="shared" si="175"/>
        <v>93255</v>
      </c>
      <c r="BY108">
        <f t="shared" si="176"/>
        <v>0</v>
      </c>
      <c r="BZ108">
        <f t="shared" si="192"/>
        <v>0</v>
      </c>
      <c r="CA108">
        <f t="shared" si="177"/>
        <v>0</v>
      </c>
      <c r="CB108">
        <f t="shared" si="193"/>
        <v>0</v>
      </c>
      <c r="CC108">
        <f t="shared" si="194"/>
        <v>0</v>
      </c>
      <c r="CE108">
        <f t="shared" si="178"/>
        <v>93255</v>
      </c>
      <c r="CF108">
        <f t="shared" si="179"/>
        <v>0</v>
      </c>
      <c r="CG108">
        <f t="shared" si="195"/>
        <v>0</v>
      </c>
      <c r="CH108">
        <f t="shared" si="180"/>
        <v>0</v>
      </c>
      <c r="CI108">
        <f t="shared" si="196"/>
        <v>0</v>
      </c>
      <c r="CJ108">
        <f t="shared" si="197"/>
        <v>0</v>
      </c>
    </row>
    <row r="109" spans="1:88">
      <c r="A109" s="5">
        <f t="shared" si="120"/>
        <v>93297</v>
      </c>
      <c r="B109" s="5" t="str">
        <f t="shared" si="181"/>
        <v>翠绿之心碎片</v>
      </c>
      <c r="C109" s="5" t="s">
        <v>531</v>
      </c>
      <c r="D109" s="5">
        <v>2</v>
      </c>
      <c r="E109" s="5" t="str">
        <f t="shared" si="183"/>
        <v>92297.png</v>
      </c>
      <c r="F109" s="5">
        <f t="shared" si="122"/>
        <v>4</v>
      </c>
      <c r="G109" s="5">
        <f t="shared" si="184"/>
        <v>66</v>
      </c>
      <c r="H109" s="5"/>
      <c r="I109" s="5"/>
      <c r="J109" s="5"/>
      <c r="K109" s="98"/>
      <c r="L109" s="5"/>
      <c r="M109" s="5" t="str">
        <f t="shared" si="185"/>
        <v/>
      </c>
      <c r="N109" s="5"/>
      <c r="O109" s="5"/>
      <c r="P109" s="5" t="str">
        <f t="shared" si="186"/>
        <v/>
      </c>
      <c r="Q109" s="5"/>
      <c r="R109" s="5"/>
      <c r="S109" s="5" t="str">
        <f t="shared" si="187"/>
        <v/>
      </c>
      <c r="T109" s="5"/>
      <c r="U109" s="5"/>
      <c r="V109" s="39">
        <f t="shared" si="174"/>
        <v>220</v>
      </c>
      <c r="W109">
        <f t="shared" si="127"/>
        <v>40</v>
      </c>
      <c r="Z109">
        <f>VLOOKUP(A109,CHOOSE({1,2},N34:N164,A34:A164),2,FALSE)</f>
        <v>92297</v>
      </c>
      <c r="AA109">
        <f t="shared" si="168"/>
        <v>0</v>
      </c>
      <c r="AB109">
        <f t="shared" si="129"/>
        <v>4.1160000000000005</v>
      </c>
      <c r="AD109">
        <f t="shared" si="182"/>
        <v>220</v>
      </c>
      <c r="AL109">
        <f>CHOOSE(2,1,COUNTIF(D_马仔培养宝物!$F$2:$K$229,D_马仔宝物!A109))</f>
        <v>0</v>
      </c>
      <c r="AM109">
        <f t="shared" si="169"/>
        <v>93297</v>
      </c>
      <c r="AT109">
        <f t="shared" si="188"/>
        <v>220</v>
      </c>
      <c r="AV109">
        <f t="shared" si="170"/>
        <v>93297</v>
      </c>
      <c r="BA109">
        <f t="shared" si="189"/>
        <v>0</v>
      </c>
      <c r="BC109">
        <f t="shared" si="171"/>
        <v>93297</v>
      </c>
      <c r="BJ109">
        <f t="shared" si="172"/>
        <v>93297</v>
      </c>
      <c r="BO109">
        <f t="shared" si="190"/>
        <v>0</v>
      </c>
      <c r="BQ109">
        <f t="shared" si="173"/>
        <v>93297</v>
      </c>
      <c r="BV109">
        <f t="shared" si="191"/>
        <v>0</v>
      </c>
      <c r="BX109">
        <f t="shared" si="175"/>
        <v>93297</v>
      </c>
      <c r="BY109">
        <f t="shared" si="176"/>
        <v>0</v>
      </c>
      <c r="BZ109">
        <f t="shared" si="192"/>
        <v>0</v>
      </c>
      <c r="CA109">
        <f t="shared" si="177"/>
        <v>0</v>
      </c>
      <c r="CB109">
        <f t="shared" si="193"/>
        <v>0</v>
      </c>
      <c r="CC109">
        <f t="shared" si="194"/>
        <v>0</v>
      </c>
      <c r="CE109">
        <f t="shared" si="178"/>
        <v>93297</v>
      </c>
      <c r="CF109">
        <f t="shared" si="179"/>
        <v>0</v>
      </c>
      <c r="CG109">
        <f t="shared" si="195"/>
        <v>0</v>
      </c>
      <c r="CH109">
        <f t="shared" si="180"/>
        <v>0</v>
      </c>
      <c r="CI109">
        <f t="shared" si="196"/>
        <v>0</v>
      </c>
      <c r="CJ109">
        <f t="shared" si="197"/>
        <v>0</v>
      </c>
    </row>
    <row r="110" spans="1:88">
      <c r="A110" s="5">
        <f t="shared" si="120"/>
        <v>93293</v>
      </c>
      <c r="B110" s="5" t="str">
        <f t="shared" si="181"/>
        <v>珍珠宝盒碎片</v>
      </c>
      <c r="C110" s="5" t="s">
        <v>532</v>
      </c>
      <c r="D110" s="5">
        <v>2</v>
      </c>
      <c r="E110" s="5" t="str">
        <f t="shared" si="183"/>
        <v>92293.png</v>
      </c>
      <c r="F110" s="5">
        <f t="shared" si="122"/>
        <v>4</v>
      </c>
      <c r="G110" s="5">
        <f t="shared" si="184"/>
        <v>66</v>
      </c>
      <c r="H110" s="5"/>
      <c r="I110" s="5"/>
      <c r="J110" s="5"/>
      <c r="K110" s="98"/>
      <c r="L110" s="5"/>
      <c r="M110" s="5" t="str">
        <f t="shared" si="185"/>
        <v/>
      </c>
      <c r="N110" s="5"/>
      <c r="O110" s="5"/>
      <c r="P110" s="5" t="str">
        <f t="shared" si="186"/>
        <v/>
      </c>
      <c r="Q110" s="5"/>
      <c r="R110" s="5"/>
      <c r="S110" s="5" t="str">
        <f t="shared" si="187"/>
        <v/>
      </c>
      <c r="T110" s="5"/>
      <c r="U110" s="5"/>
      <c r="V110" s="39">
        <f t="shared" si="174"/>
        <v>400</v>
      </c>
      <c r="W110">
        <f t="shared" si="127"/>
        <v>40</v>
      </c>
      <c r="Z110">
        <f>VLOOKUP(A110,CHOOSE({1,2},N35:N165,A35:A165),2,FALSE)</f>
        <v>92293</v>
      </c>
      <c r="AA110">
        <f t="shared" si="168"/>
        <v>0</v>
      </c>
      <c r="AB110">
        <f t="shared" si="129"/>
        <v>5.25</v>
      </c>
      <c r="AD110">
        <f t="shared" si="182"/>
        <v>400</v>
      </c>
      <c r="AL110">
        <f>CHOOSE(2,1,COUNTIF(D_马仔培养宝物!$F$2:$K$229,D_马仔宝物!A110))</f>
        <v>0</v>
      </c>
      <c r="AM110">
        <f t="shared" ref="AM110:AM118" si="198">A110</f>
        <v>93293</v>
      </c>
      <c r="AT110">
        <f t="shared" si="188"/>
        <v>400</v>
      </c>
      <c r="AV110">
        <f t="shared" ref="AV110:AV118" si="199">AM110</f>
        <v>93293</v>
      </c>
      <c r="BA110">
        <f t="shared" si="189"/>
        <v>0</v>
      </c>
      <c r="BC110">
        <f t="shared" ref="BC110:BC118" si="200">AV110</f>
        <v>93293</v>
      </c>
      <c r="BJ110">
        <f t="shared" ref="BJ110:BJ118" si="201">BC110</f>
        <v>93293</v>
      </c>
      <c r="BO110">
        <f t="shared" si="190"/>
        <v>0</v>
      </c>
      <c r="BQ110">
        <f t="shared" ref="BQ110:BQ118" si="202">BJ110</f>
        <v>93293</v>
      </c>
      <c r="BV110">
        <f t="shared" si="191"/>
        <v>0</v>
      </c>
      <c r="BX110">
        <f t="shared" si="175"/>
        <v>93293</v>
      </c>
      <c r="BY110">
        <f t="shared" si="176"/>
        <v>0</v>
      </c>
      <c r="BZ110">
        <f t="shared" si="192"/>
        <v>0</v>
      </c>
      <c r="CA110">
        <f t="shared" si="177"/>
        <v>0</v>
      </c>
      <c r="CB110">
        <f t="shared" si="193"/>
        <v>0</v>
      </c>
      <c r="CC110">
        <f t="shared" si="194"/>
        <v>0</v>
      </c>
      <c r="CE110">
        <f t="shared" si="178"/>
        <v>93293</v>
      </c>
      <c r="CF110">
        <f t="shared" si="179"/>
        <v>0</v>
      </c>
      <c r="CG110">
        <f t="shared" si="195"/>
        <v>0</v>
      </c>
      <c r="CH110">
        <f t="shared" si="180"/>
        <v>0</v>
      </c>
      <c r="CI110">
        <f t="shared" si="196"/>
        <v>0</v>
      </c>
      <c r="CJ110">
        <f t="shared" si="197"/>
        <v>0</v>
      </c>
    </row>
    <row r="111" spans="1:88">
      <c r="A111" s="5">
        <f t="shared" si="120"/>
        <v>93294</v>
      </c>
      <c r="B111" s="5" t="str">
        <f t="shared" si="181"/>
        <v>古董宝盒碎片</v>
      </c>
      <c r="C111" s="5" t="s">
        <v>533</v>
      </c>
      <c r="D111" s="5">
        <v>2</v>
      </c>
      <c r="E111" s="5" t="str">
        <f t="shared" si="183"/>
        <v>92294.png</v>
      </c>
      <c r="F111" s="5">
        <f t="shared" si="122"/>
        <v>4</v>
      </c>
      <c r="G111" s="5">
        <f t="shared" si="184"/>
        <v>67</v>
      </c>
      <c r="H111" s="5"/>
      <c r="I111" s="5"/>
      <c r="J111" s="5"/>
      <c r="K111" s="98"/>
      <c r="L111" s="5"/>
      <c r="M111" s="5" t="str">
        <f t="shared" si="185"/>
        <v/>
      </c>
      <c r="N111" s="5"/>
      <c r="O111" s="5"/>
      <c r="P111" s="5" t="str">
        <f t="shared" si="186"/>
        <v/>
      </c>
      <c r="Q111" s="5"/>
      <c r="R111" s="5"/>
      <c r="S111" s="5" t="str">
        <f t="shared" si="187"/>
        <v/>
      </c>
      <c r="T111" s="5"/>
      <c r="U111" s="5"/>
      <c r="V111" s="39">
        <f t="shared" si="174"/>
        <v>500</v>
      </c>
      <c r="W111">
        <f t="shared" si="127"/>
        <v>40</v>
      </c>
      <c r="Z111">
        <f>VLOOKUP(A111,CHOOSE({1,2},N36:N166,A36:A166),2,FALSE)</f>
        <v>92294</v>
      </c>
      <c r="AA111">
        <f t="shared" si="168"/>
        <v>44</v>
      </c>
      <c r="AB111">
        <f t="shared" si="129"/>
        <v>2.2000000000000002</v>
      </c>
      <c r="AD111">
        <f t="shared" si="182"/>
        <v>500</v>
      </c>
      <c r="AL111">
        <f>CHOOSE(2,1,COUNTIF(D_马仔培养宝物!$F$2:$K$229,D_马仔宝物!A111))</f>
        <v>0</v>
      </c>
      <c r="AM111">
        <f t="shared" si="198"/>
        <v>93294</v>
      </c>
      <c r="AT111">
        <f t="shared" si="188"/>
        <v>500</v>
      </c>
      <c r="AV111">
        <f t="shared" si="199"/>
        <v>93294</v>
      </c>
      <c r="BA111">
        <f t="shared" si="189"/>
        <v>0</v>
      </c>
      <c r="BC111">
        <f t="shared" si="200"/>
        <v>93294</v>
      </c>
      <c r="BJ111">
        <f t="shared" si="201"/>
        <v>93294</v>
      </c>
      <c r="BO111">
        <f t="shared" si="190"/>
        <v>0</v>
      </c>
      <c r="BQ111">
        <f t="shared" si="202"/>
        <v>93294</v>
      </c>
      <c r="BV111">
        <f t="shared" si="191"/>
        <v>0</v>
      </c>
      <c r="BX111">
        <f t="shared" si="175"/>
        <v>93294</v>
      </c>
      <c r="BY111">
        <f t="shared" si="176"/>
        <v>0</v>
      </c>
      <c r="BZ111">
        <f t="shared" si="192"/>
        <v>0</v>
      </c>
      <c r="CA111">
        <f t="shared" si="177"/>
        <v>0</v>
      </c>
      <c r="CB111">
        <f t="shared" si="193"/>
        <v>0</v>
      </c>
      <c r="CC111">
        <f t="shared" si="194"/>
        <v>0</v>
      </c>
      <c r="CE111">
        <f t="shared" si="178"/>
        <v>93294</v>
      </c>
      <c r="CF111">
        <f t="shared" si="179"/>
        <v>0</v>
      </c>
      <c r="CG111">
        <f t="shared" si="195"/>
        <v>0</v>
      </c>
      <c r="CH111">
        <f t="shared" si="180"/>
        <v>0</v>
      </c>
      <c r="CI111">
        <f t="shared" si="196"/>
        <v>0</v>
      </c>
      <c r="CJ111">
        <f t="shared" si="197"/>
        <v>0</v>
      </c>
    </row>
    <row r="112" spans="1:88">
      <c r="A112" s="5">
        <f t="shared" si="120"/>
        <v>93295</v>
      </c>
      <c r="B112" s="5" t="str">
        <f t="shared" si="181"/>
        <v>水晶宝盒碎片</v>
      </c>
      <c r="C112" s="5" t="s">
        <v>534</v>
      </c>
      <c r="D112" s="5">
        <v>2</v>
      </c>
      <c r="E112" s="5" t="str">
        <f t="shared" si="183"/>
        <v>92295.png</v>
      </c>
      <c r="F112" s="5">
        <f t="shared" si="122"/>
        <v>4</v>
      </c>
      <c r="G112" s="5">
        <f t="shared" si="184"/>
        <v>67</v>
      </c>
      <c r="H112" s="5"/>
      <c r="I112" s="5"/>
      <c r="J112" s="5"/>
      <c r="K112" s="98"/>
      <c r="L112" s="5"/>
      <c r="M112" s="5" t="str">
        <f t="shared" si="185"/>
        <v/>
      </c>
      <c r="N112" s="5"/>
      <c r="O112" s="5"/>
      <c r="P112" s="5" t="str">
        <f t="shared" si="186"/>
        <v/>
      </c>
      <c r="Q112" s="5"/>
      <c r="R112" s="5"/>
      <c r="S112" s="5" t="str">
        <f t="shared" si="187"/>
        <v/>
      </c>
      <c r="T112" s="5"/>
      <c r="U112" s="5"/>
      <c r="V112" s="39">
        <f t="shared" si="174"/>
        <v>380</v>
      </c>
      <c r="W112">
        <f t="shared" si="127"/>
        <v>40</v>
      </c>
      <c r="Z112">
        <f>VLOOKUP(A112,CHOOSE({1,2},N37:N167,A37:A167),2,FALSE)</f>
        <v>92295</v>
      </c>
      <c r="AA112">
        <f t="shared" si="168"/>
        <v>0</v>
      </c>
      <c r="AB112">
        <f t="shared" si="129"/>
        <v>4.1160000000000005</v>
      </c>
      <c r="AD112">
        <f t="shared" si="182"/>
        <v>380</v>
      </c>
      <c r="AL112">
        <f>CHOOSE(2,1,COUNTIF(D_马仔培养宝物!$F$2:$K$229,D_马仔宝物!A112))</f>
        <v>0</v>
      </c>
      <c r="AM112">
        <f t="shared" si="198"/>
        <v>93295</v>
      </c>
      <c r="AT112">
        <f t="shared" si="188"/>
        <v>380</v>
      </c>
      <c r="AV112">
        <f t="shared" si="199"/>
        <v>93295</v>
      </c>
      <c r="BA112">
        <f t="shared" si="189"/>
        <v>0</v>
      </c>
      <c r="BC112">
        <f t="shared" si="200"/>
        <v>93295</v>
      </c>
      <c r="BJ112">
        <f t="shared" si="201"/>
        <v>93295</v>
      </c>
      <c r="BO112">
        <f t="shared" si="190"/>
        <v>0</v>
      </c>
      <c r="BQ112">
        <f t="shared" si="202"/>
        <v>93295</v>
      </c>
      <c r="BV112">
        <f t="shared" si="191"/>
        <v>0</v>
      </c>
      <c r="BX112">
        <f t="shared" si="175"/>
        <v>93295</v>
      </c>
      <c r="BY112">
        <f t="shared" si="176"/>
        <v>0</v>
      </c>
      <c r="BZ112">
        <f t="shared" si="192"/>
        <v>0</v>
      </c>
      <c r="CA112">
        <f t="shared" si="177"/>
        <v>0</v>
      </c>
      <c r="CB112">
        <f t="shared" si="193"/>
        <v>0</v>
      </c>
      <c r="CC112">
        <f t="shared" si="194"/>
        <v>0</v>
      </c>
      <c r="CE112">
        <f t="shared" si="178"/>
        <v>93295</v>
      </c>
      <c r="CF112">
        <f t="shared" si="179"/>
        <v>0</v>
      </c>
      <c r="CG112">
        <f t="shared" si="195"/>
        <v>0</v>
      </c>
      <c r="CH112">
        <f t="shared" si="180"/>
        <v>0</v>
      </c>
      <c r="CI112">
        <f t="shared" si="196"/>
        <v>0</v>
      </c>
      <c r="CJ112">
        <f t="shared" si="197"/>
        <v>0</v>
      </c>
    </row>
    <row r="113" spans="1:88">
      <c r="A113" s="5">
        <f t="shared" si="120"/>
        <v>93262</v>
      </c>
      <c r="B113" s="5" t="str">
        <f t="shared" si="181"/>
        <v>皇家项链碎片</v>
      </c>
      <c r="C113" s="5" t="s">
        <v>535</v>
      </c>
      <c r="D113" s="5">
        <v>2</v>
      </c>
      <c r="E113" s="5" t="str">
        <f t="shared" si="183"/>
        <v>92262.png</v>
      </c>
      <c r="F113" s="5">
        <f t="shared" si="122"/>
        <v>4</v>
      </c>
      <c r="G113" s="5">
        <f t="shared" si="184"/>
        <v>68</v>
      </c>
      <c r="H113" s="5"/>
      <c r="I113" s="5"/>
      <c r="J113" s="5"/>
      <c r="K113" s="98"/>
      <c r="L113" s="5"/>
      <c r="M113" s="5" t="str">
        <f t="shared" si="185"/>
        <v/>
      </c>
      <c r="N113" s="5"/>
      <c r="O113" s="5"/>
      <c r="P113" s="5" t="str">
        <f t="shared" si="186"/>
        <v/>
      </c>
      <c r="Q113" s="5"/>
      <c r="R113" s="5"/>
      <c r="S113" s="5" t="str">
        <f t="shared" si="187"/>
        <v/>
      </c>
      <c r="T113" s="5"/>
      <c r="U113" s="5"/>
      <c r="V113" s="39">
        <f t="shared" si="174"/>
        <v>280</v>
      </c>
      <c r="W113">
        <f t="shared" si="127"/>
        <v>40</v>
      </c>
      <c r="Z113">
        <f>VLOOKUP(A113,CHOOSE({1,2},N38:N168,A38:A168),2,FALSE)</f>
        <v>92262</v>
      </c>
      <c r="AA113">
        <f t="shared" si="168"/>
        <v>0</v>
      </c>
      <c r="AB113">
        <f t="shared" si="129"/>
        <v>5.25</v>
      </c>
      <c r="AD113">
        <f t="shared" si="182"/>
        <v>280</v>
      </c>
      <c r="AL113">
        <f>CHOOSE(2,1,COUNTIF(D_马仔培养宝物!$F$2:$K$229,D_马仔宝物!A113))</f>
        <v>0</v>
      </c>
      <c r="AM113">
        <f t="shared" si="198"/>
        <v>93262</v>
      </c>
      <c r="AT113">
        <f t="shared" si="188"/>
        <v>280</v>
      </c>
      <c r="AV113">
        <f t="shared" si="199"/>
        <v>93262</v>
      </c>
      <c r="BA113">
        <f t="shared" si="189"/>
        <v>0</v>
      </c>
      <c r="BC113">
        <f t="shared" si="200"/>
        <v>93262</v>
      </c>
      <c r="BJ113">
        <f t="shared" si="201"/>
        <v>93262</v>
      </c>
      <c r="BO113">
        <f t="shared" si="190"/>
        <v>0</v>
      </c>
      <c r="BQ113">
        <f t="shared" si="202"/>
        <v>93262</v>
      </c>
      <c r="BV113">
        <f t="shared" si="191"/>
        <v>0</v>
      </c>
      <c r="BX113">
        <f t="shared" si="175"/>
        <v>93262</v>
      </c>
      <c r="BY113">
        <f t="shared" si="176"/>
        <v>0</v>
      </c>
      <c r="BZ113">
        <f t="shared" si="192"/>
        <v>0</v>
      </c>
      <c r="CA113">
        <f t="shared" si="177"/>
        <v>0</v>
      </c>
      <c r="CB113">
        <f t="shared" si="193"/>
        <v>0</v>
      </c>
      <c r="CC113">
        <f t="shared" si="194"/>
        <v>0</v>
      </c>
      <c r="CE113">
        <f t="shared" si="178"/>
        <v>93262</v>
      </c>
      <c r="CF113">
        <f t="shared" si="179"/>
        <v>0</v>
      </c>
      <c r="CG113">
        <f t="shared" si="195"/>
        <v>0</v>
      </c>
      <c r="CH113">
        <f t="shared" si="180"/>
        <v>0</v>
      </c>
      <c r="CI113">
        <f t="shared" si="196"/>
        <v>0</v>
      </c>
      <c r="CJ113">
        <f t="shared" si="197"/>
        <v>0</v>
      </c>
    </row>
    <row r="114" spans="1:88">
      <c r="A114" s="5">
        <f t="shared" si="120"/>
        <v>93298</v>
      </c>
      <c r="B114" s="5" t="str">
        <f t="shared" si="181"/>
        <v>海洋之泪碎片</v>
      </c>
      <c r="C114" s="5" t="s">
        <v>536</v>
      </c>
      <c r="D114" s="5">
        <v>2</v>
      </c>
      <c r="E114" s="5" t="str">
        <f t="shared" si="183"/>
        <v>92298.png</v>
      </c>
      <c r="F114" s="5">
        <f t="shared" si="122"/>
        <v>4</v>
      </c>
      <c r="G114" s="5">
        <f t="shared" si="184"/>
        <v>68</v>
      </c>
      <c r="H114" s="5"/>
      <c r="I114" s="5"/>
      <c r="J114" s="5"/>
      <c r="K114" s="98"/>
      <c r="L114" s="5"/>
      <c r="M114" s="5" t="str">
        <f t="shared" si="185"/>
        <v/>
      </c>
      <c r="N114" s="5"/>
      <c r="O114" s="5"/>
      <c r="P114" s="5" t="str">
        <f t="shared" si="186"/>
        <v/>
      </c>
      <c r="Q114" s="5"/>
      <c r="R114" s="5"/>
      <c r="S114" s="5" t="str">
        <f t="shared" si="187"/>
        <v/>
      </c>
      <c r="T114" s="5"/>
      <c r="U114" s="5"/>
      <c r="V114" s="39">
        <f t="shared" si="174"/>
        <v>340</v>
      </c>
      <c r="W114">
        <f t="shared" si="127"/>
        <v>40</v>
      </c>
      <c r="Z114">
        <f>VLOOKUP(A114,CHOOSE({1,2},N39:N169,A39:A169),2,FALSE)</f>
        <v>92298</v>
      </c>
      <c r="AA114">
        <f t="shared" si="168"/>
        <v>44</v>
      </c>
      <c r="AB114">
        <f t="shared" si="129"/>
        <v>2.2000000000000002</v>
      </c>
      <c r="AD114">
        <f t="shared" si="182"/>
        <v>340</v>
      </c>
      <c r="AL114">
        <f>CHOOSE(2,1,COUNTIF(D_马仔培养宝物!$F$2:$K$229,D_马仔宝物!A114))</f>
        <v>0</v>
      </c>
      <c r="AM114">
        <f t="shared" si="198"/>
        <v>93298</v>
      </c>
      <c r="AT114">
        <f t="shared" si="188"/>
        <v>340</v>
      </c>
      <c r="AV114">
        <f t="shared" si="199"/>
        <v>93298</v>
      </c>
      <c r="BA114">
        <f t="shared" si="189"/>
        <v>0</v>
      </c>
      <c r="BC114">
        <f t="shared" si="200"/>
        <v>93298</v>
      </c>
      <c r="BJ114">
        <f t="shared" si="201"/>
        <v>93298</v>
      </c>
      <c r="BO114">
        <f t="shared" si="190"/>
        <v>0</v>
      </c>
      <c r="BQ114">
        <f t="shared" si="202"/>
        <v>93298</v>
      </c>
      <c r="BV114">
        <f t="shared" si="191"/>
        <v>0</v>
      </c>
      <c r="BX114">
        <f t="shared" si="175"/>
        <v>93298</v>
      </c>
      <c r="BY114">
        <f t="shared" si="176"/>
        <v>0</v>
      </c>
      <c r="BZ114">
        <f t="shared" si="192"/>
        <v>0</v>
      </c>
      <c r="CA114">
        <f t="shared" si="177"/>
        <v>0</v>
      </c>
      <c r="CB114">
        <f t="shared" si="193"/>
        <v>0</v>
      </c>
      <c r="CC114">
        <f t="shared" si="194"/>
        <v>0</v>
      </c>
      <c r="CE114">
        <f t="shared" si="178"/>
        <v>93298</v>
      </c>
      <c r="CF114">
        <f t="shared" si="179"/>
        <v>0</v>
      </c>
      <c r="CG114">
        <f t="shared" si="195"/>
        <v>0</v>
      </c>
      <c r="CH114">
        <f t="shared" si="180"/>
        <v>0</v>
      </c>
      <c r="CI114">
        <f t="shared" si="196"/>
        <v>0</v>
      </c>
      <c r="CJ114">
        <f t="shared" si="197"/>
        <v>0</v>
      </c>
    </row>
    <row r="115" spans="1:88">
      <c r="A115" s="5">
        <f t="shared" si="120"/>
        <v>93276</v>
      </c>
      <c r="B115" s="5" t="str">
        <f t="shared" si="181"/>
        <v>壕利手表碎片</v>
      </c>
      <c r="C115" s="5" t="s">
        <v>537</v>
      </c>
      <c r="D115" s="5">
        <v>2</v>
      </c>
      <c r="E115" s="5" t="str">
        <f t="shared" si="183"/>
        <v>92276.png</v>
      </c>
      <c r="F115" s="5">
        <f t="shared" si="122"/>
        <v>4</v>
      </c>
      <c r="G115" s="5">
        <f t="shared" si="184"/>
        <v>69</v>
      </c>
      <c r="H115" s="5"/>
      <c r="I115" s="5"/>
      <c r="J115" s="5"/>
      <c r="K115" s="98"/>
      <c r="L115" s="5"/>
      <c r="M115" s="5" t="str">
        <f t="shared" si="185"/>
        <v/>
      </c>
      <c r="N115" s="5"/>
      <c r="O115" s="5"/>
      <c r="P115" s="5" t="str">
        <f t="shared" si="186"/>
        <v/>
      </c>
      <c r="Q115" s="5"/>
      <c r="R115" s="5"/>
      <c r="S115" s="5" t="str">
        <f t="shared" si="187"/>
        <v/>
      </c>
      <c r="T115" s="5"/>
      <c r="U115" s="5"/>
      <c r="V115" s="39">
        <f t="shared" si="174"/>
        <v>320</v>
      </c>
      <c r="W115">
        <f t="shared" si="127"/>
        <v>40</v>
      </c>
      <c r="Z115">
        <f>VLOOKUP(A115,CHOOSE({1,2},N40:N170,A40:A170),2,FALSE)</f>
        <v>92276</v>
      </c>
      <c r="AA115">
        <f t="shared" si="168"/>
        <v>0</v>
      </c>
      <c r="AB115">
        <f t="shared" si="129"/>
        <v>4.1160000000000005</v>
      </c>
      <c r="AD115">
        <f t="shared" si="182"/>
        <v>320</v>
      </c>
      <c r="AL115">
        <f>CHOOSE(2,1,COUNTIF(D_马仔培养宝物!$F$2:$K$229,D_马仔宝物!A115))</f>
        <v>0</v>
      </c>
      <c r="AM115">
        <f t="shared" si="198"/>
        <v>93276</v>
      </c>
      <c r="AT115">
        <f t="shared" si="188"/>
        <v>320</v>
      </c>
      <c r="AV115">
        <f t="shared" si="199"/>
        <v>93276</v>
      </c>
      <c r="BA115">
        <f t="shared" si="189"/>
        <v>0</v>
      </c>
      <c r="BC115">
        <f t="shared" si="200"/>
        <v>93276</v>
      </c>
      <c r="BJ115">
        <f t="shared" si="201"/>
        <v>93276</v>
      </c>
      <c r="BO115">
        <f t="shared" si="190"/>
        <v>0</v>
      </c>
      <c r="BQ115">
        <f t="shared" si="202"/>
        <v>93276</v>
      </c>
      <c r="BV115">
        <f t="shared" si="191"/>
        <v>0</v>
      </c>
      <c r="BX115">
        <f t="shared" si="175"/>
        <v>93276</v>
      </c>
      <c r="BY115">
        <f t="shared" si="176"/>
        <v>0</v>
      </c>
      <c r="BZ115">
        <f t="shared" si="192"/>
        <v>0</v>
      </c>
      <c r="CA115">
        <f t="shared" si="177"/>
        <v>0</v>
      </c>
      <c r="CB115">
        <f t="shared" si="193"/>
        <v>0</v>
      </c>
      <c r="CC115">
        <f t="shared" si="194"/>
        <v>0</v>
      </c>
      <c r="CE115">
        <f t="shared" si="178"/>
        <v>93276</v>
      </c>
      <c r="CF115">
        <f t="shared" si="179"/>
        <v>0</v>
      </c>
      <c r="CG115">
        <f t="shared" si="195"/>
        <v>0</v>
      </c>
      <c r="CH115">
        <f t="shared" si="180"/>
        <v>0</v>
      </c>
      <c r="CI115">
        <f t="shared" si="196"/>
        <v>0</v>
      </c>
      <c r="CJ115">
        <f t="shared" si="197"/>
        <v>0</v>
      </c>
    </row>
    <row r="116" spans="1:88">
      <c r="A116" s="5">
        <f t="shared" si="120"/>
        <v>93282</v>
      </c>
      <c r="B116" s="5" t="str">
        <f t="shared" si="181"/>
        <v>劳莱斯特碎片</v>
      </c>
      <c r="C116" s="5" t="s">
        <v>538</v>
      </c>
      <c r="D116" s="5">
        <v>2</v>
      </c>
      <c r="E116" s="5" t="str">
        <f t="shared" si="183"/>
        <v>92282.png</v>
      </c>
      <c r="F116" s="5">
        <f t="shared" si="122"/>
        <v>4</v>
      </c>
      <c r="G116" s="5">
        <f t="shared" si="184"/>
        <v>69</v>
      </c>
      <c r="H116" s="5"/>
      <c r="I116" s="5"/>
      <c r="J116" s="5"/>
      <c r="K116" s="98"/>
      <c r="L116" s="5"/>
      <c r="M116" s="5" t="str">
        <f t="shared" si="185"/>
        <v/>
      </c>
      <c r="N116" s="5"/>
      <c r="O116" s="5"/>
      <c r="P116" s="5" t="str">
        <f t="shared" si="186"/>
        <v/>
      </c>
      <c r="Q116" s="5"/>
      <c r="R116" s="5"/>
      <c r="S116" s="5" t="str">
        <f t="shared" si="187"/>
        <v/>
      </c>
      <c r="T116" s="5"/>
      <c r="U116" s="5"/>
      <c r="V116" s="39">
        <f t="shared" si="174"/>
        <v>280</v>
      </c>
      <c r="W116">
        <f t="shared" si="127"/>
        <v>40</v>
      </c>
      <c r="Z116">
        <f>VLOOKUP(A116,CHOOSE({1,2},N41:N171,A41:A171),2,FALSE)</f>
        <v>92282</v>
      </c>
      <c r="AA116">
        <f t="shared" si="168"/>
        <v>0</v>
      </c>
      <c r="AB116">
        <f t="shared" si="129"/>
        <v>5.25</v>
      </c>
      <c r="AD116">
        <f t="shared" si="182"/>
        <v>280</v>
      </c>
      <c r="AL116">
        <f>CHOOSE(2,1,COUNTIF(D_马仔培养宝物!$F$2:$K$229,D_马仔宝物!A116))</f>
        <v>0</v>
      </c>
      <c r="AM116">
        <f t="shared" si="198"/>
        <v>93282</v>
      </c>
      <c r="AT116">
        <f t="shared" si="188"/>
        <v>280</v>
      </c>
      <c r="AV116">
        <f t="shared" si="199"/>
        <v>93282</v>
      </c>
      <c r="BA116">
        <f t="shared" si="189"/>
        <v>0</v>
      </c>
      <c r="BC116">
        <f t="shared" si="200"/>
        <v>93282</v>
      </c>
      <c r="BJ116">
        <f t="shared" si="201"/>
        <v>93282</v>
      </c>
      <c r="BO116">
        <f t="shared" si="190"/>
        <v>0</v>
      </c>
      <c r="BQ116">
        <f t="shared" si="202"/>
        <v>93282</v>
      </c>
      <c r="BV116">
        <f t="shared" si="191"/>
        <v>0</v>
      </c>
      <c r="BX116">
        <f t="shared" si="175"/>
        <v>93282</v>
      </c>
      <c r="BY116">
        <f t="shared" si="176"/>
        <v>0</v>
      </c>
      <c r="BZ116">
        <f t="shared" si="192"/>
        <v>0</v>
      </c>
      <c r="CA116">
        <f t="shared" si="177"/>
        <v>0</v>
      </c>
      <c r="CB116">
        <f t="shared" si="193"/>
        <v>0</v>
      </c>
      <c r="CC116">
        <f t="shared" si="194"/>
        <v>0</v>
      </c>
      <c r="CE116">
        <f t="shared" si="178"/>
        <v>93282</v>
      </c>
      <c r="CF116">
        <f t="shared" si="179"/>
        <v>0</v>
      </c>
      <c r="CG116">
        <f t="shared" si="195"/>
        <v>0</v>
      </c>
      <c r="CH116">
        <f t="shared" si="180"/>
        <v>0</v>
      </c>
      <c r="CI116">
        <f t="shared" si="196"/>
        <v>0</v>
      </c>
      <c r="CJ116">
        <f t="shared" si="197"/>
        <v>0</v>
      </c>
    </row>
    <row r="117" spans="1:88">
      <c r="A117" s="5">
        <f t="shared" si="120"/>
        <v>93299</v>
      </c>
      <c r="B117" s="5" t="str">
        <f t="shared" si="181"/>
        <v>房产证碎片</v>
      </c>
      <c r="C117" s="5" t="s">
        <v>539</v>
      </c>
      <c r="D117" s="5">
        <v>2</v>
      </c>
      <c r="E117" s="5" t="str">
        <f t="shared" ref="E117:G118" si="203">E63</f>
        <v>92299.png</v>
      </c>
      <c r="F117" s="5">
        <f t="shared" si="122"/>
        <v>4</v>
      </c>
      <c r="G117" s="5">
        <f t="shared" si="203"/>
        <v>70</v>
      </c>
      <c r="H117" s="5"/>
      <c r="I117" s="5"/>
      <c r="J117" s="5"/>
      <c r="K117" s="98"/>
      <c r="L117" s="5"/>
      <c r="M117" s="5" t="str">
        <f t="shared" si="185"/>
        <v/>
      </c>
      <c r="N117" s="5"/>
      <c r="O117" s="5"/>
      <c r="P117" s="5" t="str">
        <f t="shared" si="186"/>
        <v/>
      </c>
      <c r="Q117" s="5"/>
      <c r="R117" s="5"/>
      <c r="S117" s="5" t="str">
        <f t="shared" si="187"/>
        <v/>
      </c>
      <c r="T117" s="5"/>
      <c r="U117" s="5"/>
      <c r="V117" s="39">
        <f t="shared" si="174"/>
        <v>500</v>
      </c>
      <c r="W117">
        <f t="shared" si="127"/>
        <v>40</v>
      </c>
      <c r="Z117">
        <f>VLOOKUP(A117,CHOOSE({1,2},N42:N172,A42:A172),2,FALSE)</f>
        <v>92299</v>
      </c>
      <c r="AA117">
        <f t="shared" si="168"/>
        <v>44</v>
      </c>
      <c r="AB117">
        <f t="shared" si="129"/>
        <v>2.2000000000000002</v>
      </c>
      <c r="AD117">
        <f t="shared" si="182"/>
        <v>500</v>
      </c>
      <c r="AL117">
        <f>CHOOSE(2,1,COUNTIF(D_马仔培养宝物!$F$2:$K$229,D_马仔宝物!A117))</f>
        <v>0</v>
      </c>
      <c r="AM117">
        <f t="shared" si="198"/>
        <v>93299</v>
      </c>
      <c r="AT117">
        <f t="shared" si="188"/>
        <v>500</v>
      </c>
      <c r="AV117">
        <f t="shared" si="199"/>
        <v>93299</v>
      </c>
      <c r="BA117">
        <f t="shared" si="189"/>
        <v>0</v>
      </c>
      <c r="BC117">
        <f t="shared" si="200"/>
        <v>93299</v>
      </c>
      <c r="BJ117">
        <f t="shared" si="201"/>
        <v>93299</v>
      </c>
      <c r="BO117">
        <f t="shared" si="190"/>
        <v>0</v>
      </c>
      <c r="BQ117">
        <f t="shared" si="202"/>
        <v>93299</v>
      </c>
      <c r="BV117">
        <f t="shared" si="191"/>
        <v>0</v>
      </c>
      <c r="BX117">
        <f t="shared" si="175"/>
        <v>93299</v>
      </c>
      <c r="BY117">
        <f t="shared" si="176"/>
        <v>0</v>
      </c>
      <c r="BZ117">
        <f t="shared" si="192"/>
        <v>0</v>
      </c>
      <c r="CA117">
        <f t="shared" si="177"/>
        <v>0</v>
      </c>
      <c r="CB117">
        <f t="shared" si="193"/>
        <v>0</v>
      </c>
      <c r="CC117">
        <f t="shared" si="194"/>
        <v>0</v>
      </c>
      <c r="CE117">
        <f t="shared" si="178"/>
        <v>93299</v>
      </c>
      <c r="CF117">
        <f t="shared" si="179"/>
        <v>0</v>
      </c>
      <c r="CG117">
        <f t="shared" si="195"/>
        <v>0</v>
      </c>
      <c r="CH117">
        <f t="shared" si="180"/>
        <v>0</v>
      </c>
      <c r="CI117">
        <f t="shared" si="196"/>
        <v>0</v>
      </c>
      <c r="CJ117">
        <f t="shared" si="197"/>
        <v>0</v>
      </c>
    </row>
    <row r="118" spans="1:88">
      <c r="A118" s="5">
        <f t="shared" si="120"/>
        <v>93291</v>
      </c>
      <c r="B118" s="5" t="str">
        <f t="shared" si="181"/>
        <v>巨量金块碎片</v>
      </c>
      <c r="C118" s="5" t="s">
        <v>540</v>
      </c>
      <c r="D118" s="5">
        <v>2</v>
      </c>
      <c r="E118" s="5" t="str">
        <f t="shared" si="203"/>
        <v>92291.png</v>
      </c>
      <c r="F118" s="5">
        <f t="shared" si="122"/>
        <v>4</v>
      </c>
      <c r="G118" s="5">
        <f t="shared" si="203"/>
        <v>70</v>
      </c>
      <c r="H118" s="5"/>
      <c r="I118" s="5"/>
      <c r="J118" s="5"/>
      <c r="K118" s="98"/>
      <c r="L118" s="5"/>
      <c r="M118" s="5" t="str">
        <f t="shared" si="185"/>
        <v/>
      </c>
      <c r="N118" s="5"/>
      <c r="O118" s="5"/>
      <c r="P118" s="5" t="str">
        <f t="shared" si="186"/>
        <v/>
      </c>
      <c r="Q118" s="5"/>
      <c r="R118" s="5"/>
      <c r="S118" s="5" t="str">
        <f t="shared" si="187"/>
        <v/>
      </c>
      <c r="T118" s="5"/>
      <c r="U118" s="5"/>
      <c r="V118" s="39">
        <f t="shared" si="174"/>
        <v>520</v>
      </c>
      <c r="W118">
        <f t="shared" si="127"/>
        <v>40</v>
      </c>
      <c r="Z118">
        <f>VLOOKUP(A118,CHOOSE({1,2},N43:N173,A43:A173),2,FALSE)</f>
        <v>92291</v>
      </c>
      <c r="AA118">
        <f t="shared" si="168"/>
        <v>0</v>
      </c>
      <c r="AB118">
        <f t="shared" si="129"/>
        <v>4.1160000000000005</v>
      </c>
      <c r="AD118">
        <f t="shared" si="182"/>
        <v>520</v>
      </c>
      <c r="AL118">
        <f>CHOOSE(2,1,COUNTIF(D_马仔培养宝物!$F$2:$K$229,D_马仔宝物!A118))</f>
        <v>0</v>
      </c>
      <c r="AM118">
        <f t="shared" si="198"/>
        <v>93291</v>
      </c>
      <c r="AT118">
        <f t="shared" si="188"/>
        <v>520</v>
      </c>
      <c r="AV118">
        <f t="shared" si="199"/>
        <v>93291</v>
      </c>
      <c r="BA118">
        <f t="shared" si="189"/>
        <v>0</v>
      </c>
      <c r="BC118">
        <f t="shared" si="200"/>
        <v>93291</v>
      </c>
      <c r="BJ118">
        <f t="shared" si="201"/>
        <v>93291</v>
      </c>
      <c r="BO118">
        <f t="shared" si="190"/>
        <v>0</v>
      </c>
      <c r="BQ118">
        <f t="shared" si="202"/>
        <v>93291</v>
      </c>
      <c r="BV118">
        <f t="shared" si="191"/>
        <v>0</v>
      </c>
      <c r="BX118">
        <f t="shared" si="175"/>
        <v>93291</v>
      </c>
      <c r="BY118">
        <f t="shared" si="176"/>
        <v>0</v>
      </c>
      <c r="BZ118">
        <f t="shared" si="192"/>
        <v>0</v>
      </c>
      <c r="CA118">
        <f t="shared" si="177"/>
        <v>0</v>
      </c>
      <c r="CB118">
        <f t="shared" si="193"/>
        <v>0</v>
      </c>
      <c r="CC118">
        <f t="shared" si="194"/>
        <v>0</v>
      </c>
      <c r="CE118">
        <f t="shared" si="178"/>
        <v>93291</v>
      </c>
      <c r="CF118">
        <f t="shared" si="179"/>
        <v>0</v>
      </c>
      <c r="CG118">
        <f t="shared" si="195"/>
        <v>0</v>
      </c>
      <c r="CH118">
        <f t="shared" si="180"/>
        <v>0</v>
      </c>
      <c r="CI118">
        <f t="shared" si="196"/>
        <v>0</v>
      </c>
      <c r="CJ118">
        <f t="shared" si="197"/>
        <v>0</v>
      </c>
    </row>
  </sheetData>
  <autoFilter ref="G1:G84"/>
  <phoneticPr fontId="1" type="noConversion"/>
  <conditionalFormatting sqref="Y2:AA64">
    <cfRule type="expression" dxfId="1127" priority="647">
      <formula>$U2=1000</formula>
    </cfRule>
  </conditionalFormatting>
  <conditionalFormatting sqref="Y2:AA64">
    <cfRule type="cellIs" dxfId="1126" priority="646" operator="greaterThan">
      <formula>0</formula>
    </cfRule>
  </conditionalFormatting>
  <conditionalFormatting sqref="A2">
    <cfRule type="duplicateValues" dxfId="1125" priority="1769" stopIfTrue="1"/>
  </conditionalFormatting>
  <conditionalFormatting sqref="Q2:R10 Q77:R118 T2:U10 T77:U118 L77:O118 B77:C118 B66:B76 L66:L76 G66:J118 Q11:Q22 T11:T31 T39:T64 Q43:Q64 A2:J64 L2:O64 E66:E118">
    <cfRule type="expression" dxfId="1124" priority="382">
      <formula>$F2=4</formula>
    </cfRule>
    <cfRule type="expression" dxfId="1123" priority="383">
      <formula>$F2=3</formula>
    </cfRule>
    <cfRule type="expression" dxfId="1122" priority="386">
      <formula>$F2=2</formula>
    </cfRule>
    <cfRule type="expression" dxfId="1121" priority="387">
      <formula>$F2=1</formula>
    </cfRule>
    <cfRule type="expression" dxfId="1120" priority="388">
      <formula>$F2=0</formula>
    </cfRule>
  </conditionalFormatting>
  <conditionalFormatting sqref="N77:N118 A3:A64 G66:G118 N3:N64 G2:G64">
    <cfRule type="duplicateValues" dxfId="1119" priority="1785" stopIfTrue="1"/>
  </conditionalFormatting>
  <conditionalFormatting sqref="Q27:Q30 Q23:Q25 R11:R64">
    <cfRule type="expression" dxfId="1118" priority="361">
      <formula>$F11=4</formula>
    </cfRule>
    <cfRule type="expression" dxfId="1117" priority="362">
      <formula>$F11=3</formula>
    </cfRule>
    <cfRule type="expression" dxfId="1116" priority="363">
      <formula>$F11=2</formula>
    </cfRule>
    <cfRule type="expression" dxfId="1115" priority="364">
      <formula>$F11=1</formula>
    </cfRule>
    <cfRule type="expression" dxfId="1114" priority="365">
      <formula>$F11=0</formula>
    </cfRule>
  </conditionalFormatting>
  <conditionalFormatting sqref="Q23:Q25">
    <cfRule type="duplicateValues" dxfId="1113" priority="359" stopIfTrue="1"/>
  </conditionalFormatting>
  <conditionalFormatting sqref="Q27:Q30">
    <cfRule type="duplicateValues" dxfId="1112" priority="360" stopIfTrue="1"/>
  </conditionalFormatting>
  <conditionalFormatting sqref="Q23:Q25">
    <cfRule type="duplicateValues" dxfId="1111" priority="358" stopIfTrue="1"/>
  </conditionalFormatting>
  <conditionalFormatting sqref="Q27">
    <cfRule type="duplicateValues" dxfId="1110" priority="354" stopIfTrue="1"/>
  </conditionalFormatting>
  <conditionalFormatting sqref="Q28">
    <cfRule type="duplicateValues" dxfId="1109" priority="353" stopIfTrue="1"/>
  </conditionalFormatting>
  <conditionalFormatting sqref="P2:P64 P77:P118">
    <cfRule type="expression" dxfId="1108" priority="331">
      <formula>$F2=4</formula>
    </cfRule>
    <cfRule type="expression" dxfId="1107" priority="332">
      <formula>$F2=3</formula>
    </cfRule>
    <cfRule type="expression" dxfId="1106" priority="333">
      <formula>$F2=2</formula>
    </cfRule>
    <cfRule type="expression" dxfId="1105" priority="334">
      <formula>$F2=1</formula>
    </cfRule>
    <cfRule type="expression" dxfId="1104" priority="335">
      <formula>$F2=0</formula>
    </cfRule>
  </conditionalFormatting>
  <conditionalFormatting sqref="T33:T35">
    <cfRule type="expression" dxfId="1103" priority="326">
      <formula>$F33=4</formula>
    </cfRule>
    <cfRule type="expression" dxfId="1102" priority="327">
      <formula>$F33=3</formula>
    </cfRule>
    <cfRule type="expression" dxfId="1101" priority="328">
      <formula>$F33=2</formula>
    </cfRule>
    <cfRule type="expression" dxfId="1100" priority="329">
      <formula>$F33=1</formula>
    </cfRule>
    <cfRule type="expression" dxfId="1099" priority="330">
      <formula>$F33=0</formula>
    </cfRule>
  </conditionalFormatting>
  <conditionalFormatting sqref="T33">
    <cfRule type="duplicateValues" dxfId="1098" priority="324" stopIfTrue="1"/>
  </conditionalFormatting>
  <conditionalFormatting sqref="T34">
    <cfRule type="duplicateValues" dxfId="1097" priority="323" stopIfTrue="1"/>
  </conditionalFormatting>
  <conditionalFormatting sqref="T35">
    <cfRule type="duplicateValues" dxfId="1096" priority="322" stopIfTrue="1"/>
  </conditionalFormatting>
  <conditionalFormatting sqref="S2:S64 S77:S118">
    <cfRule type="expression" dxfId="1095" priority="314">
      <formula>$F2=4</formula>
    </cfRule>
    <cfRule type="expression" dxfId="1094" priority="315">
      <formula>$F2=3</formula>
    </cfRule>
    <cfRule type="expression" dxfId="1093" priority="316">
      <formula>$F2=2</formula>
    </cfRule>
    <cfRule type="expression" dxfId="1092" priority="317">
      <formula>$F2=1</formula>
    </cfRule>
    <cfRule type="expression" dxfId="1091" priority="318">
      <formula>$F2=0</formula>
    </cfRule>
  </conditionalFormatting>
  <conditionalFormatting sqref="T40">
    <cfRule type="duplicateValues" dxfId="1090" priority="307" stopIfTrue="1"/>
  </conditionalFormatting>
  <conditionalFormatting sqref="T41:T42">
    <cfRule type="duplicateValues" dxfId="1089" priority="300" stopIfTrue="1"/>
  </conditionalFormatting>
  <conditionalFormatting sqref="T42">
    <cfRule type="duplicateValues" dxfId="1088" priority="287" stopIfTrue="1"/>
  </conditionalFormatting>
  <conditionalFormatting sqref="Q40:Q42">
    <cfRule type="expression" dxfId="1087" priority="281">
      <formula>$F40=4</formula>
    </cfRule>
    <cfRule type="expression" dxfId="1086" priority="282">
      <formula>$F40=3</formula>
    </cfRule>
    <cfRule type="expression" dxfId="1085" priority="283">
      <formula>$F40=2</formula>
    </cfRule>
    <cfRule type="expression" dxfId="1084" priority="284">
      <formula>$F40=1</formula>
    </cfRule>
    <cfRule type="expression" dxfId="1083" priority="285">
      <formula>$F40=0</formula>
    </cfRule>
  </conditionalFormatting>
  <conditionalFormatting sqref="Q40:Q42">
    <cfRule type="duplicateValues" dxfId="1082" priority="286" stopIfTrue="1"/>
  </conditionalFormatting>
  <conditionalFormatting sqref="Q36">
    <cfRule type="expression" dxfId="1081" priority="275">
      <formula>$F36=4</formula>
    </cfRule>
    <cfRule type="expression" dxfId="1080" priority="276">
      <formula>$F36=3</formula>
    </cfRule>
    <cfRule type="expression" dxfId="1079" priority="277">
      <formula>$F36=2</formula>
    </cfRule>
    <cfRule type="expression" dxfId="1078" priority="278">
      <formula>$F36=1</formula>
    </cfRule>
    <cfRule type="expression" dxfId="1077" priority="279">
      <formula>$F36=0</formula>
    </cfRule>
  </conditionalFormatting>
  <conditionalFormatting sqref="Q36">
    <cfRule type="duplicateValues" dxfId="1076" priority="280" stopIfTrue="1"/>
  </conditionalFormatting>
  <conditionalFormatting sqref="T27">
    <cfRule type="duplicateValues" dxfId="1075" priority="274" stopIfTrue="1"/>
  </conditionalFormatting>
  <conditionalFormatting sqref="T25">
    <cfRule type="duplicateValues" dxfId="1074" priority="273" stopIfTrue="1"/>
  </conditionalFormatting>
  <conditionalFormatting sqref="T24">
    <cfRule type="duplicateValues" dxfId="1073" priority="272" stopIfTrue="1"/>
  </conditionalFormatting>
  <conditionalFormatting sqref="T42">
    <cfRule type="duplicateValues" dxfId="1072" priority="271" stopIfTrue="1"/>
  </conditionalFormatting>
  <conditionalFormatting sqref="T28">
    <cfRule type="duplicateValues" dxfId="1071" priority="270" stopIfTrue="1"/>
  </conditionalFormatting>
  <conditionalFormatting sqref="T26">
    <cfRule type="duplicateValues" dxfId="1070" priority="269" stopIfTrue="1"/>
  </conditionalFormatting>
  <conditionalFormatting sqref="T23">
    <cfRule type="duplicateValues" dxfId="1069" priority="262" stopIfTrue="1"/>
  </conditionalFormatting>
  <conditionalFormatting sqref="Q38">
    <cfRule type="expression" dxfId="1068" priority="256">
      <formula>$F38=4</formula>
    </cfRule>
    <cfRule type="expression" dxfId="1067" priority="257">
      <formula>$F38=3</formula>
    </cfRule>
    <cfRule type="expression" dxfId="1066" priority="258">
      <formula>$F38=2</formula>
    </cfRule>
    <cfRule type="expression" dxfId="1065" priority="259">
      <formula>$F38=1</formula>
    </cfRule>
    <cfRule type="expression" dxfId="1064" priority="260">
      <formula>$F38=0</formula>
    </cfRule>
  </conditionalFormatting>
  <conditionalFormatting sqref="Q38">
    <cfRule type="duplicateValues" dxfId="1063" priority="261" stopIfTrue="1"/>
  </conditionalFormatting>
  <conditionalFormatting sqref="Q43">
    <cfRule type="duplicateValues" dxfId="1062" priority="255" stopIfTrue="1"/>
  </conditionalFormatting>
  <conditionalFormatting sqref="T43">
    <cfRule type="duplicateValues" dxfId="1061" priority="254" stopIfTrue="1"/>
  </conditionalFormatting>
  <conditionalFormatting sqref="Q44">
    <cfRule type="duplicateValues" dxfId="1060" priority="253" stopIfTrue="1"/>
  </conditionalFormatting>
  <conditionalFormatting sqref="Q45">
    <cfRule type="duplicateValues" dxfId="1059" priority="252" stopIfTrue="1"/>
  </conditionalFormatting>
  <conditionalFormatting sqref="T45">
    <cfRule type="duplicateValues" dxfId="1058" priority="251" stopIfTrue="1"/>
  </conditionalFormatting>
  <conditionalFormatting sqref="T44">
    <cfRule type="duplicateValues" dxfId="1057" priority="250" stopIfTrue="1"/>
  </conditionalFormatting>
  <conditionalFormatting sqref="T43">
    <cfRule type="duplicateValues" dxfId="1056" priority="249" stopIfTrue="1"/>
  </conditionalFormatting>
  <conditionalFormatting sqref="T43">
    <cfRule type="duplicateValues" dxfId="1055" priority="248" stopIfTrue="1"/>
  </conditionalFormatting>
  <conditionalFormatting sqref="Q46">
    <cfRule type="duplicateValues" dxfId="1054" priority="247" stopIfTrue="1"/>
  </conditionalFormatting>
  <conditionalFormatting sqref="T46">
    <cfRule type="duplicateValues" dxfId="1053" priority="246" stopIfTrue="1"/>
  </conditionalFormatting>
  <conditionalFormatting sqref="Q47">
    <cfRule type="duplicateValues" dxfId="1052" priority="245" stopIfTrue="1"/>
  </conditionalFormatting>
  <conditionalFormatting sqref="Q47">
    <cfRule type="duplicateValues" dxfId="1051" priority="244" stopIfTrue="1"/>
  </conditionalFormatting>
  <conditionalFormatting sqref="Q48">
    <cfRule type="duplicateValues" dxfId="1050" priority="243" stopIfTrue="1"/>
  </conditionalFormatting>
  <conditionalFormatting sqref="T48">
    <cfRule type="duplicateValues" dxfId="1049" priority="242" stopIfTrue="1"/>
  </conditionalFormatting>
  <conditionalFormatting sqref="Q37">
    <cfRule type="expression" dxfId="1048" priority="236">
      <formula>$F37=4</formula>
    </cfRule>
    <cfRule type="expression" dxfId="1047" priority="237">
      <formula>$F37=3</formula>
    </cfRule>
    <cfRule type="expression" dxfId="1046" priority="238">
      <formula>$F37=2</formula>
    </cfRule>
    <cfRule type="expression" dxfId="1045" priority="239">
      <formula>$F37=1</formula>
    </cfRule>
    <cfRule type="expression" dxfId="1044" priority="240">
      <formula>$F37=0</formula>
    </cfRule>
  </conditionalFormatting>
  <conditionalFormatting sqref="Q37">
    <cfRule type="duplicateValues" dxfId="1043" priority="241" stopIfTrue="1"/>
  </conditionalFormatting>
  <conditionalFormatting sqref="T37">
    <cfRule type="expression" dxfId="1042" priority="230">
      <formula>$F37=4</formula>
    </cfRule>
    <cfRule type="expression" dxfId="1041" priority="231">
      <formula>$F37=3</formula>
    </cfRule>
    <cfRule type="expression" dxfId="1040" priority="232">
      <formula>$F37=2</formula>
    </cfRule>
    <cfRule type="expression" dxfId="1039" priority="233">
      <formula>$F37=1</formula>
    </cfRule>
    <cfRule type="expression" dxfId="1038" priority="234">
      <formula>$F37=0</formula>
    </cfRule>
  </conditionalFormatting>
  <conditionalFormatting sqref="T37">
    <cfRule type="duplicateValues" dxfId="1037" priority="235" stopIfTrue="1"/>
  </conditionalFormatting>
  <conditionalFormatting sqref="T36">
    <cfRule type="expression" dxfId="1036" priority="224">
      <formula>$F36=4</formula>
    </cfRule>
    <cfRule type="expression" dxfId="1035" priority="225">
      <formula>$F36=3</formula>
    </cfRule>
    <cfRule type="expression" dxfId="1034" priority="226">
      <formula>$F36=2</formula>
    </cfRule>
    <cfRule type="expression" dxfId="1033" priority="227">
      <formula>$F36=1</formula>
    </cfRule>
    <cfRule type="expression" dxfId="1032" priority="228">
      <formula>$F36=0</formula>
    </cfRule>
  </conditionalFormatting>
  <conditionalFormatting sqref="T36">
    <cfRule type="duplicateValues" dxfId="1031" priority="229" stopIfTrue="1"/>
  </conditionalFormatting>
  <conditionalFormatting sqref="Q34">
    <cfRule type="expression" dxfId="1030" priority="218">
      <formula>$F34=4</formula>
    </cfRule>
    <cfRule type="expression" dxfId="1029" priority="219">
      <formula>$F34=3</formula>
    </cfRule>
    <cfRule type="expression" dxfId="1028" priority="220">
      <formula>$F34=2</formula>
    </cfRule>
    <cfRule type="expression" dxfId="1027" priority="221">
      <formula>$F34=1</formula>
    </cfRule>
    <cfRule type="expression" dxfId="1026" priority="222">
      <formula>$F34=0</formula>
    </cfRule>
  </conditionalFormatting>
  <conditionalFormatting sqref="Q34">
    <cfRule type="duplicateValues" dxfId="1025" priority="223" stopIfTrue="1"/>
  </conditionalFormatting>
  <conditionalFormatting sqref="Q41">
    <cfRule type="expression" dxfId="1024" priority="212">
      <formula>$F41=4</formula>
    </cfRule>
    <cfRule type="expression" dxfId="1023" priority="213">
      <formula>$F41=3</formula>
    </cfRule>
    <cfRule type="expression" dxfId="1022" priority="214">
      <formula>$F41=2</formula>
    </cfRule>
    <cfRule type="expression" dxfId="1021" priority="215">
      <formula>$F41=1</formula>
    </cfRule>
    <cfRule type="expression" dxfId="1020" priority="216">
      <formula>$F41=0</formula>
    </cfRule>
  </conditionalFormatting>
  <conditionalFormatting sqref="Q41">
    <cfRule type="duplicateValues" dxfId="1019" priority="217" stopIfTrue="1"/>
  </conditionalFormatting>
  <conditionalFormatting sqref="Q36:Q42">
    <cfRule type="expression" dxfId="1018" priority="206">
      <formula>$F36=4</formula>
    </cfRule>
    <cfRule type="expression" dxfId="1017" priority="207">
      <formula>$F36=3</formula>
    </cfRule>
    <cfRule type="expression" dxfId="1016" priority="208">
      <formula>$F36=2</formula>
    </cfRule>
    <cfRule type="expression" dxfId="1015" priority="209">
      <formula>$F36=1</formula>
    </cfRule>
    <cfRule type="expression" dxfId="1014" priority="210">
      <formula>$F36=0</formula>
    </cfRule>
  </conditionalFormatting>
  <conditionalFormatting sqref="Q36:Q42">
    <cfRule type="duplicateValues" dxfId="1013" priority="211" stopIfTrue="1"/>
  </conditionalFormatting>
  <conditionalFormatting sqref="T45">
    <cfRule type="duplicateValues" dxfId="1012" priority="205" stopIfTrue="1"/>
  </conditionalFormatting>
  <conditionalFormatting sqref="T32">
    <cfRule type="expression" dxfId="1011" priority="199">
      <formula>$F32=4</formula>
    </cfRule>
    <cfRule type="expression" dxfId="1010" priority="200">
      <formula>$F32=3</formula>
    </cfRule>
    <cfRule type="expression" dxfId="1009" priority="201">
      <formula>$F32=2</formula>
    </cfRule>
    <cfRule type="expression" dxfId="1008" priority="202">
      <formula>$F32=1</formula>
    </cfRule>
    <cfRule type="expression" dxfId="1007" priority="203">
      <formula>$F32=0</formula>
    </cfRule>
  </conditionalFormatting>
  <conditionalFormatting sqref="T32">
    <cfRule type="duplicateValues" dxfId="1006" priority="204" stopIfTrue="1"/>
  </conditionalFormatting>
  <conditionalFormatting sqref="Q33">
    <cfRule type="duplicateValues" dxfId="1005" priority="198" stopIfTrue="1"/>
  </conditionalFormatting>
  <conditionalFormatting sqref="Q33">
    <cfRule type="expression" dxfId="1004" priority="193">
      <formula>$F33=4</formula>
    </cfRule>
    <cfRule type="expression" dxfId="1003" priority="194">
      <formula>$F33=3</formula>
    </cfRule>
    <cfRule type="expression" dxfId="1002" priority="195">
      <formula>$F33=2</formula>
    </cfRule>
    <cfRule type="expression" dxfId="1001" priority="196">
      <formula>$F33=1</formula>
    </cfRule>
    <cfRule type="expression" dxfId="1000" priority="197">
      <formula>$F33=0</formula>
    </cfRule>
  </conditionalFormatting>
  <conditionalFormatting sqref="Q32">
    <cfRule type="expression" dxfId="999" priority="187">
      <formula>$F32=4</formula>
    </cfRule>
    <cfRule type="expression" dxfId="998" priority="188">
      <formula>$F32=3</formula>
    </cfRule>
    <cfRule type="expression" dxfId="997" priority="189">
      <formula>$F32=2</formula>
    </cfRule>
    <cfRule type="expression" dxfId="996" priority="190">
      <formula>$F32=1</formula>
    </cfRule>
    <cfRule type="expression" dxfId="995" priority="191">
      <formula>$F32=0</formula>
    </cfRule>
  </conditionalFormatting>
  <conditionalFormatting sqref="Q32">
    <cfRule type="duplicateValues" dxfId="994" priority="192" stopIfTrue="1"/>
  </conditionalFormatting>
  <conditionalFormatting sqref="Q35">
    <cfRule type="expression" dxfId="993" priority="181">
      <formula>$F35=4</formula>
    </cfRule>
    <cfRule type="expression" dxfId="992" priority="182">
      <formula>$F35=3</formula>
    </cfRule>
    <cfRule type="expression" dxfId="991" priority="183">
      <formula>$F35=2</formula>
    </cfRule>
    <cfRule type="expression" dxfId="990" priority="184">
      <formula>$F35=1</formula>
    </cfRule>
    <cfRule type="expression" dxfId="989" priority="185">
      <formula>$F35=0</formula>
    </cfRule>
  </conditionalFormatting>
  <conditionalFormatting sqref="Q35">
    <cfRule type="duplicateValues" dxfId="988" priority="186" stopIfTrue="1"/>
  </conditionalFormatting>
  <conditionalFormatting sqref="Q24">
    <cfRule type="expression" dxfId="987" priority="175">
      <formula>$F24=4</formula>
    </cfRule>
    <cfRule type="expression" dxfId="986" priority="176">
      <formula>$F24=3</formula>
    </cfRule>
    <cfRule type="expression" dxfId="985" priority="177">
      <formula>$F24=2</formula>
    </cfRule>
    <cfRule type="expression" dxfId="984" priority="178">
      <formula>$F24=1</formula>
    </cfRule>
    <cfRule type="expression" dxfId="983" priority="179">
      <formula>$F24=0</formula>
    </cfRule>
  </conditionalFormatting>
  <conditionalFormatting sqref="Q24">
    <cfRule type="duplicateValues" dxfId="982" priority="180" stopIfTrue="1"/>
  </conditionalFormatting>
  <conditionalFormatting sqref="Q25">
    <cfRule type="expression" dxfId="981" priority="169">
      <formula>$F25=4</formula>
    </cfRule>
    <cfRule type="expression" dxfId="980" priority="170">
      <formula>$F25=3</formula>
    </cfRule>
    <cfRule type="expression" dxfId="979" priority="171">
      <formula>$F25=2</formula>
    </cfRule>
    <cfRule type="expression" dxfId="978" priority="172">
      <formula>$F25=1</formula>
    </cfRule>
    <cfRule type="expression" dxfId="977" priority="173">
      <formula>$F25=0</formula>
    </cfRule>
  </conditionalFormatting>
  <conditionalFormatting sqref="Q25">
    <cfRule type="duplicateValues" dxfId="976" priority="174" stopIfTrue="1"/>
  </conditionalFormatting>
  <conditionalFormatting sqref="T38">
    <cfRule type="expression" dxfId="975" priority="163">
      <formula>$F38=4</formula>
    </cfRule>
    <cfRule type="expression" dxfId="974" priority="164">
      <formula>$F38=3</formula>
    </cfRule>
    <cfRule type="expression" dxfId="973" priority="165">
      <formula>$F38=2</formula>
    </cfRule>
    <cfRule type="expression" dxfId="972" priority="166">
      <formula>$F38=1</formula>
    </cfRule>
    <cfRule type="expression" dxfId="971" priority="167">
      <formula>$F38=0</formula>
    </cfRule>
  </conditionalFormatting>
  <conditionalFormatting sqref="T38">
    <cfRule type="duplicateValues" dxfId="970" priority="168" stopIfTrue="1"/>
  </conditionalFormatting>
  <conditionalFormatting sqref="Q26">
    <cfRule type="expression" dxfId="969" priority="157">
      <formula>$F26=4</formula>
    </cfRule>
    <cfRule type="expression" dxfId="968" priority="158">
      <formula>$F26=3</formula>
    </cfRule>
    <cfRule type="expression" dxfId="967" priority="159">
      <formula>$F26=2</formula>
    </cfRule>
    <cfRule type="expression" dxfId="966" priority="160">
      <formula>$F26=1</formula>
    </cfRule>
    <cfRule type="expression" dxfId="965" priority="161">
      <formula>$F26=0</formula>
    </cfRule>
  </conditionalFormatting>
  <conditionalFormatting sqref="Q26">
    <cfRule type="duplicateValues" dxfId="964" priority="162" stopIfTrue="1"/>
  </conditionalFormatting>
  <conditionalFormatting sqref="Q31">
    <cfRule type="expression" dxfId="963" priority="151">
      <formula>$F31=4</formula>
    </cfRule>
    <cfRule type="expression" dxfId="962" priority="152">
      <formula>$F31=3</formula>
    </cfRule>
    <cfRule type="expression" dxfId="961" priority="153">
      <formula>$F31=2</formula>
    </cfRule>
    <cfRule type="expression" dxfId="960" priority="154">
      <formula>$F31=1</formula>
    </cfRule>
    <cfRule type="expression" dxfId="959" priority="155">
      <formula>$F31=0</formula>
    </cfRule>
  </conditionalFormatting>
  <conditionalFormatting sqref="Q31">
    <cfRule type="duplicateValues" dxfId="958" priority="156" stopIfTrue="1"/>
  </conditionalFormatting>
  <conditionalFormatting sqref="Q44">
    <cfRule type="duplicateValues" dxfId="957" priority="150" stopIfTrue="1"/>
  </conditionalFormatting>
  <conditionalFormatting sqref="Q39">
    <cfRule type="expression" dxfId="956" priority="144">
      <formula>$F39=4</formula>
    </cfRule>
    <cfRule type="expression" dxfId="955" priority="145">
      <formula>$F39=3</formula>
    </cfRule>
    <cfRule type="expression" dxfId="954" priority="146">
      <formula>$F39=2</formula>
    </cfRule>
    <cfRule type="expression" dxfId="953" priority="147">
      <formula>$F39=1</formula>
    </cfRule>
    <cfRule type="expression" dxfId="952" priority="148">
      <formula>$F39=0</formula>
    </cfRule>
  </conditionalFormatting>
  <conditionalFormatting sqref="Q39">
    <cfRule type="duplicateValues" dxfId="951" priority="149" stopIfTrue="1"/>
  </conditionalFormatting>
  <conditionalFormatting sqref="Q44">
    <cfRule type="duplicateValues" dxfId="950" priority="143" stopIfTrue="1"/>
  </conditionalFormatting>
  <conditionalFormatting sqref="Q46">
    <cfRule type="duplicateValues" dxfId="949" priority="142" stopIfTrue="1"/>
  </conditionalFormatting>
  <conditionalFormatting sqref="T48">
    <cfRule type="duplicateValues" dxfId="948" priority="141" stopIfTrue="1"/>
  </conditionalFormatting>
  <conditionalFormatting sqref="T48">
    <cfRule type="duplicateValues" dxfId="947" priority="140" stopIfTrue="1"/>
  </conditionalFormatting>
  <conditionalFormatting sqref="Q49">
    <cfRule type="duplicateValues" dxfId="946" priority="139" stopIfTrue="1"/>
  </conditionalFormatting>
  <conditionalFormatting sqref="Q53">
    <cfRule type="duplicateValues" dxfId="945" priority="138" stopIfTrue="1"/>
  </conditionalFormatting>
  <conditionalFormatting sqref="Q57">
    <cfRule type="duplicateValues" dxfId="944" priority="137" stopIfTrue="1"/>
  </conditionalFormatting>
  <conditionalFormatting sqref="Q53">
    <cfRule type="duplicateValues" dxfId="943" priority="136" stopIfTrue="1"/>
  </conditionalFormatting>
  <conditionalFormatting sqref="Q57">
    <cfRule type="duplicateValues" dxfId="942" priority="135" stopIfTrue="1"/>
  </conditionalFormatting>
  <conditionalFormatting sqref="Q50">
    <cfRule type="duplicateValues" dxfId="941" priority="134" stopIfTrue="1"/>
  </conditionalFormatting>
  <conditionalFormatting sqref="T50">
    <cfRule type="duplicateValues" dxfId="940" priority="133" stopIfTrue="1"/>
  </conditionalFormatting>
  <conditionalFormatting sqref="Q51">
    <cfRule type="duplicateValues" dxfId="939" priority="132" stopIfTrue="1"/>
  </conditionalFormatting>
  <conditionalFormatting sqref="T51">
    <cfRule type="duplicateValues" dxfId="938" priority="131" stopIfTrue="1"/>
  </conditionalFormatting>
  <conditionalFormatting sqref="Q47">
    <cfRule type="duplicateValues" dxfId="937" priority="130" stopIfTrue="1"/>
  </conditionalFormatting>
  <conditionalFormatting sqref="Q49">
    <cfRule type="duplicateValues" dxfId="936" priority="129" stopIfTrue="1"/>
  </conditionalFormatting>
  <conditionalFormatting sqref="Q51:Q52">
    <cfRule type="duplicateValues" dxfId="935" priority="128" stopIfTrue="1"/>
  </conditionalFormatting>
  <conditionalFormatting sqref="T52">
    <cfRule type="duplicateValues" dxfId="934" priority="127" stopIfTrue="1"/>
  </conditionalFormatting>
  <conditionalFormatting sqref="Q54">
    <cfRule type="duplicateValues" dxfId="933" priority="126" stopIfTrue="1"/>
  </conditionalFormatting>
  <conditionalFormatting sqref="T54">
    <cfRule type="duplicateValues" dxfId="932" priority="125" stopIfTrue="1"/>
  </conditionalFormatting>
  <conditionalFormatting sqref="T52">
    <cfRule type="duplicateValues" dxfId="931" priority="124" stopIfTrue="1"/>
  </conditionalFormatting>
  <conditionalFormatting sqref="Q48">
    <cfRule type="duplicateValues" dxfId="930" priority="123" stopIfTrue="1"/>
  </conditionalFormatting>
  <conditionalFormatting sqref="Q55">
    <cfRule type="duplicateValues" dxfId="929" priority="122" stopIfTrue="1"/>
  </conditionalFormatting>
  <conditionalFormatting sqref="T55">
    <cfRule type="duplicateValues" dxfId="928" priority="121" stopIfTrue="1"/>
  </conditionalFormatting>
  <conditionalFormatting sqref="Q56">
    <cfRule type="duplicateValues" dxfId="927" priority="120" stopIfTrue="1"/>
  </conditionalFormatting>
  <conditionalFormatting sqref="Q59">
    <cfRule type="duplicateValues" dxfId="926" priority="119" stopIfTrue="1"/>
  </conditionalFormatting>
  <conditionalFormatting sqref="Q58">
    <cfRule type="duplicateValues" dxfId="925" priority="118" stopIfTrue="1"/>
  </conditionalFormatting>
  <conditionalFormatting sqref="T58">
    <cfRule type="duplicateValues" dxfId="924" priority="117" stopIfTrue="1"/>
  </conditionalFormatting>
  <conditionalFormatting sqref="Q60">
    <cfRule type="duplicateValues" dxfId="923" priority="116" stopIfTrue="1"/>
  </conditionalFormatting>
  <conditionalFormatting sqref="T60">
    <cfRule type="duplicateValues" dxfId="922" priority="115" stopIfTrue="1"/>
  </conditionalFormatting>
  <conditionalFormatting sqref="Q61">
    <cfRule type="duplicateValues" dxfId="921" priority="114" stopIfTrue="1"/>
  </conditionalFormatting>
  <conditionalFormatting sqref="T61">
    <cfRule type="duplicateValues" dxfId="920" priority="113" stopIfTrue="1"/>
  </conditionalFormatting>
  <conditionalFormatting sqref="Q60">
    <cfRule type="duplicateValues" dxfId="919" priority="112" stopIfTrue="1"/>
  </conditionalFormatting>
  <conditionalFormatting sqref="Q62">
    <cfRule type="duplicateValues" dxfId="918" priority="111" stopIfTrue="1"/>
  </conditionalFormatting>
  <conditionalFormatting sqref="Q63">
    <cfRule type="duplicateValues" dxfId="917" priority="110" stopIfTrue="1"/>
  </conditionalFormatting>
  <conditionalFormatting sqref="T63">
    <cfRule type="duplicateValues" dxfId="916" priority="109" stopIfTrue="1"/>
  </conditionalFormatting>
  <conditionalFormatting sqref="Q61">
    <cfRule type="duplicateValues" dxfId="915" priority="108" stopIfTrue="1"/>
  </conditionalFormatting>
  <conditionalFormatting sqref="Q63:Q64">
    <cfRule type="duplicateValues" dxfId="914" priority="107" stopIfTrue="1"/>
  </conditionalFormatting>
  <conditionalFormatting sqref="T64">
    <cfRule type="duplicateValues" dxfId="913" priority="106" stopIfTrue="1"/>
  </conditionalFormatting>
  <conditionalFormatting sqref="Q47">
    <cfRule type="duplicateValues" dxfId="912" priority="90" stopIfTrue="1"/>
  </conditionalFormatting>
  <conditionalFormatting sqref="Q56">
    <cfRule type="duplicateValues" dxfId="911" priority="89" stopIfTrue="1"/>
  </conditionalFormatting>
  <conditionalFormatting sqref="Q46">
    <cfRule type="duplicateValues" dxfId="910" priority="88" stopIfTrue="1"/>
  </conditionalFormatting>
  <conditionalFormatting sqref="Q49">
    <cfRule type="duplicateValues" dxfId="909" priority="87" stopIfTrue="1"/>
  </conditionalFormatting>
  <conditionalFormatting sqref="T49">
    <cfRule type="duplicateValues" dxfId="908" priority="86" stopIfTrue="1"/>
  </conditionalFormatting>
  <conditionalFormatting sqref="BR77:BU1048576 BR1:BU1">
    <cfRule type="aboveAverage" dxfId="907" priority="85"/>
  </conditionalFormatting>
  <conditionalFormatting sqref="V1:V64 V66:V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U64">
    <cfRule type="expression" dxfId="906" priority="63">
      <formula>$F11=4</formula>
    </cfRule>
    <cfRule type="expression" dxfId="905" priority="64">
      <formula>$F11=3</formula>
    </cfRule>
    <cfRule type="expression" dxfId="904" priority="65">
      <formula>$F11=2</formula>
    </cfRule>
    <cfRule type="expression" dxfId="903" priority="66">
      <formula>$F11=1</formula>
    </cfRule>
    <cfRule type="expression" dxfId="902" priority="67">
      <formula>$F11=0</formula>
    </cfRule>
  </conditionalFormatting>
  <conditionalFormatting sqref="W1:W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64 K66:K104857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3:T64 Q23:Q64">
    <cfRule type="duplicateValues" dxfId="901" priority="57"/>
  </conditionalFormatting>
  <conditionalFormatting sqref="Q57">
    <cfRule type="duplicateValues" dxfId="900" priority="56" stopIfTrue="1"/>
  </conditionalFormatting>
  <conditionalFormatting sqref="Q57">
    <cfRule type="duplicateValues" dxfId="899" priority="55" stopIfTrue="1"/>
  </conditionalFormatting>
  <conditionalFormatting sqref="T29">
    <cfRule type="expression" dxfId="898" priority="50">
      <formula>$F29=4</formula>
    </cfRule>
    <cfRule type="expression" dxfId="897" priority="51">
      <formula>$F29=3</formula>
    </cfRule>
    <cfRule type="expression" dxfId="896" priority="52">
      <formula>$F29=2</formula>
    </cfRule>
    <cfRule type="expression" dxfId="895" priority="53">
      <formula>$F29=1</formula>
    </cfRule>
    <cfRule type="expression" dxfId="894" priority="54">
      <formula>$F29=0</formula>
    </cfRule>
  </conditionalFormatting>
  <conditionalFormatting sqref="T29">
    <cfRule type="duplicateValues" dxfId="893" priority="49" stopIfTrue="1"/>
  </conditionalFormatting>
  <conditionalFormatting sqref="Y66:AA76">
    <cfRule type="expression" dxfId="892" priority="47">
      <formula>$U66=1000</formula>
    </cfRule>
  </conditionalFormatting>
  <conditionalFormatting sqref="Y66:AA76">
    <cfRule type="cellIs" dxfId="891" priority="46" operator="greaterThan">
      <formula>0</formula>
    </cfRule>
  </conditionalFormatting>
  <conditionalFormatting sqref="Q66:R76 T66:U76 M66:O76 C66:C76">
    <cfRule type="expression" dxfId="890" priority="41">
      <formula>$F66=4</formula>
    </cfRule>
    <cfRule type="expression" dxfId="889" priority="42">
      <formula>$F66=3</formula>
    </cfRule>
    <cfRule type="expression" dxfId="888" priority="43">
      <formula>$F66=2</formula>
    </cfRule>
    <cfRule type="expression" dxfId="887" priority="44">
      <formula>$F66=1</formula>
    </cfRule>
    <cfRule type="expression" dxfId="886" priority="45">
      <formula>$F66=0</formula>
    </cfRule>
  </conditionalFormatting>
  <conditionalFormatting sqref="N66:N76">
    <cfRule type="duplicateValues" dxfId="885" priority="48" stopIfTrue="1"/>
  </conditionalFormatting>
  <conditionalFormatting sqref="P66:P76">
    <cfRule type="expression" dxfId="884" priority="36">
      <formula>$F66=4</formula>
    </cfRule>
    <cfRule type="expression" dxfId="883" priority="37">
      <formula>$F66=3</formula>
    </cfRule>
    <cfRule type="expression" dxfId="882" priority="38">
      <formula>$F66=2</formula>
    </cfRule>
    <cfRule type="expression" dxfId="881" priority="39">
      <formula>$F66=1</formula>
    </cfRule>
    <cfRule type="expression" dxfId="880" priority="40">
      <formula>$F66=0</formula>
    </cfRule>
  </conditionalFormatting>
  <conditionalFormatting sqref="S66:S76">
    <cfRule type="expression" dxfId="879" priority="31">
      <formula>$F66=4</formula>
    </cfRule>
    <cfRule type="expression" dxfId="878" priority="32">
      <formula>$F66=3</formula>
    </cfRule>
    <cfRule type="expression" dxfId="877" priority="33">
      <formula>$F66=2</formula>
    </cfRule>
    <cfRule type="expression" dxfId="876" priority="34">
      <formula>$F66=1</formula>
    </cfRule>
    <cfRule type="expression" dxfId="875" priority="35">
      <formula>$F66=0</formula>
    </cfRule>
  </conditionalFormatting>
  <conditionalFormatting sqref="A65:B65 E65 L65 G65:J65 A66:A118">
    <cfRule type="expression" dxfId="874" priority="22">
      <formula>$F65=4</formula>
    </cfRule>
    <cfRule type="expression" dxfId="873" priority="23">
      <formula>$F65=3</formula>
    </cfRule>
    <cfRule type="expression" dxfId="872" priority="24">
      <formula>$F65=2</formula>
    </cfRule>
    <cfRule type="expression" dxfId="871" priority="25">
      <formula>$F65=1</formula>
    </cfRule>
    <cfRule type="expression" dxfId="870" priority="26">
      <formula>$F65=0</formula>
    </cfRule>
  </conditionalFormatting>
  <conditionalFormatting sqref="G65 A65:A118">
    <cfRule type="duplicateValues" dxfId="869" priority="27" stopIfTrue="1"/>
  </conditionalFormatting>
  <conditionalFormatting sqref="V6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5:AA65">
    <cfRule type="expression" dxfId="868" priority="17">
      <formula>$U65=1000</formula>
    </cfRule>
  </conditionalFormatting>
  <conditionalFormatting sqref="Y65:AA65">
    <cfRule type="cellIs" dxfId="867" priority="16" operator="greaterThan">
      <formula>0</formula>
    </cfRule>
  </conditionalFormatting>
  <conditionalFormatting sqref="Q65:R65 T65:U65 M65:O65 C65:D65 F65:F118 D66:D118">
    <cfRule type="expression" dxfId="866" priority="11">
      <formula>$F65=4</formula>
    </cfRule>
    <cfRule type="expression" dxfId="865" priority="12">
      <formula>$F65=3</formula>
    </cfRule>
    <cfRule type="expression" dxfId="864" priority="13">
      <formula>$F65=2</formula>
    </cfRule>
    <cfRule type="expression" dxfId="863" priority="14">
      <formula>$F65=1</formula>
    </cfRule>
    <cfRule type="expression" dxfId="862" priority="15">
      <formula>$F65=0</formula>
    </cfRule>
  </conditionalFormatting>
  <conditionalFormatting sqref="N65">
    <cfRule type="duplicateValues" dxfId="861" priority="18" stopIfTrue="1"/>
  </conditionalFormatting>
  <conditionalFormatting sqref="P65">
    <cfRule type="expression" dxfId="860" priority="6">
      <formula>$F65=4</formula>
    </cfRule>
    <cfRule type="expression" dxfId="859" priority="7">
      <formula>$F65=3</formula>
    </cfRule>
    <cfRule type="expression" dxfId="858" priority="8">
      <formula>$F65=2</formula>
    </cfRule>
    <cfRule type="expression" dxfId="857" priority="9">
      <formula>$F65=1</formula>
    </cfRule>
    <cfRule type="expression" dxfId="856" priority="10">
      <formula>$F65=0</formula>
    </cfRule>
  </conditionalFormatting>
  <conditionalFormatting sqref="S65">
    <cfRule type="expression" dxfId="855" priority="1">
      <formula>$F65=4</formula>
    </cfRule>
    <cfRule type="expression" dxfId="854" priority="2">
      <formula>$F65=3</formula>
    </cfRule>
    <cfRule type="expression" dxfId="853" priority="3">
      <formula>$F65=2</formula>
    </cfRule>
    <cfRule type="expression" dxfId="852" priority="4">
      <formula>$F65=1</formula>
    </cfRule>
    <cfRule type="expression" dxfId="851" priority="5">
      <formula>$F65=0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122"/>
  <sheetViews>
    <sheetView workbookViewId="0">
      <selection activeCell="C16" sqref="C16"/>
    </sheetView>
  </sheetViews>
  <sheetFormatPr defaultRowHeight="13.5"/>
  <cols>
    <col min="4" max="4" width="15.375" customWidth="1"/>
    <col min="5" max="5" width="14.625" customWidth="1"/>
    <col min="6" max="6" width="14.375" customWidth="1"/>
    <col min="9" max="9" width="10.5" customWidth="1"/>
    <col min="10" max="10" width="16.5" customWidth="1"/>
    <col min="11" max="12" width="5.25" bestFit="1" customWidth="1"/>
    <col min="17" max="17" width="13.625" customWidth="1"/>
    <col min="21" max="21" width="12.75" bestFit="1" customWidth="1"/>
    <col min="22" max="23" width="10.25" customWidth="1"/>
    <col min="24" max="24" width="10.875" customWidth="1"/>
    <col min="25" max="25" width="10.375" customWidth="1"/>
    <col min="26" max="26" width="12" customWidth="1"/>
    <col min="27" max="27" width="11.375" customWidth="1"/>
  </cols>
  <sheetData>
    <row r="1" spans="1:27">
      <c r="A1" t="s">
        <v>692</v>
      </c>
      <c r="B1" t="s">
        <v>693</v>
      </c>
      <c r="U1" s="27"/>
      <c r="V1" s="27"/>
      <c r="W1" s="27"/>
      <c r="X1" s="27"/>
    </row>
    <row r="2" spans="1:27">
      <c r="A2">
        <v>1</v>
      </c>
      <c r="B2">
        <f>[3]金币生产率曲线!$M2</f>
        <v>50</v>
      </c>
      <c r="E2" t="s">
        <v>209</v>
      </c>
      <c r="F2" t="s">
        <v>655</v>
      </c>
      <c r="U2" s="27"/>
      <c r="V2" s="27"/>
      <c r="W2" s="27"/>
      <c r="X2" s="27"/>
    </row>
    <row r="3" spans="1:27">
      <c r="A3">
        <v>2</v>
      </c>
      <c r="B3">
        <f>[3]金币生产率曲线!$M3</f>
        <v>56</v>
      </c>
      <c r="D3" t="s">
        <v>201</v>
      </c>
      <c r="E3">
        <f>马仔辅助经验表!F4</f>
        <v>6.09656012947488E-4</v>
      </c>
      <c r="F3" s="46">
        <f>马仔辅助经验表!G3</f>
        <v>8000</v>
      </c>
      <c r="P3" t="s">
        <v>214</v>
      </c>
      <c r="U3" s="27"/>
      <c r="V3" s="27"/>
      <c r="W3" s="27"/>
      <c r="X3" s="27"/>
    </row>
    <row r="4" spans="1:27">
      <c r="A4">
        <v>3</v>
      </c>
      <c r="B4">
        <f>[3]金币生产率曲线!$M4</f>
        <v>62</v>
      </c>
      <c r="D4" t="s">
        <v>218</v>
      </c>
      <c r="E4" s="17">
        <f>马仔辅助经验表!F3*5</f>
        <v>12081297.5</v>
      </c>
      <c r="F4">
        <f>F3*5</f>
        <v>40000</v>
      </c>
    </row>
    <row r="5" spans="1:27">
      <c r="A5">
        <v>4</v>
      </c>
      <c r="B5">
        <f>[3]金币生产率曲线!$M5</f>
        <v>68</v>
      </c>
      <c r="C5" s="6" t="s">
        <v>210</v>
      </c>
      <c r="D5" s="6" t="s">
        <v>253</v>
      </c>
      <c r="E5" s="6" t="s">
        <v>212</v>
      </c>
      <c r="F5" s="6" t="s">
        <v>213</v>
      </c>
      <c r="G5" s="29" t="s">
        <v>216</v>
      </c>
      <c r="H5" s="29" t="s">
        <v>656</v>
      </c>
      <c r="I5" s="29"/>
      <c r="J5" s="29"/>
      <c r="K5" s="88"/>
      <c r="L5" s="88"/>
      <c r="P5" s="6" t="s">
        <v>210</v>
      </c>
      <c r="Q5" s="6" t="s">
        <v>211</v>
      </c>
      <c r="R5" s="6" t="s">
        <v>213</v>
      </c>
      <c r="S5" s="6" t="s">
        <v>216</v>
      </c>
      <c r="T5" s="133" t="s">
        <v>695</v>
      </c>
      <c r="U5" s="133" t="s">
        <v>694</v>
      </c>
      <c r="V5" s="133" t="s">
        <v>696</v>
      </c>
      <c r="X5" s="29" t="s">
        <v>390</v>
      </c>
      <c r="Y5" s="29" t="s">
        <v>391</v>
      </c>
      <c r="Z5" s="29" t="s">
        <v>570</v>
      </c>
      <c r="AA5" s="29" t="s">
        <v>569</v>
      </c>
    </row>
    <row r="6" spans="1:27">
      <c r="A6">
        <v>5</v>
      </c>
      <c r="B6">
        <f>[3]金币生产率曲线!$M6</f>
        <v>74</v>
      </c>
      <c r="C6" s="6">
        <v>91100</v>
      </c>
      <c r="D6" s="6" t="s">
        <v>662</v>
      </c>
      <c r="E6" s="6">
        <v>100</v>
      </c>
      <c r="F6" s="6">
        <f>E6/10</f>
        <v>10</v>
      </c>
      <c r="G6" s="6">
        <f>$E$4/E6/3</f>
        <v>40270.991666666669</v>
      </c>
      <c r="H6" s="6">
        <f>$F$3/E6</f>
        <v>80</v>
      </c>
      <c r="I6" s="6">
        <f>H6*5</f>
        <v>400</v>
      </c>
      <c r="J6" s="6"/>
      <c r="K6" s="27"/>
      <c r="L6" s="27"/>
      <c r="M6">
        <f>G6/186</f>
        <v>216.51070788530467</v>
      </c>
      <c r="N6">
        <v>15158.769291436625</v>
      </c>
      <c r="P6" s="103">
        <f>D_马仔宝物!A2</f>
        <v>92131</v>
      </c>
      <c r="Q6" s="103" t="str">
        <f>D_马仔宝物!B2</f>
        <v>幸运戒指</v>
      </c>
      <c r="R6" s="103">
        <f>D_马仔宝物!W2</f>
        <v>16.48</v>
      </c>
      <c r="S6" s="102">
        <f>D_马仔宝物!V2</f>
        <v>250</v>
      </c>
      <c r="T6">
        <v>20</v>
      </c>
      <c r="U6" s="134"/>
      <c r="V6" s="134"/>
      <c r="X6" s="6" t="s">
        <v>392</v>
      </c>
      <c r="Y6" s="6">
        <f>SUM(S6:S15)</f>
        <v>3213</v>
      </c>
      <c r="Z6" s="6">
        <f>Y6</f>
        <v>3213</v>
      </c>
      <c r="AA6" s="6">
        <f>Z6/Y6</f>
        <v>1</v>
      </c>
    </row>
    <row r="7" spans="1:27">
      <c r="A7">
        <v>6</v>
      </c>
      <c r="B7">
        <f>[3]金币生产率曲线!$M7</f>
        <v>80</v>
      </c>
      <c r="C7" s="6">
        <v>91200</v>
      </c>
      <c r="D7" s="6" t="s">
        <v>663</v>
      </c>
      <c r="E7" s="6">
        <v>300</v>
      </c>
      <c r="F7" s="6">
        <f t="shared" ref="F7:F8" si="0">E7/10</f>
        <v>30</v>
      </c>
      <c r="G7" s="6">
        <f>$E$4/E7/3</f>
        <v>13423.66388888889</v>
      </c>
      <c r="H7" s="6">
        <f>$F$3/E7</f>
        <v>26.666666666666668</v>
      </c>
      <c r="I7" s="6">
        <f t="shared" ref="I7:I8" si="1">H7*5</f>
        <v>133.33333333333334</v>
      </c>
      <c r="J7" s="6"/>
      <c r="K7" s="27"/>
      <c r="L7" s="27"/>
      <c r="M7">
        <f t="shared" ref="M7:M8" si="2">G7/186</f>
        <v>72.170235961768228</v>
      </c>
      <c r="N7">
        <v>3031.7538582873253</v>
      </c>
      <c r="P7" s="103">
        <f>D_马仔宝物!A3</f>
        <v>92011</v>
      </c>
      <c r="Q7" s="103" t="str">
        <f>D_马仔宝物!B3</f>
        <v>亚诺</v>
      </c>
      <c r="R7" s="103">
        <f>D_马仔宝物!W3</f>
        <v>20</v>
      </c>
      <c r="S7" s="102">
        <f>D_马仔宝物!V3</f>
        <v>126</v>
      </c>
      <c r="T7">
        <v>20</v>
      </c>
      <c r="U7" s="134"/>
      <c r="V7" s="134"/>
      <c r="X7" s="6" t="s">
        <v>393</v>
      </c>
      <c r="Y7" s="6">
        <f>SUM(S16:S26)</f>
        <v>3840</v>
      </c>
      <c r="Z7" s="6">
        <f>Y7</f>
        <v>3840</v>
      </c>
      <c r="AA7" s="6">
        <f t="shared" ref="AA7:AA10" si="3">Z7/Y7</f>
        <v>1</v>
      </c>
    </row>
    <row r="8" spans="1:27">
      <c r="A8">
        <v>7</v>
      </c>
      <c r="B8">
        <f>[3]金币生产率曲线!$M8</f>
        <v>86</v>
      </c>
      <c r="C8" s="6">
        <v>91300</v>
      </c>
      <c r="D8" s="6" t="s">
        <v>664</v>
      </c>
      <c r="E8" s="6">
        <v>1000</v>
      </c>
      <c r="F8" s="6">
        <f t="shared" si="0"/>
        <v>100</v>
      </c>
      <c r="G8" s="6">
        <f>$E$4/E8/3</f>
        <v>4027.0991666666669</v>
      </c>
      <c r="H8" s="6">
        <f>$F$3/E8</f>
        <v>8</v>
      </c>
      <c r="I8" s="6">
        <f t="shared" si="1"/>
        <v>40</v>
      </c>
      <c r="J8" s="6"/>
      <c r="K8" s="27"/>
      <c r="L8" s="27"/>
      <c r="M8">
        <f t="shared" si="2"/>
        <v>21.651070788530468</v>
      </c>
      <c r="N8">
        <v>606.35077165746509</v>
      </c>
      <c r="P8" s="103">
        <f>D_马仔宝物!A4</f>
        <v>92228</v>
      </c>
      <c r="Q8" s="103" t="str">
        <f>D_马仔宝物!B4</f>
        <v>银色手环</v>
      </c>
      <c r="R8" s="103">
        <f>D_马仔宝物!W4</f>
        <v>8</v>
      </c>
      <c r="S8" s="102">
        <f>D_马仔宝物!V4</f>
        <v>253</v>
      </c>
      <c r="T8">
        <v>20</v>
      </c>
      <c r="U8" s="134"/>
      <c r="V8" s="134"/>
      <c r="X8" s="6" t="s">
        <v>394</v>
      </c>
      <c r="Y8" s="6">
        <f>SUM(S27:S34)</f>
        <v>2241</v>
      </c>
      <c r="Z8" s="6">
        <f>SUM(S69:S76)</f>
        <v>12030</v>
      </c>
      <c r="AA8" s="6">
        <f t="shared" si="3"/>
        <v>5.3681392235609104</v>
      </c>
    </row>
    <row r="9" spans="1:27">
      <c r="A9">
        <v>8</v>
      </c>
      <c r="B9">
        <f>[3]金币生产率曲线!$M9</f>
        <v>92</v>
      </c>
      <c r="P9" s="103">
        <f>D_马仔宝物!A5</f>
        <v>92232</v>
      </c>
      <c r="Q9" s="103" t="str">
        <f>D_马仔宝物!B5</f>
        <v>鎏金手环</v>
      </c>
      <c r="R9" s="103">
        <f>D_马仔宝物!W5</f>
        <v>16.48</v>
      </c>
      <c r="S9" s="102">
        <f>D_马仔宝物!V5</f>
        <v>718</v>
      </c>
      <c r="T9">
        <v>20</v>
      </c>
      <c r="U9" s="134"/>
      <c r="V9" s="134"/>
      <c r="X9" s="6" t="s">
        <v>395</v>
      </c>
      <c r="Y9" s="6">
        <f>SUM(S35:S46)</f>
        <v>1616</v>
      </c>
      <c r="Z9" s="6">
        <f>SUM(S77:S88)</f>
        <v>20285</v>
      </c>
      <c r="AA9" s="6">
        <f t="shared" si="3"/>
        <v>12.552599009900991</v>
      </c>
    </row>
    <row r="10" spans="1:27">
      <c r="A10">
        <v>9</v>
      </c>
      <c r="B10">
        <f>[3]金币生产率曲线!$M10</f>
        <v>98</v>
      </c>
      <c r="M10">
        <f>M6+M7*5+M8*25</f>
        <v>1118.6386574074077</v>
      </c>
      <c r="P10" s="103">
        <f>D_马仔宝物!A6</f>
        <v>92121</v>
      </c>
      <c r="Q10" s="103" t="str">
        <f>D_马仔宝物!B6</f>
        <v>镀金耳钉</v>
      </c>
      <c r="R10" s="103">
        <f>D_马仔宝物!W6</f>
        <v>20</v>
      </c>
      <c r="S10" s="102">
        <f>D_马仔宝物!V6</f>
        <v>259</v>
      </c>
      <c r="T10">
        <v>20</v>
      </c>
      <c r="U10" s="134"/>
      <c r="V10" s="134"/>
      <c r="X10" s="6" t="s">
        <v>396</v>
      </c>
      <c r="Y10" s="6">
        <f>SUM(S47:S68)</f>
        <v>932</v>
      </c>
      <c r="Z10" s="6">
        <f>SUM(S89:S110)</f>
        <v>30040</v>
      </c>
      <c r="AA10" s="6">
        <f t="shared" si="3"/>
        <v>32.231759656652358</v>
      </c>
    </row>
    <row r="11" spans="1:27">
      <c r="A11">
        <v>10</v>
      </c>
      <c r="B11">
        <f>[3]金币生产率曲线!$M11</f>
        <v>104</v>
      </c>
      <c r="D11" t="s">
        <v>215</v>
      </c>
      <c r="P11" s="103">
        <f>D_马仔宝物!A7</f>
        <v>92243</v>
      </c>
      <c r="Q11" s="103" t="str">
        <f>D_马仔宝物!B7</f>
        <v>诅咒项链</v>
      </c>
      <c r="R11" s="103">
        <f>D_马仔宝物!W7</f>
        <v>8</v>
      </c>
      <c r="S11" s="102">
        <f>D_马仔宝物!V7</f>
        <v>333</v>
      </c>
      <c r="T11">
        <v>20</v>
      </c>
      <c r="U11" s="134"/>
      <c r="V11" s="134"/>
    </row>
    <row r="12" spans="1:27">
      <c r="A12">
        <v>11</v>
      </c>
      <c r="B12">
        <f>[3]金币生产率曲线!$M12</f>
        <v>110</v>
      </c>
      <c r="P12" s="103">
        <f>D_马仔宝物!A8</f>
        <v>92244</v>
      </c>
      <c r="Q12" s="103" t="str">
        <f>D_马仔宝物!B8</f>
        <v>金饰项链</v>
      </c>
      <c r="R12" s="103">
        <f>D_马仔宝物!W8</f>
        <v>16.48</v>
      </c>
      <c r="S12" s="102">
        <f>D_马仔宝物!V8</f>
        <v>653</v>
      </c>
      <c r="T12">
        <v>20</v>
      </c>
      <c r="U12" s="134"/>
      <c r="V12" s="134"/>
      <c r="Z12">
        <f>[3]马仔宝物投放!$L7</f>
        <v>2029.2631578947369</v>
      </c>
    </row>
    <row r="13" spans="1:27">
      <c r="A13">
        <v>12</v>
      </c>
      <c r="B13">
        <f>[3]金币生产率曲线!$M13</f>
        <v>116</v>
      </c>
      <c r="D13" s="6" t="s">
        <v>206</v>
      </c>
      <c r="E13" s="6" t="s">
        <v>207</v>
      </c>
      <c r="F13" s="6" t="s">
        <v>208</v>
      </c>
      <c r="G13" s="29" t="s">
        <v>216</v>
      </c>
      <c r="I13" s="6" t="s">
        <v>290</v>
      </c>
      <c r="J13" s="6" t="s">
        <v>291</v>
      </c>
      <c r="K13" s="6" t="s">
        <v>636</v>
      </c>
      <c r="L13" s="6" t="s">
        <v>637</v>
      </c>
      <c r="M13" s="6" t="s">
        <v>292</v>
      </c>
      <c r="P13" s="103">
        <f>D_马仔宝物!A9</f>
        <v>92263</v>
      </c>
      <c r="Q13" s="103" t="str">
        <f>D_马仔宝物!B9</f>
        <v>银针手表</v>
      </c>
      <c r="R13" s="103">
        <f>D_马仔宝物!W9</f>
        <v>20</v>
      </c>
      <c r="S13" s="102">
        <f>D_马仔宝物!V9</f>
        <v>117</v>
      </c>
      <c r="T13">
        <v>20</v>
      </c>
      <c r="U13" s="134"/>
      <c r="V13" s="134"/>
      <c r="Z13">
        <f>[3]马仔宝物投放!$L8</f>
        <v>2021.0526315789473</v>
      </c>
    </row>
    <row r="14" spans="1:27">
      <c r="A14">
        <v>13</v>
      </c>
      <c r="B14">
        <f>[3]金币生产率曲线!$M14</f>
        <v>122</v>
      </c>
      <c r="D14" s="6">
        <f>D_马仔升星灵魂石!L7</f>
        <v>78101</v>
      </c>
      <c r="E14" s="6" t="str">
        <f>D_马仔升星灵魂石!M7</f>
        <v>马仔碎片(制服太妹)</v>
      </c>
      <c r="F14" s="6">
        <f>D_马仔升星灵魂石!Q7</f>
        <v>2.5553552307428928</v>
      </c>
      <c r="G14" s="6">
        <f>D_马仔升星灵魂石!P7</f>
        <v>980</v>
      </c>
      <c r="I14" s="6">
        <f>D_马仔表!A2</f>
        <v>101101</v>
      </c>
      <c r="J14" s="6" t="str">
        <f>D_马仔表!B2</f>
        <v>制服太妹</v>
      </c>
      <c r="K14" s="6">
        <f>D_马仔表!D2</f>
        <v>0</v>
      </c>
      <c r="L14" s="6">
        <f>D_马仔表!E2</f>
        <v>1</v>
      </c>
      <c r="M14" s="6">
        <f>F14*10*L14</f>
        <v>25.55355230742893</v>
      </c>
      <c r="N14">
        <f>SUMPRODUCT(D_马仔表!N2:W2,[1]各种公式!$C$13:$L$13)</f>
        <v>49.102904433883026</v>
      </c>
      <c r="P14" s="103">
        <f>D_马仔宝物!A10</f>
        <v>92277</v>
      </c>
      <c r="Q14" s="103" t="str">
        <f>D_马仔宝物!B10</f>
        <v>冬利</v>
      </c>
      <c r="R14" s="103">
        <f>D_马仔宝物!W10</f>
        <v>8</v>
      </c>
      <c r="S14" s="102">
        <f>D_马仔宝物!V10</f>
        <v>122</v>
      </c>
      <c r="T14">
        <v>20</v>
      </c>
      <c r="U14" s="134"/>
      <c r="V14" s="134"/>
      <c r="Z14">
        <f>[3]马仔宝物投放!$L9</f>
        <v>3545.6842105263158</v>
      </c>
    </row>
    <row r="15" spans="1:27">
      <c r="A15">
        <v>14</v>
      </c>
      <c r="B15">
        <f>[3]金币生产率曲线!$M15</f>
        <v>128</v>
      </c>
      <c r="D15" s="6">
        <f>D_马仔升星灵魂石!L8</f>
        <v>78102</v>
      </c>
      <c r="E15" s="6" t="str">
        <f>D_马仔升星灵魂石!M8</f>
        <v>马仔碎片(蟹仔)</v>
      </c>
      <c r="F15" s="6">
        <f>D_马仔升星灵魂石!Q8</f>
        <v>2.5553552307428928</v>
      </c>
      <c r="G15" s="6">
        <f>D_马仔升星灵魂石!P8</f>
        <v>980</v>
      </c>
      <c r="I15" s="6">
        <f>D_马仔表!A3</f>
        <v>101102</v>
      </c>
      <c r="J15" s="6" t="str">
        <f>D_马仔表!B3</f>
        <v>蟹仔</v>
      </c>
      <c r="K15" s="6">
        <f>D_马仔表!D3</f>
        <v>0</v>
      </c>
      <c r="L15" s="6">
        <f>D_马仔表!E3</f>
        <v>1</v>
      </c>
      <c r="M15" s="6">
        <f t="shared" ref="M15:M32" si="4">F15*10*L15</f>
        <v>25.55355230742893</v>
      </c>
      <c r="N15">
        <f>SUMPRODUCT(D_马仔表!N3:W3,[1]各种公式!$C$13:$L$13)</f>
        <v>49.102904433883026</v>
      </c>
      <c r="P15" s="119">
        <f>D_马仔宝物!A11</f>
        <v>92233</v>
      </c>
      <c r="Q15" s="119" t="str">
        <f>D_马仔宝物!B11</f>
        <v>白金手环</v>
      </c>
      <c r="R15" s="103">
        <f>D_马仔宝物!W11</f>
        <v>50</v>
      </c>
      <c r="S15" s="102">
        <f>D_马仔宝物!V11</f>
        <v>382</v>
      </c>
      <c r="T15">
        <f>D_马仔宝物!G11</f>
        <v>21</v>
      </c>
      <c r="U15" s="134"/>
      <c r="V15" s="134"/>
      <c r="Z15">
        <f>[3]马仔宝物投放!$L10</f>
        <v>4484.0526315789475</v>
      </c>
    </row>
    <row r="16" spans="1:27">
      <c r="A16">
        <v>15</v>
      </c>
      <c r="B16">
        <f>[3]金币生产率曲线!$M16</f>
        <v>134</v>
      </c>
      <c r="D16" s="6">
        <f>D_马仔升星灵魂石!L9</f>
        <v>78103</v>
      </c>
      <c r="E16" s="6" t="str">
        <f>D_马仔升星灵魂石!M9</f>
        <v>马仔碎片(比利)</v>
      </c>
      <c r="F16" s="6">
        <f>D_马仔升星灵魂石!Q9</f>
        <v>2.5553552307428928</v>
      </c>
      <c r="G16" s="6">
        <f>D_马仔升星灵魂石!P9</f>
        <v>980</v>
      </c>
      <c r="I16" s="6">
        <f>D_马仔表!A4</f>
        <v>101103</v>
      </c>
      <c r="J16" s="6" t="str">
        <f>D_马仔表!B4</f>
        <v>比利</v>
      </c>
      <c r="K16" s="6">
        <f>D_马仔表!D4</f>
        <v>0</v>
      </c>
      <c r="L16" s="6">
        <f>D_马仔表!E4</f>
        <v>1</v>
      </c>
      <c r="M16" s="6">
        <f t="shared" si="4"/>
        <v>25.55355230742893</v>
      </c>
      <c r="N16">
        <f>SUMPRODUCT(D_马仔表!N4:W4,[1]各种公式!$C$13:$L$13)</f>
        <v>49.102904433883026</v>
      </c>
      <c r="P16" s="119">
        <f>D_马仔宝物!A12</f>
        <v>92122</v>
      </c>
      <c r="Q16" s="119" t="str">
        <f>D_马仔宝物!B12</f>
        <v>银饰耳钉</v>
      </c>
      <c r="R16" s="103">
        <f>D_马仔宝物!W12</f>
        <v>50</v>
      </c>
      <c r="S16" s="102">
        <f>D_马仔宝物!V12</f>
        <v>362</v>
      </c>
      <c r="T16">
        <f>D_马仔宝物!G12</f>
        <v>21</v>
      </c>
      <c r="U16" s="134"/>
      <c r="V16" s="134"/>
      <c r="Z16">
        <f>[3]马仔宝物投放!$L11</f>
        <v>5533.6842105263158</v>
      </c>
    </row>
    <row r="17" spans="1:22">
      <c r="A17">
        <v>16</v>
      </c>
      <c r="B17">
        <f>[3]金币生产率曲线!$M17</f>
        <v>140</v>
      </c>
      <c r="D17" s="6">
        <f>D_马仔升星灵魂石!L10</f>
        <v>78104</v>
      </c>
      <c r="E17" s="6" t="str">
        <f>D_马仔升星灵魂石!M10</f>
        <v>马仔碎片(黎九)</v>
      </c>
      <c r="F17" s="6">
        <f>D_马仔升星灵魂石!Q10</f>
        <v>2.5553552307428928</v>
      </c>
      <c r="G17" s="6">
        <f>D_马仔升星灵魂石!P10</f>
        <v>980</v>
      </c>
      <c r="I17" s="6">
        <f>D_马仔表!A5</f>
        <v>101104</v>
      </c>
      <c r="J17" s="6" t="str">
        <f>D_马仔表!B5</f>
        <v>黎九</v>
      </c>
      <c r="K17" s="6">
        <f>D_马仔表!D5</f>
        <v>0</v>
      </c>
      <c r="L17" s="6">
        <f>D_马仔表!E5</f>
        <v>1</v>
      </c>
      <c r="M17" s="6">
        <f t="shared" si="4"/>
        <v>25.55355230742893</v>
      </c>
      <c r="N17">
        <f>SUMPRODUCT(D_马仔表!N5:W5,[1]各种公式!$C$13:$L$13)</f>
        <v>49.102904433883026</v>
      </c>
      <c r="P17" s="119">
        <f>D_马仔宝物!A13</f>
        <v>92141</v>
      </c>
      <c r="Q17" s="119" t="str">
        <f>D_马仔宝物!B13</f>
        <v>白银戒指</v>
      </c>
      <c r="R17" s="103">
        <f>D_马仔宝物!W13</f>
        <v>50</v>
      </c>
      <c r="S17" s="102">
        <f>D_马仔宝物!V13</f>
        <v>381</v>
      </c>
      <c r="T17">
        <f>D_马仔宝物!G13</f>
        <v>22</v>
      </c>
      <c r="U17" s="134"/>
      <c r="V17" s="134"/>
    </row>
    <row r="18" spans="1:22">
      <c r="A18">
        <v>17</v>
      </c>
      <c r="B18">
        <f>[3]金币生产率曲线!$M18</f>
        <v>146</v>
      </c>
      <c r="D18" s="6">
        <f>D_马仔升星灵魂石!L11</f>
        <v>78105</v>
      </c>
      <c r="E18" s="6" t="str">
        <f>D_马仔升星灵魂石!M11</f>
        <v>马仔碎片(黑古)</v>
      </c>
      <c r="F18" s="6">
        <f>D_马仔升星灵魂石!Q11</f>
        <v>2.5553552307428928</v>
      </c>
      <c r="G18" s="6">
        <f>D_马仔升星灵魂石!P11</f>
        <v>980</v>
      </c>
      <c r="I18" s="6">
        <f>D_马仔表!A6</f>
        <v>101105</v>
      </c>
      <c r="J18" s="6" t="str">
        <f>D_马仔表!B6</f>
        <v>黑古</v>
      </c>
      <c r="K18" s="6">
        <f>D_马仔表!D6</f>
        <v>0</v>
      </c>
      <c r="L18" s="6">
        <f>D_马仔表!E6</f>
        <v>1</v>
      </c>
      <c r="M18" s="6">
        <f t="shared" si="4"/>
        <v>25.55355230742893</v>
      </c>
      <c r="N18">
        <f>SUMPRODUCT(D_马仔表!N6:W6,[1]各种公式!$C$13:$L$13)</f>
        <v>49.102904433883026</v>
      </c>
      <c r="P18" s="119">
        <f>D_马仔宝物!A14</f>
        <v>92245</v>
      </c>
      <c r="Q18" s="119" t="str">
        <f>D_马仔宝物!B14</f>
        <v>水晶项链</v>
      </c>
      <c r="R18" s="103">
        <f>D_马仔宝物!W14</f>
        <v>50</v>
      </c>
      <c r="S18" s="102">
        <f>D_马仔宝物!V14</f>
        <v>276</v>
      </c>
      <c r="T18">
        <f>D_马仔宝物!G14</f>
        <v>22</v>
      </c>
      <c r="U18" s="134"/>
      <c r="V18" s="134"/>
    </row>
    <row r="19" spans="1:22">
      <c r="A19">
        <v>18</v>
      </c>
      <c r="B19">
        <f>[3]金币生产率曲线!$M19</f>
        <v>152</v>
      </c>
      <c r="D19" s="6">
        <f>D_马仔升星灵魂石!L12</f>
        <v>78106</v>
      </c>
      <c r="E19" s="6" t="str">
        <f>D_马仔升星灵魂石!M12</f>
        <v>马仔碎片(靓坤)</v>
      </c>
      <c r="F19" s="6">
        <f>D_马仔升星灵魂石!Q12</f>
        <v>5.1107104614857857</v>
      </c>
      <c r="G19" s="6">
        <f>D_马仔升星灵魂石!P12</f>
        <v>980</v>
      </c>
      <c r="I19" s="6">
        <f>D_马仔表!A7</f>
        <v>101106</v>
      </c>
      <c r="J19" s="6" t="str">
        <f>D_马仔表!B7</f>
        <v>靓坤</v>
      </c>
      <c r="K19" s="6">
        <f>D_马仔表!D7</f>
        <v>1</v>
      </c>
      <c r="L19" s="6">
        <f>D_马仔表!E7</f>
        <v>1</v>
      </c>
      <c r="M19" s="6">
        <f t="shared" si="4"/>
        <v>51.10710461485786</v>
      </c>
      <c r="N19">
        <f>SUMPRODUCT(D_马仔表!N7:W7,[1]各种公式!$C$13:$L$13)</f>
        <v>98.205808867766052</v>
      </c>
      <c r="P19" s="119">
        <f>D_马仔宝物!A15</f>
        <v>92251</v>
      </c>
      <c r="Q19" s="119" t="str">
        <f>D_马仔宝物!B15</f>
        <v>红石项链</v>
      </c>
      <c r="R19" s="103">
        <f>D_马仔宝物!W15</f>
        <v>50</v>
      </c>
      <c r="S19" s="102">
        <f>D_马仔宝物!V15</f>
        <v>469</v>
      </c>
      <c r="T19">
        <f>D_马仔宝物!G15</f>
        <v>23</v>
      </c>
      <c r="U19" s="134"/>
      <c r="V19" s="134"/>
    </row>
    <row r="20" spans="1:22">
      <c r="A20">
        <v>19</v>
      </c>
      <c r="B20">
        <f>[3]金币生产率曲线!$M20</f>
        <v>158</v>
      </c>
      <c r="D20" s="6">
        <f>D_马仔升星灵魂石!L13</f>
        <v>78107</v>
      </c>
      <c r="E20" s="6" t="str">
        <f>D_马仔升星灵魂石!M13</f>
        <v>马仔碎片(雷复轰)</v>
      </c>
      <c r="F20" s="6">
        <f>D_马仔升星灵魂石!Q13</f>
        <v>5.1107104614857857</v>
      </c>
      <c r="G20" s="6">
        <f>D_马仔升星灵魂石!P13</f>
        <v>980</v>
      </c>
      <c r="I20" s="6">
        <f>D_马仔表!A8</f>
        <v>101107</v>
      </c>
      <c r="J20" s="6" t="str">
        <f>D_马仔表!B8</f>
        <v>雷复轰</v>
      </c>
      <c r="K20" s="6">
        <f>D_马仔表!D8</f>
        <v>1</v>
      </c>
      <c r="L20" s="6">
        <f>D_马仔表!E8</f>
        <v>1</v>
      </c>
      <c r="M20" s="6">
        <f t="shared" si="4"/>
        <v>51.10710461485786</v>
      </c>
      <c r="N20">
        <f>SUMPRODUCT(D_马仔表!N8:W8,[1]各种公式!$C$13:$L$13)</f>
        <v>98.205808867766052</v>
      </c>
      <c r="P20" s="119">
        <f>D_马仔宝物!A16</f>
        <v>92264</v>
      </c>
      <c r="Q20" s="119" t="str">
        <f>D_马仔宝物!B16</f>
        <v>越野手表</v>
      </c>
      <c r="R20" s="103">
        <f>D_马仔宝物!W16</f>
        <v>50</v>
      </c>
      <c r="S20" s="102">
        <f>D_马仔宝物!V16</f>
        <v>204</v>
      </c>
      <c r="T20">
        <f>D_马仔宝物!G16</f>
        <v>23</v>
      </c>
      <c r="U20" s="134"/>
      <c r="V20" s="134"/>
    </row>
    <row r="21" spans="1:22">
      <c r="A21">
        <v>20</v>
      </c>
      <c r="B21">
        <f>[3]金币生产率曲线!$M21</f>
        <v>182</v>
      </c>
      <c r="D21" s="6">
        <f>D_马仔升星灵魂石!L14</f>
        <v>78108</v>
      </c>
      <c r="E21" s="6" t="str">
        <f>D_马仔升星灵魂石!M14</f>
        <v>马仔碎片(肥仔)</v>
      </c>
      <c r="F21" s="6">
        <f>D_马仔升星灵魂石!Q14</f>
        <v>5.1107104614857857</v>
      </c>
      <c r="G21" s="6">
        <f>D_马仔升星灵魂石!P14</f>
        <v>980</v>
      </c>
      <c r="I21" s="6">
        <f>D_马仔表!A9</f>
        <v>101108</v>
      </c>
      <c r="J21" s="6" t="str">
        <f>D_马仔表!B9</f>
        <v>肥仔</v>
      </c>
      <c r="K21" s="6">
        <f>D_马仔表!D9</f>
        <v>1</v>
      </c>
      <c r="L21" s="6">
        <f>D_马仔表!E9</f>
        <v>1</v>
      </c>
      <c r="M21" s="6">
        <f t="shared" si="4"/>
        <v>51.10710461485786</v>
      </c>
      <c r="N21">
        <f>SUMPRODUCT(D_马仔表!N9:W9,[1]各种公式!$C$13:$L$13)</f>
        <v>98.205808867766052</v>
      </c>
      <c r="P21" s="119">
        <f>D_马仔宝物!A17</f>
        <v>92271</v>
      </c>
      <c r="Q21" s="119" t="str">
        <f>D_马仔宝物!B17</f>
        <v>精准手表</v>
      </c>
      <c r="R21" s="103">
        <f>D_马仔宝物!W17</f>
        <v>50</v>
      </c>
      <c r="S21" s="102">
        <f>D_马仔宝物!V17</f>
        <v>108</v>
      </c>
      <c r="T21">
        <f>D_马仔宝物!G17</f>
        <v>24</v>
      </c>
      <c r="U21" s="134"/>
      <c r="V21" s="134"/>
    </row>
    <row r="22" spans="1:22">
      <c r="A22">
        <v>21</v>
      </c>
      <c r="B22">
        <f>[3]金币生产率曲线!$M22</f>
        <v>210</v>
      </c>
      <c r="D22" s="6">
        <f>D_马仔升星灵魂石!L15</f>
        <v>78109</v>
      </c>
      <c r="E22" s="6" t="str">
        <f>D_马仔升星灵魂石!M15</f>
        <v>马仔碎片(司徒浩南)</v>
      </c>
      <c r="F22" s="6">
        <f>D_马仔升星灵魂石!Q15</f>
        <v>10.221420922971571</v>
      </c>
      <c r="G22" s="6">
        <f>D_马仔升星灵魂石!P15</f>
        <v>980</v>
      </c>
      <c r="I22" s="6">
        <f>D_马仔表!A10</f>
        <v>101109</v>
      </c>
      <c r="J22" s="6" t="str">
        <f>D_马仔表!B10</f>
        <v>司徒浩南</v>
      </c>
      <c r="K22" s="6">
        <f>D_马仔表!D10</f>
        <v>2</v>
      </c>
      <c r="L22" s="6">
        <f>D_马仔表!E10</f>
        <v>1</v>
      </c>
      <c r="M22" s="6">
        <f t="shared" si="4"/>
        <v>102.21420922971572</v>
      </c>
      <c r="N22">
        <f>SUMPRODUCT(D_马仔表!N10:W10,[1]各种公式!$C$13:$L$13)</f>
        <v>196.4116177355321</v>
      </c>
      <c r="P22" s="119">
        <f>D_马仔宝物!A18</f>
        <v>92278</v>
      </c>
      <c r="Q22" s="119" t="str">
        <f>D_马仔宝物!B18</f>
        <v>宝驼</v>
      </c>
      <c r="R22" s="103">
        <f>D_马仔宝物!W18</f>
        <v>50</v>
      </c>
      <c r="S22" s="102">
        <f>D_马仔宝物!V18</f>
        <v>224</v>
      </c>
      <c r="T22">
        <f>D_马仔宝物!G18</f>
        <v>24</v>
      </c>
      <c r="U22" s="134"/>
      <c r="V22" s="134"/>
    </row>
    <row r="23" spans="1:22">
      <c r="A23">
        <v>22</v>
      </c>
      <c r="B23">
        <f>[3]金币生产率曲线!$M23</f>
        <v>239</v>
      </c>
      <c r="D23" s="6">
        <f>D_马仔升星灵魂石!L16</f>
        <v>78110</v>
      </c>
      <c r="E23" s="6" t="str">
        <f>D_马仔升星灵魂石!M16</f>
        <v>马仔碎片(乌鸦)</v>
      </c>
      <c r="F23" s="6">
        <f>D_马仔升星灵魂石!Q16</f>
        <v>10.221420922971571</v>
      </c>
      <c r="G23" s="6">
        <f>D_马仔升星灵魂石!P16</f>
        <v>980</v>
      </c>
      <c r="I23" s="6">
        <f>D_马仔表!A11</f>
        <v>101110</v>
      </c>
      <c r="J23" s="6" t="str">
        <f>D_马仔表!B11</f>
        <v>乌鸦</v>
      </c>
      <c r="K23" s="6">
        <f>D_马仔表!D11</f>
        <v>2</v>
      </c>
      <c r="L23" s="6">
        <f>D_马仔表!E11</f>
        <v>1</v>
      </c>
      <c r="M23" s="6">
        <f t="shared" si="4"/>
        <v>102.21420922971572</v>
      </c>
      <c r="N23">
        <f>SUMPRODUCT(D_马仔表!N11:W11,[1]各种公式!$C$13:$L$13)</f>
        <v>196.4116177355321</v>
      </c>
      <c r="P23" s="119">
        <f>D_马仔宝物!A19</f>
        <v>92283</v>
      </c>
      <c r="Q23" s="119" t="str">
        <f>D_马仔宝物!B19</f>
        <v>小迭钞票</v>
      </c>
      <c r="R23" s="103">
        <f>D_马仔宝物!W19</f>
        <v>50</v>
      </c>
      <c r="S23" s="102">
        <f>D_马仔宝物!V19</f>
        <v>713</v>
      </c>
      <c r="T23">
        <f>D_马仔宝物!G19</f>
        <v>25</v>
      </c>
      <c r="U23" s="134"/>
      <c r="V23" s="134"/>
    </row>
    <row r="24" spans="1:22">
      <c r="A24">
        <v>23</v>
      </c>
      <c r="B24">
        <f>[3]金币生产率曲线!$M24</f>
        <v>270</v>
      </c>
      <c r="D24" s="6">
        <f>D_马仔升星灵魂石!L17</f>
        <v>78111</v>
      </c>
      <c r="E24" s="6" t="str">
        <f>D_马仔升星灵魂石!M17</f>
        <v>马仔碎片(赌王)</v>
      </c>
      <c r="F24" s="6">
        <f>D_马仔升星灵魂石!Q17</f>
        <v>10.221420922971571</v>
      </c>
      <c r="G24" s="6">
        <f>D_马仔升星灵魂石!P17</f>
        <v>980</v>
      </c>
      <c r="I24" s="6">
        <f>D_马仔表!A12</f>
        <v>101111</v>
      </c>
      <c r="J24" s="6" t="str">
        <f>D_马仔表!B12</f>
        <v>赌王</v>
      </c>
      <c r="K24" s="6">
        <f>D_马仔表!D12</f>
        <v>2</v>
      </c>
      <c r="L24" s="6">
        <f>D_马仔表!E12</f>
        <v>1</v>
      </c>
      <c r="M24" s="6">
        <f t="shared" si="4"/>
        <v>102.21420922971572</v>
      </c>
      <c r="N24">
        <f>SUMPRODUCT(D_马仔表!N12:W12,[1]各种公式!$C$13:$L$13)</f>
        <v>196.4116177355321</v>
      </c>
      <c r="P24" s="119">
        <f>D_马仔宝物!A20</f>
        <v>92287</v>
      </c>
      <c r="Q24" s="119" t="str">
        <f>D_马仔宝物!B20</f>
        <v>金块</v>
      </c>
      <c r="R24" s="103">
        <f>D_马仔宝物!W20</f>
        <v>50</v>
      </c>
      <c r="S24" s="102">
        <f>D_马仔宝物!V20</f>
        <v>655</v>
      </c>
      <c r="T24">
        <f>D_马仔宝物!G20</f>
        <v>25</v>
      </c>
      <c r="U24" s="134"/>
      <c r="V24" s="134"/>
    </row>
    <row r="25" spans="1:22">
      <c r="A25">
        <v>24</v>
      </c>
      <c r="B25">
        <f>[3]金币生产率曲线!$M25</f>
        <v>302</v>
      </c>
      <c r="D25" s="6">
        <f>D_马仔升星灵魂石!L18</f>
        <v>78112</v>
      </c>
      <c r="E25" s="6" t="str">
        <f>D_马仔升星灵魂石!M18</f>
        <v>马仔碎片(山下忠秀)</v>
      </c>
      <c r="F25" s="6">
        <f>D_马仔升星灵魂石!Q18</f>
        <v>10.221420922971571</v>
      </c>
      <c r="G25" s="6">
        <f>D_马仔升星灵魂石!P18</f>
        <v>980</v>
      </c>
      <c r="I25" s="6">
        <f>D_马仔表!A13</f>
        <v>101112</v>
      </c>
      <c r="J25" s="6" t="str">
        <f>D_马仔表!B13</f>
        <v>山下忠秀</v>
      </c>
      <c r="K25" s="6">
        <f>D_马仔表!D13</f>
        <v>2</v>
      </c>
      <c r="L25" s="6">
        <f>D_马仔表!E13</f>
        <v>1</v>
      </c>
      <c r="M25" s="6">
        <f t="shared" si="4"/>
        <v>102.21420922971572</v>
      </c>
      <c r="N25">
        <f>SUMPRODUCT(D_马仔表!N13:W13,[1]各种公式!$C$13:$L$13)</f>
        <v>196.4116177355321</v>
      </c>
      <c r="P25" s="120">
        <f>D_马仔宝物!A21</f>
        <v>92142</v>
      </c>
      <c r="Q25" s="120" t="str">
        <f>D_马仔宝物!B21</f>
        <v>黄金戒指</v>
      </c>
      <c r="R25" s="103">
        <f>D_马仔宝物!W21</f>
        <v>119.73766952966369</v>
      </c>
      <c r="S25" s="102">
        <f>D_马仔宝物!V21</f>
        <v>221</v>
      </c>
      <c r="T25">
        <f>D_马仔宝物!G21</f>
        <v>36</v>
      </c>
      <c r="U25" s="134"/>
      <c r="V25" s="134"/>
    </row>
    <row r="26" spans="1:22">
      <c r="A26">
        <v>25</v>
      </c>
      <c r="B26">
        <f>[3]金币生产率曲线!$M26</f>
        <v>335</v>
      </c>
      <c r="D26" s="6">
        <f>D_马仔升星灵魂石!L19</f>
        <v>78113</v>
      </c>
      <c r="E26" s="6" t="str">
        <f>D_马仔升星灵魂石!M19</f>
        <v>马仔碎片(宫本一)</v>
      </c>
      <c r="F26" s="6">
        <f>D_马仔升星灵魂石!Q19</f>
        <v>10.221420922971571</v>
      </c>
      <c r="G26" s="6">
        <f>D_马仔升星灵魂石!P19</f>
        <v>980</v>
      </c>
      <c r="I26" s="6">
        <f>D_马仔表!A14</f>
        <v>101113</v>
      </c>
      <c r="J26" s="6" t="str">
        <f>D_马仔表!B14</f>
        <v>宫本一</v>
      </c>
      <c r="K26" s="6">
        <f>D_马仔表!D14</f>
        <v>2</v>
      </c>
      <c r="L26" s="6">
        <f>D_马仔表!E14</f>
        <v>1</v>
      </c>
      <c r="M26" s="6">
        <f t="shared" si="4"/>
        <v>102.21420922971572</v>
      </c>
      <c r="N26">
        <f>SUMPRODUCT(D_马仔表!N14:W14,[1]各种公式!$C$13:$L$13)</f>
        <v>196.4116177355321</v>
      </c>
      <c r="P26" s="120">
        <f>D_马仔宝物!A22</f>
        <v>92235</v>
      </c>
      <c r="Q26" s="120" t="str">
        <f>D_马仔宝物!B22</f>
        <v>宝石手环</v>
      </c>
      <c r="R26" s="103">
        <f>D_马仔宝物!W22</f>
        <v>118.67766952966369</v>
      </c>
      <c r="S26" s="102">
        <f>D_马仔宝物!V22</f>
        <v>227</v>
      </c>
      <c r="T26">
        <f>D_马仔宝物!G22</f>
        <v>36</v>
      </c>
      <c r="U26" s="134"/>
      <c r="V26" s="134"/>
    </row>
    <row r="27" spans="1:22">
      <c r="A27">
        <v>26</v>
      </c>
      <c r="B27">
        <f>[3]金币生产率曲线!$M27</f>
        <v>370</v>
      </c>
      <c r="D27" s="6">
        <f>D_马仔升星灵魂石!L20</f>
        <v>78114</v>
      </c>
      <c r="E27" s="6" t="str">
        <f>D_马仔升星灵魂石!M20</f>
        <v>马仔碎片(陈浩南)</v>
      </c>
      <c r="F27" s="6">
        <f>D_马仔升星灵魂石!Q20</f>
        <v>15.332131384457353</v>
      </c>
      <c r="G27" s="6">
        <f>D_马仔升星灵魂石!P20</f>
        <v>980</v>
      </c>
      <c r="I27" s="6">
        <f>D_马仔表!A15</f>
        <v>101114</v>
      </c>
      <c r="J27" s="6" t="str">
        <f>D_马仔表!B15</f>
        <v>陈浩南</v>
      </c>
      <c r="K27" s="6">
        <f>D_马仔表!D15</f>
        <v>3</v>
      </c>
      <c r="L27" s="6">
        <f>D_马仔表!E15</f>
        <v>1</v>
      </c>
      <c r="M27" s="6">
        <f t="shared" si="4"/>
        <v>153.32131384457352</v>
      </c>
      <c r="N27">
        <f>SUMPRODUCT(D_马仔表!N15:W15,[1]各种公式!$C$13:$L$13)</f>
        <v>294.61742660329821</v>
      </c>
      <c r="P27" s="120">
        <f>D_马仔宝物!A23</f>
        <v>92012</v>
      </c>
      <c r="Q27" s="120" t="str">
        <f>D_马仔宝物!B23</f>
        <v>摩拉</v>
      </c>
      <c r="R27" s="103">
        <f>D_马仔宝物!W23</f>
        <v>120.17766952966369</v>
      </c>
      <c r="S27" s="102">
        <f>D_马仔宝物!V23</f>
        <v>105</v>
      </c>
      <c r="T27">
        <f>D_马仔宝物!G23</f>
        <v>37</v>
      </c>
      <c r="U27" s="134"/>
      <c r="V27" s="134"/>
    </row>
    <row r="28" spans="1:22">
      <c r="A28">
        <v>27</v>
      </c>
      <c r="B28">
        <f>[3]金币生产率曲线!$M28</f>
        <v>406</v>
      </c>
      <c r="D28" s="6">
        <f>D_马仔升星灵魂石!L21</f>
        <v>78115</v>
      </c>
      <c r="E28" s="6" t="str">
        <f>D_马仔升星灵魂石!M21</f>
        <v>马仔碎片(山鸡)</v>
      </c>
      <c r="F28" s="6">
        <f>D_马仔升星灵魂石!Q21</f>
        <v>15.332131384457353</v>
      </c>
      <c r="G28" s="6">
        <f>D_马仔升星灵魂石!P21</f>
        <v>980</v>
      </c>
      <c r="I28" s="6">
        <f>D_马仔表!A16</f>
        <v>101115</v>
      </c>
      <c r="J28" s="6" t="str">
        <f>D_马仔表!B16</f>
        <v>山鸡</v>
      </c>
      <c r="K28" s="6">
        <f>D_马仔表!D16</f>
        <v>3</v>
      </c>
      <c r="L28" s="6">
        <f>D_马仔表!E16</f>
        <v>1</v>
      </c>
      <c r="M28" s="6">
        <f t="shared" si="4"/>
        <v>153.32131384457352</v>
      </c>
      <c r="N28">
        <f>SUMPRODUCT(D_马仔表!N16:W16,[1]各种公式!$C$13:$L$13)</f>
        <v>294.61742660329821</v>
      </c>
      <c r="P28" s="120">
        <f>D_马仔宝物!A24</f>
        <v>92252</v>
      </c>
      <c r="Q28" s="120" t="str">
        <f>D_马仔宝物!B24</f>
        <v>青玉项链</v>
      </c>
      <c r="R28" s="103">
        <f>D_马仔宝物!W24</f>
        <v>118.67766952966369</v>
      </c>
      <c r="S28" s="102">
        <f>D_马仔宝物!V24</f>
        <v>308</v>
      </c>
      <c r="T28">
        <f>D_马仔宝物!G24</f>
        <v>37</v>
      </c>
      <c r="U28" s="134"/>
      <c r="V28" s="134"/>
    </row>
    <row r="29" spans="1:22">
      <c r="A29">
        <v>28</v>
      </c>
      <c r="B29">
        <f>[3]金币生产率曲线!$M29</f>
        <v>443</v>
      </c>
      <c r="D29" s="6">
        <f>D_马仔升星灵魂石!L22</f>
        <v>78116</v>
      </c>
      <c r="E29" s="6" t="str">
        <f>D_马仔升星灵魂石!M22</f>
        <v>马仔碎片(大天二)</v>
      </c>
      <c r="F29" s="6">
        <f>D_马仔升星灵魂石!Q22</f>
        <v>15.332131384457353</v>
      </c>
      <c r="G29" s="6">
        <f>D_马仔升星灵魂石!P22</f>
        <v>980</v>
      </c>
      <c r="I29" s="6">
        <f>D_马仔表!A17</f>
        <v>101116</v>
      </c>
      <c r="J29" s="6" t="str">
        <f>D_马仔表!B17</f>
        <v>大天二</v>
      </c>
      <c r="K29" s="6">
        <f>D_马仔表!D17</f>
        <v>3</v>
      </c>
      <c r="L29" s="6">
        <f>D_马仔表!E17</f>
        <v>1</v>
      </c>
      <c r="M29" s="6">
        <f t="shared" si="4"/>
        <v>153.32131384457352</v>
      </c>
      <c r="N29">
        <f>SUMPRODUCT(D_马仔表!N17:W17,[1]各种公式!$C$13:$L$13)</f>
        <v>294.61742660329821</v>
      </c>
      <c r="P29" s="120">
        <f>D_马仔宝物!A25</f>
        <v>92124</v>
      </c>
      <c r="Q29" s="120" t="str">
        <f>D_马仔宝物!B25</f>
        <v>水晶耳钉</v>
      </c>
      <c r="R29" s="103">
        <f>D_马仔宝物!W25</f>
        <v>120.17766952966369</v>
      </c>
      <c r="S29" s="102">
        <f>D_马仔宝物!V25</f>
        <v>234</v>
      </c>
      <c r="T29">
        <f>D_马仔宝物!G25</f>
        <v>38</v>
      </c>
      <c r="U29" s="134"/>
      <c r="V29" s="134"/>
    </row>
    <row r="30" spans="1:22">
      <c r="A30">
        <v>29</v>
      </c>
      <c r="B30">
        <f>[3]金币生产率曲线!$M30</f>
        <v>482</v>
      </c>
      <c r="D30" s="6">
        <f>D_马仔升星灵魂石!L23</f>
        <v>78117</v>
      </c>
      <c r="E30" s="6" t="str">
        <f>D_马仔升星灵魂石!M23</f>
        <v>马仔碎片(巴闭)</v>
      </c>
      <c r="F30" s="6">
        <f>D_马仔升星灵魂石!Q23</f>
        <v>5.1107104614857857</v>
      </c>
      <c r="G30" s="6">
        <f>D_马仔升星灵魂石!P23</f>
        <v>980</v>
      </c>
      <c r="I30" s="6">
        <f>D_马仔表!A18</f>
        <v>101117</v>
      </c>
      <c r="J30" s="6" t="str">
        <f>D_马仔表!B18</f>
        <v>巴闭</v>
      </c>
      <c r="K30" s="6">
        <f>D_马仔表!D18</f>
        <v>1</v>
      </c>
      <c r="L30" s="6">
        <f>D_马仔表!E18</f>
        <v>1</v>
      </c>
      <c r="M30" s="6">
        <f t="shared" si="4"/>
        <v>51.10710461485786</v>
      </c>
      <c r="N30">
        <f>SUMPRODUCT(D_马仔表!N18:W18,[1]各种公式!$C$13:$L$13)</f>
        <v>98.205808867766052</v>
      </c>
      <c r="P30" s="120">
        <f>D_马仔宝物!A26</f>
        <v>92272</v>
      </c>
      <c r="Q30" s="120" t="str">
        <f>D_马仔宝物!B26</f>
        <v>金针手表</v>
      </c>
      <c r="R30" s="103">
        <f>D_马仔宝物!W26</f>
        <v>120.17766952966369</v>
      </c>
      <c r="S30" s="102">
        <f>D_马仔宝物!V26</f>
        <v>93</v>
      </c>
      <c r="T30">
        <f>D_马仔宝物!G26</f>
        <v>38</v>
      </c>
      <c r="U30" s="134"/>
      <c r="V30" s="134"/>
    </row>
    <row r="31" spans="1:22">
      <c r="A31">
        <v>30</v>
      </c>
      <c r="B31">
        <f>[3]金币生产率曲线!$M31</f>
        <v>522</v>
      </c>
      <c r="D31" s="6">
        <f>D_马仔升星灵魂石!L24</f>
        <v>78118</v>
      </c>
      <c r="E31" s="6" t="str">
        <f>D_马仔升星灵魂石!M24</f>
        <v>马仔碎片(耀阳)</v>
      </c>
      <c r="F31" s="6">
        <f>D_马仔升星灵魂石!Q24</f>
        <v>10.221420922971571</v>
      </c>
      <c r="G31" s="6">
        <f>D_马仔升星灵魂石!P24</f>
        <v>980</v>
      </c>
      <c r="I31" s="6">
        <f>D_马仔表!A19</f>
        <v>101118</v>
      </c>
      <c r="J31" s="6" t="str">
        <f>D_马仔表!B19</f>
        <v>耀阳</v>
      </c>
      <c r="K31" s="6">
        <f>D_马仔表!D19</f>
        <v>2</v>
      </c>
      <c r="L31" s="6">
        <f>D_马仔表!E19</f>
        <v>1</v>
      </c>
      <c r="M31" s="6">
        <f t="shared" si="4"/>
        <v>102.21420922971572</v>
      </c>
      <c r="N31">
        <f>SUMPRODUCT(D_马仔表!N19:W19,[1]各种公式!$C$13:$L$13)</f>
        <v>196.4116177355321</v>
      </c>
      <c r="P31" s="120">
        <f>D_马仔宝物!A27</f>
        <v>92273</v>
      </c>
      <c r="Q31" s="120" t="str">
        <f>D_马仔宝物!B27</f>
        <v>智能手表</v>
      </c>
      <c r="R31" s="103">
        <f>D_马仔宝物!W27</f>
        <v>135.35533905932738</v>
      </c>
      <c r="S31" s="102">
        <f>D_马仔宝物!V27</f>
        <v>86</v>
      </c>
      <c r="T31">
        <f>D_马仔宝物!G27</f>
        <v>39</v>
      </c>
      <c r="U31" s="134"/>
      <c r="V31" s="134"/>
    </row>
    <row r="32" spans="1:22">
      <c r="A32">
        <v>31</v>
      </c>
      <c r="B32">
        <f>[3]金币生产率曲线!$M32</f>
        <v>563</v>
      </c>
      <c r="D32" s="6">
        <f>D_马仔升星灵魂石!L25</f>
        <v>78119</v>
      </c>
      <c r="E32" s="6" t="str">
        <f>D_马仔升星灵魂石!M25</f>
        <v>马仔碎片(笑面虎)</v>
      </c>
      <c r="F32" s="6">
        <f>D_马仔升星灵魂石!Q25</f>
        <v>10.221420922971571</v>
      </c>
      <c r="G32" s="6">
        <f>D_马仔升星灵魂石!P25</f>
        <v>980</v>
      </c>
      <c r="I32" s="6">
        <f>D_马仔表!A20</f>
        <v>101119</v>
      </c>
      <c r="J32" s="6" t="str">
        <f>D_马仔表!B20</f>
        <v>笑面虎</v>
      </c>
      <c r="K32" s="6">
        <f>D_马仔表!D20</f>
        <v>2</v>
      </c>
      <c r="L32" s="6">
        <f>D_马仔表!E20</f>
        <v>1</v>
      </c>
      <c r="M32" s="6">
        <f t="shared" si="4"/>
        <v>102.21420922971572</v>
      </c>
      <c r="N32">
        <f>SUMPRODUCT(D_马仔表!N20:W20,[1]各种公式!$C$13:$L$13)</f>
        <v>196.4116177355321</v>
      </c>
      <c r="P32" s="120">
        <f>D_马仔宝物!A28</f>
        <v>92279</v>
      </c>
      <c r="Q32" s="120" t="str">
        <f>D_马仔宝物!B28</f>
        <v>宾倪</v>
      </c>
      <c r="R32" s="103">
        <f>D_马仔宝物!W28</f>
        <v>118.67766952966369</v>
      </c>
      <c r="S32" s="102">
        <f>D_马仔宝物!V28</f>
        <v>99</v>
      </c>
      <c r="T32">
        <f>D_马仔宝物!G28</f>
        <v>39</v>
      </c>
      <c r="U32" s="134"/>
      <c r="V32" s="134"/>
    </row>
    <row r="33" spans="1:22">
      <c r="A33">
        <v>32</v>
      </c>
      <c r="B33">
        <f>[3]金币生产率曲线!$M33</f>
        <v>606</v>
      </c>
      <c r="P33" s="120">
        <f>D_马仔宝物!A29</f>
        <v>92284</v>
      </c>
      <c r="Q33" s="120" t="str">
        <f>D_马仔宝物!B29</f>
        <v>大迭钞票</v>
      </c>
      <c r="R33" s="103">
        <f>D_马仔宝物!W29</f>
        <v>119.73766952966369</v>
      </c>
      <c r="S33" s="102">
        <f>D_马仔宝物!V29</f>
        <v>687</v>
      </c>
      <c r="T33">
        <f>D_马仔宝物!G29</f>
        <v>40</v>
      </c>
      <c r="U33" s="134"/>
      <c r="V33" s="134"/>
    </row>
    <row r="34" spans="1:22">
      <c r="A34">
        <v>33</v>
      </c>
      <c r="B34">
        <f>[3]金币生产率曲线!$M34</f>
        <v>651</v>
      </c>
      <c r="P34" s="120">
        <f>D_马仔宝物!A30</f>
        <v>92288</v>
      </c>
      <c r="Q34" s="120" t="str">
        <f>D_马仔宝物!B30</f>
        <v>大金块</v>
      </c>
      <c r="R34" s="103">
        <f>D_马仔宝物!W30</f>
        <v>119.73766952966369</v>
      </c>
      <c r="S34" s="102">
        <f>D_马仔宝物!V30</f>
        <v>629</v>
      </c>
      <c r="T34">
        <f>D_马仔宝物!G30</f>
        <v>40</v>
      </c>
      <c r="U34" s="134"/>
      <c r="V34" s="134"/>
    </row>
    <row r="35" spans="1:22">
      <c r="A35">
        <v>34</v>
      </c>
      <c r="B35">
        <f>[3]金币生产率曲线!$M35</f>
        <v>696</v>
      </c>
      <c r="P35" s="121">
        <f>D_马仔宝物!A31</f>
        <v>92125</v>
      </c>
      <c r="Q35" s="121" t="str">
        <f>D_马仔宝物!B31</f>
        <v>红石耳钉</v>
      </c>
      <c r="R35" s="103">
        <f>D_马仔宝物!W31</f>
        <v>348.73922253581054</v>
      </c>
      <c r="S35" s="102">
        <f>D_马仔宝物!V31</f>
        <v>104</v>
      </c>
      <c r="T35">
        <f>D_马仔宝物!G31</f>
        <v>45</v>
      </c>
      <c r="U35" s="134"/>
      <c r="V35" s="134"/>
    </row>
    <row r="36" spans="1:22">
      <c r="A36">
        <v>35</v>
      </c>
      <c r="B36">
        <f>[3]金币生产率曲线!$M36</f>
        <v>743</v>
      </c>
      <c r="P36" s="121">
        <f>D_马仔宝物!A32</f>
        <v>92134</v>
      </c>
      <c r="Q36" s="121" t="str">
        <f>D_马仔宝物!B32</f>
        <v>毒蝎耳钉</v>
      </c>
      <c r="R36" s="103">
        <f>D_马仔宝物!W32</f>
        <v>348.73922253581054</v>
      </c>
      <c r="S36" s="102">
        <f>D_马仔宝物!V32</f>
        <v>108</v>
      </c>
      <c r="T36">
        <f>D_马仔宝物!G32</f>
        <v>45</v>
      </c>
      <c r="U36" s="134"/>
      <c r="V36" s="134"/>
    </row>
    <row r="37" spans="1:22">
      <c r="A37">
        <v>36</v>
      </c>
      <c r="B37">
        <f>[3]金币生产率曲线!$M37</f>
        <v>791</v>
      </c>
      <c r="P37" s="121">
        <f>D_马仔宝物!A33</f>
        <v>92223</v>
      </c>
      <c r="Q37" s="121" t="str">
        <f>D_马仔宝物!B33</f>
        <v>赤金戒指</v>
      </c>
      <c r="R37" s="103">
        <f>D_马仔宝物!W33</f>
        <v>348.58365904394952</v>
      </c>
      <c r="S37" s="102">
        <f>D_马仔宝物!V33</f>
        <v>130</v>
      </c>
      <c r="T37">
        <f>D_马仔宝物!G33</f>
        <v>46</v>
      </c>
      <c r="U37" s="134"/>
      <c r="V37" s="134"/>
    </row>
    <row r="38" spans="1:22">
      <c r="A38">
        <v>37</v>
      </c>
      <c r="B38">
        <f>[3]金币生产率曲线!$M38</f>
        <v>841</v>
      </c>
      <c r="P38" s="121">
        <f>D_马仔宝物!A34</f>
        <v>92227</v>
      </c>
      <c r="Q38" s="121" t="str">
        <f>D_马仔宝物!B34</f>
        <v>王者手环</v>
      </c>
      <c r="R38" s="103">
        <f>D_马仔宝物!W34</f>
        <v>348.20889244992065</v>
      </c>
      <c r="S38" s="102">
        <f>D_马仔宝物!V34</f>
        <v>141</v>
      </c>
      <c r="T38">
        <f>D_马仔宝物!G34</f>
        <v>46</v>
      </c>
      <c r="U38" s="134"/>
      <c r="V38" s="134"/>
    </row>
    <row r="39" spans="1:22">
      <c r="A39">
        <v>38</v>
      </c>
      <c r="B39">
        <f>[3]金币生产率曲线!$M39</f>
        <v>892</v>
      </c>
      <c r="P39" s="121">
        <f>D_马仔宝物!A35</f>
        <v>92236</v>
      </c>
      <c r="Q39" s="121" t="str">
        <f>D_马仔宝物!B35</f>
        <v>符文手环</v>
      </c>
      <c r="R39" s="103">
        <f>D_马仔宝物!W35</f>
        <v>384.29255149387018</v>
      </c>
      <c r="S39" s="102">
        <f>D_马仔宝物!V35</f>
        <v>67</v>
      </c>
      <c r="T39">
        <f>D_马仔宝物!G35</f>
        <v>47</v>
      </c>
      <c r="U39" s="134"/>
      <c r="V39" s="134"/>
    </row>
    <row r="40" spans="1:22">
      <c r="A40">
        <v>39</v>
      </c>
      <c r="B40">
        <f>[3]金币生产率曲线!$M40</f>
        <v>944</v>
      </c>
      <c r="P40" s="121">
        <f>D_马仔宝物!A36</f>
        <v>92013</v>
      </c>
      <c r="Q40" s="121" t="str">
        <f>D_马仔宝物!B36</f>
        <v>月立</v>
      </c>
      <c r="R40" s="103">
        <f>D_马仔宝物!W36</f>
        <v>384.82288157976006</v>
      </c>
      <c r="S40" s="102">
        <f>D_马仔宝物!V36</f>
        <v>85</v>
      </c>
      <c r="T40">
        <f>D_马仔宝物!G36</f>
        <v>47</v>
      </c>
      <c r="U40" s="134"/>
      <c r="V40" s="134"/>
    </row>
    <row r="41" spans="1:22">
      <c r="A41">
        <v>40</v>
      </c>
      <c r="B41">
        <f>[3]金币生产率曲线!$M41</f>
        <v>998</v>
      </c>
      <c r="P41" s="121">
        <f>D_马仔宝物!A37</f>
        <v>92253</v>
      </c>
      <c r="Q41" s="121" t="str">
        <f>D_马仔宝物!B37</f>
        <v>猫妖项链</v>
      </c>
      <c r="R41" s="103">
        <f>D_马仔宝物!W37</f>
        <v>348.20889244992065</v>
      </c>
      <c r="S41" s="102">
        <f>D_马仔宝物!V37</f>
        <v>148</v>
      </c>
      <c r="T41">
        <f>D_马仔宝物!G37</f>
        <v>48</v>
      </c>
      <c r="U41" s="134"/>
      <c r="V41" s="134"/>
    </row>
    <row r="42" spans="1:22">
      <c r="A42">
        <v>41</v>
      </c>
      <c r="B42">
        <f>[3]金币生产率曲线!$M42</f>
        <v>1053</v>
      </c>
      <c r="P42" s="121">
        <f>D_马仔宝物!A38</f>
        <v>92254</v>
      </c>
      <c r="Q42" s="121" t="str">
        <f>D_马仔宝物!B38</f>
        <v>苍蓝项链</v>
      </c>
      <c r="R42" s="103">
        <f>D_马仔宝物!W38</f>
        <v>348.20889244992065</v>
      </c>
      <c r="S42" s="102">
        <f>D_马仔宝物!V38</f>
        <v>140</v>
      </c>
      <c r="T42">
        <f>D_马仔宝物!G38</f>
        <v>48</v>
      </c>
      <c r="U42" s="134"/>
      <c r="V42" s="134"/>
    </row>
    <row r="43" spans="1:22">
      <c r="A43">
        <v>42</v>
      </c>
      <c r="B43">
        <f>[3]金币生产率曲线!$M43</f>
        <v>1110</v>
      </c>
      <c r="P43" s="121">
        <f>D_马仔宝物!A39</f>
        <v>92274</v>
      </c>
      <c r="Q43" s="121" t="str">
        <f>D_马仔宝物!B39</f>
        <v>汉密手表</v>
      </c>
      <c r="R43" s="103">
        <f>D_马仔宝物!W39</f>
        <v>390.34456159513792</v>
      </c>
      <c r="S43" s="102">
        <f>D_马仔宝物!V39</f>
        <v>70</v>
      </c>
      <c r="T43">
        <f>D_马仔宝物!G39</f>
        <v>49</v>
      </c>
      <c r="U43" s="134"/>
      <c r="V43" s="134"/>
    </row>
    <row r="44" spans="1:22">
      <c r="A44">
        <v>43</v>
      </c>
      <c r="B44">
        <f>[3]金币生产率曲线!$M44</f>
        <v>1167</v>
      </c>
      <c r="P44" s="121">
        <f>D_马仔宝物!A40</f>
        <v>92280</v>
      </c>
      <c r="Q44" s="121" t="str">
        <f>D_马仔宝物!B40</f>
        <v>法拉捷</v>
      </c>
      <c r="R44" s="103">
        <f>D_马仔宝物!W40</f>
        <v>384.29255149387018</v>
      </c>
      <c r="S44" s="102">
        <f>D_马仔宝物!V40</f>
        <v>75</v>
      </c>
      <c r="T44">
        <f>D_马仔宝物!G40</f>
        <v>49</v>
      </c>
      <c r="U44" s="134"/>
      <c r="V44" s="134"/>
    </row>
    <row r="45" spans="1:22">
      <c r="A45">
        <v>44</v>
      </c>
      <c r="B45">
        <f>[3]金币生产率曲线!$M45</f>
        <v>1226</v>
      </c>
      <c r="P45" s="121">
        <f>D_马仔宝物!A41</f>
        <v>92285</v>
      </c>
      <c r="Q45" s="121" t="str">
        <f>D_马仔宝物!B41</f>
        <v>大堆钞票</v>
      </c>
      <c r="R45" s="103">
        <f>D_马仔宝物!W41</f>
        <v>384.66731808789905</v>
      </c>
      <c r="S45" s="102">
        <f>D_马仔宝物!V41</f>
        <v>286</v>
      </c>
      <c r="T45">
        <f>D_马仔宝物!G41</f>
        <v>50</v>
      </c>
      <c r="U45" s="134"/>
      <c r="V45" s="134"/>
    </row>
    <row r="46" spans="1:22">
      <c r="A46">
        <v>45</v>
      </c>
      <c r="B46">
        <f>[3]金币生产率曲线!$M46</f>
        <v>1287</v>
      </c>
      <c r="P46" s="121">
        <f>D_马仔宝物!A42</f>
        <v>92289</v>
      </c>
      <c r="Q46" s="121" t="str">
        <f>D_马仔宝物!B42</f>
        <v>小堆金块</v>
      </c>
      <c r="R46" s="103">
        <f>D_马仔宝物!W42</f>
        <v>384.66731808789905</v>
      </c>
      <c r="S46" s="102">
        <f>D_马仔宝物!V42</f>
        <v>262</v>
      </c>
      <c r="T46">
        <f>D_马仔宝物!G42</f>
        <v>50</v>
      </c>
      <c r="U46" s="134"/>
      <c r="V46" s="134"/>
    </row>
    <row r="47" spans="1:22">
      <c r="A47">
        <v>46</v>
      </c>
      <c r="B47">
        <f>[3]金币生产率曲线!$M47</f>
        <v>1349</v>
      </c>
      <c r="P47" s="122">
        <f>D_马仔宝物!A43</f>
        <v>92014</v>
      </c>
      <c r="Q47" s="122" t="str">
        <f>D_马仔宝物!B43</f>
        <v>菠萝</v>
      </c>
      <c r="R47" s="103">
        <f>D_马仔宝物!W43</f>
        <v>1072.0558691207962</v>
      </c>
      <c r="S47" s="102">
        <f>D_马仔宝物!V43</f>
        <v>64</v>
      </c>
      <c r="T47">
        <f>D_马仔宝物!G43</f>
        <v>56</v>
      </c>
      <c r="U47" s="134"/>
      <c r="V47" s="134"/>
    </row>
    <row r="48" spans="1:22">
      <c r="A48">
        <v>47</v>
      </c>
      <c r="B48">
        <f>[3]金币生产率曲线!$M48</f>
        <v>1412</v>
      </c>
      <c r="P48" s="122">
        <f>D_马仔宝物!A44</f>
        <v>92296</v>
      </c>
      <c r="Q48" s="122" t="str">
        <f>D_马仔宝物!B44</f>
        <v>星光红石</v>
      </c>
      <c r="R48" s="103">
        <f>D_马仔宝物!W44</f>
        <v>1046.5958691207961</v>
      </c>
      <c r="S48" s="102">
        <f>D_马仔宝物!V44</f>
        <v>87</v>
      </c>
      <c r="T48">
        <f>D_马仔宝物!G44</f>
        <v>56</v>
      </c>
      <c r="U48" s="134"/>
      <c r="V48" s="134"/>
    </row>
    <row r="49" spans="1:22">
      <c r="A49">
        <v>48</v>
      </c>
      <c r="B49">
        <f>[3]金币生产率曲线!$M49</f>
        <v>1477</v>
      </c>
      <c r="P49" s="122">
        <f>D_马仔宝物!A45</f>
        <v>92240</v>
      </c>
      <c r="Q49" s="122" t="str">
        <f>D_马仔宝物!B45</f>
        <v>苍蓝戒指</v>
      </c>
      <c r="R49" s="103">
        <f>D_马仔宝物!W45</f>
        <v>1059.110869120796</v>
      </c>
      <c r="S49" s="102">
        <f>D_马仔宝物!V45</f>
        <v>50</v>
      </c>
      <c r="T49">
        <f>D_马仔宝物!G45</f>
        <v>57</v>
      </c>
      <c r="U49" s="134"/>
      <c r="V49" s="134"/>
    </row>
    <row r="50" spans="1:22">
      <c r="A50">
        <v>49</v>
      </c>
      <c r="B50">
        <f>[3]金币生产率曲线!$M50</f>
        <v>1543</v>
      </c>
      <c r="P50" s="122">
        <f>D_马仔宝物!A46</f>
        <v>92292</v>
      </c>
      <c r="Q50" s="122" t="str">
        <f>D_马仔宝物!B46</f>
        <v>金饰宝盒</v>
      </c>
      <c r="R50" s="103">
        <f>D_马仔宝物!W46</f>
        <v>1046.3533691207961</v>
      </c>
      <c r="S50" s="102">
        <f>D_马仔宝物!V46</f>
        <v>64</v>
      </c>
      <c r="T50">
        <f>D_马仔宝物!G46</f>
        <v>57</v>
      </c>
      <c r="U50" s="134"/>
      <c r="V50" s="134"/>
    </row>
    <row r="51" spans="1:22">
      <c r="A51">
        <v>50</v>
      </c>
      <c r="B51">
        <f>[3]金币生产率曲线!$M51</f>
        <v>1610</v>
      </c>
      <c r="P51" s="122">
        <f>D_马仔宝物!A47</f>
        <v>92256</v>
      </c>
      <c r="Q51" s="122" t="str">
        <f>D_马仔宝物!B47</f>
        <v>圣徒项链</v>
      </c>
      <c r="R51" s="103">
        <f>D_马仔宝物!W47</f>
        <v>1046.2208691207961</v>
      </c>
      <c r="S51" s="102">
        <f>D_马仔宝物!V47</f>
        <v>66</v>
      </c>
      <c r="T51">
        <f>D_马仔宝物!G47</f>
        <v>58</v>
      </c>
      <c r="U51" s="134"/>
      <c r="V51" s="134"/>
    </row>
    <row r="52" spans="1:22">
      <c r="A52">
        <v>51</v>
      </c>
      <c r="B52">
        <f>[3]金币生产率曲线!$M52</f>
        <v>1679</v>
      </c>
      <c r="P52" s="122">
        <f>D_马仔宝物!A48</f>
        <v>92261</v>
      </c>
      <c r="Q52" s="122" t="str">
        <f>D_马仔宝物!B48</f>
        <v>贵族项链</v>
      </c>
      <c r="R52" s="103">
        <f>D_马仔宝物!W48</f>
        <v>1046.2208691207961</v>
      </c>
      <c r="S52" s="102">
        <f>D_马仔宝物!V48</f>
        <v>60</v>
      </c>
      <c r="T52">
        <f>D_马仔宝物!G48</f>
        <v>58</v>
      </c>
      <c r="U52" s="134"/>
      <c r="V52" s="134"/>
    </row>
    <row r="53" spans="1:22">
      <c r="A53">
        <v>52</v>
      </c>
      <c r="B53">
        <f>[3]金币生产率曲线!$M53</f>
        <v>1749</v>
      </c>
      <c r="P53" s="122">
        <f>D_马仔宝物!A49</f>
        <v>92275</v>
      </c>
      <c r="Q53" s="122" t="str">
        <f>D_马仔宝物!B49</f>
        <v>千国手表</v>
      </c>
      <c r="R53" s="103">
        <f>D_马仔宝物!W49</f>
        <v>1061.1180778120042</v>
      </c>
      <c r="S53" s="102">
        <f>D_马仔宝物!V49</f>
        <v>54</v>
      </c>
      <c r="T53">
        <f>D_马仔宝物!G49</f>
        <v>59</v>
      </c>
      <c r="U53" s="134"/>
      <c r="V53" s="134"/>
    </row>
    <row r="54" spans="1:22">
      <c r="A54">
        <v>53</v>
      </c>
      <c r="B54">
        <f>[3]金币生产率曲线!$M54</f>
        <v>1820</v>
      </c>
      <c r="P54" s="122">
        <f>D_马仔宝物!A50</f>
        <v>92281</v>
      </c>
      <c r="Q54" s="122" t="str">
        <f>D_马仔宝物!B50</f>
        <v>红博机利</v>
      </c>
      <c r="R54" s="103">
        <f>D_马仔宝物!W50</f>
        <v>1071.8683691207962</v>
      </c>
      <c r="S54" s="102">
        <f>D_马仔宝物!V50</f>
        <v>58</v>
      </c>
      <c r="T54">
        <f>D_马仔宝物!G50</f>
        <v>59</v>
      </c>
      <c r="U54" s="134"/>
      <c r="V54" s="134"/>
    </row>
    <row r="55" spans="1:22">
      <c r="A55">
        <v>54</v>
      </c>
      <c r="B55">
        <f>[3]金币生产率曲线!$M55</f>
        <v>1893</v>
      </c>
      <c r="P55" s="122">
        <f>D_马仔宝物!A51</f>
        <v>92286</v>
      </c>
      <c r="Q55" s="122" t="str">
        <f>D_马仔宝物!B51</f>
        <v>巨额钞票</v>
      </c>
      <c r="R55" s="103">
        <f>D_马仔宝物!W51</f>
        <v>1072.0008691207961</v>
      </c>
      <c r="S55" s="102">
        <f>D_马仔宝物!V51</f>
        <v>100</v>
      </c>
      <c r="T55">
        <f>D_马仔宝物!G51</f>
        <v>60</v>
      </c>
      <c r="U55" s="134"/>
      <c r="V55" s="134"/>
    </row>
    <row r="56" spans="1:22">
      <c r="A56">
        <v>55</v>
      </c>
      <c r="B56">
        <f>[3]金币生产率曲线!$M56</f>
        <v>1967</v>
      </c>
      <c r="P56" s="122">
        <f>D_马仔宝物!A52</f>
        <v>92290</v>
      </c>
      <c r="Q56" s="122" t="str">
        <f>D_马仔宝物!B52</f>
        <v>大堆金块</v>
      </c>
      <c r="R56" s="103">
        <f>D_马仔宝物!W52</f>
        <v>1072.0008691207961</v>
      </c>
      <c r="S56" s="102">
        <f>D_马仔宝物!V52</f>
        <v>91</v>
      </c>
      <c r="T56">
        <f>D_马仔宝物!G52</f>
        <v>60</v>
      </c>
      <c r="U56" s="134"/>
      <c r="V56" s="134"/>
    </row>
    <row r="57" spans="1:22">
      <c r="A57">
        <v>56</v>
      </c>
      <c r="B57">
        <f>[3]金币生产率曲线!$M57</f>
        <v>2042</v>
      </c>
      <c r="P57" s="122">
        <f>D_马仔宝物!A53</f>
        <v>92026</v>
      </c>
      <c r="Q57" s="122" t="str">
        <f>D_马仔宝物!B53</f>
        <v>深蓝</v>
      </c>
      <c r="R57" s="103">
        <f>D_马仔宝物!W53</f>
        <v>2316.0770588593405</v>
      </c>
      <c r="S57" s="102">
        <f>D_马仔宝物!V53</f>
        <v>25</v>
      </c>
      <c r="T57">
        <f>D_马仔宝物!G53</f>
        <v>65</v>
      </c>
      <c r="U57" s="134"/>
      <c r="V57" s="134"/>
    </row>
    <row r="58" spans="1:22">
      <c r="A58">
        <v>57</v>
      </c>
      <c r="B58">
        <f>[3]金币生产率曲线!$M58</f>
        <v>2119</v>
      </c>
      <c r="P58" s="122">
        <f>D_马仔宝物!A54</f>
        <v>92255</v>
      </c>
      <c r="Q58" s="122" t="str">
        <f>D_马仔宝物!B54</f>
        <v>黑耀项链</v>
      </c>
      <c r="R58" s="103">
        <f>D_马仔宝物!W54</f>
        <v>2279.5797423483964</v>
      </c>
      <c r="S58" s="102">
        <f>D_马仔宝物!V54</f>
        <v>26</v>
      </c>
      <c r="T58">
        <f>D_马仔宝物!G54</f>
        <v>65</v>
      </c>
      <c r="U58" s="134"/>
      <c r="V58" s="134"/>
    </row>
    <row r="59" spans="1:22">
      <c r="A59">
        <v>58</v>
      </c>
      <c r="B59">
        <f>[3]金币生产率曲线!$M59</f>
        <v>2198</v>
      </c>
      <c r="P59" s="122">
        <f>D_马仔宝物!A55</f>
        <v>92297</v>
      </c>
      <c r="Q59" s="122" t="str">
        <f>D_马仔宝物!B55</f>
        <v>翠绿之心</v>
      </c>
      <c r="R59" s="103">
        <f>D_马仔宝物!W55</f>
        <v>2288.9595138008362</v>
      </c>
      <c r="S59" s="102">
        <f>D_马仔宝物!V55</f>
        <v>11</v>
      </c>
      <c r="T59">
        <f>D_马仔宝物!G55</f>
        <v>66</v>
      </c>
      <c r="U59" s="134"/>
      <c r="V59" s="134"/>
    </row>
    <row r="60" spans="1:22">
      <c r="A60">
        <v>59</v>
      </c>
      <c r="B60">
        <f>[3]金币生产率曲线!$M60</f>
        <v>2277</v>
      </c>
      <c r="P60" s="122">
        <f>D_马仔宝物!A56</f>
        <v>92293</v>
      </c>
      <c r="Q60" s="122" t="str">
        <f>D_马仔宝物!B56</f>
        <v>珍珠宝盒</v>
      </c>
      <c r="R60" s="103">
        <f>D_马仔宝物!W56</f>
        <v>2290.3788246776458</v>
      </c>
      <c r="S60" s="102">
        <f>D_马仔宝物!V56</f>
        <v>20</v>
      </c>
      <c r="T60">
        <f>D_马仔宝物!G56</f>
        <v>66</v>
      </c>
      <c r="U60" s="134"/>
      <c r="V60" s="134"/>
    </row>
    <row r="61" spans="1:22">
      <c r="A61">
        <v>60</v>
      </c>
      <c r="B61">
        <f>[3]金币生产率曲线!$M61</f>
        <v>2358</v>
      </c>
      <c r="P61" s="122">
        <f>D_马仔宝物!A57</f>
        <v>92294</v>
      </c>
      <c r="Q61" s="122" t="str">
        <f>D_马仔宝物!B57</f>
        <v>古董宝盒</v>
      </c>
      <c r="R61" s="103">
        <f>D_马仔宝物!W57</f>
        <v>2297.8089551673856</v>
      </c>
      <c r="S61" s="102">
        <f>D_马仔宝物!V57</f>
        <v>25</v>
      </c>
      <c r="T61">
        <f>D_马仔宝物!G57</f>
        <v>67</v>
      </c>
      <c r="U61" s="134"/>
      <c r="V61" s="134"/>
    </row>
    <row r="62" spans="1:22">
      <c r="A62">
        <v>61</v>
      </c>
      <c r="B62">
        <f>[3]金币生产率曲线!$M62</f>
        <v>2440</v>
      </c>
      <c r="P62" s="122">
        <f>D_马仔宝物!A58</f>
        <v>92295</v>
      </c>
      <c r="Q62" s="122" t="str">
        <f>D_马仔宝物!B58</f>
        <v>水晶宝盒</v>
      </c>
      <c r="R62" s="103">
        <f>D_马仔宝物!W58</f>
        <v>2279.9385990398487</v>
      </c>
      <c r="S62" s="102">
        <f>D_马仔宝物!V58</f>
        <v>19</v>
      </c>
      <c r="T62">
        <f>D_马仔宝物!G58</f>
        <v>67</v>
      </c>
      <c r="U62" s="134"/>
      <c r="V62" s="134"/>
    </row>
    <row r="63" spans="1:22">
      <c r="A63">
        <v>62</v>
      </c>
      <c r="B63">
        <f>[3]金币生产率曲线!$M63</f>
        <v>2524</v>
      </c>
      <c r="P63" s="122">
        <f>D_马仔宝物!A59</f>
        <v>92262</v>
      </c>
      <c r="Q63" s="122" t="str">
        <f>D_马仔宝物!B59</f>
        <v>皇家项链</v>
      </c>
      <c r="R63" s="103">
        <f>D_马仔宝物!W59</f>
        <v>2279.5797423483964</v>
      </c>
      <c r="S63" s="102">
        <f>D_马仔宝物!V59</f>
        <v>14</v>
      </c>
      <c r="T63">
        <f>D_马仔宝物!G59</f>
        <v>68</v>
      </c>
      <c r="U63" s="134"/>
      <c r="V63" s="134"/>
    </row>
    <row r="64" spans="1:22">
      <c r="A64">
        <v>63</v>
      </c>
      <c r="B64">
        <f>[3]金币生产率曲线!$M64</f>
        <v>2609</v>
      </c>
      <c r="P64" s="122">
        <f>D_马仔宝物!A60</f>
        <v>92298</v>
      </c>
      <c r="Q64" s="122" t="str">
        <f>D_马仔宝物!B60</f>
        <v>海洋之泪</v>
      </c>
      <c r="R64" s="103">
        <f>D_马仔宝物!W60</f>
        <v>2288.9595138008362</v>
      </c>
      <c r="S64" s="102">
        <f>D_马仔宝物!V60</f>
        <v>17</v>
      </c>
      <c r="T64">
        <f>D_马仔宝物!G60</f>
        <v>68</v>
      </c>
      <c r="U64" s="134"/>
      <c r="V64" s="134"/>
    </row>
    <row r="65" spans="1:22">
      <c r="A65">
        <v>64</v>
      </c>
      <c r="B65">
        <f>[3]金币生产率曲线!$M65</f>
        <v>2695</v>
      </c>
      <c r="P65" s="122">
        <f>D_马仔宝物!A61</f>
        <v>92276</v>
      </c>
      <c r="Q65" s="122" t="str">
        <f>D_马仔宝物!B61</f>
        <v>壕利手表</v>
      </c>
      <c r="R65" s="103">
        <f>D_马仔宝物!W61</f>
        <v>2308.3817633266553</v>
      </c>
      <c r="S65" s="102">
        <f>D_马仔宝物!V61</f>
        <v>16</v>
      </c>
      <c r="T65">
        <f>D_马仔宝物!G61</f>
        <v>69</v>
      </c>
      <c r="U65" s="134"/>
      <c r="V65" s="134"/>
    </row>
    <row r="66" spans="1:22">
      <c r="A66">
        <v>65</v>
      </c>
      <c r="B66">
        <f>[3]金币生产率曲线!$M66</f>
        <v>2783</v>
      </c>
      <c r="P66" s="122">
        <f>D_马仔宝物!A62</f>
        <v>92282</v>
      </c>
      <c r="Q66" s="122" t="str">
        <f>D_马仔宝物!B62</f>
        <v>劳莱斯特</v>
      </c>
      <c r="R66" s="103">
        <f>D_马仔宝物!W62</f>
        <v>2315.9444763378679</v>
      </c>
      <c r="S66" s="102">
        <f>D_马仔宝物!V62</f>
        <v>14</v>
      </c>
      <c r="T66">
        <f>D_马仔宝物!G62</f>
        <v>69</v>
      </c>
      <c r="U66" s="134"/>
      <c r="V66" s="134"/>
    </row>
    <row r="67" spans="1:22">
      <c r="A67">
        <v>66</v>
      </c>
      <c r="B67">
        <f>[3]金币生产率曲线!$M67</f>
        <v>2872</v>
      </c>
      <c r="P67" s="122">
        <f>D_马仔宝物!A63</f>
        <v>92299</v>
      </c>
      <c r="Q67" s="122" t="str">
        <f>D_马仔宝物!B63</f>
        <v>房产证</v>
      </c>
      <c r="R67" s="103">
        <f>D_马仔宝物!W63</f>
        <v>2316.0381679863749</v>
      </c>
      <c r="S67" s="102">
        <f>D_马仔宝物!V63</f>
        <v>25</v>
      </c>
      <c r="T67">
        <f>D_马仔宝物!G63</f>
        <v>70</v>
      </c>
      <c r="U67" s="134"/>
      <c r="V67" s="134"/>
    </row>
    <row r="68" spans="1:22">
      <c r="A68">
        <v>67</v>
      </c>
      <c r="B68">
        <f>[3]金币生产率曲线!$M68</f>
        <v>2963</v>
      </c>
      <c r="P68" s="122">
        <f>D_马仔宝物!A64</f>
        <v>92291</v>
      </c>
      <c r="Q68" s="122" t="str">
        <f>D_马仔宝物!B64</f>
        <v>巨量金块</v>
      </c>
      <c r="R68" s="103">
        <f>D_马仔宝物!W64</f>
        <v>2316.0381679863749</v>
      </c>
      <c r="S68" s="102">
        <f>D_马仔宝物!V64</f>
        <v>26</v>
      </c>
      <c r="T68">
        <f>D_马仔宝物!G64</f>
        <v>70</v>
      </c>
      <c r="U68" s="134"/>
      <c r="V68" s="134"/>
    </row>
    <row r="69" spans="1:22">
      <c r="A69">
        <v>68</v>
      </c>
      <c r="B69">
        <f>[3]金币生产率曲线!$M69</f>
        <v>3054</v>
      </c>
      <c r="P69" s="119">
        <f>D_马仔宝物!A65</f>
        <v>93233</v>
      </c>
      <c r="Q69" s="119" t="str">
        <f>D_马仔宝物!B65</f>
        <v>白金手环碎片</v>
      </c>
      <c r="R69" s="103">
        <f>D_马仔宝物!W65</f>
        <v>10</v>
      </c>
      <c r="S69" s="102">
        <f>D_马仔宝物!V65</f>
        <v>1910</v>
      </c>
      <c r="T69">
        <f>D_马仔宝物!G65</f>
        <v>21</v>
      </c>
      <c r="U69" s="134"/>
      <c r="V69" s="134"/>
    </row>
    <row r="70" spans="1:22">
      <c r="A70">
        <v>69</v>
      </c>
      <c r="B70">
        <f>[3]金币生产率曲线!$M70</f>
        <v>3147</v>
      </c>
      <c r="P70" s="119">
        <f>D_马仔宝物!A66</f>
        <v>93122</v>
      </c>
      <c r="Q70" s="119" t="str">
        <f>D_马仔宝物!B66</f>
        <v>银饰耳钉碎片</v>
      </c>
      <c r="R70" s="103">
        <f>D_马仔宝物!W66</f>
        <v>10</v>
      </c>
      <c r="S70" s="102">
        <f>D_马仔宝物!V66</f>
        <v>1810</v>
      </c>
      <c r="T70">
        <f>D_马仔宝物!G66</f>
        <v>21</v>
      </c>
      <c r="U70" s="134"/>
      <c r="V70" s="134"/>
    </row>
    <row r="71" spans="1:22">
      <c r="A71">
        <v>70</v>
      </c>
      <c r="B71">
        <f>[3]金币生产率曲线!$M71</f>
        <v>3242</v>
      </c>
      <c r="P71" s="119">
        <f>D_马仔宝物!A67</f>
        <v>93141</v>
      </c>
      <c r="Q71" s="119" t="str">
        <f>D_马仔宝物!B67</f>
        <v>白银戒指碎片</v>
      </c>
      <c r="R71" s="103">
        <f>D_马仔宝物!W67</f>
        <v>10</v>
      </c>
      <c r="S71" s="102">
        <f>D_马仔宝物!V67</f>
        <v>1905</v>
      </c>
      <c r="T71">
        <f>D_马仔宝物!G67</f>
        <v>22</v>
      </c>
      <c r="U71" s="134"/>
      <c r="V71" s="134"/>
    </row>
    <row r="72" spans="1:22">
      <c r="A72">
        <v>71</v>
      </c>
      <c r="B72">
        <f>[3]金币生产率曲线!$M72</f>
        <v>3338</v>
      </c>
      <c r="P72" s="119">
        <f>D_马仔宝物!A68</f>
        <v>93245</v>
      </c>
      <c r="Q72" s="119" t="str">
        <f>D_马仔宝物!B68</f>
        <v>水晶项链碎片</v>
      </c>
      <c r="R72" s="103">
        <f>D_马仔宝物!W68</f>
        <v>10</v>
      </c>
      <c r="S72" s="102">
        <f>D_马仔宝物!V68</f>
        <v>1380</v>
      </c>
      <c r="T72">
        <f>D_马仔宝物!G68</f>
        <v>22</v>
      </c>
      <c r="U72" s="134"/>
      <c r="V72" s="134"/>
    </row>
    <row r="73" spans="1:22">
      <c r="A73">
        <v>72</v>
      </c>
      <c r="B73">
        <f>[3]金币生产率曲线!$M73</f>
        <v>3435</v>
      </c>
      <c r="P73" s="119">
        <f>D_马仔宝物!A69</f>
        <v>93251</v>
      </c>
      <c r="Q73" s="119" t="str">
        <f>D_马仔宝物!B69</f>
        <v>红石项链碎片</v>
      </c>
      <c r="R73" s="103">
        <f>D_马仔宝物!W69</f>
        <v>10</v>
      </c>
      <c r="S73" s="102">
        <f>D_马仔宝物!V69</f>
        <v>2345</v>
      </c>
      <c r="T73">
        <f>D_马仔宝物!G69</f>
        <v>23</v>
      </c>
      <c r="U73" s="134"/>
      <c r="V73" s="134"/>
    </row>
    <row r="74" spans="1:22">
      <c r="A74">
        <v>73</v>
      </c>
      <c r="B74">
        <f>[3]金币生产率曲线!$M74</f>
        <v>3534</v>
      </c>
      <c r="P74" s="119">
        <f>D_马仔宝物!A70</f>
        <v>93264</v>
      </c>
      <c r="Q74" s="119" t="str">
        <f>D_马仔宝物!B70</f>
        <v>越野手表碎片</v>
      </c>
      <c r="R74" s="103">
        <f>D_马仔宝物!W70</f>
        <v>10</v>
      </c>
      <c r="S74" s="102">
        <f>D_马仔宝物!V70</f>
        <v>1020</v>
      </c>
      <c r="T74">
        <f>D_马仔宝物!G70</f>
        <v>23</v>
      </c>
      <c r="U74" s="134"/>
      <c r="V74" s="134"/>
    </row>
    <row r="75" spans="1:22">
      <c r="A75">
        <v>74</v>
      </c>
      <c r="B75">
        <f>[3]金币生产率曲线!$M75</f>
        <v>3634</v>
      </c>
      <c r="P75" s="119">
        <f>D_马仔宝物!A71</f>
        <v>93271</v>
      </c>
      <c r="Q75" s="119" t="str">
        <f>D_马仔宝物!B71</f>
        <v>精准手表碎片</v>
      </c>
      <c r="R75" s="103">
        <f>D_马仔宝物!W71</f>
        <v>10</v>
      </c>
      <c r="S75" s="102">
        <f>D_马仔宝物!V71</f>
        <v>540</v>
      </c>
      <c r="T75">
        <f>D_马仔宝物!G71</f>
        <v>24</v>
      </c>
      <c r="U75" s="134"/>
      <c r="V75" s="134"/>
    </row>
    <row r="76" spans="1:22">
      <c r="A76">
        <v>75</v>
      </c>
      <c r="B76">
        <f>[3]金币生产率曲线!$M76</f>
        <v>3735</v>
      </c>
      <c r="P76" s="119">
        <f>D_马仔宝物!A72</f>
        <v>93278</v>
      </c>
      <c r="Q76" s="119" t="str">
        <f>D_马仔宝物!B72</f>
        <v>宝驼碎片</v>
      </c>
      <c r="R76" s="103">
        <f>D_马仔宝物!W72</f>
        <v>10</v>
      </c>
      <c r="S76" s="102">
        <f>D_马仔宝物!V72</f>
        <v>1120</v>
      </c>
      <c r="T76">
        <f>D_马仔宝物!G72</f>
        <v>24</v>
      </c>
      <c r="U76" s="134"/>
      <c r="V76" s="134"/>
    </row>
    <row r="77" spans="1:22">
      <c r="A77">
        <v>76</v>
      </c>
      <c r="B77">
        <f>[3]金币生产率曲线!$M77</f>
        <v>3838</v>
      </c>
      <c r="P77" s="119">
        <f>D_马仔宝物!A73</f>
        <v>93283</v>
      </c>
      <c r="Q77" s="119" t="str">
        <f>D_马仔宝物!B73</f>
        <v>小迭钞票碎片</v>
      </c>
      <c r="R77" s="103">
        <f>D_马仔宝物!W73</f>
        <v>10</v>
      </c>
      <c r="S77" s="102">
        <f>D_马仔宝物!V73</f>
        <v>3565</v>
      </c>
      <c r="T77">
        <f>D_马仔宝物!G73</f>
        <v>25</v>
      </c>
      <c r="U77" s="134"/>
      <c r="V77" s="134"/>
    </row>
    <row r="78" spans="1:22">
      <c r="A78">
        <v>77</v>
      </c>
      <c r="B78">
        <f>[3]金币生产率曲线!$M78</f>
        <v>3942</v>
      </c>
      <c r="P78" s="119">
        <f>D_马仔宝物!A74</f>
        <v>93287</v>
      </c>
      <c r="Q78" s="119" t="str">
        <f>D_马仔宝物!B74</f>
        <v>金块碎片</v>
      </c>
      <c r="R78" s="103">
        <f>D_马仔宝物!W74</f>
        <v>10</v>
      </c>
      <c r="S78" s="102">
        <f>D_马仔宝物!V74</f>
        <v>3275</v>
      </c>
      <c r="T78">
        <f>D_马仔宝物!G74</f>
        <v>25</v>
      </c>
      <c r="U78" s="134"/>
      <c r="V78" s="134"/>
    </row>
    <row r="79" spans="1:22">
      <c r="A79">
        <v>78</v>
      </c>
      <c r="B79">
        <f>[3]金币生产率曲线!$M79</f>
        <v>4047</v>
      </c>
      <c r="P79" s="120">
        <f>D_马仔宝物!A75</f>
        <v>93142</v>
      </c>
      <c r="Q79" s="120" t="str">
        <f>D_马仔宝物!B75</f>
        <v>黄金戒指碎片</v>
      </c>
      <c r="R79" s="103">
        <f>D_马仔宝物!W75</f>
        <v>20</v>
      </c>
      <c r="S79" s="102">
        <f>D_马仔宝物!V75</f>
        <v>1105</v>
      </c>
      <c r="T79">
        <f>D_马仔宝物!G75</f>
        <v>36</v>
      </c>
      <c r="U79" s="134"/>
      <c r="V79" s="134"/>
    </row>
    <row r="80" spans="1:22">
      <c r="A80">
        <v>79</v>
      </c>
      <c r="B80">
        <f>[3]金币生产率曲线!$M80</f>
        <v>4154</v>
      </c>
      <c r="P80" s="120">
        <f>D_马仔宝物!A76</f>
        <v>93235</v>
      </c>
      <c r="Q80" s="120" t="str">
        <f>D_马仔宝物!B76</f>
        <v>宝石手环碎片</v>
      </c>
      <c r="R80" s="103">
        <f>D_马仔宝物!W76</f>
        <v>20</v>
      </c>
      <c r="S80" s="102">
        <f>D_马仔宝物!V76</f>
        <v>1135</v>
      </c>
      <c r="T80">
        <f>D_马仔宝物!G76</f>
        <v>36</v>
      </c>
      <c r="U80" s="134"/>
      <c r="V80" s="134"/>
    </row>
    <row r="81" spans="1:22">
      <c r="A81">
        <v>80</v>
      </c>
      <c r="B81">
        <f>[3]金币生产率曲线!$M81</f>
        <v>4262</v>
      </c>
      <c r="P81" s="120">
        <f>D_马仔宝物!A77</f>
        <v>93012</v>
      </c>
      <c r="Q81" s="120" t="str">
        <f>D_马仔宝物!B77</f>
        <v>摩拉碎片</v>
      </c>
      <c r="R81" s="103">
        <f>D_马仔宝物!W77</f>
        <v>20</v>
      </c>
      <c r="S81" s="102">
        <f>D_马仔宝物!V77</f>
        <v>525</v>
      </c>
      <c r="T81">
        <f>D_马仔宝物!G77</f>
        <v>37</v>
      </c>
      <c r="U81" s="134"/>
      <c r="V81" s="134"/>
    </row>
    <row r="82" spans="1:22">
      <c r="A82">
        <v>81</v>
      </c>
      <c r="B82">
        <f>[3]金币生产率曲线!$M82</f>
        <v>4371</v>
      </c>
      <c r="P82" s="120">
        <f>D_马仔宝物!A78</f>
        <v>93252</v>
      </c>
      <c r="Q82" s="120" t="str">
        <f>D_马仔宝物!B78</f>
        <v>青玉项链碎片</v>
      </c>
      <c r="R82" s="103">
        <f>D_马仔宝物!W78</f>
        <v>20</v>
      </c>
      <c r="S82" s="102">
        <f>D_马仔宝物!V78</f>
        <v>1540</v>
      </c>
      <c r="T82">
        <f>D_马仔宝物!G78</f>
        <v>37</v>
      </c>
      <c r="U82" s="134"/>
      <c r="V82" s="134"/>
    </row>
    <row r="83" spans="1:22">
      <c r="A83">
        <v>82</v>
      </c>
      <c r="B83">
        <f>[3]金币生产率曲线!$M83</f>
        <v>4482</v>
      </c>
      <c r="P83" s="120">
        <f>D_马仔宝物!A79</f>
        <v>93124</v>
      </c>
      <c r="Q83" s="120" t="str">
        <f>D_马仔宝物!B79</f>
        <v>水晶耳钉碎片</v>
      </c>
      <c r="R83" s="103">
        <f>D_马仔宝物!W79</f>
        <v>20</v>
      </c>
      <c r="S83" s="102">
        <f>D_马仔宝物!V79</f>
        <v>1170</v>
      </c>
      <c r="T83">
        <f>D_马仔宝物!G79</f>
        <v>38</v>
      </c>
      <c r="U83" s="134"/>
      <c r="V83" s="134"/>
    </row>
    <row r="84" spans="1:22">
      <c r="A84">
        <v>83</v>
      </c>
      <c r="B84">
        <f>[3]金币生产率曲线!$M84</f>
        <v>4595</v>
      </c>
      <c r="P84" s="120">
        <f>D_马仔宝物!A80</f>
        <v>93272</v>
      </c>
      <c r="Q84" s="120" t="str">
        <f>D_马仔宝物!B80</f>
        <v>金针手表碎片</v>
      </c>
      <c r="R84" s="103">
        <f>D_马仔宝物!W80</f>
        <v>20</v>
      </c>
      <c r="S84" s="102">
        <f>D_马仔宝物!V80</f>
        <v>465</v>
      </c>
      <c r="T84">
        <f>D_马仔宝物!G80</f>
        <v>38</v>
      </c>
      <c r="U84" s="134"/>
      <c r="V84" s="134"/>
    </row>
    <row r="85" spans="1:22">
      <c r="A85">
        <v>84</v>
      </c>
      <c r="B85">
        <f>[3]金币生产率曲线!$M85</f>
        <v>4708</v>
      </c>
      <c r="P85" s="120">
        <f>D_马仔宝物!A81</f>
        <v>93273</v>
      </c>
      <c r="Q85" s="120" t="str">
        <f>D_马仔宝物!B81</f>
        <v>智能手表碎片</v>
      </c>
      <c r="R85" s="103">
        <f>D_马仔宝物!W81</f>
        <v>20</v>
      </c>
      <c r="S85" s="102">
        <f>D_马仔宝物!V81</f>
        <v>430</v>
      </c>
      <c r="T85">
        <f>D_马仔宝物!G81</f>
        <v>39</v>
      </c>
      <c r="U85" s="134"/>
      <c r="V85" s="134"/>
    </row>
    <row r="86" spans="1:22">
      <c r="A86">
        <v>85</v>
      </c>
      <c r="B86">
        <f>[3]金币生产率曲线!$M86</f>
        <v>4823</v>
      </c>
      <c r="P86" s="120">
        <f>D_马仔宝物!A82</f>
        <v>93279</v>
      </c>
      <c r="Q86" s="120" t="str">
        <f>D_马仔宝物!B82</f>
        <v>宾倪碎片</v>
      </c>
      <c r="R86" s="103">
        <f>D_马仔宝物!W82</f>
        <v>20</v>
      </c>
      <c r="S86" s="102">
        <f>D_马仔宝物!V82</f>
        <v>495</v>
      </c>
      <c r="T86">
        <f>D_马仔宝物!G82</f>
        <v>39</v>
      </c>
      <c r="U86" s="134"/>
      <c r="V86" s="134"/>
    </row>
    <row r="87" spans="1:22">
      <c r="A87">
        <v>86</v>
      </c>
      <c r="B87">
        <f>[3]金币生产率曲线!$M87</f>
        <v>4939</v>
      </c>
      <c r="P87" s="120">
        <f>D_马仔宝物!A83</f>
        <v>93284</v>
      </c>
      <c r="Q87" s="120" t="str">
        <f>D_马仔宝物!B83</f>
        <v>大迭钞票碎片</v>
      </c>
      <c r="R87" s="103">
        <f>D_马仔宝物!W83</f>
        <v>20</v>
      </c>
      <c r="S87" s="102">
        <f>D_马仔宝物!V83</f>
        <v>3435</v>
      </c>
      <c r="T87">
        <f>D_马仔宝物!G83</f>
        <v>40</v>
      </c>
      <c r="U87" s="134"/>
      <c r="V87" s="134"/>
    </row>
    <row r="88" spans="1:22">
      <c r="A88">
        <v>87</v>
      </c>
      <c r="B88">
        <f>[3]金币生产率曲线!$M88</f>
        <v>5057</v>
      </c>
      <c r="P88" s="120">
        <f>D_马仔宝物!A84</f>
        <v>93288</v>
      </c>
      <c r="Q88" s="120" t="str">
        <f>D_马仔宝物!B84</f>
        <v>大金块碎片</v>
      </c>
      <c r="R88" s="103">
        <f>D_马仔宝物!W84</f>
        <v>20</v>
      </c>
      <c r="S88" s="102">
        <f>D_马仔宝物!V84</f>
        <v>3145</v>
      </c>
      <c r="T88">
        <f>D_马仔宝物!G84</f>
        <v>40</v>
      </c>
      <c r="U88" s="134"/>
      <c r="V88" s="134"/>
    </row>
    <row r="89" spans="1:22">
      <c r="A89">
        <v>88</v>
      </c>
      <c r="B89">
        <f>[3]金币生产率曲线!$M89</f>
        <v>5176</v>
      </c>
      <c r="P89" s="121">
        <f>D_马仔宝物!A85</f>
        <v>93125</v>
      </c>
      <c r="Q89" s="121" t="str">
        <f>D_马仔宝物!B85</f>
        <v>红石耳钉碎片</v>
      </c>
      <c r="R89" s="103">
        <f>D_马仔宝物!W85</f>
        <v>30</v>
      </c>
      <c r="S89" s="102">
        <f>D_马仔宝物!V85</f>
        <v>1040</v>
      </c>
      <c r="T89">
        <f>D_马仔宝物!G85</f>
        <v>45</v>
      </c>
      <c r="U89" s="134"/>
      <c r="V89" s="134"/>
    </row>
    <row r="90" spans="1:22">
      <c r="A90">
        <v>89</v>
      </c>
      <c r="B90">
        <f>[3]金币生产率曲线!$M90</f>
        <v>5296</v>
      </c>
      <c r="P90" s="121">
        <f>D_马仔宝物!A86</f>
        <v>93134</v>
      </c>
      <c r="Q90" s="121" t="str">
        <f>D_马仔宝物!B86</f>
        <v>毒蝎耳钉碎片</v>
      </c>
      <c r="R90" s="103">
        <f>D_马仔宝物!W86</f>
        <v>30</v>
      </c>
      <c r="S90" s="102">
        <f>D_马仔宝物!V86</f>
        <v>1080</v>
      </c>
      <c r="T90">
        <f>D_马仔宝物!G86</f>
        <v>45</v>
      </c>
      <c r="U90" s="134"/>
      <c r="V90" s="134"/>
    </row>
    <row r="91" spans="1:22">
      <c r="A91">
        <v>90</v>
      </c>
      <c r="B91">
        <f>[3]金币生产率曲线!$M91</f>
        <v>5418</v>
      </c>
      <c r="P91" s="121">
        <f>D_马仔宝物!A87</f>
        <v>93223</v>
      </c>
      <c r="Q91" s="121" t="str">
        <f>D_马仔宝物!B87</f>
        <v>赤金戒指碎片</v>
      </c>
      <c r="R91" s="103">
        <f>D_马仔宝物!W87</f>
        <v>30</v>
      </c>
      <c r="S91" s="102">
        <f>D_马仔宝物!V87</f>
        <v>1300</v>
      </c>
      <c r="T91">
        <f>D_马仔宝物!G87</f>
        <v>46</v>
      </c>
      <c r="U91" s="134"/>
      <c r="V91" s="134"/>
    </row>
    <row r="92" spans="1:22">
      <c r="A92">
        <v>91</v>
      </c>
      <c r="B92">
        <f>[3]金币生产率曲线!$M92</f>
        <v>5541</v>
      </c>
      <c r="P92" s="121">
        <f>D_马仔宝物!A88</f>
        <v>93227</v>
      </c>
      <c r="Q92" s="121" t="str">
        <f>D_马仔宝物!B88</f>
        <v>王者手环碎片</v>
      </c>
      <c r="R92" s="103">
        <f>D_马仔宝物!W88</f>
        <v>30</v>
      </c>
      <c r="S92" s="102">
        <f>D_马仔宝物!V88</f>
        <v>1410</v>
      </c>
      <c r="T92">
        <f>D_马仔宝物!G88</f>
        <v>46</v>
      </c>
      <c r="U92" s="134"/>
      <c r="V92" s="134"/>
    </row>
    <row r="93" spans="1:22">
      <c r="A93">
        <v>92</v>
      </c>
      <c r="B93">
        <f>[3]金币生产率曲线!$M93</f>
        <v>5666</v>
      </c>
      <c r="P93" s="121">
        <f>D_马仔宝物!A89</f>
        <v>93236</v>
      </c>
      <c r="Q93" s="121" t="str">
        <f>D_马仔宝物!B89</f>
        <v>符文手环碎片</v>
      </c>
      <c r="R93" s="103">
        <f>D_马仔宝物!W89</f>
        <v>30</v>
      </c>
      <c r="S93" s="102">
        <f>D_马仔宝物!V89</f>
        <v>670</v>
      </c>
      <c r="T93">
        <f>D_马仔宝物!G89</f>
        <v>47</v>
      </c>
      <c r="U93" s="134"/>
      <c r="V93" s="134"/>
    </row>
    <row r="94" spans="1:22">
      <c r="A94">
        <v>93</v>
      </c>
      <c r="B94">
        <f>[3]金币生产率曲线!$M94</f>
        <v>5791</v>
      </c>
      <c r="P94" s="121">
        <f>D_马仔宝物!A90</f>
        <v>93013</v>
      </c>
      <c r="Q94" s="121" t="str">
        <f>D_马仔宝物!B90</f>
        <v>月立碎片</v>
      </c>
      <c r="R94" s="103">
        <f>D_马仔宝物!W90</f>
        <v>30</v>
      </c>
      <c r="S94" s="102">
        <f>D_马仔宝物!V90</f>
        <v>850</v>
      </c>
      <c r="T94">
        <f>D_马仔宝物!G90</f>
        <v>47</v>
      </c>
      <c r="U94" s="134"/>
      <c r="V94" s="134"/>
    </row>
    <row r="95" spans="1:22">
      <c r="A95">
        <v>94</v>
      </c>
      <c r="B95">
        <f>[3]金币生产率曲线!$M95</f>
        <v>5918</v>
      </c>
      <c r="P95" s="121">
        <f>D_马仔宝物!A91</f>
        <v>93253</v>
      </c>
      <c r="Q95" s="121" t="str">
        <f>D_马仔宝物!B91</f>
        <v>猫妖项链碎片</v>
      </c>
      <c r="R95" s="103">
        <f>D_马仔宝物!W91</f>
        <v>30</v>
      </c>
      <c r="S95" s="102">
        <f>D_马仔宝物!V91</f>
        <v>1480</v>
      </c>
      <c r="T95">
        <f>D_马仔宝物!G91</f>
        <v>48</v>
      </c>
      <c r="U95" s="134"/>
      <c r="V95" s="134"/>
    </row>
    <row r="96" spans="1:22">
      <c r="A96">
        <v>95</v>
      </c>
      <c r="B96">
        <f>[3]金币生产率曲线!$M96</f>
        <v>6047</v>
      </c>
      <c r="P96" s="121">
        <f>D_马仔宝物!A92</f>
        <v>93254</v>
      </c>
      <c r="Q96" s="121" t="str">
        <f>D_马仔宝物!B92</f>
        <v>苍蓝项链碎片</v>
      </c>
      <c r="R96" s="103">
        <f>D_马仔宝物!W92</f>
        <v>30</v>
      </c>
      <c r="S96" s="102">
        <f>D_马仔宝物!V92</f>
        <v>1400</v>
      </c>
      <c r="T96">
        <f>D_马仔宝物!G92</f>
        <v>48</v>
      </c>
      <c r="U96" s="134"/>
      <c r="V96" s="134"/>
    </row>
    <row r="97" spans="1:22">
      <c r="A97">
        <v>96</v>
      </c>
      <c r="B97">
        <f>[3]金币生产率曲线!$M97</f>
        <v>6177</v>
      </c>
      <c r="P97" s="121">
        <f>D_马仔宝物!A93</f>
        <v>93274</v>
      </c>
      <c r="Q97" s="121" t="str">
        <f>D_马仔宝物!B93</f>
        <v>汉密手表碎片</v>
      </c>
      <c r="R97" s="103">
        <f>D_马仔宝物!W93</f>
        <v>30</v>
      </c>
      <c r="S97" s="102">
        <f>D_马仔宝物!V93</f>
        <v>700</v>
      </c>
      <c r="T97">
        <f>D_马仔宝物!G93</f>
        <v>49</v>
      </c>
      <c r="U97" s="134"/>
      <c r="V97" s="134"/>
    </row>
    <row r="98" spans="1:22">
      <c r="A98">
        <v>97</v>
      </c>
      <c r="B98">
        <f>[3]金币生产率曲线!$M98</f>
        <v>6308</v>
      </c>
      <c r="P98" s="121">
        <f>D_马仔宝物!A94</f>
        <v>93280</v>
      </c>
      <c r="Q98" s="121" t="str">
        <f>D_马仔宝物!B94</f>
        <v>法拉捷碎片</v>
      </c>
      <c r="R98" s="103">
        <f>D_马仔宝物!W94</f>
        <v>30</v>
      </c>
      <c r="S98" s="102">
        <f>D_马仔宝物!V94</f>
        <v>750</v>
      </c>
      <c r="T98">
        <f>D_马仔宝物!G94</f>
        <v>49</v>
      </c>
      <c r="U98" s="134"/>
      <c r="V98" s="134"/>
    </row>
    <row r="99" spans="1:22">
      <c r="A99">
        <v>98</v>
      </c>
      <c r="B99">
        <f>[3]金币生产率曲线!$M99</f>
        <v>6441</v>
      </c>
      <c r="P99" s="121">
        <f>D_马仔宝物!A95</f>
        <v>93285</v>
      </c>
      <c r="Q99" s="121" t="str">
        <f>D_马仔宝物!B95</f>
        <v>大堆钞票碎片</v>
      </c>
      <c r="R99" s="103">
        <f>D_马仔宝物!W95</f>
        <v>30</v>
      </c>
      <c r="S99" s="102">
        <f>D_马仔宝物!V95</f>
        <v>2860</v>
      </c>
      <c r="T99">
        <f>D_马仔宝物!G95</f>
        <v>50</v>
      </c>
      <c r="U99" s="134"/>
      <c r="V99" s="134"/>
    </row>
    <row r="100" spans="1:22">
      <c r="A100">
        <v>99</v>
      </c>
      <c r="B100">
        <f>[3]金币生产率曲线!$M100</f>
        <v>6575</v>
      </c>
      <c r="P100" s="121">
        <f>D_马仔宝物!A96</f>
        <v>93289</v>
      </c>
      <c r="Q100" s="121" t="str">
        <f>D_马仔宝物!B96</f>
        <v>小堆金块碎片</v>
      </c>
      <c r="R100" s="103">
        <f>D_马仔宝物!W96</f>
        <v>30</v>
      </c>
      <c r="S100" s="102">
        <f>D_马仔宝物!V96</f>
        <v>2620</v>
      </c>
      <c r="T100">
        <f>D_马仔宝物!G96</f>
        <v>50</v>
      </c>
      <c r="U100" s="134"/>
      <c r="V100" s="134"/>
    </row>
    <row r="101" spans="1:22">
      <c r="A101">
        <v>100</v>
      </c>
      <c r="B101">
        <f>[3]金币生产率曲线!$M101</f>
        <v>6710</v>
      </c>
      <c r="P101" s="122">
        <f>D_马仔宝物!A97</f>
        <v>93014</v>
      </c>
      <c r="Q101" s="122" t="str">
        <f>D_马仔宝物!B97</f>
        <v>菠萝碎片</v>
      </c>
      <c r="R101" s="103">
        <f>D_马仔宝物!W97</f>
        <v>40</v>
      </c>
      <c r="S101" s="102">
        <f>D_马仔宝物!V97</f>
        <v>1280</v>
      </c>
      <c r="T101">
        <f>D_马仔宝物!G97</f>
        <v>56</v>
      </c>
      <c r="U101" s="134"/>
      <c r="V101" s="134"/>
    </row>
    <row r="102" spans="1:22">
      <c r="P102" s="122">
        <f>D_马仔宝物!A98</f>
        <v>93296</v>
      </c>
      <c r="Q102" s="122" t="str">
        <f>D_马仔宝物!B98</f>
        <v>星光红石碎片</v>
      </c>
      <c r="R102" s="103">
        <f>D_马仔宝物!W98</f>
        <v>40</v>
      </c>
      <c r="S102" s="102">
        <f>D_马仔宝物!V98</f>
        <v>1740</v>
      </c>
      <c r="T102">
        <f>D_马仔宝物!G98</f>
        <v>56</v>
      </c>
      <c r="U102" s="134"/>
      <c r="V102" s="134"/>
    </row>
    <row r="103" spans="1:22">
      <c r="P103" s="122">
        <f>D_马仔宝物!A99</f>
        <v>93240</v>
      </c>
      <c r="Q103" s="122" t="str">
        <f>D_马仔宝物!B99</f>
        <v>苍蓝戒指碎片</v>
      </c>
      <c r="R103" s="103">
        <f>D_马仔宝物!W99</f>
        <v>40</v>
      </c>
      <c r="S103" s="102">
        <f>D_马仔宝物!V99</f>
        <v>1000</v>
      </c>
      <c r="T103">
        <f>D_马仔宝物!G99</f>
        <v>57</v>
      </c>
      <c r="U103" s="134"/>
      <c r="V103" s="134"/>
    </row>
    <row r="104" spans="1:22">
      <c r="P104" s="122">
        <f>D_马仔宝物!A100</f>
        <v>93292</v>
      </c>
      <c r="Q104" s="122" t="str">
        <f>D_马仔宝物!B100</f>
        <v>金饰宝盒碎片</v>
      </c>
      <c r="R104" s="103">
        <f>D_马仔宝物!W100</f>
        <v>40</v>
      </c>
      <c r="S104" s="102">
        <f>D_马仔宝物!V100</f>
        <v>1280</v>
      </c>
      <c r="T104">
        <f>D_马仔宝物!G100</f>
        <v>57</v>
      </c>
      <c r="U104" s="134"/>
      <c r="V104" s="134"/>
    </row>
    <row r="105" spans="1:22">
      <c r="P105" s="122">
        <f>D_马仔宝物!A101</f>
        <v>93256</v>
      </c>
      <c r="Q105" s="122" t="str">
        <f>D_马仔宝物!B101</f>
        <v>圣徒项链碎片</v>
      </c>
      <c r="R105" s="103">
        <f>D_马仔宝物!W101</f>
        <v>40</v>
      </c>
      <c r="S105" s="102">
        <f>D_马仔宝物!V101</f>
        <v>1320</v>
      </c>
      <c r="T105">
        <f>D_马仔宝物!G101</f>
        <v>58</v>
      </c>
      <c r="U105" s="134"/>
      <c r="V105" s="134"/>
    </row>
    <row r="106" spans="1:22">
      <c r="P106" s="122">
        <f>D_马仔宝物!A102</f>
        <v>93261</v>
      </c>
      <c r="Q106" s="122" t="str">
        <f>D_马仔宝物!B102</f>
        <v>贵族项链碎片</v>
      </c>
      <c r="R106" s="103">
        <f>D_马仔宝物!W102</f>
        <v>40</v>
      </c>
      <c r="S106" s="102">
        <f>D_马仔宝物!V102</f>
        <v>1200</v>
      </c>
      <c r="T106">
        <f>D_马仔宝物!G102</f>
        <v>58</v>
      </c>
      <c r="U106" s="134"/>
      <c r="V106" s="134"/>
    </row>
    <row r="107" spans="1:22">
      <c r="P107" s="122">
        <f>D_马仔宝物!A103</f>
        <v>93275</v>
      </c>
      <c r="Q107" s="122" t="str">
        <f>D_马仔宝物!B103</f>
        <v>千国手表碎片</v>
      </c>
      <c r="R107" s="103">
        <f>D_马仔宝物!W103</f>
        <v>40</v>
      </c>
      <c r="S107" s="102">
        <f>D_马仔宝物!V103</f>
        <v>1080</v>
      </c>
      <c r="T107">
        <f>D_马仔宝物!G103</f>
        <v>59</v>
      </c>
      <c r="U107" s="134"/>
      <c r="V107" s="134"/>
    </row>
    <row r="108" spans="1:22">
      <c r="P108" s="122">
        <f>D_马仔宝物!A104</f>
        <v>93281</v>
      </c>
      <c r="Q108" s="122" t="str">
        <f>D_马仔宝物!B104</f>
        <v>红博机利碎片</v>
      </c>
      <c r="R108" s="103">
        <f>D_马仔宝物!W104</f>
        <v>40</v>
      </c>
      <c r="S108" s="102">
        <f>D_马仔宝物!V104</f>
        <v>1160</v>
      </c>
      <c r="T108">
        <f>D_马仔宝物!G104</f>
        <v>59</v>
      </c>
      <c r="U108" s="134"/>
      <c r="V108" s="134"/>
    </row>
    <row r="109" spans="1:22">
      <c r="P109" s="122">
        <f>D_马仔宝物!A105</f>
        <v>93286</v>
      </c>
      <c r="Q109" s="122" t="str">
        <f>D_马仔宝物!B105</f>
        <v>巨额钞票碎片</v>
      </c>
      <c r="R109" s="103">
        <f>D_马仔宝物!W105</f>
        <v>40</v>
      </c>
      <c r="S109" s="102">
        <f>D_马仔宝物!V105</f>
        <v>2000</v>
      </c>
      <c r="T109">
        <f>D_马仔宝物!G105</f>
        <v>60</v>
      </c>
      <c r="U109" s="134"/>
      <c r="V109" s="134"/>
    </row>
    <row r="110" spans="1:22">
      <c r="P110" s="122">
        <f>D_马仔宝物!A106</f>
        <v>93290</v>
      </c>
      <c r="Q110" s="122" t="str">
        <f>D_马仔宝物!B106</f>
        <v>大堆金块碎片</v>
      </c>
      <c r="R110" s="103">
        <f>D_马仔宝物!W106</f>
        <v>40</v>
      </c>
      <c r="S110" s="102">
        <f>D_马仔宝物!V106</f>
        <v>1820</v>
      </c>
      <c r="T110">
        <f>D_马仔宝物!G106</f>
        <v>60</v>
      </c>
      <c r="U110" s="134"/>
      <c r="V110" s="134"/>
    </row>
    <row r="111" spans="1:22">
      <c r="P111" s="122">
        <f>D_马仔宝物!A107</f>
        <v>93026</v>
      </c>
      <c r="Q111" s="122" t="str">
        <f>D_马仔宝物!B107</f>
        <v>深蓝碎片</v>
      </c>
      <c r="R111" s="103">
        <f>D_马仔宝物!W107</f>
        <v>40</v>
      </c>
      <c r="S111" s="102">
        <f>D_马仔宝物!V107</f>
        <v>500</v>
      </c>
      <c r="T111">
        <f>D_马仔宝物!G107</f>
        <v>65</v>
      </c>
      <c r="U111" s="134"/>
      <c r="V111" s="134"/>
    </row>
    <row r="112" spans="1:22">
      <c r="P112" s="122">
        <f>D_马仔宝物!A108</f>
        <v>93255</v>
      </c>
      <c r="Q112" s="122" t="str">
        <f>D_马仔宝物!B108</f>
        <v>黑耀项链碎片</v>
      </c>
      <c r="R112" s="103">
        <f>D_马仔宝物!W108</f>
        <v>40</v>
      </c>
      <c r="S112" s="102">
        <f>D_马仔宝物!V108</f>
        <v>520</v>
      </c>
      <c r="T112">
        <f>D_马仔宝物!G108</f>
        <v>65</v>
      </c>
      <c r="U112" s="134"/>
      <c r="V112" s="134"/>
    </row>
    <row r="113" spans="16:22">
      <c r="P113" s="122">
        <f>D_马仔宝物!A109</f>
        <v>93297</v>
      </c>
      <c r="Q113" s="122" t="str">
        <f>D_马仔宝物!B109</f>
        <v>翠绿之心碎片</v>
      </c>
      <c r="R113" s="103">
        <f>D_马仔宝物!W109</f>
        <v>40</v>
      </c>
      <c r="S113" s="102">
        <f>D_马仔宝物!V109</f>
        <v>220</v>
      </c>
      <c r="T113">
        <f>D_马仔宝物!G109</f>
        <v>66</v>
      </c>
      <c r="U113" s="134"/>
      <c r="V113" s="134"/>
    </row>
    <row r="114" spans="16:22">
      <c r="P114" s="122">
        <f>D_马仔宝物!A110</f>
        <v>93293</v>
      </c>
      <c r="Q114" s="122" t="str">
        <f>D_马仔宝物!B110</f>
        <v>珍珠宝盒碎片</v>
      </c>
      <c r="R114" s="103">
        <f>D_马仔宝物!W110</f>
        <v>40</v>
      </c>
      <c r="S114" s="102">
        <f>D_马仔宝物!V110</f>
        <v>400</v>
      </c>
      <c r="T114">
        <f>D_马仔宝物!G110</f>
        <v>66</v>
      </c>
      <c r="U114" s="134"/>
      <c r="V114" s="134"/>
    </row>
    <row r="115" spans="16:22">
      <c r="P115" s="122">
        <f>D_马仔宝物!A111</f>
        <v>93294</v>
      </c>
      <c r="Q115" s="122" t="str">
        <f>D_马仔宝物!B111</f>
        <v>古董宝盒碎片</v>
      </c>
      <c r="R115" s="103">
        <f>D_马仔宝物!W111</f>
        <v>40</v>
      </c>
      <c r="S115" s="102">
        <f>D_马仔宝物!V111</f>
        <v>500</v>
      </c>
      <c r="T115">
        <f>D_马仔宝物!G111</f>
        <v>67</v>
      </c>
      <c r="U115" s="134"/>
      <c r="V115" s="134"/>
    </row>
    <row r="116" spans="16:22">
      <c r="P116" s="122">
        <f>D_马仔宝物!A112</f>
        <v>93295</v>
      </c>
      <c r="Q116" s="122" t="str">
        <f>D_马仔宝物!B112</f>
        <v>水晶宝盒碎片</v>
      </c>
      <c r="R116" s="103">
        <f>D_马仔宝物!W112</f>
        <v>40</v>
      </c>
      <c r="S116" s="102">
        <f>D_马仔宝物!V112</f>
        <v>380</v>
      </c>
      <c r="T116">
        <f>D_马仔宝物!G112</f>
        <v>67</v>
      </c>
      <c r="U116" s="134"/>
      <c r="V116" s="134"/>
    </row>
    <row r="117" spans="16:22">
      <c r="P117" s="122">
        <f>D_马仔宝物!A113</f>
        <v>93262</v>
      </c>
      <c r="Q117" s="122" t="str">
        <f>D_马仔宝物!B113</f>
        <v>皇家项链碎片</v>
      </c>
      <c r="R117" s="103">
        <f>D_马仔宝物!W113</f>
        <v>40</v>
      </c>
      <c r="S117" s="102">
        <f>D_马仔宝物!V113</f>
        <v>280</v>
      </c>
      <c r="T117">
        <f>D_马仔宝物!G113</f>
        <v>68</v>
      </c>
      <c r="U117" s="134"/>
      <c r="V117" s="134"/>
    </row>
    <row r="118" spans="16:22">
      <c r="P118" s="122">
        <f>D_马仔宝物!A114</f>
        <v>93298</v>
      </c>
      <c r="Q118" s="122" t="str">
        <f>D_马仔宝物!B114</f>
        <v>海洋之泪碎片</v>
      </c>
      <c r="R118" s="103">
        <f>D_马仔宝物!W114</f>
        <v>40</v>
      </c>
      <c r="S118" s="102">
        <f>D_马仔宝物!V114</f>
        <v>340</v>
      </c>
      <c r="T118">
        <f>D_马仔宝物!G114</f>
        <v>68</v>
      </c>
      <c r="U118" s="134"/>
      <c r="V118" s="134"/>
    </row>
    <row r="119" spans="16:22">
      <c r="P119" s="122">
        <f>D_马仔宝物!A115</f>
        <v>93276</v>
      </c>
      <c r="Q119" s="122" t="str">
        <f>D_马仔宝物!B115</f>
        <v>壕利手表碎片</v>
      </c>
      <c r="R119" s="103">
        <f>D_马仔宝物!W115</f>
        <v>40</v>
      </c>
      <c r="S119" s="102">
        <f>D_马仔宝物!V115</f>
        <v>320</v>
      </c>
      <c r="T119">
        <f>D_马仔宝物!G115</f>
        <v>69</v>
      </c>
      <c r="U119" s="134"/>
      <c r="V119" s="134"/>
    </row>
    <row r="120" spans="16:22">
      <c r="P120" s="122">
        <f>D_马仔宝物!A116</f>
        <v>93282</v>
      </c>
      <c r="Q120" s="122" t="str">
        <f>D_马仔宝物!B116</f>
        <v>劳莱斯特碎片</v>
      </c>
      <c r="R120" s="103">
        <f>D_马仔宝物!W116</f>
        <v>40</v>
      </c>
      <c r="S120" s="102">
        <f>D_马仔宝物!V116</f>
        <v>280</v>
      </c>
      <c r="T120">
        <f>D_马仔宝物!G116</f>
        <v>69</v>
      </c>
      <c r="U120" s="134"/>
      <c r="V120" s="134"/>
    </row>
    <row r="121" spans="16:22">
      <c r="P121" s="122">
        <f>D_马仔宝物!A117</f>
        <v>93299</v>
      </c>
      <c r="Q121" s="122" t="str">
        <f>D_马仔宝物!B117</f>
        <v>房产证碎片</v>
      </c>
      <c r="R121" s="103">
        <f>D_马仔宝物!W117</f>
        <v>40</v>
      </c>
      <c r="S121" s="102">
        <f>D_马仔宝物!V117</f>
        <v>500</v>
      </c>
      <c r="T121">
        <f>D_马仔宝物!G117</f>
        <v>70</v>
      </c>
      <c r="U121" s="134"/>
      <c r="V121" s="134"/>
    </row>
    <row r="122" spans="16:22">
      <c r="P122" s="122">
        <f>D_马仔宝物!A118</f>
        <v>93291</v>
      </c>
      <c r="Q122" s="122" t="str">
        <f>D_马仔宝物!B118</f>
        <v>巨量金块碎片</v>
      </c>
      <c r="R122" s="103">
        <f>D_马仔宝物!W118</f>
        <v>40</v>
      </c>
      <c r="S122" s="102">
        <f>D_马仔宝物!V118</f>
        <v>520</v>
      </c>
      <c r="T122">
        <f>D_马仔宝物!G118</f>
        <v>70</v>
      </c>
      <c r="U122" s="134"/>
      <c r="V122" s="134"/>
    </row>
  </sheetData>
  <phoneticPr fontId="1" type="noConversion"/>
  <conditionalFormatting sqref="S6:S122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" sqref="G2"/>
    </sheetView>
  </sheetViews>
  <sheetFormatPr defaultRowHeight="13.5"/>
  <cols>
    <col min="2" max="2" width="11" bestFit="1" customWidth="1"/>
    <col min="3" max="3" width="71.25" bestFit="1" customWidth="1"/>
    <col min="4" max="4" width="20.5" customWidth="1"/>
    <col min="5" max="5" width="11.75" bestFit="1" customWidth="1"/>
    <col min="6" max="6" width="13.875" bestFit="1" customWidth="1"/>
    <col min="8" max="8" width="12.75" bestFit="1" customWidth="1"/>
  </cols>
  <sheetData>
    <row r="1" spans="1:14">
      <c r="A1" s="6" t="s">
        <v>145</v>
      </c>
      <c r="B1" s="109" t="s">
        <v>146</v>
      </c>
      <c r="C1" s="109" t="s">
        <v>423</v>
      </c>
      <c r="D1" s="30" t="s">
        <v>298</v>
      </c>
      <c r="E1" s="30" t="s">
        <v>147</v>
      </c>
      <c r="F1" s="30" t="s">
        <v>389</v>
      </c>
      <c r="G1" s="30" t="s">
        <v>388</v>
      </c>
      <c r="H1" s="109" t="s">
        <v>148</v>
      </c>
      <c r="I1" s="30" t="s">
        <v>149</v>
      </c>
      <c r="J1" s="50" t="s">
        <v>299</v>
      </c>
    </row>
    <row r="2" spans="1:14">
      <c r="A2" s="39">
        <v>9601101</v>
      </c>
      <c r="B2" s="39" t="s">
        <v>220</v>
      </c>
      <c r="C2" s="39" t="s">
        <v>599</v>
      </c>
      <c r="D2" s="39">
        <f>VLOOKUP(INT(A2/100)*100+1,CHOOSE({1,2},D_马仔表!$I$2:$I$20,D_马仔表!$D$2:$D$20),2,FALSE)</f>
        <v>0</v>
      </c>
      <c r="E2">
        <v>1</v>
      </c>
      <c r="F2">
        <f>1.9+E2*0.1</f>
        <v>2</v>
      </c>
      <c r="G2">
        <f>1.3+E2*0.3*(D2*0.3+1)</f>
        <v>1.6</v>
      </c>
      <c r="H2" t="str">
        <f>A2&amp;".png"</f>
        <v>9601101.png</v>
      </c>
      <c r="I2" s="39">
        <v>0</v>
      </c>
      <c r="J2">
        <f>MOD(A2,100)-1</f>
        <v>0</v>
      </c>
    </row>
    <row r="3" spans="1:14">
      <c r="A3" s="39">
        <v>9602101</v>
      </c>
      <c r="B3" s="39" t="s">
        <v>424</v>
      </c>
      <c r="C3" s="39" t="s">
        <v>600</v>
      </c>
      <c r="D3" s="39">
        <f>VLOOKUP(INT(A3/100)*100+1,CHOOSE({1,2},D_马仔表!$I$2:$I$20,D_马仔表!$D$2:$D$20),2,FALSE)</f>
        <v>0</v>
      </c>
      <c r="E3">
        <v>1</v>
      </c>
      <c r="F3">
        <f t="shared" ref="F3:F66" si="0">1.9+E3*0.1</f>
        <v>2</v>
      </c>
      <c r="G3">
        <f t="shared" ref="G3:G66" si="1">1.3+E3*0.3*(D3*0.3+1)</f>
        <v>1.6</v>
      </c>
      <c r="H3" t="str">
        <f t="shared" ref="H3:H17" si="2">A3&amp;".png"</f>
        <v>9602101.png</v>
      </c>
      <c r="I3" s="39">
        <v>0</v>
      </c>
      <c r="J3">
        <f t="shared" ref="J3:J78" si="3">MOD(A3,100)-1</f>
        <v>0</v>
      </c>
    </row>
    <row r="4" spans="1:14">
      <c r="A4" s="39">
        <v>9603101</v>
      </c>
      <c r="B4" s="39" t="s">
        <v>425</v>
      </c>
      <c r="C4" s="39" t="s">
        <v>601</v>
      </c>
      <c r="D4" s="39">
        <f>VLOOKUP(INT(A4/100)*100+1,CHOOSE({1,2},D_马仔表!$I$2:$I$20,D_马仔表!$D$2:$D$20),2,FALSE)</f>
        <v>0</v>
      </c>
      <c r="E4">
        <v>1</v>
      </c>
      <c r="F4">
        <f t="shared" si="0"/>
        <v>2</v>
      </c>
      <c r="G4">
        <f t="shared" si="1"/>
        <v>1.6</v>
      </c>
      <c r="H4" t="str">
        <f t="shared" si="2"/>
        <v>9603101.png</v>
      </c>
      <c r="I4" s="39">
        <v>0</v>
      </c>
      <c r="J4">
        <f t="shared" si="3"/>
        <v>0</v>
      </c>
    </row>
    <row r="5" spans="1:14">
      <c r="A5" s="39">
        <v>9604101</v>
      </c>
      <c r="B5" s="39" t="s">
        <v>426</v>
      </c>
      <c r="C5" s="39" t="s">
        <v>602</v>
      </c>
      <c r="D5" s="39">
        <f>VLOOKUP(INT(A5/100)*100+1,CHOOSE({1,2},D_马仔表!$I$2:$I$20,D_马仔表!$D$2:$D$20),2,FALSE)</f>
        <v>0</v>
      </c>
      <c r="E5">
        <v>1</v>
      </c>
      <c r="F5">
        <f t="shared" si="0"/>
        <v>2</v>
      </c>
      <c r="G5">
        <f t="shared" si="1"/>
        <v>1.6</v>
      </c>
      <c r="H5" t="str">
        <f t="shared" si="2"/>
        <v>9604101.png</v>
      </c>
      <c r="I5" s="39">
        <v>0</v>
      </c>
      <c r="J5">
        <f t="shared" si="3"/>
        <v>0</v>
      </c>
    </row>
    <row r="6" spans="1:14">
      <c r="A6" s="39">
        <v>9605101</v>
      </c>
      <c r="B6" s="39" t="s">
        <v>427</v>
      </c>
      <c r="C6" s="39" t="s">
        <v>603</v>
      </c>
      <c r="D6" s="39">
        <f>VLOOKUP(INT(A6/100)*100+1,CHOOSE({1,2},D_马仔表!$I$2:$I$20,D_马仔表!$D$2:$D$20),2,FALSE)</f>
        <v>0</v>
      </c>
      <c r="E6">
        <v>1</v>
      </c>
      <c r="F6">
        <f t="shared" si="0"/>
        <v>2</v>
      </c>
      <c r="G6">
        <f t="shared" si="1"/>
        <v>1.6</v>
      </c>
      <c r="H6" t="str">
        <f t="shared" si="2"/>
        <v>9605101.png</v>
      </c>
      <c r="I6" s="39">
        <v>0</v>
      </c>
      <c r="J6">
        <f t="shared" si="3"/>
        <v>0</v>
      </c>
    </row>
    <row r="7" spans="1:14">
      <c r="A7" s="39">
        <v>9606101</v>
      </c>
      <c r="B7" s="39" t="s">
        <v>428</v>
      </c>
      <c r="C7" s="39" t="s">
        <v>604</v>
      </c>
      <c r="D7" s="39">
        <f>VLOOKUP(INT(A7/100)*100+1,CHOOSE({1,2},D_马仔表!$I$2:$I$20,D_马仔表!$D$2:$D$20),2,FALSE)</f>
        <v>1</v>
      </c>
      <c r="E7">
        <v>1</v>
      </c>
      <c r="F7">
        <f t="shared" si="0"/>
        <v>2</v>
      </c>
      <c r="G7">
        <f t="shared" si="1"/>
        <v>1.69</v>
      </c>
      <c r="H7" t="str">
        <f t="shared" si="2"/>
        <v>9606101.png</v>
      </c>
      <c r="I7" s="39">
        <v>0</v>
      </c>
      <c r="J7">
        <f t="shared" si="3"/>
        <v>0</v>
      </c>
      <c r="N7" s="39"/>
    </row>
    <row r="8" spans="1:14">
      <c r="A8" s="39">
        <v>9607101</v>
      </c>
      <c r="B8" s="39" t="s">
        <v>432</v>
      </c>
      <c r="C8" s="39" t="s">
        <v>605</v>
      </c>
      <c r="D8" s="39">
        <f>VLOOKUP(INT(A8/100)*100+1,CHOOSE({1,2},D_马仔表!$I$2:$I$20,D_马仔表!$D$2:$D$20),2,FALSE)</f>
        <v>1</v>
      </c>
      <c r="E8">
        <v>1</v>
      </c>
      <c r="F8">
        <f t="shared" si="0"/>
        <v>2</v>
      </c>
      <c r="G8">
        <f t="shared" si="1"/>
        <v>1.69</v>
      </c>
      <c r="H8" t="str">
        <f t="shared" si="2"/>
        <v>9607101.png</v>
      </c>
      <c r="I8" s="39">
        <v>0</v>
      </c>
      <c r="J8">
        <f t="shared" si="3"/>
        <v>0</v>
      </c>
    </row>
    <row r="9" spans="1:14">
      <c r="A9" s="39">
        <v>9608101</v>
      </c>
      <c r="B9" s="39" t="s">
        <v>429</v>
      </c>
      <c r="C9" s="39" t="s">
        <v>606</v>
      </c>
      <c r="D9" s="39">
        <f>VLOOKUP(INT(A9/100)*100+1,CHOOSE({1,2},D_马仔表!$I$2:$I$20,D_马仔表!$D$2:$D$20),2,FALSE)</f>
        <v>1</v>
      </c>
      <c r="E9">
        <v>1</v>
      </c>
      <c r="F9">
        <f t="shared" si="0"/>
        <v>2</v>
      </c>
      <c r="G9">
        <f t="shared" si="1"/>
        <v>1.69</v>
      </c>
      <c r="H9" t="str">
        <f t="shared" si="2"/>
        <v>9608101.png</v>
      </c>
      <c r="I9" s="39">
        <v>0</v>
      </c>
      <c r="J9">
        <f t="shared" si="3"/>
        <v>0</v>
      </c>
    </row>
    <row r="10" spans="1:14">
      <c r="A10" s="39">
        <v>9609101</v>
      </c>
      <c r="B10" s="39" t="s">
        <v>430</v>
      </c>
      <c r="C10" s="39" t="s">
        <v>607</v>
      </c>
      <c r="D10" s="39">
        <f>VLOOKUP(INT(A10/100)*100+1,CHOOSE({1,2},D_马仔表!$I$2:$I$20,D_马仔表!$D$2:$D$20),2,FALSE)</f>
        <v>2</v>
      </c>
      <c r="E10">
        <v>1</v>
      </c>
      <c r="F10">
        <f t="shared" si="0"/>
        <v>2</v>
      </c>
      <c r="G10">
        <f t="shared" si="1"/>
        <v>1.78</v>
      </c>
      <c r="H10" t="str">
        <f t="shared" si="2"/>
        <v>9609101.png</v>
      </c>
      <c r="I10" s="39">
        <v>0</v>
      </c>
      <c r="J10">
        <f t="shared" si="3"/>
        <v>0</v>
      </c>
      <c r="N10" s="39"/>
    </row>
    <row r="11" spans="1:14">
      <c r="A11" s="39">
        <v>9610101</v>
      </c>
      <c r="B11" s="39" t="s">
        <v>219</v>
      </c>
      <c r="C11" s="39" t="s">
        <v>608</v>
      </c>
      <c r="D11" s="39">
        <f>VLOOKUP(INT(A11/100)*100+1,CHOOSE({1,2},D_马仔表!$I$2:$I$20,D_马仔表!$D$2:$D$20),2,FALSE)</f>
        <v>2</v>
      </c>
      <c r="E11">
        <v>1</v>
      </c>
      <c r="F11">
        <f t="shared" si="0"/>
        <v>2</v>
      </c>
      <c r="G11">
        <f t="shared" si="1"/>
        <v>1.78</v>
      </c>
      <c r="H11" t="str">
        <f t="shared" si="2"/>
        <v>9610101.png</v>
      </c>
      <c r="I11" s="39">
        <v>0</v>
      </c>
      <c r="J11">
        <f t="shared" si="3"/>
        <v>0</v>
      </c>
    </row>
    <row r="12" spans="1:14">
      <c r="A12" s="39">
        <v>9611101</v>
      </c>
      <c r="B12" s="39" t="s">
        <v>431</v>
      </c>
      <c r="C12" s="39" t="s">
        <v>609</v>
      </c>
      <c r="D12" s="39">
        <f>VLOOKUP(INT(A12/100)*100+1,CHOOSE({1,2},D_马仔表!$I$2:$I$20,D_马仔表!$D$2:$D$20),2,FALSE)</f>
        <v>2</v>
      </c>
      <c r="E12">
        <v>1</v>
      </c>
      <c r="F12">
        <f t="shared" si="0"/>
        <v>2</v>
      </c>
      <c r="G12">
        <f t="shared" si="1"/>
        <v>1.78</v>
      </c>
      <c r="H12" t="str">
        <f t="shared" si="2"/>
        <v>9611101.png</v>
      </c>
      <c r="I12" s="39">
        <v>0</v>
      </c>
      <c r="J12">
        <f t="shared" si="3"/>
        <v>0</v>
      </c>
    </row>
    <row r="13" spans="1:14">
      <c r="A13" s="39">
        <v>9612101</v>
      </c>
      <c r="B13" s="39" t="s">
        <v>433</v>
      </c>
      <c r="C13" s="39" t="s">
        <v>610</v>
      </c>
      <c r="D13" s="39">
        <f>VLOOKUP(INT(A13/100)*100+1,CHOOSE({1,2},D_马仔表!$I$2:$I$20,D_马仔表!$D$2:$D$20),2,FALSE)</f>
        <v>2</v>
      </c>
      <c r="E13">
        <v>1</v>
      </c>
      <c r="F13">
        <f t="shared" si="0"/>
        <v>2</v>
      </c>
      <c r="G13">
        <f t="shared" si="1"/>
        <v>1.78</v>
      </c>
      <c r="H13" t="str">
        <f t="shared" si="2"/>
        <v>9612101.png</v>
      </c>
      <c r="I13" s="39">
        <v>0</v>
      </c>
      <c r="J13">
        <f t="shared" si="3"/>
        <v>0</v>
      </c>
      <c r="N13" s="39"/>
    </row>
    <row r="14" spans="1:14">
      <c r="A14" s="39">
        <v>9613101</v>
      </c>
      <c r="B14" s="39" t="s">
        <v>434</v>
      </c>
      <c r="C14" s="39" t="s">
        <v>611</v>
      </c>
      <c r="D14" s="39">
        <f>VLOOKUP(INT(A14/100)*100+1,CHOOSE({1,2},D_马仔表!$I$2:$I$20,D_马仔表!$D$2:$D$20),2,FALSE)</f>
        <v>2</v>
      </c>
      <c r="E14">
        <v>1</v>
      </c>
      <c r="F14">
        <f t="shared" si="0"/>
        <v>2</v>
      </c>
      <c r="G14">
        <f t="shared" si="1"/>
        <v>1.78</v>
      </c>
      <c r="H14" t="str">
        <f t="shared" si="2"/>
        <v>9613101.png</v>
      </c>
      <c r="I14" s="39">
        <v>0</v>
      </c>
      <c r="J14">
        <f t="shared" si="3"/>
        <v>0</v>
      </c>
    </row>
    <row r="15" spans="1:14" s="108" customFormat="1">
      <c r="A15" s="108">
        <v>9614101</v>
      </c>
      <c r="B15" s="108" t="s">
        <v>435</v>
      </c>
      <c r="C15" s="108" t="s">
        <v>612</v>
      </c>
      <c r="D15" s="108">
        <f>VLOOKUP(INT(A15/100)*100+1,CHOOSE({1,2},D_马仔表!$I$2:$I$20,D_马仔表!$D$2:$D$20),2,FALSE)</f>
        <v>3</v>
      </c>
      <c r="E15" s="108">
        <v>1</v>
      </c>
      <c r="F15">
        <f t="shared" si="0"/>
        <v>2</v>
      </c>
      <c r="G15">
        <f t="shared" si="1"/>
        <v>1.87</v>
      </c>
      <c r="H15" s="108" t="str">
        <f t="shared" si="2"/>
        <v>9614101.png</v>
      </c>
      <c r="I15" s="108">
        <v>0</v>
      </c>
      <c r="J15" s="108">
        <f t="shared" si="3"/>
        <v>0</v>
      </c>
    </row>
    <row r="16" spans="1:14" s="108" customFormat="1">
      <c r="A16" s="108">
        <v>9615101</v>
      </c>
      <c r="B16" s="108" t="s">
        <v>436</v>
      </c>
      <c r="C16" s="108" t="s">
        <v>613</v>
      </c>
      <c r="D16" s="108">
        <f>VLOOKUP(INT(A16/100)*100+1,CHOOSE({1,2},D_马仔表!$I$2:$I$20,D_马仔表!$D$2:$D$20),2,FALSE)</f>
        <v>3</v>
      </c>
      <c r="E16" s="108">
        <v>1</v>
      </c>
      <c r="F16">
        <f t="shared" si="0"/>
        <v>2</v>
      </c>
      <c r="G16">
        <f t="shared" si="1"/>
        <v>1.87</v>
      </c>
      <c r="H16" s="108" t="str">
        <f t="shared" si="2"/>
        <v>9615101.png</v>
      </c>
      <c r="I16" s="108">
        <v>0</v>
      </c>
      <c r="J16" s="108">
        <f t="shared" si="3"/>
        <v>0</v>
      </c>
    </row>
    <row r="17" spans="1:10" s="108" customFormat="1">
      <c r="A17" s="108">
        <v>9616101</v>
      </c>
      <c r="B17" s="108" t="s">
        <v>437</v>
      </c>
      <c r="C17" s="108" t="s">
        <v>676</v>
      </c>
      <c r="D17" s="108">
        <f>VLOOKUP(INT(A17/100)*100+1,CHOOSE({1,2},D_马仔表!$I$2:$I$20,D_马仔表!$D$2:$D$20),2,FALSE)</f>
        <v>3</v>
      </c>
      <c r="E17" s="108">
        <v>1</v>
      </c>
      <c r="F17">
        <f t="shared" si="0"/>
        <v>2</v>
      </c>
      <c r="G17">
        <f t="shared" si="1"/>
        <v>1.87</v>
      </c>
      <c r="H17" s="108" t="str">
        <f t="shared" si="2"/>
        <v>9616101.png</v>
      </c>
      <c r="I17" s="108">
        <v>0</v>
      </c>
      <c r="J17" s="108">
        <f t="shared" si="3"/>
        <v>0</v>
      </c>
    </row>
    <row r="18" spans="1:10" s="39" customFormat="1">
      <c r="A18" s="39">
        <v>9617101</v>
      </c>
      <c r="B18" s="39" t="s">
        <v>677</v>
      </c>
      <c r="C18" s="39" t="s">
        <v>679</v>
      </c>
      <c r="D18" s="39">
        <f>VLOOKUP(INT(A18/100)*100+1,CHOOSE({1,2},D_马仔表!$I$2:$I$20,D_马仔表!$D$2:$D$20),2,FALSE)</f>
        <v>1</v>
      </c>
      <c r="E18" s="39">
        <v>1</v>
      </c>
      <c r="F18">
        <f t="shared" si="0"/>
        <v>2</v>
      </c>
      <c r="G18">
        <f t="shared" si="1"/>
        <v>1.69</v>
      </c>
      <c r="H18" s="39" t="s">
        <v>241</v>
      </c>
      <c r="I18" s="39">
        <v>0</v>
      </c>
      <c r="J18" s="39">
        <f t="shared" ref="J18:J20" si="4">MOD(A18,100)-1</f>
        <v>0</v>
      </c>
    </row>
    <row r="19" spans="1:10" s="39" customFormat="1">
      <c r="A19" s="39">
        <v>9618101</v>
      </c>
      <c r="B19" s="39" t="s">
        <v>678</v>
      </c>
      <c r="C19" s="39" t="s">
        <v>680</v>
      </c>
      <c r="D19" s="39">
        <f>VLOOKUP(INT(A19/100)*100+1,CHOOSE({1,2},D_马仔表!$I$2:$I$20,D_马仔表!$D$2:$D$20),2,FALSE)</f>
        <v>2</v>
      </c>
      <c r="E19" s="39">
        <v>1</v>
      </c>
      <c r="F19">
        <f t="shared" si="0"/>
        <v>2</v>
      </c>
      <c r="G19">
        <f t="shared" si="1"/>
        <v>1.78</v>
      </c>
      <c r="H19" s="39" t="s">
        <v>647</v>
      </c>
      <c r="I19" s="39">
        <v>0</v>
      </c>
      <c r="J19" s="39">
        <f t="shared" si="4"/>
        <v>0</v>
      </c>
    </row>
    <row r="20" spans="1:10" s="39" customFormat="1">
      <c r="A20" s="39">
        <v>9619101</v>
      </c>
      <c r="B20" s="39" t="s">
        <v>681</v>
      </c>
      <c r="C20" s="39" t="s">
        <v>682</v>
      </c>
      <c r="D20" s="39">
        <f>VLOOKUP(INT(A20/100)*100+1,CHOOSE({1,2},D_马仔表!$I$2:$I$20,D_马仔表!$D$2:$D$20),2,FALSE)</f>
        <v>2</v>
      </c>
      <c r="E20" s="39">
        <v>1</v>
      </c>
      <c r="F20">
        <f t="shared" si="0"/>
        <v>2</v>
      </c>
      <c r="G20">
        <f t="shared" si="1"/>
        <v>1.78</v>
      </c>
      <c r="H20" s="39" t="s">
        <v>648</v>
      </c>
      <c r="I20" s="39">
        <v>0</v>
      </c>
      <c r="J20" s="39">
        <f t="shared" si="4"/>
        <v>0</v>
      </c>
    </row>
    <row r="21" spans="1:10">
      <c r="A21">
        <f t="shared" ref="A21:A36" si="5">A2+1</f>
        <v>9601102</v>
      </c>
      <c r="B21" t="str">
        <f>B2</f>
        <v>百裂踢</v>
      </c>
      <c r="C21" t="str">
        <f>C2</f>
        <v>在短时间内向目标发起连续踢技让对手防不胜防，伤害随技能等级提升。</v>
      </c>
      <c r="D21" s="39">
        <f>VLOOKUP(INT(A21/100)*100+1,CHOOSE({1,2},D_马仔表!$I$2:$I$20,D_马仔表!$D$2:$D$20),2,FALSE)</f>
        <v>0</v>
      </c>
      <c r="E21">
        <f t="shared" ref="E21:E52" si="6">E2+1</f>
        <v>2</v>
      </c>
      <c r="F21">
        <f t="shared" si="0"/>
        <v>2.1</v>
      </c>
      <c r="G21">
        <f t="shared" si="1"/>
        <v>1.9</v>
      </c>
      <c r="H21" t="str">
        <f t="shared" ref="H21:H52" si="7">H2</f>
        <v>9601101.png</v>
      </c>
      <c r="I21" s="39">
        <v>0</v>
      </c>
      <c r="J21">
        <f t="shared" si="3"/>
        <v>1</v>
      </c>
    </row>
    <row r="22" spans="1:10">
      <c r="A22">
        <f t="shared" si="5"/>
        <v>9602102</v>
      </c>
      <c r="B22" t="str">
        <f t="shared" ref="B22:C22" si="8">B3</f>
        <v>精密射击</v>
      </c>
      <c r="C22" t="str">
        <f t="shared" si="8"/>
        <v>以精密的射击技术对敌人的弱点发起连续射击，伤害随技能等级提升。</v>
      </c>
      <c r="D22" s="39">
        <f>VLOOKUP(INT(A22/100)*100+1,CHOOSE({1,2},D_马仔表!$I$2:$I$20,D_马仔表!$D$2:$D$20),2,FALSE)</f>
        <v>0</v>
      </c>
      <c r="E22">
        <f t="shared" si="6"/>
        <v>2</v>
      </c>
      <c r="F22">
        <f t="shared" si="0"/>
        <v>2.1</v>
      </c>
      <c r="G22">
        <f t="shared" si="1"/>
        <v>1.9</v>
      </c>
      <c r="H22" t="str">
        <f t="shared" si="7"/>
        <v>9602101.png</v>
      </c>
      <c r="I22" s="39">
        <v>0</v>
      </c>
      <c r="J22">
        <f t="shared" si="3"/>
        <v>1</v>
      </c>
    </row>
    <row r="23" spans="1:10">
      <c r="A23">
        <f t="shared" si="5"/>
        <v>9603102</v>
      </c>
      <c r="B23" t="str">
        <f t="shared" ref="B23:C23" si="9">B4</f>
        <v>火焰龙卷棍</v>
      </c>
      <c r="C23" t="str">
        <f t="shared" si="9"/>
        <v>以高速挥舞的长棍摩擦空气产生的烈焰吞噬目标，伤害随技能等级提升。</v>
      </c>
      <c r="D23" s="39">
        <f>VLOOKUP(INT(A23/100)*100+1,CHOOSE({1,2},D_马仔表!$I$2:$I$20,D_马仔表!$D$2:$D$20),2,FALSE)</f>
        <v>0</v>
      </c>
      <c r="E23">
        <f t="shared" si="6"/>
        <v>2</v>
      </c>
      <c r="F23">
        <f t="shared" si="0"/>
        <v>2.1</v>
      </c>
      <c r="G23">
        <f t="shared" si="1"/>
        <v>1.9</v>
      </c>
      <c r="H23" t="str">
        <f t="shared" si="7"/>
        <v>9603101.png</v>
      </c>
      <c r="I23" s="39">
        <v>0</v>
      </c>
      <c r="J23">
        <f t="shared" si="3"/>
        <v>1</v>
      </c>
    </row>
    <row r="24" spans="1:10">
      <c r="A24">
        <f t="shared" si="5"/>
        <v>9604102</v>
      </c>
      <c r="B24" t="str">
        <f t="shared" ref="B24:C24" si="10">B5</f>
        <v>致命突袭</v>
      </c>
      <c r="C24" t="str">
        <f t="shared" si="10"/>
        <v>以猛烈的拳法配合踢技终结目标，伤害随技能等级提升。</v>
      </c>
      <c r="D24" s="39">
        <f>VLOOKUP(INT(A24/100)*100+1,CHOOSE({1,2},D_马仔表!$I$2:$I$20,D_马仔表!$D$2:$D$20),2,FALSE)</f>
        <v>0</v>
      </c>
      <c r="E24">
        <f t="shared" si="6"/>
        <v>2</v>
      </c>
      <c r="F24">
        <f t="shared" si="0"/>
        <v>2.1</v>
      </c>
      <c r="G24">
        <f t="shared" si="1"/>
        <v>1.9</v>
      </c>
      <c r="H24" t="str">
        <f t="shared" si="7"/>
        <v>9604101.png</v>
      </c>
      <c r="I24" s="39">
        <v>0</v>
      </c>
      <c r="J24">
        <f t="shared" si="3"/>
        <v>1</v>
      </c>
    </row>
    <row r="25" spans="1:10">
      <c r="A25">
        <f t="shared" si="5"/>
        <v>9605102</v>
      </c>
      <c r="B25" t="str">
        <f t="shared" ref="B25:C25" si="11">B6</f>
        <v>蛮牛冲撞</v>
      </c>
      <c r="C25" t="str">
        <f t="shared" si="11"/>
        <v>以蛮牛般的力量向前方突进，给予前方目标巨大伤害，伤害随技能等级提升。</v>
      </c>
      <c r="D25" s="39">
        <f>VLOOKUP(INT(A25/100)*100+1,CHOOSE({1,2},D_马仔表!$I$2:$I$20,D_马仔表!$D$2:$D$20),2,FALSE)</f>
        <v>0</v>
      </c>
      <c r="E25">
        <f t="shared" si="6"/>
        <v>2</v>
      </c>
      <c r="F25">
        <f t="shared" si="0"/>
        <v>2.1</v>
      </c>
      <c r="G25">
        <f t="shared" si="1"/>
        <v>1.9</v>
      </c>
      <c r="H25" t="str">
        <f t="shared" si="7"/>
        <v>9605101.png</v>
      </c>
      <c r="I25" s="39">
        <v>0</v>
      </c>
      <c r="J25">
        <f t="shared" si="3"/>
        <v>1</v>
      </c>
    </row>
    <row r="26" spans="1:10">
      <c r="A26">
        <f t="shared" si="5"/>
        <v>9606102</v>
      </c>
      <c r="B26" t="str">
        <f t="shared" ref="B26:C26" si="12">B7</f>
        <v>烈风回旋击</v>
      </c>
      <c r="C26" t="str">
        <f t="shared" si="12"/>
        <v>以狂风般的速度发起的三连回旋击，伤害随技能等级提升。</v>
      </c>
      <c r="D26" s="39">
        <f>VLOOKUP(INT(A26/100)*100+1,CHOOSE({1,2},D_马仔表!$I$2:$I$20,D_马仔表!$D$2:$D$20),2,FALSE)</f>
        <v>1</v>
      </c>
      <c r="E26">
        <f t="shared" si="6"/>
        <v>2</v>
      </c>
      <c r="F26">
        <f t="shared" si="0"/>
        <v>2.1</v>
      </c>
      <c r="G26">
        <f t="shared" si="1"/>
        <v>2.08</v>
      </c>
      <c r="H26" t="str">
        <f t="shared" si="7"/>
        <v>9606101.png</v>
      </c>
      <c r="I26" s="39">
        <v>0</v>
      </c>
      <c r="J26">
        <f t="shared" si="3"/>
        <v>1</v>
      </c>
    </row>
    <row r="27" spans="1:10">
      <c r="A27">
        <f t="shared" si="5"/>
        <v>9607102</v>
      </c>
      <c r="B27" t="str">
        <f t="shared" ref="B27:C27" si="13">B8</f>
        <v>火力覆盖</v>
      </c>
      <c r="C27" t="str">
        <f t="shared" si="13"/>
        <v>用大口径机枪向目标发起疯狂的扫射，伤害随技能等级提升。</v>
      </c>
      <c r="D27" s="39">
        <f>VLOOKUP(INT(A27/100)*100+1,CHOOSE({1,2},D_马仔表!$I$2:$I$20,D_马仔表!$D$2:$D$20),2,FALSE)</f>
        <v>1</v>
      </c>
      <c r="E27">
        <f t="shared" si="6"/>
        <v>2</v>
      </c>
      <c r="F27">
        <f t="shared" si="0"/>
        <v>2.1</v>
      </c>
      <c r="G27">
        <f t="shared" si="1"/>
        <v>2.08</v>
      </c>
      <c r="H27" t="str">
        <f t="shared" si="7"/>
        <v>9607101.png</v>
      </c>
      <c r="I27" s="39">
        <v>0</v>
      </c>
      <c r="J27">
        <f t="shared" si="3"/>
        <v>1</v>
      </c>
    </row>
    <row r="28" spans="1:10">
      <c r="A28">
        <f t="shared" si="5"/>
        <v>9608102</v>
      </c>
      <c r="B28" t="str">
        <f t="shared" ref="B28:C28" si="14">B9</f>
        <v>猪突猛进</v>
      </c>
      <c r="C28" t="str">
        <f t="shared" si="14"/>
        <v>疯狂的向前方突进，将沿途的敌人统统击飞，伤害随技能等级提升。</v>
      </c>
      <c r="D28" s="39">
        <f>VLOOKUP(INT(A28/100)*100+1,CHOOSE({1,2},D_马仔表!$I$2:$I$20,D_马仔表!$D$2:$D$20),2,FALSE)</f>
        <v>1</v>
      </c>
      <c r="E28">
        <f t="shared" si="6"/>
        <v>2</v>
      </c>
      <c r="F28">
        <f t="shared" si="0"/>
        <v>2.1</v>
      </c>
      <c r="G28">
        <f t="shared" si="1"/>
        <v>2.08</v>
      </c>
      <c r="H28" t="str">
        <f t="shared" si="7"/>
        <v>9608101.png</v>
      </c>
      <c r="I28" s="39">
        <v>0</v>
      </c>
      <c r="J28">
        <f t="shared" si="3"/>
        <v>1</v>
      </c>
    </row>
    <row r="29" spans="1:10">
      <c r="A29">
        <f t="shared" si="5"/>
        <v>9609102</v>
      </c>
      <c r="B29" t="str">
        <f t="shared" ref="B29:C29" si="15">B10</f>
        <v>毁灭漩涡</v>
      </c>
      <c r="C29" t="str">
        <f t="shared" si="15"/>
        <v>快速旋转自身，将沿途目标无情撕碎的恐怖招式，伤害随技能等级提升。</v>
      </c>
      <c r="D29" s="39">
        <f>VLOOKUP(INT(A29/100)*100+1,CHOOSE({1,2},D_马仔表!$I$2:$I$20,D_马仔表!$D$2:$D$20),2,FALSE)</f>
        <v>2</v>
      </c>
      <c r="E29">
        <f t="shared" si="6"/>
        <v>2</v>
      </c>
      <c r="F29">
        <f t="shared" si="0"/>
        <v>2.1</v>
      </c>
      <c r="G29">
        <f t="shared" si="1"/>
        <v>2.2599999999999998</v>
      </c>
      <c r="H29" t="str">
        <f t="shared" si="7"/>
        <v>9609101.png</v>
      </c>
      <c r="I29" s="39">
        <v>0</v>
      </c>
      <c r="J29">
        <f t="shared" si="3"/>
        <v>1</v>
      </c>
    </row>
    <row r="30" spans="1:10">
      <c r="A30">
        <f t="shared" si="5"/>
        <v>9610102</v>
      </c>
      <c r="B30" t="str">
        <f t="shared" ref="B30:C30" si="16">B11</f>
        <v>死亡切割</v>
      </c>
      <c r="C30" t="str">
        <f t="shared" si="16"/>
        <v>将目标踢至空中切割的锐利踢技，伤害随技能等级提升。</v>
      </c>
      <c r="D30" s="39">
        <f>VLOOKUP(INT(A30/100)*100+1,CHOOSE({1,2},D_马仔表!$I$2:$I$20,D_马仔表!$D$2:$D$20),2,FALSE)</f>
        <v>2</v>
      </c>
      <c r="E30">
        <f t="shared" si="6"/>
        <v>2</v>
      </c>
      <c r="F30">
        <f t="shared" si="0"/>
        <v>2.1</v>
      </c>
      <c r="G30">
        <f t="shared" si="1"/>
        <v>2.2599999999999998</v>
      </c>
      <c r="H30" t="str">
        <f t="shared" si="7"/>
        <v>9610101.png</v>
      </c>
      <c r="I30" s="39">
        <v>0</v>
      </c>
      <c r="J30">
        <f t="shared" si="3"/>
        <v>1</v>
      </c>
    </row>
    <row r="31" spans="1:10">
      <c r="A31">
        <f t="shared" si="5"/>
        <v>9611102</v>
      </c>
      <c r="B31" t="str">
        <f t="shared" ref="B31:C31" si="17">B12</f>
        <v>幻影闪现</v>
      </c>
      <c r="C31" t="str">
        <f t="shared" si="17"/>
        <v>将周围敌人以高速飞舞的纸牌切开，伤害随技能等级提升。</v>
      </c>
      <c r="D31" s="39">
        <f>VLOOKUP(INT(A31/100)*100+1,CHOOSE({1,2},D_马仔表!$I$2:$I$20,D_马仔表!$D$2:$D$20),2,FALSE)</f>
        <v>2</v>
      </c>
      <c r="E31">
        <f t="shared" si="6"/>
        <v>2</v>
      </c>
      <c r="F31">
        <f t="shared" si="0"/>
        <v>2.1</v>
      </c>
      <c r="G31">
        <f t="shared" si="1"/>
        <v>2.2599999999999998</v>
      </c>
      <c r="H31" t="str">
        <f t="shared" si="7"/>
        <v>9611101.png</v>
      </c>
      <c r="I31" s="39">
        <v>0</v>
      </c>
      <c r="J31">
        <f t="shared" si="3"/>
        <v>1</v>
      </c>
    </row>
    <row r="32" spans="1:10">
      <c r="A32">
        <f t="shared" si="5"/>
        <v>9612102</v>
      </c>
      <c r="B32" t="str">
        <f t="shared" ref="B32:C32" si="18">B13</f>
        <v>圆月斩</v>
      </c>
      <c r="C32" t="str">
        <f t="shared" si="18"/>
        <v>划出圆月般的剑气重创周围敌人，伤害随技能等级提升。</v>
      </c>
      <c r="D32" s="39">
        <f>VLOOKUP(INT(A32/100)*100+1,CHOOSE({1,2},D_马仔表!$I$2:$I$20,D_马仔表!$D$2:$D$20),2,FALSE)</f>
        <v>2</v>
      </c>
      <c r="E32">
        <f t="shared" si="6"/>
        <v>2</v>
      </c>
      <c r="F32">
        <f t="shared" si="0"/>
        <v>2.1</v>
      </c>
      <c r="G32">
        <f t="shared" si="1"/>
        <v>2.2599999999999998</v>
      </c>
      <c r="H32" t="str">
        <f t="shared" si="7"/>
        <v>9612101.png</v>
      </c>
      <c r="I32" s="39">
        <v>0</v>
      </c>
      <c r="J32">
        <f t="shared" si="3"/>
        <v>1</v>
      </c>
    </row>
    <row r="33" spans="1:10">
      <c r="A33">
        <f t="shared" si="5"/>
        <v>9613102</v>
      </c>
      <c r="B33" t="str">
        <f t="shared" ref="B33:C33" si="19">B14</f>
        <v>奥义天狗抄</v>
      </c>
      <c r="C33" t="str">
        <f t="shared" si="19"/>
        <v>杀手首领家族代代相传的剑术奥义，伤害随技能等级提升。</v>
      </c>
      <c r="D33" s="39">
        <f>VLOOKUP(INT(A33/100)*100+1,CHOOSE({1,2},D_马仔表!$I$2:$I$20,D_马仔表!$D$2:$D$20),2,FALSE)</f>
        <v>2</v>
      </c>
      <c r="E33">
        <f t="shared" si="6"/>
        <v>2</v>
      </c>
      <c r="F33">
        <f t="shared" si="0"/>
        <v>2.1</v>
      </c>
      <c r="G33">
        <f t="shared" si="1"/>
        <v>2.2599999999999998</v>
      </c>
      <c r="H33" t="str">
        <f t="shared" si="7"/>
        <v>9613101.png</v>
      </c>
      <c r="I33" s="39">
        <v>0</v>
      </c>
      <c r="J33">
        <f t="shared" si="3"/>
        <v>1</v>
      </c>
    </row>
    <row r="34" spans="1:10">
      <c r="A34">
        <f t="shared" si="5"/>
        <v>9614102</v>
      </c>
      <c r="B34" t="str">
        <f t="shared" ref="B34:C34" si="20">B15</f>
        <v>风神斩</v>
      </c>
      <c r="C34" t="str">
        <f t="shared" si="20"/>
        <v>以极快的凌厉斩击将周围的敌人斩落的高超刀法，伤害随技能等级提升。</v>
      </c>
      <c r="D34" s="39">
        <f>VLOOKUP(INT(A34/100)*100+1,CHOOSE({1,2},D_马仔表!$I$2:$I$20,D_马仔表!$D$2:$D$20),2,FALSE)</f>
        <v>3</v>
      </c>
      <c r="E34">
        <f t="shared" si="6"/>
        <v>2</v>
      </c>
      <c r="F34">
        <f t="shared" si="0"/>
        <v>2.1</v>
      </c>
      <c r="G34">
        <f t="shared" si="1"/>
        <v>2.44</v>
      </c>
      <c r="H34" t="str">
        <f t="shared" si="7"/>
        <v>9614101.png</v>
      </c>
      <c r="I34" s="39">
        <v>0</v>
      </c>
      <c r="J34">
        <f t="shared" si="3"/>
        <v>1</v>
      </c>
    </row>
    <row r="35" spans="1:10">
      <c r="A35">
        <f t="shared" si="5"/>
        <v>9615102</v>
      </c>
      <c r="B35" t="str">
        <f t="shared" ref="B35:C35" si="21">B16</f>
        <v>暴虐狂袭</v>
      </c>
      <c r="C35" t="str">
        <f t="shared" si="21"/>
        <v>以锐利的撬棍将敌人挑起的棍法，伤害随技能等级提升。</v>
      </c>
      <c r="D35" s="39">
        <f>VLOOKUP(INT(A35/100)*100+1,CHOOSE({1,2},D_马仔表!$I$2:$I$20,D_马仔表!$D$2:$D$20),2,FALSE)</f>
        <v>3</v>
      </c>
      <c r="E35">
        <f t="shared" si="6"/>
        <v>2</v>
      </c>
      <c r="F35">
        <f t="shared" si="0"/>
        <v>2.1</v>
      </c>
      <c r="G35">
        <f t="shared" si="1"/>
        <v>2.44</v>
      </c>
      <c r="H35" t="str">
        <f t="shared" si="7"/>
        <v>9615101.png</v>
      </c>
      <c r="I35" s="39">
        <v>0</v>
      </c>
      <c r="J35">
        <f t="shared" si="3"/>
        <v>1</v>
      </c>
    </row>
    <row r="36" spans="1:10">
      <c r="A36">
        <f t="shared" si="5"/>
        <v>9616102</v>
      </c>
      <c r="B36" t="str">
        <f t="shared" ref="B36:C36" si="22">B17</f>
        <v>狂狮乱舞</v>
      </c>
      <c r="C36" t="str">
        <f t="shared" si="22"/>
        <v>以极快的速度挥舞双节棍，给予前方目标沉重打击，伤害随技能等级提升。</v>
      </c>
      <c r="D36" s="39">
        <f>VLOOKUP(INT(A36/100)*100+1,CHOOSE({1,2},D_马仔表!$I$2:$I$20,D_马仔表!$D$2:$D$20),2,FALSE)</f>
        <v>3</v>
      </c>
      <c r="E36">
        <f t="shared" si="6"/>
        <v>2</v>
      </c>
      <c r="F36">
        <f t="shared" si="0"/>
        <v>2.1</v>
      </c>
      <c r="G36">
        <f t="shared" si="1"/>
        <v>2.44</v>
      </c>
      <c r="H36" t="str">
        <f t="shared" si="7"/>
        <v>9616101.png</v>
      </c>
      <c r="I36" s="39">
        <v>0</v>
      </c>
      <c r="J36">
        <f t="shared" si="3"/>
        <v>1</v>
      </c>
    </row>
    <row r="37" spans="1:10">
      <c r="A37" s="108">
        <f t="shared" ref="A37:A39" si="23">A18+1</f>
        <v>9617102</v>
      </c>
      <c r="B37" t="str">
        <f t="shared" ref="B37:C37" si="24">B18</f>
        <v>撩阴腿</v>
      </c>
      <c r="C37" t="str">
        <f t="shared" si="24"/>
        <v>对敌人的要害进行猛烈的踢技，伤害随技能等级提升。</v>
      </c>
      <c r="D37" s="39">
        <f>VLOOKUP(INT(A37/100)*100+1,CHOOSE({1,2},D_马仔表!$I$2:$I$20,D_马仔表!$D$2:$D$20),2,FALSE)</f>
        <v>1</v>
      </c>
      <c r="E37">
        <f t="shared" si="6"/>
        <v>2</v>
      </c>
      <c r="F37">
        <f t="shared" si="0"/>
        <v>2.1</v>
      </c>
      <c r="G37">
        <f t="shared" si="1"/>
        <v>2.08</v>
      </c>
      <c r="H37" t="str">
        <f t="shared" si="7"/>
        <v>9609201.png</v>
      </c>
      <c r="I37" s="39">
        <v>0</v>
      </c>
      <c r="J37">
        <f t="shared" ref="J37:J39" si="25">MOD(A37,100)-1</f>
        <v>1</v>
      </c>
    </row>
    <row r="38" spans="1:10">
      <c r="A38" s="108">
        <f t="shared" si="23"/>
        <v>9618102</v>
      </c>
      <c r="B38" t="str">
        <f t="shared" ref="B38:C38" si="26">B19</f>
        <v>烈风腿</v>
      </c>
      <c r="C38" t="str">
        <f t="shared" si="26"/>
        <v>以迅捷的腿法将敌人踢飞的踢技，伤害随技能等级提升。</v>
      </c>
      <c r="D38" s="39">
        <f>VLOOKUP(INT(A38/100)*100+1,CHOOSE({1,2},D_马仔表!$I$2:$I$20,D_马仔表!$D$2:$D$20),2,FALSE)</f>
        <v>2</v>
      </c>
      <c r="E38">
        <f t="shared" si="6"/>
        <v>2</v>
      </c>
      <c r="F38">
        <f t="shared" si="0"/>
        <v>2.1</v>
      </c>
      <c r="G38">
        <f t="shared" si="1"/>
        <v>2.2599999999999998</v>
      </c>
      <c r="H38" t="str">
        <f t="shared" si="7"/>
        <v>9601101.png</v>
      </c>
      <c r="I38" s="39">
        <v>0</v>
      </c>
      <c r="J38">
        <f t="shared" si="25"/>
        <v>1</v>
      </c>
    </row>
    <row r="39" spans="1:10">
      <c r="A39" s="108">
        <f t="shared" si="23"/>
        <v>9619102</v>
      </c>
      <c r="B39" t="str">
        <f t="shared" ref="B39:C39" si="27">B20</f>
        <v>黑虎出山</v>
      </c>
      <c r="C39" t="str">
        <f t="shared" si="27"/>
        <v>以极快的刀法刺穿眼前之敌的阴毒招式，伤害随技能等级提升。</v>
      </c>
      <c r="D39" s="39">
        <f>VLOOKUP(INT(A39/100)*100+1,CHOOSE({1,2},D_马仔表!$I$2:$I$20,D_马仔表!$D$2:$D$20),2,FALSE)</f>
        <v>2</v>
      </c>
      <c r="E39">
        <f t="shared" si="6"/>
        <v>2</v>
      </c>
      <c r="F39">
        <f t="shared" si="0"/>
        <v>2.1</v>
      </c>
      <c r="G39">
        <f t="shared" si="1"/>
        <v>2.2599999999999998</v>
      </c>
      <c r="H39" t="str">
        <f t="shared" si="7"/>
        <v>9614101.png</v>
      </c>
      <c r="I39" s="39">
        <v>0</v>
      </c>
      <c r="J39">
        <f t="shared" si="25"/>
        <v>1</v>
      </c>
    </row>
    <row r="40" spans="1:10">
      <c r="A40">
        <f t="shared" ref="A40:A55" si="28">A21+1</f>
        <v>9601103</v>
      </c>
      <c r="B40" t="str">
        <f t="shared" ref="B40:C40" si="29">B21</f>
        <v>百裂踢</v>
      </c>
      <c r="C40" t="str">
        <f t="shared" si="29"/>
        <v>在短时间内向目标发起连续踢技让对手防不胜防，伤害随技能等级提升。</v>
      </c>
      <c r="D40" s="39">
        <f>VLOOKUP(INT(A40/100)*100+1,CHOOSE({1,2},D_马仔表!$I$2:$I$20,D_马仔表!$D$2:$D$20),2,FALSE)</f>
        <v>0</v>
      </c>
      <c r="E40">
        <f t="shared" si="6"/>
        <v>3</v>
      </c>
      <c r="F40">
        <f t="shared" si="0"/>
        <v>2.2000000000000002</v>
      </c>
      <c r="G40">
        <f t="shared" si="1"/>
        <v>2.2000000000000002</v>
      </c>
      <c r="H40" t="str">
        <f t="shared" si="7"/>
        <v>9601101.png</v>
      </c>
      <c r="I40" s="39">
        <v>0</v>
      </c>
      <c r="J40">
        <f t="shared" si="3"/>
        <v>2</v>
      </c>
    </row>
    <row r="41" spans="1:10">
      <c r="A41">
        <f t="shared" si="28"/>
        <v>9602103</v>
      </c>
      <c r="B41" t="str">
        <f t="shared" ref="B41:C41" si="30">B22</f>
        <v>精密射击</v>
      </c>
      <c r="C41" t="str">
        <f t="shared" si="30"/>
        <v>以精密的射击技术对敌人的弱点发起连续射击，伤害随技能等级提升。</v>
      </c>
      <c r="D41" s="39">
        <f>VLOOKUP(INT(A41/100)*100+1,CHOOSE({1,2},D_马仔表!$I$2:$I$20,D_马仔表!$D$2:$D$20),2,FALSE)</f>
        <v>0</v>
      </c>
      <c r="E41">
        <f t="shared" si="6"/>
        <v>3</v>
      </c>
      <c r="F41">
        <f t="shared" si="0"/>
        <v>2.2000000000000002</v>
      </c>
      <c r="G41">
        <f t="shared" si="1"/>
        <v>2.2000000000000002</v>
      </c>
      <c r="H41" t="str">
        <f t="shared" si="7"/>
        <v>9602101.png</v>
      </c>
      <c r="I41" s="39">
        <v>0</v>
      </c>
      <c r="J41">
        <f t="shared" si="3"/>
        <v>2</v>
      </c>
    </row>
    <row r="42" spans="1:10">
      <c r="A42">
        <f t="shared" si="28"/>
        <v>9603103</v>
      </c>
      <c r="B42" t="str">
        <f t="shared" ref="B42:C42" si="31">B23</f>
        <v>火焰龙卷棍</v>
      </c>
      <c r="C42" t="str">
        <f t="shared" si="31"/>
        <v>以高速挥舞的长棍摩擦空气产生的烈焰吞噬目标，伤害随技能等级提升。</v>
      </c>
      <c r="D42" s="39">
        <f>VLOOKUP(INT(A42/100)*100+1,CHOOSE({1,2},D_马仔表!$I$2:$I$20,D_马仔表!$D$2:$D$20),2,FALSE)</f>
        <v>0</v>
      </c>
      <c r="E42">
        <f t="shared" si="6"/>
        <v>3</v>
      </c>
      <c r="F42">
        <f t="shared" si="0"/>
        <v>2.2000000000000002</v>
      </c>
      <c r="G42">
        <f t="shared" si="1"/>
        <v>2.2000000000000002</v>
      </c>
      <c r="H42" t="str">
        <f t="shared" si="7"/>
        <v>9603101.png</v>
      </c>
      <c r="I42" s="39">
        <v>0</v>
      </c>
      <c r="J42">
        <f t="shared" si="3"/>
        <v>2</v>
      </c>
    </row>
    <row r="43" spans="1:10">
      <c r="A43">
        <f t="shared" si="28"/>
        <v>9604103</v>
      </c>
      <c r="B43" t="str">
        <f t="shared" ref="B43:C43" si="32">B24</f>
        <v>致命突袭</v>
      </c>
      <c r="C43" t="str">
        <f t="shared" si="32"/>
        <v>以猛烈的拳法配合踢技终结目标，伤害随技能等级提升。</v>
      </c>
      <c r="D43" s="39">
        <f>VLOOKUP(INT(A43/100)*100+1,CHOOSE({1,2},D_马仔表!$I$2:$I$20,D_马仔表!$D$2:$D$20),2,FALSE)</f>
        <v>0</v>
      </c>
      <c r="E43">
        <f t="shared" si="6"/>
        <v>3</v>
      </c>
      <c r="F43">
        <f t="shared" si="0"/>
        <v>2.2000000000000002</v>
      </c>
      <c r="G43">
        <f t="shared" si="1"/>
        <v>2.2000000000000002</v>
      </c>
      <c r="H43" t="str">
        <f t="shared" si="7"/>
        <v>9604101.png</v>
      </c>
      <c r="I43" s="39">
        <v>0</v>
      </c>
      <c r="J43">
        <f t="shared" si="3"/>
        <v>2</v>
      </c>
    </row>
    <row r="44" spans="1:10">
      <c r="A44">
        <f t="shared" si="28"/>
        <v>9605103</v>
      </c>
      <c r="B44" t="str">
        <f t="shared" ref="B44:C44" si="33">B25</f>
        <v>蛮牛冲撞</v>
      </c>
      <c r="C44" t="str">
        <f t="shared" si="33"/>
        <v>以蛮牛般的力量向前方突进，给予前方目标巨大伤害，伤害随技能等级提升。</v>
      </c>
      <c r="D44" s="39">
        <f>VLOOKUP(INT(A44/100)*100+1,CHOOSE({1,2},D_马仔表!$I$2:$I$20,D_马仔表!$D$2:$D$20),2,FALSE)</f>
        <v>0</v>
      </c>
      <c r="E44">
        <f t="shared" si="6"/>
        <v>3</v>
      </c>
      <c r="F44">
        <f t="shared" si="0"/>
        <v>2.2000000000000002</v>
      </c>
      <c r="G44">
        <f t="shared" si="1"/>
        <v>2.2000000000000002</v>
      </c>
      <c r="H44" t="str">
        <f t="shared" si="7"/>
        <v>9605101.png</v>
      </c>
      <c r="I44" s="39">
        <v>0</v>
      </c>
      <c r="J44">
        <f t="shared" si="3"/>
        <v>2</v>
      </c>
    </row>
    <row r="45" spans="1:10">
      <c r="A45">
        <f t="shared" si="28"/>
        <v>9606103</v>
      </c>
      <c r="B45" t="str">
        <f t="shared" ref="B45:C45" si="34">B26</f>
        <v>烈风回旋击</v>
      </c>
      <c r="C45" t="str">
        <f t="shared" si="34"/>
        <v>以狂风般的速度发起的三连回旋击，伤害随技能等级提升。</v>
      </c>
      <c r="D45" s="39">
        <f>VLOOKUP(INT(A45/100)*100+1,CHOOSE({1,2},D_马仔表!$I$2:$I$20,D_马仔表!$D$2:$D$20),2,FALSE)</f>
        <v>1</v>
      </c>
      <c r="E45">
        <f t="shared" si="6"/>
        <v>3</v>
      </c>
      <c r="F45">
        <f t="shared" si="0"/>
        <v>2.2000000000000002</v>
      </c>
      <c r="G45">
        <f t="shared" si="1"/>
        <v>2.4699999999999998</v>
      </c>
      <c r="H45" t="str">
        <f t="shared" si="7"/>
        <v>9606101.png</v>
      </c>
      <c r="I45" s="39">
        <v>0</v>
      </c>
      <c r="J45">
        <f t="shared" si="3"/>
        <v>2</v>
      </c>
    </row>
    <row r="46" spans="1:10">
      <c r="A46">
        <f t="shared" si="28"/>
        <v>9607103</v>
      </c>
      <c r="B46" t="str">
        <f t="shared" ref="B46:C46" si="35">B27</f>
        <v>火力覆盖</v>
      </c>
      <c r="C46" t="str">
        <f t="shared" si="35"/>
        <v>用大口径机枪向目标发起疯狂的扫射，伤害随技能等级提升。</v>
      </c>
      <c r="D46" s="39">
        <f>VLOOKUP(INT(A46/100)*100+1,CHOOSE({1,2},D_马仔表!$I$2:$I$20,D_马仔表!$D$2:$D$20),2,FALSE)</f>
        <v>1</v>
      </c>
      <c r="E46">
        <f t="shared" si="6"/>
        <v>3</v>
      </c>
      <c r="F46">
        <f t="shared" si="0"/>
        <v>2.2000000000000002</v>
      </c>
      <c r="G46">
        <f t="shared" si="1"/>
        <v>2.4699999999999998</v>
      </c>
      <c r="H46" t="str">
        <f t="shared" si="7"/>
        <v>9607101.png</v>
      </c>
      <c r="I46" s="39">
        <v>0</v>
      </c>
      <c r="J46">
        <f t="shared" si="3"/>
        <v>2</v>
      </c>
    </row>
    <row r="47" spans="1:10">
      <c r="A47">
        <f t="shared" si="28"/>
        <v>9608103</v>
      </c>
      <c r="B47" t="str">
        <f t="shared" ref="B47:C47" si="36">B28</f>
        <v>猪突猛进</v>
      </c>
      <c r="C47" t="str">
        <f t="shared" si="36"/>
        <v>疯狂的向前方突进，将沿途的敌人统统击飞，伤害随技能等级提升。</v>
      </c>
      <c r="D47" s="39">
        <f>VLOOKUP(INT(A47/100)*100+1,CHOOSE({1,2},D_马仔表!$I$2:$I$20,D_马仔表!$D$2:$D$20),2,FALSE)</f>
        <v>1</v>
      </c>
      <c r="E47">
        <f t="shared" si="6"/>
        <v>3</v>
      </c>
      <c r="F47">
        <f t="shared" si="0"/>
        <v>2.2000000000000002</v>
      </c>
      <c r="G47">
        <f t="shared" si="1"/>
        <v>2.4699999999999998</v>
      </c>
      <c r="H47" t="str">
        <f t="shared" si="7"/>
        <v>9608101.png</v>
      </c>
      <c r="I47" s="39">
        <v>0</v>
      </c>
      <c r="J47">
        <f t="shared" si="3"/>
        <v>2</v>
      </c>
    </row>
    <row r="48" spans="1:10">
      <c r="A48">
        <f t="shared" si="28"/>
        <v>9609103</v>
      </c>
      <c r="B48" t="str">
        <f t="shared" ref="B48:C48" si="37">B29</f>
        <v>毁灭漩涡</v>
      </c>
      <c r="C48" t="str">
        <f t="shared" si="37"/>
        <v>快速旋转自身，将沿途目标无情撕碎的恐怖招式，伤害随技能等级提升。</v>
      </c>
      <c r="D48" s="39">
        <f>VLOOKUP(INT(A48/100)*100+1,CHOOSE({1,2},D_马仔表!$I$2:$I$20,D_马仔表!$D$2:$D$20),2,FALSE)</f>
        <v>2</v>
      </c>
      <c r="E48">
        <f t="shared" si="6"/>
        <v>3</v>
      </c>
      <c r="F48">
        <f t="shared" si="0"/>
        <v>2.2000000000000002</v>
      </c>
      <c r="G48">
        <f t="shared" si="1"/>
        <v>2.74</v>
      </c>
      <c r="H48" t="str">
        <f t="shared" si="7"/>
        <v>9609101.png</v>
      </c>
      <c r="I48" s="39">
        <v>0</v>
      </c>
      <c r="J48">
        <f t="shared" si="3"/>
        <v>2</v>
      </c>
    </row>
    <row r="49" spans="1:10">
      <c r="A49">
        <f t="shared" si="28"/>
        <v>9610103</v>
      </c>
      <c r="B49" t="str">
        <f t="shared" ref="B49:C49" si="38">B30</f>
        <v>死亡切割</v>
      </c>
      <c r="C49" t="str">
        <f t="shared" si="38"/>
        <v>将目标踢至空中切割的锐利踢技，伤害随技能等级提升。</v>
      </c>
      <c r="D49" s="39">
        <f>VLOOKUP(INT(A49/100)*100+1,CHOOSE({1,2},D_马仔表!$I$2:$I$20,D_马仔表!$D$2:$D$20),2,FALSE)</f>
        <v>2</v>
      </c>
      <c r="E49">
        <f t="shared" si="6"/>
        <v>3</v>
      </c>
      <c r="F49">
        <f t="shared" si="0"/>
        <v>2.2000000000000002</v>
      </c>
      <c r="G49">
        <f t="shared" si="1"/>
        <v>2.74</v>
      </c>
      <c r="H49" t="str">
        <f t="shared" si="7"/>
        <v>9610101.png</v>
      </c>
      <c r="I49" s="39">
        <v>0</v>
      </c>
      <c r="J49">
        <f t="shared" si="3"/>
        <v>2</v>
      </c>
    </row>
    <row r="50" spans="1:10">
      <c r="A50">
        <f t="shared" si="28"/>
        <v>9611103</v>
      </c>
      <c r="B50" t="str">
        <f t="shared" ref="B50:C50" si="39">B31</f>
        <v>幻影闪现</v>
      </c>
      <c r="C50" t="str">
        <f t="shared" si="39"/>
        <v>将周围敌人以高速飞舞的纸牌切开，伤害随技能等级提升。</v>
      </c>
      <c r="D50" s="39">
        <f>VLOOKUP(INT(A50/100)*100+1,CHOOSE({1,2},D_马仔表!$I$2:$I$20,D_马仔表!$D$2:$D$20),2,FALSE)</f>
        <v>2</v>
      </c>
      <c r="E50">
        <f t="shared" si="6"/>
        <v>3</v>
      </c>
      <c r="F50">
        <f t="shared" si="0"/>
        <v>2.2000000000000002</v>
      </c>
      <c r="G50">
        <f t="shared" si="1"/>
        <v>2.74</v>
      </c>
      <c r="H50" t="str">
        <f t="shared" si="7"/>
        <v>9611101.png</v>
      </c>
      <c r="I50" s="39">
        <v>0</v>
      </c>
      <c r="J50">
        <f t="shared" si="3"/>
        <v>2</v>
      </c>
    </row>
    <row r="51" spans="1:10">
      <c r="A51">
        <f t="shared" si="28"/>
        <v>9612103</v>
      </c>
      <c r="B51" t="str">
        <f t="shared" ref="B51:C51" si="40">B32</f>
        <v>圆月斩</v>
      </c>
      <c r="C51" t="str">
        <f t="shared" si="40"/>
        <v>划出圆月般的剑气重创周围敌人，伤害随技能等级提升。</v>
      </c>
      <c r="D51" s="39">
        <f>VLOOKUP(INT(A51/100)*100+1,CHOOSE({1,2},D_马仔表!$I$2:$I$20,D_马仔表!$D$2:$D$20),2,FALSE)</f>
        <v>2</v>
      </c>
      <c r="E51">
        <f t="shared" si="6"/>
        <v>3</v>
      </c>
      <c r="F51">
        <f t="shared" si="0"/>
        <v>2.2000000000000002</v>
      </c>
      <c r="G51">
        <f t="shared" si="1"/>
        <v>2.74</v>
      </c>
      <c r="H51" t="str">
        <f t="shared" si="7"/>
        <v>9612101.png</v>
      </c>
      <c r="I51" s="39">
        <v>0</v>
      </c>
      <c r="J51">
        <f t="shared" si="3"/>
        <v>2</v>
      </c>
    </row>
    <row r="52" spans="1:10">
      <c r="A52">
        <f t="shared" si="28"/>
        <v>9613103</v>
      </c>
      <c r="B52" t="str">
        <f t="shared" ref="B52:C52" si="41">B33</f>
        <v>奥义天狗抄</v>
      </c>
      <c r="C52" t="str">
        <f t="shared" si="41"/>
        <v>杀手首领家族代代相传的剑术奥义，伤害随技能等级提升。</v>
      </c>
      <c r="D52" s="39">
        <f>VLOOKUP(INT(A52/100)*100+1,CHOOSE({1,2},D_马仔表!$I$2:$I$20,D_马仔表!$D$2:$D$20),2,FALSE)</f>
        <v>2</v>
      </c>
      <c r="E52">
        <f t="shared" si="6"/>
        <v>3</v>
      </c>
      <c r="F52">
        <f t="shared" si="0"/>
        <v>2.2000000000000002</v>
      </c>
      <c r="G52">
        <f t="shared" si="1"/>
        <v>2.74</v>
      </c>
      <c r="H52" t="str">
        <f t="shared" si="7"/>
        <v>9613101.png</v>
      </c>
      <c r="I52" s="39">
        <v>0</v>
      </c>
      <c r="J52">
        <f t="shared" si="3"/>
        <v>2</v>
      </c>
    </row>
    <row r="53" spans="1:10">
      <c r="A53">
        <f t="shared" si="28"/>
        <v>9614103</v>
      </c>
      <c r="B53" t="str">
        <f t="shared" ref="B53:C53" si="42">B34</f>
        <v>风神斩</v>
      </c>
      <c r="C53" t="str">
        <f t="shared" si="42"/>
        <v>以极快的凌厉斩击将周围的敌人斩落的高超刀法，伤害随技能等级提升。</v>
      </c>
      <c r="D53" s="39">
        <f>VLOOKUP(INT(A53/100)*100+1,CHOOSE({1,2},D_马仔表!$I$2:$I$20,D_马仔表!$D$2:$D$20),2,FALSE)</f>
        <v>3</v>
      </c>
      <c r="E53">
        <f t="shared" ref="E53:E84" si="43">E34+1</f>
        <v>3</v>
      </c>
      <c r="F53">
        <f t="shared" si="0"/>
        <v>2.2000000000000002</v>
      </c>
      <c r="G53">
        <f t="shared" si="1"/>
        <v>3.01</v>
      </c>
      <c r="H53" t="str">
        <f t="shared" ref="H53:H84" si="44">H34</f>
        <v>9614101.png</v>
      </c>
      <c r="I53" s="39">
        <v>0</v>
      </c>
      <c r="J53">
        <f t="shared" si="3"/>
        <v>2</v>
      </c>
    </row>
    <row r="54" spans="1:10">
      <c r="A54">
        <f t="shared" si="28"/>
        <v>9615103</v>
      </c>
      <c r="B54" t="str">
        <f t="shared" ref="B54:C54" si="45">B35</f>
        <v>暴虐狂袭</v>
      </c>
      <c r="C54" t="str">
        <f t="shared" si="45"/>
        <v>以锐利的撬棍将敌人挑起的棍法，伤害随技能等级提升。</v>
      </c>
      <c r="D54" s="39">
        <f>VLOOKUP(INT(A54/100)*100+1,CHOOSE({1,2},D_马仔表!$I$2:$I$20,D_马仔表!$D$2:$D$20),2,FALSE)</f>
        <v>3</v>
      </c>
      <c r="E54">
        <f t="shared" si="43"/>
        <v>3</v>
      </c>
      <c r="F54">
        <f t="shared" si="0"/>
        <v>2.2000000000000002</v>
      </c>
      <c r="G54">
        <f t="shared" si="1"/>
        <v>3.01</v>
      </c>
      <c r="H54" t="str">
        <f t="shared" si="44"/>
        <v>9615101.png</v>
      </c>
      <c r="I54" s="39">
        <v>0</v>
      </c>
      <c r="J54">
        <f t="shared" si="3"/>
        <v>2</v>
      </c>
    </row>
    <row r="55" spans="1:10">
      <c r="A55">
        <f t="shared" si="28"/>
        <v>9616103</v>
      </c>
      <c r="B55" t="str">
        <f t="shared" ref="B55:C55" si="46">B36</f>
        <v>狂狮乱舞</v>
      </c>
      <c r="C55" t="str">
        <f t="shared" si="46"/>
        <v>以极快的速度挥舞双节棍，给予前方目标沉重打击，伤害随技能等级提升。</v>
      </c>
      <c r="D55" s="39">
        <f>VLOOKUP(INT(A55/100)*100+1,CHOOSE({1,2},D_马仔表!$I$2:$I$20,D_马仔表!$D$2:$D$20),2,FALSE)</f>
        <v>3</v>
      </c>
      <c r="E55">
        <f t="shared" si="43"/>
        <v>3</v>
      </c>
      <c r="F55">
        <f t="shared" si="0"/>
        <v>2.2000000000000002</v>
      </c>
      <c r="G55">
        <f t="shared" si="1"/>
        <v>3.01</v>
      </c>
      <c r="H55" t="str">
        <f t="shared" si="44"/>
        <v>9616101.png</v>
      </c>
      <c r="I55" s="39">
        <v>0</v>
      </c>
      <c r="J55">
        <f t="shared" si="3"/>
        <v>2</v>
      </c>
    </row>
    <row r="56" spans="1:10">
      <c r="A56" s="108">
        <f t="shared" ref="A56:A58" si="47">A37+1</f>
        <v>9617103</v>
      </c>
      <c r="B56" t="str">
        <f t="shared" ref="B56:C56" si="48">B37</f>
        <v>撩阴腿</v>
      </c>
      <c r="C56" t="str">
        <f t="shared" si="48"/>
        <v>对敌人的要害进行猛烈的踢技，伤害随技能等级提升。</v>
      </c>
      <c r="D56" s="39">
        <f>VLOOKUP(INT(A56/100)*100+1,CHOOSE({1,2},D_马仔表!$I$2:$I$20,D_马仔表!$D$2:$D$20),2,FALSE)</f>
        <v>1</v>
      </c>
      <c r="E56">
        <f t="shared" si="43"/>
        <v>3</v>
      </c>
      <c r="F56">
        <f t="shared" si="0"/>
        <v>2.2000000000000002</v>
      </c>
      <c r="G56">
        <f t="shared" si="1"/>
        <v>2.4699999999999998</v>
      </c>
      <c r="H56" t="str">
        <f t="shared" si="44"/>
        <v>9609201.png</v>
      </c>
      <c r="I56" s="39">
        <v>0</v>
      </c>
      <c r="J56">
        <f t="shared" ref="J56:J58" si="49">MOD(A56,100)-1</f>
        <v>2</v>
      </c>
    </row>
    <row r="57" spans="1:10">
      <c r="A57" s="108">
        <f t="shared" si="47"/>
        <v>9618103</v>
      </c>
      <c r="B57" t="str">
        <f t="shared" ref="B57:C57" si="50">B38</f>
        <v>烈风腿</v>
      </c>
      <c r="C57" t="str">
        <f t="shared" si="50"/>
        <v>以迅捷的腿法将敌人踢飞的踢技，伤害随技能等级提升。</v>
      </c>
      <c r="D57" s="39">
        <f>VLOOKUP(INT(A57/100)*100+1,CHOOSE({1,2},D_马仔表!$I$2:$I$20,D_马仔表!$D$2:$D$20),2,FALSE)</f>
        <v>2</v>
      </c>
      <c r="E57">
        <f t="shared" si="43"/>
        <v>3</v>
      </c>
      <c r="F57">
        <f t="shared" si="0"/>
        <v>2.2000000000000002</v>
      </c>
      <c r="G57">
        <f t="shared" si="1"/>
        <v>2.74</v>
      </c>
      <c r="H57" t="str">
        <f t="shared" si="44"/>
        <v>9601101.png</v>
      </c>
      <c r="I57" s="39">
        <v>0</v>
      </c>
      <c r="J57">
        <f t="shared" si="49"/>
        <v>2</v>
      </c>
    </row>
    <row r="58" spans="1:10">
      <c r="A58" s="108">
        <f t="shared" si="47"/>
        <v>9619103</v>
      </c>
      <c r="B58" t="str">
        <f t="shared" ref="B58:C58" si="51">B39</f>
        <v>黑虎出山</v>
      </c>
      <c r="C58" t="str">
        <f t="shared" si="51"/>
        <v>以极快的刀法刺穿眼前之敌的阴毒招式，伤害随技能等级提升。</v>
      </c>
      <c r="D58" s="39">
        <f>VLOOKUP(INT(A58/100)*100+1,CHOOSE({1,2},D_马仔表!$I$2:$I$20,D_马仔表!$D$2:$D$20),2,FALSE)</f>
        <v>2</v>
      </c>
      <c r="E58">
        <f t="shared" si="43"/>
        <v>3</v>
      </c>
      <c r="F58">
        <f t="shared" si="0"/>
        <v>2.2000000000000002</v>
      </c>
      <c r="G58">
        <f t="shared" si="1"/>
        <v>2.74</v>
      </c>
      <c r="H58" t="str">
        <f t="shared" si="44"/>
        <v>9614101.png</v>
      </c>
      <c r="I58" s="39">
        <v>0</v>
      </c>
      <c r="J58">
        <f t="shared" si="49"/>
        <v>2</v>
      </c>
    </row>
    <row r="59" spans="1:10">
      <c r="A59">
        <f t="shared" ref="A59:A96" si="52">A40+1</f>
        <v>9601104</v>
      </c>
      <c r="B59" t="str">
        <f t="shared" ref="B59:C59" si="53">B40</f>
        <v>百裂踢</v>
      </c>
      <c r="C59" t="str">
        <f t="shared" si="53"/>
        <v>在短时间内向目标发起连续踢技让对手防不胜防，伤害随技能等级提升。</v>
      </c>
      <c r="D59" s="39">
        <f>VLOOKUP(INT(A59/100)*100+1,CHOOSE({1,2},D_马仔表!$I$2:$I$20,D_马仔表!$D$2:$D$20),2,FALSE)</f>
        <v>0</v>
      </c>
      <c r="E59">
        <f t="shared" si="43"/>
        <v>4</v>
      </c>
      <c r="F59">
        <f t="shared" si="0"/>
        <v>2.2999999999999998</v>
      </c>
      <c r="G59">
        <f t="shared" si="1"/>
        <v>2.5</v>
      </c>
      <c r="H59" t="str">
        <f t="shared" si="44"/>
        <v>9601101.png</v>
      </c>
      <c r="I59" s="39">
        <v>0</v>
      </c>
      <c r="J59">
        <f t="shared" si="3"/>
        <v>3</v>
      </c>
    </row>
    <row r="60" spans="1:10">
      <c r="A60">
        <f t="shared" si="52"/>
        <v>9602104</v>
      </c>
      <c r="B60" t="str">
        <f t="shared" ref="B60:C60" si="54">B41</f>
        <v>精密射击</v>
      </c>
      <c r="C60" t="str">
        <f t="shared" si="54"/>
        <v>以精密的射击技术对敌人的弱点发起连续射击，伤害随技能等级提升。</v>
      </c>
      <c r="D60" s="39">
        <f>VLOOKUP(INT(A60/100)*100+1,CHOOSE({1,2},D_马仔表!$I$2:$I$20,D_马仔表!$D$2:$D$20),2,FALSE)</f>
        <v>0</v>
      </c>
      <c r="E60">
        <f t="shared" si="43"/>
        <v>4</v>
      </c>
      <c r="F60">
        <f t="shared" si="0"/>
        <v>2.2999999999999998</v>
      </c>
      <c r="G60">
        <f t="shared" si="1"/>
        <v>2.5</v>
      </c>
      <c r="H60" t="str">
        <f t="shared" si="44"/>
        <v>9602101.png</v>
      </c>
      <c r="I60" s="39">
        <v>0</v>
      </c>
      <c r="J60">
        <f t="shared" si="3"/>
        <v>3</v>
      </c>
    </row>
    <row r="61" spans="1:10">
      <c r="A61">
        <f t="shared" si="52"/>
        <v>9603104</v>
      </c>
      <c r="B61" t="str">
        <f t="shared" ref="B61:C61" si="55">B42</f>
        <v>火焰龙卷棍</v>
      </c>
      <c r="C61" t="str">
        <f t="shared" si="55"/>
        <v>以高速挥舞的长棍摩擦空气产生的烈焰吞噬目标，伤害随技能等级提升。</v>
      </c>
      <c r="D61" s="39">
        <f>VLOOKUP(INT(A61/100)*100+1,CHOOSE({1,2},D_马仔表!$I$2:$I$20,D_马仔表!$D$2:$D$20),2,FALSE)</f>
        <v>0</v>
      </c>
      <c r="E61">
        <f t="shared" si="43"/>
        <v>4</v>
      </c>
      <c r="F61">
        <f t="shared" si="0"/>
        <v>2.2999999999999998</v>
      </c>
      <c r="G61">
        <f t="shared" si="1"/>
        <v>2.5</v>
      </c>
      <c r="H61" t="str">
        <f t="shared" si="44"/>
        <v>9603101.png</v>
      </c>
      <c r="I61" s="39">
        <v>0</v>
      </c>
      <c r="J61">
        <f t="shared" si="3"/>
        <v>3</v>
      </c>
    </row>
    <row r="62" spans="1:10">
      <c r="A62">
        <f t="shared" si="52"/>
        <v>9604104</v>
      </c>
      <c r="B62" t="str">
        <f t="shared" ref="B62:C62" si="56">B43</f>
        <v>致命突袭</v>
      </c>
      <c r="C62" t="str">
        <f t="shared" si="56"/>
        <v>以猛烈的拳法配合踢技终结目标，伤害随技能等级提升。</v>
      </c>
      <c r="D62" s="39">
        <f>VLOOKUP(INT(A62/100)*100+1,CHOOSE({1,2},D_马仔表!$I$2:$I$20,D_马仔表!$D$2:$D$20),2,FALSE)</f>
        <v>0</v>
      </c>
      <c r="E62">
        <f t="shared" si="43"/>
        <v>4</v>
      </c>
      <c r="F62">
        <f t="shared" si="0"/>
        <v>2.2999999999999998</v>
      </c>
      <c r="G62">
        <f t="shared" si="1"/>
        <v>2.5</v>
      </c>
      <c r="H62" t="str">
        <f t="shared" si="44"/>
        <v>9604101.png</v>
      </c>
      <c r="I62" s="39">
        <v>0</v>
      </c>
      <c r="J62">
        <f t="shared" si="3"/>
        <v>3</v>
      </c>
    </row>
    <row r="63" spans="1:10">
      <c r="A63">
        <f t="shared" si="52"/>
        <v>9605104</v>
      </c>
      <c r="B63" t="str">
        <f t="shared" ref="B63:C63" si="57">B44</f>
        <v>蛮牛冲撞</v>
      </c>
      <c r="C63" t="str">
        <f t="shared" si="57"/>
        <v>以蛮牛般的力量向前方突进，给予前方目标巨大伤害，伤害随技能等级提升。</v>
      </c>
      <c r="D63" s="39">
        <f>VLOOKUP(INT(A63/100)*100+1,CHOOSE({1,2},D_马仔表!$I$2:$I$20,D_马仔表!$D$2:$D$20),2,FALSE)</f>
        <v>0</v>
      </c>
      <c r="E63">
        <f t="shared" si="43"/>
        <v>4</v>
      </c>
      <c r="F63">
        <f t="shared" si="0"/>
        <v>2.2999999999999998</v>
      </c>
      <c r="G63">
        <f t="shared" si="1"/>
        <v>2.5</v>
      </c>
      <c r="H63" t="str">
        <f t="shared" si="44"/>
        <v>9605101.png</v>
      </c>
      <c r="I63" s="39">
        <v>0</v>
      </c>
      <c r="J63">
        <f t="shared" si="3"/>
        <v>3</v>
      </c>
    </row>
    <row r="64" spans="1:10">
      <c r="A64">
        <f t="shared" si="52"/>
        <v>9606104</v>
      </c>
      <c r="B64" t="str">
        <f t="shared" ref="B64:C64" si="58">B45</f>
        <v>烈风回旋击</v>
      </c>
      <c r="C64" t="str">
        <f t="shared" si="58"/>
        <v>以狂风般的速度发起的三连回旋击，伤害随技能等级提升。</v>
      </c>
      <c r="D64" s="39">
        <f>VLOOKUP(INT(A64/100)*100+1,CHOOSE({1,2},D_马仔表!$I$2:$I$20,D_马仔表!$D$2:$D$20),2,FALSE)</f>
        <v>1</v>
      </c>
      <c r="E64">
        <f t="shared" si="43"/>
        <v>4</v>
      </c>
      <c r="F64">
        <f t="shared" si="0"/>
        <v>2.2999999999999998</v>
      </c>
      <c r="G64">
        <f t="shared" si="1"/>
        <v>2.8600000000000003</v>
      </c>
      <c r="H64" t="str">
        <f t="shared" si="44"/>
        <v>9606101.png</v>
      </c>
      <c r="I64" s="39">
        <v>0</v>
      </c>
      <c r="J64">
        <f t="shared" si="3"/>
        <v>3</v>
      </c>
    </row>
    <row r="65" spans="1:10">
      <c r="A65">
        <f t="shared" si="52"/>
        <v>9607104</v>
      </c>
      <c r="B65" t="str">
        <f t="shared" ref="B65:C65" si="59">B46</f>
        <v>火力覆盖</v>
      </c>
      <c r="C65" t="str">
        <f t="shared" si="59"/>
        <v>用大口径机枪向目标发起疯狂的扫射，伤害随技能等级提升。</v>
      </c>
      <c r="D65" s="39">
        <f>VLOOKUP(INT(A65/100)*100+1,CHOOSE({1,2},D_马仔表!$I$2:$I$20,D_马仔表!$D$2:$D$20),2,FALSE)</f>
        <v>1</v>
      </c>
      <c r="E65">
        <f t="shared" si="43"/>
        <v>4</v>
      </c>
      <c r="F65">
        <f t="shared" si="0"/>
        <v>2.2999999999999998</v>
      </c>
      <c r="G65">
        <f t="shared" si="1"/>
        <v>2.8600000000000003</v>
      </c>
      <c r="H65" t="str">
        <f t="shared" si="44"/>
        <v>9607101.png</v>
      </c>
      <c r="I65" s="39">
        <v>0</v>
      </c>
      <c r="J65">
        <f t="shared" si="3"/>
        <v>3</v>
      </c>
    </row>
    <row r="66" spans="1:10">
      <c r="A66">
        <f t="shared" si="52"/>
        <v>9608104</v>
      </c>
      <c r="B66" t="str">
        <f t="shared" ref="B66:C66" si="60">B47</f>
        <v>猪突猛进</v>
      </c>
      <c r="C66" t="str">
        <f t="shared" si="60"/>
        <v>疯狂的向前方突进，将沿途的敌人统统击飞，伤害随技能等级提升。</v>
      </c>
      <c r="D66" s="39">
        <f>VLOOKUP(INT(A66/100)*100+1,CHOOSE({1,2},D_马仔表!$I$2:$I$20,D_马仔表!$D$2:$D$20),2,FALSE)</f>
        <v>1</v>
      </c>
      <c r="E66">
        <f t="shared" si="43"/>
        <v>4</v>
      </c>
      <c r="F66">
        <f t="shared" si="0"/>
        <v>2.2999999999999998</v>
      </c>
      <c r="G66">
        <f t="shared" si="1"/>
        <v>2.8600000000000003</v>
      </c>
      <c r="H66" t="str">
        <f t="shared" si="44"/>
        <v>9608101.png</v>
      </c>
      <c r="I66" s="39">
        <v>0</v>
      </c>
      <c r="J66">
        <f t="shared" si="3"/>
        <v>3</v>
      </c>
    </row>
    <row r="67" spans="1:10">
      <c r="A67">
        <f t="shared" si="52"/>
        <v>9609104</v>
      </c>
      <c r="B67" t="str">
        <f t="shared" ref="B67:C67" si="61">B48</f>
        <v>毁灭漩涡</v>
      </c>
      <c r="C67" t="str">
        <f t="shared" si="61"/>
        <v>快速旋转自身，将沿途目标无情撕碎的恐怖招式，伤害随技能等级提升。</v>
      </c>
      <c r="D67" s="39">
        <f>VLOOKUP(INT(A67/100)*100+1,CHOOSE({1,2},D_马仔表!$I$2:$I$20,D_马仔表!$D$2:$D$20),2,FALSE)</f>
        <v>2</v>
      </c>
      <c r="E67">
        <f t="shared" si="43"/>
        <v>4</v>
      </c>
      <c r="F67">
        <f t="shared" ref="F67:F130" si="62">1.9+E67*0.1</f>
        <v>2.2999999999999998</v>
      </c>
      <c r="G67">
        <f t="shared" ref="G67:G130" si="63">1.3+E67*0.3*(D67*0.3+1)</f>
        <v>3.2199999999999998</v>
      </c>
      <c r="H67" t="str">
        <f t="shared" si="44"/>
        <v>9609101.png</v>
      </c>
      <c r="I67" s="39">
        <v>0</v>
      </c>
      <c r="J67">
        <f t="shared" si="3"/>
        <v>3</v>
      </c>
    </row>
    <row r="68" spans="1:10">
      <c r="A68">
        <f t="shared" si="52"/>
        <v>9610104</v>
      </c>
      <c r="B68" t="str">
        <f t="shared" ref="B68:C68" si="64">B49</f>
        <v>死亡切割</v>
      </c>
      <c r="C68" t="str">
        <f t="shared" si="64"/>
        <v>将目标踢至空中切割的锐利踢技，伤害随技能等级提升。</v>
      </c>
      <c r="D68" s="39">
        <f>VLOOKUP(INT(A68/100)*100+1,CHOOSE({1,2},D_马仔表!$I$2:$I$20,D_马仔表!$D$2:$D$20),2,FALSE)</f>
        <v>2</v>
      </c>
      <c r="E68">
        <f t="shared" si="43"/>
        <v>4</v>
      </c>
      <c r="F68">
        <f t="shared" si="62"/>
        <v>2.2999999999999998</v>
      </c>
      <c r="G68">
        <f t="shared" si="63"/>
        <v>3.2199999999999998</v>
      </c>
      <c r="H68" t="str">
        <f t="shared" si="44"/>
        <v>9610101.png</v>
      </c>
      <c r="I68" s="39">
        <v>0</v>
      </c>
      <c r="J68">
        <f t="shared" si="3"/>
        <v>3</v>
      </c>
    </row>
    <row r="69" spans="1:10">
      <c r="A69">
        <f t="shared" si="52"/>
        <v>9611104</v>
      </c>
      <c r="B69" t="str">
        <f t="shared" ref="B69:C69" si="65">B50</f>
        <v>幻影闪现</v>
      </c>
      <c r="C69" t="str">
        <f t="shared" si="65"/>
        <v>将周围敌人以高速飞舞的纸牌切开，伤害随技能等级提升。</v>
      </c>
      <c r="D69" s="39">
        <f>VLOOKUP(INT(A69/100)*100+1,CHOOSE({1,2},D_马仔表!$I$2:$I$20,D_马仔表!$D$2:$D$20),2,FALSE)</f>
        <v>2</v>
      </c>
      <c r="E69">
        <f t="shared" si="43"/>
        <v>4</v>
      </c>
      <c r="F69">
        <f t="shared" si="62"/>
        <v>2.2999999999999998</v>
      </c>
      <c r="G69">
        <f t="shared" si="63"/>
        <v>3.2199999999999998</v>
      </c>
      <c r="H69" t="str">
        <f t="shared" si="44"/>
        <v>9611101.png</v>
      </c>
      <c r="I69" s="39">
        <v>0</v>
      </c>
      <c r="J69">
        <f t="shared" si="3"/>
        <v>3</v>
      </c>
    </row>
    <row r="70" spans="1:10">
      <c r="A70">
        <f t="shared" si="52"/>
        <v>9612104</v>
      </c>
      <c r="B70" t="str">
        <f t="shared" ref="B70:C70" si="66">B51</f>
        <v>圆月斩</v>
      </c>
      <c r="C70" t="str">
        <f t="shared" si="66"/>
        <v>划出圆月般的剑气重创周围敌人，伤害随技能等级提升。</v>
      </c>
      <c r="D70" s="39">
        <f>VLOOKUP(INT(A70/100)*100+1,CHOOSE({1,2},D_马仔表!$I$2:$I$20,D_马仔表!$D$2:$D$20),2,FALSE)</f>
        <v>2</v>
      </c>
      <c r="E70">
        <f t="shared" si="43"/>
        <v>4</v>
      </c>
      <c r="F70">
        <f t="shared" si="62"/>
        <v>2.2999999999999998</v>
      </c>
      <c r="G70">
        <f t="shared" si="63"/>
        <v>3.2199999999999998</v>
      </c>
      <c r="H70" t="str">
        <f t="shared" si="44"/>
        <v>9612101.png</v>
      </c>
      <c r="I70" s="39">
        <v>0</v>
      </c>
      <c r="J70">
        <f t="shared" si="3"/>
        <v>3</v>
      </c>
    </row>
    <row r="71" spans="1:10">
      <c r="A71">
        <f t="shared" si="52"/>
        <v>9613104</v>
      </c>
      <c r="B71" t="str">
        <f t="shared" ref="B71:C71" si="67">B52</f>
        <v>奥义天狗抄</v>
      </c>
      <c r="C71" t="str">
        <f t="shared" si="67"/>
        <v>杀手首领家族代代相传的剑术奥义，伤害随技能等级提升。</v>
      </c>
      <c r="D71" s="39">
        <f>VLOOKUP(INT(A71/100)*100+1,CHOOSE({1,2},D_马仔表!$I$2:$I$20,D_马仔表!$D$2:$D$20),2,FALSE)</f>
        <v>2</v>
      </c>
      <c r="E71">
        <f t="shared" si="43"/>
        <v>4</v>
      </c>
      <c r="F71">
        <f t="shared" si="62"/>
        <v>2.2999999999999998</v>
      </c>
      <c r="G71">
        <f t="shared" si="63"/>
        <v>3.2199999999999998</v>
      </c>
      <c r="H71" t="str">
        <f t="shared" si="44"/>
        <v>9613101.png</v>
      </c>
      <c r="I71" s="39">
        <v>0</v>
      </c>
      <c r="J71">
        <f t="shared" si="3"/>
        <v>3</v>
      </c>
    </row>
    <row r="72" spans="1:10">
      <c r="A72">
        <f t="shared" si="52"/>
        <v>9614104</v>
      </c>
      <c r="B72" t="str">
        <f t="shared" ref="B72:C72" si="68">B53</f>
        <v>风神斩</v>
      </c>
      <c r="C72" t="str">
        <f t="shared" si="68"/>
        <v>以极快的凌厉斩击将周围的敌人斩落的高超刀法，伤害随技能等级提升。</v>
      </c>
      <c r="D72" s="39">
        <f>VLOOKUP(INT(A72/100)*100+1,CHOOSE({1,2},D_马仔表!$I$2:$I$20,D_马仔表!$D$2:$D$20),2,FALSE)</f>
        <v>3</v>
      </c>
      <c r="E72">
        <f t="shared" si="43"/>
        <v>4</v>
      </c>
      <c r="F72">
        <f t="shared" si="62"/>
        <v>2.2999999999999998</v>
      </c>
      <c r="G72">
        <f t="shared" si="63"/>
        <v>3.58</v>
      </c>
      <c r="H72" t="str">
        <f t="shared" si="44"/>
        <v>9614101.png</v>
      </c>
      <c r="I72" s="39">
        <v>0</v>
      </c>
      <c r="J72">
        <f t="shared" si="3"/>
        <v>3</v>
      </c>
    </row>
    <row r="73" spans="1:10">
      <c r="A73">
        <f t="shared" si="52"/>
        <v>9615104</v>
      </c>
      <c r="B73" t="str">
        <f t="shared" ref="B73:C73" si="69">B54</f>
        <v>暴虐狂袭</v>
      </c>
      <c r="C73" t="str">
        <f t="shared" si="69"/>
        <v>以锐利的撬棍将敌人挑起的棍法，伤害随技能等级提升。</v>
      </c>
      <c r="D73" s="39">
        <f>VLOOKUP(INT(A73/100)*100+1,CHOOSE({1,2},D_马仔表!$I$2:$I$20,D_马仔表!$D$2:$D$20),2,FALSE)</f>
        <v>3</v>
      </c>
      <c r="E73">
        <f t="shared" si="43"/>
        <v>4</v>
      </c>
      <c r="F73">
        <f t="shared" si="62"/>
        <v>2.2999999999999998</v>
      </c>
      <c r="G73">
        <f t="shared" si="63"/>
        <v>3.58</v>
      </c>
      <c r="H73" t="str">
        <f t="shared" si="44"/>
        <v>9615101.png</v>
      </c>
      <c r="I73" s="39">
        <v>0</v>
      </c>
      <c r="J73">
        <f t="shared" si="3"/>
        <v>3</v>
      </c>
    </row>
    <row r="74" spans="1:10">
      <c r="A74">
        <f t="shared" si="52"/>
        <v>9616104</v>
      </c>
      <c r="B74" t="str">
        <f t="shared" ref="B74:C74" si="70">B55</f>
        <v>狂狮乱舞</v>
      </c>
      <c r="C74" t="str">
        <f t="shared" si="70"/>
        <v>以极快的速度挥舞双节棍，给予前方目标沉重打击，伤害随技能等级提升。</v>
      </c>
      <c r="D74" s="39">
        <f>VLOOKUP(INT(A74/100)*100+1,CHOOSE({1,2},D_马仔表!$I$2:$I$20,D_马仔表!$D$2:$D$20),2,FALSE)</f>
        <v>3</v>
      </c>
      <c r="E74">
        <f t="shared" si="43"/>
        <v>4</v>
      </c>
      <c r="F74">
        <f t="shared" si="62"/>
        <v>2.2999999999999998</v>
      </c>
      <c r="G74">
        <f t="shared" si="63"/>
        <v>3.58</v>
      </c>
      <c r="H74" t="str">
        <f t="shared" si="44"/>
        <v>9616101.png</v>
      </c>
      <c r="I74" s="39">
        <v>0</v>
      </c>
      <c r="J74">
        <f t="shared" si="3"/>
        <v>3</v>
      </c>
    </row>
    <row r="75" spans="1:10">
      <c r="A75" s="108">
        <f t="shared" si="52"/>
        <v>9617104</v>
      </c>
      <c r="B75" t="str">
        <f t="shared" ref="B75:C75" si="71">B56</f>
        <v>撩阴腿</v>
      </c>
      <c r="C75" t="str">
        <f t="shared" si="71"/>
        <v>对敌人的要害进行猛烈的踢技，伤害随技能等级提升。</v>
      </c>
      <c r="D75" s="39">
        <f>VLOOKUP(INT(A75/100)*100+1,CHOOSE({1,2},D_马仔表!$I$2:$I$20,D_马仔表!$D$2:$D$20),2,FALSE)</f>
        <v>1</v>
      </c>
      <c r="E75">
        <f t="shared" si="43"/>
        <v>4</v>
      </c>
      <c r="F75">
        <f t="shared" si="62"/>
        <v>2.2999999999999998</v>
      </c>
      <c r="G75">
        <f t="shared" si="63"/>
        <v>2.8600000000000003</v>
      </c>
      <c r="H75" t="str">
        <f t="shared" si="44"/>
        <v>9609201.png</v>
      </c>
      <c r="I75" s="39">
        <v>0</v>
      </c>
      <c r="J75">
        <f t="shared" ref="J75:J77" si="72">MOD(A75,100)-1</f>
        <v>3</v>
      </c>
    </row>
    <row r="76" spans="1:10">
      <c r="A76" s="108">
        <f t="shared" si="52"/>
        <v>9618104</v>
      </c>
      <c r="B76" t="str">
        <f t="shared" ref="B76:C76" si="73">B57</f>
        <v>烈风腿</v>
      </c>
      <c r="C76" t="str">
        <f t="shared" si="73"/>
        <v>以迅捷的腿法将敌人踢飞的踢技，伤害随技能等级提升。</v>
      </c>
      <c r="D76" s="39">
        <f>VLOOKUP(INT(A76/100)*100+1,CHOOSE({1,2},D_马仔表!$I$2:$I$20,D_马仔表!$D$2:$D$20),2,FALSE)</f>
        <v>2</v>
      </c>
      <c r="E76">
        <f t="shared" si="43"/>
        <v>4</v>
      </c>
      <c r="F76">
        <f t="shared" si="62"/>
        <v>2.2999999999999998</v>
      </c>
      <c r="G76">
        <f t="shared" si="63"/>
        <v>3.2199999999999998</v>
      </c>
      <c r="H76" t="str">
        <f t="shared" si="44"/>
        <v>9601101.png</v>
      </c>
      <c r="I76" s="39">
        <v>0</v>
      </c>
      <c r="J76">
        <f t="shared" si="72"/>
        <v>3</v>
      </c>
    </row>
    <row r="77" spans="1:10">
      <c r="A77" s="108">
        <f t="shared" si="52"/>
        <v>9619104</v>
      </c>
      <c r="B77" t="str">
        <f t="shared" ref="B77:C77" si="74">B58</f>
        <v>黑虎出山</v>
      </c>
      <c r="C77" t="str">
        <f t="shared" si="74"/>
        <v>以极快的刀法刺穿眼前之敌的阴毒招式，伤害随技能等级提升。</v>
      </c>
      <c r="D77" s="39">
        <f>VLOOKUP(INT(A77/100)*100+1,CHOOSE({1,2},D_马仔表!$I$2:$I$20,D_马仔表!$D$2:$D$20),2,FALSE)</f>
        <v>2</v>
      </c>
      <c r="E77">
        <f t="shared" si="43"/>
        <v>4</v>
      </c>
      <c r="F77">
        <f t="shared" si="62"/>
        <v>2.2999999999999998</v>
      </c>
      <c r="G77">
        <f t="shared" si="63"/>
        <v>3.2199999999999998</v>
      </c>
      <c r="H77" t="str">
        <f t="shared" si="44"/>
        <v>9614101.png</v>
      </c>
      <c r="I77" s="39">
        <v>0</v>
      </c>
      <c r="J77">
        <f t="shared" si="72"/>
        <v>3</v>
      </c>
    </row>
    <row r="78" spans="1:10">
      <c r="A78">
        <f t="shared" si="52"/>
        <v>9601105</v>
      </c>
      <c r="B78" t="str">
        <f t="shared" ref="B78:C78" si="75">B59</f>
        <v>百裂踢</v>
      </c>
      <c r="C78" t="str">
        <f t="shared" si="75"/>
        <v>在短时间内向目标发起连续踢技让对手防不胜防，伤害随技能等级提升。</v>
      </c>
      <c r="D78" s="39">
        <f>VLOOKUP(INT(A78/100)*100+1,CHOOSE({1,2},D_马仔表!$I$2:$I$20,D_马仔表!$D$2:$D$20),2,FALSE)</f>
        <v>0</v>
      </c>
      <c r="E78">
        <f t="shared" si="43"/>
        <v>5</v>
      </c>
      <c r="F78">
        <f t="shared" si="62"/>
        <v>2.4</v>
      </c>
      <c r="G78">
        <f t="shared" si="63"/>
        <v>2.8</v>
      </c>
      <c r="H78" t="str">
        <f t="shared" si="44"/>
        <v>9601101.png</v>
      </c>
      <c r="I78" s="39">
        <v>0</v>
      </c>
      <c r="J78">
        <f t="shared" si="3"/>
        <v>4</v>
      </c>
    </row>
    <row r="79" spans="1:10">
      <c r="A79">
        <f t="shared" si="52"/>
        <v>9602105</v>
      </c>
      <c r="B79" t="str">
        <f t="shared" ref="B79:C79" si="76">B60</f>
        <v>精密射击</v>
      </c>
      <c r="C79" t="str">
        <f t="shared" si="76"/>
        <v>以精密的射击技术对敌人的弱点发起连续射击，伤害随技能等级提升。</v>
      </c>
      <c r="D79" s="39">
        <f>VLOOKUP(INT(A79/100)*100+1,CHOOSE({1,2},D_马仔表!$I$2:$I$20,D_马仔表!$D$2:$D$20),2,FALSE)</f>
        <v>0</v>
      </c>
      <c r="E79">
        <f t="shared" si="43"/>
        <v>5</v>
      </c>
      <c r="F79">
        <f t="shared" si="62"/>
        <v>2.4</v>
      </c>
      <c r="G79">
        <f t="shared" si="63"/>
        <v>2.8</v>
      </c>
      <c r="H79" t="str">
        <f t="shared" si="44"/>
        <v>9602101.png</v>
      </c>
      <c r="I79" s="39">
        <v>0</v>
      </c>
      <c r="J79">
        <f t="shared" ref="J79:J154" si="77">MOD(A79,100)-1</f>
        <v>4</v>
      </c>
    </row>
    <row r="80" spans="1:10">
      <c r="A80">
        <f t="shared" si="52"/>
        <v>9603105</v>
      </c>
      <c r="B80" t="str">
        <f t="shared" ref="B80:C80" si="78">B61</f>
        <v>火焰龙卷棍</v>
      </c>
      <c r="C80" t="str">
        <f t="shared" si="78"/>
        <v>以高速挥舞的长棍摩擦空气产生的烈焰吞噬目标，伤害随技能等级提升。</v>
      </c>
      <c r="D80" s="39">
        <f>VLOOKUP(INT(A80/100)*100+1,CHOOSE({1,2},D_马仔表!$I$2:$I$20,D_马仔表!$D$2:$D$20),2,FALSE)</f>
        <v>0</v>
      </c>
      <c r="E80">
        <f t="shared" si="43"/>
        <v>5</v>
      </c>
      <c r="F80">
        <f t="shared" si="62"/>
        <v>2.4</v>
      </c>
      <c r="G80">
        <f t="shared" si="63"/>
        <v>2.8</v>
      </c>
      <c r="H80" t="str">
        <f t="shared" si="44"/>
        <v>9603101.png</v>
      </c>
      <c r="I80" s="39">
        <v>0</v>
      </c>
      <c r="J80">
        <f t="shared" si="77"/>
        <v>4</v>
      </c>
    </row>
    <row r="81" spans="1:10">
      <c r="A81">
        <f t="shared" si="52"/>
        <v>9604105</v>
      </c>
      <c r="B81" t="str">
        <f t="shared" ref="B81:C81" si="79">B62</f>
        <v>致命突袭</v>
      </c>
      <c r="C81" t="str">
        <f t="shared" si="79"/>
        <v>以猛烈的拳法配合踢技终结目标，伤害随技能等级提升。</v>
      </c>
      <c r="D81" s="39">
        <f>VLOOKUP(INT(A81/100)*100+1,CHOOSE({1,2},D_马仔表!$I$2:$I$20,D_马仔表!$D$2:$D$20),2,FALSE)</f>
        <v>0</v>
      </c>
      <c r="E81">
        <f t="shared" si="43"/>
        <v>5</v>
      </c>
      <c r="F81">
        <f t="shared" si="62"/>
        <v>2.4</v>
      </c>
      <c r="G81">
        <f t="shared" si="63"/>
        <v>2.8</v>
      </c>
      <c r="H81" t="str">
        <f t="shared" si="44"/>
        <v>9604101.png</v>
      </c>
      <c r="I81" s="39">
        <v>0</v>
      </c>
      <c r="J81">
        <f t="shared" si="77"/>
        <v>4</v>
      </c>
    </row>
    <row r="82" spans="1:10">
      <c r="A82">
        <f t="shared" si="52"/>
        <v>9605105</v>
      </c>
      <c r="B82" t="str">
        <f t="shared" ref="B82:C82" si="80">B63</f>
        <v>蛮牛冲撞</v>
      </c>
      <c r="C82" t="str">
        <f t="shared" si="80"/>
        <v>以蛮牛般的力量向前方突进，给予前方目标巨大伤害，伤害随技能等级提升。</v>
      </c>
      <c r="D82" s="39">
        <f>VLOOKUP(INT(A82/100)*100+1,CHOOSE({1,2},D_马仔表!$I$2:$I$20,D_马仔表!$D$2:$D$20),2,FALSE)</f>
        <v>0</v>
      </c>
      <c r="E82">
        <f t="shared" si="43"/>
        <v>5</v>
      </c>
      <c r="F82">
        <f t="shared" si="62"/>
        <v>2.4</v>
      </c>
      <c r="G82">
        <f t="shared" si="63"/>
        <v>2.8</v>
      </c>
      <c r="H82" t="str">
        <f t="shared" si="44"/>
        <v>9605101.png</v>
      </c>
      <c r="I82" s="39">
        <v>0</v>
      </c>
      <c r="J82">
        <f t="shared" si="77"/>
        <v>4</v>
      </c>
    </row>
    <row r="83" spans="1:10">
      <c r="A83">
        <f t="shared" si="52"/>
        <v>9606105</v>
      </c>
      <c r="B83" t="str">
        <f t="shared" ref="B83:C83" si="81">B64</f>
        <v>烈风回旋击</v>
      </c>
      <c r="C83" t="str">
        <f t="shared" si="81"/>
        <v>以狂风般的速度发起的三连回旋击，伤害随技能等级提升。</v>
      </c>
      <c r="D83" s="39">
        <f>VLOOKUP(INT(A83/100)*100+1,CHOOSE({1,2},D_马仔表!$I$2:$I$20,D_马仔表!$D$2:$D$20),2,FALSE)</f>
        <v>1</v>
      </c>
      <c r="E83">
        <f t="shared" si="43"/>
        <v>5</v>
      </c>
      <c r="F83">
        <f t="shared" si="62"/>
        <v>2.4</v>
      </c>
      <c r="G83">
        <f t="shared" si="63"/>
        <v>3.25</v>
      </c>
      <c r="H83" t="str">
        <f t="shared" si="44"/>
        <v>9606101.png</v>
      </c>
      <c r="I83" s="39">
        <v>0</v>
      </c>
      <c r="J83">
        <f t="shared" si="77"/>
        <v>4</v>
      </c>
    </row>
    <row r="84" spans="1:10">
      <c r="A84">
        <f t="shared" si="52"/>
        <v>9607105</v>
      </c>
      <c r="B84" t="str">
        <f t="shared" ref="B84:C84" si="82">B65</f>
        <v>火力覆盖</v>
      </c>
      <c r="C84" t="str">
        <f t="shared" si="82"/>
        <v>用大口径机枪向目标发起疯狂的扫射，伤害随技能等级提升。</v>
      </c>
      <c r="D84" s="39">
        <f>VLOOKUP(INT(A84/100)*100+1,CHOOSE({1,2},D_马仔表!$I$2:$I$20,D_马仔表!$D$2:$D$20),2,FALSE)</f>
        <v>1</v>
      </c>
      <c r="E84">
        <f t="shared" si="43"/>
        <v>5</v>
      </c>
      <c r="F84">
        <f t="shared" si="62"/>
        <v>2.4</v>
      </c>
      <c r="G84">
        <f t="shared" si="63"/>
        <v>3.25</v>
      </c>
      <c r="H84" t="str">
        <f t="shared" si="44"/>
        <v>9607101.png</v>
      </c>
      <c r="I84" s="39">
        <v>0</v>
      </c>
      <c r="J84">
        <f t="shared" si="77"/>
        <v>4</v>
      </c>
    </row>
    <row r="85" spans="1:10">
      <c r="A85">
        <f t="shared" si="52"/>
        <v>9608105</v>
      </c>
      <c r="B85" t="str">
        <f t="shared" ref="B85:C85" si="83">B66</f>
        <v>猪突猛进</v>
      </c>
      <c r="C85" t="str">
        <f t="shared" si="83"/>
        <v>疯狂的向前方突进，将沿途的敌人统统击飞，伤害随技能等级提升。</v>
      </c>
      <c r="D85" s="39">
        <f>VLOOKUP(INT(A85/100)*100+1,CHOOSE({1,2},D_马仔表!$I$2:$I$20,D_马仔表!$D$2:$D$20),2,FALSE)</f>
        <v>1</v>
      </c>
      <c r="E85">
        <f t="shared" ref="E85:E96" si="84">E66+1</f>
        <v>5</v>
      </c>
      <c r="F85">
        <f t="shared" si="62"/>
        <v>2.4</v>
      </c>
      <c r="G85">
        <f t="shared" si="63"/>
        <v>3.25</v>
      </c>
      <c r="H85" t="str">
        <f t="shared" ref="H85:H96" si="85">H66</f>
        <v>9608101.png</v>
      </c>
      <c r="I85" s="39">
        <v>0</v>
      </c>
      <c r="J85">
        <f t="shared" si="77"/>
        <v>4</v>
      </c>
    </row>
    <row r="86" spans="1:10">
      <c r="A86">
        <f t="shared" si="52"/>
        <v>9609105</v>
      </c>
      <c r="B86" t="str">
        <f t="shared" ref="B86:C86" si="86">B67</f>
        <v>毁灭漩涡</v>
      </c>
      <c r="C86" t="str">
        <f t="shared" si="86"/>
        <v>快速旋转自身，将沿途目标无情撕碎的恐怖招式，伤害随技能等级提升。</v>
      </c>
      <c r="D86" s="39">
        <f>VLOOKUP(INT(A86/100)*100+1,CHOOSE({1,2},D_马仔表!$I$2:$I$20,D_马仔表!$D$2:$D$20),2,FALSE)</f>
        <v>2</v>
      </c>
      <c r="E86">
        <f t="shared" si="84"/>
        <v>5</v>
      </c>
      <c r="F86">
        <f t="shared" si="62"/>
        <v>2.4</v>
      </c>
      <c r="G86">
        <f t="shared" si="63"/>
        <v>3.7</v>
      </c>
      <c r="H86" t="str">
        <f t="shared" si="85"/>
        <v>9609101.png</v>
      </c>
      <c r="I86" s="39">
        <v>0</v>
      </c>
      <c r="J86">
        <f t="shared" si="77"/>
        <v>4</v>
      </c>
    </row>
    <row r="87" spans="1:10">
      <c r="A87">
        <f t="shared" si="52"/>
        <v>9610105</v>
      </c>
      <c r="B87" t="str">
        <f t="shared" ref="B87:C87" si="87">B68</f>
        <v>死亡切割</v>
      </c>
      <c r="C87" t="str">
        <f t="shared" si="87"/>
        <v>将目标踢至空中切割的锐利踢技，伤害随技能等级提升。</v>
      </c>
      <c r="D87" s="39">
        <f>VLOOKUP(INT(A87/100)*100+1,CHOOSE({1,2},D_马仔表!$I$2:$I$20,D_马仔表!$D$2:$D$20),2,FALSE)</f>
        <v>2</v>
      </c>
      <c r="E87">
        <f t="shared" si="84"/>
        <v>5</v>
      </c>
      <c r="F87">
        <f t="shared" si="62"/>
        <v>2.4</v>
      </c>
      <c r="G87">
        <f t="shared" si="63"/>
        <v>3.7</v>
      </c>
      <c r="H87" t="str">
        <f t="shared" si="85"/>
        <v>9610101.png</v>
      </c>
      <c r="I87" s="39">
        <v>0</v>
      </c>
      <c r="J87">
        <f t="shared" si="77"/>
        <v>4</v>
      </c>
    </row>
    <row r="88" spans="1:10">
      <c r="A88">
        <f t="shared" si="52"/>
        <v>9611105</v>
      </c>
      <c r="B88" t="str">
        <f t="shared" ref="B88:C88" si="88">B69</f>
        <v>幻影闪现</v>
      </c>
      <c r="C88" t="str">
        <f t="shared" si="88"/>
        <v>将周围敌人以高速飞舞的纸牌切开，伤害随技能等级提升。</v>
      </c>
      <c r="D88" s="39">
        <f>VLOOKUP(INT(A88/100)*100+1,CHOOSE({1,2},D_马仔表!$I$2:$I$20,D_马仔表!$D$2:$D$20),2,FALSE)</f>
        <v>2</v>
      </c>
      <c r="E88">
        <f t="shared" si="84"/>
        <v>5</v>
      </c>
      <c r="F88">
        <f t="shared" si="62"/>
        <v>2.4</v>
      </c>
      <c r="G88">
        <f t="shared" si="63"/>
        <v>3.7</v>
      </c>
      <c r="H88" t="str">
        <f t="shared" si="85"/>
        <v>9611101.png</v>
      </c>
      <c r="I88" s="39">
        <v>0</v>
      </c>
      <c r="J88">
        <f t="shared" si="77"/>
        <v>4</v>
      </c>
    </row>
    <row r="89" spans="1:10">
      <c r="A89">
        <f t="shared" si="52"/>
        <v>9612105</v>
      </c>
      <c r="B89" t="str">
        <f t="shared" ref="B89:C89" si="89">B70</f>
        <v>圆月斩</v>
      </c>
      <c r="C89" t="str">
        <f t="shared" si="89"/>
        <v>划出圆月般的剑气重创周围敌人，伤害随技能等级提升。</v>
      </c>
      <c r="D89" s="39">
        <f>VLOOKUP(INT(A89/100)*100+1,CHOOSE({1,2},D_马仔表!$I$2:$I$20,D_马仔表!$D$2:$D$20),2,FALSE)</f>
        <v>2</v>
      </c>
      <c r="E89">
        <f t="shared" si="84"/>
        <v>5</v>
      </c>
      <c r="F89">
        <f t="shared" si="62"/>
        <v>2.4</v>
      </c>
      <c r="G89">
        <f t="shared" si="63"/>
        <v>3.7</v>
      </c>
      <c r="H89" t="str">
        <f t="shared" si="85"/>
        <v>9612101.png</v>
      </c>
      <c r="I89" s="39">
        <v>0</v>
      </c>
      <c r="J89">
        <f t="shared" si="77"/>
        <v>4</v>
      </c>
    </row>
    <row r="90" spans="1:10">
      <c r="A90">
        <f t="shared" si="52"/>
        <v>9613105</v>
      </c>
      <c r="B90" t="str">
        <f t="shared" ref="B90:C90" si="90">B71</f>
        <v>奥义天狗抄</v>
      </c>
      <c r="C90" t="str">
        <f t="shared" si="90"/>
        <v>杀手首领家族代代相传的剑术奥义，伤害随技能等级提升。</v>
      </c>
      <c r="D90" s="39">
        <f>VLOOKUP(INT(A90/100)*100+1,CHOOSE({1,2},D_马仔表!$I$2:$I$20,D_马仔表!$D$2:$D$20),2,FALSE)</f>
        <v>2</v>
      </c>
      <c r="E90">
        <f t="shared" si="84"/>
        <v>5</v>
      </c>
      <c r="F90">
        <f t="shared" si="62"/>
        <v>2.4</v>
      </c>
      <c r="G90">
        <f t="shared" si="63"/>
        <v>3.7</v>
      </c>
      <c r="H90" t="str">
        <f t="shared" si="85"/>
        <v>9613101.png</v>
      </c>
      <c r="I90" s="39">
        <v>0</v>
      </c>
      <c r="J90">
        <f t="shared" si="77"/>
        <v>4</v>
      </c>
    </row>
    <row r="91" spans="1:10">
      <c r="A91">
        <f t="shared" si="52"/>
        <v>9614105</v>
      </c>
      <c r="B91" t="str">
        <f t="shared" ref="B91:C91" si="91">B72</f>
        <v>风神斩</v>
      </c>
      <c r="C91" t="str">
        <f t="shared" si="91"/>
        <v>以极快的凌厉斩击将周围的敌人斩落的高超刀法，伤害随技能等级提升。</v>
      </c>
      <c r="D91" s="39">
        <f>VLOOKUP(INT(A91/100)*100+1,CHOOSE({1,2},D_马仔表!$I$2:$I$20,D_马仔表!$D$2:$D$20),2,FALSE)</f>
        <v>3</v>
      </c>
      <c r="E91">
        <f t="shared" si="84"/>
        <v>5</v>
      </c>
      <c r="F91">
        <f t="shared" si="62"/>
        <v>2.4</v>
      </c>
      <c r="G91">
        <f t="shared" si="63"/>
        <v>4.1499999999999995</v>
      </c>
      <c r="H91" t="str">
        <f t="shared" si="85"/>
        <v>9614101.png</v>
      </c>
      <c r="I91" s="39">
        <v>0</v>
      </c>
      <c r="J91">
        <f t="shared" si="77"/>
        <v>4</v>
      </c>
    </row>
    <row r="92" spans="1:10">
      <c r="A92">
        <f t="shared" si="52"/>
        <v>9615105</v>
      </c>
      <c r="B92" t="str">
        <f t="shared" ref="B92:C92" si="92">B73</f>
        <v>暴虐狂袭</v>
      </c>
      <c r="C92" t="str">
        <f t="shared" si="92"/>
        <v>以锐利的撬棍将敌人挑起的棍法，伤害随技能等级提升。</v>
      </c>
      <c r="D92" s="39">
        <f>VLOOKUP(INT(A92/100)*100+1,CHOOSE({1,2},D_马仔表!$I$2:$I$20,D_马仔表!$D$2:$D$20),2,FALSE)</f>
        <v>3</v>
      </c>
      <c r="E92">
        <f t="shared" si="84"/>
        <v>5</v>
      </c>
      <c r="F92">
        <f t="shared" si="62"/>
        <v>2.4</v>
      </c>
      <c r="G92">
        <f t="shared" si="63"/>
        <v>4.1499999999999995</v>
      </c>
      <c r="H92" t="str">
        <f t="shared" si="85"/>
        <v>9615101.png</v>
      </c>
      <c r="I92" s="39">
        <v>0</v>
      </c>
      <c r="J92">
        <f t="shared" si="77"/>
        <v>4</v>
      </c>
    </row>
    <row r="93" spans="1:10">
      <c r="A93">
        <f t="shared" si="52"/>
        <v>9616105</v>
      </c>
      <c r="B93" t="str">
        <f t="shared" ref="B93:C93" si="93">B74</f>
        <v>狂狮乱舞</v>
      </c>
      <c r="C93" t="str">
        <f t="shared" si="93"/>
        <v>以极快的速度挥舞双节棍，给予前方目标沉重打击，伤害随技能等级提升。</v>
      </c>
      <c r="D93" s="39">
        <f>VLOOKUP(INT(A93/100)*100+1,CHOOSE({1,2},D_马仔表!$I$2:$I$20,D_马仔表!$D$2:$D$20),2,FALSE)</f>
        <v>3</v>
      </c>
      <c r="E93">
        <f t="shared" si="84"/>
        <v>5</v>
      </c>
      <c r="F93">
        <f t="shared" si="62"/>
        <v>2.4</v>
      </c>
      <c r="G93">
        <f t="shared" si="63"/>
        <v>4.1499999999999995</v>
      </c>
      <c r="H93" t="str">
        <f t="shared" si="85"/>
        <v>9616101.png</v>
      </c>
      <c r="I93" s="39">
        <v>0</v>
      </c>
      <c r="J93">
        <f t="shared" si="77"/>
        <v>4</v>
      </c>
    </row>
    <row r="94" spans="1:10">
      <c r="A94" s="108">
        <f t="shared" si="52"/>
        <v>9617105</v>
      </c>
      <c r="B94" t="str">
        <f t="shared" ref="B94:C94" si="94">B75</f>
        <v>撩阴腿</v>
      </c>
      <c r="C94" t="str">
        <f t="shared" si="94"/>
        <v>对敌人的要害进行猛烈的踢技，伤害随技能等级提升。</v>
      </c>
      <c r="D94" s="39">
        <f>VLOOKUP(INT(A94/100)*100+1,CHOOSE({1,2},D_马仔表!$I$2:$I$20,D_马仔表!$D$2:$D$20),2,FALSE)</f>
        <v>1</v>
      </c>
      <c r="E94">
        <f t="shared" si="84"/>
        <v>5</v>
      </c>
      <c r="F94">
        <f t="shared" si="62"/>
        <v>2.4</v>
      </c>
      <c r="G94">
        <f t="shared" si="63"/>
        <v>3.25</v>
      </c>
      <c r="H94" t="str">
        <f t="shared" si="85"/>
        <v>9609201.png</v>
      </c>
      <c r="I94" s="39">
        <v>0</v>
      </c>
      <c r="J94">
        <f t="shared" ref="J94:J96" si="95">MOD(A94,100)-1</f>
        <v>4</v>
      </c>
    </row>
    <row r="95" spans="1:10">
      <c r="A95" s="108">
        <f t="shared" si="52"/>
        <v>9618105</v>
      </c>
      <c r="B95" t="str">
        <f t="shared" ref="B95:C95" si="96">B76</f>
        <v>烈风腿</v>
      </c>
      <c r="C95" t="str">
        <f t="shared" si="96"/>
        <v>以迅捷的腿法将敌人踢飞的踢技，伤害随技能等级提升。</v>
      </c>
      <c r="D95" s="39">
        <f>VLOOKUP(INT(A95/100)*100+1,CHOOSE({1,2},D_马仔表!$I$2:$I$20,D_马仔表!$D$2:$D$20),2,FALSE)</f>
        <v>2</v>
      </c>
      <c r="E95">
        <f t="shared" si="84"/>
        <v>5</v>
      </c>
      <c r="F95">
        <f t="shared" si="62"/>
        <v>2.4</v>
      </c>
      <c r="G95">
        <f t="shared" si="63"/>
        <v>3.7</v>
      </c>
      <c r="H95" t="str">
        <f t="shared" si="85"/>
        <v>9601101.png</v>
      </c>
      <c r="I95" s="39">
        <v>0</v>
      </c>
      <c r="J95">
        <f t="shared" si="95"/>
        <v>4</v>
      </c>
    </row>
    <row r="96" spans="1:10">
      <c r="A96" s="108">
        <f t="shared" si="52"/>
        <v>9619105</v>
      </c>
      <c r="B96" t="str">
        <f t="shared" ref="B96:C96" si="97">B77</f>
        <v>黑虎出山</v>
      </c>
      <c r="C96" t="str">
        <f t="shared" si="97"/>
        <v>以极快的刀法刺穿眼前之敌的阴毒招式，伤害随技能等级提升。</v>
      </c>
      <c r="D96" s="39">
        <f>VLOOKUP(INT(A96/100)*100+1,CHOOSE({1,2},D_马仔表!$I$2:$I$20,D_马仔表!$D$2:$D$20),2,FALSE)</f>
        <v>2</v>
      </c>
      <c r="E96">
        <f t="shared" si="84"/>
        <v>5</v>
      </c>
      <c r="F96">
        <f t="shared" si="62"/>
        <v>2.4</v>
      </c>
      <c r="G96">
        <f t="shared" si="63"/>
        <v>3.7</v>
      </c>
      <c r="H96" t="str">
        <f t="shared" si="85"/>
        <v>9614101.png</v>
      </c>
      <c r="I96" s="39">
        <v>0</v>
      </c>
      <c r="J96">
        <f t="shared" si="95"/>
        <v>4</v>
      </c>
    </row>
    <row r="97" spans="1:10">
      <c r="A97">
        <f t="shared" ref="A97" si="98">A78+1</f>
        <v>9601106</v>
      </c>
      <c r="B97" t="str">
        <f t="shared" ref="B97:C97" si="99">B78</f>
        <v>百裂踢</v>
      </c>
      <c r="C97" t="str">
        <f t="shared" si="99"/>
        <v>在短时间内向目标发起连续踢技让对手防不胜防，伤害随技能等级提升。</v>
      </c>
      <c r="D97" s="39">
        <f>VLOOKUP(INT(A97/100)*100+1,CHOOSE({1,2},D_马仔表!$I$2:$I$20,D_马仔表!$D$2:$D$20),2,FALSE)</f>
        <v>0</v>
      </c>
      <c r="E97">
        <f t="shared" ref="E97" si="100">E78+1</f>
        <v>6</v>
      </c>
      <c r="F97">
        <f t="shared" si="62"/>
        <v>2.5</v>
      </c>
      <c r="G97">
        <f t="shared" si="63"/>
        <v>3.0999999999999996</v>
      </c>
      <c r="H97" t="str">
        <f t="shared" ref="H97" si="101">H78</f>
        <v>9601101.png</v>
      </c>
      <c r="I97" s="39">
        <v>0</v>
      </c>
      <c r="J97">
        <f t="shared" si="77"/>
        <v>5</v>
      </c>
    </row>
    <row r="98" spans="1:10">
      <c r="A98">
        <f t="shared" ref="A98:A129" si="102">A79+1</f>
        <v>9602106</v>
      </c>
      <c r="B98" t="str">
        <f t="shared" ref="B98:C98" si="103">B79</f>
        <v>精密射击</v>
      </c>
      <c r="C98" t="str">
        <f t="shared" si="103"/>
        <v>以精密的射击技术对敌人的弱点发起连续射击，伤害随技能等级提升。</v>
      </c>
      <c r="D98" s="39">
        <f>VLOOKUP(INT(A98/100)*100+1,CHOOSE({1,2},D_马仔表!$I$2:$I$20,D_马仔表!$D$2:$D$20),2,FALSE)</f>
        <v>0</v>
      </c>
      <c r="E98">
        <f t="shared" ref="E98:E129" si="104">E79+1</f>
        <v>6</v>
      </c>
      <c r="F98">
        <f t="shared" si="62"/>
        <v>2.5</v>
      </c>
      <c r="G98">
        <f t="shared" si="63"/>
        <v>3.0999999999999996</v>
      </c>
      <c r="H98" t="str">
        <f t="shared" ref="H98:H129" si="105">H79</f>
        <v>9602101.png</v>
      </c>
      <c r="I98" s="39">
        <v>0</v>
      </c>
      <c r="J98">
        <f t="shared" si="77"/>
        <v>5</v>
      </c>
    </row>
    <row r="99" spans="1:10">
      <c r="A99">
        <f t="shared" si="102"/>
        <v>9603106</v>
      </c>
      <c r="B99" t="str">
        <f t="shared" ref="B99:C99" si="106">B80</f>
        <v>火焰龙卷棍</v>
      </c>
      <c r="C99" t="str">
        <f t="shared" si="106"/>
        <v>以高速挥舞的长棍摩擦空气产生的烈焰吞噬目标，伤害随技能等级提升。</v>
      </c>
      <c r="D99" s="39">
        <f>VLOOKUP(INT(A99/100)*100+1,CHOOSE({1,2},D_马仔表!$I$2:$I$20,D_马仔表!$D$2:$D$20),2,FALSE)</f>
        <v>0</v>
      </c>
      <c r="E99">
        <f t="shared" si="104"/>
        <v>6</v>
      </c>
      <c r="F99">
        <f t="shared" si="62"/>
        <v>2.5</v>
      </c>
      <c r="G99">
        <f t="shared" si="63"/>
        <v>3.0999999999999996</v>
      </c>
      <c r="H99" t="str">
        <f t="shared" si="105"/>
        <v>9603101.png</v>
      </c>
      <c r="I99" s="39">
        <v>0</v>
      </c>
      <c r="J99">
        <f t="shared" si="77"/>
        <v>5</v>
      </c>
    </row>
    <row r="100" spans="1:10">
      <c r="A100">
        <f t="shared" si="102"/>
        <v>9604106</v>
      </c>
      <c r="B100" t="str">
        <f t="shared" ref="B100:C100" si="107">B81</f>
        <v>致命突袭</v>
      </c>
      <c r="C100" t="str">
        <f t="shared" si="107"/>
        <v>以猛烈的拳法配合踢技终结目标，伤害随技能等级提升。</v>
      </c>
      <c r="D100" s="39">
        <f>VLOOKUP(INT(A100/100)*100+1,CHOOSE({1,2},D_马仔表!$I$2:$I$20,D_马仔表!$D$2:$D$20),2,FALSE)</f>
        <v>0</v>
      </c>
      <c r="E100">
        <f t="shared" si="104"/>
        <v>6</v>
      </c>
      <c r="F100">
        <f t="shared" si="62"/>
        <v>2.5</v>
      </c>
      <c r="G100">
        <f t="shared" si="63"/>
        <v>3.0999999999999996</v>
      </c>
      <c r="H100" t="str">
        <f t="shared" si="105"/>
        <v>9604101.png</v>
      </c>
      <c r="I100" s="39">
        <v>0</v>
      </c>
      <c r="J100">
        <f t="shared" si="77"/>
        <v>5</v>
      </c>
    </row>
    <row r="101" spans="1:10">
      <c r="A101">
        <f t="shared" si="102"/>
        <v>9605106</v>
      </c>
      <c r="B101" t="str">
        <f t="shared" ref="B101:C101" si="108">B82</f>
        <v>蛮牛冲撞</v>
      </c>
      <c r="C101" t="str">
        <f t="shared" si="108"/>
        <v>以蛮牛般的力量向前方突进，给予前方目标巨大伤害，伤害随技能等级提升。</v>
      </c>
      <c r="D101" s="39">
        <f>VLOOKUP(INT(A101/100)*100+1,CHOOSE({1,2},D_马仔表!$I$2:$I$20,D_马仔表!$D$2:$D$20),2,FALSE)</f>
        <v>0</v>
      </c>
      <c r="E101">
        <f t="shared" si="104"/>
        <v>6</v>
      </c>
      <c r="F101">
        <f t="shared" si="62"/>
        <v>2.5</v>
      </c>
      <c r="G101">
        <f t="shared" si="63"/>
        <v>3.0999999999999996</v>
      </c>
      <c r="H101" t="str">
        <f t="shared" si="105"/>
        <v>9605101.png</v>
      </c>
      <c r="I101" s="39">
        <v>0</v>
      </c>
      <c r="J101">
        <f t="shared" si="77"/>
        <v>5</v>
      </c>
    </row>
    <row r="102" spans="1:10">
      <c r="A102">
        <f t="shared" si="102"/>
        <v>9606106</v>
      </c>
      <c r="B102" t="str">
        <f t="shared" ref="B102:C102" si="109">B83</f>
        <v>烈风回旋击</v>
      </c>
      <c r="C102" t="str">
        <f t="shared" si="109"/>
        <v>以狂风般的速度发起的三连回旋击，伤害随技能等级提升。</v>
      </c>
      <c r="D102" s="39">
        <f>VLOOKUP(INT(A102/100)*100+1,CHOOSE({1,2},D_马仔表!$I$2:$I$20,D_马仔表!$D$2:$D$20),2,FALSE)</f>
        <v>1</v>
      </c>
      <c r="E102">
        <f t="shared" si="104"/>
        <v>6</v>
      </c>
      <c r="F102">
        <f t="shared" si="62"/>
        <v>2.5</v>
      </c>
      <c r="G102">
        <f t="shared" si="63"/>
        <v>3.6399999999999997</v>
      </c>
      <c r="H102" t="str">
        <f t="shared" si="105"/>
        <v>9606101.png</v>
      </c>
      <c r="I102" s="39">
        <v>0</v>
      </c>
      <c r="J102">
        <f t="shared" si="77"/>
        <v>5</v>
      </c>
    </row>
    <row r="103" spans="1:10">
      <c r="A103">
        <f t="shared" si="102"/>
        <v>9607106</v>
      </c>
      <c r="B103" t="str">
        <f t="shared" ref="B103:C103" si="110">B84</f>
        <v>火力覆盖</v>
      </c>
      <c r="C103" t="str">
        <f t="shared" si="110"/>
        <v>用大口径机枪向目标发起疯狂的扫射，伤害随技能等级提升。</v>
      </c>
      <c r="D103" s="39">
        <f>VLOOKUP(INT(A103/100)*100+1,CHOOSE({1,2},D_马仔表!$I$2:$I$20,D_马仔表!$D$2:$D$20),2,FALSE)</f>
        <v>1</v>
      </c>
      <c r="E103">
        <f t="shared" si="104"/>
        <v>6</v>
      </c>
      <c r="F103">
        <f t="shared" si="62"/>
        <v>2.5</v>
      </c>
      <c r="G103">
        <f t="shared" si="63"/>
        <v>3.6399999999999997</v>
      </c>
      <c r="H103" t="str">
        <f t="shared" si="105"/>
        <v>9607101.png</v>
      </c>
      <c r="I103" s="39">
        <v>0</v>
      </c>
      <c r="J103">
        <f t="shared" si="77"/>
        <v>5</v>
      </c>
    </row>
    <row r="104" spans="1:10">
      <c r="A104">
        <f t="shared" si="102"/>
        <v>9608106</v>
      </c>
      <c r="B104" t="str">
        <f t="shared" ref="B104:C104" si="111">B85</f>
        <v>猪突猛进</v>
      </c>
      <c r="C104" t="str">
        <f t="shared" si="111"/>
        <v>疯狂的向前方突进，将沿途的敌人统统击飞，伤害随技能等级提升。</v>
      </c>
      <c r="D104" s="39">
        <f>VLOOKUP(INT(A104/100)*100+1,CHOOSE({1,2},D_马仔表!$I$2:$I$20,D_马仔表!$D$2:$D$20),2,FALSE)</f>
        <v>1</v>
      </c>
      <c r="E104">
        <f t="shared" si="104"/>
        <v>6</v>
      </c>
      <c r="F104">
        <f t="shared" si="62"/>
        <v>2.5</v>
      </c>
      <c r="G104">
        <f t="shared" si="63"/>
        <v>3.6399999999999997</v>
      </c>
      <c r="H104" t="str">
        <f t="shared" si="105"/>
        <v>9608101.png</v>
      </c>
      <c r="I104" s="39">
        <v>0</v>
      </c>
      <c r="J104">
        <f t="shared" si="77"/>
        <v>5</v>
      </c>
    </row>
    <row r="105" spans="1:10">
      <c r="A105">
        <f t="shared" si="102"/>
        <v>9609106</v>
      </c>
      <c r="B105" t="str">
        <f t="shared" ref="B105:C105" si="112">B86</f>
        <v>毁灭漩涡</v>
      </c>
      <c r="C105" t="str">
        <f t="shared" si="112"/>
        <v>快速旋转自身，将沿途目标无情撕碎的恐怖招式，伤害随技能等级提升。</v>
      </c>
      <c r="D105" s="39">
        <f>VLOOKUP(INT(A105/100)*100+1,CHOOSE({1,2},D_马仔表!$I$2:$I$20,D_马仔表!$D$2:$D$20),2,FALSE)</f>
        <v>2</v>
      </c>
      <c r="E105">
        <f t="shared" si="104"/>
        <v>6</v>
      </c>
      <c r="F105">
        <f t="shared" si="62"/>
        <v>2.5</v>
      </c>
      <c r="G105">
        <f t="shared" si="63"/>
        <v>4.18</v>
      </c>
      <c r="H105" t="str">
        <f t="shared" si="105"/>
        <v>9609101.png</v>
      </c>
      <c r="I105" s="39">
        <v>0</v>
      </c>
      <c r="J105">
        <f t="shared" si="77"/>
        <v>5</v>
      </c>
    </row>
    <row r="106" spans="1:10">
      <c r="A106">
        <f t="shared" si="102"/>
        <v>9610106</v>
      </c>
      <c r="B106" t="str">
        <f t="shared" ref="B106:C106" si="113">B87</f>
        <v>死亡切割</v>
      </c>
      <c r="C106" t="str">
        <f t="shared" si="113"/>
        <v>将目标踢至空中切割的锐利踢技，伤害随技能等级提升。</v>
      </c>
      <c r="D106" s="39">
        <f>VLOOKUP(INT(A106/100)*100+1,CHOOSE({1,2},D_马仔表!$I$2:$I$20,D_马仔表!$D$2:$D$20),2,FALSE)</f>
        <v>2</v>
      </c>
      <c r="E106">
        <f t="shared" si="104"/>
        <v>6</v>
      </c>
      <c r="F106">
        <f t="shared" si="62"/>
        <v>2.5</v>
      </c>
      <c r="G106">
        <f t="shared" si="63"/>
        <v>4.18</v>
      </c>
      <c r="H106" t="str">
        <f t="shared" si="105"/>
        <v>9610101.png</v>
      </c>
      <c r="I106" s="39">
        <v>0</v>
      </c>
      <c r="J106">
        <f t="shared" si="77"/>
        <v>5</v>
      </c>
    </row>
    <row r="107" spans="1:10">
      <c r="A107">
        <f t="shared" si="102"/>
        <v>9611106</v>
      </c>
      <c r="B107" t="str">
        <f t="shared" ref="B107:C107" si="114">B88</f>
        <v>幻影闪现</v>
      </c>
      <c r="C107" t="str">
        <f t="shared" si="114"/>
        <v>将周围敌人以高速飞舞的纸牌切开，伤害随技能等级提升。</v>
      </c>
      <c r="D107" s="39">
        <f>VLOOKUP(INT(A107/100)*100+1,CHOOSE({1,2},D_马仔表!$I$2:$I$20,D_马仔表!$D$2:$D$20),2,FALSE)</f>
        <v>2</v>
      </c>
      <c r="E107">
        <f t="shared" si="104"/>
        <v>6</v>
      </c>
      <c r="F107">
        <f t="shared" si="62"/>
        <v>2.5</v>
      </c>
      <c r="G107">
        <f t="shared" si="63"/>
        <v>4.18</v>
      </c>
      <c r="H107" t="str">
        <f t="shared" si="105"/>
        <v>9611101.png</v>
      </c>
      <c r="I107" s="39">
        <v>0</v>
      </c>
      <c r="J107">
        <f t="shared" si="77"/>
        <v>5</v>
      </c>
    </row>
    <row r="108" spans="1:10">
      <c r="A108">
        <f t="shared" si="102"/>
        <v>9612106</v>
      </c>
      <c r="B108" t="str">
        <f t="shared" ref="B108:C108" si="115">B89</f>
        <v>圆月斩</v>
      </c>
      <c r="C108" t="str">
        <f t="shared" si="115"/>
        <v>划出圆月般的剑气重创周围敌人，伤害随技能等级提升。</v>
      </c>
      <c r="D108" s="39">
        <f>VLOOKUP(INT(A108/100)*100+1,CHOOSE({1,2},D_马仔表!$I$2:$I$20,D_马仔表!$D$2:$D$20),2,FALSE)</f>
        <v>2</v>
      </c>
      <c r="E108">
        <f t="shared" si="104"/>
        <v>6</v>
      </c>
      <c r="F108">
        <f t="shared" si="62"/>
        <v>2.5</v>
      </c>
      <c r="G108">
        <f t="shared" si="63"/>
        <v>4.18</v>
      </c>
      <c r="H108" t="str">
        <f t="shared" si="105"/>
        <v>9612101.png</v>
      </c>
      <c r="I108" s="39">
        <v>0</v>
      </c>
      <c r="J108">
        <f t="shared" si="77"/>
        <v>5</v>
      </c>
    </row>
    <row r="109" spans="1:10">
      <c r="A109">
        <f t="shared" si="102"/>
        <v>9613106</v>
      </c>
      <c r="B109" t="str">
        <f t="shared" ref="B109:C109" si="116">B90</f>
        <v>奥义天狗抄</v>
      </c>
      <c r="C109" t="str">
        <f t="shared" si="116"/>
        <v>杀手首领家族代代相传的剑术奥义，伤害随技能等级提升。</v>
      </c>
      <c r="D109" s="39">
        <f>VLOOKUP(INT(A109/100)*100+1,CHOOSE({1,2},D_马仔表!$I$2:$I$20,D_马仔表!$D$2:$D$20),2,FALSE)</f>
        <v>2</v>
      </c>
      <c r="E109">
        <f t="shared" si="104"/>
        <v>6</v>
      </c>
      <c r="F109">
        <f t="shared" si="62"/>
        <v>2.5</v>
      </c>
      <c r="G109">
        <f t="shared" si="63"/>
        <v>4.18</v>
      </c>
      <c r="H109" t="str">
        <f t="shared" si="105"/>
        <v>9613101.png</v>
      </c>
      <c r="I109" s="39">
        <v>0</v>
      </c>
      <c r="J109">
        <f t="shared" si="77"/>
        <v>5</v>
      </c>
    </row>
    <row r="110" spans="1:10">
      <c r="A110">
        <f t="shared" si="102"/>
        <v>9614106</v>
      </c>
      <c r="B110" t="str">
        <f t="shared" ref="B110:C110" si="117">B91</f>
        <v>风神斩</v>
      </c>
      <c r="C110" t="str">
        <f t="shared" si="117"/>
        <v>以极快的凌厉斩击将周围的敌人斩落的高超刀法，伤害随技能等级提升。</v>
      </c>
      <c r="D110" s="39">
        <f>VLOOKUP(INT(A110/100)*100+1,CHOOSE({1,2},D_马仔表!$I$2:$I$20,D_马仔表!$D$2:$D$20),2,FALSE)</f>
        <v>3</v>
      </c>
      <c r="E110">
        <f t="shared" si="104"/>
        <v>6</v>
      </c>
      <c r="F110">
        <f t="shared" si="62"/>
        <v>2.5</v>
      </c>
      <c r="G110">
        <f t="shared" si="63"/>
        <v>4.72</v>
      </c>
      <c r="H110" t="str">
        <f t="shared" si="105"/>
        <v>9614101.png</v>
      </c>
      <c r="I110" s="39">
        <v>0</v>
      </c>
      <c r="J110">
        <f t="shared" si="77"/>
        <v>5</v>
      </c>
    </row>
    <row r="111" spans="1:10">
      <c r="A111">
        <f t="shared" si="102"/>
        <v>9615106</v>
      </c>
      <c r="B111" t="str">
        <f t="shared" ref="B111:C111" si="118">B92</f>
        <v>暴虐狂袭</v>
      </c>
      <c r="C111" t="str">
        <f t="shared" si="118"/>
        <v>以锐利的撬棍将敌人挑起的棍法，伤害随技能等级提升。</v>
      </c>
      <c r="D111" s="39">
        <f>VLOOKUP(INT(A111/100)*100+1,CHOOSE({1,2},D_马仔表!$I$2:$I$20,D_马仔表!$D$2:$D$20),2,FALSE)</f>
        <v>3</v>
      </c>
      <c r="E111">
        <f t="shared" si="104"/>
        <v>6</v>
      </c>
      <c r="F111">
        <f t="shared" si="62"/>
        <v>2.5</v>
      </c>
      <c r="G111">
        <f t="shared" si="63"/>
        <v>4.72</v>
      </c>
      <c r="H111" t="str">
        <f t="shared" si="105"/>
        <v>9615101.png</v>
      </c>
      <c r="I111" s="39">
        <v>0</v>
      </c>
      <c r="J111">
        <f t="shared" si="77"/>
        <v>5</v>
      </c>
    </row>
    <row r="112" spans="1:10">
      <c r="A112">
        <f t="shared" si="102"/>
        <v>9616106</v>
      </c>
      <c r="B112" t="str">
        <f t="shared" ref="B112:C112" si="119">B93</f>
        <v>狂狮乱舞</v>
      </c>
      <c r="C112" t="str">
        <f t="shared" si="119"/>
        <v>以极快的速度挥舞双节棍，给予前方目标沉重打击，伤害随技能等级提升。</v>
      </c>
      <c r="D112" s="39">
        <f>VLOOKUP(INT(A112/100)*100+1,CHOOSE({1,2},D_马仔表!$I$2:$I$20,D_马仔表!$D$2:$D$20),2,FALSE)</f>
        <v>3</v>
      </c>
      <c r="E112">
        <f t="shared" si="104"/>
        <v>6</v>
      </c>
      <c r="F112">
        <f t="shared" si="62"/>
        <v>2.5</v>
      </c>
      <c r="G112">
        <f t="shared" si="63"/>
        <v>4.72</v>
      </c>
      <c r="H112" t="str">
        <f t="shared" si="105"/>
        <v>9616101.png</v>
      </c>
      <c r="I112" s="39">
        <v>0</v>
      </c>
      <c r="J112">
        <f t="shared" si="77"/>
        <v>5</v>
      </c>
    </row>
    <row r="113" spans="1:10">
      <c r="A113" s="108">
        <f t="shared" si="102"/>
        <v>9617106</v>
      </c>
      <c r="B113" t="str">
        <f t="shared" ref="B113:C113" si="120">B94</f>
        <v>撩阴腿</v>
      </c>
      <c r="C113" t="str">
        <f t="shared" si="120"/>
        <v>对敌人的要害进行猛烈的踢技，伤害随技能等级提升。</v>
      </c>
      <c r="D113" s="39">
        <f>VLOOKUP(INT(A113/100)*100+1,CHOOSE({1,2},D_马仔表!$I$2:$I$20,D_马仔表!$D$2:$D$20),2,FALSE)</f>
        <v>1</v>
      </c>
      <c r="E113">
        <f t="shared" si="104"/>
        <v>6</v>
      </c>
      <c r="F113">
        <f t="shared" si="62"/>
        <v>2.5</v>
      </c>
      <c r="G113">
        <f t="shared" si="63"/>
        <v>3.6399999999999997</v>
      </c>
      <c r="H113" t="str">
        <f t="shared" si="105"/>
        <v>9609201.png</v>
      </c>
      <c r="I113" s="39">
        <v>0</v>
      </c>
      <c r="J113">
        <f t="shared" ref="J113:J115" si="121">MOD(A113,100)-1</f>
        <v>5</v>
      </c>
    </row>
    <row r="114" spans="1:10">
      <c r="A114" s="108">
        <f t="shared" si="102"/>
        <v>9618106</v>
      </c>
      <c r="B114" t="str">
        <f t="shared" ref="B114:C114" si="122">B95</f>
        <v>烈风腿</v>
      </c>
      <c r="C114" t="str">
        <f t="shared" si="122"/>
        <v>以迅捷的腿法将敌人踢飞的踢技，伤害随技能等级提升。</v>
      </c>
      <c r="D114" s="39">
        <f>VLOOKUP(INT(A114/100)*100+1,CHOOSE({1,2},D_马仔表!$I$2:$I$20,D_马仔表!$D$2:$D$20),2,FALSE)</f>
        <v>2</v>
      </c>
      <c r="E114">
        <f t="shared" si="104"/>
        <v>6</v>
      </c>
      <c r="F114">
        <f t="shared" si="62"/>
        <v>2.5</v>
      </c>
      <c r="G114">
        <f t="shared" si="63"/>
        <v>4.18</v>
      </c>
      <c r="H114" t="str">
        <f t="shared" si="105"/>
        <v>9601101.png</v>
      </c>
      <c r="I114" s="39">
        <v>0</v>
      </c>
      <c r="J114">
        <f t="shared" si="121"/>
        <v>5</v>
      </c>
    </row>
    <row r="115" spans="1:10">
      <c r="A115" s="108">
        <f t="shared" si="102"/>
        <v>9619106</v>
      </c>
      <c r="B115" t="str">
        <f t="shared" ref="B115:C115" si="123">B96</f>
        <v>黑虎出山</v>
      </c>
      <c r="C115" t="str">
        <f t="shared" si="123"/>
        <v>以极快的刀法刺穿眼前之敌的阴毒招式，伤害随技能等级提升。</v>
      </c>
      <c r="D115" s="39">
        <f>VLOOKUP(INT(A115/100)*100+1,CHOOSE({1,2},D_马仔表!$I$2:$I$20,D_马仔表!$D$2:$D$20),2,FALSE)</f>
        <v>2</v>
      </c>
      <c r="E115">
        <f t="shared" si="104"/>
        <v>6</v>
      </c>
      <c r="F115">
        <f t="shared" si="62"/>
        <v>2.5</v>
      </c>
      <c r="G115">
        <f t="shared" si="63"/>
        <v>4.18</v>
      </c>
      <c r="H115" t="str">
        <f t="shared" si="105"/>
        <v>9614101.png</v>
      </c>
      <c r="I115" s="39">
        <v>0</v>
      </c>
      <c r="J115">
        <f t="shared" si="121"/>
        <v>5</v>
      </c>
    </row>
    <row r="116" spans="1:10">
      <c r="A116">
        <f t="shared" si="102"/>
        <v>9601107</v>
      </c>
      <c r="B116" t="str">
        <f t="shared" ref="B116:C116" si="124">B97</f>
        <v>百裂踢</v>
      </c>
      <c r="C116" t="str">
        <f t="shared" si="124"/>
        <v>在短时间内向目标发起连续踢技让对手防不胜防，伤害随技能等级提升。</v>
      </c>
      <c r="D116" s="39">
        <f>VLOOKUP(INT(A116/100)*100+1,CHOOSE({1,2},D_马仔表!$I$2:$I$20,D_马仔表!$D$2:$D$20),2,FALSE)</f>
        <v>0</v>
      </c>
      <c r="E116">
        <f t="shared" si="104"/>
        <v>7</v>
      </c>
      <c r="F116">
        <f t="shared" si="62"/>
        <v>2.6</v>
      </c>
      <c r="G116">
        <f t="shared" si="63"/>
        <v>3.4000000000000004</v>
      </c>
      <c r="H116" t="str">
        <f t="shared" si="105"/>
        <v>9601101.png</v>
      </c>
      <c r="I116" s="39">
        <v>0</v>
      </c>
      <c r="J116">
        <f t="shared" si="77"/>
        <v>6</v>
      </c>
    </row>
    <row r="117" spans="1:10">
      <c r="A117">
        <f t="shared" si="102"/>
        <v>9602107</v>
      </c>
      <c r="B117" t="str">
        <f t="shared" ref="B117:C117" si="125">B98</f>
        <v>精密射击</v>
      </c>
      <c r="C117" t="str">
        <f t="shared" si="125"/>
        <v>以精密的射击技术对敌人的弱点发起连续射击，伤害随技能等级提升。</v>
      </c>
      <c r="D117" s="39">
        <f>VLOOKUP(INT(A117/100)*100+1,CHOOSE({1,2},D_马仔表!$I$2:$I$20,D_马仔表!$D$2:$D$20),2,FALSE)</f>
        <v>0</v>
      </c>
      <c r="E117">
        <f t="shared" si="104"/>
        <v>7</v>
      </c>
      <c r="F117">
        <f t="shared" si="62"/>
        <v>2.6</v>
      </c>
      <c r="G117">
        <f t="shared" si="63"/>
        <v>3.4000000000000004</v>
      </c>
      <c r="H117" t="str">
        <f t="shared" si="105"/>
        <v>9602101.png</v>
      </c>
      <c r="I117" s="39">
        <v>0</v>
      </c>
      <c r="J117">
        <f t="shared" si="77"/>
        <v>6</v>
      </c>
    </row>
    <row r="118" spans="1:10">
      <c r="A118">
        <f t="shared" si="102"/>
        <v>9603107</v>
      </c>
      <c r="B118" t="str">
        <f t="shared" ref="B118:C118" si="126">B99</f>
        <v>火焰龙卷棍</v>
      </c>
      <c r="C118" t="str">
        <f t="shared" si="126"/>
        <v>以高速挥舞的长棍摩擦空气产生的烈焰吞噬目标，伤害随技能等级提升。</v>
      </c>
      <c r="D118" s="39">
        <f>VLOOKUP(INT(A118/100)*100+1,CHOOSE({1,2},D_马仔表!$I$2:$I$20,D_马仔表!$D$2:$D$20),2,FALSE)</f>
        <v>0</v>
      </c>
      <c r="E118">
        <f t="shared" si="104"/>
        <v>7</v>
      </c>
      <c r="F118">
        <f t="shared" si="62"/>
        <v>2.6</v>
      </c>
      <c r="G118">
        <f t="shared" si="63"/>
        <v>3.4000000000000004</v>
      </c>
      <c r="H118" t="str">
        <f t="shared" si="105"/>
        <v>9603101.png</v>
      </c>
      <c r="I118" s="39">
        <v>0</v>
      </c>
      <c r="J118">
        <f t="shared" si="77"/>
        <v>6</v>
      </c>
    </row>
    <row r="119" spans="1:10">
      <c r="A119">
        <f t="shared" si="102"/>
        <v>9604107</v>
      </c>
      <c r="B119" t="str">
        <f t="shared" ref="B119:C119" si="127">B100</f>
        <v>致命突袭</v>
      </c>
      <c r="C119" t="str">
        <f t="shared" si="127"/>
        <v>以猛烈的拳法配合踢技终结目标，伤害随技能等级提升。</v>
      </c>
      <c r="D119" s="39">
        <f>VLOOKUP(INT(A119/100)*100+1,CHOOSE({1,2},D_马仔表!$I$2:$I$20,D_马仔表!$D$2:$D$20),2,FALSE)</f>
        <v>0</v>
      </c>
      <c r="E119">
        <f t="shared" si="104"/>
        <v>7</v>
      </c>
      <c r="F119">
        <f t="shared" si="62"/>
        <v>2.6</v>
      </c>
      <c r="G119">
        <f t="shared" si="63"/>
        <v>3.4000000000000004</v>
      </c>
      <c r="H119" t="str">
        <f t="shared" si="105"/>
        <v>9604101.png</v>
      </c>
      <c r="I119" s="39">
        <v>0</v>
      </c>
      <c r="J119">
        <f t="shared" si="77"/>
        <v>6</v>
      </c>
    </row>
    <row r="120" spans="1:10">
      <c r="A120">
        <f t="shared" si="102"/>
        <v>9605107</v>
      </c>
      <c r="B120" t="str">
        <f t="shared" ref="B120:C120" si="128">B101</f>
        <v>蛮牛冲撞</v>
      </c>
      <c r="C120" t="str">
        <f t="shared" si="128"/>
        <v>以蛮牛般的力量向前方突进，给予前方目标巨大伤害，伤害随技能等级提升。</v>
      </c>
      <c r="D120" s="39">
        <f>VLOOKUP(INT(A120/100)*100+1,CHOOSE({1,2},D_马仔表!$I$2:$I$20,D_马仔表!$D$2:$D$20),2,FALSE)</f>
        <v>0</v>
      </c>
      <c r="E120">
        <f t="shared" si="104"/>
        <v>7</v>
      </c>
      <c r="F120">
        <f t="shared" si="62"/>
        <v>2.6</v>
      </c>
      <c r="G120">
        <f t="shared" si="63"/>
        <v>3.4000000000000004</v>
      </c>
      <c r="H120" t="str">
        <f t="shared" si="105"/>
        <v>9605101.png</v>
      </c>
      <c r="I120" s="39">
        <v>0</v>
      </c>
      <c r="J120">
        <f t="shared" si="77"/>
        <v>6</v>
      </c>
    </row>
    <row r="121" spans="1:10">
      <c r="A121">
        <f t="shared" si="102"/>
        <v>9606107</v>
      </c>
      <c r="B121" t="str">
        <f t="shared" ref="B121:C121" si="129">B102</f>
        <v>烈风回旋击</v>
      </c>
      <c r="C121" t="str">
        <f t="shared" si="129"/>
        <v>以狂风般的速度发起的三连回旋击，伤害随技能等级提升。</v>
      </c>
      <c r="D121" s="39">
        <f>VLOOKUP(INT(A121/100)*100+1,CHOOSE({1,2},D_马仔表!$I$2:$I$20,D_马仔表!$D$2:$D$20),2,FALSE)</f>
        <v>1</v>
      </c>
      <c r="E121">
        <f t="shared" si="104"/>
        <v>7</v>
      </c>
      <c r="F121">
        <f t="shared" si="62"/>
        <v>2.6</v>
      </c>
      <c r="G121">
        <f t="shared" si="63"/>
        <v>4.03</v>
      </c>
      <c r="H121" t="str">
        <f t="shared" si="105"/>
        <v>9606101.png</v>
      </c>
      <c r="I121" s="39">
        <v>0</v>
      </c>
      <c r="J121">
        <f t="shared" si="77"/>
        <v>6</v>
      </c>
    </row>
    <row r="122" spans="1:10">
      <c r="A122">
        <f t="shared" si="102"/>
        <v>9607107</v>
      </c>
      <c r="B122" t="str">
        <f t="shared" ref="B122:C122" si="130">B103</f>
        <v>火力覆盖</v>
      </c>
      <c r="C122" t="str">
        <f t="shared" si="130"/>
        <v>用大口径机枪向目标发起疯狂的扫射，伤害随技能等级提升。</v>
      </c>
      <c r="D122" s="39">
        <f>VLOOKUP(INT(A122/100)*100+1,CHOOSE({1,2},D_马仔表!$I$2:$I$20,D_马仔表!$D$2:$D$20),2,FALSE)</f>
        <v>1</v>
      </c>
      <c r="E122">
        <f t="shared" si="104"/>
        <v>7</v>
      </c>
      <c r="F122">
        <f t="shared" si="62"/>
        <v>2.6</v>
      </c>
      <c r="G122">
        <f t="shared" si="63"/>
        <v>4.03</v>
      </c>
      <c r="H122" t="str">
        <f t="shared" si="105"/>
        <v>9607101.png</v>
      </c>
      <c r="I122" s="39">
        <v>0</v>
      </c>
      <c r="J122">
        <f t="shared" si="77"/>
        <v>6</v>
      </c>
    </row>
    <row r="123" spans="1:10">
      <c r="A123">
        <f t="shared" si="102"/>
        <v>9608107</v>
      </c>
      <c r="B123" t="str">
        <f t="shared" ref="B123:C123" si="131">B104</f>
        <v>猪突猛进</v>
      </c>
      <c r="C123" t="str">
        <f t="shared" si="131"/>
        <v>疯狂的向前方突进，将沿途的敌人统统击飞，伤害随技能等级提升。</v>
      </c>
      <c r="D123" s="39">
        <f>VLOOKUP(INT(A123/100)*100+1,CHOOSE({1,2},D_马仔表!$I$2:$I$20,D_马仔表!$D$2:$D$20),2,FALSE)</f>
        <v>1</v>
      </c>
      <c r="E123">
        <f t="shared" si="104"/>
        <v>7</v>
      </c>
      <c r="F123">
        <f t="shared" si="62"/>
        <v>2.6</v>
      </c>
      <c r="G123">
        <f t="shared" si="63"/>
        <v>4.03</v>
      </c>
      <c r="H123" t="str">
        <f t="shared" si="105"/>
        <v>9608101.png</v>
      </c>
      <c r="I123" s="39">
        <v>0</v>
      </c>
      <c r="J123">
        <f t="shared" si="77"/>
        <v>6</v>
      </c>
    </row>
    <row r="124" spans="1:10">
      <c r="A124">
        <f t="shared" si="102"/>
        <v>9609107</v>
      </c>
      <c r="B124" t="str">
        <f t="shared" ref="B124:C124" si="132">B105</f>
        <v>毁灭漩涡</v>
      </c>
      <c r="C124" t="str">
        <f t="shared" si="132"/>
        <v>快速旋转自身，将沿途目标无情撕碎的恐怖招式，伤害随技能等级提升。</v>
      </c>
      <c r="D124" s="39">
        <f>VLOOKUP(INT(A124/100)*100+1,CHOOSE({1,2},D_马仔表!$I$2:$I$20,D_马仔表!$D$2:$D$20),2,FALSE)</f>
        <v>2</v>
      </c>
      <c r="E124">
        <f t="shared" si="104"/>
        <v>7</v>
      </c>
      <c r="F124">
        <f t="shared" si="62"/>
        <v>2.6</v>
      </c>
      <c r="G124">
        <f t="shared" si="63"/>
        <v>4.66</v>
      </c>
      <c r="H124" t="str">
        <f t="shared" si="105"/>
        <v>9609101.png</v>
      </c>
      <c r="I124" s="39">
        <v>0</v>
      </c>
      <c r="J124">
        <f t="shared" si="77"/>
        <v>6</v>
      </c>
    </row>
    <row r="125" spans="1:10">
      <c r="A125">
        <f t="shared" si="102"/>
        <v>9610107</v>
      </c>
      <c r="B125" t="str">
        <f t="shared" ref="B125:C125" si="133">B106</f>
        <v>死亡切割</v>
      </c>
      <c r="C125" t="str">
        <f t="shared" si="133"/>
        <v>将目标踢至空中切割的锐利踢技，伤害随技能等级提升。</v>
      </c>
      <c r="D125" s="39">
        <f>VLOOKUP(INT(A125/100)*100+1,CHOOSE({1,2},D_马仔表!$I$2:$I$20,D_马仔表!$D$2:$D$20),2,FALSE)</f>
        <v>2</v>
      </c>
      <c r="E125">
        <f t="shared" si="104"/>
        <v>7</v>
      </c>
      <c r="F125">
        <f t="shared" si="62"/>
        <v>2.6</v>
      </c>
      <c r="G125">
        <f t="shared" si="63"/>
        <v>4.66</v>
      </c>
      <c r="H125" t="str">
        <f t="shared" si="105"/>
        <v>9610101.png</v>
      </c>
      <c r="I125" s="39">
        <v>0</v>
      </c>
      <c r="J125">
        <f t="shared" si="77"/>
        <v>6</v>
      </c>
    </row>
    <row r="126" spans="1:10">
      <c r="A126">
        <f t="shared" si="102"/>
        <v>9611107</v>
      </c>
      <c r="B126" t="str">
        <f t="shared" ref="B126:C126" si="134">B107</f>
        <v>幻影闪现</v>
      </c>
      <c r="C126" t="str">
        <f t="shared" si="134"/>
        <v>将周围敌人以高速飞舞的纸牌切开，伤害随技能等级提升。</v>
      </c>
      <c r="D126" s="39">
        <f>VLOOKUP(INT(A126/100)*100+1,CHOOSE({1,2},D_马仔表!$I$2:$I$20,D_马仔表!$D$2:$D$20),2,FALSE)</f>
        <v>2</v>
      </c>
      <c r="E126">
        <f t="shared" si="104"/>
        <v>7</v>
      </c>
      <c r="F126">
        <f t="shared" si="62"/>
        <v>2.6</v>
      </c>
      <c r="G126">
        <f t="shared" si="63"/>
        <v>4.66</v>
      </c>
      <c r="H126" t="str">
        <f t="shared" si="105"/>
        <v>9611101.png</v>
      </c>
      <c r="I126" s="39">
        <v>0</v>
      </c>
      <c r="J126">
        <f t="shared" si="77"/>
        <v>6</v>
      </c>
    </row>
    <row r="127" spans="1:10">
      <c r="A127">
        <f t="shared" si="102"/>
        <v>9612107</v>
      </c>
      <c r="B127" t="str">
        <f t="shared" ref="B127:C127" si="135">B108</f>
        <v>圆月斩</v>
      </c>
      <c r="C127" t="str">
        <f t="shared" si="135"/>
        <v>划出圆月般的剑气重创周围敌人，伤害随技能等级提升。</v>
      </c>
      <c r="D127" s="39">
        <f>VLOOKUP(INT(A127/100)*100+1,CHOOSE({1,2},D_马仔表!$I$2:$I$20,D_马仔表!$D$2:$D$20),2,FALSE)</f>
        <v>2</v>
      </c>
      <c r="E127">
        <f t="shared" si="104"/>
        <v>7</v>
      </c>
      <c r="F127">
        <f t="shared" si="62"/>
        <v>2.6</v>
      </c>
      <c r="G127">
        <f t="shared" si="63"/>
        <v>4.66</v>
      </c>
      <c r="H127" t="str">
        <f t="shared" si="105"/>
        <v>9612101.png</v>
      </c>
      <c r="I127" s="39">
        <v>0</v>
      </c>
      <c r="J127">
        <f t="shared" si="77"/>
        <v>6</v>
      </c>
    </row>
    <row r="128" spans="1:10">
      <c r="A128">
        <f t="shared" si="102"/>
        <v>9613107</v>
      </c>
      <c r="B128" t="str">
        <f t="shared" ref="B128:C128" si="136">B109</f>
        <v>奥义天狗抄</v>
      </c>
      <c r="C128" t="str">
        <f t="shared" si="136"/>
        <v>杀手首领家族代代相传的剑术奥义，伤害随技能等级提升。</v>
      </c>
      <c r="D128" s="39">
        <f>VLOOKUP(INT(A128/100)*100+1,CHOOSE({1,2},D_马仔表!$I$2:$I$20,D_马仔表!$D$2:$D$20),2,FALSE)</f>
        <v>2</v>
      </c>
      <c r="E128">
        <f t="shared" si="104"/>
        <v>7</v>
      </c>
      <c r="F128">
        <f t="shared" si="62"/>
        <v>2.6</v>
      </c>
      <c r="G128">
        <f t="shared" si="63"/>
        <v>4.66</v>
      </c>
      <c r="H128" t="str">
        <f t="shared" si="105"/>
        <v>9613101.png</v>
      </c>
      <c r="I128" s="39">
        <v>0</v>
      </c>
      <c r="J128">
        <f t="shared" si="77"/>
        <v>6</v>
      </c>
    </row>
    <row r="129" spans="1:10">
      <c r="A129">
        <f t="shared" si="102"/>
        <v>9614107</v>
      </c>
      <c r="B129" t="str">
        <f t="shared" ref="B129:C129" si="137">B110</f>
        <v>风神斩</v>
      </c>
      <c r="C129" t="str">
        <f t="shared" si="137"/>
        <v>以极快的凌厉斩击将周围的敌人斩落的高超刀法，伤害随技能等级提升。</v>
      </c>
      <c r="D129" s="39">
        <f>VLOOKUP(INT(A129/100)*100+1,CHOOSE({1,2},D_马仔表!$I$2:$I$20,D_马仔表!$D$2:$D$20),2,FALSE)</f>
        <v>3</v>
      </c>
      <c r="E129">
        <f t="shared" si="104"/>
        <v>7</v>
      </c>
      <c r="F129">
        <f t="shared" si="62"/>
        <v>2.6</v>
      </c>
      <c r="G129">
        <f t="shared" si="63"/>
        <v>5.29</v>
      </c>
      <c r="H129" t="str">
        <f t="shared" si="105"/>
        <v>9614101.png</v>
      </c>
      <c r="I129" s="39">
        <v>0</v>
      </c>
      <c r="J129">
        <f t="shared" si="77"/>
        <v>6</v>
      </c>
    </row>
    <row r="130" spans="1:10">
      <c r="A130">
        <f t="shared" ref="A130:A161" si="138">A111+1</f>
        <v>9615107</v>
      </c>
      <c r="B130" t="str">
        <f t="shared" ref="B130:C130" si="139">B111</f>
        <v>暴虐狂袭</v>
      </c>
      <c r="C130" t="str">
        <f t="shared" si="139"/>
        <v>以锐利的撬棍将敌人挑起的棍法，伤害随技能等级提升。</v>
      </c>
      <c r="D130" s="39">
        <f>VLOOKUP(INT(A130/100)*100+1,CHOOSE({1,2},D_马仔表!$I$2:$I$20,D_马仔表!$D$2:$D$20),2,FALSE)</f>
        <v>3</v>
      </c>
      <c r="E130">
        <f t="shared" ref="E130:E161" si="140">E111+1</f>
        <v>7</v>
      </c>
      <c r="F130">
        <f t="shared" si="62"/>
        <v>2.6</v>
      </c>
      <c r="G130">
        <f t="shared" si="63"/>
        <v>5.29</v>
      </c>
      <c r="H130" t="str">
        <f t="shared" ref="H130:H161" si="141">H111</f>
        <v>9615101.png</v>
      </c>
      <c r="I130" s="39">
        <v>0</v>
      </c>
      <c r="J130">
        <f t="shared" si="77"/>
        <v>6</v>
      </c>
    </row>
    <row r="131" spans="1:10">
      <c r="A131">
        <f t="shared" si="138"/>
        <v>9616107</v>
      </c>
      <c r="B131" t="str">
        <f t="shared" ref="B131:C131" si="142">B112</f>
        <v>狂狮乱舞</v>
      </c>
      <c r="C131" t="str">
        <f t="shared" si="142"/>
        <v>以极快的速度挥舞双节棍，给予前方目标沉重打击，伤害随技能等级提升。</v>
      </c>
      <c r="D131" s="39">
        <f>VLOOKUP(INT(A131/100)*100+1,CHOOSE({1,2},D_马仔表!$I$2:$I$20,D_马仔表!$D$2:$D$20),2,FALSE)</f>
        <v>3</v>
      </c>
      <c r="E131">
        <f t="shared" si="140"/>
        <v>7</v>
      </c>
      <c r="F131">
        <f t="shared" ref="F131:F194" si="143">1.9+E131*0.1</f>
        <v>2.6</v>
      </c>
      <c r="G131">
        <f t="shared" ref="G131:G194" si="144">1.3+E131*0.3*(D131*0.3+1)</f>
        <v>5.29</v>
      </c>
      <c r="H131" t="str">
        <f t="shared" si="141"/>
        <v>9616101.png</v>
      </c>
      <c r="I131" s="39">
        <v>0</v>
      </c>
      <c r="J131">
        <f t="shared" si="77"/>
        <v>6</v>
      </c>
    </row>
    <row r="132" spans="1:10">
      <c r="A132" s="108">
        <f t="shared" si="138"/>
        <v>9617107</v>
      </c>
      <c r="B132" t="str">
        <f t="shared" ref="B132:C132" si="145">B113</f>
        <v>撩阴腿</v>
      </c>
      <c r="C132" t="str">
        <f t="shared" si="145"/>
        <v>对敌人的要害进行猛烈的踢技，伤害随技能等级提升。</v>
      </c>
      <c r="D132" s="39">
        <f>VLOOKUP(INT(A132/100)*100+1,CHOOSE({1,2},D_马仔表!$I$2:$I$20,D_马仔表!$D$2:$D$20),2,FALSE)</f>
        <v>1</v>
      </c>
      <c r="E132">
        <f t="shared" si="140"/>
        <v>7</v>
      </c>
      <c r="F132">
        <f t="shared" si="143"/>
        <v>2.6</v>
      </c>
      <c r="G132">
        <f t="shared" si="144"/>
        <v>4.03</v>
      </c>
      <c r="H132" t="str">
        <f t="shared" si="141"/>
        <v>9609201.png</v>
      </c>
      <c r="I132" s="39">
        <v>0</v>
      </c>
      <c r="J132">
        <f t="shared" ref="J132:J134" si="146">MOD(A132,100)-1</f>
        <v>6</v>
      </c>
    </row>
    <row r="133" spans="1:10">
      <c r="A133" s="108">
        <f t="shared" si="138"/>
        <v>9618107</v>
      </c>
      <c r="B133" t="str">
        <f t="shared" ref="B133:C133" si="147">B114</f>
        <v>烈风腿</v>
      </c>
      <c r="C133" t="str">
        <f t="shared" si="147"/>
        <v>以迅捷的腿法将敌人踢飞的踢技，伤害随技能等级提升。</v>
      </c>
      <c r="D133" s="39">
        <f>VLOOKUP(INT(A133/100)*100+1,CHOOSE({1,2},D_马仔表!$I$2:$I$20,D_马仔表!$D$2:$D$20),2,FALSE)</f>
        <v>2</v>
      </c>
      <c r="E133">
        <f t="shared" si="140"/>
        <v>7</v>
      </c>
      <c r="F133">
        <f t="shared" si="143"/>
        <v>2.6</v>
      </c>
      <c r="G133">
        <f t="shared" si="144"/>
        <v>4.66</v>
      </c>
      <c r="H133" t="str">
        <f t="shared" si="141"/>
        <v>9601101.png</v>
      </c>
      <c r="I133" s="39">
        <v>0</v>
      </c>
      <c r="J133">
        <f t="shared" si="146"/>
        <v>6</v>
      </c>
    </row>
    <row r="134" spans="1:10">
      <c r="A134" s="108">
        <f t="shared" si="138"/>
        <v>9619107</v>
      </c>
      <c r="B134" t="str">
        <f t="shared" ref="B134:C134" si="148">B115</f>
        <v>黑虎出山</v>
      </c>
      <c r="C134" t="str">
        <f t="shared" si="148"/>
        <v>以极快的刀法刺穿眼前之敌的阴毒招式，伤害随技能等级提升。</v>
      </c>
      <c r="D134" s="39">
        <f>VLOOKUP(INT(A134/100)*100+1,CHOOSE({1,2},D_马仔表!$I$2:$I$20,D_马仔表!$D$2:$D$20),2,FALSE)</f>
        <v>2</v>
      </c>
      <c r="E134">
        <f t="shared" si="140"/>
        <v>7</v>
      </c>
      <c r="F134">
        <f t="shared" si="143"/>
        <v>2.6</v>
      </c>
      <c r="G134">
        <f t="shared" si="144"/>
        <v>4.66</v>
      </c>
      <c r="H134" t="str">
        <f t="shared" si="141"/>
        <v>9614101.png</v>
      </c>
      <c r="I134" s="39">
        <v>0</v>
      </c>
      <c r="J134">
        <f t="shared" si="146"/>
        <v>6</v>
      </c>
    </row>
    <row r="135" spans="1:10">
      <c r="A135">
        <f t="shared" si="138"/>
        <v>9601108</v>
      </c>
      <c r="B135" t="str">
        <f t="shared" ref="B135:C135" si="149">B116</f>
        <v>百裂踢</v>
      </c>
      <c r="C135" t="str">
        <f t="shared" si="149"/>
        <v>在短时间内向目标发起连续踢技让对手防不胜防，伤害随技能等级提升。</v>
      </c>
      <c r="D135" s="39">
        <f>VLOOKUP(INT(A135/100)*100+1,CHOOSE({1,2},D_马仔表!$I$2:$I$20,D_马仔表!$D$2:$D$20),2,FALSE)</f>
        <v>0</v>
      </c>
      <c r="E135">
        <f t="shared" si="140"/>
        <v>8</v>
      </c>
      <c r="F135">
        <f t="shared" si="143"/>
        <v>2.7</v>
      </c>
      <c r="G135">
        <f t="shared" si="144"/>
        <v>3.7</v>
      </c>
      <c r="H135" t="str">
        <f t="shared" si="141"/>
        <v>9601101.png</v>
      </c>
      <c r="I135" s="39">
        <v>0</v>
      </c>
      <c r="J135">
        <f t="shared" si="77"/>
        <v>7</v>
      </c>
    </row>
    <row r="136" spans="1:10">
      <c r="A136">
        <f t="shared" si="138"/>
        <v>9602108</v>
      </c>
      <c r="B136" t="str">
        <f t="shared" ref="B136:C136" si="150">B117</f>
        <v>精密射击</v>
      </c>
      <c r="C136" t="str">
        <f t="shared" si="150"/>
        <v>以精密的射击技术对敌人的弱点发起连续射击，伤害随技能等级提升。</v>
      </c>
      <c r="D136" s="39">
        <f>VLOOKUP(INT(A136/100)*100+1,CHOOSE({1,2},D_马仔表!$I$2:$I$20,D_马仔表!$D$2:$D$20),2,FALSE)</f>
        <v>0</v>
      </c>
      <c r="E136">
        <f t="shared" si="140"/>
        <v>8</v>
      </c>
      <c r="F136">
        <f t="shared" si="143"/>
        <v>2.7</v>
      </c>
      <c r="G136">
        <f t="shared" si="144"/>
        <v>3.7</v>
      </c>
      <c r="H136" t="str">
        <f t="shared" si="141"/>
        <v>9602101.png</v>
      </c>
      <c r="I136" s="39">
        <v>0</v>
      </c>
      <c r="J136">
        <f t="shared" si="77"/>
        <v>7</v>
      </c>
    </row>
    <row r="137" spans="1:10">
      <c r="A137">
        <f t="shared" si="138"/>
        <v>9603108</v>
      </c>
      <c r="B137" t="str">
        <f t="shared" ref="B137:C137" si="151">B118</f>
        <v>火焰龙卷棍</v>
      </c>
      <c r="C137" t="str">
        <f t="shared" si="151"/>
        <v>以高速挥舞的长棍摩擦空气产生的烈焰吞噬目标，伤害随技能等级提升。</v>
      </c>
      <c r="D137" s="39">
        <f>VLOOKUP(INT(A137/100)*100+1,CHOOSE({1,2},D_马仔表!$I$2:$I$20,D_马仔表!$D$2:$D$20),2,FALSE)</f>
        <v>0</v>
      </c>
      <c r="E137">
        <f t="shared" si="140"/>
        <v>8</v>
      </c>
      <c r="F137">
        <f t="shared" si="143"/>
        <v>2.7</v>
      </c>
      <c r="G137">
        <f t="shared" si="144"/>
        <v>3.7</v>
      </c>
      <c r="H137" t="str">
        <f t="shared" si="141"/>
        <v>9603101.png</v>
      </c>
      <c r="I137" s="39">
        <v>0</v>
      </c>
      <c r="J137">
        <f t="shared" si="77"/>
        <v>7</v>
      </c>
    </row>
    <row r="138" spans="1:10">
      <c r="A138">
        <f t="shared" si="138"/>
        <v>9604108</v>
      </c>
      <c r="B138" t="str">
        <f t="shared" ref="B138:C138" si="152">B119</f>
        <v>致命突袭</v>
      </c>
      <c r="C138" t="str">
        <f t="shared" si="152"/>
        <v>以猛烈的拳法配合踢技终结目标，伤害随技能等级提升。</v>
      </c>
      <c r="D138" s="39">
        <f>VLOOKUP(INT(A138/100)*100+1,CHOOSE({1,2},D_马仔表!$I$2:$I$20,D_马仔表!$D$2:$D$20),2,FALSE)</f>
        <v>0</v>
      </c>
      <c r="E138">
        <f t="shared" si="140"/>
        <v>8</v>
      </c>
      <c r="F138">
        <f t="shared" si="143"/>
        <v>2.7</v>
      </c>
      <c r="G138">
        <f t="shared" si="144"/>
        <v>3.7</v>
      </c>
      <c r="H138" t="str">
        <f t="shared" si="141"/>
        <v>9604101.png</v>
      </c>
      <c r="I138" s="39">
        <v>0</v>
      </c>
      <c r="J138">
        <f t="shared" si="77"/>
        <v>7</v>
      </c>
    </row>
    <row r="139" spans="1:10">
      <c r="A139">
        <f t="shared" si="138"/>
        <v>9605108</v>
      </c>
      <c r="B139" t="str">
        <f t="shared" ref="B139:C139" si="153">B120</f>
        <v>蛮牛冲撞</v>
      </c>
      <c r="C139" t="str">
        <f t="shared" si="153"/>
        <v>以蛮牛般的力量向前方突进，给予前方目标巨大伤害，伤害随技能等级提升。</v>
      </c>
      <c r="D139" s="39">
        <f>VLOOKUP(INT(A139/100)*100+1,CHOOSE({1,2},D_马仔表!$I$2:$I$20,D_马仔表!$D$2:$D$20),2,FALSE)</f>
        <v>0</v>
      </c>
      <c r="E139">
        <f t="shared" si="140"/>
        <v>8</v>
      </c>
      <c r="F139">
        <f t="shared" si="143"/>
        <v>2.7</v>
      </c>
      <c r="G139">
        <f t="shared" si="144"/>
        <v>3.7</v>
      </c>
      <c r="H139" t="str">
        <f t="shared" si="141"/>
        <v>9605101.png</v>
      </c>
      <c r="I139" s="39">
        <v>0</v>
      </c>
      <c r="J139">
        <f t="shared" si="77"/>
        <v>7</v>
      </c>
    </row>
    <row r="140" spans="1:10">
      <c r="A140">
        <f t="shared" si="138"/>
        <v>9606108</v>
      </c>
      <c r="B140" t="str">
        <f t="shared" ref="B140:C140" si="154">B121</f>
        <v>烈风回旋击</v>
      </c>
      <c r="C140" t="str">
        <f t="shared" si="154"/>
        <v>以狂风般的速度发起的三连回旋击，伤害随技能等级提升。</v>
      </c>
      <c r="D140" s="39">
        <f>VLOOKUP(INT(A140/100)*100+1,CHOOSE({1,2},D_马仔表!$I$2:$I$20,D_马仔表!$D$2:$D$20),2,FALSE)</f>
        <v>1</v>
      </c>
      <c r="E140">
        <f t="shared" si="140"/>
        <v>8</v>
      </c>
      <c r="F140">
        <f t="shared" si="143"/>
        <v>2.7</v>
      </c>
      <c r="G140">
        <f t="shared" si="144"/>
        <v>4.42</v>
      </c>
      <c r="H140" t="str">
        <f t="shared" si="141"/>
        <v>9606101.png</v>
      </c>
      <c r="I140" s="39">
        <v>0</v>
      </c>
      <c r="J140">
        <f t="shared" si="77"/>
        <v>7</v>
      </c>
    </row>
    <row r="141" spans="1:10">
      <c r="A141">
        <f t="shared" si="138"/>
        <v>9607108</v>
      </c>
      <c r="B141" t="str">
        <f t="shared" ref="B141:C141" si="155">B122</f>
        <v>火力覆盖</v>
      </c>
      <c r="C141" t="str">
        <f t="shared" si="155"/>
        <v>用大口径机枪向目标发起疯狂的扫射，伤害随技能等级提升。</v>
      </c>
      <c r="D141" s="39">
        <f>VLOOKUP(INT(A141/100)*100+1,CHOOSE({1,2},D_马仔表!$I$2:$I$20,D_马仔表!$D$2:$D$20),2,FALSE)</f>
        <v>1</v>
      </c>
      <c r="E141">
        <f t="shared" si="140"/>
        <v>8</v>
      </c>
      <c r="F141">
        <f t="shared" si="143"/>
        <v>2.7</v>
      </c>
      <c r="G141">
        <f t="shared" si="144"/>
        <v>4.42</v>
      </c>
      <c r="H141" t="str">
        <f t="shared" si="141"/>
        <v>9607101.png</v>
      </c>
      <c r="I141" s="39">
        <v>0</v>
      </c>
      <c r="J141">
        <f t="shared" si="77"/>
        <v>7</v>
      </c>
    </row>
    <row r="142" spans="1:10">
      <c r="A142">
        <f t="shared" si="138"/>
        <v>9608108</v>
      </c>
      <c r="B142" t="str">
        <f t="shared" ref="B142:C142" si="156">B123</f>
        <v>猪突猛进</v>
      </c>
      <c r="C142" t="str">
        <f t="shared" si="156"/>
        <v>疯狂的向前方突进，将沿途的敌人统统击飞，伤害随技能等级提升。</v>
      </c>
      <c r="D142" s="39">
        <f>VLOOKUP(INT(A142/100)*100+1,CHOOSE({1,2},D_马仔表!$I$2:$I$20,D_马仔表!$D$2:$D$20),2,FALSE)</f>
        <v>1</v>
      </c>
      <c r="E142">
        <f t="shared" si="140"/>
        <v>8</v>
      </c>
      <c r="F142">
        <f t="shared" si="143"/>
        <v>2.7</v>
      </c>
      <c r="G142">
        <f t="shared" si="144"/>
        <v>4.42</v>
      </c>
      <c r="H142" t="str">
        <f t="shared" si="141"/>
        <v>9608101.png</v>
      </c>
      <c r="I142" s="39">
        <v>0</v>
      </c>
      <c r="J142">
        <f t="shared" si="77"/>
        <v>7</v>
      </c>
    </row>
    <row r="143" spans="1:10">
      <c r="A143">
        <f t="shared" si="138"/>
        <v>9609108</v>
      </c>
      <c r="B143" t="str">
        <f t="shared" ref="B143:C143" si="157">B124</f>
        <v>毁灭漩涡</v>
      </c>
      <c r="C143" t="str">
        <f t="shared" si="157"/>
        <v>快速旋转自身，将沿途目标无情撕碎的恐怖招式，伤害随技能等级提升。</v>
      </c>
      <c r="D143" s="39">
        <f>VLOOKUP(INT(A143/100)*100+1,CHOOSE({1,2},D_马仔表!$I$2:$I$20,D_马仔表!$D$2:$D$20),2,FALSE)</f>
        <v>2</v>
      </c>
      <c r="E143">
        <f t="shared" si="140"/>
        <v>8</v>
      </c>
      <c r="F143">
        <f t="shared" si="143"/>
        <v>2.7</v>
      </c>
      <c r="G143">
        <f t="shared" si="144"/>
        <v>5.14</v>
      </c>
      <c r="H143" t="str">
        <f t="shared" si="141"/>
        <v>9609101.png</v>
      </c>
      <c r="I143" s="39">
        <v>0</v>
      </c>
      <c r="J143">
        <f t="shared" si="77"/>
        <v>7</v>
      </c>
    </row>
    <row r="144" spans="1:10">
      <c r="A144">
        <f t="shared" si="138"/>
        <v>9610108</v>
      </c>
      <c r="B144" t="str">
        <f t="shared" ref="B144:C144" si="158">B125</f>
        <v>死亡切割</v>
      </c>
      <c r="C144" t="str">
        <f t="shared" si="158"/>
        <v>将目标踢至空中切割的锐利踢技，伤害随技能等级提升。</v>
      </c>
      <c r="D144" s="39">
        <f>VLOOKUP(INT(A144/100)*100+1,CHOOSE({1,2},D_马仔表!$I$2:$I$20,D_马仔表!$D$2:$D$20),2,FALSE)</f>
        <v>2</v>
      </c>
      <c r="E144">
        <f t="shared" si="140"/>
        <v>8</v>
      </c>
      <c r="F144">
        <f t="shared" si="143"/>
        <v>2.7</v>
      </c>
      <c r="G144">
        <f t="shared" si="144"/>
        <v>5.14</v>
      </c>
      <c r="H144" t="str">
        <f t="shared" si="141"/>
        <v>9610101.png</v>
      </c>
      <c r="I144" s="39">
        <v>0</v>
      </c>
      <c r="J144">
        <f t="shared" si="77"/>
        <v>7</v>
      </c>
    </row>
    <row r="145" spans="1:10">
      <c r="A145">
        <f t="shared" si="138"/>
        <v>9611108</v>
      </c>
      <c r="B145" t="str">
        <f t="shared" ref="B145:C145" si="159">B126</f>
        <v>幻影闪现</v>
      </c>
      <c r="C145" t="str">
        <f t="shared" si="159"/>
        <v>将周围敌人以高速飞舞的纸牌切开，伤害随技能等级提升。</v>
      </c>
      <c r="D145" s="39">
        <f>VLOOKUP(INT(A145/100)*100+1,CHOOSE({1,2},D_马仔表!$I$2:$I$20,D_马仔表!$D$2:$D$20),2,FALSE)</f>
        <v>2</v>
      </c>
      <c r="E145">
        <f t="shared" si="140"/>
        <v>8</v>
      </c>
      <c r="F145">
        <f t="shared" si="143"/>
        <v>2.7</v>
      </c>
      <c r="G145">
        <f t="shared" si="144"/>
        <v>5.14</v>
      </c>
      <c r="H145" t="str">
        <f t="shared" si="141"/>
        <v>9611101.png</v>
      </c>
      <c r="I145" s="39">
        <v>0</v>
      </c>
      <c r="J145">
        <f t="shared" si="77"/>
        <v>7</v>
      </c>
    </row>
    <row r="146" spans="1:10">
      <c r="A146">
        <f t="shared" si="138"/>
        <v>9612108</v>
      </c>
      <c r="B146" t="str">
        <f t="shared" ref="B146:C146" si="160">B127</f>
        <v>圆月斩</v>
      </c>
      <c r="C146" t="str">
        <f t="shared" si="160"/>
        <v>划出圆月般的剑气重创周围敌人，伤害随技能等级提升。</v>
      </c>
      <c r="D146" s="39">
        <f>VLOOKUP(INT(A146/100)*100+1,CHOOSE({1,2},D_马仔表!$I$2:$I$20,D_马仔表!$D$2:$D$20),2,FALSE)</f>
        <v>2</v>
      </c>
      <c r="E146">
        <f t="shared" si="140"/>
        <v>8</v>
      </c>
      <c r="F146">
        <f t="shared" si="143"/>
        <v>2.7</v>
      </c>
      <c r="G146">
        <f t="shared" si="144"/>
        <v>5.14</v>
      </c>
      <c r="H146" t="str">
        <f t="shared" si="141"/>
        <v>9612101.png</v>
      </c>
      <c r="I146" s="39">
        <v>0</v>
      </c>
      <c r="J146">
        <f t="shared" si="77"/>
        <v>7</v>
      </c>
    </row>
    <row r="147" spans="1:10">
      <c r="A147">
        <f t="shared" si="138"/>
        <v>9613108</v>
      </c>
      <c r="B147" t="str">
        <f t="shared" ref="B147:C147" si="161">B128</f>
        <v>奥义天狗抄</v>
      </c>
      <c r="C147" t="str">
        <f t="shared" si="161"/>
        <v>杀手首领家族代代相传的剑术奥义，伤害随技能等级提升。</v>
      </c>
      <c r="D147" s="39">
        <f>VLOOKUP(INT(A147/100)*100+1,CHOOSE({1,2},D_马仔表!$I$2:$I$20,D_马仔表!$D$2:$D$20),2,FALSE)</f>
        <v>2</v>
      </c>
      <c r="E147">
        <f t="shared" si="140"/>
        <v>8</v>
      </c>
      <c r="F147">
        <f t="shared" si="143"/>
        <v>2.7</v>
      </c>
      <c r="G147">
        <f t="shared" si="144"/>
        <v>5.14</v>
      </c>
      <c r="H147" t="str">
        <f t="shared" si="141"/>
        <v>9613101.png</v>
      </c>
      <c r="I147" s="39">
        <v>0</v>
      </c>
      <c r="J147">
        <f t="shared" si="77"/>
        <v>7</v>
      </c>
    </row>
    <row r="148" spans="1:10">
      <c r="A148">
        <f t="shared" si="138"/>
        <v>9614108</v>
      </c>
      <c r="B148" t="str">
        <f t="shared" ref="B148:C148" si="162">B129</f>
        <v>风神斩</v>
      </c>
      <c r="C148" t="str">
        <f t="shared" si="162"/>
        <v>以极快的凌厉斩击将周围的敌人斩落的高超刀法，伤害随技能等级提升。</v>
      </c>
      <c r="D148" s="39">
        <f>VLOOKUP(INT(A148/100)*100+1,CHOOSE({1,2},D_马仔表!$I$2:$I$20,D_马仔表!$D$2:$D$20),2,FALSE)</f>
        <v>3</v>
      </c>
      <c r="E148">
        <f t="shared" si="140"/>
        <v>8</v>
      </c>
      <c r="F148">
        <f t="shared" si="143"/>
        <v>2.7</v>
      </c>
      <c r="G148">
        <f t="shared" si="144"/>
        <v>5.8599999999999994</v>
      </c>
      <c r="H148" t="str">
        <f t="shared" si="141"/>
        <v>9614101.png</v>
      </c>
      <c r="I148" s="39">
        <v>0</v>
      </c>
      <c r="J148">
        <f t="shared" si="77"/>
        <v>7</v>
      </c>
    </row>
    <row r="149" spans="1:10">
      <c r="A149">
        <f t="shared" si="138"/>
        <v>9615108</v>
      </c>
      <c r="B149" t="str">
        <f t="shared" ref="B149:C149" si="163">B130</f>
        <v>暴虐狂袭</v>
      </c>
      <c r="C149" t="str">
        <f t="shared" si="163"/>
        <v>以锐利的撬棍将敌人挑起的棍法，伤害随技能等级提升。</v>
      </c>
      <c r="D149" s="39">
        <f>VLOOKUP(INT(A149/100)*100+1,CHOOSE({1,2},D_马仔表!$I$2:$I$20,D_马仔表!$D$2:$D$20),2,FALSE)</f>
        <v>3</v>
      </c>
      <c r="E149">
        <f t="shared" si="140"/>
        <v>8</v>
      </c>
      <c r="F149">
        <f t="shared" si="143"/>
        <v>2.7</v>
      </c>
      <c r="G149">
        <f t="shared" si="144"/>
        <v>5.8599999999999994</v>
      </c>
      <c r="H149" t="str">
        <f t="shared" si="141"/>
        <v>9615101.png</v>
      </c>
      <c r="I149" s="39">
        <v>0</v>
      </c>
      <c r="J149">
        <f t="shared" si="77"/>
        <v>7</v>
      </c>
    </row>
    <row r="150" spans="1:10">
      <c r="A150">
        <f t="shared" si="138"/>
        <v>9616108</v>
      </c>
      <c r="B150" t="str">
        <f t="shared" ref="B150:C150" si="164">B131</f>
        <v>狂狮乱舞</v>
      </c>
      <c r="C150" t="str">
        <f t="shared" si="164"/>
        <v>以极快的速度挥舞双节棍，给予前方目标沉重打击，伤害随技能等级提升。</v>
      </c>
      <c r="D150" s="39">
        <f>VLOOKUP(INT(A150/100)*100+1,CHOOSE({1,2},D_马仔表!$I$2:$I$20,D_马仔表!$D$2:$D$20),2,FALSE)</f>
        <v>3</v>
      </c>
      <c r="E150">
        <f t="shared" si="140"/>
        <v>8</v>
      </c>
      <c r="F150">
        <f t="shared" si="143"/>
        <v>2.7</v>
      </c>
      <c r="G150">
        <f t="shared" si="144"/>
        <v>5.8599999999999994</v>
      </c>
      <c r="H150" t="str">
        <f t="shared" si="141"/>
        <v>9616101.png</v>
      </c>
      <c r="I150" s="39">
        <v>0</v>
      </c>
      <c r="J150">
        <f t="shared" si="77"/>
        <v>7</v>
      </c>
    </row>
    <row r="151" spans="1:10">
      <c r="A151" s="108">
        <f t="shared" si="138"/>
        <v>9617108</v>
      </c>
      <c r="B151" t="str">
        <f t="shared" ref="B151:C151" si="165">B132</f>
        <v>撩阴腿</v>
      </c>
      <c r="C151" t="str">
        <f t="shared" si="165"/>
        <v>对敌人的要害进行猛烈的踢技，伤害随技能等级提升。</v>
      </c>
      <c r="D151" s="39">
        <f>VLOOKUP(INT(A151/100)*100+1,CHOOSE({1,2},D_马仔表!$I$2:$I$20,D_马仔表!$D$2:$D$20),2,FALSE)</f>
        <v>1</v>
      </c>
      <c r="E151">
        <f t="shared" si="140"/>
        <v>8</v>
      </c>
      <c r="F151">
        <f t="shared" si="143"/>
        <v>2.7</v>
      </c>
      <c r="G151">
        <f t="shared" si="144"/>
        <v>4.42</v>
      </c>
      <c r="H151" t="str">
        <f t="shared" si="141"/>
        <v>9609201.png</v>
      </c>
      <c r="I151" s="39">
        <v>0</v>
      </c>
      <c r="J151">
        <f t="shared" ref="J151:J153" si="166">MOD(A151,100)-1</f>
        <v>7</v>
      </c>
    </row>
    <row r="152" spans="1:10">
      <c r="A152" s="108">
        <f t="shared" si="138"/>
        <v>9618108</v>
      </c>
      <c r="B152" t="str">
        <f t="shared" ref="B152:C152" si="167">B133</f>
        <v>烈风腿</v>
      </c>
      <c r="C152" t="str">
        <f t="shared" si="167"/>
        <v>以迅捷的腿法将敌人踢飞的踢技，伤害随技能等级提升。</v>
      </c>
      <c r="D152" s="39">
        <f>VLOOKUP(INT(A152/100)*100+1,CHOOSE({1,2},D_马仔表!$I$2:$I$20,D_马仔表!$D$2:$D$20),2,FALSE)</f>
        <v>2</v>
      </c>
      <c r="E152">
        <f t="shared" si="140"/>
        <v>8</v>
      </c>
      <c r="F152">
        <f t="shared" si="143"/>
        <v>2.7</v>
      </c>
      <c r="G152">
        <f t="shared" si="144"/>
        <v>5.14</v>
      </c>
      <c r="H152" t="str">
        <f t="shared" si="141"/>
        <v>9601101.png</v>
      </c>
      <c r="I152" s="39">
        <v>0</v>
      </c>
      <c r="J152">
        <f t="shared" si="166"/>
        <v>7</v>
      </c>
    </row>
    <row r="153" spans="1:10">
      <c r="A153" s="108">
        <f t="shared" si="138"/>
        <v>9619108</v>
      </c>
      <c r="B153" t="str">
        <f t="shared" ref="B153:C153" si="168">B134</f>
        <v>黑虎出山</v>
      </c>
      <c r="C153" t="str">
        <f t="shared" si="168"/>
        <v>以极快的刀法刺穿眼前之敌的阴毒招式，伤害随技能等级提升。</v>
      </c>
      <c r="D153" s="39">
        <f>VLOOKUP(INT(A153/100)*100+1,CHOOSE({1,2},D_马仔表!$I$2:$I$20,D_马仔表!$D$2:$D$20),2,FALSE)</f>
        <v>2</v>
      </c>
      <c r="E153">
        <f t="shared" si="140"/>
        <v>8</v>
      </c>
      <c r="F153">
        <f t="shared" si="143"/>
        <v>2.7</v>
      </c>
      <c r="G153">
        <f t="shared" si="144"/>
        <v>5.14</v>
      </c>
      <c r="H153" t="str">
        <f t="shared" si="141"/>
        <v>9614101.png</v>
      </c>
      <c r="I153" s="39">
        <v>0</v>
      </c>
      <c r="J153">
        <f t="shared" si="166"/>
        <v>7</v>
      </c>
    </row>
    <row r="154" spans="1:10">
      <c r="A154">
        <f t="shared" si="138"/>
        <v>9601109</v>
      </c>
      <c r="B154" t="str">
        <f t="shared" ref="B154:C154" si="169">B135</f>
        <v>百裂踢</v>
      </c>
      <c r="C154" t="str">
        <f t="shared" si="169"/>
        <v>在短时间内向目标发起连续踢技让对手防不胜防，伤害随技能等级提升。</v>
      </c>
      <c r="D154" s="39">
        <f>VLOOKUP(INT(A154/100)*100+1,CHOOSE({1,2},D_马仔表!$I$2:$I$20,D_马仔表!$D$2:$D$20),2,FALSE)</f>
        <v>0</v>
      </c>
      <c r="E154">
        <f t="shared" si="140"/>
        <v>9</v>
      </c>
      <c r="F154">
        <f t="shared" si="143"/>
        <v>2.8</v>
      </c>
      <c r="G154">
        <f t="shared" si="144"/>
        <v>4</v>
      </c>
      <c r="H154" t="str">
        <f t="shared" si="141"/>
        <v>9601101.png</v>
      </c>
      <c r="I154" s="39">
        <v>0</v>
      </c>
      <c r="J154">
        <f t="shared" si="77"/>
        <v>8</v>
      </c>
    </row>
    <row r="155" spans="1:10">
      <c r="A155">
        <f t="shared" si="138"/>
        <v>9602109</v>
      </c>
      <c r="B155" t="str">
        <f t="shared" ref="B155:C155" si="170">B136</f>
        <v>精密射击</v>
      </c>
      <c r="C155" t="str">
        <f t="shared" si="170"/>
        <v>以精密的射击技术对敌人的弱点发起连续射击，伤害随技能等级提升。</v>
      </c>
      <c r="D155" s="39">
        <f>VLOOKUP(INT(A155/100)*100+1,CHOOSE({1,2},D_马仔表!$I$2:$I$20,D_马仔表!$D$2:$D$20),2,FALSE)</f>
        <v>0</v>
      </c>
      <c r="E155">
        <f t="shared" si="140"/>
        <v>9</v>
      </c>
      <c r="F155">
        <f t="shared" si="143"/>
        <v>2.8</v>
      </c>
      <c r="G155">
        <f t="shared" si="144"/>
        <v>4</v>
      </c>
      <c r="H155" t="str">
        <f t="shared" si="141"/>
        <v>9602101.png</v>
      </c>
      <c r="I155" s="39">
        <v>0</v>
      </c>
      <c r="J155">
        <f t="shared" ref="J155:J188" si="171">MOD(A155,100)-1</f>
        <v>8</v>
      </c>
    </row>
    <row r="156" spans="1:10">
      <c r="A156">
        <f t="shared" si="138"/>
        <v>9603109</v>
      </c>
      <c r="B156" t="str">
        <f t="shared" ref="B156:C156" si="172">B137</f>
        <v>火焰龙卷棍</v>
      </c>
      <c r="C156" t="str">
        <f t="shared" si="172"/>
        <v>以高速挥舞的长棍摩擦空气产生的烈焰吞噬目标，伤害随技能等级提升。</v>
      </c>
      <c r="D156" s="39">
        <f>VLOOKUP(INT(A156/100)*100+1,CHOOSE({1,2},D_马仔表!$I$2:$I$20,D_马仔表!$D$2:$D$20),2,FALSE)</f>
        <v>0</v>
      </c>
      <c r="E156">
        <f t="shared" si="140"/>
        <v>9</v>
      </c>
      <c r="F156">
        <f t="shared" si="143"/>
        <v>2.8</v>
      </c>
      <c r="G156">
        <f t="shared" si="144"/>
        <v>4</v>
      </c>
      <c r="H156" t="str">
        <f t="shared" si="141"/>
        <v>9603101.png</v>
      </c>
      <c r="I156" s="39">
        <v>0</v>
      </c>
      <c r="J156">
        <f t="shared" si="171"/>
        <v>8</v>
      </c>
    </row>
    <row r="157" spans="1:10">
      <c r="A157">
        <f t="shared" si="138"/>
        <v>9604109</v>
      </c>
      <c r="B157" t="str">
        <f t="shared" ref="B157:C157" si="173">B138</f>
        <v>致命突袭</v>
      </c>
      <c r="C157" t="str">
        <f t="shared" si="173"/>
        <v>以猛烈的拳法配合踢技终结目标，伤害随技能等级提升。</v>
      </c>
      <c r="D157" s="39">
        <f>VLOOKUP(INT(A157/100)*100+1,CHOOSE({1,2},D_马仔表!$I$2:$I$20,D_马仔表!$D$2:$D$20),2,FALSE)</f>
        <v>0</v>
      </c>
      <c r="E157">
        <f t="shared" si="140"/>
        <v>9</v>
      </c>
      <c r="F157">
        <f t="shared" si="143"/>
        <v>2.8</v>
      </c>
      <c r="G157">
        <f t="shared" si="144"/>
        <v>4</v>
      </c>
      <c r="H157" t="str">
        <f t="shared" si="141"/>
        <v>9604101.png</v>
      </c>
      <c r="I157" s="39">
        <v>0</v>
      </c>
      <c r="J157">
        <f t="shared" si="171"/>
        <v>8</v>
      </c>
    </row>
    <row r="158" spans="1:10">
      <c r="A158">
        <f t="shared" si="138"/>
        <v>9605109</v>
      </c>
      <c r="B158" t="str">
        <f t="shared" ref="B158:C158" si="174">B139</f>
        <v>蛮牛冲撞</v>
      </c>
      <c r="C158" t="str">
        <f t="shared" si="174"/>
        <v>以蛮牛般的力量向前方突进，给予前方目标巨大伤害，伤害随技能等级提升。</v>
      </c>
      <c r="D158" s="39">
        <f>VLOOKUP(INT(A158/100)*100+1,CHOOSE({1,2},D_马仔表!$I$2:$I$20,D_马仔表!$D$2:$D$20),2,FALSE)</f>
        <v>0</v>
      </c>
      <c r="E158">
        <f t="shared" si="140"/>
        <v>9</v>
      </c>
      <c r="F158">
        <f t="shared" si="143"/>
        <v>2.8</v>
      </c>
      <c r="G158">
        <f t="shared" si="144"/>
        <v>4</v>
      </c>
      <c r="H158" t="str">
        <f t="shared" si="141"/>
        <v>9605101.png</v>
      </c>
      <c r="I158" s="39">
        <v>0</v>
      </c>
      <c r="J158">
        <f t="shared" si="171"/>
        <v>8</v>
      </c>
    </row>
    <row r="159" spans="1:10">
      <c r="A159">
        <f t="shared" si="138"/>
        <v>9606109</v>
      </c>
      <c r="B159" t="str">
        <f t="shared" ref="B159:C159" si="175">B140</f>
        <v>烈风回旋击</v>
      </c>
      <c r="C159" t="str">
        <f t="shared" si="175"/>
        <v>以狂风般的速度发起的三连回旋击，伤害随技能等级提升。</v>
      </c>
      <c r="D159" s="39">
        <f>VLOOKUP(INT(A159/100)*100+1,CHOOSE({1,2},D_马仔表!$I$2:$I$20,D_马仔表!$D$2:$D$20),2,FALSE)</f>
        <v>1</v>
      </c>
      <c r="E159">
        <f t="shared" si="140"/>
        <v>9</v>
      </c>
      <c r="F159">
        <f t="shared" si="143"/>
        <v>2.8</v>
      </c>
      <c r="G159">
        <f t="shared" si="144"/>
        <v>4.8099999999999996</v>
      </c>
      <c r="H159" t="str">
        <f t="shared" si="141"/>
        <v>9606101.png</v>
      </c>
      <c r="I159" s="39">
        <v>0</v>
      </c>
      <c r="J159">
        <f t="shared" si="171"/>
        <v>8</v>
      </c>
    </row>
    <row r="160" spans="1:10">
      <c r="A160">
        <f t="shared" si="138"/>
        <v>9607109</v>
      </c>
      <c r="B160" t="str">
        <f t="shared" ref="B160:C160" si="176">B141</f>
        <v>火力覆盖</v>
      </c>
      <c r="C160" t="str">
        <f t="shared" si="176"/>
        <v>用大口径机枪向目标发起疯狂的扫射，伤害随技能等级提升。</v>
      </c>
      <c r="D160" s="39">
        <f>VLOOKUP(INT(A160/100)*100+1,CHOOSE({1,2},D_马仔表!$I$2:$I$20,D_马仔表!$D$2:$D$20),2,FALSE)</f>
        <v>1</v>
      </c>
      <c r="E160">
        <f t="shared" si="140"/>
        <v>9</v>
      </c>
      <c r="F160">
        <f t="shared" si="143"/>
        <v>2.8</v>
      </c>
      <c r="G160">
        <f t="shared" si="144"/>
        <v>4.8099999999999996</v>
      </c>
      <c r="H160" t="str">
        <f t="shared" si="141"/>
        <v>9607101.png</v>
      </c>
      <c r="I160" s="39">
        <v>0</v>
      </c>
      <c r="J160">
        <f t="shared" si="171"/>
        <v>8</v>
      </c>
    </row>
    <row r="161" spans="1:10">
      <c r="A161">
        <f t="shared" si="138"/>
        <v>9608109</v>
      </c>
      <c r="B161" t="str">
        <f t="shared" ref="B161:C161" si="177">B142</f>
        <v>猪突猛进</v>
      </c>
      <c r="C161" t="str">
        <f t="shared" si="177"/>
        <v>疯狂的向前方突进，将沿途的敌人统统击飞，伤害随技能等级提升。</v>
      </c>
      <c r="D161" s="39">
        <f>VLOOKUP(INT(A161/100)*100+1,CHOOSE({1,2},D_马仔表!$I$2:$I$20,D_马仔表!$D$2:$D$20),2,FALSE)</f>
        <v>1</v>
      </c>
      <c r="E161">
        <f t="shared" si="140"/>
        <v>9</v>
      </c>
      <c r="F161">
        <f t="shared" si="143"/>
        <v>2.8</v>
      </c>
      <c r="G161">
        <f t="shared" si="144"/>
        <v>4.8099999999999996</v>
      </c>
      <c r="H161" t="str">
        <f t="shared" si="141"/>
        <v>9608101.png</v>
      </c>
      <c r="I161" s="39">
        <v>0</v>
      </c>
      <c r="J161">
        <f t="shared" si="171"/>
        <v>8</v>
      </c>
    </row>
    <row r="162" spans="1:10">
      <c r="A162">
        <f t="shared" ref="A162:A172" si="178">A143+1</f>
        <v>9609109</v>
      </c>
      <c r="B162" t="str">
        <f t="shared" ref="B162:C162" si="179">B143</f>
        <v>毁灭漩涡</v>
      </c>
      <c r="C162" t="str">
        <f t="shared" si="179"/>
        <v>快速旋转自身，将沿途目标无情撕碎的恐怖招式，伤害随技能等级提升。</v>
      </c>
      <c r="D162" s="39">
        <f>VLOOKUP(INT(A162/100)*100+1,CHOOSE({1,2},D_马仔表!$I$2:$I$20,D_马仔表!$D$2:$D$20),2,FALSE)</f>
        <v>2</v>
      </c>
      <c r="E162">
        <f t="shared" ref="E162:E172" si="180">E143+1</f>
        <v>9</v>
      </c>
      <c r="F162">
        <f t="shared" si="143"/>
        <v>2.8</v>
      </c>
      <c r="G162">
        <f t="shared" si="144"/>
        <v>5.6199999999999992</v>
      </c>
      <c r="H162" t="str">
        <f t="shared" ref="H162:H172" si="181">H143</f>
        <v>9609101.png</v>
      </c>
      <c r="I162" s="39">
        <v>0</v>
      </c>
      <c r="J162">
        <f t="shared" si="171"/>
        <v>8</v>
      </c>
    </row>
    <row r="163" spans="1:10">
      <c r="A163">
        <f t="shared" si="178"/>
        <v>9610109</v>
      </c>
      <c r="B163" t="str">
        <f t="shared" ref="B163:C163" si="182">B144</f>
        <v>死亡切割</v>
      </c>
      <c r="C163" t="str">
        <f t="shared" si="182"/>
        <v>将目标踢至空中切割的锐利踢技，伤害随技能等级提升。</v>
      </c>
      <c r="D163" s="39">
        <f>VLOOKUP(INT(A163/100)*100+1,CHOOSE({1,2},D_马仔表!$I$2:$I$20,D_马仔表!$D$2:$D$20),2,FALSE)</f>
        <v>2</v>
      </c>
      <c r="E163">
        <f t="shared" si="180"/>
        <v>9</v>
      </c>
      <c r="F163">
        <f t="shared" si="143"/>
        <v>2.8</v>
      </c>
      <c r="G163">
        <f t="shared" si="144"/>
        <v>5.6199999999999992</v>
      </c>
      <c r="H163" t="str">
        <f t="shared" si="181"/>
        <v>9610101.png</v>
      </c>
      <c r="I163" s="39">
        <v>0</v>
      </c>
      <c r="J163">
        <f t="shared" si="171"/>
        <v>8</v>
      </c>
    </row>
    <row r="164" spans="1:10">
      <c r="A164">
        <f t="shared" si="178"/>
        <v>9611109</v>
      </c>
      <c r="B164" t="str">
        <f t="shared" ref="B164:C164" si="183">B145</f>
        <v>幻影闪现</v>
      </c>
      <c r="C164" t="str">
        <f t="shared" si="183"/>
        <v>将周围敌人以高速飞舞的纸牌切开，伤害随技能等级提升。</v>
      </c>
      <c r="D164" s="39">
        <f>VLOOKUP(INT(A164/100)*100+1,CHOOSE({1,2},D_马仔表!$I$2:$I$20,D_马仔表!$D$2:$D$20),2,FALSE)</f>
        <v>2</v>
      </c>
      <c r="E164">
        <f t="shared" si="180"/>
        <v>9</v>
      </c>
      <c r="F164">
        <f t="shared" si="143"/>
        <v>2.8</v>
      </c>
      <c r="G164">
        <f t="shared" si="144"/>
        <v>5.6199999999999992</v>
      </c>
      <c r="H164" t="str">
        <f t="shared" si="181"/>
        <v>9611101.png</v>
      </c>
      <c r="I164" s="39">
        <v>0</v>
      </c>
      <c r="J164">
        <f t="shared" si="171"/>
        <v>8</v>
      </c>
    </row>
    <row r="165" spans="1:10">
      <c r="A165">
        <f t="shared" si="178"/>
        <v>9612109</v>
      </c>
      <c r="B165" t="str">
        <f t="shared" ref="B165:C165" si="184">B146</f>
        <v>圆月斩</v>
      </c>
      <c r="C165" t="str">
        <f t="shared" si="184"/>
        <v>划出圆月般的剑气重创周围敌人，伤害随技能等级提升。</v>
      </c>
      <c r="D165" s="39">
        <f>VLOOKUP(INT(A165/100)*100+1,CHOOSE({1,2},D_马仔表!$I$2:$I$20,D_马仔表!$D$2:$D$20),2,FALSE)</f>
        <v>2</v>
      </c>
      <c r="E165">
        <f t="shared" si="180"/>
        <v>9</v>
      </c>
      <c r="F165">
        <f t="shared" si="143"/>
        <v>2.8</v>
      </c>
      <c r="G165">
        <f t="shared" si="144"/>
        <v>5.6199999999999992</v>
      </c>
      <c r="H165" t="str">
        <f t="shared" si="181"/>
        <v>9612101.png</v>
      </c>
      <c r="I165" s="39">
        <v>0</v>
      </c>
      <c r="J165">
        <f t="shared" si="171"/>
        <v>8</v>
      </c>
    </row>
    <row r="166" spans="1:10">
      <c r="A166">
        <f t="shared" si="178"/>
        <v>9613109</v>
      </c>
      <c r="B166" t="str">
        <f t="shared" ref="B166:C166" si="185">B147</f>
        <v>奥义天狗抄</v>
      </c>
      <c r="C166" t="str">
        <f t="shared" si="185"/>
        <v>杀手首领家族代代相传的剑术奥义，伤害随技能等级提升。</v>
      </c>
      <c r="D166" s="39">
        <f>VLOOKUP(INT(A166/100)*100+1,CHOOSE({1,2},D_马仔表!$I$2:$I$20,D_马仔表!$D$2:$D$20),2,FALSE)</f>
        <v>2</v>
      </c>
      <c r="E166">
        <f t="shared" si="180"/>
        <v>9</v>
      </c>
      <c r="F166">
        <f t="shared" si="143"/>
        <v>2.8</v>
      </c>
      <c r="G166">
        <f t="shared" si="144"/>
        <v>5.6199999999999992</v>
      </c>
      <c r="H166" t="str">
        <f t="shared" si="181"/>
        <v>9613101.png</v>
      </c>
      <c r="I166" s="39">
        <v>0</v>
      </c>
      <c r="J166">
        <f t="shared" si="171"/>
        <v>8</v>
      </c>
    </row>
    <row r="167" spans="1:10">
      <c r="A167">
        <f t="shared" si="178"/>
        <v>9614109</v>
      </c>
      <c r="B167" t="str">
        <f t="shared" ref="B167:C167" si="186">B148</f>
        <v>风神斩</v>
      </c>
      <c r="C167" t="str">
        <f t="shared" si="186"/>
        <v>以极快的凌厉斩击将周围的敌人斩落的高超刀法，伤害随技能等级提升。</v>
      </c>
      <c r="D167" s="39">
        <f>VLOOKUP(INT(A167/100)*100+1,CHOOSE({1,2},D_马仔表!$I$2:$I$20,D_马仔表!$D$2:$D$20),2,FALSE)</f>
        <v>3</v>
      </c>
      <c r="E167">
        <f t="shared" si="180"/>
        <v>9</v>
      </c>
      <c r="F167">
        <f t="shared" si="143"/>
        <v>2.8</v>
      </c>
      <c r="G167">
        <f t="shared" si="144"/>
        <v>6.4299999999999988</v>
      </c>
      <c r="H167" t="str">
        <f t="shared" si="181"/>
        <v>9614101.png</v>
      </c>
      <c r="I167" s="39">
        <v>0</v>
      </c>
      <c r="J167">
        <f t="shared" si="171"/>
        <v>8</v>
      </c>
    </row>
    <row r="168" spans="1:10">
      <c r="A168">
        <f t="shared" si="178"/>
        <v>9615109</v>
      </c>
      <c r="B168" t="str">
        <f t="shared" ref="B168:C168" si="187">B149</f>
        <v>暴虐狂袭</v>
      </c>
      <c r="C168" t="str">
        <f t="shared" si="187"/>
        <v>以锐利的撬棍将敌人挑起的棍法，伤害随技能等级提升。</v>
      </c>
      <c r="D168" s="39">
        <f>VLOOKUP(INT(A168/100)*100+1,CHOOSE({1,2},D_马仔表!$I$2:$I$20,D_马仔表!$D$2:$D$20),2,FALSE)</f>
        <v>3</v>
      </c>
      <c r="E168">
        <f t="shared" si="180"/>
        <v>9</v>
      </c>
      <c r="F168">
        <f t="shared" si="143"/>
        <v>2.8</v>
      </c>
      <c r="G168">
        <f t="shared" si="144"/>
        <v>6.4299999999999988</v>
      </c>
      <c r="H168" t="str">
        <f t="shared" si="181"/>
        <v>9615101.png</v>
      </c>
      <c r="I168" s="39">
        <v>0</v>
      </c>
      <c r="J168">
        <f t="shared" si="171"/>
        <v>8</v>
      </c>
    </row>
    <row r="169" spans="1:10">
      <c r="A169">
        <f t="shared" si="178"/>
        <v>9616109</v>
      </c>
      <c r="B169" t="str">
        <f t="shared" ref="B169:C169" si="188">B150</f>
        <v>狂狮乱舞</v>
      </c>
      <c r="C169" t="str">
        <f t="shared" si="188"/>
        <v>以极快的速度挥舞双节棍，给予前方目标沉重打击，伤害随技能等级提升。</v>
      </c>
      <c r="D169" s="39">
        <f>VLOOKUP(INT(A169/100)*100+1,CHOOSE({1,2},D_马仔表!$I$2:$I$20,D_马仔表!$D$2:$D$20),2,FALSE)</f>
        <v>3</v>
      </c>
      <c r="E169">
        <f t="shared" si="180"/>
        <v>9</v>
      </c>
      <c r="F169">
        <f t="shared" si="143"/>
        <v>2.8</v>
      </c>
      <c r="G169">
        <f t="shared" si="144"/>
        <v>6.4299999999999988</v>
      </c>
      <c r="H169" t="str">
        <f t="shared" si="181"/>
        <v>9616101.png</v>
      </c>
      <c r="I169" s="39">
        <v>0</v>
      </c>
      <c r="J169">
        <f t="shared" si="171"/>
        <v>8</v>
      </c>
    </row>
    <row r="170" spans="1:10">
      <c r="A170" s="108">
        <f t="shared" si="178"/>
        <v>9617109</v>
      </c>
      <c r="B170" t="str">
        <f t="shared" ref="B170:C170" si="189">B151</f>
        <v>撩阴腿</v>
      </c>
      <c r="C170" t="str">
        <f t="shared" si="189"/>
        <v>对敌人的要害进行猛烈的踢技，伤害随技能等级提升。</v>
      </c>
      <c r="D170" s="39">
        <f>VLOOKUP(INT(A170/100)*100+1,CHOOSE({1,2},D_马仔表!$I$2:$I$20,D_马仔表!$D$2:$D$20),2,FALSE)</f>
        <v>1</v>
      </c>
      <c r="E170">
        <f t="shared" si="180"/>
        <v>9</v>
      </c>
      <c r="F170">
        <f t="shared" si="143"/>
        <v>2.8</v>
      </c>
      <c r="G170">
        <f t="shared" si="144"/>
        <v>4.8099999999999996</v>
      </c>
      <c r="H170" t="str">
        <f t="shared" si="181"/>
        <v>9609201.png</v>
      </c>
      <c r="I170" s="39">
        <v>0</v>
      </c>
      <c r="J170">
        <f t="shared" ref="J170:J172" si="190">MOD(A170,100)-1</f>
        <v>8</v>
      </c>
    </row>
    <row r="171" spans="1:10">
      <c r="A171" s="108">
        <f t="shared" si="178"/>
        <v>9618109</v>
      </c>
      <c r="B171" t="str">
        <f t="shared" ref="B171:C171" si="191">B152</f>
        <v>烈风腿</v>
      </c>
      <c r="C171" t="str">
        <f t="shared" si="191"/>
        <v>以迅捷的腿法将敌人踢飞的踢技，伤害随技能等级提升。</v>
      </c>
      <c r="D171" s="39">
        <f>VLOOKUP(INT(A171/100)*100+1,CHOOSE({1,2},D_马仔表!$I$2:$I$20,D_马仔表!$D$2:$D$20),2,FALSE)</f>
        <v>2</v>
      </c>
      <c r="E171">
        <f t="shared" si="180"/>
        <v>9</v>
      </c>
      <c r="F171">
        <f t="shared" si="143"/>
        <v>2.8</v>
      </c>
      <c r="G171">
        <f t="shared" si="144"/>
        <v>5.6199999999999992</v>
      </c>
      <c r="H171" t="str">
        <f t="shared" si="181"/>
        <v>9601101.png</v>
      </c>
      <c r="I171" s="39">
        <v>0</v>
      </c>
      <c r="J171">
        <f t="shared" si="190"/>
        <v>8</v>
      </c>
    </row>
    <row r="172" spans="1:10">
      <c r="A172" s="108">
        <f t="shared" si="178"/>
        <v>9619109</v>
      </c>
      <c r="B172" t="str">
        <f t="shared" ref="B172:C172" si="192">B153</f>
        <v>黑虎出山</v>
      </c>
      <c r="C172" t="str">
        <f t="shared" si="192"/>
        <v>以极快的刀法刺穿眼前之敌的阴毒招式，伤害随技能等级提升。</v>
      </c>
      <c r="D172" s="39">
        <f>VLOOKUP(INT(A172/100)*100+1,CHOOSE({1,2},D_马仔表!$I$2:$I$20,D_马仔表!$D$2:$D$20),2,FALSE)</f>
        <v>2</v>
      </c>
      <c r="E172">
        <f t="shared" si="180"/>
        <v>9</v>
      </c>
      <c r="F172">
        <f t="shared" si="143"/>
        <v>2.8</v>
      </c>
      <c r="G172">
        <f t="shared" si="144"/>
        <v>5.6199999999999992</v>
      </c>
      <c r="H172" t="str">
        <f t="shared" si="181"/>
        <v>9614101.png</v>
      </c>
      <c r="I172" s="39">
        <v>0</v>
      </c>
      <c r="J172">
        <f t="shared" si="190"/>
        <v>8</v>
      </c>
    </row>
    <row r="173" spans="1:10">
      <c r="A173">
        <f t="shared" ref="A173" si="193">A154+1</f>
        <v>9601110</v>
      </c>
      <c r="B173" t="str">
        <f t="shared" ref="B173:C173" si="194">B154</f>
        <v>百裂踢</v>
      </c>
      <c r="C173" t="str">
        <f t="shared" si="194"/>
        <v>在短时间内向目标发起连续踢技让对手防不胜防，伤害随技能等级提升。</v>
      </c>
      <c r="D173" s="39">
        <f>VLOOKUP(INT(A173/100)*100+1,CHOOSE({1,2},D_马仔表!$I$2:$I$20,D_马仔表!$D$2:$D$20),2,FALSE)</f>
        <v>0</v>
      </c>
      <c r="E173">
        <f t="shared" ref="E173" si="195">E154+1</f>
        <v>10</v>
      </c>
      <c r="F173">
        <f t="shared" si="143"/>
        <v>2.9</v>
      </c>
      <c r="G173">
        <f t="shared" si="144"/>
        <v>4.3</v>
      </c>
      <c r="H173" t="str">
        <f t="shared" ref="H173" si="196">H154</f>
        <v>9601101.png</v>
      </c>
      <c r="I173" s="39">
        <v>0</v>
      </c>
      <c r="J173">
        <f t="shared" si="171"/>
        <v>9</v>
      </c>
    </row>
    <row r="174" spans="1:10">
      <c r="A174">
        <f t="shared" ref="A174:A210" si="197">A155+1</f>
        <v>9602110</v>
      </c>
      <c r="B174" t="str">
        <f t="shared" ref="B174:C174" si="198">B155</f>
        <v>精密射击</v>
      </c>
      <c r="C174" t="str">
        <f t="shared" si="198"/>
        <v>以精密的射击技术对敌人的弱点发起连续射击，伤害随技能等级提升。</v>
      </c>
      <c r="D174" s="39">
        <f>VLOOKUP(INT(A174/100)*100+1,CHOOSE({1,2},D_马仔表!$I$2:$I$20,D_马仔表!$D$2:$D$20),2,FALSE)</f>
        <v>0</v>
      </c>
      <c r="E174">
        <f t="shared" ref="E174:E210" si="199">E155+1</f>
        <v>10</v>
      </c>
      <c r="F174">
        <f t="shared" si="143"/>
        <v>2.9</v>
      </c>
      <c r="G174">
        <f t="shared" si="144"/>
        <v>4.3</v>
      </c>
      <c r="H174" t="str">
        <f t="shared" ref="H174:H210" si="200">H155</f>
        <v>9602101.png</v>
      </c>
      <c r="I174" s="39">
        <v>0</v>
      </c>
      <c r="J174">
        <f t="shared" si="171"/>
        <v>9</v>
      </c>
    </row>
    <row r="175" spans="1:10">
      <c r="A175">
        <f t="shared" si="197"/>
        <v>9603110</v>
      </c>
      <c r="B175" t="str">
        <f t="shared" ref="B175:C175" si="201">B156</f>
        <v>火焰龙卷棍</v>
      </c>
      <c r="C175" t="str">
        <f t="shared" si="201"/>
        <v>以高速挥舞的长棍摩擦空气产生的烈焰吞噬目标，伤害随技能等级提升。</v>
      </c>
      <c r="D175" s="39">
        <f>VLOOKUP(INT(A175/100)*100+1,CHOOSE({1,2},D_马仔表!$I$2:$I$20,D_马仔表!$D$2:$D$20),2,FALSE)</f>
        <v>0</v>
      </c>
      <c r="E175">
        <f t="shared" si="199"/>
        <v>10</v>
      </c>
      <c r="F175">
        <f t="shared" si="143"/>
        <v>2.9</v>
      </c>
      <c r="G175">
        <f t="shared" si="144"/>
        <v>4.3</v>
      </c>
      <c r="H175" t="str">
        <f t="shared" si="200"/>
        <v>9603101.png</v>
      </c>
      <c r="I175" s="39">
        <v>0</v>
      </c>
      <c r="J175">
        <f t="shared" si="171"/>
        <v>9</v>
      </c>
    </row>
    <row r="176" spans="1:10">
      <c r="A176">
        <f t="shared" si="197"/>
        <v>9604110</v>
      </c>
      <c r="B176" t="str">
        <f t="shared" ref="B176:C176" si="202">B157</f>
        <v>致命突袭</v>
      </c>
      <c r="C176" t="str">
        <f t="shared" si="202"/>
        <v>以猛烈的拳法配合踢技终结目标，伤害随技能等级提升。</v>
      </c>
      <c r="D176" s="39">
        <f>VLOOKUP(INT(A176/100)*100+1,CHOOSE({1,2},D_马仔表!$I$2:$I$20,D_马仔表!$D$2:$D$20),2,FALSE)</f>
        <v>0</v>
      </c>
      <c r="E176">
        <f t="shared" si="199"/>
        <v>10</v>
      </c>
      <c r="F176">
        <f t="shared" si="143"/>
        <v>2.9</v>
      </c>
      <c r="G176">
        <f t="shared" si="144"/>
        <v>4.3</v>
      </c>
      <c r="H176" t="str">
        <f t="shared" si="200"/>
        <v>9604101.png</v>
      </c>
      <c r="I176" s="39">
        <v>0</v>
      </c>
      <c r="J176">
        <f t="shared" si="171"/>
        <v>9</v>
      </c>
    </row>
    <row r="177" spans="1:10">
      <c r="A177">
        <f t="shared" si="197"/>
        <v>9605110</v>
      </c>
      <c r="B177" t="str">
        <f t="shared" ref="B177:C177" si="203">B158</f>
        <v>蛮牛冲撞</v>
      </c>
      <c r="C177" t="str">
        <f t="shared" si="203"/>
        <v>以蛮牛般的力量向前方突进，给予前方目标巨大伤害，伤害随技能等级提升。</v>
      </c>
      <c r="D177" s="39">
        <f>VLOOKUP(INT(A177/100)*100+1,CHOOSE({1,2},D_马仔表!$I$2:$I$20,D_马仔表!$D$2:$D$20),2,FALSE)</f>
        <v>0</v>
      </c>
      <c r="E177">
        <f t="shared" si="199"/>
        <v>10</v>
      </c>
      <c r="F177">
        <f t="shared" si="143"/>
        <v>2.9</v>
      </c>
      <c r="G177">
        <f t="shared" si="144"/>
        <v>4.3</v>
      </c>
      <c r="H177" t="str">
        <f t="shared" si="200"/>
        <v>9605101.png</v>
      </c>
      <c r="I177" s="39">
        <v>0</v>
      </c>
      <c r="J177">
        <f t="shared" si="171"/>
        <v>9</v>
      </c>
    </row>
    <row r="178" spans="1:10">
      <c r="A178">
        <f t="shared" si="197"/>
        <v>9606110</v>
      </c>
      <c r="B178" t="str">
        <f t="shared" ref="B178:C178" si="204">B159</f>
        <v>烈风回旋击</v>
      </c>
      <c r="C178" t="str">
        <f t="shared" si="204"/>
        <v>以狂风般的速度发起的三连回旋击，伤害随技能等级提升。</v>
      </c>
      <c r="D178" s="39">
        <f>VLOOKUP(INT(A178/100)*100+1,CHOOSE({1,2},D_马仔表!$I$2:$I$20,D_马仔表!$D$2:$D$20),2,FALSE)</f>
        <v>1</v>
      </c>
      <c r="E178">
        <f t="shared" si="199"/>
        <v>10</v>
      </c>
      <c r="F178">
        <f t="shared" si="143"/>
        <v>2.9</v>
      </c>
      <c r="G178">
        <f t="shared" si="144"/>
        <v>5.2</v>
      </c>
      <c r="H178" t="str">
        <f t="shared" si="200"/>
        <v>9606101.png</v>
      </c>
      <c r="I178" s="39">
        <v>0</v>
      </c>
      <c r="J178">
        <f t="shared" si="171"/>
        <v>9</v>
      </c>
    </row>
    <row r="179" spans="1:10">
      <c r="A179">
        <f t="shared" si="197"/>
        <v>9607110</v>
      </c>
      <c r="B179" t="str">
        <f t="shared" ref="B179:C179" si="205">B160</f>
        <v>火力覆盖</v>
      </c>
      <c r="C179" t="str">
        <f t="shared" si="205"/>
        <v>用大口径机枪向目标发起疯狂的扫射，伤害随技能等级提升。</v>
      </c>
      <c r="D179" s="39">
        <f>VLOOKUP(INT(A179/100)*100+1,CHOOSE({1,2},D_马仔表!$I$2:$I$20,D_马仔表!$D$2:$D$20),2,FALSE)</f>
        <v>1</v>
      </c>
      <c r="E179">
        <f t="shared" si="199"/>
        <v>10</v>
      </c>
      <c r="F179">
        <f t="shared" si="143"/>
        <v>2.9</v>
      </c>
      <c r="G179">
        <f t="shared" si="144"/>
        <v>5.2</v>
      </c>
      <c r="H179" t="str">
        <f t="shared" si="200"/>
        <v>9607101.png</v>
      </c>
      <c r="I179" s="39">
        <v>0</v>
      </c>
      <c r="J179">
        <f t="shared" si="171"/>
        <v>9</v>
      </c>
    </row>
    <row r="180" spans="1:10">
      <c r="A180">
        <f t="shared" si="197"/>
        <v>9608110</v>
      </c>
      <c r="B180" t="str">
        <f t="shared" ref="B180:C180" si="206">B161</f>
        <v>猪突猛进</v>
      </c>
      <c r="C180" t="str">
        <f t="shared" si="206"/>
        <v>疯狂的向前方突进，将沿途的敌人统统击飞，伤害随技能等级提升。</v>
      </c>
      <c r="D180" s="39">
        <f>VLOOKUP(INT(A180/100)*100+1,CHOOSE({1,2},D_马仔表!$I$2:$I$20,D_马仔表!$D$2:$D$20),2,FALSE)</f>
        <v>1</v>
      </c>
      <c r="E180">
        <f t="shared" si="199"/>
        <v>10</v>
      </c>
      <c r="F180">
        <f t="shared" si="143"/>
        <v>2.9</v>
      </c>
      <c r="G180">
        <f t="shared" si="144"/>
        <v>5.2</v>
      </c>
      <c r="H180" t="str">
        <f t="shared" si="200"/>
        <v>9608101.png</v>
      </c>
      <c r="I180" s="39">
        <v>0</v>
      </c>
      <c r="J180">
        <f t="shared" si="171"/>
        <v>9</v>
      </c>
    </row>
    <row r="181" spans="1:10">
      <c r="A181">
        <f t="shared" si="197"/>
        <v>9609110</v>
      </c>
      <c r="B181" t="str">
        <f t="shared" ref="B181:C181" si="207">B162</f>
        <v>毁灭漩涡</v>
      </c>
      <c r="C181" t="str">
        <f t="shared" si="207"/>
        <v>快速旋转自身，将沿途目标无情撕碎的恐怖招式，伤害随技能等级提升。</v>
      </c>
      <c r="D181" s="39">
        <f>VLOOKUP(INT(A181/100)*100+1,CHOOSE({1,2},D_马仔表!$I$2:$I$20,D_马仔表!$D$2:$D$20),2,FALSE)</f>
        <v>2</v>
      </c>
      <c r="E181">
        <f t="shared" si="199"/>
        <v>10</v>
      </c>
      <c r="F181">
        <f t="shared" si="143"/>
        <v>2.9</v>
      </c>
      <c r="G181">
        <f t="shared" si="144"/>
        <v>6.1000000000000005</v>
      </c>
      <c r="H181" t="str">
        <f t="shared" si="200"/>
        <v>9609101.png</v>
      </c>
      <c r="I181" s="39">
        <v>0</v>
      </c>
      <c r="J181">
        <f t="shared" si="171"/>
        <v>9</v>
      </c>
    </row>
    <row r="182" spans="1:10">
      <c r="A182">
        <f t="shared" si="197"/>
        <v>9610110</v>
      </c>
      <c r="B182" t="str">
        <f t="shared" ref="B182:C182" si="208">B163</f>
        <v>死亡切割</v>
      </c>
      <c r="C182" t="str">
        <f t="shared" si="208"/>
        <v>将目标踢至空中切割的锐利踢技，伤害随技能等级提升。</v>
      </c>
      <c r="D182" s="39">
        <f>VLOOKUP(INT(A182/100)*100+1,CHOOSE({1,2},D_马仔表!$I$2:$I$20,D_马仔表!$D$2:$D$20),2,FALSE)</f>
        <v>2</v>
      </c>
      <c r="E182">
        <f t="shared" si="199"/>
        <v>10</v>
      </c>
      <c r="F182">
        <f t="shared" si="143"/>
        <v>2.9</v>
      </c>
      <c r="G182">
        <f t="shared" si="144"/>
        <v>6.1000000000000005</v>
      </c>
      <c r="H182" t="str">
        <f t="shared" si="200"/>
        <v>9610101.png</v>
      </c>
      <c r="I182" s="39">
        <v>0</v>
      </c>
      <c r="J182">
        <f t="shared" si="171"/>
        <v>9</v>
      </c>
    </row>
    <row r="183" spans="1:10">
      <c r="A183">
        <f t="shared" si="197"/>
        <v>9611110</v>
      </c>
      <c r="B183" t="str">
        <f t="shared" ref="B183:C183" si="209">B164</f>
        <v>幻影闪现</v>
      </c>
      <c r="C183" t="str">
        <f t="shared" si="209"/>
        <v>将周围敌人以高速飞舞的纸牌切开，伤害随技能等级提升。</v>
      </c>
      <c r="D183" s="39">
        <f>VLOOKUP(INT(A183/100)*100+1,CHOOSE({1,2},D_马仔表!$I$2:$I$20,D_马仔表!$D$2:$D$20),2,FALSE)</f>
        <v>2</v>
      </c>
      <c r="E183">
        <f t="shared" si="199"/>
        <v>10</v>
      </c>
      <c r="F183">
        <f t="shared" si="143"/>
        <v>2.9</v>
      </c>
      <c r="G183">
        <f t="shared" si="144"/>
        <v>6.1000000000000005</v>
      </c>
      <c r="H183" t="str">
        <f t="shared" si="200"/>
        <v>9611101.png</v>
      </c>
      <c r="I183" s="39">
        <v>0</v>
      </c>
      <c r="J183">
        <f t="shared" si="171"/>
        <v>9</v>
      </c>
    </row>
    <row r="184" spans="1:10">
      <c r="A184">
        <f t="shared" si="197"/>
        <v>9612110</v>
      </c>
      <c r="B184" t="str">
        <f t="shared" ref="B184:C184" si="210">B165</f>
        <v>圆月斩</v>
      </c>
      <c r="C184" t="str">
        <f t="shared" si="210"/>
        <v>划出圆月般的剑气重创周围敌人，伤害随技能等级提升。</v>
      </c>
      <c r="D184" s="39">
        <f>VLOOKUP(INT(A184/100)*100+1,CHOOSE({1,2},D_马仔表!$I$2:$I$20,D_马仔表!$D$2:$D$20),2,FALSE)</f>
        <v>2</v>
      </c>
      <c r="E184">
        <f t="shared" si="199"/>
        <v>10</v>
      </c>
      <c r="F184">
        <f t="shared" si="143"/>
        <v>2.9</v>
      </c>
      <c r="G184">
        <f t="shared" si="144"/>
        <v>6.1000000000000005</v>
      </c>
      <c r="H184" t="str">
        <f t="shared" si="200"/>
        <v>9612101.png</v>
      </c>
      <c r="I184" s="39">
        <v>0</v>
      </c>
      <c r="J184">
        <f t="shared" si="171"/>
        <v>9</v>
      </c>
    </row>
    <row r="185" spans="1:10">
      <c r="A185">
        <f t="shared" si="197"/>
        <v>9613110</v>
      </c>
      <c r="B185" t="str">
        <f t="shared" ref="B185:C185" si="211">B166</f>
        <v>奥义天狗抄</v>
      </c>
      <c r="C185" t="str">
        <f t="shared" si="211"/>
        <v>杀手首领家族代代相传的剑术奥义，伤害随技能等级提升。</v>
      </c>
      <c r="D185" s="39">
        <f>VLOOKUP(INT(A185/100)*100+1,CHOOSE({1,2},D_马仔表!$I$2:$I$20,D_马仔表!$D$2:$D$20),2,FALSE)</f>
        <v>2</v>
      </c>
      <c r="E185">
        <f t="shared" si="199"/>
        <v>10</v>
      </c>
      <c r="F185">
        <f t="shared" si="143"/>
        <v>2.9</v>
      </c>
      <c r="G185">
        <f t="shared" si="144"/>
        <v>6.1000000000000005</v>
      </c>
      <c r="H185" t="str">
        <f t="shared" si="200"/>
        <v>9613101.png</v>
      </c>
      <c r="I185" s="39">
        <v>0</v>
      </c>
      <c r="J185">
        <f t="shared" si="171"/>
        <v>9</v>
      </c>
    </row>
    <row r="186" spans="1:10">
      <c r="A186">
        <f t="shared" si="197"/>
        <v>9614110</v>
      </c>
      <c r="B186" t="str">
        <f t="shared" ref="B186:C186" si="212">B167</f>
        <v>风神斩</v>
      </c>
      <c r="C186" t="str">
        <f t="shared" si="212"/>
        <v>以极快的凌厉斩击将周围的敌人斩落的高超刀法，伤害随技能等级提升。</v>
      </c>
      <c r="D186" s="39">
        <f>VLOOKUP(INT(A186/100)*100+1,CHOOSE({1,2},D_马仔表!$I$2:$I$20,D_马仔表!$D$2:$D$20),2,FALSE)</f>
        <v>3</v>
      </c>
      <c r="E186">
        <f t="shared" si="199"/>
        <v>10</v>
      </c>
      <c r="F186">
        <f t="shared" si="143"/>
        <v>2.9</v>
      </c>
      <c r="G186">
        <f t="shared" si="144"/>
        <v>6.9999999999999991</v>
      </c>
      <c r="H186" t="str">
        <f t="shared" si="200"/>
        <v>9614101.png</v>
      </c>
      <c r="I186" s="39">
        <v>0</v>
      </c>
      <c r="J186">
        <f t="shared" si="171"/>
        <v>9</v>
      </c>
    </row>
    <row r="187" spans="1:10">
      <c r="A187">
        <f t="shared" si="197"/>
        <v>9615110</v>
      </c>
      <c r="B187" t="str">
        <f t="shared" ref="B187:C187" si="213">B168</f>
        <v>暴虐狂袭</v>
      </c>
      <c r="C187" t="str">
        <f t="shared" si="213"/>
        <v>以锐利的撬棍将敌人挑起的棍法，伤害随技能等级提升。</v>
      </c>
      <c r="D187" s="39">
        <f>VLOOKUP(INT(A187/100)*100+1,CHOOSE({1,2},D_马仔表!$I$2:$I$20,D_马仔表!$D$2:$D$20),2,FALSE)</f>
        <v>3</v>
      </c>
      <c r="E187">
        <f t="shared" si="199"/>
        <v>10</v>
      </c>
      <c r="F187">
        <f t="shared" si="143"/>
        <v>2.9</v>
      </c>
      <c r="G187">
        <f t="shared" si="144"/>
        <v>6.9999999999999991</v>
      </c>
      <c r="H187" t="str">
        <f t="shared" si="200"/>
        <v>9615101.png</v>
      </c>
      <c r="I187" s="39">
        <v>0</v>
      </c>
      <c r="J187">
        <f t="shared" si="171"/>
        <v>9</v>
      </c>
    </row>
    <row r="188" spans="1:10">
      <c r="A188">
        <f t="shared" si="197"/>
        <v>9616110</v>
      </c>
      <c r="B188" t="str">
        <f t="shared" ref="B188:C188" si="214">B169</f>
        <v>狂狮乱舞</v>
      </c>
      <c r="C188" t="str">
        <f t="shared" si="214"/>
        <v>以极快的速度挥舞双节棍，给予前方目标沉重打击，伤害随技能等级提升。</v>
      </c>
      <c r="D188" s="39">
        <f>VLOOKUP(INT(A188/100)*100+1,CHOOSE({1,2},D_马仔表!$I$2:$I$20,D_马仔表!$D$2:$D$20),2,FALSE)</f>
        <v>3</v>
      </c>
      <c r="E188">
        <f t="shared" si="199"/>
        <v>10</v>
      </c>
      <c r="F188">
        <f t="shared" si="143"/>
        <v>2.9</v>
      </c>
      <c r="G188">
        <f t="shared" si="144"/>
        <v>6.9999999999999991</v>
      </c>
      <c r="H188" t="str">
        <f t="shared" si="200"/>
        <v>9616101.png</v>
      </c>
      <c r="I188" s="39">
        <v>0</v>
      </c>
      <c r="J188">
        <f t="shared" si="171"/>
        <v>9</v>
      </c>
    </row>
    <row r="189" spans="1:10">
      <c r="A189" s="108">
        <f t="shared" si="197"/>
        <v>9617110</v>
      </c>
      <c r="B189" t="str">
        <f t="shared" ref="B189:C189" si="215">B170</f>
        <v>撩阴腿</v>
      </c>
      <c r="C189" t="str">
        <f t="shared" si="215"/>
        <v>对敌人的要害进行猛烈的踢技，伤害随技能等级提升。</v>
      </c>
      <c r="D189" s="39">
        <f>VLOOKUP(INT(A189/100)*100+1,CHOOSE({1,2},D_马仔表!$I$2:$I$20,D_马仔表!$D$2:$D$20),2,FALSE)</f>
        <v>1</v>
      </c>
      <c r="E189">
        <f t="shared" si="199"/>
        <v>10</v>
      </c>
      <c r="F189">
        <f t="shared" si="143"/>
        <v>2.9</v>
      </c>
      <c r="G189">
        <f t="shared" si="144"/>
        <v>5.2</v>
      </c>
      <c r="H189" t="str">
        <f t="shared" si="200"/>
        <v>9609201.png</v>
      </c>
      <c r="I189" s="39">
        <v>0</v>
      </c>
      <c r="J189">
        <f t="shared" ref="J189:J191" si="216">MOD(A189,100)-1</f>
        <v>9</v>
      </c>
    </row>
    <row r="190" spans="1:10">
      <c r="A190" s="108">
        <f t="shared" si="197"/>
        <v>9618110</v>
      </c>
      <c r="B190" t="str">
        <f t="shared" ref="B190:C190" si="217">B171</f>
        <v>烈风腿</v>
      </c>
      <c r="C190" t="str">
        <f t="shared" si="217"/>
        <v>以迅捷的腿法将敌人踢飞的踢技，伤害随技能等级提升。</v>
      </c>
      <c r="D190" s="39">
        <f>VLOOKUP(INT(A190/100)*100+1,CHOOSE({1,2},D_马仔表!$I$2:$I$20,D_马仔表!$D$2:$D$20),2,FALSE)</f>
        <v>2</v>
      </c>
      <c r="E190">
        <f t="shared" si="199"/>
        <v>10</v>
      </c>
      <c r="F190">
        <f t="shared" si="143"/>
        <v>2.9</v>
      </c>
      <c r="G190">
        <f t="shared" si="144"/>
        <v>6.1000000000000005</v>
      </c>
      <c r="H190" t="str">
        <f t="shared" si="200"/>
        <v>9601101.png</v>
      </c>
      <c r="I190" s="39">
        <v>0</v>
      </c>
      <c r="J190">
        <f t="shared" si="216"/>
        <v>9</v>
      </c>
    </row>
    <row r="191" spans="1:10">
      <c r="A191" s="108">
        <f t="shared" si="197"/>
        <v>9619110</v>
      </c>
      <c r="B191" t="str">
        <f t="shared" ref="B191:C191" si="218">B172</f>
        <v>黑虎出山</v>
      </c>
      <c r="C191" t="str">
        <f t="shared" si="218"/>
        <v>以极快的刀法刺穿眼前之敌的阴毒招式，伤害随技能等级提升。</v>
      </c>
      <c r="D191" s="39">
        <f>VLOOKUP(INT(A191/100)*100+1,CHOOSE({1,2},D_马仔表!$I$2:$I$20,D_马仔表!$D$2:$D$20),2,FALSE)</f>
        <v>2</v>
      </c>
      <c r="E191">
        <f t="shared" si="199"/>
        <v>10</v>
      </c>
      <c r="F191">
        <f t="shared" si="143"/>
        <v>2.9</v>
      </c>
      <c r="G191">
        <f t="shared" si="144"/>
        <v>6.1000000000000005</v>
      </c>
      <c r="H191" t="str">
        <f t="shared" si="200"/>
        <v>9614101.png</v>
      </c>
      <c r="I191" s="39">
        <v>0</v>
      </c>
      <c r="J191">
        <f t="shared" si="216"/>
        <v>9</v>
      </c>
    </row>
    <row r="192" spans="1:10">
      <c r="A192">
        <f t="shared" si="197"/>
        <v>9601111</v>
      </c>
      <c r="B192" t="str">
        <f t="shared" ref="B192:C192" si="219">B173</f>
        <v>百裂踢</v>
      </c>
      <c r="C192" t="str">
        <f t="shared" si="219"/>
        <v>在短时间内向目标发起连续踢技让对手防不胜防，伤害随技能等级提升。</v>
      </c>
      <c r="D192" s="39">
        <f>VLOOKUP(INT(A192/100)*100+1,CHOOSE({1,2},D_马仔表!$I$2:$I$20,D_马仔表!$D$2:$D$20),2,FALSE)</f>
        <v>0</v>
      </c>
      <c r="E192">
        <f t="shared" si="199"/>
        <v>11</v>
      </c>
      <c r="F192">
        <f t="shared" si="143"/>
        <v>3</v>
      </c>
      <c r="G192">
        <f t="shared" si="144"/>
        <v>4.5999999999999996</v>
      </c>
      <c r="H192" t="str">
        <f t="shared" si="200"/>
        <v>9601101.png</v>
      </c>
      <c r="I192" s="39">
        <v>0</v>
      </c>
      <c r="J192">
        <f t="shared" ref="J192:J207" si="220">MOD(A192,100)-1</f>
        <v>10</v>
      </c>
    </row>
    <row r="193" spans="1:10">
      <c r="A193">
        <f t="shared" si="197"/>
        <v>9602111</v>
      </c>
      <c r="B193" t="str">
        <f t="shared" ref="B193:C193" si="221">B174</f>
        <v>精密射击</v>
      </c>
      <c r="C193" t="str">
        <f t="shared" si="221"/>
        <v>以精密的射击技术对敌人的弱点发起连续射击，伤害随技能等级提升。</v>
      </c>
      <c r="D193" s="39">
        <f>VLOOKUP(INT(A193/100)*100+1,CHOOSE({1,2},D_马仔表!$I$2:$I$20,D_马仔表!$D$2:$D$20),2,FALSE)</f>
        <v>0</v>
      </c>
      <c r="E193">
        <f t="shared" si="199"/>
        <v>11</v>
      </c>
      <c r="F193">
        <f t="shared" si="143"/>
        <v>3</v>
      </c>
      <c r="G193">
        <f t="shared" si="144"/>
        <v>4.5999999999999996</v>
      </c>
      <c r="H193" t="str">
        <f t="shared" si="200"/>
        <v>9602101.png</v>
      </c>
      <c r="I193" s="39">
        <v>0</v>
      </c>
      <c r="J193">
        <f t="shared" si="220"/>
        <v>10</v>
      </c>
    </row>
    <row r="194" spans="1:10">
      <c r="A194">
        <f t="shared" si="197"/>
        <v>9603111</v>
      </c>
      <c r="B194" t="str">
        <f t="shared" ref="B194:C194" si="222">B175</f>
        <v>火焰龙卷棍</v>
      </c>
      <c r="C194" t="str">
        <f t="shared" si="222"/>
        <v>以高速挥舞的长棍摩擦空气产生的烈焰吞噬目标，伤害随技能等级提升。</v>
      </c>
      <c r="D194" s="39">
        <f>VLOOKUP(INT(A194/100)*100+1,CHOOSE({1,2},D_马仔表!$I$2:$I$20,D_马仔表!$D$2:$D$20),2,FALSE)</f>
        <v>0</v>
      </c>
      <c r="E194">
        <f t="shared" si="199"/>
        <v>11</v>
      </c>
      <c r="F194">
        <f t="shared" si="143"/>
        <v>3</v>
      </c>
      <c r="G194">
        <f t="shared" si="144"/>
        <v>4.5999999999999996</v>
      </c>
      <c r="H194" t="str">
        <f t="shared" si="200"/>
        <v>9603101.png</v>
      </c>
      <c r="I194" s="39">
        <v>0</v>
      </c>
      <c r="J194">
        <f t="shared" si="220"/>
        <v>10</v>
      </c>
    </row>
    <row r="195" spans="1:10">
      <c r="A195">
        <f t="shared" si="197"/>
        <v>9604111</v>
      </c>
      <c r="B195" t="str">
        <f t="shared" ref="B195:C195" si="223">B176</f>
        <v>致命突袭</v>
      </c>
      <c r="C195" t="str">
        <f t="shared" si="223"/>
        <v>以猛烈的拳法配合踢技终结目标，伤害随技能等级提升。</v>
      </c>
      <c r="D195" s="39">
        <f>VLOOKUP(INT(A195/100)*100+1,CHOOSE({1,2},D_马仔表!$I$2:$I$20,D_马仔表!$D$2:$D$20),2,FALSE)</f>
        <v>0</v>
      </c>
      <c r="E195">
        <f t="shared" si="199"/>
        <v>11</v>
      </c>
      <c r="F195">
        <f t="shared" ref="F195:F210" si="224">1.9+E195*0.1</f>
        <v>3</v>
      </c>
      <c r="G195">
        <f t="shared" ref="G195:G210" si="225">1.3+E195*0.3*(D195*0.3+1)</f>
        <v>4.5999999999999996</v>
      </c>
      <c r="H195" t="str">
        <f t="shared" si="200"/>
        <v>9604101.png</v>
      </c>
      <c r="I195" s="39">
        <v>0</v>
      </c>
      <c r="J195">
        <f t="shared" si="220"/>
        <v>10</v>
      </c>
    </row>
    <row r="196" spans="1:10">
      <c r="A196">
        <f t="shared" si="197"/>
        <v>9605111</v>
      </c>
      <c r="B196" t="str">
        <f t="shared" ref="B196:C196" si="226">B177</f>
        <v>蛮牛冲撞</v>
      </c>
      <c r="C196" t="str">
        <f t="shared" si="226"/>
        <v>以蛮牛般的力量向前方突进，给予前方目标巨大伤害，伤害随技能等级提升。</v>
      </c>
      <c r="D196" s="39">
        <f>VLOOKUP(INT(A196/100)*100+1,CHOOSE({1,2},D_马仔表!$I$2:$I$20,D_马仔表!$D$2:$D$20),2,FALSE)</f>
        <v>0</v>
      </c>
      <c r="E196">
        <f t="shared" si="199"/>
        <v>11</v>
      </c>
      <c r="F196">
        <f t="shared" si="224"/>
        <v>3</v>
      </c>
      <c r="G196">
        <f t="shared" si="225"/>
        <v>4.5999999999999996</v>
      </c>
      <c r="H196" t="str">
        <f t="shared" si="200"/>
        <v>9605101.png</v>
      </c>
      <c r="I196" s="39">
        <v>0</v>
      </c>
      <c r="J196">
        <f t="shared" si="220"/>
        <v>10</v>
      </c>
    </row>
    <row r="197" spans="1:10">
      <c r="A197">
        <f t="shared" si="197"/>
        <v>9606111</v>
      </c>
      <c r="B197" t="str">
        <f t="shared" ref="B197:C197" si="227">B178</f>
        <v>烈风回旋击</v>
      </c>
      <c r="C197" t="str">
        <f t="shared" si="227"/>
        <v>以狂风般的速度发起的三连回旋击，伤害随技能等级提升。</v>
      </c>
      <c r="D197" s="39">
        <f>VLOOKUP(INT(A197/100)*100+1,CHOOSE({1,2},D_马仔表!$I$2:$I$20,D_马仔表!$D$2:$D$20),2,FALSE)</f>
        <v>1</v>
      </c>
      <c r="E197">
        <f t="shared" si="199"/>
        <v>11</v>
      </c>
      <c r="F197">
        <f t="shared" si="224"/>
        <v>3</v>
      </c>
      <c r="G197">
        <f t="shared" si="225"/>
        <v>5.59</v>
      </c>
      <c r="H197" t="str">
        <f t="shared" si="200"/>
        <v>9606101.png</v>
      </c>
      <c r="I197" s="39">
        <v>0</v>
      </c>
      <c r="J197">
        <f t="shared" si="220"/>
        <v>10</v>
      </c>
    </row>
    <row r="198" spans="1:10">
      <c r="A198">
        <f t="shared" si="197"/>
        <v>9607111</v>
      </c>
      <c r="B198" t="str">
        <f t="shared" ref="B198:C198" si="228">B179</f>
        <v>火力覆盖</v>
      </c>
      <c r="C198" t="str">
        <f t="shared" si="228"/>
        <v>用大口径机枪向目标发起疯狂的扫射，伤害随技能等级提升。</v>
      </c>
      <c r="D198" s="39">
        <f>VLOOKUP(INT(A198/100)*100+1,CHOOSE({1,2},D_马仔表!$I$2:$I$20,D_马仔表!$D$2:$D$20),2,FALSE)</f>
        <v>1</v>
      </c>
      <c r="E198">
        <f t="shared" si="199"/>
        <v>11</v>
      </c>
      <c r="F198">
        <f t="shared" si="224"/>
        <v>3</v>
      </c>
      <c r="G198">
        <f t="shared" si="225"/>
        <v>5.59</v>
      </c>
      <c r="H198" t="str">
        <f t="shared" si="200"/>
        <v>9607101.png</v>
      </c>
      <c r="I198" s="39">
        <v>0</v>
      </c>
      <c r="J198">
        <f t="shared" si="220"/>
        <v>10</v>
      </c>
    </row>
    <row r="199" spans="1:10">
      <c r="A199">
        <f t="shared" si="197"/>
        <v>9608111</v>
      </c>
      <c r="B199" t="str">
        <f t="shared" ref="B199:C199" si="229">B180</f>
        <v>猪突猛进</v>
      </c>
      <c r="C199" t="str">
        <f t="shared" si="229"/>
        <v>疯狂的向前方突进，将沿途的敌人统统击飞，伤害随技能等级提升。</v>
      </c>
      <c r="D199" s="39">
        <f>VLOOKUP(INT(A199/100)*100+1,CHOOSE({1,2},D_马仔表!$I$2:$I$20,D_马仔表!$D$2:$D$20),2,FALSE)</f>
        <v>1</v>
      </c>
      <c r="E199">
        <f t="shared" si="199"/>
        <v>11</v>
      </c>
      <c r="F199">
        <f t="shared" si="224"/>
        <v>3</v>
      </c>
      <c r="G199">
        <f t="shared" si="225"/>
        <v>5.59</v>
      </c>
      <c r="H199" t="str">
        <f t="shared" si="200"/>
        <v>9608101.png</v>
      </c>
      <c r="I199" s="39">
        <v>0</v>
      </c>
      <c r="J199">
        <f t="shared" si="220"/>
        <v>10</v>
      </c>
    </row>
    <row r="200" spans="1:10">
      <c r="A200">
        <f t="shared" si="197"/>
        <v>9609111</v>
      </c>
      <c r="B200" t="str">
        <f t="shared" ref="B200:C200" si="230">B181</f>
        <v>毁灭漩涡</v>
      </c>
      <c r="C200" t="str">
        <f t="shared" si="230"/>
        <v>快速旋转自身，将沿途目标无情撕碎的恐怖招式，伤害随技能等级提升。</v>
      </c>
      <c r="D200" s="39">
        <f>VLOOKUP(INT(A200/100)*100+1,CHOOSE({1,2},D_马仔表!$I$2:$I$20,D_马仔表!$D$2:$D$20),2,FALSE)</f>
        <v>2</v>
      </c>
      <c r="E200">
        <f t="shared" si="199"/>
        <v>11</v>
      </c>
      <c r="F200">
        <f t="shared" si="224"/>
        <v>3</v>
      </c>
      <c r="G200">
        <f t="shared" si="225"/>
        <v>6.58</v>
      </c>
      <c r="H200" t="str">
        <f t="shared" si="200"/>
        <v>9609101.png</v>
      </c>
      <c r="I200" s="39">
        <v>0</v>
      </c>
      <c r="J200">
        <f t="shared" si="220"/>
        <v>10</v>
      </c>
    </row>
    <row r="201" spans="1:10">
      <c r="A201">
        <f t="shared" si="197"/>
        <v>9610111</v>
      </c>
      <c r="B201" t="str">
        <f t="shared" ref="B201:C201" si="231">B182</f>
        <v>死亡切割</v>
      </c>
      <c r="C201" t="str">
        <f t="shared" si="231"/>
        <v>将目标踢至空中切割的锐利踢技，伤害随技能等级提升。</v>
      </c>
      <c r="D201" s="39">
        <f>VLOOKUP(INT(A201/100)*100+1,CHOOSE({1,2},D_马仔表!$I$2:$I$20,D_马仔表!$D$2:$D$20),2,FALSE)</f>
        <v>2</v>
      </c>
      <c r="E201">
        <f t="shared" si="199"/>
        <v>11</v>
      </c>
      <c r="F201">
        <f t="shared" si="224"/>
        <v>3</v>
      </c>
      <c r="G201">
        <f t="shared" si="225"/>
        <v>6.58</v>
      </c>
      <c r="H201" t="str">
        <f t="shared" si="200"/>
        <v>9610101.png</v>
      </c>
      <c r="I201" s="39">
        <v>0</v>
      </c>
      <c r="J201">
        <f t="shared" si="220"/>
        <v>10</v>
      </c>
    </row>
    <row r="202" spans="1:10">
      <c r="A202">
        <f t="shared" si="197"/>
        <v>9611111</v>
      </c>
      <c r="B202" t="str">
        <f t="shared" ref="B202:C202" si="232">B183</f>
        <v>幻影闪现</v>
      </c>
      <c r="C202" t="str">
        <f t="shared" si="232"/>
        <v>将周围敌人以高速飞舞的纸牌切开，伤害随技能等级提升。</v>
      </c>
      <c r="D202" s="39">
        <f>VLOOKUP(INT(A202/100)*100+1,CHOOSE({1,2},D_马仔表!$I$2:$I$20,D_马仔表!$D$2:$D$20),2,FALSE)</f>
        <v>2</v>
      </c>
      <c r="E202">
        <f t="shared" si="199"/>
        <v>11</v>
      </c>
      <c r="F202">
        <f t="shared" si="224"/>
        <v>3</v>
      </c>
      <c r="G202">
        <f t="shared" si="225"/>
        <v>6.58</v>
      </c>
      <c r="H202" t="str">
        <f t="shared" si="200"/>
        <v>9611101.png</v>
      </c>
      <c r="I202" s="39">
        <v>0</v>
      </c>
      <c r="J202">
        <f t="shared" si="220"/>
        <v>10</v>
      </c>
    </row>
    <row r="203" spans="1:10">
      <c r="A203">
        <f t="shared" si="197"/>
        <v>9612111</v>
      </c>
      <c r="B203" t="str">
        <f t="shared" ref="B203:C203" si="233">B184</f>
        <v>圆月斩</v>
      </c>
      <c r="C203" t="str">
        <f t="shared" si="233"/>
        <v>划出圆月般的剑气重创周围敌人，伤害随技能等级提升。</v>
      </c>
      <c r="D203" s="39">
        <f>VLOOKUP(INT(A203/100)*100+1,CHOOSE({1,2},D_马仔表!$I$2:$I$20,D_马仔表!$D$2:$D$20),2,FALSE)</f>
        <v>2</v>
      </c>
      <c r="E203">
        <f t="shared" si="199"/>
        <v>11</v>
      </c>
      <c r="F203">
        <f t="shared" si="224"/>
        <v>3</v>
      </c>
      <c r="G203">
        <f t="shared" si="225"/>
        <v>6.58</v>
      </c>
      <c r="H203" t="str">
        <f t="shared" si="200"/>
        <v>9612101.png</v>
      </c>
      <c r="I203" s="39">
        <v>0</v>
      </c>
      <c r="J203">
        <f t="shared" si="220"/>
        <v>10</v>
      </c>
    </row>
    <row r="204" spans="1:10">
      <c r="A204">
        <f t="shared" si="197"/>
        <v>9613111</v>
      </c>
      <c r="B204" t="str">
        <f t="shared" ref="B204:C204" si="234">B185</f>
        <v>奥义天狗抄</v>
      </c>
      <c r="C204" t="str">
        <f t="shared" si="234"/>
        <v>杀手首领家族代代相传的剑术奥义，伤害随技能等级提升。</v>
      </c>
      <c r="D204" s="39">
        <f>VLOOKUP(INT(A204/100)*100+1,CHOOSE({1,2},D_马仔表!$I$2:$I$20,D_马仔表!$D$2:$D$20),2,FALSE)</f>
        <v>2</v>
      </c>
      <c r="E204">
        <f t="shared" si="199"/>
        <v>11</v>
      </c>
      <c r="F204">
        <f t="shared" si="224"/>
        <v>3</v>
      </c>
      <c r="G204">
        <f t="shared" si="225"/>
        <v>6.58</v>
      </c>
      <c r="H204" t="str">
        <f t="shared" si="200"/>
        <v>9613101.png</v>
      </c>
      <c r="I204" s="39">
        <v>0</v>
      </c>
      <c r="J204">
        <f t="shared" si="220"/>
        <v>10</v>
      </c>
    </row>
    <row r="205" spans="1:10">
      <c r="A205">
        <f t="shared" si="197"/>
        <v>9614111</v>
      </c>
      <c r="B205" t="str">
        <f t="shared" ref="B205:C205" si="235">B186</f>
        <v>风神斩</v>
      </c>
      <c r="C205" t="str">
        <f t="shared" si="235"/>
        <v>以极快的凌厉斩击将周围的敌人斩落的高超刀法，伤害随技能等级提升。</v>
      </c>
      <c r="D205" s="39">
        <f>VLOOKUP(INT(A205/100)*100+1,CHOOSE({1,2},D_马仔表!$I$2:$I$20,D_马仔表!$D$2:$D$20),2,FALSE)</f>
        <v>3</v>
      </c>
      <c r="E205">
        <f t="shared" si="199"/>
        <v>11</v>
      </c>
      <c r="F205">
        <f t="shared" si="224"/>
        <v>3</v>
      </c>
      <c r="G205">
        <f t="shared" si="225"/>
        <v>7.5699999999999994</v>
      </c>
      <c r="H205" t="str">
        <f t="shared" si="200"/>
        <v>9614101.png</v>
      </c>
      <c r="I205" s="39">
        <v>0</v>
      </c>
      <c r="J205">
        <f t="shared" si="220"/>
        <v>10</v>
      </c>
    </row>
    <row r="206" spans="1:10">
      <c r="A206">
        <f t="shared" si="197"/>
        <v>9615111</v>
      </c>
      <c r="B206" t="str">
        <f t="shared" ref="B206:C206" si="236">B187</f>
        <v>暴虐狂袭</v>
      </c>
      <c r="C206" t="str">
        <f t="shared" si="236"/>
        <v>以锐利的撬棍将敌人挑起的棍法，伤害随技能等级提升。</v>
      </c>
      <c r="D206" s="39">
        <f>VLOOKUP(INT(A206/100)*100+1,CHOOSE({1,2},D_马仔表!$I$2:$I$20,D_马仔表!$D$2:$D$20),2,FALSE)</f>
        <v>3</v>
      </c>
      <c r="E206">
        <f t="shared" si="199"/>
        <v>11</v>
      </c>
      <c r="F206">
        <f t="shared" si="224"/>
        <v>3</v>
      </c>
      <c r="G206">
        <f t="shared" si="225"/>
        <v>7.5699999999999994</v>
      </c>
      <c r="H206" t="str">
        <f t="shared" si="200"/>
        <v>9615101.png</v>
      </c>
      <c r="I206" s="39">
        <v>0</v>
      </c>
      <c r="J206">
        <f t="shared" si="220"/>
        <v>10</v>
      </c>
    </row>
    <row r="207" spans="1:10">
      <c r="A207">
        <f t="shared" si="197"/>
        <v>9616111</v>
      </c>
      <c r="B207" t="str">
        <f t="shared" ref="B207:C207" si="237">B188</f>
        <v>狂狮乱舞</v>
      </c>
      <c r="C207" t="str">
        <f t="shared" si="237"/>
        <v>以极快的速度挥舞双节棍，给予前方目标沉重打击，伤害随技能等级提升。</v>
      </c>
      <c r="D207" s="39">
        <f>VLOOKUP(INT(A207/100)*100+1,CHOOSE({1,2},D_马仔表!$I$2:$I$20,D_马仔表!$D$2:$D$20),2,FALSE)</f>
        <v>3</v>
      </c>
      <c r="E207">
        <f t="shared" si="199"/>
        <v>11</v>
      </c>
      <c r="F207">
        <f t="shared" si="224"/>
        <v>3</v>
      </c>
      <c r="G207">
        <f t="shared" si="225"/>
        <v>7.5699999999999994</v>
      </c>
      <c r="H207" t="str">
        <f t="shared" si="200"/>
        <v>9616101.png</v>
      </c>
      <c r="I207" s="39">
        <v>0</v>
      </c>
      <c r="J207">
        <f t="shared" si="220"/>
        <v>10</v>
      </c>
    </row>
    <row r="208" spans="1:10">
      <c r="A208" s="108">
        <f t="shared" si="197"/>
        <v>9617111</v>
      </c>
      <c r="B208" t="str">
        <f t="shared" ref="B208:C208" si="238">B189</f>
        <v>撩阴腿</v>
      </c>
      <c r="C208" t="str">
        <f t="shared" si="238"/>
        <v>对敌人的要害进行猛烈的踢技，伤害随技能等级提升。</v>
      </c>
      <c r="D208" s="39">
        <f>VLOOKUP(INT(A208/100)*100+1,CHOOSE({1,2},D_马仔表!$I$2:$I$20,D_马仔表!$D$2:$D$20),2,FALSE)</f>
        <v>1</v>
      </c>
      <c r="E208">
        <f t="shared" si="199"/>
        <v>11</v>
      </c>
      <c r="F208">
        <f t="shared" si="224"/>
        <v>3</v>
      </c>
      <c r="G208">
        <f t="shared" si="225"/>
        <v>5.59</v>
      </c>
      <c r="H208" t="str">
        <f t="shared" si="200"/>
        <v>9609201.png</v>
      </c>
      <c r="I208" s="39">
        <v>0</v>
      </c>
      <c r="J208">
        <f t="shared" ref="J208:J210" si="239">MOD(A208,100)-1</f>
        <v>10</v>
      </c>
    </row>
    <row r="209" spans="1:10">
      <c r="A209" s="108">
        <f t="shared" si="197"/>
        <v>9618111</v>
      </c>
      <c r="B209" t="str">
        <f t="shared" ref="B209:C209" si="240">B190</f>
        <v>烈风腿</v>
      </c>
      <c r="C209" t="str">
        <f t="shared" si="240"/>
        <v>以迅捷的腿法将敌人踢飞的踢技，伤害随技能等级提升。</v>
      </c>
      <c r="D209" s="39">
        <f>VLOOKUP(INT(A209/100)*100+1,CHOOSE({1,2},D_马仔表!$I$2:$I$20,D_马仔表!$D$2:$D$20),2,FALSE)</f>
        <v>2</v>
      </c>
      <c r="E209">
        <f t="shared" si="199"/>
        <v>11</v>
      </c>
      <c r="F209">
        <f t="shared" si="224"/>
        <v>3</v>
      </c>
      <c r="G209">
        <f t="shared" si="225"/>
        <v>6.58</v>
      </c>
      <c r="H209" t="str">
        <f t="shared" si="200"/>
        <v>9601101.png</v>
      </c>
      <c r="I209" s="39">
        <v>0</v>
      </c>
      <c r="J209">
        <f t="shared" si="239"/>
        <v>10</v>
      </c>
    </row>
    <row r="210" spans="1:10">
      <c r="A210" s="108">
        <f t="shared" si="197"/>
        <v>9619111</v>
      </c>
      <c r="B210" t="str">
        <f t="shared" ref="B210:C210" si="241">B191</f>
        <v>黑虎出山</v>
      </c>
      <c r="C210" t="str">
        <f t="shared" si="241"/>
        <v>以极快的刀法刺穿眼前之敌的阴毒招式，伤害随技能等级提升。</v>
      </c>
      <c r="D210" s="39">
        <f>VLOOKUP(INT(A210/100)*100+1,CHOOSE({1,2},D_马仔表!$I$2:$I$20,D_马仔表!$D$2:$D$20),2,FALSE)</f>
        <v>2</v>
      </c>
      <c r="E210">
        <f t="shared" si="199"/>
        <v>11</v>
      </c>
      <c r="F210">
        <f t="shared" si="224"/>
        <v>3</v>
      </c>
      <c r="G210">
        <f t="shared" si="225"/>
        <v>6.58</v>
      </c>
      <c r="H210" t="str">
        <f t="shared" si="200"/>
        <v>9614101.png</v>
      </c>
      <c r="I210" s="39">
        <v>0</v>
      </c>
      <c r="J210">
        <f t="shared" si="239"/>
        <v>10</v>
      </c>
    </row>
    <row r="211" spans="1:10">
      <c r="D211" s="39"/>
      <c r="I211" s="39"/>
    </row>
    <row r="212" spans="1:10">
      <c r="D212" s="39"/>
      <c r="I212" s="39"/>
    </row>
    <row r="213" spans="1:10">
      <c r="D213" s="39"/>
      <c r="I213" s="39"/>
    </row>
    <row r="214" spans="1:10">
      <c r="D214" s="39"/>
      <c r="I214" s="39"/>
    </row>
    <row r="215" spans="1:10">
      <c r="D215" s="39"/>
      <c r="I215" s="39"/>
    </row>
    <row r="216" spans="1:10">
      <c r="D216" s="39"/>
      <c r="I216" s="39"/>
    </row>
    <row r="217" spans="1:10">
      <c r="D217" s="39"/>
      <c r="I217" s="39"/>
    </row>
    <row r="218" spans="1:10">
      <c r="D218" s="39"/>
      <c r="I218" s="39"/>
    </row>
    <row r="219" spans="1:10">
      <c r="D219" s="39"/>
      <c r="I219" s="39"/>
    </row>
    <row r="220" spans="1:10">
      <c r="D220" s="39"/>
      <c r="I220" s="39"/>
    </row>
    <row r="221" spans="1:10">
      <c r="D221" s="39"/>
      <c r="I221" s="39"/>
    </row>
    <row r="222" spans="1:10">
      <c r="D222" s="39"/>
      <c r="I222" s="39"/>
    </row>
    <row r="223" spans="1:10">
      <c r="D223" s="39"/>
      <c r="I223" s="39"/>
    </row>
    <row r="224" spans="1:10">
      <c r="I224" s="39"/>
    </row>
    <row r="225" spans="9:9">
      <c r="I225" s="39"/>
    </row>
    <row r="226" spans="9:9">
      <c r="I226" s="39"/>
    </row>
    <row r="227" spans="9:9">
      <c r="I227" s="39"/>
    </row>
    <row r="228" spans="9:9">
      <c r="I228" s="39"/>
    </row>
    <row r="229" spans="9:9">
      <c r="I229" s="39"/>
    </row>
    <row r="230" spans="9:9">
      <c r="I230" s="39"/>
    </row>
    <row r="231" spans="9:9">
      <c r="I231" s="39"/>
    </row>
    <row r="232" spans="9:9">
      <c r="I232" s="39"/>
    </row>
    <row r="233" spans="9:9">
      <c r="I233" s="39"/>
    </row>
    <row r="234" spans="9:9">
      <c r="I234" s="39"/>
    </row>
    <row r="235" spans="9:9">
      <c r="I235" s="39"/>
    </row>
    <row r="236" spans="9:9">
      <c r="I236" s="39"/>
    </row>
    <row r="237" spans="9:9">
      <c r="I237" s="39"/>
    </row>
    <row r="238" spans="9:9">
      <c r="I238" s="39"/>
    </row>
    <row r="239" spans="9:9">
      <c r="I239" s="39"/>
    </row>
    <row r="240" spans="9:9">
      <c r="I240" s="39"/>
    </row>
    <row r="241" spans="9:9">
      <c r="I241" s="39"/>
    </row>
    <row r="242" spans="9:9">
      <c r="I242" s="39"/>
    </row>
    <row r="243" spans="9:9">
      <c r="I243" s="39"/>
    </row>
    <row r="244" spans="9:9">
      <c r="I244" s="39"/>
    </row>
    <row r="245" spans="9:9">
      <c r="I245" s="39"/>
    </row>
    <row r="246" spans="9:9">
      <c r="I246" s="39"/>
    </row>
    <row r="247" spans="9:9">
      <c r="I247" s="39"/>
    </row>
    <row r="248" spans="9:9">
      <c r="I248" s="39"/>
    </row>
    <row r="249" spans="9:9">
      <c r="I249" s="39"/>
    </row>
    <row r="250" spans="9:9">
      <c r="I250" s="39"/>
    </row>
    <row r="251" spans="9:9">
      <c r="I251" s="39"/>
    </row>
    <row r="252" spans="9:9">
      <c r="I252" s="39"/>
    </row>
    <row r="253" spans="9:9">
      <c r="I253" s="39"/>
    </row>
    <row r="254" spans="9:9">
      <c r="I254" s="39"/>
    </row>
    <row r="255" spans="9:9">
      <c r="I255" s="39"/>
    </row>
    <row r="256" spans="9:9">
      <c r="I256" s="39"/>
    </row>
    <row r="257" spans="9:9">
      <c r="I257" s="39"/>
    </row>
    <row r="258" spans="9:9">
      <c r="I258" s="39"/>
    </row>
    <row r="259" spans="9:9">
      <c r="I259" s="39"/>
    </row>
    <row r="260" spans="9:9">
      <c r="I260" s="39"/>
    </row>
    <row r="261" spans="9:9">
      <c r="I261" s="39"/>
    </row>
    <row r="262" spans="9:9">
      <c r="I262" s="39"/>
    </row>
    <row r="263" spans="9:9">
      <c r="I263" s="39"/>
    </row>
    <row r="264" spans="9:9">
      <c r="I264" s="39"/>
    </row>
    <row r="265" spans="9:9">
      <c r="I265" s="39"/>
    </row>
    <row r="266" spans="9:9">
      <c r="I266" s="39"/>
    </row>
    <row r="267" spans="9:9">
      <c r="I267" s="39"/>
    </row>
    <row r="268" spans="9:9">
      <c r="I268" s="39"/>
    </row>
    <row r="269" spans="9:9">
      <c r="I269" s="39"/>
    </row>
    <row r="270" spans="9:9">
      <c r="I270" s="39"/>
    </row>
    <row r="271" spans="9:9">
      <c r="I271" s="39"/>
    </row>
    <row r="272" spans="9:9">
      <c r="I272" s="39"/>
    </row>
    <row r="273" spans="9:9">
      <c r="I273" s="39"/>
    </row>
    <row r="274" spans="9:9">
      <c r="I274" s="39"/>
    </row>
    <row r="275" spans="9:9">
      <c r="I275" s="39"/>
    </row>
    <row r="276" spans="9:9">
      <c r="I276" s="39"/>
    </row>
    <row r="277" spans="9:9">
      <c r="I277" s="39"/>
    </row>
    <row r="278" spans="9:9">
      <c r="I278" s="39"/>
    </row>
    <row r="279" spans="9:9">
      <c r="I279" s="39"/>
    </row>
    <row r="280" spans="9:9">
      <c r="I280" s="39"/>
    </row>
    <row r="281" spans="9:9">
      <c r="I281" s="39"/>
    </row>
    <row r="282" spans="9:9">
      <c r="I282" s="39"/>
    </row>
    <row r="283" spans="9:9">
      <c r="I283" s="39"/>
    </row>
    <row r="284" spans="9:9">
      <c r="I284" s="39"/>
    </row>
    <row r="285" spans="9:9">
      <c r="I285" s="39"/>
    </row>
    <row r="286" spans="9:9">
      <c r="I286" s="39"/>
    </row>
    <row r="287" spans="9:9">
      <c r="I287" s="39"/>
    </row>
    <row r="288" spans="9:9">
      <c r="I288" s="39"/>
    </row>
    <row r="289" spans="9:9">
      <c r="I289" s="39"/>
    </row>
    <row r="290" spans="9:9">
      <c r="I290" s="39"/>
    </row>
    <row r="291" spans="9:9">
      <c r="I291" s="39"/>
    </row>
    <row r="292" spans="9:9">
      <c r="I292" s="39"/>
    </row>
    <row r="293" spans="9:9">
      <c r="I293" s="39"/>
    </row>
    <row r="294" spans="9:9">
      <c r="I294" s="39"/>
    </row>
    <row r="295" spans="9:9">
      <c r="I295" s="39"/>
    </row>
    <row r="296" spans="9:9">
      <c r="I296" s="39"/>
    </row>
    <row r="297" spans="9:9">
      <c r="I297" s="39"/>
    </row>
    <row r="298" spans="9:9">
      <c r="I298" s="39"/>
    </row>
    <row r="299" spans="9:9">
      <c r="I299" s="39"/>
    </row>
    <row r="300" spans="9:9">
      <c r="I300" s="39"/>
    </row>
    <row r="301" spans="9:9">
      <c r="I301" s="39"/>
    </row>
    <row r="302" spans="9:9">
      <c r="I302" s="39"/>
    </row>
    <row r="303" spans="9:9">
      <c r="I303" s="39"/>
    </row>
    <row r="304" spans="9:9">
      <c r="I304" s="39"/>
    </row>
    <row r="305" spans="9:9">
      <c r="I305" s="39"/>
    </row>
    <row r="306" spans="9:9">
      <c r="I306" s="39"/>
    </row>
    <row r="307" spans="9:9">
      <c r="I307" s="39"/>
    </row>
    <row r="308" spans="9:9">
      <c r="I308" s="39"/>
    </row>
    <row r="309" spans="9:9">
      <c r="I309" s="39"/>
    </row>
    <row r="310" spans="9:9">
      <c r="I310" s="39"/>
    </row>
    <row r="311" spans="9:9">
      <c r="I311" s="39"/>
    </row>
    <row r="312" spans="9:9">
      <c r="I312" s="39"/>
    </row>
    <row r="313" spans="9:9">
      <c r="I313" s="39"/>
    </row>
    <row r="314" spans="9:9">
      <c r="I314" s="39"/>
    </row>
    <row r="315" spans="9:9">
      <c r="I315" s="39"/>
    </row>
    <row r="316" spans="9:9">
      <c r="I316" s="39"/>
    </row>
    <row r="317" spans="9:9">
      <c r="I317" s="39"/>
    </row>
    <row r="318" spans="9:9">
      <c r="I318" s="39"/>
    </row>
    <row r="319" spans="9:9">
      <c r="I319" s="39"/>
    </row>
    <row r="320" spans="9:9">
      <c r="I320" s="39"/>
    </row>
    <row r="321" spans="9:9">
      <c r="I321" s="39"/>
    </row>
    <row r="322" spans="9:9">
      <c r="I322" s="39"/>
    </row>
    <row r="323" spans="9:9">
      <c r="I323" s="39"/>
    </row>
    <row r="324" spans="9:9">
      <c r="I324" s="39"/>
    </row>
    <row r="325" spans="9:9">
      <c r="I325" s="39"/>
    </row>
    <row r="326" spans="9:9">
      <c r="I326" s="39"/>
    </row>
    <row r="327" spans="9:9">
      <c r="I327" s="39"/>
    </row>
    <row r="328" spans="9:9">
      <c r="I328" s="39"/>
    </row>
    <row r="329" spans="9:9">
      <c r="I329" s="39"/>
    </row>
    <row r="330" spans="9:9">
      <c r="I330" s="39"/>
    </row>
    <row r="331" spans="9:9">
      <c r="I331" s="39"/>
    </row>
    <row r="332" spans="9:9">
      <c r="I332" s="39"/>
    </row>
    <row r="333" spans="9:9">
      <c r="I333" s="39"/>
    </row>
    <row r="334" spans="9:9">
      <c r="I334" s="39"/>
    </row>
    <row r="335" spans="9:9">
      <c r="I335" s="39"/>
    </row>
    <row r="336" spans="9:9">
      <c r="I336" s="39"/>
    </row>
    <row r="337" spans="9:9">
      <c r="I337" s="39"/>
    </row>
    <row r="338" spans="9:9">
      <c r="I338" s="39"/>
    </row>
    <row r="339" spans="9:9">
      <c r="I339" s="39"/>
    </row>
    <row r="340" spans="9:9">
      <c r="I340" s="39"/>
    </row>
    <row r="341" spans="9:9">
      <c r="I341" s="39"/>
    </row>
    <row r="342" spans="9:9">
      <c r="I342" s="39"/>
    </row>
    <row r="343" spans="9:9">
      <c r="I343" s="39"/>
    </row>
    <row r="344" spans="9:9">
      <c r="I344" s="39"/>
    </row>
    <row r="345" spans="9:9">
      <c r="I345" s="39"/>
    </row>
    <row r="346" spans="9:9">
      <c r="I346" s="39"/>
    </row>
    <row r="347" spans="9:9">
      <c r="I347" s="39"/>
    </row>
    <row r="348" spans="9:9">
      <c r="I348" s="39"/>
    </row>
    <row r="349" spans="9:9">
      <c r="I349" s="39"/>
    </row>
    <row r="350" spans="9:9">
      <c r="I350" s="39"/>
    </row>
    <row r="351" spans="9:9">
      <c r="I351" s="39"/>
    </row>
    <row r="352" spans="9:9">
      <c r="I352" s="39"/>
    </row>
    <row r="353" spans="9:9">
      <c r="I353" s="39"/>
    </row>
    <row r="354" spans="9:9">
      <c r="I354" s="39"/>
    </row>
    <row r="355" spans="9:9">
      <c r="I355" s="39"/>
    </row>
    <row r="356" spans="9:9">
      <c r="I356" s="39"/>
    </row>
    <row r="357" spans="9:9">
      <c r="I357" s="39"/>
    </row>
    <row r="358" spans="9:9">
      <c r="I358" s="39"/>
    </row>
    <row r="359" spans="9:9">
      <c r="I359" s="39"/>
    </row>
    <row r="360" spans="9:9">
      <c r="I360" s="39"/>
    </row>
    <row r="361" spans="9:9">
      <c r="I361" s="39"/>
    </row>
    <row r="362" spans="9:9">
      <c r="I362" s="39"/>
    </row>
    <row r="363" spans="9:9">
      <c r="I363" s="39"/>
    </row>
    <row r="364" spans="9:9">
      <c r="I364" s="39"/>
    </row>
    <row r="365" spans="9:9">
      <c r="I365" s="39"/>
    </row>
    <row r="366" spans="9:9">
      <c r="I366" s="39"/>
    </row>
    <row r="367" spans="9:9">
      <c r="I367" s="39"/>
    </row>
    <row r="368" spans="9:9">
      <c r="I368" s="39"/>
    </row>
    <row r="369" spans="9:9">
      <c r="I369" s="39"/>
    </row>
    <row r="370" spans="9:9">
      <c r="I370" s="39"/>
    </row>
    <row r="371" spans="9:9">
      <c r="I371" s="39"/>
    </row>
    <row r="372" spans="9:9">
      <c r="I372" s="39"/>
    </row>
    <row r="373" spans="9:9">
      <c r="I373" s="39"/>
    </row>
  </sheetData>
  <autoFilter ref="A1:J210"/>
  <sortState ref="A2:C17">
    <sortCondition ref="A2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I82"/>
  <sheetViews>
    <sheetView topLeftCell="M1" workbookViewId="0">
      <selection activeCell="R51" sqref="R51"/>
    </sheetView>
  </sheetViews>
  <sheetFormatPr defaultRowHeight="13.5"/>
  <cols>
    <col min="2" max="2" width="9.5" bestFit="1" customWidth="1"/>
    <col min="3" max="6" width="12.75" bestFit="1" customWidth="1"/>
    <col min="14" max="14" width="22.625" bestFit="1" customWidth="1"/>
    <col min="22" max="22" width="13.875" bestFit="1" customWidth="1"/>
    <col min="23" max="23" width="11.375" customWidth="1"/>
    <col min="27" max="27" width="11.5" customWidth="1"/>
    <col min="28" max="32" width="13.875" bestFit="1" customWidth="1"/>
  </cols>
  <sheetData>
    <row r="1" spans="1:20">
      <c r="B1" s="48" t="s">
        <v>296</v>
      </c>
      <c r="C1" s="48">
        <v>0</v>
      </c>
      <c r="D1" s="49">
        <v>1</v>
      </c>
      <c r="E1" s="48">
        <v>2</v>
      </c>
      <c r="F1" s="13">
        <v>3</v>
      </c>
    </row>
    <row r="2" spans="1:20">
      <c r="A2" s="6" t="s">
        <v>293</v>
      </c>
      <c r="B2" s="6" t="s">
        <v>294</v>
      </c>
      <c r="C2" s="6" t="s">
        <v>295</v>
      </c>
      <c r="D2" s="6" t="s">
        <v>295</v>
      </c>
      <c r="E2" s="6" t="s">
        <v>295</v>
      </c>
      <c r="F2" s="29" t="s">
        <v>297</v>
      </c>
      <c r="O2" s="6" t="s">
        <v>306</v>
      </c>
      <c r="P2" s="6" t="s">
        <v>308</v>
      </c>
      <c r="Q2" s="6" t="s">
        <v>309</v>
      </c>
      <c r="R2" s="6" t="s">
        <v>310</v>
      </c>
      <c r="S2" s="6" t="s">
        <v>311</v>
      </c>
      <c r="T2" s="6" t="s">
        <v>312</v>
      </c>
    </row>
    <row r="3" spans="1:20">
      <c r="A3" s="6">
        <v>1</v>
      </c>
      <c r="B3" s="6">
        <v>0</v>
      </c>
      <c r="C3">
        <v>68.258467507274489</v>
      </c>
      <c r="D3">
        <v>92.334401551891361</v>
      </c>
      <c r="E3">
        <v>137.14064015518917</v>
      </c>
      <c r="F3" s="27">
        <v>264.33846750727446</v>
      </c>
      <c r="O3" s="6">
        <v>1</v>
      </c>
      <c r="P3" s="6">
        <f>'[1]3、总属性战斗节奏拟合'!D5</f>
        <v>495.65999999999997</v>
      </c>
      <c r="Q3" s="6">
        <f>'[1]3、总属性战斗节奏拟合'!E5</f>
        <v>118.80000000000001</v>
      </c>
      <c r="R3" s="6">
        <f>'[1]3、总属性战斗节奏拟合'!F5</f>
        <v>52.800000000000004</v>
      </c>
      <c r="S3" s="6">
        <f>'[1]3、总属性战斗节奏拟合'!G5</f>
        <v>66</v>
      </c>
      <c r="T3" s="6">
        <f>'[1]3、总属性战斗节奏拟合'!H5</f>
        <v>7.51</v>
      </c>
    </row>
    <row r="4" spans="1:20">
      <c r="A4" s="6">
        <v>2</v>
      </c>
      <c r="B4" s="6">
        <v>0</v>
      </c>
      <c r="C4">
        <v>73.040775945683805</v>
      </c>
      <c r="D4">
        <v>99.582587778855483</v>
      </c>
      <c r="E4">
        <v>146.85470417070809</v>
      </c>
      <c r="F4" s="27">
        <v>281.82378273520851</v>
      </c>
      <c r="K4" s="1" t="s">
        <v>0</v>
      </c>
      <c r="L4" s="1" t="s">
        <v>1</v>
      </c>
      <c r="M4" s="2" t="s">
        <v>2</v>
      </c>
      <c r="O4" s="6">
        <v>2</v>
      </c>
      <c r="P4" s="6">
        <f>'[1]3、总属性战斗节奏拟合'!D6</f>
        <v>577.43999999999994</v>
      </c>
      <c r="Q4" s="6">
        <f>'[1]3、总属性战斗节奏拟合'!E6</f>
        <v>129.6</v>
      </c>
      <c r="R4" s="6">
        <f>'[1]3、总属性战斗节奏拟合'!F6</f>
        <v>57.6</v>
      </c>
      <c r="S4" s="6">
        <f>'[1]3、总属性战斗节奏拟合'!G6</f>
        <v>72</v>
      </c>
      <c r="T4" s="6">
        <f>'[1]3、总属性战斗节奏拟合'!H6</f>
        <v>8.02</v>
      </c>
    </row>
    <row r="5" spans="1:20">
      <c r="A5" s="6">
        <v>3</v>
      </c>
      <c r="B5" s="6">
        <v>0</v>
      </c>
      <c r="C5">
        <v>77.823084384093107</v>
      </c>
      <c r="D5">
        <v>106.83077400581959</v>
      </c>
      <c r="E5">
        <v>156.568768186227</v>
      </c>
      <c r="F5" s="27">
        <v>299.30909796314251</v>
      </c>
      <c r="J5" t="s">
        <v>115</v>
      </c>
      <c r="K5">
        <f>[1]各种公式!C13</f>
        <v>0.04</v>
      </c>
      <c r="L5">
        <f>[1]各种公式!D13</f>
        <v>1</v>
      </c>
      <c r="M5">
        <f>[1]各种公式!E13</f>
        <v>1</v>
      </c>
      <c r="O5" s="6">
        <v>3</v>
      </c>
      <c r="P5" s="6">
        <f>'[1]3、总属性战斗节奏拟合'!D7</f>
        <v>665.34000000000015</v>
      </c>
      <c r="Q5" s="6">
        <f>'[1]3、总属性战斗节奏拟合'!E7</f>
        <v>140.4</v>
      </c>
      <c r="R5" s="6">
        <f>'[1]3、总属性战斗节奏拟合'!F7</f>
        <v>62.400000000000006</v>
      </c>
      <c r="S5" s="6">
        <f>'[1]3、总属性战斗节奏拟合'!G7</f>
        <v>78</v>
      </c>
      <c r="T5" s="6">
        <f>'[1]3、总属性战斗节奏拟合'!H7</f>
        <v>8.5300000000000011</v>
      </c>
    </row>
    <row r="6" spans="1:20">
      <c r="A6" s="6">
        <v>4</v>
      </c>
      <c r="B6" s="6">
        <v>0</v>
      </c>
      <c r="C6">
        <v>82.605392822502424</v>
      </c>
      <c r="D6">
        <v>114.07896023278371</v>
      </c>
      <c r="E6">
        <v>166.28283220174592</v>
      </c>
      <c r="F6" s="27">
        <v>316.79441319107656</v>
      </c>
      <c r="O6" s="6">
        <v>4</v>
      </c>
      <c r="P6" s="6">
        <f>'[1]3、总属性战斗节奏拟合'!D8</f>
        <v>759.3599999999999</v>
      </c>
      <c r="Q6" s="6">
        <f>'[1]3、总属性战斗节奏拟合'!E8</f>
        <v>151.19999999999999</v>
      </c>
      <c r="R6" s="6">
        <f>'[1]3、总属性战斗节奏拟合'!F8</f>
        <v>67.2</v>
      </c>
      <c r="S6" s="6">
        <f>'[1]3、总属性战斗节奏拟合'!G8</f>
        <v>84</v>
      </c>
      <c r="T6" s="6">
        <f>'[1]3、总属性战斗节奏拟合'!H8</f>
        <v>9.0399999999999991</v>
      </c>
    </row>
    <row r="7" spans="1:20">
      <c r="A7" s="6">
        <v>5</v>
      </c>
      <c r="B7" s="6">
        <v>0</v>
      </c>
      <c r="C7">
        <v>87.38770126091174</v>
      </c>
      <c r="D7">
        <v>121.32714645974782</v>
      </c>
      <c r="E7">
        <v>175.99689621726483</v>
      </c>
      <c r="F7" s="27">
        <v>334.27972841901061</v>
      </c>
      <c r="O7" s="6">
        <v>5</v>
      </c>
      <c r="P7" s="6">
        <f>'[1]3、总属性战斗节奏拟合'!D9</f>
        <v>859.50000000000011</v>
      </c>
      <c r="Q7" s="6">
        <f>'[1]3、总属性战斗节奏拟合'!E9</f>
        <v>162</v>
      </c>
      <c r="R7" s="6">
        <f>'[1]3、总属性战斗节奏拟合'!F9</f>
        <v>72</v>
      </c>
      <c r="S7" s="6">
        <f>'[1]3、总属性战斗节奏拟合'!G9</f>
        <v>90</v>
      </c>
      <c r="T7" s="6">
        <f>'[1]3、总属性战斗节奏拟合'!H9</f>
        <v>9.5500000000000007</v>
      </c>
    </row>
    <row r="8" spans="1:20">
      <c r="A8" s="6">
        <v>6</v>
      </c>
      <c r="B8" s="6">
        <v>0</v>
      </c>
      <c r="C8">
        <v>92.170009699321042</v>
      </c>
      <c r="D8">
        <v>128.57533268671193</v>
      </c>
      <c r="E8">
        <v>185.71096023278375</v>
      </c>
      <c r="F8" s="27">
        <v>351.7650436469446</v>
      </c>
      <c r="O8" s="6">
        <v>6</v>
      </c>
      <c r="P8" s="6">
        <f>'[1]3、总属性战斗节奏拟合'!D10</f>
        <v>1490.8920000000001</v>
      </c>
      <c r="Q8" s="6">
        <f>'[1]3、总属性战斗节奏拟合'!E10</f>
        <v>266.76</v>
      </c>
      <c r="R8" s="6">
        <f>'[1]3、总属性战斗节奏拟合'!F10</f>
        <v>118.56</v>
      </c>
      <c r="S8" s="6">
        <f>'[1]3、总属性战斗节奏拟合'!G10</f>
        <v>148.19999999999999</v>
      </c>
      <c r="T8" s="6">
        <f>'[1]3、总属性战斗节奏拟合'!H10</f>
        <v>10.06</v>
      </c>
    </row>
    <row r="9" spans="1:20">
      <c r="A9" s="6">
        <v>7</v>
      </c>
      <c r="B9" s="6">
        <v>0</v>
      </c>
      <c r="C9">
        <v>96.952318137730359</v>
      </c>
      <c r="D9">
        <v>135.82351891367605</v>
      </c>
      <c r="E9">
        <v>195.42502424830266</v>
      </c>
      <c r="F9" s="27">
        <v>369.25035887487866</v>
      </c>
      <c r="O9" s="6">
        <v>7</v>
      </c>
      <c r="P9" s="6">
        <f>'[1]3、总属性战斗节奏拟合'!D11</f>
        <v>1795.7769374999998</v>
      </c>
      <c r="Q9" s="6">
        <f>'[1]3、总属性战斗节奏拟合'!E11</f>
        <v>305.80874999999997</v>
      </c>
      <c r="R9" s="6">
        <f>'[1]3、总属性战斗节奏拟合'!F11</f>
        <v>135.91499999999999</v>
      </c>
      <c r="S9" s="6">
        <f>'[1]3、总属性战斗节奏拟合'!G11</f>
        <v>169.89374999999998</v>
      </c>
      <c r="T9" s="6">
        <f>'[1]3、总属性战斗节奏拟合'!H11</f>
        <v>10.57</v>
      </c>
    </row>
    <row r="10" spans="1:20">
      <c r="A10" s="6">
        <v>8</v>
      </c>
      <c r="B10" s="6">
        <v>1</v>
      </c>
      <c r="C10">
        <v>130.91965082444227</v>
      </c>
      <c r="D10">
        <v>203.68295635305529</v>
      </c>
      <c r="E10">
        <v>292.06448108632401</v>
      </c>
      <c r="F10" s="27">
        <v>505.13901066925303</v>
      </c>
      <c r="O10" s="6">
        <v>8</v>
      </c>
      <c r="P10" s="6">
        <f>'[1]3、总属性战斗节奏拟合'!D12</f>
        <v>2138.9940000000001</v>
      </c>
      <c r="Q10" s="6">
        <f>'[1]3、总属性战斗节奏拟合'!E12</f>
        <v>347.49</v>
      </c>
      <c r="R10" s="6">
        <f>'[1]3、总属性战斗节奏拟合'!F12</f>
        <v>154.44000000000003</v>
      </c>
      <c r="S10" s="6">
        <f>'[1]3、总属性战斗节奏拟合'!G12</f>
        <v>193.05</v>
      </c>
      <c r="T10" s="6">
        <f>'[1]3、总属性战斗节奏拟合'!H12</f>
        <v>11.08</v>
      </c>
    </row>
    <row r="11" spans="1:20">
      <c r="A11" s="6">
        <v>9</v>
      </c>
      <c r="B11" s="6">
        <v>1</v>
      </c>
      <c r="C11">
        <v>136.97693016488847</v>
      </c>
      <c r="D11">
        <v>212.75252958292918</v>
      </c>
      <c r="E11">
        <v>304.13233753637246</v>
      </c>
      <c r="F11" s="27">
        <v>526.6033559650823</v>
      </c>
      <c r="O11" s="6">
        <v>9</v>
      </c>
      <c r="P11" s="6">
        <f>'[1]3、总属性战斗节奏拟合'!D13</f>
        <v>2810.0112472826086</v>
      </c>
      <c r="Q11" s="6">
        <f>'[1]3、总属性战斗节奏拟合'!E13</f>
        <v>436.41244565217391</v>
      </c>
      <c r="R11" s="6">
        <f>'[1]3、总属性战斗节奏拟合'!F13</f>
        <v>193.96108695652174</v>
      </c>
      <c r="S11" s="6">
        <f>'[1]3、总属性战斗节奏拟合'!G13</f>
        <v>242.45135869565217</v>
      </c>
      <c r="T11" s="6">
        <f>'[1]3、总属性战斗节奏拟合'!H13</f>
        <v>11.59</v>
      </c>
    </row>
    <row r="12" spans="1:20">
      <c r="A12" s="6">
        <v>10</v>
      </c>
      <c r="B12" s="6">
        <v>1</v>
      </c>
      <c r="C12">
        <v>143.03420950533462</v>
      </c>
      <c r="D12">
        <v>221.82210281280311</v>
      </c>
      <c r="E12">
        <v>316.20019398642097</v>
      </c>
      <c r="F12" s="27">
        <v>548.06770126091158</v>
      </c>
      <c r="O12" s="6">
        <v>10</v>
      </c>
      <c r="P12" s="6">
        <f>'[1]3、总属性战斗节奏拟合'!D14</f>
        <v>3580.6793478260875</v>
      </c>
      <c r="Q12" s="6">
        <f>'[1]3、总属性战斗节奏拟合'!E14</f>
        <v>532.66304347826099</v>
      </c>
      <c r="R12" s="6">
        <f>'[1]3、总属性战斗节奏拟合'!F14</f>
        <v>236.73913043478265</v>
      </c>
      <c r="S12" s="6">
        <f>'[1]3、总属性战斗节奏拟合'!G14</f>
        <v>295.92391304347831</v>
      </c>
      <c r="T12" s="6">
        <f>'[1]3、总属性战斗节奏拟合'!H14</f>
        <v>12.1</v>
      </c>
    </row>
    <row r="13" spans="1:20">
      <c r="A13" s="6">
        <v>11</v>
      </c>
      <c r="B13" s="6">
        <v>1</v>
      </c>
      <c r="C13">
        <v>149.09148884578082</v>
      </c>
      <c r="D13">
        <v>230.89167604267703</v>
      </c>
      <c r="E13">
        <v>328.26805043646948</v>
      </c>
      <c r="F13" s="27">
        <v>569.53204655674085</v>
      </c>
      <c r="O13" s="6">
        <v>11</v>
      </c>
      <c r="P13" s="6">
        <f>'[1]3、总属性战斗节奏拟合'!D15</f>
        <v>4457.2272309782602</v>
      </c>
      <c r="Q13" s="6">
        <f>'[1]3、总属性战斗节奏拟合'!E15</f>
        <v>636.24179347826089</v>
      </c>
      <c r="R13" s="6">
        <f>'[1]3、总属性战斗节奏拟合'!F15</f>
        <v>282.77413043478259</v>
      </c>
      <c r="S13" s="6">
        <f>'[1]3、总属性战斗节奏拟合'!G15</f>
        <v>353.46766304347824</v>
      </c>
      <c r="T13" s="6">
        <f>'[1]3、总属性战斗节奏拟合'!H15</f>
        <v>12.61</v>
      </c>
    </row>
    <row r="14" spans="1:20">
      <c r="A14" s="6">
        <v>12</v>
      </c>
      <c r="B14" s="6">
        <v>1</v>
      </c>
      <c r="C14">
        <v>155.14876818622696</v>
      </c>
      <c r="D14">
        <v>239.96124927255093</v>
      </c>
      <c r="E14">
        <v>340.33590688651799</v>
      </c>
      <c r="F14" s="27">
        <v>590.99639185257024</v>
      </c>
      <c r="O14" s="6">
        <v>12</v>
      </c>
      <c r="P14" s="6">
        <f>'[1]3、总属性战斗节奏拟合'!D16</f>
        <v>5445.8838260869561</v>
      </c>
      <c r="Q14" s="6">
        <f>'[1]3、总属性战斗节奏拟合'!E16</f>
        <v>747.14869565217396</v>
      </c>
      <c r="R14" s="6">
        <f>'[1]3、总属性战斗节奏拟合'!F16</f>
        <v>332.06608695652176</v>
      </c>
      <c r="S14" s="6">
        <f>'[1]3、总属性战斗节奏拟合'!G16</f>
        <v>415.08260869565214</v>
      </c>
      <c r="T14" s="6">
        <f>'[1]3、总属性战斗节奏拟合'!H16</f>
        <v>13.120000000000001</v>
      </c>
    </row>
    <row r="15" spans="1:20">
      <c r="A15" s="6">
        <v>13</v>
      </c>
      <c r="B15" s="6">
        <v>1</v>
      </c>
      <c r="C15">
        <v>161.20604752667313</v>
      </c>
      <c r="D15">
        <v>249.03082250242483</v>
      </c>
      <c r="E15">
        <v>352.4037633365665</v>
      </c>
      <c r="F15" s="27">
        <v>612.4607371483994</v>
      </c>
      <c r="O15" s="6">
        <v>13</v>
      </c>
      <c r="P15" s="6">
        <f>'[1]3、总属性战斗节奏拟合'!D17</f>
        <v>6552.878062499999</v>
      </c>
      <c r="Q15" s="6">
        <f>'[1]3、总属性战斗节奏拟合'!E17</f>
        <v>865.38374999999996</v>
      </c>
      <c r="R15" s="6">
        <f>'[1]3、总属性战斗节奏拟合'!F17</f>
        <v>384.61500000000001</v>
      </c>
      <c r="S15" s="6">
        <f>'[1]3、总属性战斗节奏拟合'!G17</f>
        <v>480.76874999999995</v>
      </c>
      <c r="T15" s="6">
        <f>'[1]3、总属性战斗节奏拟合'!H17</f>
        <v>13.629999999999999</v>
      </c>
    </row>
    <row r="16" spans="1:20">
      <c r="A16" s="6">
        <v>14</v>
      </c>
      <c r="B16" s="6">
        <v>1</v>
      </c>
      <c r="C16">
        <v>167.2633268671193</v>
      </c>
      <c r="D16">
        <v>258.10039573229875</v>
      </c>
      <c r="E16">
        <v>364.47161978661495</v>
      </c>
      <c r="F16" s="27">
        <v>633.92508244422879</v>
      </c>
      <c r="O16" s="6">
        <v>14</v>
      </c>
      <c r="P16" s="6">
        <f>'[1]3、总属性战斗节奏拟合'!D18</f>
        <v>7784.4388695652187</v>
      </c>
      <c r="Q16" s="6">
        <f>'[1]3、总属性战斗节奏拟合'!E18</f>
        <v>990.94695652173925</v>
      </c>
      <c r="R16" s="6">
        <f>'[1]3、总属性战斗节奏拟合'!F18</f>
        <v>440.42086956521746</v>
      </c>
      <c r="S16" s="6">
        <f>'[1]3、总属性战斗节奏拟合'!G18</f>
        <v>550.52608695652179</v>
      </c>
      <c r="T16" s="6">
        <f>'[1]3、总属性战斗节奏拟合'!H18</f>
        <v>14.14</v>
      </c>
    </row>
    <row r="17" spans="1:35">
      <c r="A17" s="6">
        <v>15</v>
      </c>
      <c r="B17" s="6">
        <v>1</v>
      </c>
      <c r="C17">
        <v>173.32060620756548</v>
      </c>
      <c r="D17">
        <v>267.16996896217267</v>
      </c>
      <c r="E17">
        <v>376.53947623666352</v>
      </c>
      <c r="F17" s="27">
        <v>655.38942774005795</v>
      </c>
      <c r="O17" s="6">
        <v>15</v>
      </c>
      <c r="P17" s="6">
        <f>'[1]3、总属性战斗节奏拟合'!D19</f>
        <v>9146.7951766304341</v>
      </c>
      <c r="Q17" s="6">
        <f>'[1]3、总属性战斗节奏拟合'!E19</f>
        <v>1123.8383152173913</v>
      </c>
      <c r="R17" s="6">
        <f>'[1]3、总属性战斗节奏拟合'!F19</f>
        <v>499.48369565217394</v>
      </c>
      <c r="S17" s="6">
        <f>'[1]3、总属性战斗节奏拟合'!G19</f>
        <v>624.35461956521738</v>
      </c>
      <c r="T17" s="6">
        <f>'[1]3、总属性战斗节奏拟合'!H19</f>
        <v>14.65</v>
      </c>
    </row>
    <row r="18" spans="1:35">
      <c r="A18" s="6">
        <v>16</v>
      </c>
      <c r="B18" s="6">
        <v>2</v>
      </c>
      <c r="C18">
        <v>283.76267701260906</v>
      </c>
      <c r="D18">
        <v>359.4218894277401</v>
      </c>
      <c r="E18">
        <v>482.3630649854511</v>
      </c>
      <c r="F18" s="27">
        <v>813.08935014548956</v>
      </c>
      <c r="O18" s="6">
        <v>16</v>
      </c>
      <c r="P18" s="6">
        <f>'[1]3、总属性战斗节奏拟合'!D20</f>
        <v>10646.17591304348</v>
      </c>
      <c r="Q18" s="6">
        <f>'[1]3、总属性战斗节奏拟合'!E20</f>
        <v>1264.0578260869565</v>
      </c>
      <c r="R18" s="6">
        <f>'[1]3、总属性战斗节奏拟合'!F20</f>
        <v>561.80347826086961</v>
      </c>
      <c r="S18" s="6">
        <f>'[1]3、总属性战斗节奏拟合'!G20</f>
        <v>702.25434782608704</v>
      </c>
      <c r="T18" s="6">
        <f>'[1]3、总属性战斗节奏拟合'!H20</f>
        <v>15.16</v>
      </c>
    </row>
    <row r="19" spans="1:35">
      <c r="A19" s="6">
        <v>17</v>
      </c>
      <c r="B19" s="6">
        <v>2</v>
      </c>
      <c r="C19">
        <v>291.0949272550921</v>
      </c>
      <c r="D19">
        <v>370.31284966052374</v>
      </c>
      <c r="E19">
        <v>496.78471387002918</v>
      </c>
      <c r="F19" s="27">
        <v>838.53272550921406</v>
      </c>
      <c r="O19" s="6">
        <v>17</v>
      </c>
      <c r="P19" s="6">
        <f>'[1]3、总属性战斗节奏拟合'!D21</f>
        <v>12288.810008152173</v>
      </c>
      <c r="Q19" s="6">
        <f>'[1]3、总属性战斗节奏拟合'!E21</f>
        <v>1411.6054891304348</v>
      </c>
      <c r="R19" s="6">
        <f>'[1]3、总属性战斗节奏拟合'!F21</f>
        <v>627.38021739130443</v>
      </c>
      <c r="S19" s="6">
        <f>'[1]3、总属性战斗节奏拟合'!G21</f>
        <v>784.22527173913045</v>
      </c>
      <c r="T19" s="6">
        <f>'[1]3、总属性战斗节奏拟合'!H21</f>
        <v>15.67</v>
      </c>
    </row>
    <row r="20" spans="1:35">
      <c r="A20" s="6">
        <v>18</v>
      </c>
      <c r="B20" s="6">
        <v>2</v>
      </c>
      <c r="C20">
        <v>298.42717749757514</v>
      </c>
      <c r="D20">
        <v>381.20380989330749</v>
      </c>
      <c r="E20">
        <v>511.20636275460726</v>
      </c>
      <c r="F20" s="27">
        <v>863.97610087293856</v>
      </c>
      <c r="O20" s="6">
        <v>18</v>
      </c>
      <c r="P20" s="6">
        <f>'[1]3、总属性战斗节奏拟合'!D22</f>
        <v>14080.926391304352</v>
      </c>
      <c r="Q20" s="6">
        <f>'[1]3、总属性战斗节奏拟合'!E22</f>
        <v>1566.4813043478266</v>
      </c>
      <c r="R20" s="6">
        <f>'[1]3、总属性战斗节奏拟合'!F22</f>
        <v>696.21391304347856</v>
      </c>
      <c r="S20" s="6">
        <f>'[1]3、总属性战斗节奏拟合'!G22</f>
        <v>870.26739130434817</v>
      </c>
      <c r="T20" s="6">
        <f>'[1]3、总属性战斗节奏拟合'!H22</f>
        <v>16.18</v>
      </c>
    </row>
    <row r="21" spans="1:35">
      <c r="A21" s="6">
        <v>19</v>
      </c>
      <c r="B21" s="6">
        <v>2</v>
      </c>
      <c r="C21">
        <v>305.75942774005819</v>
      </c>
      <c r="D21">
        <v>392.09477012609119</v>
      </c>
      <c r="E21">
        <v>525.62801163918539</v>
      </c>
      <c r="F21" s="27">
        <v>889.41947623666317</v>
      </c>
      <c r="O21" s="6">
        <v>19</v>
      </c>
      <c r="P21" s="6">
        <f>'[1]3、总属性战斗节奏拟合'!D23</f>
        <v>16028.753991847825</v>
      </c>
      <c r="Q21" s="6">
        <f>'[1]3、总属性战斗节奏拟合'!E23</f>
        <v>1728.6852717391307</v>
      </c>
      <c r="R21" s="6">
        <f>'[1]3、总属性战斗节奏拟合'!F23</f>
        <v>768.30456521739143</v>
      </c>
      <c r="S21" s="6">
        <f>'[1]3、总属性战斗节奏拟合'!G23</f>
        <v>960.38070652173917</v>
      </c>
      <c r="T21" s="6">
        <f>'[1]3、总属性战斗节奏拟合'!H23</f>
        <v>16.689999999999998</v>
      </c>
    </row>
    <row r="22" spans="1:35">
      <c r="A22" s="6">
        <v>20</v>
      </c>
      <c r="B22" s="6">
        <v>2</v>
      </c>
      <c r="C22">
        <v>313.09167798254123</v>
      </c>
      <c r="D22">
        <v>402.98573035887489</v>
      </c>
      <c r="E22">
        <v>540.04966052376335</v>
      </c>
      <c r="F22" s="27">
        <v>914.86285160038767</v>
      </c>
      <c r="O22" s="6">
        <v>20</v>
      </c>
      <c r="P22" s="6">
        <f>'[1]3、总属性战斗节奏拟合'!D24</f>
        <v>18138.521739130436</v>
      </c>
      <c r="Q22" s="6">
        <f>'[1]3、总属性战斗节奏拟合'!E24</f>
        <v>1898.217391304348</v>
      </c>
      <c r="R22" s="6">
        <f>'[1]3、总属性战斗节奏拟合'!F24</f>
        <v>843.65217391304361</v>
      </c>
      <c r="S22" s="6">
        <f>'[1]3、总属性战斗节奏拟合'!G24</f>
        <v>1054.5652173913045</v>
      </c>
      <c r="T22" s="6">
        <f>'[1]3、总属性战斗节奏拟合'!H24</f>
        <v>17.2</v>
      </c>
    </row>
    <row r="23" spans="1:35">
      <c r="A23" s="6">
        <v>21</v>
      </c>
      <c r="B23" s="6">
        <v>2</v>
      </c>
      <c r="C23">
        <v>320.42392822502421</v>
      </c>
      <c r="D23">
        <v>413.87669059165859</v>
      </c>
      <c r="E23">
        <v>554.47130940834154</v>
      </c>
      <c r="F23" s="27">
        <v>940.30622696411217</v>
      </c>
      <c r="O23" s="6">
        <v>21</v>
      </c>
      <c r="P23" s="6">
        <f>'[1]3、总属性战斗节奏拟合'!D25</f>
        <v>20416.458562500007</v>
      </c>
      <c r="Q23" s="6">
        <f>'[1]3、总属性战斗节奏拟合'!E25</f>
        <v>2075.0776630434789</v>
      </c>
      <c r="R23" s="6">
        <f>'[1]3、总属性战斗节奏拟合'!F25</f>
        <v>922.25673913043511</v>
      </c>
      <c r="S23" s="6">
        <f>'[1]3、总属性战斗节奏拟合'!G25</f>
        <v>1152.8209239130438</v>
      </c>
      <c r="T23" s="6">
        <f>'[1]3、总属性战斗节奏拟合'!H25</f>
        <v>17.71</v>
      </c>
    </row>
    <row r="24" spans="1:35">
      <c r="A24" s="6">
        <v>22</v>
      </c>
      <c r="B24" s="6">
        <v>2</v>
      </c>
      <c r="C24">
        <v>327.75617846750725</v>
      </c>
      <c r="D24">
        <v>424.76765082444228</v>
      </c>
      <c r="E24">
        <v>568.8929582929195</v>
      </c>
      <c r="F24" s="27">
        <v>965.74960232783678</v>
      </c>
      <c r="O24" s="6">
        <v>22</v>
      </c>
      <c r="P24" s="6">
        <f>'[1]3、总属性战斗节奏拟合'!D26</f>
        <v>22868.793391304349</v>
      </c>
      <c r="Q24" s="6">
        <f>'[1]3、总属性战斗节奏拟合'!E26</f>
        <v>2259.266086956522</v>
      </c>
      <c r="R24" s="6">
        <f>'[1]3、总属性战斗节奏拟合'!F26</f>
        <v>1004.1182608695653</v>
      </c>
      <c r="S24" s="6">
        <f>'[1]3、总属性战斗节奏拟合'!G26</f>
        <v>1255.1478260869567</v>
      </c>
      <c r="T24" s="6">
        <f>'[1]3、总属性战斗节奏拟合'!H26</f>
        <v>18.22</v>
      </c>
    </row>
    <row r="25" spans="1:35">
      <c r="A25" s="6">
        <v>23</v>
      </c>
      <c r="B25" s="6">
        <v>2</v>
      </c>
      <c r="C25">
        <v>335.08842870999024</v>
      </c>
      <c r="D25">
        <v>435.65861105722604</v>
      </c>
      <c r="E25">
        <v>583.31460717749769</v>
      </c>
      <c r="F25" s="27">
        <v>991.19297769156128</v>
      </c>
      <c r="O25" s="6">
        <v>23</v>
      </c>
      <c r="P25" s="6">
        <f>'[1]3、总属性战斗节奏拟合'!D27</f>
        <v>25977.209001045157</v>
      </c>
      <c r="Q25" s="6">
        <f>'[1]3、总属性战斗节奏拟合'!E27</f>
        <v>2496.4749707357864</v>
      </c>
      <c r="R25" s="6">
        <f>'[1]3、总属性战斗节奏拟合'!F27</f>
        <v>1109.5444314381273</v>
      </c>
      <c r="S25" s="6">
        <f>'[1]3、总属性战斗节奏拟合'!G27</f>
        <v>1386.9305392976592</v>
      </c>
      <c r="T25" s="6">
        <f>'[1]3、总属性战斗节奏拟合'!H27</f>
        <v>18.73</v>
      </c>
      <c r="Z25" t="s">
        <v>325</v>
      </c>
    </row>
    <row r="26" spans="1:35">
      <c r="A26" s="6">
        <v>24</v>
      </c>
      <c r="B26" s="6">
        <v>3</v>
      </c>
      <c r="C26">
        <v>397.00523763336565</v>
      </c>
      <c r="D26">
        <v>544.30301454898165</v>
      </c>
      <c r="E26">
        <v>710.32232783705149</v>
      </c>
      <c r="F26" s="27">
        <v>1166.7041707080502</v>
      </c>
      <c r="O26" s="6">
        <v>24</v>
      </c>
      <c r="P26" s="6">
        <f>'[1]3、总属性战斗节奏拟合'!D28</f>
        <v>29327.9727826087</v>
      </c>
      <c r="Q26" s="6">
        <f>'[1]3、总属性战斗节奏拟合'!E28</f>
        <v>2743.781237458194</v>
      </c>
      <c r="R26" s="6">
        <f>'[1]3、总属性战斗节奏拟合'!F28</f>
        <v>1219.4583277591973</v>
      </c>
      <c r="S26" s="6">
        <f>'[1]3、总属性战斗节奏拟合'!G28</f>
        <v>1524.3229096989967</v>
      </c>
      <c r="T26" s="6">
        <f>'[1]3、总属性战斗节奏拟合'!H28</f>
        <v>19.240000000000002</v>
      </c>
      <c r="Z26" s="55">
        <v>0.2</v>
      </c>
      <c r="AA26">
        <f>X32*Z26*AA29</f>
        <v>5253.8218645484985</v>
      </c>
    </row>
    <row r="27" spans="1:35">
      <c r="A27" s="6">
        <v>25</v>
      </c>
      <c r="B27" s="6">
        <v>3</v>
      </c>
      <c r="C27">
        <v>405.61245877788554</v>
      </c>
      <c r="D27">
        <v>557.01536178467518</v>
      </c>
      <c r="E27">
        <v>727.09776915615919</v>
      </c>
      <c r="F27" s="27">
        <v>1196.1265761396699</v>
      </c>
      <c r="O27" s="6">
        <v>25</v>
      </c>
      <c r="P27" s="6">
        <f>'[1]3、总属性战斗节奏拟合'!D29</f>
        <v>32929.667511496664</v>
      </c>
      <c r="Q27" s="6">
        <f>'[1]3、总属性战斗节奏拟合'!E29</f>
        <v>3001.1848871237471</v>
      </c>
      <c r="R27" s="6">
        <f>'[1]3、总属性战斗节奏拟合'!F29</f>
        <v>1333.8599498327765</v>
      </c>
      <c r="S27" s="6">
        <f>'[1]3、总属性战斗节奏拟合'!G29</f>
        <v>1667.3249372909704</v>
      </c>
      <c r="T27" s="6">
        <f>'[1]3、总属性战斗节奏拟合'!H29</f>
        <v>19.75</v>
      </c>
      <c r="Z27" s="55"/>
    </row>
    <row r="28" spans="1:35">
      <c r="A28" s="6">
        <v>26</v>
      </c>
      <c r="B28" s="6">
        <v>3</v>
      </c>
      <c r="C28">
        <v>414.21967992240542</v>
      </c>
      <c r="D28">
        <v>569.72770902036859</v>
      </c>
      <c r="E28">
        <v>743.87321047526689</v>
      </c>
      <c r="F28" s="27">
        <v>1225.5489815712897</v>
      </c>
      <c r="O28" s="6">
        <v>26</v>
      </c>
      <c r="P28" s="6">
        <f>'[1]3、总属性战斗节奏拟合'!D30</f>
        <v>37257.666363210708</v>
      </c>
      <c r="Q28" s="6">
        <f>'[1]3、总属性战斗节奏拟合'!E30</f>
        <v>3310.1579197324422</v>
      </c>
      <c r="R28" s="6">
        <f>'[1]3、总属性战斗节奏拟合'!F30</f>
        <v>1471.1812976588633</v>
      </c>
      <c r="S28" s="6">
        <f>'[1]3、总属性战斗节奏拟合'!G30</f>
        <v>1838.9766220735789</v>
      </c>
      <c r="T28" s="6">
        <f>'[1]3、总属性战斗节奏拟合'!H30</f>
        <v>20.259999999999998</v>
      </c>
    </row>
    <row r="29" spans="1:35">
      <c r="A29" s="6">
        <v>27</v>
      </c>
      <c r="B29" s="6">
        <v>3</v>
      </c>
      <c r="C29">
        <v>422.8269010669253</v>
      </c>
      <c r="D29">
        <v>582.44005625606223</v>
      </c>
      <c r="E29">
        <v>760.64865179437447</v>
      </c>
      <c r="F29" s="27">
        <v>1254.9713870029095</v>
      </c>
      <c r="O29" s="6">
        <v>27</v>
      </c>
      <c r="P29" s="6">
        <f>'[1]3、总属性战斗节奏拟合'!D31</f>
        <v>41903.848113252519</v>
      </c>
      <c r="Q29" s="6">
        <f>'[1]3、总属性战斗节奏拟合'!E31</f>
        <v>3631.5323352842815</v>
      </c>
      <c r="R29" s="6">
        <f>'[1]3、总属性战斗节奏拟合'!F31</f>
        <v>1614.0143712374586</v>
      </c>
      <c r="S29" s="6">
        <f>'[1]3、总属性战斗节奏拟合'!G31</f>
        <v>2017.5179640468232</v>
      </c>
      <c r="T29" s="6">
        <f>'[1]3、总属性战斗节奏拟合'!H31</f>
        <v>20.77</v>
      </c>
      <c r="Z29" s="29" t="s">
        <v>305</v>
      </c>
      <c r="AA29" s="30">
        <v>20</v>
      </c>
    </row>
    <row r="30" spans="1:35">
      <c r="A30" s="6">
        <v>28</v>
      </c>
      <c r="B30" s="6">
        <v>3</v>
      </c>
      <c r="C30">
        <v>431.43412221144519</v>
      </c>
      <c r="D30">
        <v>595.15240349175565</v>
      </c>
      <c r="E30">
        <v>777.42409311348217</v>
      </c>
      <c r="F30" s="27">
        <v>1284.3937924345291</v>
      </c>
      <c r="O30" s="6">
        <v>28</v>
      </c>
      <c r="P30" s="6">
        <f>'[1]3、总属性战斗节奏拟合'!D32</f>
        <v>46878.753937123758</v>
      </c>
      <c r="Q30" s="6">
        <f>'[1]3、总属性战斗节奏拟合'!E32</f>
        <v>3965.3081337792655</v>
      </c>
      <c r="R30" s="6">
        <f>'[1]3、总属性战斗节奏拟合'!F32</f>
        <v>1762.3591705685624</v>
      </c>
      <c r="S30" s="6">
        <f>'[1]3、总属性战斗节奏拟合'!G32</f>
        <v>2202.9489632107029</v>
      </c>
      <c r="T30" s="6">
        <f>'[1]3、总属性战斗节奏拟合'!H32</f>
        <v>21.28</v>
      </c>
      <c r="U30" t="s">
        <v>314</v>
      </c>
      <c r="V30" s="55">
        <v>0.5</v>
      </c>
      <c r="Z30" s="62" t="s">
        <v>317</v>
      </c>
    </row>
    <row r="31" spans="1:35">
      <c r="A31" s="6">
        <v>29</v>
      </c>
      <c r="B31" s="6">
        <v>3</v>
      </c>
      <c r="C31">
        <v>440.04134335596507</v>
      </c>
      <c r="D31">
        <v>607.86475072744918</v>
      </c>
      <c r="E31">
        <v>794.19953443258987</v>
      </c>
      <c r="F31" s="27">
        <v>1313.8161978661492</v>
      </c>
      <c r="O31" s="6">
        <v>29</v>
      </c>
      <c r="P31" s="6">
        <f>'[1]3、总属性战斗节奏拟合'!D33</f>
        <v>52192.925010326107</v>
      </c>
      <c r="Q31" s="6">
        <f>'[1]3、总属性战斗节奏拟合'!E33</f>
        <v>4311.4853152173928</v>
      </c>
      <c r="R31" s="6">
        <f>'[1]3、总属性战斗节奏拟合'!F33</f>
        <v>1916.2156956521749</v>
      </c>
      <c r="S31" s="6">
        <f>'[1]3、总属性战斗节奏拟合'!G33</f>
        <v>2395.2696195652184</v>
      </c>
      <c r="T31" s="6">
        <f>'[1]3、总属性战斗节奏拟合'!H33</f>
        <v>21.79</v>
      </c>
      <c r="U31" s="6" t="s">
        <v>315</v>
      </c>
      <c r="V31" s="6" t="s">
        <v>297</v>
      </c>
      <c r="W31" s="6" t="s">
        <v>307</v>
      </c>
      <c r="X31" s="6" t="s">
        <v>311</v>
      </c>
      <c r="Y31" s="6" t="s">
        <v>316</v>
      </c>
      <c r="Z31" s="6"/>
      <c r="AA31" s="6" t="s">
        <v>348</v>
      </c>
      <c r="AB31" s="6" t="s">
        <v>318</v>
      </c>
      <c r="AC31" s="6" t="s">
        <v>320</v>
      </c>
      <c r="AD31" s="6" t="s">
        <v>323</v>
      </c>
      <c r="AE31" s="6" t="s">
        <v>322</v>
      </c>
      <c r="AF31" s="6" t="s">
        <v>319</v>
      </c>
      <c r="AG31" s="6" t="s">
        <v>321</v>
      </c>
      <c r="AH31" s="6" t="s">
        <v>324</v>
      </c>
      <c r="AI31" s="6"/>
    </row>
    <row r="32" spans="1:35">
      <c r="A32" s="6">
        <v>30</v>
      </c>
      <c r="B32" s="6">
        <v>3</v>
      </c>
      <c r="C32">
        <v>448.64856450048495</v>
      </c>
      <c r="D32">
        <v>620.57709796314271</v>
      </c>
      <c r="E32">
        <v>810.97497575169746</v>
      </c>
      <c r="F32" s="27">
        <v>1343.2386032977688</v>
      </c>
      <c r="N32" s="56" t="s">
        <v>313</v>
      </c>
      <c r="O32" s="57">
        <v>30</v>
      </c>
      <c r="P32" s="57">
        <f>'[1]3、总属性战斗节奏拟合'!D34</f>
        <v>58580.113789715739</v>
      </c>
      <c r="Q32" s="57">
        <f>'[1]3、总属性战斗节奏拟合'!E34</f>
        <v>4728.4396780936477</v>
      </c>
      <c r="R32" s="57">
        <f>'[1]3、总属性战斗节奏拟合'!F34</f>
        <v>2101.5287458193989</v>
      </c>
      <c r="S32" s="57">
        <f>'[1]3、总属性战斗节奏拟合'!G34</f>
        <v>2626.9109322742484</v>
      </c>
      <c r="T32" s="57">
        <f>'[1]3、总属性战斗节奏拟合'!H34</f>
        <v>22.3</v>
      </c>
      <c r="U32" s="6">
        <f>P32*$V$30</f>
        <v>29290.056894857869</v>
      </c>
      <c r="V32" s="6">
        <f>Q32*$V$30</f>
        <v>2364.2198390468238</v>
      </c>
      <c r="W32" s="6">
        <f>R32*$V$30</f>
        <v>1050.7643729096994</v>
      </c>
      <c r="X32" s="6">
        <f>V32-W32</f>
        <v>1313.4554661371244</v>
      </c>
      <c r="Y32" s="6">
        <f>U32/X32</f>
        <v>22.299999999999997</v>
      </c>
      <c r="Z32" s="55">
        <v>0.1</v>
      </c>
      <c r="AA32" s="28">
        <f>V32*Z32</f>
        <v>236.42198390468241</v>
      </c>
      <c r="AB32">
        <f>AA32*$AA$29</f>
        <v>4728.4396780936477</v>
      </c>
      <c r="AC32" s="58">
        <f t="shared" ref="AC32:AC63" si="0">AB32/U32</f>
        <v>0.16143497757847536</v>
      </c>
      <c r="AD32" s="59">
        <f t="shared" ref="AD32:AD63" si="1">V32*Z32</f>
        <v>236.42198390468241</v>
      </c>
      <c r="AE32" s="55">
        <v>0.2</v>
      </c>
      <c r="AF32">
        <f t="shared" ref="AF32:AF63" si="2">W32*AE32*$AA$29</f>
        <v>4203.0574916387977</v>
      </c>
      <c r="AG32" s="58">
        <f t="shared" ref="AG32:AG63" si="3">AF32/U32</f>
        <v>0.14349775784753363</v>
      </c>
      <c r="AH32">
        <f t="shared" ref="AH32:AH63" si="4">W32*AE32</f>
        <v>210.1528745819399</v>
      </c>
    </row>
    <row r="33" spans="1:34">
      <c r="A33" s="6">
        <v>31</v>
      </c>
      <c r="B33" s="6">
        <v>3</v>
      </c>
      <c r="C33">
        <v>457.25578564500483</v>
      </c>
      <c r="D33">
        <v>633.28944519883612</v>
      </c>
      <c r="E33">
        <v>827.75041707080527</v>
      </c>
      <c r="F33" s="27">
        <v>1372.6610087293886</v>
      </c>
      <c r="O33" s="6">
        <v>31</v>
      </c>
      <c r="P33" s="6">
        <f>'[1]3、总属性战斗节奏拟合'!D35</f>
        <v>65439.306328846171</v>
      </c>
      <c r="Q33" s="6">
        <f>'[1]3、总属性战斗节奏拟合'!E35</f>
        <v>5163.9961153846161</v>
      </c>
      <c r="R33" s="6">
        <f>'[1]3、总属性战斗节奏拟合'!F35</f>
        <v>2295.1093846153849</v>
      </c>
      <c r="S33" s="6">
        <f>'[1]3、总属性战斗节奏拟合'!G35</f>
        <v>2868.8867307692312</v>
      </c>
      <c r="T33" s="6">
        <f>'[1]3、总属性战斗节奏拟合'!H35</f>
        <v>22.810000000000002</v>
      </c>
      <c r="U33" s="6">
        <f t="shared" ref="U33:U82" si="5">P33*$V$30</f>
        <v>32719.653164423085</v>
      </c>
      <c r="V33" s="6">
        <f t="shared" ref="V33:V82" si="6">Q33*$V$30</f>
        <v>2581.9980576923081</v>
      </c>
      <c r="W33" s="6">
        <f t="shared" ref="W33:W82" si="7">R33*$V$30</f>
        <v>1147.5546923076924</v>
      </c>
      <c r="X33" s="6">
        <f t="shared" ref="X33:X82" si="8">V33-W33</f>
        <v>1434.4433653846156</v>
      </c>
      <c r="Y33" s="6">
        <f t="shared" ref="Y33:Y82" si="9">U33/X33</f>
        <v>22.810000000000002</v>
      </c>
      <c r="Z33" s="55">
        <v>0.1</v>
      </c>
      <c r="AA33" s="28">
        <f t="shared" ref="AA33:AA82" si="10">V33*Z33</f>
        <v>258.19980576923081</v>
      </c>
      <c r="AB33">
        <f t="shared" ref="AB33:AB82" si="11">AA33*$AA$29</f>
        <v>5163.9961153846161</v>
      </c>
      <c r="AC33" s="58">
        <f t="shared" si="0"/>
        <v>0.15782551512494519</v>
      </c>
      <c r="AD33" s="59">
        <f t="shared" si="1"/>
        <v>258.19980576923081</v>
      </c>
      <c r="AE33" s="55">
        <v>0.2</v>
      </c>
      <c r="AF33">
        <f t="shared" si="2"/>
        <v>4590.2187692307698</v>
      </c>
      <c r="AG33" s="58">
        <f t="shared" si="3"/>
        <v>0.14028934677772906</v>
      </c>
      <c r="AH33">
        <f t="shared" si="4"/>
        <v>229.5109384615385</v>
      </c>
    </row>
    <row r="34" spans="1:34">
      <c r="A34" s="6">
        <v>32</v>
      </c>
      <c r="B34" s="6">
        <v>4</v>
      </c>
      <c r="C34">
        <v>582.64733268671193</v>
      </c>
      <c r="D34">
        <v>739.3263317167798</v>
      </c>
      <c r="E34">
        <v>1014.9422696411252</v>
      </c>
      <c r="F34" s="27">
        <v>1577.9834723569345</v>
      </c>
      <c r="O34" s="6">
        <v>32</v>
      </c>
      <c r="P34" s="6">
        <f>'[1]3、总属性战斗节奏拟合'!D36</f>
        <v>72812.7775214047</v>
      </c>
      <c r="Q34" s="6">
        <f>'[1]3、总属性战斗节奏拟合'!E36</f>
        <v>5620.1972357859549</v>
      </c>
      <c r="R34" s="6">
        <f>'[1]3、总属性战斗节奏拟合'!F36</f>
        <v>2497.8654381270912</v>
      </c>
      <c r="S34" s="6">
        <f>'[1]3、总属性战斗节奏拟合'!G36</f>
        <v>3122.3317976588637</v>
      </c>
      <c r="T34" s="6">
        <f>'[1]3、总属性战斗节奏拟合'!H36</f>
        <v>23.32</v>
      </c>
      <c r="U34" s="6">
        <f t="shared" si="5"/>
        <v>36406.38876070235</v>
      </c>
      <c r="V34" s="6">
        <f t="shared" si="6"/>
        <v>2810.0986178929775</v>
      </c>
      <c r="W34" s="6">
        <f t="shared" si="7"/>
        <v>1248.9327190635456</v>
      </c>
      <c r="X34" s="6">
        <f t="shared" si="8"/>
        <v>1561.1658988294319</v>
      </c>
      <c r="Y34" s="6">
        <f t="shared" si="9"/>
        <v>23.32</v>
      </c>
      <c r="Z34" s="55">
        <v>0.1</v>
      </c>
      <c r="AA34" s="28">
        <f t="shared" si="10"/>
        <v>281.00986178929776</v>
      </c>
      <c r="AB34">
        <f t="shared" si="11"/>
        <v>5620.1972357859549</v>
      </c>
      <c r="AC34" s="58">
        <f t="shared" si="0"/>
        <v>0.15437392795883362</v>
      </c>
      <c r="AD34" s="59">
        <f t="shared" si="1"/>
        <v>281.00986178929776</v>
      </c>
      <c r="AE34" s="55">
        <v>0.2</v>
      </c>
      <c r="AF34">
        <f t="shared" si="2"/>
        <v>4995.7308762541825</v>
      </c>
      <c r="AG34" s="58">
        <f t="shared" si="3"/>
        <v>0.137221269296741</v>
      </c>
      <c r="AH34">
        <f t="shared" si="4"/>
        <v>249.78654381270914</v>
      </c>
    </row>
    <row r="35" spans="1:34">
      <c r="A35" s="6">
        <v>33</v>
      </c>
      <c r="B35" s="6">
        <v>4</v>
      </c>
      <c r="C35">
        <v>592.52952473326877</v>
      </c>
      <c r="D35">
        <v>753.86006595538311</v>
      </c>
      <c r="E35">
        <v>1034.0715033947624</v>
      </c>
      <c r="F35" s="27">
        <v>1611.3849078564497</v>
      </c>
      <c r="O35" s="6">
        <v>33</v>
      </c>
      <c r="P35" s="6">
        <f>'[1]3、总属性战斗节奏拟合'!D37</f>
        <v>80692.898434991686</v>
      </c>
      <c r="Q35" s="6">
        <f>'[1]3、总属性战斗节奏拟合'!E37</f>
        <v>6095.1413001672272</v>
      </c>
      <c r="R35" s="6">
        <f>'[1]3、总属性战斗节奏拟合'!F37</f>
        <v>2708.9516889632123</v>
      </c>
      <c r="S35" s="6">
        <f>'[1]3、总属性战斗节奏拟合'!G37</f>
        <v>3386.1896112040149</v>
      </c>
      <c r="T35" s="6">
        <f>'[1]3、总属性战斗节奏拟合'!H37</f>
        <v>23.830000000000002</v>
      </c>
      <c r="U35" s="6">
        <f t="shared" si="5"/>
        <v>40346.449217495843</v>
      </c>
      <c r="V35" s="6">
        <f t="shared" si="6"/>
        <v>3047.5706500836136</v>
      </c>
      <c r="W35" s="6">
        <f t="shared" si="7"/>
        <v>1354.4758444816061</v>
      </c>
      <c r="X35" s="6">
        <f t="shared" si="8"/>
        <v>1693.0948056020075</v>
      </c>
      <c r="Y35" s="6">
        <f t="shared" si="9"/>
        <v>23.830000000000002</v>
      </c>
      <c r="Z35" s="55">
        <v>0.1</v>
      </c>
      <c r="AA35" s="28">
        <f t="shared" si="10"/>
        <v>304.75706500836139</v>
      </c>
      <c r="AB35">
        <f t="shared" si="11"/>
        <v>6095.1413001672281</v>
      </c>
      <c r="AC35" s="58">
        <f t="shared" si="0"/>
        <v>0.15107007973143097</v>
      </c>
      <c r="AD35" s="59">
        <f t="shared" si="1"/>
        <v>304.75706500836139</v>
      </c>
      <c r="AE35" s="55">
        <v>0.2</v>
      </c>
      <c r="AF35">
        <f t="shared" si="2"/>
        <v>5417.9033779264246</v>
      </c>
      <c r="AG35" s="58">
        <f t="shared" si="3"/>
        <v>0.13428451531682753</v>
      </c>
      <c r="AH35">
        <f t="shared" si="4"/>
        <v>270.89516889632125</v>
      </c>
    </row>
    <row r="36" spans="1:34">
      <c r="A36" s="6">
        <v>34</v>
      </c>
      <c r="B36" s="6">
        <v>4</v>
      </c>
      <c r="C36">
        <v>602.41171677982538</v>
      </c>
      <c r="D36">
        <v>768.39380019398641</v>
      </c>
      <c r="E36">
        <v>1053.2007371483996</v>
      </c>
      <c r="F36" s="27">
        <v>1644.7863433559646</v>
      </c>
      <c r="O36" s="6">
        <v>34</v>
      </c>
      <c r="P36" s="6">
        <f>'[1]3、总属性战斗节奏拟合'!D38</f>
        <v>89095.600571989969</v>
      </c>
      <c r="Q36" s="6">
        <f>'[1]3、总属性战斗节奏拟合'!E38</f>
        <v>6588.8283085284293</v>
      </c>
      <c r="R36" s="6">
        <f>'[1]3、总属性战斗节奏拟合'!F38</f>
        <v>2928.3681371237462</v>
      </c>
      <c r="S36" s="6">
        <f>'[1]3、总属性战斗节奏拟合'!G38</f>
        <v>3660.4601714046826</v>
      </c>
      <c r="T36" s="6">
        <f>'[1]3、总属性战斗节奏拟合'!H38</f>
        <v>24.34</v>
      </c>
      <c r="U36" s="6">
        <f t="shared" si="5"/>
        <v>44547.800285994985</v>
      </c>
      <c r="V36" s="6">
        <f t="shared" si="6"/>
        <v>3294.4141542642146</v>
      </c>
      <c r="W36" s="6">
        <f t="shared" si="7"/>
        <v>1464.1840685618731</v>
      </c>
      <c r="X36" s="6">
        <f t="shared" si="8"/>
        <v>1830.2300857023415</v>
      </c>
      <c r="Y36" s="6">
        <f t="shared" si="9"/>
        <v>24.339999999999996</v>
      </c>
      <c r="Z36" s="55">
        <v>0.1</v>
      </c>
      <c r="AA36" s="28">
        <f t="shared" si="10"/>
        <v>329.44141542642149</v>
      </c>
      <c r="AB36">
        <f t="shared" si="11"/>
        <v>6588.8283085284293</v>
      </c>
      <c r="AC36" s="58">
        <f t="shared" si="0"/>
        <v>0.14790468364831555</v>
      </c>
      <c r="AD36" s="59">
        <f t="shared" si="1"/>
        <v>329.44141542642149</v>
      </c>
      <c r="AE36" s="55">
        <v>0.2</v>
      </c>
      <c r="AF36">
        <f t="shared" si="2"/>
        <v>5856.7362742474925</v>
      </c>
      <c r="AG36" s="58">
        <f t="shared" si="3"/>
        <v>0.13147082990961381</v>
      </c>
      <c r="AH36">
        <f t="shared" si="4"/>
        <v>292.83681371237464</v>
      </c>
    </row>
    <row r="37" spans="1:34">
      <c r="A37" s="6">
        <v>35</v>
      </c>
      <c r="B37" s="6">
        <v>4</v>
      </c>
      <c r="C37">
        <v>612.29390882638222</v>
      </c>
      <c r="D37">
        <v>782.92753443258971</v>
      </c>
      <c r="E37">
        <v>1072.3299709020371</v>
      </c>
      <c r="F37" s="27">
        <v>1678.1877788554796</v>
      </c>
      <c r="O37" s="6">
        <v>35</v>
      </c>
      <c r="P37" s="6">
        <f>'[1]3、总属性战斗节奏拟合'!D39</f>
        <v>98036.81543478262</v>
      </c>
      <c r="Q37" s="6">
        <f>'[1]3、总属性战斗节奏拟合'!E39</f>
        <v>7101.2582608695666</v>
      </c>
      <c r="R37" s="6">
        <f>'[1]3、总属性战斗节奏拟合'!F39</f>
        <v>3156.1147826086963</v>
      </c>
      <c r="S37" s="6">
        <f>'[1]3、总属性战斗节奏拟合'!G39</f>
        <v>3945.1434782608699</v>
      </c>
      <c r="T37" s="6">
        <f>'[1]3、总属性战斗节奏拟合'!H39</f>
        <v>24.85</v>
      </c>
      <c r="U37" s="6">
        <f t="shared" si="5"/>
        <v>49018.40771739131</v>
      </c>
      <c r="V37" s="6">
        <f t="shared" si="6"/>
        <v>3550.6291304347833</v>
      </c>
      <c r="W37" s="6">
        <f t="shared" si="7"/>
        <v>1578.0573913043481</v>
      </c>
      <c r="X37" s="6">
        <f t="shared" si="8"/>
        <v>1972.5717391304352</v>
      </c>
      <c r="Y37" s="6">
        <f t="shared" si="9"/>
        <v>24.849999999999998</v>
      </c>
      <c r="Z37" s="55">
        <v>0.1</v>
      </c>
      <c r="AA37" s="28">
        <f t="shared" si="10"/>
        <v>355.06291304347837</v>
      </c>
      <c r="AB37">
        <f t="shared" si="11"/>
        <v>7101.2582608695675</v>
      </c>
      <c r="AC37" s="58">
        <f t="shared" si="0"/>
        <v>0.14486921529175054</v>
      </c>
      <c r="AD37" s="59">
        <f t="shared" si="1"/>
        <v>355.06291304347837</v>
      </c>
      <c r="AE37" s="55">
        <v>0.2</v>
      </c>
      <c r="AF37">
        <f t="shared" si="2"/>
        <v>6312.2295652173934</v>
      </c>
      <c r="AG37" s="58">
        <f t="shared" si="3"/>
        <v>0.12877263581488937</v>
      </c>
      <c r="AH37">
        <f t="shared" si="4"/>
        <v>315.61147826086966</v>
      </c>
    </row>
    <row r="38" spans="1:34">
      <c r="A38" s="6">
        <v>36</v>
      </c>
      <c r="B38" s="6">
        <v>4</v>
      </c>
      <c r="C38">
        <v>622.17610087293895</v>
      </c>
      <c r="D38">
        <v>797.46126867119301</v>
      </c>
      <c r="E38">
        <v>1091.4592046556741</v>
      </c>
      <c r="F38" s="27">
        <v>1711.5892143549947</v>
      </c>
      <c r="O38" s="6">
        <v>36</v>
      </c>
      <c r="P38" s="6">
        <f>'[1]3、总属性战斗节奏拟合'!D40</f>
        <v>107532.47452575252</v>
      </c>
      <c r="Q38" s="6">
        <f>'[1]3、总属性战斗节奏拟合'!E40</f>
        <v>7632.4311571906364</v>
      </c>
      <c r="R38" s="6">
        <f>'[1]3、总属性战斗节奏拟合'!F40</f>
        <v>3392.191625418061</v>
      </c>
      <c r="S38" s="6">
        <f>'[1]3、总属性战斗节奏拟合'!G40</f>
        <v>4240.2395317725759</v>
      </c>
      <c r="T38" s="6">
        <f>'[1]3、总属性战斗节奏拟合'!H40</f>
        <v>25.36</v>
      </c>
      <c r="U38" s="6">
        <f t="shared" si="5"/>
        <v>53766.237262876261</v>
      </c>
      <c r="V38" s="6">
        <f t="shared" si="6"/>
        <v>3816.2155785953182</v>
      </c>
      <c r="W38" s="6">
        <f t="shared" si="7"/>
        <v>1696.0958127090305</v>
      </c>
      <c r="X38" s="6">
        <f t="shared" si="8"/>
        <v>2120.1197658862875</v>
      </c>
      <c r="Y38" s="6">
        <f t="shared" si="9"/>
        <v>25.360000000000003</v>
      </c>
      <c r="Z38" s="55">
        <v>0.1</v>
      </c>
      <c r="AA38" s="28">
        <f t="shared" si="10"/>
        <v>381.62155785953183</v>
      </c>
      <c r="AB38">
        <f t="shared" si="11"/>
        <v>7632.4311571906364</v>
      </c>
      <c r="AC38" s="58">
        <f t="shared" si="0"/>
        <v>0.14195583596214512</v>
      </c>
      <c r="AD38" s="59">
        <f t="shared" si="1"/>
        <v>381.62155785953183</v>
      </c>
      <c r="AE38" s="55">
        <v>0.2</v>
      </c>
      <c r="AF38">
        <f t="shared" si="2"/>
        <v>6784.383250836122</v>
      </c>
      <c r="AG38" s="58">
        <f t="shared" si="3"/>
        <v>0.12618296529968456</v>
      </c>
      <c r="AH38">
        <f t="shared" si="4"/>
        <v>339.2191625418061</v>
      </c>
    </row>
    <row r="39" spans="1:34">
      <c r="A39" s="6">
        <v>37</v>
      </c>
      <c r="B39" s="6">
        <v>4</v>
      </c>
      <c r="C39">
        <v>632.05829291949567</v>
      </c>
      <c r="D39">
        <v>811.99500290979631</v>
      </c>
      <c r="E39">
        <v>1110.5884384093115</v>
      </c>
      <c r="F39" s="27">
        <v>1744.9906498545097</v>
      </c>
      <c r="O39" s="6">
        <v>37</v>
      </c>
      <c r="P39" s="6">
        <f>'[1]3、总属性战斗节奏拟合'!D41</f>
        <v>117598.50934728263</v>
      </c>
      <c r="Q39" s="6">
        <f>'[1]3、总属性战斗节奏拟合'!E41</f>
        <v>8182.3469974916397</v>
      </c>
      <c r="R39" s="6">
        <f>'[1]3、总属性战斗节奏拟合'!F41</f>
        <v>3636.59866555184</v>
      </c>
      <c r="S39" s="6">
        <f>'[1]3、总属性战斗节奏拟合'!G41</f>
        <v>4545.7483319397998</v>
      </c>
      <c r="T39" s="6">
        <f>'[1]3、总属性战斗节奏拟合'!H41</f>
        <v>25.87</v>
      </c>
      <c r="U39" s="6">
        <f t="shared" si="5"/>
        <v>58799.254673641313</v>
      </c>
      <c r="V39" s="6">
        <f t="shared" si="6"/>
        <v>4091.1734987458199</v>
      </c>
      <c r="W39" s="6">
        <f t="shared" si="7"/>
        <v>1818.29933277592</v>
      </c>
      <c r="X39" s="6">
        <f t="shared" si="8"/>
        <v>2272.8741659698999</v>
      </c>
      <c r="Y39" s="6">
        <f t="shared" si="9"/>
        <v>25.87</v>
      </c>
      <c r="Z39" s="55">
        <v>0.1</v>
      </c>
      <c r="AA39" s="28">
        <f t="shared" si="10"/>
        <v>409.11734987458203</v>
      </c>
      <c r="AB39">
        <f t="shared" si="11"/>
        <v>8182.3469974916406</v>
      </c>
      <c r="AC39" s="58">
        <f t="shared" si="0"/>
        <v>0.13915732508697334</v>
      </c>
      <c r="AD39" s="59">
        <f t="shared" si="1"/>
        <v>409.11734987458203</v>
      </c>
      <c r="AE39" s="55">
        <v>0.2</v>
      </c>
      <c r="AF39">
        <f t="shared" si="2"/>
        <v>7273.19733110368</v>
      </c>
      <c r="AG39" s="58">
        <f t="shared" si="3"/>
        <v>0.12369540007730963</v>
      </c>
      <c r="AH39">
        <f t="shared" si="4"/>
        <v>363.65986655518401</v>
      </c>
    </row>
    <row r="40" spans="1:34">
      <c r="A40" s="6">
        <v>38</v>
      </c>
      <c r="B40" s="6">
        <v>4</v>
      </c>
      <c r="C40">
        <v>641.9404849660524</v>
      </c>
      <c r="D40">
        <v>826.52873714839961</v>
      </c>
      <c r="E40">
        <v>1129.7176721629487</v>
      </c>
      <c r="F40" s="27">
        <v>1778.3920853540246</v>
      </c>
      <c r="O40" s="6">
        <v>38</v>
      </c>
      <c r="P40" s="6">
        <f>'[1]3、总属性战斗节奏拟合'!D42</f>
        <v>128250.85140175585</v>
      </c>
      <c r="Q40" s="6">
        <f>'[1]3、总属性战斗节奏拟合'!E42</f>
        <v>8751.0057817725756</v>
      </c>
      <c r="R40" s="6">
        <f>'[1]3、总属性战斗节奏拟合'!F42</f>
        <v>3889.3359030100337</v>
      </c>
      <c r="S40" s="6">
        <f>'[1]3、总属性战斗节奏拟合'!G42</f>
        <v>4861.6698787625419</v>
      </c>
      <c r="T40" s="6">
        <f>'[1]3、总属性战斗节奏拟合'!H42</f>
        <v>26.38</v>
      </c>
      <c r="U40" s="6">
        <f t="shared" si="5"/>
        <v>64125.425700877924</v>
      </c>
      <c r="V40" s="6">
        <f t="shared" si="6"/>
        <v>4375.5028908862878</v>
      </c>
      <c r="W40" s="6">
        <f t="shared" si="7"/>
        <v>1944.6679515050168</v>
      </c>
      <c r="X40" s="6">
        <f t="shared" si="8"/>
        <v>2430.8349393812709</v>
      </c>
      <c r="Y40" s="6">
        <f t="shared" si="9"/>
        <v>26.38</v>
      </c>
      <c r="Z40" s="55">
        <v>0.1</v>
      </c>
      <c r="AA40" s="28">
        <f t="shared" si="10"/>
        <v>437.5502890886288</v>
      </c>
      <c r="AB40">
        <f t="shared" si="11"/>
        <v>8751.0057817725756</v>
      </c>
      <c r="AC40" s="58">
        <f t="shared" si="0"/>
        <v>0.13646702047005307</v>
      </c>
      <c r="AD40" s="59">
        <f t="shared" si="1"/>
        <v>437.5502890886288</v>
      </c>
      <c r="AE40" s="55">
        <v>0.2</v>
      </c>
      <c r="AF40">
        <f t="shared" si="2"/>
        <v>7778.6718060200674</v>
      </c>
      <c r="AG40" s="58">
        <f t="shared" si="3"/>
        <v>0.12130401819560274</v>
      </c>
      <c r="AH40">
        <f t="shared" si="4"/>
        <v>388.93359030100339</v>
      </c>
    </row>
    <row r="41" spans="1:34">
      <c r="A41" s="6">
        <v>39</v>
      </c>
      <c r="B41" s="6">
        <v>4</v>
      </c>
      <c r="C41">
        <v>651.82267701260912</v>
      </c>
      <c r="D41">
        <v>841.06247138700292</v>
      </c>
      <c r="E41">
        <v>1148.8469059165859</v>
      </c>
      <c r="F41" s="27">
        <v>1811.7935208535398</v>
      </c>
      <c r="O41" s="6">
        <v>39</v>
      </c>
      <c r="P41" s="6">
        <f>'[1]3、总属性战斗节奏拟合'!D43</f>
        <v>139505.43219155521</v>
      </c>
      <c r="Q41" s="6">
        <f>'[1]3、总属性战斗节奏拟合'!E43</f>
        <v>9338.4075100334449</v>
      </c>
      <c r="R41" s="6">
        <f>'[1]3、总属性战斗节奏拟合'!F43</f>
        <v>4150.4033377926426</v>
      </c>
      <c r="S41" s="6">
        <f>'[1]3、总属性战斗节奏拟合'!G43</f>
        <v>5188.0041722408032</v>
      </c>
      <c r="T41" s="6">
        <f>'[1]3、总属性战斗节奏拟合'!H43</f>
        <v>26.89</v>
      </c>
      <c r="U41" s="6">
        <f t="shared" si="5"/>
        <v>69752.716095777607</v>
      </c>
      <c r="V41" s="6">
        <f t="shared" si="6"/>
        <v>4669.2037550167224</v>
      </c>
      <c r="W41" s="6">
        <f t="shared" si="7"/>
        <v>2075.2016688963213</v>
      </c>
      <c r="X41" s="6">
        <f t="shared" si="8"/>
        <v>2594.0020861204011</v>
      </c>
      <c r="Y41" s="6">
        <f t="shared" si="9"/>
        <v>26.890000000000008</v>
      </c>
      <c r="Z41" s="55">
        <v>0.1</v>
      </c>
      <c r="AA41" s="28">
        <f t="shared" si="10"/>
        <v>466.92037550167225</v>
      </c>
      <c r="AB41">
        <f t="shared" si="11"/>
        <v>9338.4075100334449</v>
      </c>
      <c r="AC41" s="58">
        <f t="shared" si="0"/>
        <v>0.13387876534027518</v>
      </c>
      <c r="AD41" s="59">
        <f t="shared" si="1"/>
        <v>466.92037550167225</v>
      </c>
      <c r="AE41" s="55">
        <v>0.2</v>
      </c>
      <c r="AF41">
        <f t="shared" si="2"/>
        <v>8300.8066755852851</v>
      </c>
      <c r="AG41" s="58">
        <f t="shared" si="3"/>
        <v>0.11900334696913349</v>
      </c>
      <c r="AH41">
        <f t="shared" si="4"/>
        <v>415.0403337792643</v>
      </c>
    </row>
    <row r="42" spans="1:34">
      <c r="A42" s="6">
        <v>40</v>
      </c>
      <c r="B42" s="6">
        <v>5</v>
      </c>
      <c r="C42">
        <v>764.68896217264785</v>
      </c>
      <c r="D42">
        <v>992.4918409311349</v>
      </c>
      <c r="E42">
        <v>1299.2228903976722</v>
      </c>
      <c r="F42" s="27">
        <v>2154.9272550921428</v>
      </c>
      <c r="O42" s="6">
        <v>40</v>
      </c>
      <c r="P42" s="6">
        <f>'[1]3、总属性战斗节奏拟合'!D44</f>
        <v>152741.95063545156</v>
      </c>
      <c r="Q42" s="6">
        <f>'[1]3、总属性战斗节奏拟合'!E44</f>
        <v>10034.14274247492</v>
      </c>
      <c r="R42" s="6">
        <f>'[1]3、总属性战斗节奏拟合'!F44</f>
        <v>4459.6189966555203</v>
      </c>
      <c r="S42" s="6">
        <f>'[1]3、总属性战斗节奏拟合'!G44</f>
        <v>5574.5237458194006</v>
      </c>
      <c r="T42" s="6">
        <f>'[1]3、总属性战斗节奏拟合'!H44</f>
        <v>27.4</v>
      </c>
      <c r="U42" s="6">
        <f t="shared" si="5"/>
        <v>76370.975317725781</v>
      </c>
      <c r="V42" s="6">
        <f t="shared" si="6"/>
        <v>5017.07137123746</v>
      </c>
      <c r="W42" s="6">
        <f t="shared" si="7"/>
        <v>2229.8094983277601</v>
      </c>
      <c r="X42" s="6">
        <f t="shared" si="8"/>
        <v>2787.2618729096998</v>
      </c>
      <c r="Y42" s="6">
        <f t="shared" si="9"/>
        <v>27.400000000000002</v>
      </c>
      <c r="Z42" s="55">
        <v>0.1</v>
      </c>
      <c r="AA42" s="28">
        <f t="shared" si="10"/>
        <v>501.70713712374601</v>
      </c>
      <c r="AB42">
        <f t="shared" si="11"/>
        <v>10034.14274247492</v>
      </c>
      <c r="AC42" s="58">
        <f t="shared" si="0"/>
        <v>0.13138686131386862</v>
      </c>
      <c r="AD42" s="59">
        <f t="shared" si="1"/>
        <v>501.70713712374601</v>
      </c>
      <c r="AE42" s="55">
        <v>0.2</v>
      </c>
      <c r="AF42">
        <f t="shared" si="2"/>
        <v>8919.2379933110406</v>
      </c>
      <c r="AG42" s="58">
        <f t="shared" si="3"/>
        <v>0.11678832116788322</v>
      </c>
      <c r="AH42">
        <f t="shared" si="4"/>
        <v>445.96189966555204</v>
      </c>
    </row>
    <row r="43" spans="1:34">
      <c r="A43" s="6">
        <v>41</v>
      </c>
      <c r="B43" s="6">
        <v>5</v>
      </c>
      <c r="C43">
        <v>775.84612512124147</v>
      </c>
      <c r="D43">
        <v>1008.8469621726479</v>
      </c>
      <c r="E43">
        <v>1320.7059165858391</v>
      </c>
      <c r="F43" s="27">
        <v>2192.3077206595531</v>
      </c>
      <c r="O43" s="6">
        <v>41</v>
      </c>
      <c r="P43" s="6">
        <f>'[1]3、总属性战斗节奏拟合'!D45</f>
        <v>166760.21205660541</v>
      </c>
      <c r="Q43" s="6">
        <f>'[1]3、总属性战斗节奏拟合'!E45</f>
        <v>10754.868566889636</v>
      </c>
      <c r="R43" s="6">
        <f>'[1]3、总属性战斗节奏拟合'!F45</f>
        <v>4779.9415852842822</v>
      </c>
      <c r="S43" s="6">
        <f>'[1]3、总属性战斗节奏拟合'!G45</f>
        <v>5974.9269816053529</v>
      </c>
      <c r="T43" s="6">
        <f>'[1]3、总属性战斗节奏拟合'!H45</f>
        <v>27.91</v>
      </c>
      <c r="U43" s="6">
        <f t="shared" si="5"/>
        <v>83380.106028302704</v>
      </c>
      <c r="V43" s="6">
        <f t="shared" si="6"/>
        <v>5377.434283444818</v>
      </c>
      <c r="W43" s="6">
        <f t="shared" si="7"/>
        <v>2389.9707926421411</v>
      </c>
      <c r="X43" s="6">
        <f t="shared" si="8"/>
        <v>2987.4634908026769</v>
      </c>
      <c r="Y43" s="6">
        <f t="shared" si="9"/>
        <v>27.909999999999997</v>
      </c>
      <c r="Z43" s="55">
        <v>0.1</v>
      </c>
      <c r="AA43" s="28">
        <f t="shared" si="10"/>
        <v>537.7434283444818</v>
      </c>
      <c r="AB43">
        <f t="shared" si="11"/>
        <v>10754.868566889636</v>
      </c>
      <c r="AC43" s="58">
        <f t="shared" si="0"/>
        <v>0.12898602651379434</v>
      </c>
      <c r="AD43" s="59">
        <f t="shared" si="1"/>
        <v>537.7434283444818</v>
      </c>
      <c r="AE43" s="55">
        <v>0.2</v>
      </c>
      <c r="AF43">
        <f t="shared" si="2"/>
        <v>9559.8831705685643</v>
      </c>
      <c r="AG43" s="58">
        <f t="shared" si="3"/>
        <v>0.1146542457900394</v>
      </c>
      <c r="AH43">
        <f t="shared" si="4"/>
        <v>477.99415852842822</v>
      </c>
    </row>
    <row r="44" spans="1:34">
      <c r="A44" s="6">
        <v>42</v>
      </c>
      <c r="B44" s="6">
        <v>5</v>
      </c>
      <c r="C44">
        <v>787.00328806983498</v>
      </c>
      <c r="D44">
        <v>1025.2020834141611</v>
      </c>
      <c r="E44">
        <v>1342.1889427740059</v>
      </c>
      <c r="F44" s="27">
        <v>2229.6881862269634</v>
      </c>
      <c r="O44" s="6">
        <v>42</v>
      </c>
      <c r="P44" s="6">
        <f>'[1]3、总属性战斗节奏拟合'!D46</f>
        <v>181581.45845819404</v>
      </c>
      <c r="Q44" s="6">
        <f>'[1]3、总属性战斗节奏拟合'!E46</f>
        <v>11500.584983277597</v>
      </c>
      <c r="R44" s="6">
        <f>'[1]3、总属性战斗节奏拟合'!F46</f>
        <v>5111.3711036789318</v>
      </c>
      <c r="S44" s="6">
        <f>'[1]3、总属性战斗节奏拟合'!G46</f>
        <v>6389.2138795986639</v>
      </c>
      <c r="T44" s="6">
        <f>'[1]3、总属性战斗节奏拟合'!H46</f>
        <v>28.42</v>
      </c>
      <c r="U44" s="6">
        <f t="shared" si="5"/>
        <v>90790.729229097022</v>
      </c>
      <c r="V44" s="6">
        <f t="shared" si="6"/>
        <v>5750.2924916387983</v>
      </c>
      <c r="W44" s="6">
        <f t="shared" si="7"/>
        <v>2555.6855518394659</v>
      </c>
      <c r="X44" s="6">
        <f t="shared" si="8"/>
        <v>3194.6069397993324</v>
      </c>
      <c r="Y44" s="6">
        <f t="shared" si="9"/>
        <v>28.419999999999998</v>
      </c>
      <c r="Z44" s="55">
        <v>0.1</v>
      </c>
      <c r="AA44" s="28">
        <f t="shared" si="10"/>
        <v>575.02924916387985</v>
      </c>
      <c r="AB44">
        <f t="shared" si="11"/>
        <v>11500.584983277597</v>
      </c>
      <c r="AC44" s="58">
        <f t="shared" si="0"/>
        <v>0.12667135819845179</v>
      </c>
      <c r="AD44" s="59">
        <f t="shared" si="1"/>
        <v>575.02924916387985</v>
      </c>
      <c r="AE44" s="55">
        <v>0.2</v>
      </c>
      <c r="AF44">
        <f t="shared" si="2"/>
        <v>10222.742207357864</v>
      </c>
      <c r="AG44" s="58">
        <f t="shared" si="3"/>
        <v>0.11259676284306827</v>
      </c>
      <c r="AH44">
        <f t="shared" si="4"/>
        <v>511.13711036789323</v>
      </c>
    </row>
    <row r="45" spans="1:34">
      <c r="A45" s="6">
        <v>43</v>
      </c>
      <c r="B45" s="6">
        <v>5</v>
      </c>
      <c r="C45">
        <v>798.1604510184286</v>
      </c>
      <c r="D45">
        <v>1041.5572046556742</v>
      </c>
      <c r="E45">
        <v>1363.6719689621727</v>
      </c>
      <c r="F45" s="27">
        <v>2267.0686517943736</v>
      </c>
      <c r="O45" s="6">
        <v>43</v>
      </c>
      <c r="P45" s="6">
        <f>'[1]3、总属性战斗节奏拟合'!D47</f>
        <v>197226.93184339468</v>
      </c>
      <c r="Q45" s="6">
        <f>'[1]3、总属性战斗节奏拟合'!E47</f>
        <v>12271.291991638798</v>
      </c>
      <c r="R45" s="6">
        <f>'[1]3、总属性战斗节奏拟合'!F47</f>
        <v>5453.9075518394666</v>
      </c>
      <c r="S45" s="6">
        <f>'[1]3、总属性战斗节奏拟合'!G47</f>
        <v>6817.3844397993325</v>
      </c>
      <c r="T45" s="6">
        <f>'[1]3、总属性战斗节奏拟合'!H47</f>
        <v>28.93</v>
      </c>
      <c r="U45" s="6">
        <f t="shared" si="5"/>
        <v>98613.465921697338</v>
      </c>
      <c r="V45" s="6">
        <f t="shared" si="6"/>
        <v>6135.6459958193991</v>
      </c>
      <c r="W45" s="6">
        <f t="shared" si="7"/>
        <v>2726.9537759197333</v>
      </c>
      <c r="X45" s="6">
        <f t="shared" si="8"/>
        <v>3408.6922198996658</v>
      </c>
      <c r="Y45" s="6">
        <f t="shared" si="9"/>
        <v>28.930000000000003</v>
      </c>
      <c r="Z45" s="55">
        <v>0.1</v>
      </c>
      <c r="AA45" s="28">
        <f t="shared" si="10"/>
        <v>613.56459958193989</v>
      </c>
      <c r="AB45">
        <f t="shared" si="11"/>
        <v>12271.291991638798</v>
      </c>
      <c r="AC45" s="58">
        <f t="shared" si="0"/>
        <v>0.12443829934324231</v>
      </c>
      <c r="AD45" s="59">
        <f t="shared" si="1"/>
        <v>613.56459958193989</v>
      </c>
      <c r="AE45" s="55">
        <v>0.2</v>
      </c>
      <c r="AF45">
        <f t="shared" si="2"/>
        <v>10907.815103678933</v>
      </c>
      <c r="AG45" s="58">
        <f t="shared" si="3"/>
        <v>0.11061182163843762</v>
      </c>
      <c r="AH45">
        <f t="shared" si="4"/>
        <v>545.39075518394668</v>
      </c>
    </row>
    <row r="46" spans="1:34">
      <c r="A46" s="6">
        <v>44</v>
      </c>
      <c r="B46" s="6">
        <v>5</v>
      </c>
      <c r="C46">
        <v>809.31761396702223</v>
      </c>
      <c r="D46">
        <v>1057.9123258971872</v>
      </c>
      <c r="E46">
        <v>1385.1549951503396</v>
      </c>
      <c r="F46" s="27">
        <v>2304.4491173617839</v>
      </c>
      <c r="O46" s="6">
        <v>44</v>
      </c>
      <c r="P46" s="6">
        <f>'[1]3、总属性战斗节奏拟合'!D48</f>
        <v>213717.87421538465</v>
      </c>
      <c r="Q46" s="6">
        <f>'[1]3、总属性战斗节奏拟合'!E48</f>
        <v>13066.989591973246</v>
      </c>
      <c r="R46" s="6">
        <f>'[1]3、总属性战斗节奏拟合'!F48</f>
        <v>5807.5509297658873</v>
      </c>
      <c r="S46" s="6">
        <f>'[1]3、总属性战斗节奏拟合'!G48</f>
        <v>7259.4386622073589</v>
      </c>
      <c r="T46" s="6">
        <f>'[1]3、总属性战斗节奏拟合'!H48</f>
        <v>29.44</v>
      </c>
      <c r="U46" s="6">
        <f t="shared" si="5"/>
        <v>106858.93710769233</v>
      </c>
      <c r="V46" s="6">
        <f t="shared" si="6"/>
        <v>6533.4947959866231</v>
      </c>
      <c r="W46" s="6">
        <f t="shared" si="7"/>
        <v>2903.7754648829437</v>
      </c>
      <c r="X46" s="6">
        <f t="shared" si="8"/>
        <v>3629.7193311036795</v>
      </c>
      <c r="Y46" s="6">
        <f t="shared" si="9"/>
        <v>29.44</v>
      </c>
      <c r="Z46" s="55">
        <v>0.1</v>
      </c>
      <c r="AA46" s="28">
        <f t="shared" si="10"/>
        <v>653.34947959866236</v>
      </c>
      <c r="AB46">
        <f t="shared" si="11"/>
        <v>13066.989591973248</v>
      </c>
      <c r="AC46" s="58">
        <f t="shared" si="0"/>
        <v>0.12228260869565219</v>
      </c>
      <c r="AD46" s="59">
        <f t="shared" si="1"/>
        <v>653.34947959866236</v>
      </c>
      <c r="AE46" s="55">
        <v>0.2</v>
      </c>
      <c r="AF46">
        <f t="shared" si="2"/>
        <v>11615.101859531776</v>
      </c>
      <c r="AG46" s="58">
        <f t="shared" si="3"/>
        <v>0.10869565217391305</v>
      </c>
      <c r="AH46">
        <f t="shared" si="4"/>
        <v>580.7550929765888</v>
      </c>
    </row>
    <row r="47" spans="1:34">
      <c r="A47" s="6">
        <v>45</v>
      </c>
      <c r="B47" s="6">
        <v>5</v>
      </c>
      <c r="C47">
        <v>820.47477691561585</v>
      </c>
      <c r="D47">
        <v>1074.2674471387004</v>
      </c>
      <c r="E47">
        <v>1406.6380213385064</v>
      </c>
      <c r="F47" s="27">
        <v>2341.8295829291942</v>
      </c>
      <c r="O47" s="6">
        <v>45</v>
      </c>
      <c r="P47" s="6">
        <f>'[1]3、总属性战斗节奏拟合'!D49</f>
        <v>231075.52757734121</v>
      </c>
      <c r="Q47" s="6">
        <f>'[1]3、总属性战斗节奏拟合'!E49</f>
        <v>13887.677784280941</v>
      </c>
      <c r="R47" s="6">
        <f>'[1]3、总属性战斗节奏拟合'!F49</f>
        <v>6172.3012374581958</v>
      </c>
      <c r="S47" s="6">
        <f>'[1]3、总属性战斗节奏拟合'!G49</f>
        <v>7715.3765468227448</v>
      </c>
      <c r="T47" s="6">
        <f>'[1]3、总属性战斗节奏拟合'!H49</f>
        <v>29.95</v>
      </c>
      <c r="U47" s="6">
        <f t="shared" si="5"/>
        <v>115537.76378867061</v>
      </c>
      <c r="V47" s="6">
        <f t="shared" si="6"/>
        <v>6943.8388921404703</v>
      </c>
      <c r="W47" s="6">
        <f t="shared" si="7"/>
        <v>3086.1506187290979</v>
      </c>
      <c r="X47" s="6">
        <f t="shared" si="8"/>
        <v>3857.6882734113724</v>
      </c>
      <c r="Y47" s="6">
        <f t="shared" si="9"/>
        <v>29.95</v>
      </c>
      <c r="Z47" s="55">
        <v>0.1</v>
      </c>
      <c r="AA47" s="28">
        <f t="shared" si="10"/>
        <v>694.38388921404703</v>
      </c>
      <c r="AB47">
        <f t="shared" si="11"/>
        <v>13887.677784280941</v>
      </c>
      <c r="AC47" s="58">
        <f t="shared" si="0"/>
        <v>0.12020033388981635</v>
      </c>
      <c r="AD47" s="59">
        <f t="shared" si="1"/>
        <v>694.38388921404703</v>
      </c>
      <c r="AE47" s="55">
        <v>0.2</v>
      </c>
      <c r="AF47">
        <f t="shared" si="2"/>
        <v>12344.602474916392</v>
      </c>
      <c r="AG47" s="58">
        <f t="shared" si="3"/>
        <v>0.10684474123539232</v>
      </c>
      <c r="AH47">
        <f t="shared" si="4"/>
        <v>617.23012374581958</v>
      </c>
    </row>
    <row r="48" spans="1:34">
      <c r="A48" s="6">
        <v>46</v>
      </c>
      <c r="B48" s="6">
        <v>5</v>
      </c>
      <c r="C48">
        <v>831.63193986420947</v>
      </c>
      <c r="D48">
        <v>1090.6225683802134</v>
      </c>
      <c r="E48">
        <v>1428.1210475266732</v>
      </c>
      <c r="F48" s="27">
        <v>2379.2100484966045</v>
      </c>
      <c r="O48" s="6">
        <v>46</v>
      </c>
      <c r="P48" s="6">
        <f>'[1]3、总属性战斗节奏拟合'!D50</f>
        <v>249321.13393244156</v>
      </c>
      <c r="Q48" s="6">
        <f>'[1]3、总属性战斗节奏拟合'!E50</f>
        <v>14733.356568561878</v>
      </c>
      <c r="R48" s="6">
        <f>'[1]3、总属性战斗节奏拟合'!F50</f>
        <v>6548.1584749163903</v>
      </c>
      <c r="S48" s="6">
        <f>'[1]3、总属性战斗节奏拟合'!G50</f>
        <v>8185.1980936454875</v>
      </c>
      <c r="T48" s="6">
        <f>'[1]3、总属性战斗节奏拟合'!H50</f>
        <v>30.46</v>
      </c>
      <c r="U48" s="6">
        <f t="shared" si="5"/>
        <v>124660.56696622078</v>
      </c>
      <c r="V48" s="6">
        <f t="shared" si="6"/>
        <v>7366.6782842809389</v>
      </c>
      <c r="W48" s="6">
        <f t="shared" si="7"/>
        <v>3274.0792374581952</v>
      </c>
      <c r="X48" s="6">
        <f t="shared" si="8"/>
        <v>4092.5990468227437</v>
      </c>
      <c r="Y48" s="6">
        <f t="shared" si="9"/>
        <v>30.46</v>
      </c>
      <c r="Z48" s="55">
        <v>0.1</v>
      </c>
      <c r="AA48" s="28">
        <f t="shared" si="10"/>
        <v>736.66782842809391</v>
      </c>
      <c r="AB48">
        <f t="shared" si="11"/>
        <v>14733.356568561878</v>
      </c>
      <c r="AC48" s="58">
        <f t="shared" si="0"/>
        <v>0.11818778726198292</v>
      </c>
      <c r="AD48" s="59">
        <f t="shared" si="1"/>
        <v>736.66782842809391</v>
      </c>
      <c r="AE48" s="55">
        <v>0.2</v>
      </c>
      <c r="AF48">
        <f t="shared" si="2"/>
        <v>13096.316949832781</v>
      </c>
      <c r="AG48" s="58">
        <f t="shared" si="3"/>
        <v>0.10505581089954039</v>
      </c>
      <c r="AH48">
        <f t="shared" si="4"/>
        <v>654.81584749163903</v>
      </c>
    </row>
    <row r="49" spans="1:34">
      <c r="A49" s="6">
        <v>47</v>
      </c>
      <c r="B49" s="6">
        <v>5</v>
      </c>
      <c r="C49">
        <v>842.78910281280309</v>
      </c>
      <c r="D49">
        <v>1106.9776896217265</v>
      </c>
      <c r="E49">
        <v>1449.6040737148401</v>
      </c>
      <c r="F49" s="27">
        <v>2416.5905140640148</v>
      </c>
      <c r="O49" s="6">
        <v>47</v>
      </c>
      <c r="P49" s="6">
        <f>'[1]3、总属性战斗节奏拟合'!D51</f>
        <v>268475.93528386293</v>
      </c>
      <c r="Q49" s="6">
        <f>'[1]3、总属性战斗节奏拟合'!E51</f>
        <v>15604.025944816058</v>
      </c>
      <c r="R49" s="6">
        <f>'[1]3、总属性战斗节奏拟合'!F51</f>
        <v>6935.1226421404708</v>
      </c>
      <c r="S49" s="6">
        <f>'[1]3、总属性战斗节奏拟合'!G51</f>
        <v>8668.9033026755878</v>
      </c>
      <c r="T49" s="6">
        <f>'[1]3、总属性战斗节奏拟合'!H51</f>
        <v>30.97</v>
      </c>
      <c r="U49" s="6">
        <f t="shared" si="5"/>
        <v>134237.96764193146</v>
      </c>
      <c r="V49" s="6">
        <f t="shared" si="6"/>
        <v>7802.0129724080289</v>
      </c>
      <c r="W49" s="6">
        <f t="shared" si="7"/>
        <v>3467.5613210702354</v>
      </c>
      <c r="X49" s="6">
        <f t="shared" si="8"/>
        <v>4334.451651337793</v>
      </c>
      <c r="Y49" s="6">
        <f t="shared" si="9"/>
        <v>30.970000000000002</v>
      </c>
      <c r="Z49" s="55">
        <v>0.1</v>
      </c>
      <c r="AA49" s="28">
        <f t="shared" si="10"/>
        <v>780.20129724080289</v>
      </c>
      <c r="AB49">
        <f t="shared" si="11"/>
        <v>15604.025944816058</v>
      </c>
      <c r="AC49" s="58">
        <f t="shared" si="0"/>
        <v>0.11624152405553763</v>
      </c>
      <c r="AD49" s="59">
        <f t="shared" si="1"/>
        <v>780.20129724080289</v>
      </c>
      <c r="AE49" s="55">
        <v>0.2</v>
      </c>
      <c r="AF49">
        <f t="shared" si="2"/>
        <v>13870.245284280943</v>
      </c>
      <c r="AG49" s="58">
        <f t="shared" si="3"/>
        <v>0.10332579916047792</v>
      </c>
      <c r="AH49">
        <f t="shared" si="4"/>
        <v>693.51226421404715</v>
      </c>
    </row>
    <row r="50" spans="1:34">
      <c r="A50" s="6">
        <v>48</v>
      </c>
      <c r="B50" s="6">
        <v>6</v>
      </c>
      <c r="C50">
        <v>977.13012609117357</v>
      </c>
      <c r="D50">
        <v>1284.7995421920466</v>
      </c>
      <c r="E50">
        <v>1694.1641901066928</v>
      </c>
      <c r="F50" s="27">
        <v>2727.5355189136753</v>
      </c>
      <c r="O50" s="6">
        <v>48</v>
      </c>
      <c r="P50" s="6">
        <f>'[1]3、总属性战斗节奏拟合'!D52</f>
        <v>288561.17363478272</v>
      </c>
      <c r="Q50" s="6">
        <f>'[1]3、总属性战斗节奏拟合'!E52</f>
        <v>16499.685913043486</v>
      </c>
      <c r="R50" s="6">
        <f>'[1]3、总属性战斗节奏拟合'!F52</f>
        <v>7333.1937391304382</v>
      </c>
      <c r="S50" s="6">
        <f>'[1]3、总属性战斗节奏拟合'!G52</f>
        <v>9166.4921739130477</v>
      </c>
      <c r="T50" s="6">
        <f>'[1]3、总属性战斗节奏拟合'!H52</f>
        <v>31.48</v>
      </c>
      <c r="U50" s="6">
        <f t="shared" si="5"/>
        <v>144280.58681739136</v>
      </c>
      <c r="V50" s="6">
        <f t="shared" si="6"/>
        <v>8249.842956521743</v>
      </c>
      <c r="W50" s="6">
        <f t="shared" si="7"/>
        <v>3666.5968695652191</v>
      </c>
      <c r="X50" s="6">
        <f t="shared" si="8"/>
        <v>4583.2460869565239</v>
      </c>
      <c r="Y50" s="6">
        <f t="shared" si="9"/>
        <v>31.479999999999997</v>
      </c>
      <c r="Z50" s="55">
        <v>0.1</v>
      </c>
      <c r="AA50" s="28">
        <f t="shared" si="10"/>
        <v>824.9842956521743</v>
      </c>
      <c r="AB50">
        <f t="shared" si="11"/>
        <v>16499.685913043486</v>
      </c>
      <c r="AC50" s="58">
        <f t="shared" si="0"/>
        <v>0.11435832274459976</v>
      </c>
      <c r="AD50" s="59">
        <f t="shared" si="1"/>
        <v>824.9842956521743</v>
      </c>
      <c r="AE50" s="55">
        <v>0.2</v>
      </c>
      <c r="AF50">
        <f t="shared" si="2"/>
        <v>14666.387478260876</v>
      </c>
      <c r="AG50" s="58">
        <f t="shared" si="3"/>
        <v>0.10165184243964423</v>
      </c>
      <c r="AH50">
        <f t="shared" si="4"/>
        <v>733.31937391304382</v>
      </c>
    </row>
    <row r="51" spans="1:34">
      <c r="A51" s="6">
        <v>49</v>
      </c>
      <c r="B51" s="6">
        <v>6</v>
      </c>
      <c r="C51">
        <v>989.56225994180409</v>
      </c>
      <c r="D51">
        <v>1302.9760504364694</v>
      </c>
      <c r="E51">
        <v>1718.0010087293895</v>
      </c>
      <c r="F51" s="27">
        <v>2768.8950145489807</v>
      </c>
      <c r="O51" s="6">
        <v>49</v>
      </c>
      <c r="P51" s="6">
        <f>'[1]3、总属性战斗节奏拟合'!D53</f>
        <v>309598.0909883781</v>
      </c>
      <c r="Q51" s="6">
        <f>'[1]3、总属性战斗节奏拟合'!E53</f>
        <v>17420.336473244155</v>
      </c>
      <c r="R51" s="6">
        <f>'[1]3、总属性战斗节奏拟合'!F53</f>
        <v>7742.3717658862915</v>
      </c>
      <c r="S51" s="6">
        <f>'[1]3、总属性战斗节奏拟合'!G53</f>
        <v>9677.9647073578635</v>
      </c>
      <c r="T51" s="6">
        <f>'[1]3、总属性战斗节奏拟合'!H53</f>
        <v>31.990000000000002</v>
      </c>
      <c r="U51" s="6">
        <f t="shared" si="5"/>
        <v>154799.04549418905</v>
      </c>
      <c r="V51" s="6">
        <f t="shared" si="6"/>
        <v>8710.1682366220775</v>
      </c>
      <c r="W51" s="6">
        <f t="shared" si="7"/>
        <v>3871.1858829431458</v>
      </c>
      <c r="X51" s="6">
        <f t="shared" si="8"/>
        <v>4838.9823536789318</v>
      </c>
      <c r="Y51" s="6">
        <f t="shared" si="9"/>
        <v>31.990000000000006</v>
      </c>
      <c r="Z51" s="55">
        <v>0.1</v>
      </c>
      <c r="AA51" s="28">
        <f t="shared" si="10"/>
        <v>871.0168236622078</v>
      </c>
      <c r="AB51">
        <f t="shared" si="11"/>
        <v>17420.336473244155</v>
      </c>
      <c r="AC51" s="58">
        <f t="shared" si="0"/>
        <v>0.11253516723976241</v>
      </c>
      <c r="AD51" s="59">
        <f t="shared" si="1"/>
        <v>871.0168236622078</v>
      </c>
      <c r="AE51" s="55">
        <v>0.2</v>
      </c>
      <c r="AF51">
        <f t="shared" si="2"/>
        <v>15484.743531772583</v>
      </c>
      <c r="AG51" s="58">
        <f t="shared" si="3"/>
        <v>0.1000312597686777</v>
      </c>
      <c r="AH51">
        <f t="shared" si="4"/>
        <v>774.23717658862915</v>
      </c>
    </row>
    <row r="52" spans="1:34">
      <c r="A52" s="6">
        <v>50</v>
      </c>
      <c r="B52" s="6">
        <v>6</v>
      </c>
      <c r="C52">
        <v>1001.9943937924345</v>
      </c>
      <c r="D52">
        <v>1321.1525586808925</v>
      </c>
      <c r="E52">
        <v>1741.8378273520857</v>
      </c>
      <c r="F52" s="27">
        <v>2810.2545101842861</v>
      </c>
      <c r="O52" s="6">
        <v>50</v>
      </c>
      <c r="P52" s="6">
        <f>'[1]3、总属性战斗节奏拟合'!D54</f>
        <v>333789.56046195666</v>
      </c>
      <c r="Q52" s="6">
        <f>'[1]3、总属性战斗节奏拟合'!E54</f>
        <v>18486.806425585291</v>
      </c>
      <c r="R52" s="6">
        <f>'[1]3、总属性战斗节奏拟合'!F54</f>
        <v>8216.3584113712404</v>
      </c>
      <c r="S52" s="6">
        <f>'[1]3、总属性战斗节奏拟合'!G54</f>
        <v>10270.448014214051</v>
      </c>
      <c r="T52" s="6">
        <f>'[1]3、总属性战斗节奏拟合'!H54</f>
        <v>32.5</v>
      </c>
      <c r="U52" s="6">
        <f t="shared" si="5"/>
        <v>166894.78023097833</v>
      </c>
      <c r="V52" s="6">
        <f t="shared" si="6"/>
        <v>9243.4032127926457</v>
      </c>
      <c r="W52" s="6">
        <f t="shared" si="7"/>
        <v>4108.1792056856202</v>
      </c>
      <c r="X52" s="6">
        <f t="shared" si="8"/>
        <v>5135.2240071070255</v>
      </c>
      <c r="Y52" s="6">
        <f t="shared" si="9"/>
        <v>32.5</v>
      </c>
      <c r="Z52" s="55">
        <v>0.1</v>
      </c>
      <c r="AA52" s="28">
        <f t="shared" si="10"/>
        <v>924.34032127926457</v>
      </c>
      <c r="AB52">
        <f t="shared" si="11"/>
        <v>18486.806425585291</v>
      </c>
      <c r="AC52" s="58">
        <f t="shared" si="0"/>
        <v>0.11076923076923077</v>
      </c>
      <c r="AD52" s="59">
        <f t="shared" si="1"/>
        <v>924.34032127926457</v>
      </c>
      <c r="AE52" s="55">
        <v>0.2</v>
      </c>
      <c r="AF52">
        <f t="shared" si="2"/>
        <v>16432.716822742481</v>
      </c>
      <c r="AG52" s="58">
        <f t="shared" si="3"/>
        <v>9.8461538461538461E-2</v>
      </c>
      <c r="AH52">
        <f t="shared" si="4"/>
        <v>821.63584113712409</v>
      </c>
    </row>
    <row r="53" spans="1:34">
      <c r="A53" s="6">
        <v>51</v>
      </c>
      <c r="B53" s="6">
        <v>6</v>
      </c>
      <c r="C53">
        <v>1014.426527643065</v>
      </c>
      <c r="D53">
        <v>1339.3290669253151</v>
      </c>
      <c r="E53">
        <v>1765.6746459747819</v>
      </c>
      <c r="F53" s="27">
        <v>2851.6140058195915</v>
      </c>
      <c r="O53" s="6">
        <v>51</v>
      </c>
      <c r="P53" s="6">
        <f>'[1]3、总属性战斗节奏拟合'!D55</f>
        <v>359158.23752035969</v>
      </c>
      <c r="Q53" s="6">
        <f>'[1]3、总属性战斗节奏拟合'!E55</f>
        <v>19584.514617892979</v>
      </c>
      <c r="R53" s="6">
        <f>'[1]3、总属性战斗节奏拟合'!F55</f>
        <v>8704.228719063547</v>
      </c>
      <c r="S53" s="6">
        <f>'[1]3、总属性战斗节奏拟合'!G55</f>
        <v>10880.285898829434</v>
      </c>
      <c r="T53" s="6">
        <f>'[1]3、总属性战斗节奏拟合'!H55</f>
        <v>33.010000000000005</v>
      </c>
      <c r="U53" s="6">
        <f t="shared" si="5"/>
        <v>179579.11876017984</v>
      </c>
      <c r="V53" s="6">
        <f t="shared" si="6"/>
        <v>9792.2573089464895</v>
      </c>
      <c r="W53" s="6">
        <f t="shared" si="7"/>
        <v>4352.1143595317735</v>
      </c>
      <c r="X53" s="6">
        <f t="shared" si="8"/>
        <v>5440.142949414716</v>
      </c>
      <c r="Y53" s="6">
        <f t="shared" si="9"/>
        <v>33.010000000000012</v>
      </c>
      <c r="Z53" s="55">
        <v>0.1</v>
      </c>
      <c r="AA53" s="28">
        <f t="shared" si="10"/>
        <v>979.22573089464902</v>
      </c>
      <c r="AB53">
        <f t="shared" si="11"/>
        <v>19584.514617892979</v>
      </c>
      <c r="AC53" s="58">
        <f t="shared" si="0"/>
        <v>0.10905786125416538</v>
      </c>
      <c r="AD53" s="59">
        <f t="shared" si="1"/>
        <v>979.22573089464902</v>
      </c>
      <c r="AE53" s="55">
        <v>0.2</v>
      </c>
      <c r="AF53">
        <f t="shared" si="2"/>
        <v>17408.457438127094</v>
      </c>
      <c r="AG53" s="58">
        <f t="shared" si="3"/>
        <v>9.6940321114813668E-2</v>
      </c>
      <c r="AH53">
        <f t="shared" si="4"/>
        <v>870.42287190635477</v>
      </c>
    </row>
    <row r="54" spans="1:34">
      <c r="A54" s="6">
        <v>52</v>
      </c>
      <c r="B54" s="6">
        <v>6</v>
      </c>
      <c r="C54">
        <v>1026.8586614936953</v>
      </c>
      <c r="D54">
        <v>1357.5055751697382</v>
      </c>
      <c r="E54">
        <v>1789.5114645974786</v>
      </c>
      <c r="F54" s="27">
        <v>2892.9735014548974</v>
      </c>
      <c r="O54" s="6">
        <v>52</v>
      </c>
      <c r="P54" s="6">
        <f>'[1]3、总属性战斗节奏拟合'!D56</f>
        <v>385730.67466755857</v>
      </c>
      <c r="Q54" s="6">
        <f>'[1]3、总属性战斗节奏拟合'!E56</f>
        <v>20713.461050167229</v>
      </c>
      <c r="R54" s="6">
        <f>'[1]3、总属性战斗节奏拟合'!F56</f>
        <v>9205.9826889632131</v>
      </c>
      <c r="S54" s="6">
        <f>'[1]3、总属性战斗节奏拟合'!G56</f>
        <v>11507.478361204016</v>
      </c>
      <c r="T54" s="6">
        <f>'[1]3、总属性战斗节奏拟合'!H56</f>
        <v>33.519999999999996</v>
      </c>
      <c r="U54" s="6">
        <f t="shared" si="5"/>
        <v>192865.33733377929</v>
      </c>
      <c r="V54" s="6">
        <f t="shared" si="6"/>
        <v>10356.730525083614</v>
      </c>
      <c r="W54" s="6">
        <f t="shared" si="7"/>
        <v>4602.9913444816066</v>
      </c>
      <c r="X54" s="6">
        <f t="shared" si="8"/>
        <v>5753.7391806020078</v>
      </c>
      <c r="Y54" s="6">
        <f t="shared" si="9"/>
        <v>33.519999999999996</v>
      </c>
      <c r="Z54" s="55">
        <v>0.1</v>
      </c>
      <c r="AA54" s="28">
        <f t="shared" si="10"/>
        <v>1035.6730525083615</v>
      </c>
      <c r="AB54">
        <f t="shared" si="11"/>
        <v>20713.461050167229</v>
      </c>
      <c r="AC54" s="58">
        <f t="shared" si="0"/>
        <v>0.10739856801909309</v>
      </c>
      <c r="AD54" s="59">
        <f t="shared" si="1"/>
        <v>1035.6730525083615</v>
      </c>
      <c r="AE54" s="55">
        <v>0.2</v>
      </c>
      <c r="AF54">
        <f t="shared" si="2"/>
        <v>18411.965377926426</v>
      </c>
      <c r="AG54" s="58">
        <f t="shared" si="3"/>
        <v>9.5465393794749415E-2</v>
      </c>
      <c r="AH54">
        <f t="shared" si="4"/>
        <v>920.59826889632131</v>
      </c>
    </row>
    <row r="55" spans="1:34">
      <c r="A55" s="6">
        <v>53</v>
      </c>
      <c r="B55" s="6">
        <v>6</v>
      </c>
      <c r="C55">
        <v>1039.2907953443259</v>
      </c>
      <c r="D55">
        <v>1375.6820834141611</v>
      </c>
      <c r="E55">
        <v>1813.3482832201748</v>
      </c>
      <c r="F55" s="27">
        <v>2934.3329970902028</v>
      </c>
      <c r="O55" s="6">
        <v>53</v>
      </c>
      <c r="P55" s="6">
        <f>'[1]3、总属性战斗节奏拟合'!D57</f>
        <v>413533.42440752522</v>
      </c>
      <c r="Q55" s="6">
        <f>'[1]3、总属性战斗节奏拟合'!E57</f>
        <v>21873.645722408033</v>
      </c>
      <c r="R55" s="6">
        <f>'[1]3、总属性战斗节奏拟合'!F57</f>
        <v>9721.620321070237</v>
      </c>
      <c r="S55" s="6">
        <f>'[1]3、总属性战斗节奏拟合'!G57</f>
        <v>12152.025401337796</v>
      </c>
      <c r="T55" s="6">
        <f>'[1]3、总属性战斗节奏拟合'!H57</f>
        <v>34.03</v>
      </c>
      <c r="U55" s="6">
        <f t="shared" si="5"/>
        <v>206766.71220376261</v>
      </c>
      <c r="V55" s="6">
        <f t="shared" si="6"/>
        <v>10936.822861204017</v>
      </c>
      <c r="W55" s="6">
        <f t="shared" si="7"/>
        <v>4860.8101605351185</v>
      </c>
      <c r="X55" s="6">
        <f t="shared" si="8"/>
        <v>6076.0127006688981</v>
      </c>
      <c r="Y55" s="6">
        <f t="shared" si="9"/>
        <v>34.03</v>
      </c>
      <c r="Z55" s="55">
        <v>0.1</v>
      </c>
      <c r="AA55" s="28">
        <f t="shared" si="10"/>
        <v>1093.6822861204016</v>
      </c>
      <c r="AB55">
        <f t="shared" si="11"/>
        <v>21873.645722408033</v>
      </c>
      <c r="AC55" s="58">
        <f t="shared" si="0"/>
        <v>0.10578900969732588</v>
      </c>
      <c r="AD55" s="59">
        <f t="shared" si="1"/>
        <v>1093.6822861204016</v>
      </c>
      <c r="AE55" s="55">
        <v>0.2</v>
      </c>
      <c r="AF55">
        <f t="shared" si="2"/>
        <v>19443.240642140474</v>
      </c>
      <c r="AG55" s="58">
        <f t="shared" si="3"/>
        <v>9.4034675286511896E-2</v>
      </c>
      <c r="AH55">
        <f t="shared" si="4"/>
        <v>972.16203210702372</v>
      </c>
    </row>
    <row r="56" spans="1:34">
      <c r="A56" s="6">
        <v>54</v>
      </c>
      <c r="B56" s="6">
        <v>6</v>
      </c>
      <c r="C56">
        <v>1051.7229291949564</v>
      </c>
      <c r="D56">
        <v>1393.8585916585839</v>
      </c>
      <c r="E56">
        <v>1837.1851018428715</v>
      </c>
      <c r="F56" s="27">
        <v>2975.6924927255081</v>
      </c>
      <c r="O56" s="6">
        <v>54</v>
      </c>
      <c r="P56" s="6">
        <f>'[1]3、总属性战斗节奏拟合'!D58</f>
        <v>442593.03924423084</v>
      </c>
      <c r="Q56" s="6">
        <f>'[1]3、总属性战斗节奏拟合'!E58</f>
        <v>23065.068634615389</v>
      </c>
      <c r="R56" s="6">
        <f>'[1]3、总属性战斗节奏拟合'!F58</f>
        <v>10251.141615384618</v>
      </c>
      <c r="S56" s="6">
        <f>'[1]3、总属性战斗节奏拟合'!G58</f>
        <v>12813.927019230772</v>
      </c>
      <c r="T56" s="6">
        <f>'[1]3、总属性战斗节奏拟合'!H58</f>
        <v>34.54</v>
      </c>
      <c r="U56" s="6">
        <f t="shared" si="5"/>
        <v>221296.51962211542</v>
      </c>
      <c r="V56" s="6">
        <f t="shared" si="6"/>
        <v>11532.534317307694</v>
      </c>
      <c r="W56" s="6">
        <f t="shared" si="7"/>
        <v>5125.5708076923092</v>
      </c>
      <c r="X56" s="6">
        <f t="shared" si="8"/>
        <v>6406.9635096153852</v>
      </c>
      <c r="Y56" s="6">
        <f t="shared" si="9"/>
        <v>34.54</v>
      </c>
      <c r="Z56" s="55">
        <v>0.1</v>
      </c>
      <c r="AA56" s="28">
        <f t="shared" si="10"/>
        <v>1153.2534317307695</v>
      </c>
      <c r="AB56">
        <f t="shared" si="11"/>
        <v>23065.068634615389</v>
      </c>
      <c r="AC56" s="58">
        <f t="shared" si="0"/>
        <v>0.10422698320787493</v>
      </c>
      <c r="AD56" s="59">
        <f t="shared" si="1"/>
        <v>1153.2534317307695</v>
      </c>
      <c r="AE56" s="55">
        <v>0.2</v>
      </c>
      <c r="AF56">
        <f t="shared" si="2"/>
        <v>20502.283230769241</v>
      </c>
      <c r="AG56" s="58">
        <f t="shared" si="3"/>
        <v>9.2646207295888849E-2</v>
      </c>
      <c r="AH56">
        <f t="shared" si="4"/>
        <v>1025.114161538462</v>
      </c>
    </row>
    <row r="57" spans="1:34">
      <c r="A57" s="6">
        <v>55</v>
      </c>
      <c r="B57" s="6">
        <v>6</v>
      </c>
      <c r="C57">
        <v>1064.1550630455868</v>
      </c>
      <c r="D57">
        <v>1412.035099903007</v>
      </c>
      <c r="E57">
        <v>1861.0219204655677</v>
      </c>
      <c r="F57" s="27">
        <v>3017.0519883608135</v>
      </c>
      <c r="O57" s="6">
        <v>55</v>
      </c>
      <c r="P57" s="6">
        <f>'[1]3、总属性战斗节奏拟合'!D59</f>
        <v>472936.07168164715</v>
      </c>
      <c r="Q57" s="6">
        <f>'[1]3、总属性战斗节奏拟合'!E59</f>
        <v>24287.729786789299</v>
      </c>
      <c r="R57" s="6">
        <f>'[1]3、总属性战斗节奏拟合'!F59</f>
        <v>10794.546571906356</v>
      </c>
      <c r="S57" s="6">
        <f>'[1]3、总属性战斗节奏拟合'!G59</f>
        <v>13493.183214882944</v>
      </c>
      <c r="T57" s="6">
        <f>'[1]3、总属性战斗节奏拟合'!H59</f>
        <v>35.049999999999997</v>
      </c>
      <c r="U57" s="6">
        <f t="shared" si="5"/>
        <v>236468.03584082358</v>
      </c>
      <c r="V57" s="6">
        <f t="shared" si="6"/>
        <v>12143.86489339465</v>
      </c>
      <c r="W57" s="6">
        <f t="shared" si="7"/>
        <v>5397.2732859531779</v>
      </c>
      <c r="X57" s="6">
        <f t="shared" si="8"/>
        <v>6746.5916074414718</v>
      </c>
      <c r="Y57" s="6">
        <f t="shared" si="9"/>
        <v>35.049999999999997</v>
      </c>
      <c r="Z57" s="55">
        <v>0.1</v>
      </c>
      <c r="AA57" s="28">
        <f t="shared" si="10"/>
        <v>1214.386489339465</v>
      </c>
      <c r="AB57">
        <f t="shared" si="11"/>
        <v>24287.729786789299</v>
      </c>
      <c r="AC57" s="58">
        <f t="shared" si="0"/>
        <v>0.10271041369472184</v>
      </c>
      <c r="AD57" s="59">
        <f t="shared" si="1"/>
        <v>1214.386489339465</v>
      </c>
      <c r="AE57" s="55">
        <v>0.2</v>
      </c>
      <c r="AF57">
        <f t="shared" si="2"/>
        <v>21589.093143812712</v>
      </c>
      <c r="AG57" s="58">
        <f t="shared" si="3"/>
        <v>9.1298145506419418E-2</v>
      </c>
      <c r="AH57">
        <f t="shared" si="4"/>
        <v>1079.4546571906355</v>
      </c>
    </row>
    <row r="58" spans="1:34">
      <c r="A58" s="6">
        <v>56</v>
      </c>
      <c r="B58" s="6">
        <v>7</v>
      </c>
      <c r="C58">
        <v>1209.9708244422891</v>
      </c>
      <c r="D58">
        <v>1606.2494354995151</v>
      </c>
      <c r="E58">
        <v>2058.7661687681866</v>
      </c>
      <c r="F58" s="27">
        <v>3329.8082638215319</v>
      </c>
      <c r="O58" s="6">
        <v>56</v>
      </c>
      <c r="P58" s="6">
        <f>'[1]3、总属性战斗节奏拟合'!D60</f>
        <v>504589.07422374596</v>
      </c>
      <c r="Q58" s="6">
        <f>'[1]3、总属性战斗节奏拟合'!E60</f>
        <v>25541.629178929772</v>
      </c>
      <c r="R58" s="6">
        <f>'[1]3、总属性战斗节奏拟合'!F60</f>
        <v>11351.835190635455</v>
      </c>
      <c r="S58" s="6">
        <f>'[1]3、总属性战斗节奏拟合'!G60</f>
        <v>14189.793988294317</v>
      </c>
      <c r="T58" s="6">
        <f>'[1]3、总属性战斗节奏拟合'!H60</f>
        <v>35.56</v>
      </c>
      <c r="U58" s="6">
        <f t="shared" si="5"/>
        <v>252294.53711187298</v>
      </c>
      <c r="V58" s="6">
        <f t="shared" si="6"/>
        <v>12770.814589464886</v>
      </c>
      <c r="W58" s="6">
        <f t="shared" si="7"/>
        <v>5675.9175953177273</v>
      </c>
      <c r="X58" s="6">
        <f t="shared" si="8"/>
        <v>7094.8969941471587</v>
      </c>
      <c r="Y58" s="6">
        <f t="shared" si="9"/>
        <v>35.56</v>
      </c>
      <c r="Z58" s="55">
        <v>0.1</v>
      </c>
      <c r="AA58" s="28">
        <f t="shared" si="10"/>
        <v>1277.0814589464887</v>
      </c>
      <c r="AB58">
        <f t="shared" si="11"/>
        <v>25541.629178929776</v>
      </c>
      <c r="AC58" s="58">
        <f t="shared" si="0"/>
        <v>0.10123734533183353</v>
      </c>
      <c r="AD58" s="59">
        <f t="shared" si="1"/>
        <v>1277.0814589464887</v>
      </c>
      <c r="AE58" s="55">
        <v>0.2</v>
      </c>
      <c r="AF58">
        <f t="shared" si="2"/>
        <v>22703.670381270909</v>
      </c>
      <c r="AG58" s="58">
        <f t="shared" si="3"/>
        <v>8.9988751406074236E-2</v>
      </c>
      <c r="AH58">
        <f t="shared" si="4"/>
        <v>1135.1835190635454</v>
      </c>
    </row>
    <row r="59" spans="1:34">
      <c r="A59" s="6">
        <v>57</v>
      </c>
      <c r="B59" s="6">
        <v>7</v>
      </c>
      <c r="C59">
        <v>1223.6779291949563</v>
      </c>
      <c r="D59">
        <v>1626.2473307468481</v>
      </c>
      <c r="E59">
        <v>2084.9567798254125</v>
      </c>
      <c r="F59" s="27">
        <v>3375.1467895247324</v>
      </c>
      <c r="O59" s="6">
        <v>57</v>
      </c>
      <c r="P59" s="6">
        <f>'[1]3、总属性战斗节奏拟合'!D61</f>
        <v>537578.59937449847</v>
      </c>
      <c r="Q59" s="6">
        <f>'[1]3、总属性战斗节奏拟合'!E61</f>
        <v>26826.766811036796</v>
      </c>
      <c r="R59" s="6">
        <f>'[1]3、总属性战斗节奏拟合'!F61</f>
        <v>11923.007471571909</v>
      </c>
      <c r="S59" s="6">
        <f>'[1]3、总属性战斗节奏拟合'!G61</f>
        <v>14903.759339464887</v>
      </c>
      <c r="T59" s="6">
        <f>'[1]3、总属性战斗节奏拟合'!H61</f>
        <v>36.07</v>
      </c>
      <c r="U59" s="6">
        <f t="shared" si="5"/>
        <v>268789.29968724924</v>
      </c>
      <c r="V59" s="6">
        <f t="shared" si="6"/>
        <v>13413.383405518398</v>
      </c>
      <c r="W59" s="6">
        <f t="shared" si="7"/>
        <v>5961.5037357859546</v>
      </c>
      <c r="X59" s="6">
        <f t="shared" si="8"/>
        <v>7451.8796697324433</v>
      </c>
      <c r="Y59" s="6">
        <f t="shared" si="9"/>
        <v>36.07</v>
      </c>
      <c r="Z59" s="55">
        <v>0.1</v>
      </c>
      <c r="AA59" s="28">
        <f t="shared" si="10"/>
        <v>1341.3383405518398</v>
      </c>
      <c r="AB59">
        <f t="shared" si="11"/>
        <v>26826.766811036796</v>
      </c>
      <c r="AC59" s="58">
        <f t="shared" si="0"/>
        <v>9.9805932908233988E-2</v>
      </c>
      <c r="AD59" s="59">
        <f t="shared" si="1"/>
        <v>1341.3383405518398</v>
      </c>
      <c r="AE59" s="55">
        <v>0.2</v>
      </c>
      <c r="AF59">
        <f t="shared" si="2"/>
        <v>23846.014943143819</v>
      </c>
      <c r="AG59" s="58">
        <f t="shared" si="3"/>
        <v>8.8716384807319096E-2</v>
      </c>
      <c r="AH59">
        <f t="shared" si="4"/>
        <v>1192.3007471571909</v>
      </c>
    </row>
    <row r="60" spans="1:34">
      <c r="A60" s="6">
        <v>58</v>
      </c>
      <c r="B60" s="6">
        <v>7</v>
      </c>
      <c r="C60">
        <v>1237.3850339476237</v>
      </c>
      <c r="D60">
        <v>1646.2452259941806</v>
      </c>
      <c r="E60">
        <v>2111.1473908826383</v>
      </c>
      <c r="F60" s="27">
        <v>3420.4853152279329</v>
      </c>
      <c r="O60" s="6">
        <v>58</v>
      </c>
      <c r="P60" s="6">
        <f>'[1]3、总属性战斗节奏拟合'!D62</f>
        <v>571931.19963787636</v>
      </c>
      <c r="Q60" s="6">
        <f>'[1]3、总属性战斗节奏拟合'!E62</f>
        <v>28143.142683110374</v>
      </c>
      <c r="R60" s="6">
        <f>'[1]3、总属性战斗节奏拟合'!F62</f>
        <v>12508.063414715723</v>
      </c>
      <c r="S60" s="6">
        <f>'[1]3、总属性战斗节奏拟合'!G62</f>
        <v>15635.079268394653</v>
      </c>
      <c r="T60" s="6">
        <f>'[1]3、总属性战斗节奏拟合'!H62</f>
        <v>36.58</v>
      </c>
      <c r="U60" s="6">
        <f t="shared" si="5"/>
        <v>285965.59981893818</v>
      </c>
      <c r="V60" s="6">
        <f t="shared" si="6"/>
        <v>14071.571341555187</v>
      </c>
      <c r="W60" s="6">
        <f t="shared" si="7"/>
        <v>6254.0317073578617</v>
      </c>
      <c r="X60" s="6">
        <f t="shared" si="8"/>
        <v>7817.5396341973255</v>
      </c>
      <c r="Y60" s="6">
        <f t="shared" si="9"/>
        <v>36.58</v>
      </c>
      <c r="Z60" s="55">
        <v>0.1</v>
      </c>
      <c r="AA60" s="28">
        <f t="shared" si="10"/>
        <v>1407.1571341555189</v>
      </c>
      <c r="AB60">
        <f t="shared" si="11"/>
        <v>28143.142683110378</v>
      </c>
      <c r="AC60" s="58">
        <f t="shared" si="0"/>
        <v>9.8414434117003846E-2</v>
      </c>
      <c r="AD60" s="59">
        <f t="shared" si="1"/>
        <v>1407.1571341555189</v>
      </c>
      <c r="AE60" s="55">
        <v>0.2</v>
      </c>
      <c r="AF60">
        <f t="shared" si="2"/>
        <v>25016.12682943145</v>
      </c>
      <c r="AG60" s="58">
        <f t="shared" si="3"/>
        <v>8.7479496992892314E-2</v>
      </c>
      <c r="AH60">
        <f t="shared" si="4"/>
        <v>1250.8063414715725</v>
      </c>
    </row>
    <row r="61" spans="1:34">
      <c r="A61" s="6">
        <v>59</v>
      </c>
      <c r="B61" s="6">
        <v>7</v>
      </c>
      <c r="C61">
        <v>1251.0921387002909</v>
      </c>
      <c r="D61">
        <v>1666.2431212415131</v>
      </c>
      <c r="E61">
        <v>2137.3380019398646</v>
      </c>
      <c r="F61" s="27">
        <v>3465.8238409311334</v>
      </c>
      <c r="O61" s="6">
        <v>59</v>
      </c>
      <c r="P61" s="6">
        <f>'[1]3、总属性战斗节奏拟合'!D63</f>
        <v>607673.42751785135</v>
      </c>
      <c r="Q61" s="6">
        <f>'[1]3、总属性战斗节奏拟合'!E63</f>
        <v>29490.756795150512</v>
      </c>
      <c r="R61" s="6">
        <f>'[1]3、总属性战斗节奏拟合'!F63</f>
        <v>13107.003020066893</v>
      </c>
      <c r="S61" s="6">
        <f>'[1]3、总属性战斗节奏拟合'!G63</f>
        <v>16383.753775083616</v>
      </c>
      <c r="T61" s="6">
        <f>'[1]3、总属性战斗节奏拟合'!H63</f>
        <v>37.090000000000003</v>
      </c>
      <c r="U61" s="6">
        <f t="shared" si="5"/>
        <v>303836.71375892567</v>
      </c>
      <c r="V61" s="6">
        <f t="shared" si="6"/>
        <v>14745.378397575256</v>
      </c>
      <c r="W61" s="6">
        <f t="shared" si="7"/>
        <v>6553.5015100334467</v>
      </c>
      <c r="X61" s="6">
        <f t="shared" si="8"/>
        <v>8191.8768875418091</v>
      </c>
      <c r="Y61" s="6">
        <f t="shared" si="9"/>
        <v>37.089999999999996</v>
      </c>
      <c r="Z61" s="55">
        <v>0.1</v>
      </c>
      <c r="AA61" s="28">
        <f t="shared" si="10"/>
        <v>1474.5378397575257</v>
      </c>
      <c r="AB61">
        <f t="shared" si="11"/>
        <v>29490.756795150515</v>
      </c>
      <c r="AC61" s="58">
        <f t="shared" si="0"/>
        <v>9.7061202480452968E-2</v>
      </c>
      <c r="AD61" s="59">
        <f t="shared" si="1"/>
        <v>1474.5378397575257</v>
      </c>
      <c r="AE61" s="55">
        <v>0.2</v>
      </c>
      <c r="AF61">
        <f t="shared" si="2"/>
        <v>26214.006040133791</v>
      </c>
      <c r="AG61" s="58">
        <f t="shared" si="3"/>
        <v>8.6276624427069307E-2</v>
      </c>
      <c r="AH61">
        <f t="shared" si="4"/>
        <v>1310.7003020066895</v>
      </c>
    </row>
    <row r="62" spans="1:34">
      <c r="A62" s="6">
        <v>60</v>
      </c>
      <c r="B62" s="6">
        <v>7</v>
      </c>
      <c r="C62">
        <v>1264.7992434529583</v>
      </c>
      <c r="D62">
        <v>1686.2410164888461</v>
      </c>
      <c r="E62">
        <v>2163.5286129970905</v>
      </c>
      <c r="F62" s="27">
        <v>3511.1623666343348</v>
      </c>
      <c r="O62" s="6">
        <v>60</v>
      </c>
      <c r="P62" s="6">
        <f>'[1]3、总属性战斗节奏拟合'!D64</f>
        <v>648008.34702341165</v>
      </c>
      <c r="Q62" s="6">
        <f>'[1]3、总属性战斗节奏拟合'!E64</f>
        <v>31021.676187290985</v>
      </c>
      <c r="R62" s="6">
        <f>'[1]3、总属性战斗节奏拟合'!F64</f>
        <v>13787.411638795993</v>
      </c>
      <c r="S62" s="6">
        <f>'[1]3、总属性战斗节奏拟合'!G64</f>
        <v>17234.26454849499</v>
      </c>
      <c r="T62" s="6">
        <f>'[1]3、总属性战斗节奏拟合'!H64</f>
        <v>37.6</v>
      </c>
      <c r="U62" s="6">
        <f t="shared" si="5"/>
        <v>324004.17351170583</v>
      </c>
      <c r="V62" s="6">
        <f t="shared" si="6"/>
        <v>15510.838093645492</v>
      </c>
      <c r="W62" s="6">
        <f t="shared" si="7"/>
        <v>6893.7058193979965</v>
      </c>
      <c r="X62" s="6">
        <f t="shared" si="8"/>
        <v>8617.1322742474949</v>
      </c>
      <c r="Y62" s="6">
        <f t="shared" si="9"/>
        <v>37.6</v>
      </c>
      <c r="Z62" s="55">
        <v>0.1</v>
      </c>
      <c r="AA62" s="28">
        <f t="shared" si="10"/>
        <v>1551.0838093645493</v>
      </c>
      <c r="AB62">
        <f t="shared" si="11"/>
        <v>31021.676187290985</v>
      </c>
      <c r="AC62" s="58">
        <f t="shared" si="0"/>
        <v>9.5744680851063829E-2</v>
      </c>
      <c r="AD62" s="59">
        <f t="shared" si="1"/>
        <v>1551.0838093645493</v>
      </c>
      <c r="AE62" s="55">
        <v>0.2</v>
      </c>
      <c r="AF62">
        <f t="shared" si="2"/>
        <v>27574.823277591986</v>
      </c>
      <c r="AG62" s="58">
        <f t="shared" si="3"/>
        <v>8.5106382978723402E-2</v>
      </c>
      <c r="AH62">
        <f t="shared" si="4"/>
        <v>1378.7411638795993</v>
      </c>
    </row>
    <row r="63" spans="1:34">
      <c r="A63" s="6">
        <v>61</v>
      </c>
      <c r="B63" s="6">
        <v>7</v>
      </c>
      <c r="C63">
        <v>1278.5063482056257</v>
      </c>
      <c r="D63">
        <v>1706.2389117361786</v>
      </c>
      <c r="E63">
        <v>2189.7192240543163</v>
      </c>
      <c r="F63" s="27">
        <v>3556.5008923375353</v>
      </c>
      <c r="O63" s="6">
        <v>61</v>
      </c>
      <c r="P63" s="6">
        <f>'[1]3、总属性战斗节奏拟合'!D65</f>
        <v>690004.44706793502</v>
      </c>
      <c r="Q63" s="6">
        <f>'[1]3、总属性战斗节奏拟合'!E65</f>
        <v>32590.081467391312</v>
      </c>
      <c r="R63" s="6">
        <f>'[1]3、总属性战斗节奏拟合'!F65</f>
        <v>14484.480652173917</v>
      </c>
      <c r="S63" s="6">
        <f>'[1]3、总属性战斗节奏拟合'!G65</f>
        <v>18105.600815217396</v>
      </c>
      <c r="T63" s="6">
        <f>'[1]3、总属性战斗节奏拟合'!H65</f>
        <v>38.11</v>
      </c>
      <c r="U63" s="6">
        <f t="shared" si="5"/>
        <v>345002.22353396751</v>
      </c>
      <c r="V63" s="6">
        <f t="shared" si="6"/>
        <v>16295.040733695656</v>
      </c>
      <c r="W63" s="6">
        <f t="shared" si="7"/>
        <v>7242.2403260869587</v>
      </c>
      <c r="X63" s="6">
        <f t="shared" si="8"/>
        <v>9052.8004076086982</v>
      </c>
      <c r="Y63" s="6">
        <f t="shared" si="9"/>
        <v>38.11</v>
      </c>
      <c r="Z63" s="55">
        <v>0.1</v>
      </c>
      <c r="AA63" s="28">
        <f t="shared" si="10"/>
        <v>1629.5040733695657</v>
      </c>
      <c r="AB63">
        <f t="shared" si="11"/>
        <v>32590.081467391316</v>
      </c>
      <c r="AC63" s="58">
        <f t="shared" si="0"/>
        <v>9.4463395434269223E-2</v>
      </c>
      <c r="AD63" s="59">
        <f t="shared" si="1"/>
        <v>1629.5040733695657</v>
      </c>
      <c r="AE63" s="55">
        <v>0.2</v>
      </c>
      <c r="AF63">
        <f t="shared" si="2"/>
        <v>28968.961304347835</v>
      </c>
      <c r="AG63" s="58">
        <f t="shared" si="3"/>
        <v>8.3967462608239299E-2</v>
      </c>
      <c r="AH63">
        <f t="shared" si="4"/>
        <v>1448.4480652173918</v>
      </c>
    </row>
    <row r="64" spans="1:34">
      <c r="A64" s="6">
        <v>62</v>
      </c>
      <c r="B64" s="6">
        <v>7</v>
      </c>
      <c r="C64">
        <v>1292.2134529582929</v>
      </c>
      <c r="D64">
        <v>1726.2368069835115</v>
      </c>
      <c r="E64">
        <v>2215.9098351115426</v>
      </c>
      <c r="F64" s="27">
        <v>3601.8394180407358</v>
      </c>
      <c r="O64" s="6">
        <v>62</v>
      </c>
      <c r="P64" s="6">
        <f>'[1]3、总属性战斗节奏拟合'!D66</f>
        <v>733693.59065618762</v>
      </c>
      <c r="Q64" s="6">
        <f>'[1]3、总属性战斗节奏拟合'!E66</f>
        <v>34195.972635451515</v>
      </c>
      <c r="R64" s="6">
        <f>'[1]3、总属性战斗节奏拟合'!F66</f>
        <v>15198.210060200676</v>
      </c>
      <c r="S64" s="6">
        <f>'[1]3、总属性战斗节奏拟合'!G66</f>
        <v>18997.762575250843</v>
      </c>
      <c r="T64" s="6">
        <f>'[1]3、总属性战斗节奏拟合'!H66</f>
        <v>38.620000000000005</v>
      </c>
      <c r="U64" s="6">
        <f t="shared" si="5"/>
        <v>366846.79532809381</v>
      </c>
      <c r="V64" s="6">
        <f t="shared" si="6"/>
        <v>17097.986317725758</v>
      </c>
      <c r="W64" s="6">
        <f t="shared" si="7"/>
        <v>7599.1050301003379</v>
      </c>
      <c r="X64" s="6">
        <f t="shared" si="8"/>
        <v>9498.8812876254196</v>
      </c>
      <c r="Y64" s="6">
        <f t="shared" si="9"/>
        <v>38.620000000000012</v>
      </c>
      <c r="Z64" s="55">
        <v>0.1</v>
      </c>
      <c r="AA64" s="28">
        <f t="shared" si="10"/>
        <v>1709.7986317725758</v>
      </c>
      <c r="AB64">
        <f t="shared" si="11"/>
        <v>34195.972635451515</v>
      </c>
      <c r="AC64" s="58">
        <f t="shared" ref="AC64:AC82" si="12">AB64/U64</f>
        <v>9.3215950284826501E-2</v>
      </c>
      <c r="AD64" s="59">
        <f t="shared" ref="AD64:AD82" si="13">V64*Z64</f>
        <v>1709.7986317725758</v>
      </c>
      <c r="AE64" s="55">
        <v>0.2</v>
      </c>
      <c r="AF64">
        <f t="shared" ref="AF64:AF82" si="14">W64*AE64*$AA$29</f>
        <v>30396.420120401352</v>
      </c>
      <c r="AG64" s="58">
        <f t="shared" ref="AG64:AG82" si="15">AF64/U64</f>
        <v>8.285862247540135E-2</v>
      </c>
      <c r="AH64">
        <f t="shared" ref="AH64:AH82" si="16">W64*AE64</f>
        <v>1519.8210060200677</v>
      </c>
    </row>
    <row r="65" spans="1:34">
      <c r="A65" s="6">
        <v>63</v>
      </c>
      <c r="B65" s="6">
        <v>7</v>
      </c>
      <c r="C65">
        <v>1305.9205577109603</v>
      </c>
      <c r="D65">
        <v>1746.2347022308441</v>
      </c>
      <c r="E65">
        <v>2242.1004461687685</v>
      </c>
      <c r="F65" s="27">
        <v>3647.1779437439372</v>
      </c>
      <c r="O65" s="6">
        <v>63</v>
      </c>
      <c r="P65" s="6">
        <f>'[1]3、总属性战斗节奏拟合'!D67</f>
        <v>779107.64079293516</v>
      </c>
      <c r="Q65" s="6">
        <f>'[1]3、总属性战斗节奏拟合'!E67</f>
        <v>35839.349691471587</v>
      </c>
      <c r="R65" s="6">
        <f>'[1]3、总属性战斗节奏拟合'!F67</f>
        <v>15928.599862876261</v>
      </c>
      <c r="S65" s="6">
        <f>'[1]3、总属性战斗节奏拟合'!G67</f>
        <v>19910.749828595326</v>
      </c>
      <c r="T65" s="6">
        <f>'[1]3、总属性战斗节奏拟合'!H67</f>
        <v>39.130000000000003</v>
      </c>
      <c r="U65" s="6">
        <f t="shared" si="5"/>
        <v>389553.82039646758</v>
      </c>
      <c r="V65" s="6">
        <f t="shared" si="6"/>
        <v>17919.674845735793</v>
      </c>
      <c r="W65" s="6">
        <f t="shared" si="7"/>
        <v>7964.2999314381304</v>
      </c>
      <c r="X65" s="6">
        <f t="shared" si="8"/>
        <v>9955.3749142976631</v>
      </c>
      <c r="Y65" s="6">
        <f t="shared" si="9"/>
        <v>39.130000000000003</v>
      </c>
      <c r="Z65" s="55">
        <v>0.1</v>
      </c>
      <c r="AA65" s="28">
        <f t="shared" si="10"/>
        <v>1791.9674845735794</v>
      </c>
      <c r="AB65">
        <f t="shared" si="11"/>
        <v>35839.349691471587</v>
      </c>
      <c r="AC65" s="58">
        <f t="shared" si="12"/>
        <v>9.2001022233580365E-2</v>
      </c>
      <c r="AD65" s="59">
        <f t="shared" si="13"/>
        <v>1791.9674845735794</v>
      </c>
      <c r="AE65" s="55">
        <v>0.2</v>
      </c>
      <c r="AF65">
        <f t="shared" si="14"/>
        <v>31857.199725752525</v>
      </c>
      <c r="AG65" s="58">
        <f t="shared" si="15"/>
        <v>8.1778686429849229E-2</v>
      </c>
      <c r="AH65">
        <f t="shared" si="16"/>
        <v>1592.8599862876263</v>
      </c>
    </row>
    <row r="66" spans="1:34">
      <c r="A66" s="6">
        <v>64</v>
      </c>
      <c r="B66" s="6">
        <v>8</v>
      </c>
      <c r="C66">
        <v>1473.2110572259942</v>
      </c>
      <c r="D66">
        <v>1922.8415208535405</v>
      </c>
      <c r="E66">
        <v>2495.0288263821535</v>
      </c>
      <c r="F66" s="27">
        <v>3995.7454898157112</v>
      </c>
      <c r="O66" s="6">
        <v>64</v>
      </c>
      <c r="P66" s="6">
        <f>'[1]3、总属性战斗节奏拟合'!D68</f>
        <v>826278.46048294357</v>
      </c>
      <c r="Q66" s="6">
        <f>'[1]3、总属性战斗节奏拟合'!E68</f>
        <v>37520.21263545152</v>
      </c>
      <c r="R66" s="6">
        <f>'[1]3、总属性战斗节奏拟合'!F68</f>
        <v>16675.650060200678</v>
      </c>
      <c r="S66" s="6">
        <f>'[1]3、总属性战斗节奏拟合'!G68</f>
        <v>20844.562575250846</v>
      </c>
      <c r="T66" s="6">
        <f>'[1]3、总属性战斗节奏拟合'!H68</f>
        <v>39.64</v>
      </c>
      <c r="U66" s="6">
        <f t="shared" si="5"/>
        <v>413139.23024147179</v>
      </c>
      <c r="V66" s="6">
        <f t="shared" si="6"/>
        <v>18760.10631772576</v>
      </c>
      <c r="W66" s="6">
        <f t="shared" si="7"/>
        <v>8337.8250301003391</v>
      </c>
      <c r="X66" s="6">
        <f t="shared" si="8"/>
        <v>10422.281287625421</v>
      </c>
      <c r="Y66" s="6">
        <f t="shared" si="9"/>
        <v>39.640000000000008</v>
      </c>
      <c r="Z66" s="55">
        <v>0.1</v>
      </c>
      <c r="AA66" s="28">
        <f t="shared" si="10"/>
        <v>1876.0106317725761</v>
      </c>
      <c r="AB66">
        <f t="shared" si="11"/>
        <v>37520.21263545152</v>
      </c>
      <c r="AC66" s="58">
        <f t="shared" si="12"/>
        <v>9.081735620585267E-2</v>
      </c>
      <c r="AD66" s="59">
        <f t="shared" si="13"/>
        <v>1876.0106317725761</v>
      </c>
      <c r="AE66" s="55">
        <v>0.2</v>
      </c>
      <c r="AF66">
        <f t="shared" si="14"/>
        <v>33351.300120401356</v>
      </c>
      <c r="AG66" s="58">
        <f t="shared" si="15"/>
        <v>8.0726538849646826E-2</v>
      </c>
      <c r="AH66">
        <f t="shared" si="16"/>
        <v>1667.5650060200678</v>
      </c>
    </row>
    <row r="67" spans="1:34">
      <c r="A67" s="6">
        <v>65</v>
      </c>
      <c r="B67" s="6">
        <v>8</v>
      </c>
      <c r="C67">
        <v>1488.1931328806984</v>
      </c>
      <c r="D67">
        <v>1944.6608031037829</v>
      </c>
      <c r="E67">
        <v>2523.573229873909</v>
      </c>
      <c r="F67" s="27">
        <v>4045.0630455868072</v>
      </c>
      <c r="O67" s="6">
        <v>65</v>
      </c>
      <c r="P67" s="6">
        <f>'[1]3、总属性战斗节奏拟合'!D69</f>
        <v>875237.91273097834</v>
      </c>
      <c r="Q67" s="6">
        <f>'[1]3、总属性战斗节奏拟合'!E69</f>
        <v>39238.561467391308</v>
      </c>
      <c r="R67" s="6">
        <f>'[1]3、总属性战斗节奏拟合'!F69</f>
        <v>17439.360652173917</v>
      </c>
      <c r="S67" s="6">
        <f>'[1]3、总属性战斗节奏拟合'!G69</f>
        <v>21799.200815217395</v>
      </c>
      <c r="T67" s="6">
        <f>'[1]3、总属性战斗节奏拟合'!H69</f>
        <v>40.15</v>
      </c>
      <c r="U67" s="6">
        <f t="shared" si="5"/>
        <v>437618.95636548917</v>
      </c>
      <c r="V67" s="6">
        <f t="shared" si="6"/>
        <v>19619.280733695654</v>
      </c>
      <c r="W67" s="6">
        <f t="shared" si="7"/>
        <v>8719.6803260869583</v>
      </c>
      <c r="X67" s="6">
        <f t="shared" si="8"/>
        <v>10899.600407608696</v>
      </c>
      <c r="Y67" s="6">
        <f t="shared" si="9"/>
        <v>40.150000000000006</v>
      </c>
      <c r="Z67" s="55">
        <v>0.1</v>
      </c>
      <c r="AA67" s="28">
        <f t="shared" si="10"/>
        <v>1961.9280733695655</v>
      </c>
      <c r="AB67">
        <f t="shared" si="11"/>
        <v>39238.561467391308</v>
      </c>
      <c r="AC67" s="58">
        <f t="shared" si="12"/>
        <v>8.9663760896637607E-2</v>
      </c>
      <c r="AD67" s="59">
        <f t="shared" si="13"/>
        <v>1961.9280733695655</v>
      </c>
      <c r="AE67" s="55">
        <v>0.2</v>
      </c>
      <c r="AF67">
        <f t="shared" si="14"/>
        <v>34878.72130434784</v>
      </c>
      <c r="AG67" s="58">
        <f t="shared" si="15"/>
        <v>7.9701120797011235E-2</v>
      </c>
      <c r="AH67">
        <f t="shared" si="16"/>
        <v>1743.9360652173918</v>
      </c>
    </row>
    <row r="68" spans="1:34">
      <c r="A68" s="6">
        <v>66</v>
      </c>
      <c r="B68" s="6">
        <v>8</v>
      </c>
      <c r="C68">
        <v>1503.1752085354024</v>
      </c>
      <c r="D68">
        <v>1966.4800853540255</v>
      </c>
      <c r="E68">
        <v>2552.1176333656649</v>
      </c>
      <c r="F68" s="27">
        <v>4094.3806013579033</v>
      </c>
      <c r="O68" s="6">
        <v>66</v>
      </c>
      <c r="P68" s="6">
        <f>'[1]3、总属性战斗节奏拟合'!D70</f>
        <v>926017.86054180656</v>
      </c>
      <c r="Q68" s="6">
        <f>'[1]3、总属性战斗节奏拟合'!E70</f>
        <v>40994.396187290993</v>
      </c>
      <c r="R68" s="6">
        <f>'[1]3、总属性战斗节奏拟合'!F70</f>
        <v>18219.731638795998</v>
      </c>
      <c r="S68" s="6">
        <f>'[1]3、总属性战斗节奏拟合'!G70</f>
        <v>22774.664548494995</v>
      </c>
      <c r="T68" s="6">
        <f>'[1]3、总属性战斗节奏拟合'!H70</f>
        <v>40.660000000000004</v>
      </c>
      <c r="U68" s="6">
        <f t="shared" si="5"/>
        <v>463008.93027090328</v>
      </c>
      <c r="V68" s="6">
        <f t="shared" si="6"/>
        <v>20497.198093645497</v>
      </c>
      <c r="W68" s="6">
        <f t="shared" si="7"/>
        <v>9109.8658193979991</v>
      </c>
      <c r="X68" s="6">
        <f t="shared" si="8"/>
        <v>11387.332274247497</v>
      </c>
      <c r="Y68" s="6">
        <f t="shared" si="9"/>
        <v>40.660000000000004</v>
      </c>
      <c r="Z68" s="55">
        <v>0.1</v>
      </c>
      <c r="AA68" s="28">
        <f t="shared" si="10"/>
        <v>2049.7198093645497</v>
      </c>
      <c r="AB68">
        <f t="shared" si="11"/>
        <v>40994.396187290993</v>
      </c>
      <c r="AC68" s="58">
        <f t="shared" si="12"/>
        <v>8.8539104771273983E-2</v>
      </c>
      <c r="AD68" s="59">
        <f t="shared" si="13"/>
        <v>2049.7198093645497</v>
      </c>
      <c r="AE68" s="55">
        <v>0.2</v>
      </c>
      <c r="AF68">
        <f t="shared" si="14"/>
        <v>36439.463277591996</v>
      </c>
      <c r="AG68" s="58">
        <f t="shared" si="15"/>
        <v>7.8701426463354651E-2</v>
      </c>
      <c r="AH68">
        <f t="shared" si="16"/>
        <v>1821.9731638796</v>
      </c>
    </row>
    <row r="69" spans="1:34">
      <c r="A69" s="6">
        <v>67</v>
      </c>
      <c r="B69" s="6">
        <v>8</v>
      </c>
      <c r="C69">
        <v>1518.1572841901066</v>
      </c>
      <c r="D69">
        <v>1988.2993676042679</v>
      </c>
      <c r="E69">
        <v>2580.6620368574204</v>
      </c>
      <c r="F69" s="27">
        <v>4143.6981571289998</v>
      </c>
      <c r="O69" s="6">
        <v>67</v>
      </c>
      <c r="P69" s="6">
        <f>'[1]3、总属性战斗节奏拟合'!D71</f>
        <v>978650.16692019301</v>
      </c>
      <c r="Q69" s="6">
        <f>'[1]3、总属性战斗节奏拟合'!E71</f>
        <v>42787.716795150533</v>
      </c>
      <c r="R69" s="6">
        <f>'[1]3、总属性战斗节奏拟合'!F71</f>
        <v>19016.763020066905</v>
      </c>
      <c r="S69" s="6">
        <f>'[1]3、总属性战斗节奏拟合'!G71</f>
        <v>23770.953775083628</v>
      </c>
      <c r="T69" s="6">
        <f>'[1]3、总属性战斗节奏拟合'!H71</f>
        <v>41.17</v>
      </c>
      <c r="U69" s="6">
        <f t="shared" si="5"/>
        <v>489325.0834600965</v>
      </c>
      <c r="V69" s="6">
        <f t="shared" si="6"/>
        <v>21393.858397575266</v>
      </c>
      <c r="W69" s="6">
        <f t="shared" si="7"/>
        <v>9508.3815100334523</v>
      </c>
      <c r="X69" s="6">
        <f t="shared" si="8"/>
        <v>11885.476887541814</v>
      </c>
      <c r="Y69" s="6">
        <f t="shared" si="9"/>
        <v>41.17</v>
      </c>
      <c r="Z69" s="55">
        <v>0.1</v>
      </c>
      <c r="AA69" s="28">
        <f t="shared" si="10"/>
        <v>2139.3858397575268</v>
      </c>
      <c r="AB69">
        <f t="shared" si="11"/>
        <v>42787.71679515054</v>
      </c>
      <c r="AC69" s="58">
        <f t="shared" si="12"/>
        <v>8.7442312363371397E-2</v>
      </c>
      <c r="AD69" s="59">
        <f t="shared" si="13"/>
        <v>2139.3858397575268</v>
      </c>
      <c r="AE69" s="55">
        <v>0.2</v>
      </c>
      <c r="AF69">
        <f t="shared" si="14"/>
        <v>38033.526040133809</v>
      </c>
      <c r="AG69" s="58">
        <f t="shared" si="15"/>
        <v>7.7726499878552346E-2</v>
      </c>
      <c r="AH69">
        <f t="shared" si="16"/>
        <v>1901.6763020066905</v>
      </c>
    </row>
    <row r="70" spans="1:34">
      <c r="A70" s="6">
        <v>68</v>
      </c>
      <c r="B70" s="6">
        <v>8</v>
      </c>
      <c r="C70">
        <v>1533.1393598448108</v>
      </c>
      <c r="D70">
        <v>2010.1186498545103</v>
      </c>
      <c r="E70">
        <v>2609.2064403491759</v>
      </c>
      <c r="F70" s="27">
        <v>4193.0157129000954</v>
      </c>
      <c r="O70" s="6">
        <v>68</v>
      </c>
      <c r="P70" s="6">
        <f>'[1]3、总属性战斗节奏拟合'!D72</f>
        <v>1033166.6948709039</v>
      </c>
      <c r="Q70" s="6">
        <f>'[1]3、总属性战斗节奏拟合'!E72</f>
        <v>44618.523290969941</v>
      </c>
      <c r="R70" s="6">
        <f>'[1]3、总属性战斗节奏拟合'!F72</f>
        <v>19830.45479598664</v>
      </c>
      <c r="S70" s="6">
        <f>'[1]3、总属性战斗节奏拟合'!G72</f>
        <v>24788.068494983298</v>
      </c>
      <c r="T70" s="6">
        <f>'[1]3、总属性战斗节奏拟合'!H72</f>
        <v>41.68</v>
      </c>
      <c r="U70" s="6">
        <f t="shared" si="5"/>
        <v>516583.34743545193</v>
      </c>
      <c r="V70" s="6">
        <f t="shared" si="6"/>
        <v>22309.26164548497</v>
      </c>
      <c r="W70" s="6">
        <f t="shared" si="7"/>
        <v>9915.2273979933198</v>
      </c>
      <c r="X70" s="6">
        <f t="shared" si="8"/>
        <v>12394.034247491651</v>
      </c>
      <c r="Y70" s="6">
        <f t="shared" si="9"/>
        <v>41.679999999999993</v>
      </c>
      <c r="Z70" s="55">
        <v>0.1</v>
      </c>
      <c r="AA70" s="28">
        <f t="shared" si="10"/>
        <v>2230.9261645484971</v>
      </c>
      <c r="AB70">
        <f t="shared" si="11"/>
        <v>44618.523290969941</v>
      </c>
      <c r="AC70" s="58">
        <f t="shared" si="12"/>
        <v>8.6372360844529761E-2</v>
      </c>
      <c r="AD70" s="59">
        <f t="shared" si="13"/>
        <v>2230.9261645484971</v>
      </c>
      <c r="AE70" s="55">
        <v>0.2</v>
      </c>
      <c r="AF70">
        <f t="shared" si="14"/>
        <v>39660.909591973279</v>
      </c>
      <c r="AG70" s="58">
        <f t="shared" si="15"/>
        <v>7.677543186180423E-2</v>
      </c>
      <c r="AH70">
        <f t="shared" si="16"/>
        <v>1983.0454795986641</v>
      </c>
    </row>
    <row r="71" spans="1:34">
      <c r="A71" s="6">
        <v>69</v>
      </c>
      <c r="B71" s="6">
        <v>8</v>
      </c>
      <c r="C71">
        <v>1548.121435499515</v>
      </c>
      <c r="D71">
        <v>2031.9379321047529</v>
      </c>
      <c r="E71">
        <v>2637.7508438409313</v>
      </c>
      <c r="F71" s="27">
        <v>4242.333268671191</v>
      </c>
      <c r="O71" s="6">
        <v>69</v>
      </c>
      <c r="P71" s="6">
        <f>'[1]3、总属性战斗节奏拟合'!D73</f>
        <v>1089599.307398705</v>
      </c>
      <c r="Q71" s="6">
        <f>'[1]3、总属性战斗节奏拟合'!E73</f>
        <v>46486.815674749203</v>
      </c>
      <c r="R71" s="6">
        <f>'[1]3、总属性战斗节奏拟合'!F73</f>
        <v>20660.806966555203</v>
      </c>
      <c r="S71" s="6">
        <f>'[1]3、总属性战斗节奏拟合'!G73</f>
        <v>25826.008708194004</v>
      </c>
      <c r="T71" s="6">
        <f>'[1]3、总属性战斗节奏拟合'!H73</f>
        <v>42.19</v>
      </c>
      <c r="U71" s="6">
        <f t="shared" si="5"/>
        <v>544799.65369935252</v>
      </c>
      <c r="V71" s="6">
        <f t="shared" si="6"/>
        <v>23243.407837374602</v>
      </c>
      <c r="W71" s="6">
        <f t="shared" si="7"/>
        <v>10330.403483277601</v>
      </c>
      <c r="X71" s="6">
        <f t="shared" si="8"/>
        <v>12913.004354097</v>
      </c>
      <c r="Y71" s="6">
        <f t="shared" si="9"/>
        <v>42.190000000000005</v>
      </c>
      <c r="Z71" s="55">
        <v>0.1</v>
      </c>
      <c r="AA71" s="28">
        <f t="shared" si="10"/>
        <v>2324.3407837374602</v>
      </c>
      <c r="AB71">
        <f t="shared" si="11"/>
        <v>46486.815674749203</v>
      </c>
      <c r="AC71" s="58">
        <f t="shared" si="12"/>
        <v>8.5328276842853754E-2</v>
      </c>
      <c r="AD71" s="59">
        <f t="shared" si="13"/>
        <v>2324.3407837374602</v>
      </c>
      <c r="AE71" s="55">
        <v>0.2</v>
      </c>
      <c r="AF71">
        <f t="shared" si="14"/>
        <v>41321.613933110413</v>
      </c>
      <c r="AG71" s="58">
        <f t="shared" si="15"/>
        <v>7.5847357193647796E-2</v>
      </c>
      <c r="AH71">
        <f t="shared" si="16"/>
        <v>2066.0806966555206</v>
      </c>
    </row>
    <row r="72" spans="1:34">
      <c r="A72" s="6">
        <v>70</v>
      </c>
      <c r="B72" s="6">
        <v>8</v>
      </c>
      <c r="C72">
        <v>1563.1035111542192</v>
      </c>
      <c r="D72">
        <v>2053.7572143549951</v>
      </c>
      <c r="E72">
        <v>2666.2952473326868</v>
      </c>
      <c r="F72" s="27">
        <v>4291.6508244422876</v>
      </c>
      <c r="O72" s="6">
        <v>70</v>
      </c>
      <c r="P72" s="6">
        <f>'[1]3、总属性战斗节奏拟合'!D74</f>
        <v>1152328.276097409</v>
      </c>
      <c r="Q72" s="6">
        <f>'[1]3、总属性战斗节奏拟合'!E74</f>
        <v>48575.89922658867</v>
      </c>
      <c r="R72" s="6">
        <f>'[1]3、总属性战斗节奏拟合'!F74</f>
        <v>21589.288545150521</v>
      </c>
      <c r="S72" s="6">
        <f>'[1]3、总属性战斗节奏拟合'!G74</f>
        <v>26986.610681438149</v>
      </c>
      <c r="T72" s="6">
        <f>'[1]3、总属性战斗节奏拟合'!H74</f>
        <v>42.7</v>
      </c>
      <c r="U72" s="6">
        <f t="shared" si="5"/>
        <v>576164.13804870448</v>
      </c>
      <c r="V72" s="6">
        <f t="shared" si="6"/>
        <v>24287.949613294335</v>
      </c>
      <c r="W72" s="6">
        <f t="shared" si="7"/>
        <v>10794.64427257526</v>
      </c>
      <c r="X72" s="6">
        <f t="shared" si="8"/>
        <v>13493.305340719075</v>
      </c>
      <c r="Y72" s="6">
        <f t="shared" si="9"/>
        <v>42.7</v>
      </c>
      <c r="Z72" s="55">
        <v>0.1</v>
      </c>
      <c r="AA72" s="28">
        <f t="shared" si="10"/>
        <v>2428.7949613294336</v>
      </c>
      <c r="AB72">
        <f t="shared" si="11"/>
        <v>48575.89922658867</v>
      </c>
      <c r="AC72" s="58">
        <f t="shared" si="12"/>
        <v>8.4309133489461355E-2</v>
      </c>
      <c r="AD72" s="59">
        <f t="shared" si="13"/>
        <v>2428.7949613294336</v>
      </c>
      <c r="AE72" s="55">
        <v>0.2</v>
      </c>
      <c r="AF72">
        <f t="shared" si="14"/>
        <v>43178.577090301042</v>
      </c>
      <c r="AG72" s="58">
        <f t="shared" si="15"/>
        <v>7.4941451990632318E-2</v>
      </c>
      <c r="AH72">
        <f t="shared" si="16"/>
        <v>2158.9288545150521</v>
      </c>
    </row>
    <row r="73" spans="1:34">
      <c r="A73" s="6">
        <v>71</v>
      </c>
      <c r="B73" s="6">
        <v>8</v>
      </c>
      <c r="C73">
        <v>1578.0855868089234</v>
      </c>
      <c r="D73">
        <v>2075.5764966052379</v>
      </c>
      <c r="E73">
        <v>2694.8396508244423</v>
      </c>
      <c r="F73" s="27">
        <v>4340.9683802133832</v>
      </c>
      <c r="O73" s="6">
        <v>71</v>
      </c>
      <c r="P73" s="6">
        <f>'[1]3、总属性战斗节奏拟合'!D75</f>
        <v>1217290.9066357866</v>
      </c>
      <c r="Q73" s="6">
        <f>'[1]3、总属性战斗节奏拟合'!E75</f>
        <v>50708.716314381301</v>
      </c>
      <c r="R73" s="6">
        <f>'[1]3、总属性战斗节奏拟合'!F75</f>
        <v>22537.207250836134</v>
      </c>
      <c r="S73" s="6">
        <f>'[1]3、总属性战斗节奏拟合'!G75</f>
        <v>28171.509063545167</v>
      </c>
      <c r="T73" s="6">
        <f>'[1]3、总属性战斗节奏拟合'!H75</f>
        <v>43.21</v>
      </c>
      <c r="U73" s="6">
        <f t="shared" si="5"/>
        <v>608645.45331789332</v>
      </c>
      <c r="V73" s="6">
        <f t="shared" si="6"/>
        <v>25354.358157190651</v>
      </c>
      <c r="W73" s="6">
        <f t="shared" si="7"/>
        <v>11268.603625418067</v>
      </c>
      <c r="X73" s="6">
        <f t="shared" si="8"/>
        <v>14085.754531772584</v>
      </c>
      <c r="Y73" s="6">
        <f t="shared" si="9"/>
        <v>43.21</v>
      </c>
      <c r="Z73" s="55">
        <v>0.1</v>
      </c>
      <c r="AA73" s="28">
        <f t="shared" si="10"/>
        <v>2535.4358157190654</v>
      </c>
      <c r="AB73">
        <f t="shared" si="11"/>
        <v>50708.716314381309</v>
      </c>
      <c r="AC73" s="58">
        <f t="shared" si="12"/>
        <v>8.3314047674149516E-2</v>
      </c>
      <c r="AD73" s="59">
        <f t="shared" si="13"/>
        <v>2535.4358157190654</v>
      </c>
      <c r="AE73" s="55">
        <v>0.2</v>
      </c>
      <c r="AF73">
        <f t="shared" si="14"/>
        <v>45074.414501672276</v>
      </c>
      <c r="AG73" s="58">
        <f t="shared" si="15"/>
        <v>7.4056931265910689E-2</v>
      </c>
      <c r="AH73">
        <f t="shared" si="16"/>
        <v>2253.7207250836136</v>
      </c>
    </row>
    <row r="74" spans="1:34">
      <c r="A74" s="6">
        <v>72</v>
      </c>
      <c r="B74" s="6">
        <v>9</v>
      </c>
      <c r="C74">
        <v>1756.8508244422892</v>
      </c>
      <c r="D74">
        <v>2302.5757982541227</v>
      </c>
      <c r="E74">
        <v>3036.9521629485935</v>
      </c>
      <c r="F74" s="27">
        <v>4793.3471968962158</v>
      </c>
      <c r="O74" s="6">
        <v>72</v>
      </c>
      <c r="P74" s="6">
        <f>'[1]3、总属性战斗节奏拟合'!D76</f>
        <v>1284524.3725193988</v>
      </c>
      <c r="Q74" s="6">
        <f>'[1]3、总属性战斗节奏拟合'!E76</f>
        <v>52885.266938127126</v>
      </c>
      <c r="R74" s="6">
        <f>'[1]3、总属性战斗节奏拟合'!F76</f>
        <v>23504.563083612054</v>
      </c>
      <c r="S74" s="6">
        <f>'[1]3、总属性战斗节奏拟合'!G76</f>
        <v>29380.703854515068</v>
      </c>
      <c r="T74" s="6">
        <f>'[1]3、总属性战斗节奏拟合'!H76</f>
        <v>43.72</v>
      </c>
      <c r="U74" s="6">
        <f t="shared" si="5"/>
        <v>642262.1862596994</v>
      </c>
      <c r="V74" s="6">
        <f t="shared" si="6"/>
        <v>26442.633469063563</v>
      </c>
      <c r="W74" s="6">
        <f t="shared" si="7"/>
        <v>11752.281541806027</v>
      </c>
      <c r="X74" s="6">
        <f t="shared" si="8"/>
        <v>14690.351927257536</v>
      </c>
      <c r="Y74" s="6">
        <f t="shared" si="9"/>
        <v>43.72</v>
      </c>
      <c r="Z74" s="55">
        <v>0.1</v>
      </c>
      <c r="AA74" s="28">
        <f t="shared" si="10"/>
        <v>2644.2633469063567</v>
      </c>
      <c r="AB74">
        <f t="shared" si="11"/>
        <v>52885.266938127133</v>
      </c>
      <c r="AC74" s="58">
        <f t="shared" si="12"/>
        <v>8.2342177493138172E-2</v>
      </c>
      <c r="AD74" s="59">
        <f t="shared" si="13"/>
        <v>2644.2633469063567</v>
      </c>
      <c r="AE74" s="55">
        <v>0.2</v>
      </c>
      <c r="AF74">
        <f t="shared" si="14"/>
        <v>47009.126167224109</v>
      </c>
      <c r="AG74" s="58">
        <f t="shared" si="15"/>
        <v>7.3193046660567238E-2</v>
      </c>
      <c r="AH74">
        <f t="shared" si="16"/>
        <v>2350.4563083612056</v>
      </c>
    </row>
    <row r="75" spans="1:34">
      <c r="A75" s="6">
        <v>73</v>
      </c>
      <c r="B75" s="6">
        <v>9</v>
      </c>
      <c r="C75">
        <v>1773.1078709990302</v>
      </c>
      <c r="D75">
        <v>2326.2164675072745</v>
      </c>
      <c r="E75">
        <v>3067.850358874879</v>
      </c>
      <c r="F75" s="27">
        <v>4846.6437827352065</v>
      </c>
      <c r="O75" s="6">
        <v>73</v>
      </c>
      <c r="P75" s="6">
        <f>'[1]3、总属性战斗节奏拟合'!D77</f>
        <v>1354065.8472538053</v>
      </c>
      <c r="Q75" s="6">
        <f>'[1]3、总属性战斗节奏拟合'!E77</f>
        <v>55105.551097826123</v>
      </c>
      <c r="R75" s="6">
        <f>'[1]3、总属性战斗节奏拟合'!F77</f>
        <v>24491.356043478278</v>
      </c>
      <c r="S75" s="6">
        <f>'[1]3、总属性战斗节奏拟合'!G77</f>
        <v>30614.195054347845</v>
      </c>
      <c r="T75" s="6">
        <f>'[1]3、总属性战斗节奏拟合'!H77</f>
        <v>44.230000000000004</v>
      </c>
      <c r="U75" s="6">
        <f t="shared" si="5"/>
        <v>677032.92362690263</v>
      </c>
      <c r="V75" s="6">
        <f t="shared" si="6"/>
        <v>27552.775548913061</v>
      </c>
      <c r="W75" s="6">
        <f t="shared" si="7"/>
        <v>12245.678021739139</v>
      </c>
      <c r="X75" s="6">
        <f t="shared" si="8"/>
        <v>15307.097527173923</v>
      </c>
      <c r="Y75" s="6">
        <f t="shared" si="9"/>
        <v>44.230000000000004</v>
      </c>
      <c r="Z75" s="55">
        <v>0.1</v>
      </c>
      <c r="AA75" s="28">
        <f t="shared" si="10"/>
        <v>2755.2775548913064</v>
      </c>
      <c r="AB75">
        <f t="shared" si="11"/>
        <v>55105.55109782613</v>
      </c>
      <c r="AC75" s="58">
        <f t="shared" si="12"/>
        <v>8.1392719873389113E-2</v>
      </c>
      <c r="AD75" s="59">
        <f t="shared" si="13"/>
        <v>2755.2775548913064</v>
      </c>
      <c r="AE75" s="55">
        <v>0.2</v>
      </c>
      <c r="AF75">
        <f t="shared" si="14"/>
        <v>48982.712086956555</v>
      </c>
      <c r="AG75" s="58">
        <f t="shared" si="15"/>
        <v>7.2349084331901431E-2</v>
      </c>
      <c r="AH75">
        <f t="shared" si="16"/>
        <v>2449.1356043478277</v>
      </c>
    </row>
    <row r="76" spans="1:34">
      <c r="A76" s="6">
        <v>74</v>
      </c>
      <c r="B76" s="6">
        <v>9</v>
      </c>
      <c r="C76">
        <v>1789.3649175557712</v>
      </c>
      <c r="D76">
        <v>2349.8571367604272</v>
      </c>
      <c r="E76">
        <v>3098.7485548011646</v>
      </c>
      <c r="F76" s="27">
        <v>4899.9403685741981</v>
      </c>
      <c r="O76" s="6">
        <v>74</v>
      </c>
      <c r="P76" s="6">
        <f>'[1]3、总属性战斗节奏拟合'!D78</f>
        <v>1425952.504344566</v>
      </c>
      <c r="Q76" s="6">
        <f>'[1]3、总属性战斗节奏拟合'!E78</f>
        <v>57369.568793478291</v>
      </c>
      <c r="R76" s="6">
        <f>'[1]3、总属性战斗节奏拟合'!F78</f>
        <v>25497.586130434796</v>
      </c>
      <c r="S76" s="6">
        <f>'[1]3、总属性战斗节奏拟合'!G78</f>
        <v>31871.982663043495</v>
      </c>
      <c r="T76" s="6">
        <f>'[1]3、总属性战斗节奏拟合'!H78</f>
        <v>44.74</v>
      </c>
      <c r="U76" s="6">
        <f t="shared" si="5"/>
        <v>712976.25217228301</v>
      </c>
      <c r="V76" s="6">
        <f t="shared" si="6"/>
        <v>28684.784396739145</v>
      </c>
      <c r="W76" s="6">
        <f t="shared" si="7"/>
        <v>12748.793065217398</v>
      </c>
      <c r="X76" s="6">
        <f t="shared" si="8"/>
        <v>15935.991331521747</v>
      </c>
      <c r="Y76" s="6">
        <f t="shared" si="9"/>
        <v>44.74</v>
      </c>
      <c r="Z76" s="55">
        <v>0.1</v>
      </c>
      <c r="AA76" s="28">
        <f t="shared" si="10"/>
        <v>2868.4784396739146</v>
      </c>
      <c r="AB76">
        <f t="shared" si="11"/>
        <v>57369.568793478291</v>
      </c>
      <c r="AC76" s="58">
        <f t="shared" si="12"/>
        <v>8.046490835940992E-2</v>
      </c>
      <c r="AD76" s="59">
        <f t="shared" si="13"/>
        <v>2868.4784396739146</v>
      </c>
      <c r="AE76" s="55">
        <v>0.2</v>
      </c>
      <c r="AF76">
        <f t="shared" si="14"/>
        <v>50995.172260869593</v>
      </c>
      <c r="AG76" s="58">
        <f t="shared" si="15"/>
        <v>7.1524362986142148E-2</v>
      </c>
      <c r="AH76">
        <f t="shared" si="16"/>
        <v>2549.7586130434797</v>
      </c>
    </row>
    <row r="77" spans="1:34">
      <c r="A77" s="6">
        <v>75</v>
      </c>
      <c r="B77" s="6">
        <v>9</v>
      </c>
      <c r="C77">
        <v>1805.6219641125122</v>
      </c>
      <c r="D77">
        <v>2373.4978060135791</v>
      </c>
      <c r="E77">
        <v>3129.6467507274492</v>
      </c>
      <c r="F77" s="27">
        <v>4953.2369544131898</v>
      </c>
      <c r="O77" s="6">
        <v>75</v>
      </c>
      <c r="P77" s="6">
        <f>'[1]3、总属性战斗节奏拟合'!D79</f>
        <v>1500221.5172972416</v>
      </c>
      <c r="Q77" s="6">
        <f>'[1]3、总属性战斗节奏拟合'!E79</f>
        <v>59677.320025083645</v>
      </c>
      <c r="R77" s="6">
        <f>'[1]3、总属性战斗节奏拟合'!F79</f>
        <v>26523.253344481622</v>
      </c>
      <c r="S77" s="6">
        <f>'[1]3、总属性战斗节奏拟合'!G79</f>
        <v>33154.066680602024</v>
      </c>
      <c r="T77" s="6">
        <f>'[1]3、总属性战斗节奏拟合'!H79</f>
        <v>45.25</v>
      </c>
      <c r="U77" s="6">
        <f t="shared" si="5"/>
        <v>750110.7586486208</v>
      </c>
      <c r="V77" s="6">
        <f t="shared" si="6"/>
        <v>29838.660012541823</v>
      </c>
      <c r="W77" s="6">
        <f t="shared" si="7"/>
        <v>13261.626672240811</v>
      </c>
      <c r="X77" s="6">
        <f t="shared" si="8"/>
        <v>16577.033340301012</v>
      </c>
      <c r="Y77" s="6">
        <f t="shared" si="9"/>
        <v>45.25</v>
      </c>
      <c r="Z77" s="55">
        <v>0.1</v>
      </c>
      <c r="AA77" s="28">
        <f t="shared" si="10"/>
        <v>2983.8660012541823</v>
      </c>
      <c r="AB77">
        <f t="shared" si="11"/>
        <v>59677.320025083645</v>
      </c>
      <c r="AC77" s="58">
        <f t="shared" si="12"/>
        <v>7.9558011049723765E-2</v>
      </c>
      <c r="AD77" s="59">
        <f t="shared" si="13"/>
        <v>2983.8660012541823</v>
      </c>
      <c r="AE77" s="55">
        <v>0.2</v>
      </c>
      <c r="AF77">
        <f t="shared" si="14"/>
        <v>53046.506688963244</v>
      </c>
      <c r="AG77" s="58">
        <f t="shared" si="15"/>
        <v>7.07182320441989E-2</v>
      </c>
      <c r="AH77">
        <f t="shared" si="16"/>
        <v>2652.3253344481623</v>
      </c>
    </row>
    <row r="78" spans="1:34">
      <c r="A78" s="6">
        <v>76</v>
      </c>
      <c r="B78" s="6">
        <v>9</v>
      </c>
      <c r="C78">
        <v>1821.8790106692531</v>
      </c>
      <c r="D78">
        <v>2397.1384752667318</v>
      </c>
      <c r="E78">
        <v>3160.5449466537348</v>
      </c>
      <c r="F78" s="27">
        <v>5006.5335402521805</v>
      </c>
      <c r="O78" s="6">
        <v>76</v>
      </c>
      <c r="P78" s="6">
        <f>'[1]3、总属性战斗节奏拟合'!D80</f>
        <v>1576910.059617392</v>
      </c>
      <c r="Q78" s="6">
        <f>'[1]3、总属性战斗节奏拟合'!E80</f>
        <v>62028.804792642171</v>
      </c>
      <c r="R78" s="6">
        <f>'[1]3、总属性战斗节奏拟合'!F80</f>
        <v>27568.357685618743</v>
      </c>
      <c r="S78" s="6">
        <f>'[1]3、总属性战斗节奏拟合'!G80</f>
        <v>34460.447107023429</v>
      </c>
      <c r="T78" s="6">
        <f>'[1]3、总属性战斗节奏拟合'!H80</f>
        <v>45.76</v>
      </c>
      <c r="U78" s="6">
        <f t="shared" si="5"/>
        <v>788455.02980869601</v>
      </c>
      <c r="V78" s="6">
        <f t="shared" si="6"/>
        <v>31014.402396321086</v>
      </c>
      <c r="W78" s="6">
        <f t="shared" si="7"/>
        <v>13784.178842809371</v>
      </c>
      <c r="X78" s="6">
        <f t="shared" si="8"/>
        <v>17230.223553511714</v>
      </c>
      <c r="Y78" s="6">
        <f t="shared" si="9"/>
        <v>45.76</v>
      </c>
      <c r="Z78" s="55">
        <v>0.1</v>
      </c>
      <c r="AA78" s="28">
        <f t="shared" si="10"/>
        <v>3101.4402396321088</v>
      </c>
      <c r="AB78">
        <f t="shared" si="11"/>
        <v>62028.804792642179</v>
      </c>
      <c r="AC78" s="58">
        <f t="shared" si="12"/>
        <v>7.8671328671328686E-2</v>
      </c>
      <c r="AD78" s="59">
        <f t="shared" si="13"/>
        <v>3101.4402396321088</v>
      </c>
      <c r="AE78" s="55">
        <v>0.2</v>
      </c>
      <c r="AF78">
        <f t="shared" si="14"/>
        <v>55136.715371237486</v>
      </c>
      <c r="AG78" s="58">
        <f t="shared" si="15"/>
        <v>6.9930069930069935E-2</v>
      </c>
      <c r="AH78">
        <f t="shared" si="16"/>
        <v>2756.8357685618744</v>
      </c>
    </row>
    <row r="79" spans="1:34">
      <c r="A79" s="6">
        <v>77</v>
      </c>
      <c r="B79" s="6">
        <v>9</v>
      </c>
      <c r="C79">
        <v>1838.1360572259944</v>
      </c>
      <c r="D79">
        <v>2420.7791445198836</v>
      </c>
      <c r="E79">
        <v>3191.4431425800194</v>
      </c>
      <c r="F79" s="27">
        <v>5059.8301260911721</v>
      </c>
      <c r="O79" s="6">
        <v>77</v>
      </c>
      <c r="P79" s="6">
        <f>'[1]3、总属性战斗节奏拟合'!D81</f>
        <v>1656055.3048105778</v>
      </c>
      <c r="Q79" s="6">
        <f>'[1]3、总属性战斗节奏拟合'!E81</f>
        <v>64424.023096153876</v>
      </c>
      <c r="R79" s="6">
        <f>'[1]3、总属性战斗节奏拟合'!F81</f>
        <v>28632.899153846167</v>
      </c>
      <c r="S79" s="6">
        <f>'[1]3、总属性战斗节奏拟合'!G81</f>
        <v>35791.123942307706</v>
      </c>
      <c r="T79" s="6">
        <f>'[1]3、总属性战斗节奏拟合'!H81</f>
        <v>46.27</v>
      </c>
      <c r="U79" s="6">
        <f t="shared" si="5"/>
        <v>828027.65240528889</v>
      </c>
      <c r="V79" s="6">
        <f t="shared" si="6"/>
        <v>32212.011548076938</v>
      </c>
      <c r="W79" s="6">
        <f t="shared" si="7"/>
        <v>14316.449576923083</v>
      </c>
      <c r="X79" s="6">
        <f t="shared" si="8"/>
        <v>17895.561971153853</v>
      </c>
      <c r="Y79" s="6">
        <f t="shared" si="9"/>
        <v>46.27</v>
      </c>
      <c r="Z79" s="55">
        <v>0.1</v>
      </c>
      <c r="AA79" s="28">
        <f t="shared" si="10"/>
        <v>3221.2011548076939</v>
      </c>
      <c r="AB79">
        <f t="shared" si="11"/>
        <v>64424.023096153876</v>
      </c>
      <c r="AC79" s="58">
        <f t="shared" si="12"/>
        <v>7.7804192781499887E-2</v>
      </c>
      <c r="AD79" s="59">
        <f t="shared" si="13"/>
        <v>3221.2011548076939</v>
      </c>
      <c r="AE79" s="55">
        <v>0.2</v>
      </c>
      <c r="AF79">
        <f t="shared" si="14"/>
        <v>57265.798307692341</v>
      </c>
      <c r="AG79" s="58">
        <f t="shared" si="15"/>
        <v>6.915928247244435E-2</v>
      </c>
      <c r="AH79">
        <f t="shared" si="16"/>
        <v>2863.289915384617</v>
      </c>
    </row>
    <row r="80" spans="1:34">
      <c r="A80" s="6">
        <v>78</v>
      </c>
      <c r="B80" s="6">
        <v>9</v>
      </c>
      <c r="C80">
        <v>1854.3931037827354</v>
      </c>
      <c r="D80">
        <v>2444.4198137730364</v>
      </c>
      <c r="E80">
        <v>3222.341338506305</v>
      </c>
      <c r="F80" s="27">
        <v>5113.1267119301629</v>
      </c>
      <c r="O80" s="6">
        <v>78</v>
      </c>
      <c r="P80" s="6">
        <f>'[1]3、总属性战斗节奏拟合'!D82</f>
        <v>1737694.4263823582</v>
      </c>
      <c r="Q80" s="6">
        <f>'[1]3、总属性战斗节奏拟合'!E82</f>
        <v>66862.974935618739</v>
      </c>
      <c r="R80" s="6">
        <f>'[1]3、总属性战斗节奏拟合'!F82</f>
        <v>29716.877749163887</v>
      </c>
      <c r="S80" s="6">
        <f>'[1]3、总属性战斗节奏拟合'!G82</f>
        <v>37146.097186454856</v>
      </c>
      <c r="T80" s="6">
        <f>'[1]3、总属性战斗节奏拟合'!H82</f>
        <v>46.78</v>
      </c>
      <c r="U80" s="6">
        <f t="shared" si="5"/>
        <v>868847.21319117909</v>
      </c>
      <c r="V80" s="6">
        <f t="shared" si="6"/>
        <v>33431.487467809369</v>
      </c>
      <c r="W80" s="6">
        <f t="shared" si="7"/>
        <v>14858.438874581943</v>
      </c>
      <c r="X80" s="6">
        <f t="shared" si="8"/>
        <v>18573.048593227424</v>
      </c>
      <c r="Y80" s="6">
        <f t="shared" si="9"/>
        <v>46.780000000000008</v>
      </c>
      <c r="Z80" s="55">
        <v>0.1</v>
      </c>
      <c r="AA80" s="28">
        <f t="shared" si="10"/>
        <v>3343.148746780937</v>
      </c>
      <c r="AB80">
        <f t="shared" si="11"/>
        <v>66862.974935618739</v>
      </c>
      <c r="AC80" s="58">
        <f t="shared" si="12"/>
        <v>7.6955964087216749E-2</v>
      </c>
      <c r="AD80" s="59">
        <f t="shared" si="13"/>
        <v>3343.148746780937</v>
      </c>
      <c r="AE80" s="55">
        <v>0.2</v>
      </c>
      <c r="AF80">
        <f t="shared" si="14"/>
        <v>59433.755498327773</v>
      </c>
      <c r="AG80" s="58">
        <f t="shared" si="15"/>
        <v>6.8405301410859348E-2</v>
      </c>
      <c r="AH80">
        <f t="shared" si="16"/>
        <v>2971.6877749163887</v>
      </c>
    </row>
    <row r="81" spans="1:34">
      <c r="A81" s="6">
        <v>79</v>
      </c>
      <c r="B81" s="6">
        <v>9</v>
      </c>
      <c r="C81">
        <v>1870.6501503394763</v>
      </c>
      <c r="D81">
        <v>2468.0604830261882</v>
      </c>
      <c r="E81">
        <v>3253.2395344325896</v>
      </c>
      <c r="F81" s="27">
        <v>5166.4232977691545</v>
      </c>
      <c r="O81" s="6">
        <v>79</v>
      </c>
      <c r="P81" s="6">
        <f>'[1]3、总属性战斗节奏拟合'!D83</f>
        <v>1821864.5978382952</v>
      </c>
      <c r="Q81" s="6">
        <f>'[1]3、总属性战斗节奏拟合'!E83</f>
        <v>69345.660311036816</v>
      </c>
      <c r="R81" s="6">
        <f>'[1]3、总属性战斗节奏拟合'!F83</f>
        <v>30820.29347157192</v>
      </c>
      <c r="S81" s="6">
        <f>'[1]3、总属性战斗节奏拟合'!G83</f>
        <v>38525.366839464899</v>
      </c>
      <c r="T81" s="6">
        <f>'[1]3、总属性战斗节奏拟合'!H83</f>
        <v>47.29</v>
      </c>
      <c r="U81" s="6">
        <f t="shared" si="5"/>
        <v>910932.29891914758</v>
      </c>
      <c r="V81" s="6">
        <f t="shared" si="6"/>
        <v>34672.830155518408</v>
      </c>
      <c r="W81" s="6">
        <f t="shared" si="7"/>
        <v>15410.14673578596</v>
      </c>
      <c r="X81" s="6">
        <f t="shared" si="8"/>
        <v>19262.68341973245</v>
      </c>
      <c r="Y81" s="6">
        <f t="shared" si="9"/>
        <v>47.29</v>
      </c>
      <c r="Z81" s="55">
        <v>0.1</v>
      </c>
      <c r="AA81" s="28">
        <f t="shared" si="10"/>
        <v>3467.2830155518409</v>
      </c>
      <c r="AB81">
        <f t="shared" si="11"/>
        <v>69345.660311036816</v>
      </c>
      <c r="AC81" s="58">
        <f t="shared" si="12"/>
        <v>7.6126030873334735E-2</v>
      </c>
      <c r="AD81" s="59">
        <f t="shared" si="13"/>
        <v>3467.2830155518409</v>
      </c>
      <c r="AE81" s="55">
        <v>0.2</v>
      </c>
      <c r="AF81">
        <f t="shared" si="14"/>
        <v>61640.586943143848</v>
      </c>
      <c r="AG81" s="58">
        <f t="shared" si="15"/>
        <v>6.7667582998519785E-2</v>
      </c>
      <c r="AH81">
        <f t="shared" si="16"/>
        <v>3082.0293471571922</v>
      </c>
    </row>
    <row r="82" spans="1:34">
      <c r="A82" s="6">
        <v>80</v>
      </c>
      <c r="B82" s="6">
        <v>10</v>
      </c>
      <c r="C82">
        <v>2094.8901260911734</v>
      </c>
      <c r="D82">
        <v>2677.452267701261</v>
      </c>
      <c r="E82">
        <v>3514.5361784675074</v>
      </c>
      <c r="F82" s="27">
        <v>5654.6133850630431</v>
      </c>
      <c r="O82" s="6">
        <v>80</v>
      </c>
      <c r="P82" s="6">
        <f>'[1]3、总属性战斗节奏拟合'!D84</f>
        <v>1914300.3150501673</v>
      </c>
      <c r="Q82" s="6">
        <f>'[1]3、总属性战斗节奏拟合'!E84</f>
        <v>72086.622742474923</v>
      </c>
      <c r="R82" s="6">
        <f>'[1]3、总属性战斗节奏拟合'!F84</f>
        <v>32038.498996655522</v>
      </c>
      <c r="S82" s="6">
        <f>'[1]3、总属性战斗节奏拟合'!G84</f>
        <v>40048.123745819401</v>
      </c>
      <c r="T82" s="6">
        <f>'[1]3、总属性战斗节奏拟合'!H84</f>
        <v>47.8</v>
      </c>
      <c r="U82" s="6">
        <f t="shared" si="5"/>
        <v>957150.15752508363</v>
      </c>
      <c r="V82" s="6">
        <f t="shared" si="6"/>
        <v>36043.311371237462</v>
      </c>
      <c r="W82" s="6">
        <f t="shared" si="7"/>
        <v>16019.249498327761</v>
      </c>
      <c r="X82" s="6">
        <f t="shared" si="8"/>
        <v>20024.0618729097</v>
      </c>
      <c r="Y82" s="6">
        <f t="shared" si="9"/>
        <v>47.8</v>
      </c>
      <c r="Z82" s="55">
        <v>0.1</v>
      </c>
      <c r="AA82" s="28">
        <f t="shared" si="10"/>
        <v>3604.3311371237464</v>
      </c>
      <c r="AB82">
        <f t="shared" si="11"/>
        <v>72086.622742474923</v>
      </c>
      <c r="AC82" s="58">
        <f t="shared" si="12"/>
        <v>7.5313807531380755E-2</v>
      </c>
      <c r="AD82" s="59">
        <f t="shared" si="13"/>
        <v>3604.3311371237464</v>
      </c>
      <c r="AE82" s="55">
        <v>0.2</v>
      </c>
      <c r="AF82">
        <f t="shared" si="14"/>
        <v>64076.997993311052</v>
      </c>
      <c r="AG82" s="58">
        <f t="shared" si="15"/>
        <v>6.6945606694560678E-2</v>
      </c>
      <c r="AH82">
        <f t="shared" si="16"/>
        <v>3203.8498996655526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L153"/>
  <sheetViews>
    <sheetView zoomScaleNormal="100" workbookViewId="0">
      <pane ySplit="1" topLeftCell="A134" activePane="bottomLeft" state="frozen"/>
      <selection pane="bottomLeft" activeCell="A21" sqref="A21"/>
    </sheetView>
  </sheetViews>
  <sheetFormatPr defaultRowHeight="14.45" customHeight="1"/>
  <cols>
    <col min="1" max="1" width="8.5" style="42" bestFit="1" customWidth="1"/>
    <col min="2" max="2" width="9.5" bestFit="1" customWidth="1"/>
    <col min="3" max="3" width="95" customWidth="1"/>
    <col min="4" max="4" width="9" bestFit="1" customWidth="1"/>
    <col min="5" max="5" width="12.75" bestFit="1" customWidth="1"/>
    <col min="6" max="6" width="11.125" style="52" bestFit="1" customWidth="1"/>
    <col min="7" max="7" width="11.125" style="52" customWidth="1"/>
    <col min="8" max="8" width="13" style="52" bestFit="1" customWidth="1"/>
    <col min="9" max="9" width="18.375" style="52" bestFit="1" customWidth="1"/>
    <col min="10" max="10" width="10.25" style="54" bestFit="1" customWidth="1"/>
    <col min="11" max="11" width="12.25" style="54" bestFit="1" customWidth="1"/>
    <col min="12" max="12" width="16.375" style="54" bestFit="1" customWidth="1"/>
    <col min="13" max="13" width="16.375" style="39" customWidth="1"/>
    <col min="14" max="14" width="12.125" customWidth="1"/>
    <col min="15" max="15" width="9.5" style="83" bestFit="1" customWidth="1"/>
    <col min="16" max="16" width="13.875" style="83" bestFit="1" customWidth="1"/>
    <col min="17" max="17" width="16.5" style="39" customWidth="1"/>
    <col min="18" max="18" width="8.875" style="39"/>
    <col min="19" max="19" width="67.375" style="39" bestFit="1" customWidth="1"/>
    <col min="20" max="20" width="54.875" style="116" customWidth="1"/>
    <col min="21" max="21" width="6.5" bestFit="1" customWidth="1"/>
    <col min="22" max="22" width="43.25" customWidth="1"/>
    <col min="23" max="23" width="11.625" customWidth="1"/>
    <col min="24" max="24" width="36.25" customWidth="1"/>
    <col min="25" max="25" width="59.875" customWidth="1"/>
    <col min="26" max="26" width="12.75" bestFit="1" customWidth="1"/>
    <col min="27" max="27" width="13.875" bestFit="1" customWidth="1"/>
    <col min="28" max="28" width="11.625" bestFit="1" customWidth="1"/>
    <col min="29" max="29" width="10.75" customWidth="1"/>
    <col min="30" max="30" width="11.625" bestFit="1" customWidth="1"/>
    <col min="31" max="31" width="9.5" bestFit="1" customWidth="1"/>
    <col min="34" max="34" width="11.625" bestFit="1" customWidth="1"/>
  </cols>
  <sheetData>
    <row r="1" spans="1:38" ht="14.45" customHeight="1">
      <c r="A1" s="79" t="s">
        <v>134</v>
      </c>
      <c r="B1" s="13" t="s">
        <v>234</v>
      </c>
      <c r="C1" s="13" t="s">
        <v>135</v>
      </c>
      <c r="D1" s="13" t="s">
        <v>235</v>
      </c>
      <c r="E1" s="13" t="s">
        <v>237</v>
      </c>
      <c r="F1" s="51" t="s">
        <v>136</v>
      </c>
      <c r="G1" s="51" t="s">
        <v>328</v>
      </c>
      <c r="H1" s="51" t="s">
        <v>137</v>
      </c>
      <c r="I1" s="51" t="s">
        <v>361</v>
      </c>
      <c r="J1" s="53" t="s">
        <v>141</v>
      </c>
      <c r="K1" s="53" t="s">
        <v>142</v>
      </c>
      <c r="L1" s="53" t="s">
        <v>221</v>
      </c>
      <c r="M1" s="29" t="s">
        <v>360</v>
      </c>
      <c r="N1" s="13" t="s">
        <v>236</v>
      </c>
      <c r="O1" s="80" t="s">
        <v>300</v>
      </c>
      <c r="P1" s="80" t="s">
        <v>301</v>
      </c>
      <c r="Q1" s="80" t="s">
        <v>302</v>
      </c>
      <c r="R1" s="80" t="s">
        <v>303</v>
      </c>
      <c r="S1" s="29" t="s">
        <v>358</v>
      </c>
      <c r="T1" s="114" t="s">
        <v>359</v>
      </c>
    </row>
    <row r="2" spans="1:38" ht="14.45" customHeight="1">
      <c r="A2" s="74">
        <v>9601201</v>
      </c>
      <c r="B2" s="89" t="s">
        <v>397</v>
      </c>
      <c r="C2" s="75" t="str">
        <f>IF(F2=0,IFERROR(REPLACE(T2,FIND("Y",T2),LEN("Y"),ROUNDUP(L2,2)),T2),IF(F2=0,"","永久增加主角"&amp;IF(I2&lt;1,ROUNDUP(I2*100,2)&amp;"%",ROUNDUP(I2,0))&amp;G2&amp;",")&amp;IFERROR(REPLACE(T2,FIND("Y",T2),LEN("Y"),ROUNDUP(L2,2)),T2))</f>
        <v>召唤出场时，为主角回复8.57%最大生命值。</v>
      </c>
      <c r="D2" s="68">
        <v>1</v>
      </c>
      <c r="E2" s="75" t="s">
        <v>255</v>
      </c>
      <c r="F2" s="76">
        <f t="shared" ref="F2:F33" si="0">VLOOKUP(G2,$X$54:$Y$70,2,FALSE)</f>
        <v>0</v>
      </c>
      <c r="G2" s="76" t="str">
        <f>VLOOKUP(O2,$W$32:$Z$50,4,FALSE)</f>
        <v>无属性</v>
      </c>
      <c r="H2" s="51">
        <f>VLOOKUP(O2,$W$32:$AC$50,5,FALSE)*D2</f>
        <v>0</v>
      </c>
      <c r="I2" s="76">
        <f>IF(VLOOKUP(O2,$W$32:$AF$50,$AC$30,FALSE)=0,H2,H2/VLOOKUP(O2,$W$32:$AF$50,$AD$30,FALSE))</f>
        <v>0</v>
      </c>
      <c r="J2" s="77">
        <f>VLOOKUP(O2,$W$32:$Y$50,3,FALSE)</f>
        <v>3</v>
      </c>
      <c r="K2" s="78">
        <f>VLOOKUP(J2,$W$8:$AG$25,$AA$6,FALSE)+VLOOKUP(J2,$W$8:$AG$25,$AC$6,FALSE)*D2</f>
        <v>8.5714285714285715E-2</v>
      </c>
      <c r="L2" s="77">
        <f>VLOOKUP(J2,$W$8:$AG$25,$AD$6,FALSE)+VLOOKUP(J2,$W$8:$AG$25,$AF$6,FALSE)*D2</f>
        <v>0</v>
      </c>
      <c r="M2" s="75">
        <f>VLOOKUP(J2,$W$8:$AG$25,$Z$6,FALSE)</f>
        <v>1</v>
      </c>
      <c r="N2" s="75">
        <v>0</v>
      </c>
      <c r="O2" s="82" t="str">
        <f>VLOOKUP(INT(A2/100)*100+1,CHOOSE({1,2},D_马仔表!$J$2:$J$20,D_马仔表!$B$2:$B$20),2,FALSE)</f>
        <v>制服太妹</v>
      </c>
      <c r="P2" s="81">
        <f>VLOOKUP(O2,D_马仔表!$B$2:$W$20,3,FALSE)</f>
        <v>0</v>
      </c>
      <c r="Q2" s="39">
        <f>IFERROR(VLOOKUP(R2,CHOOSE({1,2},技能辅助表!$B$3:$B$83,技能辅助表!$A$3:$A$82),2,FALSE),0)</f>
        <v>24</v>
      </c>
      <c r="R2" s="39">
        <f t="shared" ref="R2:R36" si="1">D2+2</f>
        <v>3</v>
      </c>
      <c r="S2" s="29" t="str">
        <f t="shared" ref="S2:S33" si="2">VLOOKUP(J2,$W$8:$AG$27,3,FALSE)</f>
        <v>召唤出场时，为主角回复X%最大生命值。</v>
      </c>
      <c r="T2" s="115" t="str">
        <f>IFERROR(REPLACE(S2,FIND("X",S2),LEN("X"),IF(M2=1,ROUNDDOWN(K2/VLOOKUP(J2,$W$8:$AH$27,$AH$6,FALSE)*100,2),ROUNDUP(K2/VLOOKUP(J2,$W$8:$AH$27,$AH$6,FALSE),2))),S2)</f>
        <v>召唤出场时，为主角回复8.57%最大生命值。</v>
      </c>
      <c r="Z2">
        <f>[1]各种公式!C11</f>
        <v>0</v>
      </c>
      <c r="AA2">
        <f>[1]各种公式!D11</f>
        <v>0</v>
      </c>
      <c r="AB2">
        <f>[1]各种公式!E11</f>
        <v>0</v>
      </c>
      <c r="AC2">
        <f>[1]各种公式!F11</f>
        <v>50000</v>
      </c>
      <c r="AD2">
        <f>[1]各种公式!G11</f>
        <v>50000</v>
      </c>
      <c r="AE2">
        <f>[1]各种公式!H11</f>
        <v>50000</v>
      </c>
      <c r="AF2">
        <f>[1]各种公式!I11</f>
        <v>50000</v>
      </c>
      <c r="AG2">
        <f>[1]各种公式!J11</f>
        <v>50000</v>
      </c>
      <c r="AH2">
        <f>[1]各种公式!K11</f>
        <v>20000</v>
      </c>
      <c r="AI2">
        <f>[1]各种公式!L11</f>
        <v>20000</v>
      </c>
      <c r="AJ2">
        <f>[1]各种公式!M11</f>
        <v>10000</v>
      </c>
      <c r="AK2">
        <v>20000</v>
      </c>
      <c r="AL2">
        <f>[1]各种公式!O11</f>
        <v>20000</v>
      </c>
    </row>
    <row r="3" spans="1:38" ht="14.45" customHeight="1">
      <c r="A3" s="41">
        <v>9602201</v>
      </c>
      <c r="B3" s="30" t="s">
        <v>398</v>
      </c>
      <c r="C3" s="75" t="str">
        <f t="shared" ref="C3:C74" si="3">IF(F3=0,IFERROR(REPLACE(T3,FIND("Y",T3),LEN("Y"),ROUNDUP(L3,2)),T3),IF(F3=0,"","永久增加主角"&amp;IF(I3&lt;1,ROUNDUP(I3*100,2)&amp;"%",ROUNDUP(I3,0))&amp;G3&amp;",")&amp;IFERROR(REPLACE(T3,FIND("Y",T3),LEN("Y"),ROUNDUP(L3,2)),T3))</f>
        <v>召唤出场时，为主角增加生命最大值2857.15，持续15.72秒。</v>
      </c>
      <c r="D3" s="6">
        <v>1</v>
      </c>
      <c r="E3" s="29" t="s">
        <v>256</v>
      </c>
      <c r="F3" s="51">
        <f t="shared" si="0"/>
        <v>0</v>
      </c>
      <c r="G3" s="76" t="str">
        <f t="shared" ref="G3:G66" si="4">VLOOKUP(O3,$W$32:$Z$50,4,FALSE)</f>
        <v>无属性</v>
      </c>
      <c r="H3" s="51">
        <f t="shared" ref="H3:H66" si="5">VLOOKUP(O3,$W$32:$AC$50,5,FALSE)*D3</f>
        <v>0</v>
      </c>
      <c r="I3" s="76">
        <f t="shared" ref="I3:I66" si="6">IF(VLOOKUP(O3,$W$32:$AF$50,$AC$30,FALSE)=0,H3,H3/VLOOKUP(O3,$W$32:$AF$50,$AD$30,FALSE))</f>
        <v>0</v>
      </c>
      <c r="J3" s="77">
        <f t="shared" ref="J3:J66" si="7">VLOOKUP(O3,$W$32:$Y$50,3,FALSE)</f>
        <v>9</v>
      </c>
      <c r="K3" s="63">
        <f>VLOOKUP(J3,$W$8:$AG$25,$AA$6,FALSE)+VLOOKUP(J3,$W$8:$AG$25,$AC$6,FALSE)*D3</f>
        <v>2857.1428571428573</v>
      </c>
      <c r="L3" s="53">
        <f>VLOOKUP(J3,$W$8:$AG$25,$AD$6,FALSE)+VLOOKUP(J3,$W$8:$AG$25,$AF$6,FALSE)*D3</f>
        <v>15.714285714285714</v>
      </c>
      <c r="M3" s="29">
        <f>VLOOKUP(J3,$W$8:$AG$25,$Z$6,FALSE)</f>
        <v>0</v>
      </c>
      <c r="N3" s="75">
        <v>0</v>
      </c>
      <c r="O3" s="82" t="str">
        <f>VLOOKUP(INT(A3/100)*100+1,CHOOSE({1,2},D_马仔表!$J$2:$J$20,D_马仔表!$B$2:$B$20),2,FALSE)</f>
        <v>蟹仔</v>
      </c>
      <c r="P3" s="81">
        <f>VLOOKUP(O3,D_马仔表!$B$2:$W$20,3,FALSE)</f>
        <v>0</v>
      </c>
      <c r="Q3" s="39">
        <f>IFERROR(VLOOKUP(R3,CHOOSE({1,2},技能辅助表!$B$3:$B$83,技能辅助表!$A$3:$A$82),2,FALSE),0)</f>
        <v>24</v>
      </c>
      <c r="R3" s="39">
        <f t="shared" si="1"/>
        <v>3</v>
      </c>
      <c r="S3" s="29" t="str">
        <f t="shared" si="2"/>
        <v>召唤出场时，为主角增加生命最大值X，持续Y秒。</v>
      </c>
      <c r="T3" s="115" t="str">
        <f t="shared" ref="T3:T33" si="8">IFERROR(REPLACE(S3,FIND("X",S3),LEN("X"),IF(M3=1,ROUNDDOWN(K3/VLOOKUP(J3,$W$8:$AH$27,$AH$6,FALSE)*100,2),ROUNDUP(K3/VLOOKUP(J3,$W$8:$AH$27,$AH$6,FALSE),2))),S3)</f>
        <v>召唤出场时，为主角增加生命最大值2857.15，持续Y秒。</v>
      </c>
      <c r="Z3" t="str">
        <f>[1]各种公式!C12</f>
        <v>生命</v>
      </c>
      <c r="AA3" t="str">
        <f>[1]各种公式!D12</f>
        <v>攻击</v>
      </c>
      <c r="AB3" t="str">
        <f>[1]各种公式!E12</f>
        <v>防御</v>
      </c>
      <c r="AC3" t="str">
        <f>[1]各种公式!F12</f>
        <v>闪避值</v>
      </c>
      <c r="AD3" t="str">
        <f>[1]各种公式!G12</f>
        <v>命中值</v>
      </c>
      <c r="AE3" t="str">
        <f>[1]各种公式!H12</f>
        <v>暴击值</v>
      </c>
      <c r="AF3" t="str">
        <f>[1]各种公式!I12</f>
        <v>暴击倍数</v>
      </c>
      <c r="AG3" t="str">
        <f>[1]各种公式!J12</f>
        <v>韧性值</v>
      </c>
      <c r="AH3" t="str">
        <f>[1]各种公式!K12</f>
        <v>伤害减免</v>
      </c>
      <c r="AI3" t="str">
        <f>[1]各种公式!L12</f>
        <v>伤害加深</v>
      </c>
      <c r="AJ3" t="str">
        <f>[1]各种公式!M12</f>
        <v>生命加成</v>
      </c>
      <c r="AK3" t="str">
        <f>[1]各种公式!N12</f>
        <v>攻击加成</v>
      </c>
      <c r="AL3" t="str">
        <f>[1]各种公式!O12</f>
        <v>防御加成</v>
      </c>
    </row>
    <row r="4" spans="1:38" ht="14.45" customHeight="1">
      <c r="A4" s="41">
        <v>9603201</v>
      </c>
      <c r="B4" s="30" t="s">
        <v>415</v>
      </c>
      <c r="C4" s="75" t="str">
        <f t="shared" si="3"/>
        <v>召唤出场时，为主角增加攻击力371.43，持续15.72秒。</v>
      </c>
      <c r="D4" s="6">
        <v>1</v>
      </c>
      <c r="E4" s="29" t="s">
        <v>257</v>
      </c>
      <c r="F4" s="51">
        <f t="shared" si="0"/>
        <v>0</v>
      </c>
      <c r="G4" s="76" t="str">
        <f t="shared" si="4"/>
        <v>无属性</v>
      </c>
      <c r="H4" s="51">
        <f t="shared" si="5"/>
        <v>0</v>
      </c>
      <c r="I4" s="76">
        <f t="shared" si="6"/>
        <v>0</v>
      </c>
      <c r="J4" s="77">
        <f t="shared" si="7"/>
        <v>10</v>
      </c>
      <c r="K4" s="63">
        <f>VLOOKUP(J4,$W$8:$AG$25,$AA$6,FALSE)+VLOOKUP(J4,$W$8:$AG$25,$AC$6,FALSE)*D4</f>
        <v>371.42857142857144</v>
      </c>
      <c r="L4" s="53">
        <f>VLOOKUP(J4,$W$8:$AG$25,$AD$6,FALSE)+VLOOKUP(J4,$W$8:$AG$25,$AF$6,FALSE)*D4</f>
        <v>15.714285714285714</v>
      </c>
      <c r="M4" s="29">
        <f>VLOOKUP(J4,$W$8:$AG$25,$Z$6,FALSE)</f>
        <v>0</v>
      </c>
      <c r="N4" s="75">
        <v>0</v>
      </c>
      <c r="O4" s="82" t="str">
        <f>VLOOKUP(INT(A4/100)*100+1,CHOOSE({1,2},D_马仔表!$J$2:$J$20,D_马仔表!$B$2:$B$20),2,FALSE)</f>
        <v>比利</v>
      </c>
      <c r="P4" s="81">
        <f>VLOOKUP(O4,D_马仔表!$B$2:$W$20,3,FALSE)</f>
        <v>0</v>
      </c>
      <c r="Q4" s="39">
        <f>IFERROR(VLOOKUP(R4,CHOOSE({1,2},技能辅助表!$B$3:$B$83,技能辅助表!$A$3:$A$82),2,FALSE),0)</f>
        <v>24</v>
      </c>
      <c r="R4" s="39">
        <f t="shared" si="1"/>
        <v>3</v>
      </c>
      <c r="S4" s="29" t="str">
        <f t="shared" si="2"/>
        <v>召唤出场时，为主角增加攻击力X，持续Y秒。</v>
      </c>
      <c r="T4" s="115" t="str">
        <f t="shared" si="8"/>
        <v>召唤出场时，为主角增加攻击力371.43，持续Y秒。</v>
      </c>
      <c r="Z4">
        <f>[1]各种公式!C13</f>
        <v>0.04</v>
      </c>
      <c r="AA4">
        <f>[1]各种公式!D13</f>
        <v>1</v>
      </c>
      <c r="AB4">
        <f>[1]各种公式!E13</f>
        <v>1</v>
      </c>
      <c r="AC4">
        <f>[1]各种公式!F13</f>
        <v>0.34</v>
      </c>
      <c r="AD4">
        <f>[1]各种公式!G13</f>
        <v>0.34</v>
      </c>
      <c r="AE4">
        <f>[1]各种公式!H13</f>
        <v>0.18</v>
      </c>
      <c r="AF4">
        <f>[1]各种公式!I13</f>
        <v>0.12</v>
      </c>
      <c r="AG4">
        <f>[1]各种公式!J13</f>
        <v>0.18</v>
      </c>
      <c r="AH4">
        <f>[1]各种公式!K13</f>
        <v>0.3</v>
      </c>
      <c r="AI4">
        <f>[1]各种公式!L13</f>
        <v>0.3</v>
      </c>
      <c r="AJ4">
        <f>[1]各种公式!M13</f>
        <v>0.4</v>
      </c>
      <c r="AK4">
        <f>[1]各种公式!N13</f>
        <v>0.36</v>
      </c>
      <c r="AL4">
        <f>[1]各种公式!O13</f>
        <v>0.24</v>
      </c>
    </row>
    <row r="5" spans="1:38" ht="14.45" customHeight="1">
      <c r="A5" s="41">
        <v>9604201</v>
      </c>
      <c r="B5" s="30" t="s">
        <v>399</v>
      </c>
      <c r="C5" s="75" t="str">
        <f t="shared" si="3"/>
        <v>召唤出场时，为主角增加暴击值0.05，持续15.72秒。</v>
      </c>
      <c r="D5" s="6">
        <v>1</v>
      </c>
      <c r="E5" s="29" t="s">
        <v>258</v>
      </c>
      <c r="F5" s="51">
        <f t="shared" si="0"/>
        <v>0</v>
      </c>
      <c r="G5" s="76" t="str">
        <f t="shared" si="4"/>
        <v>无属性</v>
      </c>
      <c r="H5" s="51">
        <f t="shared" si="5"/>
        <v>0</v>
      </c>
      <c r="I5" s="76">
        <f t="shared" si="6"/>
        <v>0</v>
      </c>
      <c r="J5" s="77">
        <f t="shared" si="7"/>
        <v>8</v>
      </c>
      <c r="K5" s="63">
        <f t="shared" ref="K5:K36" si="9">VLOOKUP(J5,$W$8:$AG$27,$AA$6,FALSE)+VLOOKUP(J5,$W$8:$AG$27,$AC$6,FALSE)*D5</f>
        <v>7142.857142857144</v>
      </c>
      <c r="L5" s="53">
        <f t="shared" ref="L5:L36" si="10">VLOOKUP(J5,$W$8:$AG$27,$AD$6,FALSE)+VLOOKUP(J5,$W$8:$AG$27,$AF$6,FALSE)*D5</f>
        <v>15.714285714285714</v>
      </c>
      <c r="M5" s="29">
        <f t="shared" ref="M5:M36" si="11">VLOOKUP(J5,$W$8:$AG$27,$Z$6,FALSE)</f>
        <v>0</v>
      </c>
      <c r="N5" s="75">
        <v>0</v>
      </c>
      <c r="O5" s="82" t="str">
        <f>VLOOKUP(INT(A5/100)*100+1,CHOOSE({1,2},D_马仔表!$J$2:$J$20,D_马仔表!$B$2:$B$20),2,FALSE)</f>
        <v>黎九</v>
      </c>
      <c r="P5" s="81">
        <f>VLOOKUP(O5,D_马仔表!$B$2:$W$20,3,FALSE)</f>
        <v>0</v>
      </c>
      <c r="Q5" s="39">
        <f>IFERROR(VLOOKUP(R5,CHOOSE({1,2},技能辅助表!$B$3:$B$83,技能辅助表!$A$3:$A$82),2,FALSE),0)</f>
        <v>24</v>
      </c>
      <c r="R5" s="39">
        <f t="shared" si="1"/>
        <v>3</v>
      </c>
      <c r="S5" s="29" t="str">
        <f t="shared" si="2"/>
        <v>召唤出场时，为主角增加暴击值X，持续Y秒。</v>
      </c>
      <c r="T5" s="115" t="str">
        <f t="shared" si="8"/>
        <v>召唤出场时，为主角增加暴击值0.05，持续Y秒。</v>
      </c>
    </row>
    <row r="6" spans="1:38" ht="14.45" customHeight="1">
      <c r="A6" s="41">
        <v>9605201</v>
      </c>
      <c r="B6" s="30" t="s">
        <v>416</v>
      </c>
      <c r="C6" s="75" t="str">
        <f t="shared" si="3"/>
        <v>召唤出场时，为主角增加防御力228.58，持续15.72秒。</v>
      </c>
      <c r="D6" s="6">
        <v>1</v>
      </c>
      <c r="E6" s="29" t="s">
        <v>259</v>
      </c>
      <c r="F6" s="51">
        <f t="shared" si="0"/>
        <v>0</v>
      </c>
      <c r="G6" s="76" t="str">
        <f t="shared" si="4"/>
        <v>无属性</v>
      </c>
      <c r="H6" s="51">
        <f t="shared" si="5"/>
        <v>0</v>
      </c>
      <c r="I6" s="76">
        <f t="shared" si="6"/>
        <v>0</v>
      </c>
      <c r="J6" s="77">
        <f t="shared" si="7"/>
        <v>11</v>
      </c>
      <c r="K6" s="63">
        <f t="shared" si="9"/>
        <v>228.57142857142858</v>
      </c>
      <c r="L6" s="53">
        <f t="shared" si="10"/>
        <v>15.714285714285714</v>
      </c>
      <c r="M6" s="29">
        <f t="shared" si="11"/>
        <v>0</v>
      </c>
      <c r="N6" s="75">
        <v>0</v>
      </c>
      <c r="O6" s="82" t="str">
        <f>VLOOKUP(INT(A6/100)*100+1,CHOOSE({1,2},D_马仔表!$J$2:$J$20,D_马仔表!$B$2:$B$20),2,FALSE)</f>
        <v>黑古</v>
      </c>
      <c r="P6" s="81">
        <f>VLOOKUP(O6,D_马仔表!$B$2:$W$20,3,FALSE)</f>
        <v>0</v>
      </c>
      <c r="Q6" s="39">
        <f>IFERROR(VLOOKUP(R6,CHOOSE({1,2},技能辅助表!$B$3:$B$83,技能辅助表!$A$3:$A$82),2,FALSE),0)</f>
        <v>24</v>
      </c>
      <c r="R6" s="39">
        <f t="shared" si="1"/>
        <v>3</v>
      </c>
      <c r="S6" s="29" t="str">
        <f t="shared" si="2"/>
        <v>召唤出场时，为主角增加防御力X，持续Y秒。</v>
      </c>
      <c r="T6" s="115" t="str">
        <f t="shared" si="8"/>
        <v>召唤出场时，为主角增加防御力228.58，持续Y秒。</v>
      </c>
      <c r="W6">
        <v>1</v>
      </c>
      <c r="X6">
        <v>2</v>
      </c>
      <c r="Y6">
        <v>3</v>
      </c>
      <c r="Z6">
        <v>4</v>
      </c>
      <c r="AA6">
        <v>5</v>
      </c>
      <c r="AB6">
        <v>6</v>
      </c>
      <c r="AC6">
        <v>7</v>
      </c>
      <c r="AD6">
        <v>8</v>
      </c>
      <c r="AE6">
        <v>9</v>
      </c>
      <c r="AF6">
        <v>10</v>
      </c>
      <c r="AG6">
        <v>11</v>
      </c>
      <c r="AH6">
        <v>12</v>
      </c>
    </row>
    <row r="7" spans="1:38" ht="14.45" customHeight="1">
      <c r="A7" s="41">
        <v>9606201</v>
      </c>
      <c r="B7" s="30" t="s">
        <v>400</v>
      </c>
      <c r="C7" s="75" t="str">
        <f t="shared" si="3"/>
        <v>召唤出场时，为主角增加加伤百分比4.28%，持续15.72秒。</v>
      </c>
      <c r="D7" s="6">
        <v>1</v>
      </c>
      <c r="E7" s="29" t="s">
        <v>238</v>
      </c>
      <c r="F7" s="51">
        <f t="shared" si="0"/>
        <v>0</v>
      </c>
      <c r="G7" s="76" t="str">
        <f t="shared" si="4"/>
        <v>无属性</v>
      </c>
      <c r="H7" s="51">
        <f t="shared" si="5"/>
        <v>0</v>
      </c>
      <c r="I7" s="76">
        <f t="shared" si="6"/>
        <v>0</v>
      </c>
      <c r="J7" s="77">
        <f t="shared" si="7"/>
        <v>12</v>
      </c>
      <c r="K7" s="63">
        <f t="shared" si="9"/>
        <v>2857.1428571428573</v>
      </c>
      <c r="L7" s="53">
        <f t="shared" si="10"/>
        <v>15.714285714285714</v>
      </c>
      <c r="M7" s="29">
        <f t="shared" si="11"/>
        <v>1</v>
      </c>
      <c r="N7" s="75">
        <v>0</v>
      </c>
      <c r="O7" s="82" t="str">
        <f>VLOOKUP(INT(A7/100)*100+1,CHOOSE({1,2},D_马仔表!$J$2:$J$20,D_马仔表!$B$2:$B$20),2,FALSE)</f>
        <v>靓坤</v>
      </c>
      <c r="P7" s="81">
        <f>VLOOKUP(O7,D_马仔表!$B$2:$W$20,3,FALSE)</f>
        <v>1</v>
      </c>
      <c r="Q7" s="39">
        <f>IFERROR(VLOOKUP(R7,CHOOSE({1,2},技能辅助表!$B$3:$B$83,技能辅助表!$A$3:$A$82),2,FALSE),0)</f>
        <v>24</v>
      </c>
      <c r="R7" s="39">
        <f t="shared" si="1"/>
        <v>3</v>
      </c>
      <c r="S7" s="29" t="str">
        <f t="shared" si="2"/>
        <v>召唤出场时，为主角增加加伤百分比X%，持续Y秒。</v>
      </c>
      <c r="T7" s="115" t="str">
        <f t="shared" si="8"/>
        <v>召唤出场时，为主角增加加伤百分比4.28%，持续Y秒。</v>
      </c>
      <c r="W7" s="66" t="s">
        <v>144</v>
      </c>
      <c r="X7" s="66" t="s">
        <v>143</v>
      </c>
      <c r="Y7" s="66" t="s">
        <v>304</v>
      </c>
      <c r="Z7" s="66" t="s">
        <v>357</v>
      </c>
      <c r="AA7" s="66" t="s">
        <v>333</v>
      </c>
      <c r="AB7" s="66" t="s">
        <v>334</v>
      </c>
      <c r="AC7" s="66" t="s">
        <v>335</v>
      </c>
      <c r="AD7" s="66" t="s">
        <v>331</v>
      </c>
      <c r="AE7" s="66" t="s">
        <v>332</v>
      </c>
      <c r="AF7" s="66" t="s">
        <v>336</v>
      </c>
      <c r="AG7" s="66" t="s">
        <v>330</v>
      </c>
      <c r="AH7" s="66" t="s">
        <v>356</v>
      </c>
      <c r="AI7" s="66" t="s">
        <v>377</v>
      </c>
    </row>
    <row r="8" spans="1:38" ht="14.45" customHeight="1">
      <c r="A8" s="41">
        <v>9607201</v>
      </c>
      <c r="B8" s="30" t="s">
        <v>419</v>
      </c>
      <c r="C8" s="75" t="str">
        <f t="shared" si="3"/>
        <v>召唤出场时，减少场上所有敌人命中值8.57%，持续15.72秒。</v>
      </c>
      <c r="D8" s="6">
        <v>1</v>
      </c>
      <c r="E8" s="29" t="s">
        <v>239</v>
      </c>
      <c r="F8" s="51">
        <f t="shared" si="0"/>
        <v>0</v>
      </c>
      <c r="G8" s="76" t="str">
        <f t="shared" si="4"/>
        <v>无属性</v>
      </c>
      <c r="H8" s="51">
        <f t="shared" si="5"/>
        <v>0</v>
      </c>
      <c r="I8" s="76">
        <f t="shared" si="6"/>
        <v>0</v>
      </c>
      <c r="J8" s="77">
        <f t="shared" si="7"/>
        <v>17</v>
      </c>
      <c r="K8" s="63">
        <f t="shared" si="9"/>
        <v>8.5714285714285715E-2</v>
      </c>
      <c r="L8" s="53">
        <f t="shared" si="10"/>
        <v>15.714285714285714</v>
      </c>
      <c r="M8" s="29">
        <f t="shared" si="11"/>
        <v>1</v>
      </c>
      <c r="N8" s="75">
        <v>0</v>
      </c>
      <c r="O8" s="82" t="str">
        <f>VLOOKUP(INT(A8/100)*100+1,CHOOSE({1,2},D_马仔表!$J$2:$J$20,D_马仔表!$B$2:$B$20),2,FALSE)</f>
        <v>雷复轰</v>
      </c>
      <c r="P8" s="81">
        <f>VLOOKUP(O8,D_马仔表!$B$2:$W$20,3,FALSE)</f>
        <v>1</v>
      </c>
      <c r="Q8" s="39">
        <f>IFERROR(VLOOKUP(R8,CHOOSE({1,2},技能辅助表!$B$3:$B$83,技能辅助表!$A$3:$A$82),2,FALSE),0)</f>
        <v>24</v>
      </c>
      <c r="R8" s="39">
        <f t="shared" si="1"/>
        <v>3</v>
      </c>
      <c r="S8" s="29" t="str">
        <f t="shared" si="2"/>
        <v>召唤出场时，减少场上所有敌人命中值X%，持续Y秒。</v>
      </c>
      <c r="T8" s="115" t="str">
        <f t="shared" si="8"/>
        <v>召唤出场时，减少场上所有敌人命中值8.57%，持续Y秒。</v>
      </c>
      <c r="W8" s="29">
        <f>[4]D_BUFF表!A2</f>
        <v>1</v>
      </c>
      <c r="X8" s="72" t="str">
        <f>[4]D_BUFF表!D2</f>
        <v>无敌</v>
      </c>
      <c r="Y8" s="6" t="s">
        <v>614</v>
      </c>
      <c r="Z8" s="6">
        <f>[4]D_BUFF表!E2</f>
        <v>0</v>
      </c>
      <c r="AA8" s="87">
        <f>AB8/AG8</f>
        <v>0</v>
      </c>
      <c r="AB8" s="73">
        <v>0</v>
      </c>
      <c r="AC8" s="68">
        <f>AB8/AG8</f>
        <v>0</v>
      </c>
      <c r="AD8" s="68">
        <v>5</v>
      </c>
      <c r="AE8" s="68">
        <v>10</v>
      </c>
      <c r="AF8" s="68">
        <f>(AE8-AD8)/AG8</f>
        <v>0.7142857142857143</v>
      </c>
      <c r="AG8" s="68">
        <v>7</v>
      </c>
      <c r="AH8">
        <v>1</v>
      </c>
    </row>
    <row r="9" spans="1:38" ht="14.45" customHeight="1">
      <c r="A9" s="41">
        <v>9608201</v>
      </c>
      <c r="B9" s="30" t="s">
        <v>417</v>
      </c>
      <c r="C9" s="75" t="str">
        <f t="shared" si="3"/>
        <v>召唤出场时，为主角增加减伤百分比4.28%，持续15.72秒。</v>
      </c>
      <c r="D9" s="6">
        <v>1</v>
      </c>
      <c r="E9" s="29" t="s">
        <v>240</v>
      </c>
      <c r="F9" s="51">
        <f t="shared" si="0"/>
        <v>0</v>
      </c>
      <c r="G9" s="76" t="str">
        <f t="shared" si="4"/>
        <v>无属性</v>
      </c>
      <c r="H9" s="51">
        <f>VLOOKUP(O9,$W$32:$AC$50,5,FALSE)*D9</f>
        <v>0</v>
      </c>
      <c r="I9" s="76">
        <f t="shared" si="6"/>
        <v>0</v>
      </c>
      <c r="J9" s="77">
        <f t="shared" si="7"/>
        <v>13</v>
      </c>
      <c r="K9" s="63">
        <f t="shared" si="9"/>
        <v>2857.1428571428573</v>
      </c>
      <c r="L9" s="53">
        <f t="shared" si="10"/>
        <v>15.714285714285714</v>
      </c>
      <c r="M9" s="29">
        <f t="shared" si="11"/>
        <v>1</v>
      </c>
      <c r="N9" s="75">
        <v>0</v>
      </c>
      <c r="O9" s="82" t="str">
        <f>VLOOKUP(INT(A9/100)*100+1,CHOOSE({1,2},D_马仔表!$J$2:$J$20,D_马仔表!$B$2:$B$20),2,FALSE)</f>
        <v>肥仔</v>
      </c>
      <c r="P9" s="81">
        <f>VLOOKUP(O9,D_马仔表!$B$2:$W$20,3,FALSE)</f>
        <v>1</v>
      </c>
      <c r="Q9" s="39">
        <f>IFERROR(VLOOKUP(R9,CHOOSE({1,2},技能辅助表!$B$3:$B$83,技能辅助表!$A$3:$A$82),2,FALSE),0)</f>
        <v>24</v>
      </c>
      <c r="R9" s="39">
        <f t="shared" si="1"/>
        <v>3</v>
      </c>
      <c r="S9" s="29" t="str">
        <f t="shared" si="2"/>
        <v>召唤出场时，为主角增加减伤百分比X%，持续Y秒。</v>
      </c>
      <c r="T9" s="115" t="str">
        <f>IFERROR(REPLACE(S9,FIND("X",S9),LEN("X"),IF(M9=1,ROUNDDOWN(K9/VLOOKUP(J9,$W$8:$AH$27,$AH$6,FALSE)*100,2),ROUNDUP(K9/VLOOKUP(J9,$W$8:$AH$27,$AH$6,FALSE),2))),S9)</f>
        <v>召唤出场时，为主角增加减伤百分比4.28%，持续Y秒。</v>
      </c>
      <c r="W9" s="29">
        <f>[4]D_BUFF表!A3</f>
        <v>2</v>
      </c>
      <c r="X9" s="72" t="str">
        <f>[4]D_BUFF表!D3</f>
        <v>霸体</v>
      </c>
      <c r="Y9" s="6" t="s">
        <v>615</v>
      </c>
      <c r="Z9" s="6">
        <f>[4]D_BUFF表!E3</f>
        <v>0</v>
      </c>
      <c r="AA9" s="87">
        <v>80</v>
      </c>
      <c r="AB9" s="6">
        <v>80</v>
      </c>
      <c r="AC9" s="68">
        <v>0</v>
      </c>
      <c r="AD9" s="6">
        <v>15</v>
      </c>
      <c r="AE9" s="6">
        <v>25</v>
      </c>
      <c r="AF9" s="6">
        <f t="shared" ref="AF9:AF25" si="12">(AE9-AD9)/AG9</f>
        <v>1.4285714285714286</v>
      </c>
      <c r="AG9" s="6">
        <v>7</v>
      </c>
      <c r="AH9">
        <v>1</v>
      </c>
    </row>
    <row r="10" spans="1:38" ht="14.45" customHeight="1">
      <c r="A10" s="41">
        <v>9609201</v>
      </c>
      <c r="B10" s="30" t="s">
        <v>418</v>
      </c>
      <c r="C10" s="75" t="str">
        <f t="shared" si="3"/>
        <v>召唤出场时，为主角增加生命最大值百分比2.85%,持续15.72秒。</v>
      </c>
      <c r="D10" s="6">
        <v>1</v>
      </c>
      <c r="E10" s="29" t="s">
        <v>241</v>
      </c>
      <c r="F10" s="51">
        <f t="shared" si="0"/>
        <v>0</v>
      </c>
      <c r="G10" s="76" t="str">
        <f t="shared" si="4"/>
        <v>无属性</v>
      </c>
      <c r="H10" s="51">
        <f t="shared" si="5"/>
        <v>0</v>
      </c>
      <c r="I10" s="76">
        <f t="shared" si="6"/>
        <v>0</v>
      </c>
      <c r="J10" s="77">
        <f t="shared" si="7"/>
        <v>4</v>
      </c>
      <c r="K10" s="63">
        <f t="shared" si="9"/>
        <v>2.8571428571428574E-2</v>
      </c>
      <c r="L10" s="53">
        <f t="shared" si="10"/>
        <v>15.714285714285714</v>
      </c>
      <c r="M10" s="29">
        <f t="shared" si="11"/>
        <v>1</v>
      </c>
      <c r="N10" s="75">
        <v>0</v>
      </c>
      <c r="O10" s="82" t="str">
        <f>VLOOKUP(INT(A10/100)*100+1,CHOOSE({1,2},D_马仔表!$J$2:$J$20,D_马仔表!$B$2:$B$20),2,FALSE)</f>
        <v>司徒浩南</v>
      </c>
      <c r="P10" s="81">
        <f>VLOOKUP(O10,D_马仔表!$B$2:$W$20,3,FALSE)</f>
        <v>2</v>
      </c>
      <c r="Q10" s="39">
        <f>IFERROR(VLOOKUP(R10,CHOOSE({1,2},技能辅助表!$B$3:$B$83,技能辅助表!$A$3:$A$82),2,FALSE),0)</f>
        <v>24</v>
      </c>
      <c r="R10" s="39">
        <f t="shared" si="1"/>
        <v>3</v>
      </c>
      <c r="S10" s="29" t="str">
        <f t="shared" si="2"/>
        <v>召唤出场时，为主角增加生命最大值百分比X%,持续Y秒。</v>
      </c>
      <c r="T10" s="115" t="str">
        <f>IFERROR(REPLACE(S10,FIND("X",S10),LEN("X"),IF(M10=1,ROUNDDOWN(K10/VLOOKUP(J10,$W$8:$AH$27,$AH$6,FALSE)*100,2),ROUNDUP(K10/VLOOKUP(J10,$W$8:$AH$27,$AH$6,FALSE),2))),S10)</f>
        <v>召唤出场时，为主角增加生命最大值百分比2.85%,持续Y秒。</v>
      </c>
      <c r="W10" s="29">
        <f>[4]D_BUFF表!A4</f>
        <v>3</v>
      </c>
      <c r="X10" s="72" t="str">
        <f>[4]D_BUFF表!D4</f>
        <v>恢复生命百分比</v>
      </c>
      <c r="Y10" s="6" t="s">
        <v>616</v>
      </c>
      <c r="Z10" s="6">
        <f>[4]D_BUFF表!E4</f>
        <v>1</v>
      </c>
      <c r="AA10" s="87">
        <f t="shared" ref="AA10:AA27" si="13">AB10/AG10</f>
        <v>4.2857142857142858E-2</v>
      </c>
      <c r="AB10" s="60">
        <v>0.3</v>
      </c>
      <c r="AC10" s="68">
        <f t="shared" ref="AC10:AC27" si="14">AB10/AG10</f>
        <v>4.2857142857142858E-2</v>
      </c>
      <c r="AD10" s="6">
        <v>0</v>
      </c>
      <c r="AE10" s="6"/>
      <c r="AF10" s="6">
        <f t="shared" si="12"/>
        <v>0</v>
      </c>
      <c r="AG10" s="6">
        <v>7</v>
      </c>
      <c r="AH10">
        <v>1</v>
      </c>
    </row>
    <row r="11" spans="1:38" ht="14.45" customHeight="1">
      <c r="A11" s="41">
        <v>9610201</v>
      </c>
      <c r="B11" s="30" t="s">
        <v>585</v>
      </c>
      <c r="C11" s="75" t="str">
        <f t="shared" si="3"/>
        <v>召唤出场时，为主角增加攻击力百分比2.85%,持续15.72秒。</v>
      </c>
      <c r="D11" s="6">
        <v>1</v>
      </c>
      <c r="E11" s="29" t="s">
        <v>587</v>
      </c>
      <c r="F11" s="51">
        <f t="shared" si="0"/>
        <v>0</v>
      </c>
      <c r="G11" s="76" t="str">
        <f t="shared" si="4"/>
        <v>无属性</v>
      </c>
      <c r="H11" s="51">
        <f t="shared" si="5"/>
        <v>0</v>
      </c>
      <c r="I11" s="76">
        <f>IF(VLOOKUP(O11,$W$32:$AF$50,$AC$30,FALSE)=0,H11,H11/VLOOKUP(O11,$W$32:$AF$50,$AD$30,FALSE))</f>
        <v>0</v>
      </c>
      <c r="J11" s="77">
        <f t="shared" si="7"/>
        <v>5</v>
      </c>
      <c r="K11" s="63">
        <f t="shared" si="9"/>
        <v>2.8571428571428574E-2</v>
      </c>
      <c r="L11" s="53">
        <f t="shared" si="10"/>
        <v>15.714285714285714</v>
      </c>
      <c r="M11" s="29">
        <f t="shared" si="11"/>
        <v>1</v>
      </c>
      <c r="N11" s="75">
        <v>0</v>
      </c>
      <c r="O11" s="82" t="str">
        <f>VLOOKUP(INT(A11/100)*100+1,CHOOSE({1,2},D_马仔表!$J$2:$J$20,D_马仔表!$B$2:$B$20),2,FALSE)</f>
        <v>乌鸦</v>
      </c>
      <c r="P11" s="81">
        <f>VLOOKUP(O11,D_马仔表!$B$2:$W$20,3,FALSE)</f>
        <v>2</v>
      </c>
      <c r="Q11" s="39">
        <f>IFERROR(VLOOKUP(R11,CHOOSE({1,2},技能辅助表!$B$3:$B$83,技能辅助表!$A$3:$A$82),2,FALSE),0)</f>
        <v>24</v>
      </c>
      <c r="R11" s="39">
        <f t="shared" si="1"/>
        <v>3</v>
      </c>
      <c r="S11" s="29" t="str">
        <f t="shared" si="2"/>
        <v>召唤出场时，为主角增加攻击力百分比X%,持续Y秒。</v>
      </c>
      <c r="T11" s="115" t="str">
        <f>IFERROR(REPLACE(S11,FIND("X",S11),LEN("X"),IF(M11=1,ROUNDDOWN(K11/VLOOKUP(J11,$W$8:$AH$27,$AH$6,FALSE)*100,2),ROUNDUP(K11/VLOOKUP(J11,$W$8:$AH$27,$AH$6,FALSE),2))),S11)</f>
        <v>召唤出场时，为主角增加攻击力百分比2.85%,持续Y秒。</v>
      </c>
      <c r="W11" s="29">
        <f>[4]D_BUFF表!A5</f>
        <v>4</v>
      </c>
      <c r="X11" s="72" t="str">
        <f>[4]D_BUFF表!D5</f>
        <v>增加生命值百分比</v>
      </c>
      <c r="Y11" s="6" t="s">
        <v>617</v>
      </c>
      <c r="Z11" s="6">
        <f>[4]D_BUFF表!E5</f>
        <v>1</v>
      </c>
      <c r="AA11" s="87">
        <f>AB11/AG11</f>
        <v>1.4285714285714287E-2</v>
      </c>
      <c r="AB11" s="60">
        <v>0.1</v>
      </c>
      <c r="AC11" s="68">
        <f t="shared" si="14"/>
        <v>1.4285714285714287E-2</v>
      </c>
      <c r="AD11" s="6">
        <v>15</v>
      </c>
      <c r="AE11" s="6">
        <v>20</v>
      </c>
      <c r="AF11" s="6">
        <f t="shared" si="12"/>
        <v>0.7142857142857143</v>
      </c>
      <c r="AG11" s="6">
        <v>7</v>
      </c>
      <c r="AH11">
        <v>1</v>
      </c>
    </row>
    <row r="12" spans="1:38" ht="14.45" customHeight="1">
      <c r="A12" s="41">
        <v>9611201</v>
      </c>
      <c r="B12" s="30" t="s">
        <v>401</v>
      </c>
      <c r="C12" s="75" t="str">
        <f t="shared" si="3"/>
        <v>召唤出场时，主角所有技能立刻全部CD完毕。</v>
      </c>
      <c r="D12" s="6">
        <v>1</v>
      </c>
      <c r="E12" s="29" t="s">
        <v>586</v>
      </c>
      <c r="F12" s="51">
        <f t="shared" si="0"/>
        <v>0</v>
      </c>
      <c r="G12" s="76" t="str">
        <f t="shared" si="4"/>
        <v>无属性</v>
      </c>
      <c r="H12" s="51">
        <f t="shared" si="5"/>
        <v>0</v>
      </c>
      <c r="I12" s="76">
        <f t="shared" si="6"/>
        <v>0</v>
      </c>
      <c r="J12" s="77">
        <f t="shared" si="7"/>
        <v>18</v>
      </c>
      <c r="K12" s="63">
        <f t="shared" si="9"/>
        <v>0</v>
      </c>
      <c r="L12" s="53">
        <f t="shared" si="10"/>
        <v>0</v>
      </c>
      <c r="M12" s="29">
        <f t="shared" si="11"/>
        <v>0</v>
      </c>
      <c r="N12" s="75">
        <v>0</v>
      </c>
      <c r="O12" s="82" t="str">
        <f>VLOOKUP(INT(A12/100)*100+1,CHOOSE({1,2},D_马仔表!$J$2:$J$20,D_马仔表!$B$2:$B$20),2,FALSE)</f>
        <v>赌王</v>
      </c>
      <c r="P12" s="81">
        <f>VLOOKUP(O12,D_马仔表!$B$2:$W$20,3,FALSE)</f>
        <v>2</v>
      </c>
      <c r="Q12" s="39">
        <f>IFERROR(VLOOKUP(R12,CHOOSE({1,2},技能辅助表!$B$3:$B$83,技能辅助表!$A$3:$A$82),2,FALSE),0)</f>
        <v>24</v>
      </c>
      <c r="R12" s="39">
        <f t="shared" si="1"/>
        <v>3</v>
      </c>
      <c r="S12" s="29" t="str">
        <f t="shared" si="2"/>
        <v>召唤出场时，主角所有技能立刻全部CD完毕。</v>
      </c>
      <c r="T12" s="115" t="str">
        <f t="shared" si="8"/>
        <v>召唤出场时，主角所有技能立刻全部CD完毕。</v>
      </c>
      <c r="W12" s="29">
        <f>[4]D_BUFF表!A6</f>
        <v>5</v>
      </c>
      <c r="X12" s="72" t="str">
        <f>[4]D_BUFF表!D6</f>
        <v>增加攻击力百分比</v>
      </c>
      <c r="Y12" s="6" t="s">
        <v>618</v>
      </c>
      <c r="Z12" s="6">
        <f>[4]D_BUFF表!E6</f>
        <v>1</v>
      </c>
      <c r="AA12" s="87">
        <f t="shared" si="13"/>
        <v>1.4285714285714287E-2</v>
      </c>
      <c r="AB12" s="60">
        <v>0.1</v>
      </c>
      <c r="AC12" s="68">
        <f t="shared" si="14"/>
        <v>1.4285714285714287E-2</v>
      </c>
      <c r="AD12" s="6">
        <v>15</v>
      </c>
      <c r="AE12" s="6">
        <v>20</v>
      </c>
      <c r="AF12" s="6">
        <f t="shared" si="12"/>
        <v>0.7142857142857143</v>
      </c>
      <c r="AG12" s="6">
        <v>7</v>
      </c>
      <c r="AH12">
        <v>1</v>
      </c>
    </row>
    <row r="13" spans="1:38" ht="14.45" customHeight="1">
      <c r="A13" s="41">
        <v>9612201</v>
      </c>
      <c r="B13" s="30" t="s">
        <v>420</v>
      </c>
      <c r="C13" s="75" t="str">
        <f t="shared" si="3"/>
        <v>召唤出场时，减少场上所有敌人攻击力2.85%，持续15.72秒。</v>
      </c>
      <c r="D13" s="6">
        <v>1</v>
      </c>
      <c r="E13" s="29" t="s">
        <v>242</v>
      </c>
      <c r="F13" s="51">
        <f t="shared" si="0"/>
        <v>0</v>
      </c>
      <c r="G13" s="76" t="str">
        <f t="shared" si="4"/>
        <v>无属性</v>
      </c>
      <c r="H13" s="51">
        <f t="shared" si="5"/>
        <v>0</v>
      </c>
      <c r="I13" s="76">
        <f t="shared" si="6"/>
        <v>0</v>
      </c>
      <c r="J13" s="77">
        <f t="shared" si="7"/>
        <v>15</v>
      </c>
      <c r="K13" s="63">
        <f t="shared" si="9"/>
        <v>2.8571428571428574E-2</v>
      </c>
      <c r="L13" s="53">
        <f t="shared" si="10"/>
        <v>15.714285714285714</v>
      </c>
      <c r="M13" s="29">
        <f t="shared" si="11"/>
        <v>1</v>
      </c>
      <c r="N13" s="75">
        <v>0</v>
      </c>
      <c r="O13" s="82" t="str">
        <f>VLOOKUP(INT(A13/100)*100+1,CHOOSE({1,2},D_马仔表!$J$2:$J$20,D_马仔表!$B$2:$B$20),2,FALSE)</f>
        <v>山下忠秀</v>
      </c>
      <c r="P13" s="81">
        <f>VLOOKUP(O13,D_马仔表!$B$2:$W$20,3,FALSE)</f>
        <v>2</v>
      </c>
      <c r="Q13" s="39">
        <f>IFERROR(VLOOKUP(R13,CHOOSE({1,2},技能辅助表!$B$3:$B$83,技能辅助表!$A$3:$A$82),2,FALSE),0)</f>
        <v>24</v>
      </c>
      <c r="R13" s="39">
        <f t="shared" si="1"/>
        <v>3</v>
      </c>
      <c r="S13" s="29" t="str">
        <f t="shared" si="2"/>
        <v>召唤出场时，减少场上所有敌人攻击力X%，持续Y秒。</v>
      </c>
      <c r="T13" s="115" t="str">
        <f t="shared" si="8"/>
        <v>召唤出场时，减少场上所有敌人攻击力2.85%，持续Y秒。</v>
      </c>
      <c r="W13" s="29">
        <f>[4]D_BUFF表!A7</f>
        <v>6</v>
      </c>
      <c r="X13" s="72" t="str">
        <f>[4]D_BUFF表!D7</f>
        <v>增加防御百分比</v>
      </c>
      <c r="Y13" s="6" t="s">
        <v>619</v>
      </c>
      <c r="Z13" s="6">
        <f>[4]D_BUFF表!E7</f>
        <v>1</v>
      </c>
      <c r="AA13" s="87">
        <f t="shared" si="13"/>
        <v>1.4285714285714287E-2</v>
      </c>
      <c r="AB13" s="60">
        <v>0.1</v>
      </c>
      <c r="AC13" s="68">
        <f t="shared" si="14"/>
        <v>1.4285714285714287E-2</v>
      </c>
      <c r="AD13" s="6">
        <v>0</v>
      </c>
      <c r="AE13" s="6">
        <v>0</v>
      </c>
      <c r="AF13" s="6">
        <f t="shared" si="12"/>
        <v>0</v>
      </c>
      <c r="AG13" s="6">
        <v>7</v>
      </c>
      <c r="AH13">
        <v>1</v>
      </c>
    </row>
    <row r="14" spans="1:38" ht="14.45" customHeight="1">
      <c r="A14" s="41">
        <v>9613201</v>
      </c>
      <c r="B14" s="30" t="s">
        <v>421</v>
      </c>
      <c r="C14" s="75" t="str">
        <f t="shared" si="3"/>
        <v>召唤出场时，减少场上所有敌人防御力2.85%，持续15.72秒。</v>
      </c>
      <c r="D14" s="6">
        <v>1</v>
      </c>
      <c r="E14" s="29" t="s">
        <v>243</v>
      </c>
      <c r="F14" s="51">
        <f t="shared" si="0"/>
        <v>0</v>
      </c>
      <c r="G14" s="76" t="str">
        <f t="shared" si="4"/>
        <v>无属性</v>
      </c>
      <c r="H14" s="51">
        <f t="shared" si="5"/>
        <v>0</v>
      </c>
      <c r="I14" s="76">
        <f t="shared" si="6"/>
        <v>0</v>
      </c>
      <c r="J14" s="77">
        <f t="shared" si="7"/>
        <v>16</v>
      </c>
      <c r="K14" s="63">
        <f t="shared" si="9"/>
        <v>2.8571428571428574E-2</v>
      </c>
      <c r="L14" s="53">
        <f t="shared" si="10"/>
        <v>15.714285714285714</v>
      </c>
      <c r="M14" s="29">
        <f t="shared" si="11"/>
        <v>1</v>
      </c>
      <c r="N14" s="75">
        <v>0</v>
      </c>
      <c r="O14" s="82" t="str">
        <f>VLOOKUP(INT(A14/100)*100+1,CHOOSE({1,2},D_马仔表!$J$2:$J$20,D_马仔表!$B$2:$B$20),2,FALSE)</f>
        <v>宫本一</v>
      </c>
      <c r="P14" s="81">
        <f>VLOOKUP(O14,D_马仔表!$B$2:$W$20,3,FALSE)</f>
        <v>2</v>
      </c>
      <c r="Q14" s="39">
        <f>IFERROR(VLOOKUP(R14,CHOOSE({1,2},技能辅助表!$B$3:$B$83,技能辅助表!$A$3:$A$82),2,FALSE),0)</f>
        <v>24</v>
      </c>
      <c r="R14" s="39">
        <f t="shared" si="1"/>
        <v>3</v>
      </c>
      <c r="S14" s="29" t="str">
        <f t="shared" si="2"/>
        <v>召唤出场时，减少场上所有敌人防御力X%，持续Y秒。</v>
      </c>
      <c r="T14" s="115" t="str">
        <f t="shared" si="8"/>
        <v>召唤出场时，减少场上所有敌人防御力2.85%，持续Y秒。</v>
      </c>
      <c r="W14" s="29">
        <f>[4]D_BUFF表!A8</f>
        <v>7</v>
      </c>
      <c r="X14" s="72" t="str">
        <f>[4]D_BUFF表!D8</f>
        <v>增加暴击倍数</v>
      </c>
      <c r="Y14" s="6" t="s">
        <v>620</v>
      </c>
      <c r="Z14" s="6">
        <v>1</v>
      </c>
      <c r="AA14" s="87">
        <f t="shared" si="13"/>
        <v>3571.4285714285716</v>
      </c>
      <c r="AB14" s="86">
        <v>25000</v>
      </c>
      <c r="AC14" s="68">
        <f t="shared" si="14"/>
        <v>3571.4285714285716</v>
      </c>
      <c r="AD14" s="6">
        <v>15</v>
      </c>
      <c r="AE14" s="6">
        <v>20</v>
      </c>
      <c r="AF14" s="6">
        <f t="shared" si="12"/>
        <v>0.7142857142857143</v>
      </c>
      <c r="AG14" s="6">
        <v>7</v>
      </c>
      <c r="AH14">
        <f>AI14/AJ14</f>
        <v>50000</v>
      </c>
      <c r="AI14">
        <f>AF2</f>
        <v>50000</v>
      </c>
      <c r="AJ14" s="58">
        <f>[1]各种公式!$M$4</f>
        <v>1</v>
      </c>
      <c r="AK14" t="s">
        <v>378</v>
      </c>
    </row>
    <row r="15" spans="1:38" ht="14.45" customHeight="1">
      <c r="A15" s="41">
        <v>9614201</v>
      </c>
      <c r="B15" s="30" t="s">
        <v>422</v>
      </c>
      <c r="C15" s="75" t="str">
        <f t="shared" si="3"/>
        <v>召唤出场时，主角进入无敌状态，持续5.72秒。</v>
      </c>
      <c r="D15" s="6">
        <v>1</v>
      </c>
      <c r="E15" s="29" t="s">
        <v>244</v>
      </c>
      <c r="F15" s="51">
        <f t="shared" si="0"/>
        <v>0</v>
      </c>
      <c r="G15" s="76" t="str">
        <f t="shared" si="4"/>
        <v>无属性</v>
      </c>
      <c r="H15" s="51">
        <f t="shared" si="5"/>
        <v>0</v>
      </c>
      <c r="I15" s="76">
        <f t="shared" si="6"/>
        <v>0</v>
      </c>
      <c r="J15" s="77">
        <f t="shared" si="7"/>
        <v>1</v>
      </c>
      <c r="K15" s="63">
        <f t="shared" si="9"/>
        <v>0</v>
      </c>
      <c r="L15" s="53">
        <f t="shared" si="10"/>
        <v>5.7142857142857144</v>
      </c>
      <c r="M15" s="29">
        <f t="shared" si="11"/>
        <v>0</v>
      </c>
      <c r="N15" s="75">
        <v>0</v>
      </c>
      <c r="O15" s="82" t="str">
        <f>VLOOKUP(INT(A15/100)*100+1,CHOOSE({1,2},D_马仔表!$J$2:$J$20,D_马仔表!$B$2:$B$20),2,FALSE)</f>
        <v>陈浩南</v>
      </c>
      <c r="P15" s="81">
        <f>VLOOKUP(O15,D_马仔表!$B$2:$W$20,3,FALSE)</f>
        <v>3</v>
      </c>
      <c r="Q15" s="39">
        <f>IFERROR(VLOOKUP(R15,CHOOSE({1,2},技能辅助表!$B$3:$B$83,技能辅助表!$A$3:$A$82),2,FALSE),0)</f>
        <v>24</v>
      </c>
      <c r="R15" s="39">
        <f t="shared" si="1"/>
        <v>3</v>
      </c>
      <c r="S15" s="29" t="str">
        <f t="shared" si="2"/>
        <v>召唤出场时，主角进入无敌状态，持续Y秒。</v>
      </c>
      <c r="T15" s="115" t="str">
        <f t="shared" si="8"/>
        <v>召唤出场时，主角进入无敌状态，持续Y秒。</v>
      </c>
      <c r="W15" s="29">
        <f>[4]D_BUFF表!A9</f>
        <v>8</v>
      </c>
      <c r="X15" s="72" t="str">
        <f>[4]D_BUFF表!D9</f>
        <v>增加暴击值</v>
      </c>
      <c r="Y15" s="6" t="s">
        <v>621</v>
      </c>
      <c r="Z15" s="6">
        <f>[4]D_BUFF表!E9</f>
        <v>0</v>
      </c>
      <c r="AA15" s="87">
        <f t="shared" si="13"/>
        <v>3571.428571428572</v>
      </c>
      <c r="AB15" s="86">
        <f>0.15*AH15</f>
        <v>25000.000000000004</v>
      </c>
      <c r="AC15" s="68">
        <f t="shared" si="14"/>
        <v>3571.428571428572</v>
      </c>
      <c r="AD15" s="6">
        <v>15</v>
      </c>
      <c r="AE15" s="6">
        <v>20</v>
      </c>
      <c r="AF15" s="6">
        <f t="shared" si="12"/>
        <v>0.7142857142857143</v>
      </c>
      <c r="AG15" s="6">
        <v>7</v>
      </c>
      <c r="AH15">
        <f>AI15/AJ15</f>
        <v>166666.66666666669</v>
      </c>
      <c r="AI15">
        <f>AE2</f>
        <v>50000</v>
      </c>
      <c r="AJ15" s="58">
        <f>[1]各种公式!$M$5</f>
        <v>0.3</v>
      </c>
      <c r="AK15" t="s">
        <v>379</v>
      </c>
    </row>
    <row r="16" spans="1:38" ht="14.45" customHeight="1">
      <c r="A16" s="41">
        <v>9615201</v>
      </c>
      <c r="B16" s="30" t="s">
        <v>402</v>
      </c>
      <c r="C16" s="75" t="str">
        <f t="shared" si="3"/>
        <v>召唤出场时，主角进入霸体状态，持续16.43秒。</v>
      </c>
      <c r="D16" s="6">
        <v>1</v>
      </c>
      <c r="E16" s="29" t="s">
        <v>245</v>
      </c>
      <c r="F16" s="51">
        <f t="shared" si="0"/>
        <v>0</v>
      </c>
      <c r="G16" s="76" t="str">
        <f t="shared" si="4"/>
        <v>无属性</v>
      </c>
      <c r="H16" s="51">
        <f t="shared" si="5"/>
        <v>0</v>
      </c>
      <c r="I16" s="76">
        <f t="shared" si="6"/>
        <v>0</v>
      </c>
      <c r="J16" s="77">
        <f t="shared" si="7"/>
        <v>2</v>
      </c>
      <c r="K16" s="63">
        <f t="shared" si="9"/>
        <v>80</v>
      </c>
      <c r="L16" s="53">
        <f t="shared" si="10"/>
        <v>16.428571428571427</v>
      </c>
      <c r="M16" s="29">
        <f t="shared" si="11"/>
        <v>0</v>
      </c>
      <c r="N16" s="75">
        <v>0</v>
      </c>
      <c r="O16" s="82" t="str">
        <f>VLOOKUP(INT(A16/100)*100+1,CHOOSE({1,2},D_马仔表!$J$2:$J$20,D_马仔表!$B$2:$B$20),2,FALSE)</f>
        <v>山鸡</v>
      </c>
      <c r="P16" s="81">
        <f>VLOOKUP(O16,D_马仔表!$B$2:$W$20,3,FALSE)</f>
        <v>3</v>
      </c>
      <c r="Q16" s="39">
        <f>IFERROR(VLOOKUP(R16,CHOOSE({1,2},技能辅助表!$B$3:$B$83,技能辅助表!$A$3:$A$82),2,FALSE),0)</f>
        <v>24</v>
      </c>
      <c r="R16" s="39">
        <f t="shared" si="1"/>
        <v>3</v>
      </c>
      <c r="S16" s="29" t="str">
        <f t="shared" si="2"/>
        <v>召唤出场时，主角进入霸体状态，持续Y秒。</v>
      </c>
      <c r="T16" s="115" t="str">
        <f t="shared" si="8"/>
        <v>召唤出场时，主角进入霸体状态，持续Y秒。</v>
      </c>
      <c r="W16" s="29">
        <f>[4]D_BUFF表!A10</f>
        <v>9</v>
      </c>
      <c r="X16" s="72" t="str">
        <f>[4]D_BUFF表!D10</f>
        <v>增加生命最大值数值</v>
      </c>
      <c r="Y16" s="6" t="s">
        <v>622</v>
      </c>
      <c r="Z16" s="6">
        <f>[4]D_BUFF表!E10</f>
        <v>0</v>
      </c>
      <c r="AA16" s="87">
        <f t="shared" si="13"/>
        <v>1428.5714285714287</v>
      </c>
      <c r="AB16" s="86">
        <v>10000</v>
      </c>
      <c r="AC16" s="68">
        <f t="shared" si="14"/>
        <v>1428.5714285714287</v>
      </c>
      <c r="AD16" s="6">
        <v>15</v>
      </c>
      <c r="AE16" s="6">
        <v>20</v>
      </c>
      <c r="AF16" s="6">
        <f t="shared" si="12"/>
        <v>0.7142857142857143</v>
      </c>
      <c r="AG16" s="6">
        <v>7</v>
      </c>
      <c r="AH16">
        <v>1</v>
      </c>
    </row>
    <row r="17" spans="1:37" ht="14.45" customHeight="1">
      <c r="A17" s="41">
        <v>9616201</v>
      </c>
      <c r="B17" s="30" t="s">
        <v>403</v>
      </c>
      <c r="C17" s="75" t="str">
        <f t="shared" si="3"/>
        <v>召唤出场时，主角体型变大，移动速度、攻击力、防御力增加2.85%,持续15.72秒。</v>
      </c>
      <c r="D17" s="6">
        <v>1</v>
      </c>
      <c r="E17" s="29" t="s">
        <v>246</v>
      </c>
      <c r="F17" s="51">
        <f t="shared" si="0"/>
        <v>0</v>
      </c>
      <c r="G17" s="76" t="str">
        <f t="shared" si="4"/>
        <v>无属性</v>
      </c>
      <c r="H17" s="51">
        <f t="shared" si="5"/>
        <v>0</v>
      </c>
      <c r="I17" s="76">
        <f t="shared" si="6"/>
        <v>0</v>
      </c>
      <c r="J17" s="77">
        <f t="shared" si="7"/>
        <v>19</v>
      </c>
      <c r="K17" s="63">
        <f t="shared" si="9"/>
        <v>2.8571428571428574E-2</v>
      </c>
      <c r="L17" s="53">
        <f t="shared" si="10"/>
        <v>15.714285714285714</v>
      </c>
      <c r="M17" s="29">
        <f t="shared" si="11"/>
        <v>1</v>
      </c>
      <c r="N17" s="75">
        <v>0</v>
      </c>
      <c r="O17" s="82" t="str">
        <f>VLOOKUP(INT(A17/100)*100+1,CHOOSE({1,2},D_马仔表!$J$2:$J$20,D_马仔表!$B$2:$B$20),2,FALSE)</f>
        <v>大天二</v>
      </c>
      <c r="P17" s="81">
        <f>VLOOKUP(O17,D_马仔表!$B$2:$W$20,3,FALSE)</f>
        <v>3</v>
      </c>
      <c r="Q17" s="39">
        <f>IFERROR(VLOOKUP(R17,CHOOSE({1,2},技能辅助表!$B$3:$B$83,技能辅助表!$A$3:$A$82),2,FALSE),0)</f>
        <v>24</v>
      </c>
      <c r="R17" s="39">
        <f t="shared" si="1"/>
        <v>3</v>
      </c>
      <c r="S17" s="29" t="str">
        <f t="shared" si="2"/>
        <v>召唤出场时，主角体型变大，移动速度、攻击力、防御力增加X%,持续Y秒。</v>
      </c>
      <c r="T17" s="115" t="str">
        <f t="shared" si="8"/>
        <v>召唤出场时，主角体型变大，移动速度、攻击力、防御力增加2.85%,持续Y秒。</v>
      </c>
      <c r="W17" s="29">
        <f>[4]D_BUFF表!A11</f>
        <v>10</v>
      </c>
      <c r="X17" s="72" t="str">
        <f>[4]D_BUFF表!D11</f>
        <v>增加攻击力数值</v>
      </c>
      <c r="Y17" s="6" t="s">
        <v>623</v>
      </c>
      <c r="Z17" s="6">
        <f>[4]D_BUFF表!E11</f>
        <v>0</v>
      </c>
      <c r="AA17" s="87">
        <f t="shared" si="13"/>
        <v>185.71428571428572</v>
      </c>
      <c r="AB17" s="86">
        <v>1300</v>
      </c>
      <c r="AC17" s="68">
        <f t="shared" si="14"/>
        <v>185.71428571428572</v>
      </c>
      <c r="AD17" s="6">
        <v>15</v>
      </c>
      <c r="AE17" s="6">
        <v>20</v>
      </c>
      <c r="AF17" s="6">
        <f t="shared" si="12"/>
        <v>0.7142857142857143</v>
      </c>
      <c r="AG17" s="6">
        <v>7</v>
      </c>
      <c r="AH17">
        <v>1</v>
      </c>
    </row>
    <row r="18" spans="1:37" ht="14.45" customHeight="1">
      <c r="A18" s="113">
        <v>9617201</v>
      </c>
      <c r="B18" s="30" t="s">
        <v>650</v>
      </c>
      <c r="C18" s="75" t="str">
        <f t="shared" ref="C18:C20" si="15">IF(F18=0,IFERROR(REPLACE(T18,FIND("Y",T18),LEN("Y"),ROUNDUP(L18,2)),T18),IF(F18=0,"","永久增加主角"&amp;IF(I18&lt;1,ROUNDUP(I18*100,2)&amp;"%",ROUNDUP(I18,0))&amp;G18&amp;",")&amp;IFERROR(REPLACE(T18,FIND("Y",T18),LEN("Y"),ROUNDUP(L18,2)),T18))</f>
        <v>召唤出场时，场上所有敌人的BUFF会被全部清除。</v>
      </c>
      <c r="D18" s="6">
        <v>1</v>
      </c>
      <c r="E18" s="75" t="s">
        <v>255</v>
      </c>
      <c r="F18" s="51">
        <f t="shared" si="0"/>
        <v>0</v>
      </c>
      <c r="G18" s="76" t="str">
        <f t="shared" si="4"/>
        <v>无属性</v>
      </c>
      <c r="H18" s="51">
        <f t="shared" si="5"/>
        <v>0</v>
      </c>
      <c r="I18" s="76">
        <f t="shared" si="6"/>
        <v>0</v>
      </c>
      <c r="J18" s="77">
        <f t="shared" si="7"/>
        <v>14</v>
      </c>
      <c r="K18" s="63">
        <f t="shared" si="9"/>
        <v>0</v>
      </c>
      <c r="L18" s="53">
        <f t="shared" si="10"/>
        <v>0</v>
      </c>
      <c r="M18" s="29">
        <f t="shared" si="11"/>
        <v>0</v>
      </c>
      <c r="N18" s="75">
        <v>0</v>
      </c>
      <c r="O18" s="82" t="str">
        <f>VLOOKUP(INT(A18/100)*100+1,CHOOSE({1,2},D_马仔表!$J$2:$J$20,D_马仔表!$B$2:$B$20),2,FALSE)</f>
        <v>巴闭</v>
      </c>
      <c r="P18" s="81">
        <f>VLOOKUP(O18,D_马仔表!$B$2:$W$20,3,FALSE)</f>
        <v>1</v>
      </c>
      <c r="Q18" s="39">
        <f>IFERROR(VLOOKUP(R18,CHOOSE({1,2},技能辅助表!$B$3:$B$83,技能辅助表!$A$3:$A$82),2,FALSE),0)</f>
        <v>24</v>
      </c>
      <c r="R18" s="39">
        <f t="shared" ref="R18:R20" si="16">D18+2</f>
        <v>3</v>
      </c>
      <c r="S18" s="29" t="str">
        <f t="shared" si="2"/>
        <v>召唤出场时，场上所有敌人的BUFF会被全部清除。</v>
      </c>
      <c r="T18" s="115" t="str">
        <f t="shared" si="8"/>
        <v>召唤出场时，场上所有敌人的BUFF会被全部清除。</v>
      </c>
      <c r="W18" s="29">
        <f>[4]D_BUFF表!A12</f>
        <v>11</v>
      </c>
      <c r="X18" s="72" t="str">
        <f>[4]D_BUFF表!D12</f>
        <v>增加防御力数值</v>
      </c>
      <c r="Y18" s="6" t="s">
        <v>624</v>
      </c>
      <c r="Z18" s="6">
        <f>[4]D_BUFF表!E12</f>
        <v>0</v>
      </c>
      <c r="AA18" s="87">
        <f t="shared" si="13"/>
        <v>114.28571428571429</v>
      </c>
      <c r="AB18" s="86">
        <v>800</v>
      </c>
      <c r="AC18" s="68">
        <f t="shared" si="14"/>
        <v>114.28571428571429</v>
      </c>
      <c r="AD18" s="6">
        <v>15</v>
      </c>
      <c r="AE18" s="6">
        <v>20</v>
      </c>
      <c r="AF18" s="6">
        <f t="shared" si="12"/>
        <v>0.7142857142857143</v>
      </c>
      <c r="AG18" s="6">
        <v>7</v>
      </c>
      <c r="AH18">
        <v>1</v>
      </c>
    </row>
    <row r="19" spans="1:37" ht="14.45" customHeight="1">
      <c r="A19" s="113">
        <v>9618201</v>
      </c>
      <c r="B19" s="30" t="s">
        <v>649</v>
      </c>
      <c r="C19" s="75" t="str">
        <f t="shared" si="15"/>
        <v>召唤出场时，场上所有敌人，体型变小，移动速度，攻击力，防御力降低2.85%，持续15.72秒。</v>
      </c>
      <c r="D19" s="6">
        <v>1</v>
      </c>
      <c r="E19" s="29" t="s">
        <v>242</v>
      </c>
      <c r="F19" s="51">
        <f t="shared" si="0"/>
        <v>0</v>
      </c>
      <c r="G19" s="76" t="str">
        <f t="shared" si="4"/>
        <v>无属性</v>
      </c>
      <c r="H19" s="51">
        <f t="shared" si="5"/>
        <v>0</v>
      </c>
      <c r="I19" s="76">
        <f t="shared" si="6"/>
        <v>0</v>
      </c>
      <c r="J19" s="77">
        <f t="shared" si="7"/>
        <v>20</v>
      </c>
      <c r="K19" s="63">
        <f t="shared" si="9"/>
        <v>2.8571428571428574E-2</v>
      </c>
      <c r="L19" s="53">
        <f t="shared" si="10"/>
        <v>15.714285714285714</v>
      </c>
      <c r="M19" s="29">
        <f t="shared" si="11"/>
        <v>1</v>
      </c>
      <c r="N19" s="75">
        <v>0</v>
      </c>
      <c r="O19" s="82" t="str">
        <f>VLOOKUP(INT(A19/100)*100+1,CHOOSE({1,2},D_马仔表!$J$2:$J$20,D_马仔表!$B$2:$B$20),2,FALSE)</f>
        <v>耀阳</v>
      </c>
      <c r="P19" s="81">
        <f>VLOOKUP(O19,D_马仔表!$B$2:$W$20,3,FALSE)</f>
        <v>2</v>
      </c>
      <c r="Q19" s="39">
        <f>IFERROR(VLOOKUP(R19,CHOOSE({1,2},技能辅助表!$B$3:$B$83,技能辅助表!$A$3:$A$82),2,FALSE),0)</f>
        <v>24</v>
      </c>
      <c r="R19" s="39">
        <f t="shared" si="16"/>
        <v>3</v>
      </c>
      <c r="S19" s="29" t="str">
        <f t="shared" si="2"/>
        <v>召唤出场时，场上所有敌人，体型变小，移动速度，攻击力，防御力降低X%，持续Y秒。</v>
      </c>
      <c r="T19" s="115" t="str">
        <f t="shared" si="8"/>
        <v>召唤出场时，场上所有敌人，体型变小，移动速度，攻击力，防御力降低2.85%，持续Y秒。</v>
      </c>
      <c r="W19" s="29">
        <f>[4]D_BUFF表!A13</f>
        <v>12</v>
      </c>
      <c r="X19" s="72" t="str">
        <f>[4]D_BUFF表!D13</f>
        <v>增加伤害加深百分比</v>
      </c>
      <c r="Y19" s="6" t="s">
        <v>625</v>
      </c>
      <c r="Z19" s="6">
        <f>[4]D_BUFF表!E13</f>
        <v>1</v>
      </c>
      <c r="AA19" s="87">
        <f t="shared" si="13"/>
        <v>1428.5714285714287</v>
      </c>
      <c r="AB19" s="86">
        <f>AI19*0.5</f>
        <v>10000</v>
      </c>
      <c r="AC19" s="68">
        <f t="shared" si="14"/>
        <v>1428.5714285714287</v>
      </c>
      <c r="AD19" s="6">
        <v>15</v>
      </c>
      <c r="AE19" s="6">
        <v>20</v>
      </c>
      <c r="AF19" s="6">
        <f t="shared" si="12"/>
        <v>0.7142857142857143</v>
      </c>
      <c r="AG19" s="6">
        <v>7</v>
      </c>
      <c r="AH19">
        <f>AI19/AJ19</f>
        <v>66666.666666666672</v>
      </c>
      <c r="AI19">
        <f>AH2</f>
        <v>20000</v>
      </c>
      <c r="AJ19" s="58">
        <f>[1]各种公式!$M$6</f>
        <v>0.3</v>
      </c>
      <c r="AK19" t="s">
        <v>380</v>
      </c>
    </row>
    <row r="20" spans="1:37" ht="14.45" customHeight="1">
      <c r="A20" s="113">
        <v>9619201</v>
      </c>
      <c r="B20" s="30" t="s">
        <v>651</v>
      </c>
      <c r="C20" s="75" t="str">
        <f t="shared" si="15"/>
        <v>召唤出场时，为主角增加暴击倍数14.28%，持续15.72秒。</v>
      </c>
      <c r="D20" s="6">
        <v>1</v>
      </c>
      <c r="E20" s="29" t="s">
        <v>258</v>
      </c>
      <c r="F20" s="51">
        <f t="shared" si="0"/>
        <v>0</v>
      </c>
      <c r="G20" s="76" t="str">
        <f t="shared" si="4"/>
        <v>无属性</v>
      </c>
      <c r="H20" s="51">
        <f t="shared" si="5"/>
        <v>0</v>
      </c>
      <c r="I20" s="76">
        <f t="shared" si="6"/>
        <v>0</v>
      </c>
      <c r="J20" s="77">
        <f t="shared" si="7"/>
        <v>7</v>
      </c>
      <c r="K20" s="63">
        <f t="shared" si="9"/>
        <v>7142.8571428571431</v>
      </c>
      <c r="L20" s="53">
        <f t="shared" si="10"/>
        <v>15.714285714285714</v>
      </c>
      <c r="M20" s="29">
        <f t="shared" si="11"/>
        <v>1</v>
      </c>
      <c r="N20" s="75">
        <v>0</v>
      </c>
      <c r="O20" s="82" t="str">
        <f>VLOOKUP(INT(A20/100)*100+1,CHOOSE({1,2},D_马仔表!$J$2:$J$20,D_马仔表!$B$2:$B$20),2,FALSE)</f>
        <v>笑面虎</v>
      </c>
      <c r="P20" s="81">
        <f>VLOOKUP(O20,D_马仔表!$B$2:$W$20,3,FALSE)</f>
        <v>2</v>
      </c>
      <c r="Q20" s="39">
        <f>IFERROR(VLOOKUP(R20,CHOOSE({1,2},技能辅助表!$B$3:$B$83,技能辅助表!$A$3:$A$82),2,FALSE),0)</f>
        <v>24</v>
      </c>
      <c r="R20" s="39">
        <f t="shared" si="16"/>
        <v>3</v>
      </c>
      <c r="S20" s="29" t="str">
        <f t="shared" si="2"/>
        <v>召唤出场时，为主角增加暴击倍数X%，持续Y秒。</v>
      </c>
      <c r="T20" s="115" t="str">
        <f t="shared" si="8"/>
        <v>召唤出场时，为主角增加暴击倍数14.28%，持续Y秒。</v>
      </c>
      <c r="W20" s="29">
        <f>[4]D_BUFF表!A14</f>
        <v>13</v>
      </c>
      <c r="X20" s="72" t="str">
        <f>[4]D_BUFF表!D14</f>
        <v>增加伤害减少百分比</v>
      </c>
      <c r="Y20" s="6" t="s">
        <v>626</v>
      </c>
      <c r="Z20" s="6">
        <f>[4]D_BUFF表!E14</f>
        <v>1</v>
      </c>
      <c r="AA20" s="87">
        <f t="shared" si="13"/>
        <v>1428.5714285714287</v>
      </c>
      <c r="AB20" s="86">
        <f>AI20*0.5</f>
        <v>10000</v>
      </c>
      <c r="AC20" s="68">
        <f t="shared" si="14"/>
        <v>1428.5714285714287</v>
      </c>
      <c r="AD20" s="6">
        <v>15</v>
      </c>
      <c r="AE20" s="6">
        <v>20</v>
      </c>
      <c r="AF20" s="6">
        <f t="shared" si="12"/>
        <v>0.7142857142857143</v>
      </c>
      <c r="AG20" s="6">
        <v>7</v>
      </c>
      <c r="AH20">
        <f>AI20/AJ20</f>
        <v>66666.666666666672</v>
      </c>
      <c r="AI20">
        <f>AI2</f>
        <v>20000</v>
      </c>
      <c r="AJ20" s="58">
        <f>AJ19</f>
        <v>0.3</v>
      </c>
      <c r="AK20" t="s">
        <v>381</v>
      </c>
    </row>
    <row r="21" spans="1:37" ht="14.45" customHeight="1">
      <c r="A21" s="41">
        <f t="shared" ref="A21:A52" si="17">A2+1</f>
        <v>9601202</v>
      </c>
      <c r="B21" s="29" t="str">
        <f t="shared" ref="B21:B52" si="18">B2</f>
        <v>急救</v>
      </c>
      <c r="C21" s="75" t="str">
        <f t="shared" si="3"/>
        <v>召唤出场时，为主角回复12.85%最大生命值。</v>
      </c>
      <c r="D21" s="6">
        <f t="shared" ref="D21:D52" si="19">D2+1</f>
        <v>2</v>
      </c>
      <c r="E21" s="6" t="str">
        <f t="shared" ref="E21:E52" si="20">E2</f>
        <v>9601201.png</v>
      </c>
      <c r="F21" s="51">
        <f t="shared" si="0"/>
        <v>0</v>
      </c>
      <c r="G21" s="76" t="str">
        <f t="shared" si="4"/>
        <v>无属性</v>
      </c>
      <c r="H21" s="51">
        <f t="shared" si="5"/>
        <v>0</v>
      </c>
      <c r="I21" s="76">
        <f t="shared" si="6"/>
        <v>0</v>
      </c>
      <c r="J21" s="77">
        <f t="shared" si="7"/>
        <v>3</v>
      </c>
      <c r="K21" s="63">
        <f t="shared" si="9"/>
        <v>0.12857142857142856</v>
      </c>
      <c r="L21" s="53">
        <f t="shared" si="10"/>
        <v>0</v>
      </c>
      <c r="M21" s="29">
        <f t="shared" si="11"/>
        <v>1</v>
      </c>
      <c r="N21" s="75">
        <v>0</v>
      </c>
      <c r="O21" s="82" t="str">
        <f>VLOOKUP(INT(A21/100)*100+1,CHOOSE({1,2},D_马仔表!$J$2:$J$20,D_马仔表!$B$2:$B$20),2,FALSE)</f>
        <v>制服太妹</v>
      </c>
      <c r="P21" s="81">
        <f>VLOOKUP(O21,D_马仔表!$B$2:$W$20,3,FALSE)</f>
        <v>0</v>
      </c>
      <c r="Q21" s="39">
        <f>IFERROR(VLOOKUP(R21,CHOOSE({1,2},技能辅助表!$B$3:$B$83,技能辅助表!$A$3:$A$82),2,FALSE),0)</f>
        <v>32</v>
      </c>
      <c r="R21" s="39">
        <f t="shared" si="1"/>
        <v>4</v>
      </c>
      <c r="S21" s="29" t="str">
        <f t="shared" si="2"/>
        <v>召唤出场时，为主角回复X%最大生命值。</v>
      </c>
      <c r="T21" s="115" t="str">
        <f t="shared" si="8"/>
        <v>召唤出场时，为主角回复12.85%最大生命值。</v>
      </c>
      <c r="W21" s="29">
        <f>[4]D_BUFF表!A15</f>
        <v>14</v>
      </c>
      <c r="X21" s="72" t="str">
        <f>[4]D_BUFF表!D15</f>
        <v>清除敌人的BUFF</v>
      </c>
      <c r="Y21" s="6" t="s">
        <v>652</v>
      </c>
      <c r="Z21" s="6">
        <f>[4]D_BUFF表!E15</f>
        <v>0</v>
      </c>
      <c r="AA21" s="87">
        <f t="shared" si="13"/>
        <v>0</v>
      </c>
      <c r="AB21" s="86">
        <v>0</v>
      </c>
      <c r="AC21" s="68">
        <f t="shared" si="14"/>
        <v>0</v>
      </c>
      <c r="AD21" s="6">
        <v>0</v>
      </c>
      <c r="AE21" s="6">
        <v>0</v>
      </c>
      <c r="AF21" s="6">
        <f t="shared" si="12"/>
        <v>0</v>
      </c>
      <c r="AG21" s="6">
        <v>7</v>
      </c>
      <c r="AH21">
        <v>1</v>
      </c>
    </row>
    <row r="22" spans="1:37" ht="14.45" customHeight="1">
      <c r="A22" s="41">
        <f t="shared" si="17"/>
        <v>9602202</v>
      </c>
      <c r="B22" s="29" t="str">
        <f t="shared" si="18"/>
        <v>鼓舞</v>
      </c>
      <c r="C22" s="75" t="str">
        <f t="shared" si="3"/>
        <v>召唤出场时，为主角增加生命最大值4285.72，持续16.43秒。</v>
      </c>
      <c r="D22" s="6">
        <f t="shared" si="19"/>
        <v>2</v>
      </c>
      <c r="E22" s="6" t="str">
        <f t="shared" si="20"/>
        <v>9602201.png</v>
      </c>
      <c r="F22" s="51">
        <f t="shared" si="0"/>
        <v>0</v>
      </c>
      <c r="G22" s="76" t="str">
        <f t="shared" si="4"/>
        <v>无属性</v>
      </c>
      <c r="H22" s="51">
        <f t="shared" si="5"/>
        <v>0</v>
      </c>
      <c r="I22" s="76">
        <f t="shared" si="6"/>
        <v>0</v>
      </c>
      <c r="J22" s="77">
        <f t="shared" si="7"/>
        <v>9</v>
      </c>
      <c r="K22" s="63">
        <f t="shared" si="9"/>
        <v>4285.7142857142862</v>
      </c>
      <c r="L22" s="53">
        <f t="shared" si="10"/>
        <v>16.428571428571427</v>
      </c>
      <c r="M22" s="29">
        <f t="shared" si="11"/>
        <v>0</v>
      </c>
      <c r="N22" s="75">
        <v>0</v>
      </c>
      <c r="O22" s="82" t="str">
        <f>VLOOKUP(INT(A22/100)*100+1,CHOOSE({1,2},D_马仔表!$J$2:$J$20,D_马仔表!$B$2:$B$20),2,FALSE)</f>
        <v>蟹仔</v>
      </c>
      <c r="P22" s="81">
        <f>VLOOKUP(O22,D_马仔表!$B$2:$W$20,3,FALSE)</f>
        <v>0</v>
      </c>
      <c r="Q22" s="39">
        <f>IFERROR(VLOOKUP(R22,CHOOSE({1,2},技能辅助表!$B$3:$B$83,技能辅助表!$A$3:$A$82),2,FALSE),0)</f>
        <v>32</v>
      </c>
      <c r="R22" s="39">
        <f t="shared" si="1"/>
        <v>4</v>
      </c>
      <c r="S22" s="29" t="str">
        <f t="shared" si="2"/>
        <v>召唤出场时，为主角增加生命最大值X，持续Y秒。</v>
      </c>
      <c r="T22" s="115" t="str">
        <f t="shared" si="8"/>
        <v>召唤出场时，为主角增加生命最大值4285.72，持续Y秒。</v>
      </c>
      <c r="W22" s="29">
        <f>[4]D_BUFF表!A16</f>
        <v>15</v>
      </c>
      <c r="X22" s="72" t="str">
        <f>[4]D_BUFF表!D16</f>
        <v>减少敌人攻击力</v>
      </c>
      <c r="Y22" s="6" t="s">
        <v>627</v>
      </c>
      <c r="Z22" s="6">
        <f>[4]D_BUFF表!E16</f>
        <v>1</v>
      </c>
      <c r="AA22" s="87">
        <f t="shared" si="13"/>
        <v>1.4285714285714287E-2</v>
      </c>
      <c r="AB22" s="86">
        <v>0.1</v>
      </c>
      <c r="AC22" s="68">
        <f t="shared" si="14"/>
        <v>1.4285714285714287E-2</v>
      </c>
      <c r="AD22" s="6">
        <v>15</v>
      </c>
      <c r="AE22" s="6">
        <v>20</v>
      </c>
      <c r="AF22" s="6">
        <f t="shared" si="12"/>
        <v>0.7142857142857143</v>
      </c>
      <c r="AG22" s="6">
        <v>7</v>
      </c>
      <c r="AH22">
        <v>1</v>
      </c>
    </row>
    <row r="23" spans="1:37" ht="14.45" customHeight="1">
      <c r="A23" s="41">
        <f t="shared" si="17"/>
        <v>9603202</v>
      </c>
      <c r="B23" s="29" t="str">
        <f t="shared" si="18"/>
        <v>激励</v>
      </c>
      <c r="C23" s="75" t="str">
        <f t="shared" si="3"/>
        <v>召唤出场时，为主角增加攻击力557.15，持续16.43秒。</v>
      </c>
      <c r="D23" s="6">
        <f t="shared" si="19"/>
        <v>2</v>
      </c>
      <c r="E23" s="6" t="str">
        <f t="shared" si="20"/>
        <v>9603201.png</v>
      </c>
      <c r="F23" s="51">
        <f t="shared" si="0"/>
        <v>0</v>
      </c>
      <c r="G23" s="76" t="str">
        <f t="shared" si="4"/>
        <v>无属性</v>
      </c>
      <c r="H23" s="51">
        <f t="shared" si="5"/>
        <v>0</v>
      </c>
      <c r="I23" s="76">
        <f t="shared" si="6"/>
        <v>0</v>
      </c>
      <c r="J23" s="77">
        <f t="shared" si="7"/>
        <v>10</v>
      </c>
      <c r="K23" s="63">
        <f t="shared" si="9"/>
        <v>557.14285714285711</v>
      </c>
      <c r="L23" s="53">
        <f t="shared" si="10"/>
        <v>16.428571428571427</v>
      </c>
      <c r="M23" s="29">
        <f t="shared" si="11"/>
        <v>0</v>
      </c>
      <c r="N23" s="75">
        <v>0</v>
      </c>
      <c r="O23" s="82" t="str">
        <f>VLOOKUP(INT(A23/100)*100+1,CHOOSE({1,2},D_马仔表!$J$2:$J$20,D_马仔表!$B$2:$B$20),2,FALSE)</f>
        <v>比利</v>
      </c>
      <c r="P23" s="81">
        <f>VLOOKUP(O23,D_马仔表!$B$2:$W$20,3,FALSE)</f>
        <v>0</v>
      </c>
      <c r="Q23" s="39">
        <f>IFERROR(VLOOKUP(R23,CHOOSE({1,2},技能辅助表!$B$3:$B$83,技能辅助表!$A$3:$A$82),2,FALSE),0)</f>
        <v>32</v>
      </c>
      <c r="R23" s="39">
        <f t="shared" si="1"/>
        <v>4</v>
      </c>
      <c r="S23" s="29" t="str">
        <f t="shared" si="2"/>
        <v>召唤出场时，为主角增加攻击力X，持续Y秒。</v>
      </c>
      <c r="T23" s="115" t="str">
        <f t="shared" si="8"/>
        <v>召唤出场时，为主角增加攻击力557.15，持续Y秒。</v>
      </c>
      <c r="W23" s="29">
        <f>[4]D_BUFF表!A17</f>
        <v>16</v>
      </c>
      <c r="X23" s="72" t="str">
        <f>[4]D_BUFF表!D17</f>
        <v>减少敌人防御</v>
      </c>
      <c r="Y23" s="6" t="s">
        <v>628</v>
      </c>
      <c r="Z23" s="6">
        <f>[4]D_BUFF表!E17</f>
        <v>1</v>
      </c>
      <c r="AA23" s="87">
        <f t="shared" si="13"/>
        <v>1.4285714285714287E-2</v>
      </c>
      <c r="AB23" s="86">
        <v>0.1</v>
      </c>
      <c r="AC23" s="68">
        <f t="shared" si="14"/>
        <v>1.4285714285714287E-2</v>
      </c>
      <c r="AD23" s="29">
        <v>15</v>
      </c>
      <c r="AE23" s="29">
        <v>20</v>
      </c>
      <c r="AF23" s="6">
        <f>(AE23-AD23)/AG23</f>
        <v>0.7142857142857143</v>
      </c>
      <c r="AG23" s="6">
        <v>7</v>
      </c>
      <c r="AH23">
        <v>1</v>
      </c>
      <c r="AJ23">
        <f>881/AH20</f>
        <v>1.3214999999999999E-2</v>
      </c>
    </row>
    <row r="24" spans="1:37" ht="14.45" customHeight="1">
      <c r="A24" s="41">
        <f t="shared" si="17"/>
        <v>9604202</v>
      </c>
      <c r="B24" s="29" t="str">
        <f t="shared" si="18"/>
        <v>鞭策</v>
      </c>
      <c r="C24" s="75" t="str">
        <f t="shared" si="3"/>
        <v>召唤出场时，为主角增加暴击值0.07，持续16.43秒。</v>
      </c>
      <c r="D24" s="6">
        <f t="shared" si="19"/>
        <v>2</v>
      </c>
      <c r="E24" s="6" t="str">
        <f t="shared" si="20"/>
        <v>9604201.png</v>
      </c>
      <c r="F24" s="51">
        <f t="shared" si="0"/>
        <v>0</v>
      </c>
      <c r="G24" s="76" t="str">
        <f t="shared" si="4"/>
        <v>无属性</v>
      </c>
      <c r="H24" s="51">
        <f t="shared" si="5"/>
        <v>0</v>
      </c>
      <c r="I24" s="76">
        <f t="shared" si="6"/>
        <v>0</v>
      </c>
      <c r="J24" s="77">
        <f t="shared" si="7"/>
        <v>8</v>
      </c>
      <c r="K24" s="63">
        <f t="shared" si="9"/>
        <v>10714.285714285716</v>
      </c>
      <c r="L24" s="53">
        <f t="shared" si="10"/>
        <v>16.428571428571427</v>
      </c>
      <c r="M24" s="29">
        <f t="shared" si="11"/>
        <v>0</v>
      </c>
      <c r="N24" s="75">
        <v>0</v>
      </c>
      <c r="O24" s="82" t="str">
        <f>VLOOKUP(INT(A24/100)*100+1,CHOOSE({1,2},D_马仔表!$J$2:$J$20,D_马仔表!$B$2:$B$20),2,FALSE)</f>
        <v>黎九</v>
      </c>
      <c r="P24" s="81">
        <f>VLOOKUP(O24,D_马仔表!$B$2:$W$20,3,FALSE)</f>
        <v>0</v>
      </c>
      <c r="Q24" s="39">
        <f>IFERROR(VLOOKUP(R24,CHOOSE({1,2},技能辅助表!$B$3:$B$83,技能辅助表!$A$3:$A$82),2,FALSE),0)</f>
        <v>32</v>
      </c>
      <c r="R24" s="39">
        <f t="shared" si="1"/>
        <v>4</v>
      </c>
      <c r="S24" s="29" t="str">
        <f t="shared" si="2"/>
        <v>召唤出场时，为主角增加暴击值X，持续Y秒。</v>
      </c>
      <c r="T24" s="115" t="str">
        <f t="shared" si="8"/>
        <v>召唤出场时，为主角增加暴击值0.07，持续Y秒。</v>
      </c>
      <c r="W24" s="29">
        <f>[4]D_BUFF表!A18</f>
        <v>17</v>
      </c>
      <c r="X24" s="72" t="str">
        <f>[4]D_BUFF表!D18</f>
        <v>减少敌人命中值</v>
      </c>
      <c r="Y24" s="6" t="s">
        <v>629</v>
      </c>
      <c r="Z24" s="6">
        <f>[4]D_BUFF表!E18</f>
        <v>1</v>
      </c>
      <c r="AA24" s="87">
        <f t="shared" si="13"/>
        <v>4.2857142857142858E-2</v>
      </c>
      <c r="AB24" s="86">
        <v>0.3</v>
      </c>
      <c r="AC24" s="68">
        <f t="shared" si="14"/>
        <v>4.2857142857142858E-2</v>
      </c>
      <c r="AD24" s="6">
        <v>15</v>
      </c>
      <c r="AE24" s="6">
        <v>20</v>
      </c>
      <c r="AF24" s="6">
        <f>(AE24-AD24)/AG24</f>
        <v>0.7142857142857143</v>
      </c>
      <c r="AG24" s="6">
        <v>7</v>
      </c>
      <c r="AH24">
        <v>1</v>
      </c>
    </row>
    <row r="25" spans="1:37" ht="14.45" customHeight="1">
      <c r="A25" s="41">
        <f t="shared" si="17"/>
        <v>9605202</v>
      </c>
      <c r="B25" s="29" t="str">
        <f t="shared" si="18"/>
        <v>守护</v>
      </c>
      <c r="C25" s="75" t="str">
        <f t="shared" si="3"/>
        <v>召唤出场时，为主角增加防御力342.86，持续16.43秒。</v>
      </c>
      <c r="D25" s="6">
        <f t="shared" si="19"/>
        <v>2</v>
      </c>
      <c r="E25" s="6" t="str">
        <f t="shared" si="20"/>
        <v>9605201.png</v>
      </c>
      <c r="F25" s="51">
        <f t="shared" si="0"/>
        <v>0</v>
      </c>
      <c r="G25" s="76" t="str">
        <f t="shared" si="4"/>
        <v>无属性</v>
      </c>
      <c r="H25" s="51">
        <f t="shared" si="5"/>
        <v>0</v>
      </c>
      <c r="I25" s="76">
        <f t="shared" si="6"/>
        <v>0</v>
      </c>
      <c r="J25" s="77">
        <f t="shared" si="7"/>
        <v>11</v>
      </c>
      <c r="K25" s="63">
        <f t="shared" si="9"/>
        <v>342.85714285714289</v>
      </c>
      <c r="L25" s="53">
        <f t="shared" si="10"/>
        <v>16.428571428571427</v>
      </c>
      <c r="M25" s="29">
        <f t="shared" si="11"/>
        <v>0</v>
      </c>
      <c r="N25" s="75">
        <v>0</v>
      </c>
      <c r="O25" s="82" t="str">
        <f>VLOOKUP(INT(A25/100)*100+1,CHOOSE({1,2},D_马仔表!$J$2:$J$20,D_马仔表!$B$2:$B$20),2,FALSE)</f>
        <v>黑古</v>
      </c>
      <c r="P25" s="81">
        <f>VLOOKUP(O25,D_马仔表!$B$2:$W$20,3,FALSE)</f>
        <v>0</v>
      </c>
      <c r="Q25" s="39">
        <f>IFERROR(VLOOKUP(R25,CHOOSE({1,2},技能辅助表!$B$3:$B$83,技能辅助表!$A$3:$A$82),2,FALSE),0)</f>
        <v>32</v>
      </c>
      <c r="R25" s="39">
        <f t="shared" si="1"/>
        <v>4</v>
      </c>
      <c r="S25" s="29" t="str">
        <f t="shared" si="2"/>
        <v>召唤出场时，为主角增加防御力X，持续Y秒。</v>
      </c>
      <c r="T25" s="115" t="str">
        <f t="shared" si="8"/>
        <v>召唤出场时，为主角增加防御力342.86，持续Y秒。</v>
      </c>
      <c r="W25" s="29">
        <f>[4]D_BUFF表!A19</f>
        <v>18</v>
      </c>
      <c r="X25" s="72" t="str">
        <f>[4]D_BUFF表!D19</f>
        <v>清除主角技能CD</v>
      </c>
      <c r="Y25" s="6" t="s">
        <v>630</v>
      </c>
      <c r="Z25" s="6">
        <f>[4]D_BUFF表!E19</f>
        <v>0</v>
      </c>
      <c r="AA25" s="87">
        <f t="shared" si="13"/>
        <v>0</v>
      </c>
      <c r="AB25" s="86">
        <v>0</v>
      </c>
      <c r="AC25" s="68">
        <f t="shared" si="14"/>
        <v>0</v>
      </c>
      <c r="AD25" s="6">
        <v>0</v>
      </c>
      <c r="AE25" s="6">
        <v>0</v>
      </c>
      <c r="AF25" s="6">
        <f t="shared" si="12"/>
        <v>0</v>
      </c>
      <c r="AG25" s="6">
        <v>7</v>
      </c>
      <c r="AH25">
        <v>1</v>
      </c>
    </row>
    <row r="26" spans="1:37" ht="14.45" customHeight="1">
      <c r="A26" s="41">
        <f t="shared" si="17"/>
        <v>9606202</v>
      </c>
      <c r="B26" s="29" t="str">
        <f t="shared" si="18"/>
        <v>混世魔王</v>
      </c>
      <c r="C26" s="75" t="str">
        <f t="shared" si="3"/>
        <v>召唤出场时，为主角增加加伤百分比6.42%，持续16.43秒。</v>
      </c>
      <c r="D26" s="6">
        <f t="shared" si="19"/>
        <v>2</v>
      </c>
      <c r="E26" s="6" t="str">
        <f t="shared" si="20"/>
        <v>9606201.png</v>
      </c>
      <c r="F26" s="51">
        <f t="shared" si="0"/>
        <v>0</v>
      </c>
      <c r="G26" s="76" t="str">
        <f t="shared" si="4"/>
        <v>无属性</v>
      </c>
      <c r="H26" s="51">
        <f>VLOOKUP(O26,$W$32:$AC$50,5,FALSE)*D26</f>
        <v>0</v>
      </c>
      <c r="I26" s="76">
        <f t="shared" si="6"/>
        <v>0</v>
      </c>
      <c r="J26" s="77">
        <f t="shared" si="7"/>
        <v>12</v>
      </c>
      <c r="K26" s="63">
        <f>VLOOKUP(J26,$W$8:$AG$27,$AA$6,FALSE)+VLOOKUP(J26,$W$8:$AG$27,$AC$6,FALSE)*D26</f>
        <v>4285.7142857142862</v>
      </c>
      <c r="L26" s="53">
        <f t="shared" si="10"/>
        <v>16.428571428571427</v>
      </c>
      <c r="M26" s="29">
        <f t="shared" si="11"/>
        <v>1</v>
      </c>
      <c r="N26" s="75">
        <v>0</v>
      </c>
      <c r="O26" s="82" t="str">
        <f>VLOOKUP(INT(A26/100)*100+1,CHOOSE({1,2},D_马仔表!$J$2:$J$20,D_马仔表!$B$2:$B$20),2,FALSE)</f>
        <v>靓坤</v>
      </c>
      <c r="P26" s="81">
        <f>VLOOKUP(O26,D_马仔表!$B$2:$W$20,3,FALSE)</f>
        <v>1</v>
      </c>
      <c r="Q26" s="39">
        <f>IFERROR(VLOOKUP(R26,CHOOSE({1,2},技能辅助表!$B$3:$B$83,技能辅助表!$A$3:$A$82),2,FALSE),0)</f>
        <v>32</v>
      </c>
      <c r="R26" s="39">
        <f t="shared" si="1"/>
        <v>4</v>
      </c>
      <c r="S26" s="29" t="str">
        <f t="shared" si="2"/>
        <v>召唤出场时，为主角增加加伤百分比X%，持续Y秒。</v>
      </c>
      <c r="T26" s="115" t="str">
        <f>IFERROR(REPLACE(S26,FIND("X",S26),LEN("X"),IF(M26=1,ROUNDDOWN(K26/VLOOKUP(J26,$W$8:$AH$27,$AH$6,FALSE)*100,2),ROUNDUP(K26/VLOOKUP(J26,$W$8:$AH$27,$AH$6,FALSE),2))),S26)</f>
        <v>召唤出场时，为主角增加加伤百分比6.42%，持续Y秒。</v>
      </c>
      <c r="W26" s="29">
        <f>[4]D_BUFF表!A20</f>
        <v>19</v>
      </c>
      <c r="X26" s="72" t="str">
        <f>[4]D_BUFF表!D20</f>
        <v>模型变大，增加移动速度，增加攻击力，防御力</v>
      </c>
      <c r="Y26" s="6" t="s">
        <v>631</v>
      </c>
      <c r="Z26" s="6">
        <f>[4]D_BUFF表!E20</f>
        <v>1</v>
      </c>
      <c r="AA26" s="87">
        <f t="shared" si="13"/>
        <v>1.4285714285714287E-2</v>
      </c>
      <c r="AB26" s="60">
        <v>0.1</v>
      </c>
      <c r="AC26" s="68">
        <f t="shared" si="14"/>
        <v>1.4285714285714287E-2</v>
      </c>
      <c r="AD26" s="6">
        <v>15</v>
      </c>
      <c r="AE26" s="6">
        <v>20</v>
      </c>
      <c r="AF26" s="6">
        <f t="shared" ref="AF26" si="21">(AE26-AD26)/AG26</f>
        <v>0.7142857142857143</v>
      </c>
      <c r="AG26" s="6">
        <v>7</v>
      </c>
      <c r="AH26">
        <v>1</v>
      </c>
    </row>
    <row r="27" spans="1:37" ht="14.45" customHeight="1">
      <c r="A27" s="41">
        <f t="shared" si="17"/>
        <v>9607202</v>
      </c>
      <c r="B27" s="29" t="str">
        <f t="shared" si="18"/>
        <v>弱点分析</v>
      </c>
      <c r="C27" s="75" t="str">
        <f t="shared" si="3"/>
        <v>召唤出场时，减少场上所有敌人命中值12.85%，持续16.43秒。</v>
      </c>
      <c r="D27" s="6">
        <f t="shared" si="19"/>
        <v>2</v>
      </c>
      <c r="E27" s="6" t="str">
        <f t="shared" si="20"/>
        <v>9607201.png</v>
      </c>
      <c r="F27" s="51">
        <f t="shared" si="0"/>
        <v>0</v>
      </c>
      <c r="G27" s="76" t="str">
        <f t="shared" si="4"/>
        <v>无属性</v>
      </c>
      <c r="H27" s="51">
        <f>VLOOKUP(O27,$W$32:$AC$50,5,FALSE)*D27</f>
        <v>0</v>
      </c>
      <c r="I27" s="76">
        <f t="shared" si="6"/>
        <v>0</v>
      </c>
      <c r="J27" s="77">
        <f t="shared" si="7"/>
        <v>17</v>
      </c>
      <c r="K27" s="63">
        <f t="shared" si="9"/>
        <v>0.12857142857142856</v>
      </c>
      <c r="L27" s="53">
        <f t="shared" si="10"/>
        <v>16.428571428571427</v>
      </c>
      <c r="M27" s="29">
        <f t="shared" si="11"/>
        <v>1</v>
      </c>
      <c r="N27" s="75">
        <v>0</v>
      </c>
      <c r="O27" s="82" t="str">
        <f>VLOOKUP(INT(A27/100)*100+1,CHOOSE({1,2},D_马仔表!$J$2:$J$20,D_马仔表!$B$2:$B$20),2,FALSE)</f>
        <v>雷复轰</v>
      </c>
      <c r="P27" s="81">
        <f>VLOOKUP(O27,D_马仔表!$B$2:$W$20,3,FALSE)</f>
        <v>1</v>
      </c>
      <c r="Q27" s="39">
        <f>IFERROR(VLOOKUP(R27,CHOOSE({1,2},技能辅助表!$B$3:$B$83,技能辅助表!$A$3:$A$82),2,FALSE),0)</f>
        <v>32</v>
      </c>
      <c r="R27" s="39">
        <f t="shared" si="1"/>
        <v>4</v>
      </c>
      <c r="S27" s="29" t="str">
        <f t="shared" si="2"/>
        <v>召唤出场时，减少场上所有敌人命中值X%，持续Y秒。</v>
      </c>
      <c r="T27" s="115" t="str">
        <f t="shared" si="8"/>
        <v>召唤出场时，减少场上所有敌人命中值12.85%，持续Y秒。</v>
      </c>
      <c r="W27" s="29">
        <f>[4]D_BUFF表!A21</f>
        <v>20</v>
      </c>
      <c r="X27" s="72" t="str">
        <f>[4]D_BUFF表!D21</f>
        <v>让敌人变小，减少敌人速度，攻击力，防御力</v>
      </c>
      <c r="Y27" s="6" t="s">
        <v>632</v>
      </c>
      <c r="Z27" s="6">
        <f>[4]D_BUFF表!E21</f>
        <v>1</v>
      </c>
      <c r="AA27" s="87">
        <f t="shared" si="13"/>
        <v>1.4285714285714287E-2</v>
      </c>
      <c r="AB27" s="60">
        <v>0.1</v>
      </c>
      <c r="AC27" s="68">
        <f t="shared" si="14"/>
        <v>1.4285714285714287E-2</v>
      </c>
      <c r="AD27" s="6">
        <v>15</v>
      </c>
      <c r="AE27" s="6">
        <v>20</v>
      </c>
      <c r="AF27" s="6">
        <f t="shared" ref="AF27" si="22">(AE27-AD27)/AG27</f>
        <v>0.7142857142857143</v>
      </c>
      <c r="AG27" s="6">
        <v>7</v>
      </c>
      <c r="AH27">
        <v>1</v>
      </c>
    </row>
    <row r="28" spans="1:37" ht="14.45" customHeight="1">
      <c r="A28" s="41">
        <f t="shared" si="17"/>
        <v>9608202</v>
      </c>
      <c r="B28" s="29" t="str">
        <f t="shared" si="18"/>
        <v>硬气功</v>
      </c>
      <c r="C28" s="75" t="str">
        <f t="shared" si="3"/>
        <v>召唤出场时，为主角增加减伤百分比6.42%，持续16.43秒。</v>
      </c>
      <c r="D28" s="6">
        <f t="shared" si="19"/>
        <v>2</v>
      </c>
      <c r="E28" s="6" t="str">
        <f t="shared" si="20"/>
        <v>9608201.png</v>
      </c>
      <c r="F28" s="51">
        <f t="shared" si="0"/>
        <v>0</v>
      </c>
      <c r="G28" s="76" t="str">
        <f t="shared" si="4"/>
        <v>无属性</v>
      </c>
      <c r="H28" s="51">
        <f t="shared" si="5"/>
        <v>0</v>
      </c>
      <c r="I28" s="76">
        <f t="shared" si="6"/>
        <v>0</v>
      </c>
      <c r="J28" s="77">
        <f t="shared" si="7"/>
        <v>13</v>
      </c>
      <c r="K28" s="63">
        <f t="shared" si="9"/>
        <v>4285.7142857142862</v>
      </c>
      <c r="L28" s="53">
        <f t="shared" si="10"/>
        <v>16.428571428571427</v>
      </c>
      <c r="M28" s="29">
        <f t="shared" si="11"/>
        <v>1</v>
      </c>
      <c r="N28" s="75">
        <v>0</v>
      </c>
      <c r="O28" s="82" t="str">
        <f>VLOOKUP(INT(A28/100)*100+1,CHOOSE({1,2},D_马仔表!$J$2:$J$20,D_马仔表!$B$2:$B$20),2,FALSE)</f>
        <v>肥仔</v>
      </c>
      <c r="P28" s="81">
        <f>VLOOKUP(O28,D_马仔表!$B$2:$W$20,3,FALSE)</f>
        <v>1</v>
      </c>
      <c r="Q28" s="39">
        <f>IFERROR(VLOOKUP(R28,CHOOSE({1,2},技能辅助表!$B$3:$B$83,技能辅助表!$A$3:$A$82),2,FALSE),0)</f>
        <v>32</v>
      </c>
      <c r="R28" s="39">
        <f t="shared" si="1"/>
        <v>4</v>
      </c>
      <c r="S28" s="29" t="str">
        <f t="shared" si="2"/>
        <v>召唤出场时，为主角增加减伤百分比X%，持续Y秒。</v>
      </c>
      <c r="T28" s="115" t="str">
        <f t="shared" si="8"/>
        <v>召唤出场时，为主角增加减伤百分比6.42%，持续Y秒。</v>
      </c>
      <c r="W28" s="27"/>
      <c r="X28" s="84"/>
      <c r="Z28" s="27"/>
      <c r="AA28" s="85"/>
      <c r="AB28" s="85"/>
      <c r="AC28" s="27"/>
      <c r="AD28" s="27"/>
      <c r="AE28" s="27"/>
      <c r="AF28" s="27"/>
      <c r="AG28" s="27"/>
    </row>
    <row r="29" spans="1:37" ht="14.45" customHeight="1">
      <c r="A29" s="41">
        <f t="shared" si="17"/>
        <v>9609202</v>
      </c>
      <c r="B29" s="29" t="str">
        <f t="shared" si="18"/>
        <v>坚毅之躯</v>
      </c>
      <c r="C29" s="75" t="str">
        <f t="shared" si="3"/>
        <v>召唤出场时，为主角增加生命最大值百分比4.28%,持续16.43秒。</v>
      </c>
      <c r="D29" s="6">
        <f t="shared" si="19"/>
        <v>2</v>
      </c>
      <c r="E29" s="6" t="str">
        <f t="shared" si="20"/>
        <v>9609201.png</v>
      </c>
      <c r="F29" s="51">
        <f t="shared" si="0"/>
        <v>0</v>
      </c>
      <c r="G29" s="76" t="str">
        <f t="shared" si="4"/>
        <v>无属性</v>
      </c>
      <c r="H29" s="51">
        <f t="shared" si="5"/>
        <v>0</v>
      </c>
      <c r="I29" s="76">
        <f t="shared" si="6"/>
        <v>0</v>
      </c>
      <c r="J29" s="77">
        <f t="shared" si="7"/>
        <v>4</v>
      </c>
      <c r="K29" s="63">
        <f t="shared" si="9"/>
        <v>4.2857142857142858E-2</v>
      </c>
      <c r="L29" s="53">
        <f t="shared" si="10"/>
        <v>16.428571428571427</v>
      </c>
      <c r="M29" s="29">
        <f t="shared" si="11"/>
        <v>1</v>
      </c>
      <c r="N29" s="75">
        <v>0</v>
      </c>
      <c r="O29" s="82" t="str">
        <f>VLOOKUP(INT(A29/100)*100+1,CHOOSE({1,2},D_马仔表!$J$2:$J$20,D_马仔表!$B$2:$B$20),2,FALSE)</f>
        <v>司徒浩南</v>
      </c>
      <c r="P29" s="81">
        <f>VLOOKUP(O29,D_马仔表!$B$2:$W$20,3,FALSE)</f>
        <v>2</v>
      </c>
      <c r="Q29" s="39">
        <f>IFERROR(VLOOKUP(R29,CHOOSE({1,2},技能辅助表!$B$3:$B$83,技能辅助表!$A$3:$A$82),2,FALSE),0)</f>
        <v>32</v>
      </c>
      <c r="R29" s="39">
        <f t="shared" si="1"/>
        <v>4</v>
      </c>
      <c r="S29" s="29" t="str">
        <f t="shared" si="2"/>
        <v>召唤出场时，为主角增加生命最大值百分比X%,持续Y秒。</v>
      </c>
      <c r="T29" s="115" t="str">
        <f t="shared" si="8"/>
        <v>召唤出场时，为主角增加生命最大值百分比4.28%,持续Y秒。</v>
      </c>
    </row>
    <row r="30" spans="1:37" ht="14.45" customHeight="1">
      <c r="A30" s="41">
        <f t="shared" si="17"/>
        <v>9610202</v>
      </c>
      <c r="B30" s="29" t="str">
        <f t="shared" si="18"/>
        <v>战斗意志</v>
      </c>
      <c r="C30" s="75" t="str">
        <f t="shared" si="3"/>
        <v>召唤出场时，为主角增加攻击力百分比4.28%,持续16.43秒。</v>
      </c>
      <c r="D30" s="6">
        <f t="shared" si="19"/>
        <v>2</v>
      </c>
      <c r="E30" s="6" t="str">
        <f t="shared" si="20"/>
        <v>9610201.png</v>
      </c>
      <c r="F30" s="51">
        <f t="shared" si="0"/>
        <v>0</v>
      </c>
      <c r="G30" s="76" t="str">
        <f t="shared" si="4"/>
        <v>无属性</v>
      </c>
      <c r="H30" s="51">
        <f t="shared" si="5"/>
        <v>0</v>
      </c>
      <c r="I30" s="76">
        <f t="shared" si="6"/>
        <v>0</v>
      </c>
      <c r="J30" s="77">
        <f t="shared" si="7"/>
        <v>5</v>
      </c>
      <c r="K30" s="63">
        <f t="shared" si="9"/>
        <v>4.2857142857142858E-2</v>
      </c>
      <c r="L30" s="53">
        <f t="shared" si="10"/>
        <v>16.428571428571427</v>
      </c>
      <c r="M30" s="29">
        <f t="shared" si="11"/>
        <v>1</v>
      </c>
      <c r="N30" s="75">
        <v>0</v>
      </c>
      <c r="O30" s="82" t="str">
        <f>VLOOKUP(INT(A30/100)*100+1,CHOOSE({1,2},D_马仔表!$J$2:$J$20,D_马仔表!$B$2:$B$20),2,FALSE)</f>
        <v>乌鸦</v>
      </c>
      <c r="P30" s="81">
        <f>VLOOKUP(O30,D_马仔表!$B$2:$W$20,3,FALSE)</f>
        <v>2</v>
      </c>
      <c r="Q30" s="39">
        <f>IFERROR(VLOOKUP(R30,CHOOSE({1,2},技能辅助表!$B$3:$B$83,技能辅助表!$A$3:$A$82),2,FALSE),0)</f>
        <v>32</v>
      </c>
      <c r="R30" s="39">
        <f t="shared" si="1"/>
        <v>4</v>
      </c>
      <c r="S30" s="29" t="str">
        <f t="shared" si="2"/>
        <v>召唤出场时，为主角增加攻击力百分比X%,持续Y秒。</v>
      </c>
      <c r="T30" s="115" t="str">
        <f t="shared" si="8"/>
        <v>召唤出场时，为主角增加攻击力百分比4.28%,持续Y秒。</v>
      </c>
      <c r="W30">
        <v>1</v>
      </c>
      <c r="X30">
        <v>2</v>
      </c>
      <c r="Y30">
        <v>3</v>
      </c>
      <c r="Z30">
        <v>4</v>
      </c>
      <c r="AA30">
        <v>5</v>
      </c>
      <c r="AB30">
        <v>6</v>
      </c>
      <c r="AC30">
        <v>7</v>
      </c>
      <c r="AD30">
        <v>8</v>
      </c>
      <c r="AE30">
        <v>9</v>
      </c>
      <c r="AF30">
        <v>10</v>
      </c>
    </row>
    <row r="31" spans="1:37" ht="14.45" customHeight="1">
      <c r="A31" s="41">
        <f t="shared" si="17"/>
        <v>9611202</v>
      </c>
      <c r="B31" s="29" t="str">
        <f t="shared" si="18"/>
        <v>金手指</v>
      </c>
      <c r="C31" s="75" t="str">
        <f t="shared" si="3"/>
        <v>召唤出场时，主角所有技能立刻全部CD完毕。</v>
      </c>
      <c r="D31" s="6">
        <f t="shared" si="19"/>
        <v>2</v>
      </c>
      <c r="E31" s="6" t="str">
        <f t="shared" si="20"/>
        <v>9611201.png</v>
      </c>
      <c r="F31" s="51">
        <f t="shared" si="0"/>
        <v>0</v>
      </c>
      <c r="G31" s="76" t="str">
        <f t="shared" si="4"/>
        <v>无属性</v>
      </c>
      <c r="H31" s="51">
        <f t="shared" si="5"/>
        <v>0</v>
      </c>
      <c r="I31" s="76">
        <f t="shared" si="6"/>
        <v>0</v>
      </c>
      <c r="J31" s="77">
        <f t="shared" si="7"/>
        <v>18</v>
      </c>
      <c r="K31" s="63">
        <f t="shared" si="9"/>
        <v>0</v>
      </c>
      <c r="L31" s="53">
        <f t="shared" si="10"/>
        <v>0</v>
      </c>
      <c r="M31" s="29">
        <f t="shared" si="11"/>
        <v>0</v>
      </c>
      <c r="N31" s="75">
        <v>0</v>
      </c>
      <c r="O31" s="82" t="str">
        <f>VLOOKUP(INT(A31/100)*100+1,CHOOSE({1,2},D_马仔表!$J$2:$J$20,D_马仔表!$B$2:$B$20),2,FALSE)</f>
        <v>赌王</v>
      </c>
      <c r="P31" s="81">
        <f>VLOOKUP(O31,D_马仔表!$B$2:$W$20,3,FALSE)</f>
        <v>2</v>
      </c>
      <c r="Q31" s="39">
        <f>IFERROR(VLOOKUP(R31,CHOOSE({1,2},技能辅助表!$B$3:$B$83,技能辅助表!$A$3:$A$82),2,FALSE),0)</f>
        <v>32</v>
      </c>
      <c r="R31" s="39">
        <f t="shared" si="1"/>
        <v>4</v>
      </c>
      <c r="S31" s="29" t="str">
        <f t="shared" si="2"/>
        <v>召唤出场时，主角所有技能立刻全部CD完毕。</v>
      </c>
      <c r="T31" s="115" t="str">
        <f t="shared" si="8"/>
        <v>召唤出场时，主角所有技能立刻全部CD完毕。</v>
      </c>
      <c r="W31" s="66" t="s">
        <v>327</v>
      </c>
      <c r="X31" s="66" t="s">
        <v>376</v>
      </c>
      <c r="Y31" s="66" t="s">
        <v>326</v>
      </c>
      <c r="Z31" s="66" t="s">
        <v>345</v>
      </c>
      <c r="AA31" s="66" t="s">
        <v>346</v>
      </c>
      <c r="AB31" s="66" t="s">
        <v>347</v>
      </c>
      <c r="AC31" s="66" t="s">
        <v>355</v>
      </c>
      <c r="AD31" s="66" t="s">
        <v>350</v>
      </c>
      <c r="AE31" s="66" t="s">
        <v>349</v>
      </c>
      <c r="AF31" s="66"/>
    </row>
    <row r="32" spans="1:37" ht="14.45" customHeight="1">
      <c r="A32" s="41">
        <f t="shared" si="17"/>
        <v>9612202</v>
      </c>
      <c r="B32" s="29" t="str">
        <f t="shared" si="18"/>
        <v>明镜止水</v>
      </c>
      <c r="C32" s="75" t="str">
        <f t="shared" si="3"/>
        <v>召唤出场时，减少场上所有敌人攻击力4.28%，持续16.43秒。</v>
      </c>
      <c r="D32" s="6">
        <f t="shared" si="19"/>
        <v>2</v>
      </c>
      <c r="E32" s="6" t="str">
        <f t="shared" si="20"/>
        <v>9612201.png</v>
      </c>
      <c r="F32" s="51">
        <f t="shared" si="0"/>
        <v>0</v>
      </c>
      <c r="G32" s="76" t="str">
        <f t="shared" si="4"/>
        <v>无属性</v>
      </c>
      <c r="H32" s="51">
        <f t="shared" si="5"/>
        <v>0</v>
      </c>
      <c r="I32" s="76">
        <f t="shared" si="6"/>
        <v>0</v>
      </c>
      <c r="J32" s="77">
        <f t="shared" si="7"/>
        <v>15</v>
      </c>
      <c r="K32" s="63">
        <f t="shared" si="9"/>
        <v>4.2857142857142858E-2</v>
      </c>
      <c r="L32" s="53">
        <f t="shared" si="10"/>
        <v>16.428571428571427</v>
      </c>
      <c r="M32" s="29">
        <f t="shared" si="11"/>
        <v>1</v>
      </c>
      <c r="N32" s="75">
        <v>0</v>
      </c>
      <c r="O32" s="82" t="str">
        <f>VLOOKUP(INT(A32/100)*100+1,CHOOSE({1,2},D_马仔表!$J$2:$J$20,D_马仔表!$B$2:$B$20),2,FALSE)</f>
        <v>山下忠秀</v>
      </c>
      <c r="P32" s="81">
        <f>VLOOKUP(O32,D_马仔表!$B$2:$W$20,3,FALSE)</f>
        <v>2</v>
      </c>
      <c r="Q32" s="39">
        <f>IFERROR(VLOOKUP(R32,CHOOSE({1,2},技能辅助表!$B$3:$B$83,技能辅助表!$A$3:$A$82),2,FALSE),0)</f>
        <v>32</v>
      </c>
      <c r="R32" s="39">
        <f t="shared" si="1"/>
        <v>4</v>
      </c>
      <c r="S32" s="29" t="str">
        <f t="shared" si="2"/>
        <v>召唤出场时，减少场上所有敌人攻击力X%，持续Y秒。</v>
      </c>
      <c r="T32" s="115" t="str">
        <f t="shared" si="8"/>
        <v>召唤出场时，减少场上所有敌人攻击力4.28%，持续Y秒。</v>
      </c>
      <c r="V32" s="27"/>
      <c r="W32" s="4" t="str">
        <f>D_马仔表!B2</f>
        <v>制服太妹</v>
      </c>
      <c r="X32" s="6" t="s">
        <v>362</v>
      </c>
      <c r="Y32" s="61">
        <f>VLOOKUP(X32,CHOOSE({1,2},$X$8:$X$27,$W$8:$W$27),2,FALSE)</f>
        <v>3</v>
      </c>
      <c r="Z32" s="6" t="s">
        <v>329</v>
      </c>
      <c r="AA32" s="14">
        <v>0</v>
      </c>
      <c r="AB32" s="14">
        <v>0</v>
      </c>
      <c r="AC32" s="14">
        <f t="shared" ref="AC32" si="23">VLOOKUP(Z32,$X$54:$AB$70,3,FALSE)</f>
        <v>0</v>
      </c>
      <c r="AD32" s="43">
        <f>IFERROR(VLOOKUP(Z32,$X$54:$AB$70,4,FALSE)/VLOOKUP(Z32,$X$54:$AB$70,5,FALSE),0)</f>
        <v>0</v>
      </c>
      <c r="AE32" s="6"/>
      <c r="AF32" s="6">
        <v>7</v>
      </c>
    </row>
    <row r="33" spans="1:33" ht="14.45" customHeight="1">
      <c r="A33" s="41">
        <f t="shared" si="17"/>
        <v>9613202</v>
      </c>
      <c r="B33" s="29" t="str">
        <f t="shared" si="18"/>
        <v>阳炎</v>
      </c>
      <c r="C33" s="75" t="str">
        <f t="shared" si="3"/>
        <v>召唤出场时，减少场上所有敌人防御力4.28%，持续16.43秒。</v>
      </c>
      <c r="D33" s="6">
        <f t="shared" si="19"/>
        <v>2</v>
      </c>
      <c r="E33" s="6" t="str">
        <f t="shared" si="20"/>
        <v>9613201.png</v>
      </c>
      <c r="F33" s="51">
        <f t="shared" si="0"/>
        <v>0</v>
      </c>
      <c r="G33" s="76" t="str">
        <f t="shared" si="4"/>
        <v>无属性</v>
      </c>
      <c r="H33" s="51">
        <f t="shared" si="5"/>
        <v>0</v>
      </c>
      <c r="I33" s="76">
        <f t="shared" si="6"/>
        <v>0</v>
      </c>
      <c r="J33" s="77">
        <f t="shared" si="7"/>
        <v>16</v>
      </c>
      <c r="K33" s="63">
        <f t="shared" si="9"/>
        <v>4.2857142857142858E-2</v>
      </c>
      <c r="L33" s="53">
        <f t="shared" si="10"/>
        <v>16.428571428571427</v>
      </c>
      <c r="M33" s="29">
        <f t="shared" si="11"/>
        <v>1</v>
      </c>
      <c r="N33" s="75">
        <v>0</v>
      </c>
      <c r="O33" s="82" t="str">
        <f>VLOOKUP(INT(A33/100)*100+1,CHOOSE({1,2},D_马仔表!$J$2:$J$20,D_马仔表!$B$2:$B$20),2,FALSE)</f>
        <v>宫本一</v>
      </c>
      <c r="P33" s="81">
        <f>VLOOKUP(O33,D_马仔表!$B$2:$W$20,3,FALSE)</f>
        <v>2</v>
      </c>
      <c r="Q33" s="39">
        <f>IFERROR(VLOOKUP(R33,CHOOSE({1,2},技能辅助表!$B$3:$B$83,技能辅助表!$A$3:$A$82),2,FALSE),0)</f>
        <v>32</v>
      </c>
      <c r="R33" s="39">
        <f t="shared" si="1"/>
        <v>4</v>
      </c>
      <c r="S33" s="29" t="str">
        <f t="shared" si="2"/>
        <v>召唤出场时，减少场上所有敌人防御力X%，持续Y秒。</v>
      </c>
      <c r="T33" s="115" t="str">
        <f t="shared" si="8"/>
        <v>召唤出场时，减少场上所有敌人防御力4.28%，持续Y秒。</v>
      </c>
      <c r="V33" s="27"/>
      <c r="W33" s="4" t="str">
        <f>D_马仔表!B3</f>
        <v>蟹仔</v>
      </c>
      <c r="X33" s="6" t="s">
        <v>367</v>
      </c>
      <c r="Y33" s="61">
        <f>VLOOKUP(X33,CHOOSE({1,2},$X$8:$X$27,$W$8:$W$27),2,FALSE)</f>
        <v>9</v>
      </c>
      <c r="Z33" s="6" t="s">
        <v>329</v>
      </c>
      <c r="AA33" s="14">
        <v>0</v>
      </c>
      <c r="AB33" s="14">
        <v>0</v>
      </c>
      <c r="AC33" s="14">
        <f t="shared" ref="AC33:AC50" si="24">VLOOKUP(Z33,$X$54:$AB$70,3,FALSE)</f>
        <v>0</v>
      </c>
      <c r="AD33" s="43">
        <f t="shared" ref="AD33:AD50" si="25">IFERROR(VLOOKUP(Z33,$X$54:$AB$70,4,FALSE)/VLOOKUP(Z33,$X$54:$AB$70,5,FALSE),0)</f>
        <v>0</v>
      </c>
      <c r="AE33" s="6"/>
      <c r="AF33" s="6">
        <v>7</v>
      </c>
    </row>
    <row r="34" spans="1:33" ht="14.45" customHeight="1">
      <c r="A34" s="41">
        <f t="shared" si="17"/>
        <v>9614202</v>
      </c>
      <c r="B34" s="29" t="str">
        <f t="shared" si="18"/>
        <v>霸气纵横</v>
      </c>
      <c r="C34" s="75" t="str">
        <f t="shared" si="3"/>
        <v>召唤出场时，主角进入无敌状态，持续6.43秒。</v>
      </c>
      <c r="D34" s="6">
        <f t="shared" si="19"/>
        <v>2</v>
      </c>
      <c r="E34" s="6" t="str">
        <f t="shared" si="20"/>
        <v>9614201.png</v>
      </c>
      <c r="F34" s="51">
        <f t="shared" ref="F34:F65" si="26">VLOOKUP(G34,$X$54:$Y$70,2,FALSE)</f>
        <v>0</v>
      </c>
      <c r="G34" s="76" t="str">
        <f t="shared" si="4"/>
        <v>无属性</v>
      </c>
      <c r="H34" s="51">
        <f t="shared" si="5"/>
        <v>0</v>
      </c>
      <c r="I34" s="76">
        <f t="shared" si="6"/>
        <v>0</v>
      </c>
      <c r="J34" s="77">
        <f t="shared" si="7"/>
        <v>1</v>
      </c>
      <c r="K34" s="63">
        <f t="shared" si="9"/>
        <v>0</v>
      </c>
      <c r="L34" s="53">
        <f t="shared" si="10"/>
        <v>6.4285714285714288</v>
      </c>
      <c r="M34" s="29">
        <f t="shared" si="11"/>
        <v>0</v>
      </c>
      <c r="N34" s="75">
        <v>0</v>
      </c>
      <c r="O34" s="82" t="str">
        <f>VLOOKUP(INT(A34/100)*100+1,CHOOSE({1,2},D_马仔表!$J$2:$J$20,D_马仔表!$B$2:$B$20),2,FALSE)</f>
        <v>陈浩南</v>
      </c>
      <c r="P34" s="81">
        <f>VLOOKUP(O34,D_马仔表!$B$2:$W$20,3,FALSE)</f>
        <v>3</v>
      </c>
      <c r="Q34" s="39">
        <f>IFERROR(VLOOKUP(R34,CHOOSE({1,2},技能辅助表!$B$3:$B$83,技能辅助表!$A$3:$A$82),2,FALSE),0)</f>
        <v>32</v>
      </c>
      <c r="R34" s="39">
        <f t="shared" si="1"/>
        <v>4</v>
      </c>
      <c r="S34" s="29" t="str">
        <f t="shared" ref="S34:S65" si="27">VLOOKUP(J34,$W$8:$AG$27,3,FALSE)</f>
        <v>召唤出场时，主角进入无敌状态，持续Y秒。</v>
      </c>
      <c r="T34" s="115" t="str">
        <f t="shared" ref="T34:T65" si="28">IFERROR(REPLACE(S34,FIND("X",S34),LEN("X"),IF(M34=1,ROUNDDOWN(K34/VLOOKUP(J34,$W$8:$AH$27,$AH$6,FALSE)*100,2),ROUNDUP(K34/VLOOKUP(J34,$W$8:$AH$27,$AH$6,FALSE),2))),S34)</f>
        <v>召唤出场时，主角进入无敌状态，持续Y秒。</v>
      </c>
      <c r="V34" s="27"/>
      <c r="W34" s="4" t="str">
        <f>D_马仔表!B4</f>
        <v>比利</v>
      </c>
      <c r="X34" s="6" t="s">
        <v>366</v>
      </c>
      <c r="Y34" s="61">
        <f>VLOOKUP(X34,CHOOSE({1,2},$X$8:$X$27,$W$8:$W$27),2,FALSE)</f>
        <v>10</v>
      </c>
      <c r="Z34" s="6" t="s">
        <v>329</v>
      </c>
      <c r="AA34" s="14">
        <v>0</v>
      </c>
      <c r="AB34" s="14">
        <v>0</v>
      </c>
      <c r="AC34" s="14">
        <f t="shared" si="24"/>
        <v>0</v>
      </c>
      <c r="AD34" s="43">
        <f t="shared" si="25"/>
        <v>0</v>
      </c>
      <c r="AE34" s="6"/>
      <c r="AF34" s="6">
        <v>7</v>
      </c>
    </row>
    <row r="35" spans="1:33" ht="14.45" customHeight="1">
      <c r="A35" s="41">
        <f t="shared" si="17"/>
        <v>9615202</v>
      </c>
      <c r="B35" s="29" t="str">
        <f t="shared" si="18"/>
        <v>猛虎出山</v>
      </c>
      <c r="C35" s="75" t="str">
        <f t="shared" si="3"/>
        <v>召唤出场时，主角进入霸体状态，持续17.86秒。</v>
      </c>
      <c r="D35" s="6">
        <f t="shared" si="19"/>
        <v>2</v>
      </c>
      <c r="E35" s="6" t="str">
        <f t="shared" si="20"/>
        <v>9615201.png</v>
      </c>
      <c r="F35" s="51">
        <f t="shared" si="26"/>
        <v>0</v>
      </c>
      <c r="G35" s="76" t="str">
        <f t="shared" si="4"/>
        <v>无属性</v>
      </c>
      <c r="H35" s="51">
        <f t="shared" si="5"/>
        <v>0</v>
      </c>
      <c r="I35" s="76">
        <f t="shared" si="6"/>
        <v>0</v>
      </c>
      <c r="J35" s="77">
        <f t="shared" si="7"/>
        <v>2</v>
      </c>
      <c r="K35" s="63">
        <f t="shared" si="9"/>
        <v>80</v>
      </c>
      <c r="L35" s="53">
        <f t="shared" si="10"/>
        <v>17.857142857142858</v>
      </c>
      <c r="M35" s="29">
        <f t="shared" si="11"/>
        <v>0</v>
      </c>
      <c r="N35" s="75">
        <v>0</v>
      </c>
      <c r="O35" s="82" t="str">
        <f>VLOOKUP(INT(A35/100)*100+1,CHOOSE({1,2},D_马仔表!$J$2:$J$20,D_马仔表!$B$2:$B$20),2,FALSE)</f>
        <v>山鸡</v>
      </c>
      <c r="P35" s="81">
        <f>VLOOKUP(O35,D_马仔表!$B$2:$W$20,3,FALSE)</f>
        <v>3</v>
      </c>
      <c r="Q35" s="39">
        <f>IFERROR(VLOOKUP(R35,CHOOSE({1,2},技能辅助表!$B$3:$B$83,技能辅助表!$A$3:$A$82),2,FALSE),0)</f>
        <v>32</v>
      </c>
      <c r="R35" s="39">
        <f t="shared" si="1"/>
        <v>4</v>
      </c>
      <c r="S35" s="29" t="str">
        <f t="shared" si="27"/>
        <v>召唤出场时，主角进入霸体状态，持续Y秒。</v>
      </c>
      <c r="T35" s="115" t="str">
        <f t="shared" si="28"/>
        <v>召唤出场时，主角进入霸体状态，持续Y秒。</v>
      </c>
      <c r="V35" s="27"/>
      <c r="W35" s="4" t="str">
        <f>D_马仔表!B5</f>
        <v>黎九</v>
      </c>
      <c r="X35" s="6" t="s">
        <v>368</v>
      </c>
      <c r="Y35" s="61">
        <f>VLOOKUP(X35,CHOOSE({1,2},$X$8:$X$27,$W$8:$W$27),2,FALSE)</f>
        <v>8</v>
      </c>
      <c r="Z35" s="6" t="s">
        <v>329</v>
      </c>
      <c r="AA35" s="14">
        <v>0</v>
      </c>
      <c r="AB35" s="14">
        <v>0</v>
      </c>
      <c r="AC35" s="14">
        <f t="shared" si="24"/>
        <v>0</v>
      </c>
      <c r="AD35" s="43">
        <f t="shared" si="25"/>
        <v>0</v>
      </c>
      <c r="AE35" s="6"/>
      <c r="AF35" s="6">
        <v>7</v>
      </c>
    </row>
    <row r="36" spans="1:33" ht="14.45" customHeight="1">
      <c r="A36" s="41">
        <f t="shared" si="17"/>
        <v>9616202</v>
      </c>
      <c r="B36" s="29" t="str">
        <f t="shared" si="18"/>
        <v>武魂</v>
      </c>
      <c r="C36" s="75" t="str">
        <f t="shared" si="3"/>
        <v>召唤出场时，主角体型变大，移动速度、攻击力、防御力增加4.28%,持续16.43秒。</v>
      </c>
      <c r="D36" s="6">
        <f t="shared" si="19"/>
        <v>2</v>
      </c>
      <c r="E36" s="6" t="str">
        <f t="shared" si="20"/>
        <v>9616201.png</v>
      </c>
      <c r="F36" s="51">
        <f t="shared" si="26"/>
        <v>0</v>
      </c>
      <c r="G36" s="76" t="str">
        <f t="shared" si="4"/>
        <v>无属性</v>
      </c>
      <c r="H36" s="51">
        <f t="shared" si="5"/>
        <v>0</v>
      </c>
      <c r="I36" s="76">
        <f t="shared" si="6"/>
        <v>0</v>
      </c>
      <c r="J36" s="77">
        <f t="shared" si="7"/>
        <v>19</v>
      </c>
      <c r="K36" s="63">
        <f t="shared" si="9"/>
        <v>4.2857142857142858E-2</v>
      </c>
      <c r="L36" s="53">
        <f t="shared" si="10"/>
        <v>16.428571428571427</v>
      </c>
      <c r="M36" s="29">
        <f t="shared" si="11"/>
        <v>1</v>
      </c>
      <c r="N36" s="75">
        <v>0</v>
      </c>
      <c r="O36" s="82" t="str">
        <f>VLOOKUP(INT(A36/100)*100+1,CHOOSE({1,2},D_马仔表!$J$2:$J$20,D_马仔表!$B$2:$B$20),2,FALSE)</f>
        <v>大天二</v>
      </c>
      <c r="P36" s="81">
        <f>VLOOKUP(O36,D_马仔表!$B$2:$W$20,3,FALSE)</f>
        <v>3</v>
      </c>
      <c r="Q36" s="39">
        <f>IFERROR(VLOOKUP(R36,CHOOSE({1,2},技能辅助表!$B$3:$B$83,技能辅助表!$A$3:$A$82),2,FALSE),0)</f>
        <v>32</v>
      </c>
      <c r="R36" s="39">
        <f t="shared" si="1"/>
        <v>4</v>
      </c>
      <c r="S36" s="29" t="str">
        <f t="shared" si="27"/>
        <v>召唤出场时，主角体型变大，移动速度、攻击力、防御力增加X%,持续Y秒。</v>
      </c>
      <c r="T36" s="115" t="str">
        <f t="shared" si="28"/>
        <v>召唤出场时，主角体型变大，移动速度、攻击力、防御力增加4.28%,持续Y秒。</v>
      </c>
      <c r="V36" s="27"/>
      <c r="W36" s="4" t="str">
        <f>D_马仔表!B6</f>
        <v>黑古</v>
      </c>
      <c r="X36" s="6" t="s">
        <v>364</v>
      </c>
      <c r="Y36" s="61">
        <f>VLOOKUP(X36,CHOOSE({1,2},$X$8:$X$27,$W$8:$W$27),2,FALSE)</f>
        <v>11</v>
      </c>
      <c r="Z36" s="6" t="s">
        <v>329</v>
      </c>
      <c r="AA36" s="14">
        <v>0</v>
      </c>
      <c r="AB36" s="14">
        <v>0</v>
      </c>
      <c r="AC36" s="14">
        <f t="shared" si="24"/>
        <v>0</v>
      </c>
      <c r="AD36" s="43">
        <f t="shared" si="25"/>
        <v>0</v>
      </c>
      <c r="AE36" s="6"/>
      <c r="AF36" s="6">
        <v>7</v>
      </c>
    </row>
    <row r="37" spans="1:33" ht="14.45" customHeight="1">
      <c r="A37" s="113">
        <f t="shared" si="17"/>
        <v>9617202</v>
      </c>
      <c r="B37" s="29" t="str">
        <f t="shared" si="18"/>
        <v>净化</v>
      </c>
      <c r="C37" s="75" t="str">
        <f t="shared" ref="C37:C39" si="29">IF(F37=0,IFERROR(REPLACE(T37,FIND("Y",T37),LEN("Y"),ROUNDUP(L37,2)),T37),IF(F37=0,"","永久增加主角"&amp;IF(I37&lt;1,ROUNDUP(I37*100,2)&amp;"%",ROUNDUP(I37,0))&amp;G37&amp;",")&amp;IFERROR(REPLACE(T37,FIND("Y",T37),LEN("Y"),ROUNDUP(L37,2)),T37))</f>
        <v>召唤出场时，场上所有敌人的BUFF会被全部清除。</v>
      </c>
      <c r="D37" s="6">
        <f t="shared" si="19"/>
        <v>2</v>
      </c>
      <c r="E37" s="6" t="str">
        <f t="shared" si="20"/>
        <v>9601201.png</v>
      </c>
      <c r="F37" s="51">
        <f t="shared" si="26"/>
        <v>0</v>
      </c>
      <c r="G37" s="76" t="str">
        <f t="shared" si="4"/>
        <v>无属性</v>
      </c>
      <c r="H37" s="51">
        <f t="shared" si="5"/>
        <v>0</v>
      </c>
      <c r="I37" s="76">
        <f t="shared" si="6"/>
        <v>0</v>
      </c>
      <c r="J37" s="77">
        <f t="shared" si="7"/>
        <v>14</v>
      </c>
      <c r="K37" s="63">
        <f t="shared" ref="K37:K68" si="30">VLOOKUP(J37,$W$8:$AG$27,$AA$6,FALSE)+VLOOKUP(J37,$W$8:$AG$27,$AC$6,FALSE)*D37</f>
        <v>0</v>
      </c>
      <c r="L37" s="53">
        <f t="shared" ref="L37:L68" si="31">VLOOKUP(J37,$W$8:$AG$27,$AD$6,FALSE)+VLOOKUP(J37,$W$8:$AG$27,$AF$6,FALSE)*D37</f>
        <v>0</v>
      </c>
      <c r="M37" s="29">
        <f t="shared" ref="M37:M68" si="32">VLOOKUP(J37,$W$8:$AG$27,$Z$6,FALSE)</f>
        <v>0</v>
      </c>
      <c r="N37" s="75">
        <v>0</v>
      </c>
      <c r="O37" s="82" t="str">
        <f>VLOOKUP(INT(A37/100)*100+1,CHOOSE({1,2},D_马仔表!$J$2:$J$20,D_马仔表!$B$2:$B$20),2,FALSE)</f>
        <v>巴闭</v>
      </c>
      <c r="P37" s="81">
        <f>VLOOKUP(O37,D_马仔表!$B$2:$W$20,3,FALSE)</f>
        <v>1</v>
      </c>
      <c r="Q37" s="39">
        <f>IFERROR(VLOOKUP(R37,CHOOSE({1,2},技能辅助表!$B$3:$B$83,技能辅助表!$A$3:$A$82),2,FALSE),0)</f>
        <v>32</v>
      </c>
      <c r="R37" s="39">
        <f t="shared" ref="R37:R39" si="33">D37+2</f>
        <v>4</v>
      </c>
      <c r="S37" s="29" t="str">
        <f t="shared" si="27"/>
        <v>召唤出场时，场上所有敌人的BUFF会被全部清除。</v>
      </c>
      <c r="T37" s="115" t="str">
        <f t="shared" si="28"/>
        <v>召唤出场时，场上所有敌人的BUFF会被全部清除。</v>
      </c>
      <c r="V37" s="27"/>
      <c r="W37" s="4" t="str">
        <f>D_马仔表!B7</f>
        <v>靓坤</v>
      </c>
      <c r="X37" s="6" t="s">
        <v>365</v>
      </c>
      <c r="Y37" s="61">
        <v>12</v>
      </c>
      <c r="Z37" s="6" t="s">
        <v>329</v>
      </c>
      <c r="AA37" s="14">
        <v>0</v>
      </c>
      <c r="AB37" s="14">
        <v>0</v>
      </c>
      <c r="AC37" s="14">
        <f t="shared" si="24"/>
        <v>0</v>
      </c>
      <c r="AD37" s="43">
        <f t="shared" si="25"/>
        <v>0</v>
      </c>
      <c r="AE37" s="6"/>
      <c r="AF37" s="6">
        <v>7</v>
      </c>
      <c r="AG37" s="29" t="s">
        <v>337</v>
      </c>
    </row>
    <row r="38" spans="1:33" ht="14.45" customHeight="1">
      <c r="A38" s="113">
        <f t="shared" si="17"/>
        <v>9618202</v>
      </c>
      <c r="B38" s="29" t="str">
        <f t="shared" si="18"/>
        <v>震慑</v>
      </c>
      <c r="C38" s="75" t="str">
        <f t="shared" si="29"/>
        <v>召唤出场时，场上所有敌人，体型变小，移动速度，攻击力，防御力降低4.28%，持续16.43秒。</v>
      </c>
      <c r="D38" s="6">
        <f t="shared" si="19"/>
        <v>2</v>
      </c>
      <c r="E38" s="6" t="str">
        <f t="shared" si="20"/>
        <v>9612201.png</v>
      </c>
      <c r="F38" s="51">
        <f t="shared" si="26"/>
        <v>0</v>
      </c>
      <c r="G38" s="76" t="str">
        <f t="shared" si="4"/>
        <v>无属性</v>
      </c>
      <c r="H38" s="51">
        <f t="shared" si="5"/>
        <v>0</v>
      </c>
      <c r="I38" s="76">
        <f t="shared" si="6"/>
        <v>0</v>
      </c>
      <c r="J38" s="77">
        <f t="shared" si="7"/>
        <v>20</v>
      </c>
      <c r="K38" s="63">
        <f t="shared" si="30"/>
        <v>4.2857142857142858E-2</v>
      </c>
      <c r="L38" s="53">
        <f t="shared" si="31"/>
        <v>16.428571428571427</v>
      </c>
      <c r="M38" s="29">
        <f t="shared" si="32"/>
        <v>1</v>
      </c>
      <c r="N38" s="75">
        <v>0</v>
      </c>
      <c r="O38" s="82" t="str">
        <f>VLOOKUP(INT(A38/100)*100+1,CHOOSE({1,2},D_马仔表!$J$2:$J$20,D_马仔表!$B$2:$B$20),2,FALSE)</f>
        <v>耀阳</v>
      </c>
      <c r="P38" s="81">
        <f>VLOOKUP(O38,D_马仔表!$B$2:$W$20,3,FALSE)</f>
        <v>2</v>
      </c>
      <c r="Q38" s="39">
        <f>IFERROR(VLOOKUP(R38,CHOOSE({1,2},技能辅助表!$B$3:$B$83,技能辅助表!$A$3:$A$82),2,FALSE),0)</f>
        <v>32</v>
      </c>
      <c r="R38" s="39">
        <f t="shared" si="33"/>
        <v>4</v>
      </c>
      <c r="S38" s="29" t="str">
        <f t="shared" si="27"/>
        <v>召唤出场时，场上所有敌人，体型变小，移动速度，攻击力，防御力降低X%，持续Y秒。</v>
      </c>
      <c r="T38" s="115" t="str">
        <f t="shared" si="28"/>
        <v>召唤出场时，场上所有敌人，体型变小，移动速度，攻击力，防御力降低4.28%，持续Y秒。</v>
      </c>
      <c r="V38" s="27"/>
      <c r="W38" s="4" t="str">
        <f>D_马仔表!B8</f>
        <v>雷复轰</v>
      </c>
      <c r="X38" s="6" t="s">
        <v>370</v>
      </c>
      <c r="Y38" s="61">
        <f>VLOOKUP(X38,CHOOSE({1,2},$X$8:$X$27,$W$8:$W$27),2,FALSE)</f>
        <v>17</v>
      </c>
      <c r="Z38" s="6" t="s">
        <v>329</v>
      </c>
      <c r="AA38" s="14">
        <v>0</v>
      </c>
      <c r="AB38" s="14">
        <v>0</v>
      </c>
      <c r="AC38" s="14">
        <f t="shared" si="24"/>
        <v>0</v>
      </c>
      <c r="AD38" s="43">
        <f t="shared" si="25"/>
        <v>0</v>
      </c>
      <c r="AE38" s="6"/>
      <c r="AF38" s="6">
        <v>7</v>
      </c>
      <c r="AG38" s="29" t="s">
        <v>342</v>
      </c>
    </row>
    <row r="39" spans="1:33" ht="14.45" customHeight="1">
      <c r="A39" s="113">
        <f t="shared" si="17"/>
        <v>9619202</v>
      </c>
      <c r="B39" s="29" t="str">
        <f t="shared" si="18"/>
        <v>暴怒</v>
      </c>
      <c r="C39" s="75" t="str">
        <f t="shared" si="29"/>
        <v>召唤出场时，为主角增加暴击倍数21.42%，持续16.43秒。</v>
      </c>
      <c r="D39" s="6">
        <f t="shared" si="19"/>
        <v>2</v>
      </c>
      <c r="E39" s="6" t="str">
        <f t="shared" si="20"/>
        <v>9604201.png</v>
      </c>
      <c r="F39" s="51">
        <f t="shared" si="26"/>
        <v>0</v>
      </c>
      <c r="G39" s="76" t="str">
        <f t="shared" si="4"/>
        <v>无属性</v>
      </c>
      <c r="H39" s="51">
        <f t="shared" si="5"/>
        <v>0</v>
      </c>
      <c r="I39" s="76">
        <f t="shared" si="6"/>
        <v>0</v>
      </c>
      <c r="J39" s="77">
        <f t="shared" si="7"/>
        <v>7</v>
      </c>
      <c r="K39" s="63">
        <f t="shared" si="30"/>
        <v>10714.285714285714</v>
      </c>
      <c r="L39" s="53">
        <f t="shared" si="31"/>
        <v>16.428571428571427</v>
      </c>
      <c r="M39" s="29">
        <f t="shared" si="32"/>
        <v>1</v>
      </c>
      <c r="N39" s="75">
        <v>0</v>
      </c>
      <c r="O39" s="82" t="str">
        <f>VLOOKUP(INT(A39/100)*100+1,CHOOSE({1,2},D_马仔表!$J$2:$J$20,D_马仔表!$B$2:$B$20),2,FALSE)</f>
        <v>笑面虎</v>
      </c>
      <c r="P39" s="81">
        <f>VLOOKUP(O39,D_马仔表!$B$2:$W$20,3,FALSE)</f>
        <v>2</v>
      </c>
      <c r="Q39" s="39">
        <f>IFERROR(VLOOKUP(R39,CHOOSE({1,2},技能辅助表!$B$3:$B$83,技能辅助表!$A$3:$A$82),2,FALSE),0)</f>
        <v>32</v>
      </c>
      <c r="R39" s="39">
        <f t="shared" si="33"/>
        <v>4</v>
      </c>
      <c r="S39" s="29" t="str">
        <f t="shared" si="27"/>
        <v>召唤出场时，为主角增加暴击倍数X%，持续Y秒。</v>
      </c>
      <c r="T39" s="115" t="str">
        <f t="shared" si="28"/>
        <v>召唤出场时，为主角增加暴击倍数21.42%，持续Y秒。</v>
      </c>
      <c r="V39" s="27"/>
      <c r="W39" s="4" t="str">
        <f>D_马仔表!B9</f>
        <v>肥仔</v>
      </c>
      <c r="X39" s="6" t="s">
        <v>573</v>
      </c>
      <c r="Y39" s="61">
        <f>VLOOKUP(X39,CHOOSE({1,2},$X$8:$X$27,$W$8:$W$27),2,FALSE)</f>
        <v>13</v>
      </c>
      <c r="Z39" s="6" t="s">
        <v>329</v>
      </c>
      <c r="AA39" s="14">
        <v>0</v>
      </c>
      <c r="AB39" s="14">
        <v>0</v>
      </c>
      <c r="AC39" s="14">
        <f t="shared" si="24"/>
        <v>0</v>
      </c>
      <c r="AD39" s="43">
        <f t="shared" si="25"/>
        <v>0</v>
      </c>
      <c r="AE39" s="6"/>
      <c r="AF39" s="6">
        <v>7</v>
      </c>
      <c r="AG39" s="29" t="s">
        <v>341</v>
      </c>
    </row>
    <row r="40" spans="1:33" ht="14.45" customHeight="1">
      <c r="A40" s="41">
        <f t="shared" si="17"/>
        <v>9601203</v>
      </c>
      <c r="B40" s="29" t="str">
        <f t="shared" si="18"/>
        <v>急救</v>
      </c>
      <c r="C40" s="75" t="str">
        <f t="shared" si="3"/>
        <v>召唤出场时，为主角回复17.14%最大生命值。</v>
      </c>
      <c r="D40" s="6">
        <f t="shared" si="19"/>
        <v>3</v>
      </c>
      <c r="E40" s="6" t="str">
        <f t="shared" si="20"/>
        <v>9601201.png</v>
      </c>
      <c r="F40" s="51">
        <f t="shared" si="26"/>
        <v>0</v>
      </c>
      <c r="G40" s="76" t="str">
        <f t="shared" si="4"/>
        <v>无属性</v>
      </c>
      <c r="H40" s="51">
        <f t="shared" si="5"/>
        <v>0</v>
      </c>
      <c r="I40" s="76">
        <f t="shared" si="6"/>
        <v>0</v>
      </c>
      <c r="J40" s="77">
        <f t="shared" si="7"/>
        <v>3</v>
      </c>
      <c r="K40" s="63">
        <f t="shared" si="30"/>
        <v>0.17142857142857143</v>
      </c>
      <c r="L40" s="53">
        <f t="shared" si="31"/>
        <v>0</v>
      </c>
      <c r="M40" s="29">
        <f t="shared" si="32"/>
        <v>1</v>
      </c>
      <c r="N40" s="75">
        <v>0</v>
      </c>
      <c r="O40" s="82" t="str">
        <f>VLOOKUP(INT(A40/100)*100+1,CHOOSE({1,2},D_马仔表!$J$2:$J$20,D_马仔表!$B$2:$B$20),2,FALSE)</f>
        <v>制服太妹</v>
      </c>
      <c r="P40" s="81">
        <f>VLOOKUP(O40,D_马仔表!$B$2:$W$20,3,FALSE)</f>
        <v>0</v>
      </c>
      <c r="Q40" s="39">
        <f>IFERROR(VLOOKUP(R40,CHOOSE({1,2},技能辅助表!$B$3:$B$83,技能辅助表!$A$3:$A$82),2,FALSE),0)</f>
        <v>40</v>
      </c>
      <c r="R40" s="39">
        <f t="shared" ref="R40:R74" si="34">D40+2</f>
        <v>5</v>
      </c>
      <c r="S40" s="29" t="str">
        <f t="shared" si="27"/>
        <v>召唤出场时，为主角回复X%最大生命值。</v>
      </c>
      <c r="T40" s="115" t="str">
        <f t="shared" si="28"/>
        <v>召唤出场时，为主角回复17.14%最大生命值。</v>
      </c>
      <c r="V40" s="27"/>
      <c r="W40" s="4" t="str">
        <f>D_马仔表!B10</f>
        <v>司徒浩南</v>
      </c>
      <c r="X40" s="6" t="s">
        <v>363</v>
      </c>
      <c r="Y40" s="61">
        <f>VLOOKUP(X40,CHOOSE({1,2},$X$8:$X$27,$W$8:$W$27),2,FALSE)</f>
        <v>4</v>
      </c>
      <c r="Z40" s="6" t="s">
        <v>329</v>
      </c>
      <c r="AA40" s="14">
        <v>0</v>
      </c>
      <c r="AB40" s="14">
        <v>0</v>
      </c>
      <c r="AC40" s="14">
        <f t="shared" si="24"/>
        <v>0</v>
      </c>
      <c r="AD40" s="43">
        <f t="shared" si="25"/>
        <v>0</v>
      </c>
      <c r="AE40" s="6"/>
      <c r="AF40" s="6">
        <v>7</v>
      </c>
      <c r="AG40" s="29" t="s">
        <v>339</v>
      </c>
    </row>
    <row r="41" spans="1:33" ht="14.45" customHeight="1">
      <c r="A41" s="41">
        <f t="shared" si="17"/>
        <v>9602203</v>
      </c>
      <c r="B41" s="29" t="str">
        <f t="shared" si="18"/>
        <v>鼓舞</v>
      </c>
      <c r="C41" s="75" t="str">
        <f t="shared" si="3"/>
        <v>召唤出场时，为主角增加生命最大值5714.29，持续17.15秒。</v>
      </c>
      <c r="D41" s="6">
        <f t="shared" si="19"/>
        <v>3</v>
      </c>
      <c r="E41" s="6" t="str">
        <f t="shared" si="20"/>
        <v>9602201.png</v>
      </c>
      <c r="F41" s="51">
        <f t="shared" si="26"/>
        <v>0</v>
      </c>
      <c r="G41" s="76" t="str">
        <f t="shared" si="4"/>
        <v>无属性</v>
      </c>
      <c r="H41" s="51">
        <f t="shared" si="5"/>
        <v>0</v>
      </c>
      <c r="I41" s="76">
        <f t="shared" si="6"/>
        <v>0</v>
      </c>
      <c r="J41" s="77">
        <f t="shared" si="7"/>
        <v>9</v>
      </c>
      <c r="K41" s="63">
        <f t="shared" si="30"/>
        <v>5714.2857142857147</v>
      </c>
      <c r="L41" s="53">
        <f t="shared" si="31"/>
        <v>17.142857142857142</v>
      </c>
      <c r="M41" s="29">
        <f t="shared" si="32"/>
        <v>0</v>
      </c>
      <c r="N41" s="75">
        <v>0</v>
      </c>
      <c r="O41" s="82" t="str">
        <f>VLOOKUP(INT(A41/100)*100+1,CHOOSE({1,2},D_马仔表!$J$2:$J$20,D_马仔表!$B$2:$B$20),2,FALSE)</f>
        <v>蟹仔</v>
      </c>
      <c r="P41" s="81">
        <f>VLOOKUP(O41,D_马仔表!$B$2:$W$20,3,FALSE)</f>
        <v>0</v>
      </c>
      <c r="Q41" s="39">
        <f>IFERROR(VLOOKUP(R41,CHOOSE({1,2},技能辅助表!$B$3:$B$83,技能辅助表!$A$3:$A$82),2,FALSE),0)</f>
        <v>40</v>
      </c>
      <c r="R41" s="39">
        <f t="shared" si="34"/>
        <v>5</v>
      </c>
      <c r="S41" s="29" t="str">
        <f t="shared" si="27"/>
        <v>召唤出场时，为主角增加生命最大值X，持续Y秒。</v>
      </c>
      <c r="T41" s="115" t="str">
        <f t="shared" si="28"/>
        <v>召唤出场时，为主角增加生命最大值5714.29，持续Y秒。</v>
      </c>
      <c r="V41" s="27"/>
      <c r="W41" s="4" t="str">
        <f>D_马仔表!B11</f>
        <v>乌鸦</v>
      </c>
      <c r="X41" s="6" t="s">
        <v>572</v>
      </c>
      <c r="Y41" s="61">
        <v>5</v>
      </c>
      <c r="Z41" s="6" t="s">
        <v>329</v>
      </c>
      <c r="AA41" s="14">
        <v>0</v>
      </c>
      <c r="AB41" s="14">
        <v>0</v>
      </c>
      <c r="AC41" s="14">
        <f t="shared" si="24"/>
        <v>0</v>
      </c>
      <c r="AD41" s="43">
        <f t="shared" si="25"/>
        <v>0</v>
      </c>
      <c r="AE41" s="6"/>
      <c r="AF41" s="6">
        <v>7</v>
      </c>
      <c r="AG41" s="29" t="s">
        <v>338</v>
      </c>
    </row>
    <row r="42" spans="1:33" ht="14.45" customHeight="1">
      <c r="A42" s="41">
        <f t="shared" si="17"/>
        <v>9603203</v>
      </c>
      <c r="B42" s="29" t="str">
        <f t="shared" si="18"/>
        <v>激励</v>
      </c>
      <c r="C42" s="75" t="str">
        <f t="shared" si="3"/>
        <v>召唤出场时，为主角增加攻击力742.86，持续17.15秒。</v>
      </c>
      <c r="D42" s="6">
        <f t="shared" si="19"/>
        <v>3</v>
      </c>
      <c r="E42" s="6" t="str">
        <f t="shared" si="20"/>
        <v>9603201.png</v>
      </c>
      <c r="F42" s="51">
        <f t="shared" si="26"/>
        <v>0</v>
      </c>
      <c r="G42" s="76" t="str">
        <f t="shared" si="4"/>
        <v>无属性</v>
      </c>
      <c r="H42" s="51">
        <f t="shared" si="5"/>
        <v>0</v>
      </c>
      <c r="I42" s="76">
        <f t="shared" si="6"/>
        <v>0</v>
      </c>
      <c r="J42" s="77">
        <f t="shared" si="7"/>
        <v>10</v>
      </c>
      <c r="K42" s="63">
        <f t="shared" si="30"/>
        <v>742.85714285714289</v>
      </c>
      <c r="L42" s="53">
        <f t="shared" si="31"/>
        <v>17.142857142857142</v>
      </c>
      <c r="M42" s="29">
        <f t="shared" si="32"/>
        <v>0</v>
      </c>
      <c r="N42" s="75">
        <v>0</v>
      </c>
      <c r="O42" s="82" t="str">
        <f>VLOOKUP(INT(A42/100)*100+1,CHOOSE({1,2},D_马仔表!$J$2:$J$20,D_马仔表!$B$2:$B$20),2,FALSE)</f>
        <v>比利</v>
      </c>
      <c r="P42" s="81">
        <f>VLOOKUP(O42,D_马仔表!$B$2:$W$20,3,FALSE)</f>
        <v>0</v>
      </c>
      <c r="Q42" s="39">
        <f>IFERROR(VLOOKUP(R42,CHOOSE({1,2},技能辅助表!$B$3:$B$83,技能辅助表!$A$3:$A$82),2,FALSE),0)</f>
        <v>40</v>
      </c>
      <c r="R42" s="39">
        <f t="shared" si="34"/>
        <v>5</v>
      </c>
      <c r="S42" s="29" t="str">
        <f t="shared" si="27"/>
        <v>召唤出场时，为主角增加攻击力X，持续Y秒。</v>
      </c>
      <c r="T42" s="115" t="str">
        <f t="shared" si="28"/>
        <v>召唤出场时，为主角增加攻击力742.86，持续Y秒。</v>
      </c>
      <c r="V42" s="27"/>
      <c r="W42" s="4" t="str">
        <f>D_马仔表!B12</f>
        <v>赌王</v>
      </c>
      <c r="X42" s="6" t="s">
        <v>369</v>
      </c>
      <c r="Y42" s="61">
        <f>VLOOKUP(X42,CHOOSE({1,2},$X$8:$X$27,$W$8:$W$27),2,FALSE)</f>
        <v>18</v>
      </c>
      <c r="Z42" s="6" t="s">
        <v>329</v>
      </c>
      <c r="AA42" s="14">
        <v>0</v>
      </c>
      <c r="AB42" s="14">
        <v>0</v>
      </c>
      <c r="AC42" s="14">
        <f t="shared" si="24"/>
        <v>0</v>
      </c>
      <c r="AD42" s="43">
        <f t="shared" si="25"/>
        <v>0</v>
      </c>
      <c r="AE42" s="6"/>
      <c r="AF42" s="6">
        <v>7</v>
      </c>
      <c r="AG42" s="29" t="s">
        <v>339</v>
      </c>
    </row>
    <row r="43" spans="1:33" ht="14.45" customHeight="1">
      <c r="A43" s="41">
        <f t="shared" si="17"/>
        <v>9604203</v>
      </c>
      <c r="B43" s="29" t="str">
        <f t="shared" si="18"/>
        <v>鞭策</v>
      </c>
      <c r="C43" s="75" t="str">
        <f t="shared" si="3"/>
        <v>召唤出场时，为主角增加暴击值0.09，持续17.15秒。</v>
      </c>
      <c r="D43" s="6">
        <f t="shared" si="19"/>
        <v>3</v>
      </c>
      <c r="E43" s="6" t="str">
        <f t="shared" si="20"/>
        <v>9604201.png</v>
      </c>
      <c r="F43" s="51">
        <f t="shared" si="26"/>
        <v>0</v>
      </c>
      <c r="G43" s="76" t="str">
        <f t="shared" si="4"/>
        <v>无属性</v>
      </c>
      <c r="H43" s="51">
        <f t="shared" si="5"/>
        <v>0</v>
      </c>
      <c r="I43" s="76">
        <f t="shared" si="6"/>
        <v>0</v>
      </c>
      <c r="J43" s="77">
        <f t="shared" si="7"/>
        <v>8</v>
      </c>
      <c r="K43" s="63">
        <f t="shared" si="30"/>
        <v>14285.714285714288</v>
      </c>
      <c r="L43" s="53">
        <f t="shared" si="31"/>
        <v>17.142857142857142</v>
      </c>
      <c r="M43" s="29">
        <f t="shared" si="32"/>
        <v>0</v>
      </c>
      <c r="N43" s="75">
        <v>0</v>
      </c>
      <c r="O43" s="82" t="str">
        <f>VLOOKUP(INT(A43/100)*100+1,CHOOSE({1,2},D_马仔表!$J$2:$J$20,D_马仔表!$B$2:$B$20),2,FALSE)</f>
        <v>黎九</v>
      </c>
      <c r="P43" s="81">
        <f>VLOOKUP(O43,D_马仔表!$B$2:$W$20,3,FALSE)</f>
        <v>0</v>
      </c>
      <c r="Q43" s="39">
        <f>IFERROR(VLOOKUP(R43,CHOOSE({1,2},技能辅助表!$B$3:$B$83,技能辅助表!$A$3:$A$82),2,FALSE),0)</f>
        <v>40</v>
      </c>
      <c r="R43" s="39">
        <f t="shared" si="34"/>
        <v>5</v>
      </c>
      <c r="S43" s="29" t="str">
        <f t="shared" si="27"/>
        <v>召唤出场时，为主角增加暴击值X，持续Y秒。</v>
      </c>
      <c r="T43" s="115" t="str">
        <f t="shared" si="28"/>
        <v>召唤出场时，为主角增加暴击值0.09，持续Y秒。</v>
      </c>
      <c r="V43" s="27"/>
      <c r="W43" s="4" t="str">
        <f>D_马仔表!B13</f>
        <v>山下忠秀</v>
      </c>
      <c r="X43" s="6" t="s">
        <v>371</v>
      </c>
      <c r="Y43" s="61">
        <f>VLOOKUP(X43,CHOOSE({1,2},$X$8:$X$27,$W$8:$W$27),2,FALSE)</f>
        <v>15</v>
      </c>
      <c r="Z43" s="6" t="s">
        <v>329</v>
      </c>
      <c r="AA43" s="14">
        <v>0</v>
      </c>
      <c r="AB43" s="14">
        <v>0</v>
      </c>
      <c r="AC43" s="14">
        <f t="shared" si="24"/>
        <v>0</v>
      </c>
      <c r="AD43" s="43">
        <f t="shared" si="25"/>
        <v>0</v>
      </c>
      <c r="AE43" s="6"/>
      <c r="AF43" s="6">
        <v>7</v>
      </c>
      <c r="AG43" s="29" t="s">
        <v>343</v>
      </c>
    </row>
    <row r="44" spans="1:33" ht="14.45" customHeight="1">
      <c r="A44" s="41">
        <f t="shared" si="17"/>
        <v>9605203</v>
      </c>
      <c r="B44" s="29" t="str">
        <f t="shared" si="18"/>
        <v>守护</v>
      </c>
      <c r="C44" s="75" t="str">
        <f t="shared" si="3"/>
        <v>召唤出场时，为主角增加防御力457.15，持续17.15秒。</v>
      </c>
      <c r="D44" s="6">
        <f t="shared" si="19"/>
        <v>3</v>
      </c>
      <c r="E44" s="6" t="str">
        <f t="shared" si="20"/>
        <v>9605201.png</v>
      </c>
      <c r="F44" s="51">
        <f t="shared" si="26"/>
        <v>0</v>
      </c>
      <c r="G44" s="76" t="str">
        <f t="shared" si="4"/>
        <v>无属性</v>
      </c>
      <c r="H44" s="51">
        <f t="shared" si="5"/>
        <v>0</v>
      </c>
      <c r="I44" s="76">
        <f t="shared" si="6"/>
        <v>0</v>
      </c>
      <c r="J44" s="77">
        <f t="shared" si="7"/>
        <v>11</v>
      </c>
      <c r="K44" s="63">
        <f t="shared" si="30"/>
        <v>457.14285714285717</v>
      </c>
      <c r="L44" s="53">
        <f t="shared" si="31"/>
        <v>17.142857142857142</v>
      </c>
      <c r="M44" s="29">
        <f t="shared" si="32"/>
        <v>0</v>
      </c>
      <c r="N44" s="75">
        <v>0</v>
      </c>
      <c r="O44" s="82" t="str">
        <f>VLOOKUP(INT(A44/100)*100+1,CHOOSE({1,2},D_马仔表!$J$2:$J$20,D_马仔表!$B$2:$B$20),2,FALSE)</f>
        <v>黑古</v>
      </c>
      <c r="P44" s="81">
        <f>VLOOKUP(O44,D_马仔表!$B$2:$W$20,3,FALSE)</f>
        <v>0</v>
      </c>
      <c r="Q44" s="39">
        <f>IFERROR(VLOOKUP(R44,CHOOSE({1,2},技能辅助表!$B$3:$B$83,技能辅助表!$A$3:$A$82),2,FALSE),0)</f>
        <v>40</v>
      </c>
      <c r="R44" s="39">
        <f t="shared" si="34"/>
        <v>5</v>
      </c>
      <c r="S44" s="29" t="str">
        <f t="shared" si="27"/>
        <v>召唤出场时，为主角增加防御力X，持续Y秒。</v>
      </c>
      <c r="T44" s="115" t="str">
        <f t="shared" si="28"/>
        <v>召唤出场时，为主角增加防御力457.15，持续Y秒。</v>
      </c>
      <c r="V44" s="27"/>
      <c r="W44" s="4" t="str">
        <f>D_马仔表!B14</f>
        <v>宫本一</v>
      </c>
      <c r="X44" s="6" t="s">
        <v>372</v>
      </c>
      <c r="Y44" s="61">
        <f>VLOOKUP(X44,CHOOSE({1,2},$X$8:$X$27,$W$8:$W$27),2,FALSE)</f>
        <v>16</v>
      </c>
      <c r="Z44" s="6" t="s">
        <v>329</v>
      </c>
      <c r="AA44" s="14">
        <v>0</v>
      </c>
      <c r="AB44" s="14">
        <v>0</v>
      </c>
      <c r="AC44" s="14">
        <f t="shared" si="24"/>
        <v>0</v>
      </c>
      <c r="AD44" s="43">
        <f t="shared" si="25"/>
        <v>0</v>
      </c>
      <c r="AE44" s="6"/>
      <c r="AF44" s="6">
        <v>7</v>
      </c>
      <c r="AG44" s="29" t="s">
        <v>344</v>
      </c>
    </row>
    <row r="45" spans="1:33" ht="14.45" customHeight="1">
      <c r="A45" s="41">
        <f t="shared" si="17"/>
        <v>9606203</v>
      </c>
      <c r="B45" s="29" t="str">
        <f t="shared" si="18"/>
        <v>混世魔王</v>
      </c>
      <c r="C45" s="75" t="str">
        <f t="shared" si="3"/>
        <v>召唤出场时，为主角增加加伤百分比8.57%，持续17.15秒。</v>
      </c>
      <c r="D45" s="6">
        <f t="shared" si="19"/>
        <v>3</v>
      </c>
      <c r="E45" s="6" t="str">
        <f t="shared" si="20"/>
        <v>9606201.png</v>
      </c>
      <c r="F45" s="51">
        <f t="shared" si="26"/>
        <v>0</v>
      </c>
      <c r="G45" s="76" t="str">
        <f t="shared" si="4"/>
        <v>无属性</v>
      </c>
      <c r="H45" s="51">
        <f t="shared" si="5"/>
        <v>0</v>
      </c>
      <c r="I45" s="76">
        <f t="shared" si="6"/>
        <v>0</v>
      </c>
      <c r="J45" s="77">
        <f t="shared" si="7"/>
        <v>12</v>
      </c>
      <c r="K45" s="63">
        <f t="shared" si="30"/>
        <v>5714.2857142857147</v>
      </c>
      <c r="L45" s="53">
        <f t="shared" si="31"/>
        <v>17.142857142857142</v>
      </c>
      <c r="M45" s="29">
        <f t="shared" si="32"/>
        <v>1</v>
      </c>
      <c r="N45" s="75">
        <v>0</v>
      </c>
      <c r="O45" s="82" t="str">
        <f>VLOOKUP(INT(A45/100)*100+1,CHOOSE({1,2},D_马仔表!$J$2:$J$20,D_马仔表!$B$2:$B$20),2,FALSE)</f>
        <v>靓坤</v>
      </c>
      <c r="P45" s="81">
        <f>VLOOKUP(O45,D_马仔表!$B$2:$W$20,3,FALSE)</f>
        <v>1</v>
      </c>
      <c r="Q45" s="39">
        <f>IFERROR(VLOOKUP(R45,CHOOSE({1,2},技能辅助表!$B$3:$B$83,技能辅助表!$A$3:$A$82),2,FALSE),0)</f>
        <v>40</v>
      </c>
      <c r="R45" s="39">
        <f t="shared" si="34"/>
        <v>5</v>
      </c>
      <c r="S45" s="29" t="str">
        <f t="shared" si="27"/>
        <v>召唤出场时，为主角增加加伤百分比X%，持续Y秒。</v>
      </c>
      <c r="T45" s="115" t="str">
        <f t="shared" si="28"/>
        <v>召唤出场时，为主角增加加伤百分比8.57%，持续Y秒。</v>
      </c>
      <c r="V45" s="27"/>
      <c r="W45" s="4" t="str">
        <f>D_马仔表!B15</f>
        <v>陈浩南</v>
      </c>
      <c r="X45" s="6" t="s">
        <v>373</v>
      </c>
      <c r="Y45" s="61">
        <f>VLOOKUP(X45,CHOOSE({1,2},$X$8:$X$27,$W$8:$W$27),2,FALSE)</f>
        <v>1</v>
      </c>
      <c r="Z45" s="6" t="s">
        <v>329</v>
      </c>
      <c r="AA45" s="14">
        <v>0</v>
      </c>
      <c r="AB45" s="14">
        <v>0</v>
      </c>
      <c r="AC45" s="14">
        <f t="shared" si="24"/>
        <v>0</v>
      </c>
      <c r="AD45" s="43">
        <f t="shared" si="25"/>
        <v>0</v>
      </c>
      <c r="AE45" s="6"/>
      <c r="AF45" s="6">
        <v>7</v>
      </c>
      <c r="AG45" s="29" t="s">
        <v>337</v>
      </c>
    </row>
    <row r="46" spans="1:33" ht="14.45" customHeight="1">
      <c r="A46" s="41">
        <f t="shared" si="17"/>
        <v>9607203</v>
      </c>
      <c r="B46" s="29" t="str">
        <f t="shared" si="18"/>
        <v>弱点分析</v>
      </c>
      <c r="C46" s="75" t="str">
        <f t="shared" si="3"/>
        <v>召唤出场时，减少场上所有敌人命中值17.14%，持续17.15秒。</v>
      </c>
      <c r="D46" s="6">
        <f t="shared" si="19"/>
        <v>3</v>
      </c>
      <c r="E46" s="6" t="str">
        <f t="shared" si="20"/>
        <v>9607201.png</v>
      </c>
      <c r="F46" s="51">
        <f t="shared" si="26"/>
        <v>0</v>
      </c>
      <c r="G46" s="76" t="str">
        <f t="shared" si="4"/>
        <v>无属性</v>
      </c>
      <c r="H46" s="51">
        <f t="shared" si="5"/>
        <v>0</v>
      </c>
      <c r="I46" s="76">
        <f t="shared" si="6"/>
        <v>0</v>
      </c>
      <c r="J46" s="77">
        <f t="shared" si="7"/>
        <v>17</v>
      </c>
      <c r="K46" s="63">
        <f t="shared" si="30"/>
        <v>0.17142857142857143</v>
      </c>
      <c r="L46" s="53">
        <f t="shared" si="31"/>
        <v>17.142857142857142</v>
      </c>
      <c r="M46" s="29">
        <f t="shared" si="32"/>
        <v>1</v>
      </c>
      <c r="N46" s="75">
        <v>0</v>
      </c>
      <c r="O46" s="82" t="str">
        <f>VLOOKUP(INT(A46/100)*100+1,CHOOSE({1,2},D_马仔表!$J$2:$J$20,D_马仔表!$B$2:$B$20),2,FALSE)</f>
        <v>雷复轰</v>
      </c>
      <c r="P46" s="81">
        <f>VLOOKUP(O46,D_马仔表!$B$2:$W$20,3,FALSE)</f>
        <v>1</v>
      </c>
      <c r="Q46" s="39">
        <f>IFERROR(VLOOKUP(R46,CHOOSE({1,2},技能辅助表!$B$3:$B$83,技能辅助表!$A$3:$A$82),2,FALSE),0)</f>
        <v>40</v>
      </c>
      <c r="R46" s="39">
        <f t="shared" si="34"/>
        <v>5</v>
      </c>
      <c r="S46" s="29" t="str">
        <f t="shared" si="27"/>
        <v>召唤出场时，减少场上所有敌人命中值X%，持续Y秒。</v>
      </c>
      <c r="T46" s="115" t="str">
        <f t="shared" si="28"/>
        <v>召唤出场时，减少场上所有敌人命中值17.14%，持续Y秒。</v>
      </c>
      <c r="V46" s="27"/>
      <c r="W46" s="4" t="str">
        <f>D_马仔表!B16</f>
        <v>山鸡</v>
      </c>
      <c r="X46" s="6" t="s">
        <v>374</v>
      </c>
      <c r="Y46" s="61">
        <f>VLOOKUP(X46,CHOOSE({1,2},$X$8:$X$27,$W$8:$W$27),2,FALSE)</f>
        <v>2</v>
      </c>
      <c r="Z46" s="6" t="s">
        <v>329</v>
      </c>
      <c r="AA46" s="14">
        <v>0</v>
      </c>
      <c r="AB46" s="14">
        <v>0</v>
      </c>
      <c r="AC46" s="14">
        <f t="shared" si="24"/>
        <v>0</v>
      </c>
      <c r="AD46" s="43">
        <f t="shared" si="25"/>
        <v>0</v>
      </c>
      <c r="AE46" s="6"/>
      <c r="AF46" s="6">
        <v>7</v>
      </c>
      <c r="AG46" s="29" t="s">
        <v>340</v>
      </c>
    </row>
    <row r="47" spans="1:33" ht="14.45" customHeight="1">
      <c r="A47" s="41">
        <f t="shared" si="17"/>
        <v>9608203</v>
      </c>
      <c r="B47" s="29" t="str">
        <f t="shared" si="18"/>
        <v>硬气功</v>
      </c>
      <c r="C47" s="75" t="str">
        <f t="shared" si="3"/>
        <v>召唤出场时，为主角增加减伤百分比8.57%，持续17.15秒。</v>
      </c>
      <c r="D47" s="6">
        <f t="shared" si="19"/>
        <v>3</v>
      </c>
      <c r="E47" s="6" t="str">
        <f t="shared" si="20"/>
        <v>9608201.png</v>
      </c>
      <c r="F47" s="51">
        <f t="shared" si="26"/>
        <v>0</v>
      </c>
      <c r="G47" s="76" t="str">
        <f t="shared" si="4"/>
        <v>无属性</v>
      </c>
      <c r="H47" s="51">
        <f t="shared" si="5"/>
        <v>0</v>
      </c>
      <c r="I47" s="76">
        <f t="shared" si="6"/>
        <v>0</v>
      </c>
      <c r="J47" s="77">
        <f t="shared" si="7"/>
        <v>13</v>
      </c>
      <c r="K47" s="63">
        <f t="shared" si="30"/>
        <v>5714.2857142857147</v>
      </c>
      <c r="L47" s="53">
        <f t="shared" si="31"/>
        <v>17.142857142857142</v>
      </c>
      <c r="M47" s="29">
        <f t="shared" si="32"/>
        <v>1</v>
      </c>
      <c r="N47" s="75">
        <v>0</v>
      </c>
      <c r="O47" s="82" t="str">
        <f>VLOOKUP(INT(A47/100)*100+1,CHOOSE({1,2},D_马仔表!$J$2:$J$20,D_马仔表!$B$2:$B$20),2,FALSE)</f>
        <v>肥仔</v>
      </c>
      <c r="P47" s="81">
        <f>VLOOKUP(O47,D_马仔表!$B$2:$W$20,3,FALSE)</f>
        <v>1</v>
      </c>
      <c r="Q47" s="39">
        <f>IFERROR(VLOOKUP(R47,CHOOSE({1,2},技能辅助表!$B$3:$B$83,技能辅助表!$A$3:$A$82),2,FALSE),0)</f>
        <v>40</v>
      </c>
      <c r="R47" s="39">
        <f t="shared" si="34"/>
        <v>5</v>
      </c>
      <c r="S47" s="29" t="str">
        <f t="shared" si="27"/>
        <v>召唤出场时，为主角增加减伤百分比X%，持续Y秒。</v>
      </c>
      <c r="T47" s="115" t="str">
        <f t="shared" si="28"/>
        <v>召唤出场时，为主角增加减伤百分比8.57%，持续Y秒。</v>
      </c>
      <c r="V47" s="27"/>
      <c r="W47" s="4" t="str">
        <f>D_马仔表!B17</f>
        <v>大天二</v>
      </c>
      <c r="X47" s="6" t="s">
        <v>375</v>
      </c>
      <c r="Y47" s="61">
        <f>VLOOKUP(X47,CHOOSE({1,2},$X$8:$X$27,$W$8:$W$27),2,FALSE)</f>
        <v>19</v>
      </c>
      <c r="Z47" s="6" t="s">
        <v>329</v>
      </c>
      <c r="AA47" s="14">
        <v>0</v>
      </c>
      <c r="AB47" s="14">
        <v>0</v>
      </c>
      <c r="AC47" s="14">
        <f t="shared" si="24"/>
        <v>0</v>
      </c>
      <c r="AD47" s="43">
        <f t="shared" si="25"/>
        <v>0</v>
      </c>
      <c r="AE47" s="6"/>
      <c r="AF47" s="6">
        <v>7</v>
      </c>
      <c r="AG47" s="29" t="s">
        <v>339</v>
      </c>
    </row>
    <row r="48" spans="1:33" ht="14.45" customHeight="1">
      <c r="A48" s="41">
        <f t="shared" si="17"/>
        <v>9609203</v>
      </c>
      <c r="B48" s="29" t="str">
        <f t="shared" si="18"/>
        <v>坚毅之躯</v>
      </c>
      <c r="C48" s="75" t="str">
        <f t="shared" si="3"/>
        <v>召唤出场时，为主角增加生命最大值百分比5.71%,持续17.15秒。</v>
      </c>
      <c r="D48" s="6">
        <f t="shared" si="19"/>
        <v>3</v>
      </c>
      <c r="E48" s="6" t="str">
        <f t="shared" si="20"/>
        <v>9609201.png</v>
      </c>
      <c r="F48" s="51">
        <f t="shared" si="26"/>
        <v>0</v>
      </c>
      <c r="G48" s="76" t="str">
        <f t="shared" si="4"/>
        <v>无属性</v>
      </c>
      <c r="H48" s="51">
        <f t="shared" si="5"/>
        <v>0</v>
      </c>
      <c r="I48" s="76">
        <f t="shared" si="6"/>
        <v>0</v>
      </c>
      <c r="J48" s="77">
        <f t="shared" si="7"/>
        <v>4</v>
      </c>
      <c r="K48" s="63">
        <f t="shared" si="30"/>
        <v>5.7142857142857148E-2</v>
      </c>
      <c r="L48" s="53">
        <f t="shared" si="31"/>
        <v>17.142857142857142</v>
      </c>
      <c r="M48" s="29">
        <f t="shared" si="32"/>
        <v>1</v>
      </c>
      <c r="N48" s="75">
        <v>0</v>
      </c>
      <c r="O48" s="82" t="str">
        <f>VLOOKUP(INT(A48/100)*100+1,CHOOSE({1,2},D_马仔表!$J$2:$J$20,D_马仔表!$B$2:$B$20),2,FALSE)</f>
        <v>司徒浩南</v>
      </c>
      <c r="P48" s="81">
        <f>VLOOKUP(O48,D_马仔表!$B$2:$W$20,3,FALSE)</f>
        <v>2</v>
      </c>
      <c r="Q48" s="39">
        <f>IFERROR(VLOOKUP(R48,CHOOSE({1,2},技能辅助表!$B$3:$B$83,技能辅助表!$A$3:$A$82),2,FALSE),0)</f>
        <v>40</v>
      </c>
      <c r="R48" s="39">
        <f t="shared" si="34"/>
        <v>5</v>
      </c>
      <c r="S48" s="29" t="str">
        <f t="shared" si="27"/>
        <v>召唤出场时，为主角增加生命最大值百分比X%,持续Y秒。</v>
      </c>
      <c r="T48" s="115" t="str">
        <f t="shared" si="28"/>
        <v>召唤出场时，为主角增加生命最大值百分比5.71%,持续Y秒。</v>
      </c>
      <c r="W48" s="4" t="str">
        <f>D_马仔表!B18</f>
        <v>巴闭</v>
      </c>
      <c r="X48" s="6" t="s">
        <v>642</v>
      </c>
      <c r="Y48" s="61">
        <f>VLOOKUP(X48,CHOOSE({1,2},$X$8:$X$27,$W$8:$W$27),2,FALSE)</f>
        <v>14</v>
      </c>
      <c r="Z48" s="6" t="s">
        <v>329</v>
      </c>
      <c r="AA48" s="14">
        <v>0</v>
      </c>
      <c r="AB48" s="14">
        <v>0</v>
      </c>
      <c r="AC48" s="14">
        <f t="shared" si="24"/>
        <v>0</v>
      </c>
      <c r="AD48" s="43">
        <f t="shared" si="25"/>
        <v>0</v>
      </c>
      <c r="AE48" s="6"/>
      <c r="AF48" s="6">
        <v>8</v>
      </c>
      <c r="AG48" s="29" t="s">
        <v>640</v>
      </c>
    </row>
    <row r="49" spans="1:33" ht="14.45" customHeight="1">
      <c r="A49" s="41">
        <f t="shared" si="17"/>
        <v>9610203</v>
      </c>
      <c r="B49" s="29" t="str">
        <f t="shared" si="18"/>
        <v>战斗意志</v>
      </c>
      <c r="C49" s="75" t="str">
        <f t="shared" si="3"/>
        <v>召唤出场时，为主角增加攻击力百分比5.71%,持续17.15秒。</v>
      </c>
      <c r="D49" s="6">
        <f t="shared" si="19"/>
        <v>3</v>
      </c>
      <c r="E49" s="6" t="str">
        <f t="shared" si="20"/>
        <v>9610201.png</v>
      </c>
      <c r="F49" s="51">
        <f t="shared" si="26"/>
        <v>0</v>
      </c>
      <c r="G49" s="76" t="str">
        <f t="shared" si="4"/>
        <v>无属性</v>
      </c>
      <c r="H49" s="51">
        <f t="shared" si="5"/>
        <v>0</v>
      </c>
      <c r="I49" s="76">
        <f t="shared" si="6"/>
        <v>0</v>
      </c>
      <c r="J49" s="77">
        <f t="shared" si="7"/>
        <v>5</v>
      </c>
      <c r="K49" s="63">
        <f t="shared" si="30"/>
        <v>5.7142857142857148E-2</v>
      </c>
      <c r="L49" s="53">
        <f t="shared" si="31"/>
        <v>17.142857142857142</v>
      </c>
      <c r="M49" s="29">
        <f t="shared" si="32"/>
        <v>1</v>
      </c>
      <c r="N49" s="75">
        <v>0</v>
      </c>
      <c r="O49" s="82" t="str">
        <f>VLOOKUP(INT(A49/100)*100+1,CHOOSE({1,2},D_马仔表!$J$2:$J$20,D_马仔表!$B$2:$B$20),2,FALSE)</f>
        <v>乌鸦</v>
      </c>
      <c r="P49" s="81">
        <f>VLOOKUP(O49,D_马仔表!$B$2:$W$20,3,FALSE)</f>
        <v>2</v>
      </c>
      <c r="Q49" s="39">
        <f>IFERROR(VLOOKUP(R49,CHOOSE({1,2},技能辅助表!$B$3:$B$83,技能辅助表!$A$3:$A$82),2,FALSE),0)</f>
        <v>40</v>
      </c>
      <c r="R49" s="39">
        <f t="shared" si="34"/>
        <v>5</v>
      </c>
      <c r="S49" s="29" t="str">
        <f t="shared" si="27"/>
        <v>召唤出场时，为主角增加攻击力百分比X%,持续Y秒。</v>
      </c>
      <c r="T49" s="115" t="str">
        <f t="shared" si="28"/>
        <v>召唤出场时，为主角增加攻击力百分比5.71%,持续Y秒。</v>
      </c>
      <c r="W49" s="4" t="str">
        <f>D_马仔表!B19</f>
        <v>耀阳</v>
      </c>
      <c r="X49" s="6" t="s">
        <v>641</v>
      </c>
      <c r="Y49" s="61">
        <f>VLOOKUP(X49,CHOOSE({1,2},$X$8:$X$27,$W$8:$W$27),2,FALSE)</f>
        <v>20</v>
      </c>
      <c r="Z49" s="6" t="s">
        <v>329</v>
      </c>
      <c r="AA49" s="14">
        <v>0</v>
      </c>
      <c r="AB49" s="14">
        <v>0</v>
      </c>
      <c r="AC49" s="14">
        <f t="shared" si="24"/>
        <v>0</v>
      </c>
      <c r="AD49" s="43">
        <f t="shared" si="25"/>
        <v>0</v>
      </c>
      <c r="AE49" s="6"/>
      <c r="AF49" s="6">
        <v>9</v>
      </c>
      <c r="AG49" s="29" t="s">
        <v>340</v>
      </c>
    </row>
    <row r="50" spans="1:33" ht="14.45" customHeight="1">
      <c r="A50" s="41">
        <f t="shared" si="17"/>
        <v>9611203</v>
      </c>
      <c r="B50" s="29" t="str">
        <f t="shared" si="18"/>
        <v>金手指</v>
      </c>
      <c r="C50" s="75" t="str">
        <f t="shared" si="3"/>
        <v>召唤出场时，主角所有技能立刻全部CD完毕。</v>
      </c>
      <c r="D50" s="6">
        <f t="shared" si="19"/>
        <v>3</v>
      </c>
      <c r="E50" s="6" t="str">
        <f t="shared" si="20"/>
        <v>9611201.png</v>
      </c>
      <c r="F50" s="51">
        <f t="shared" si="26"/>
        <v>0</v>
      </c>
      <c r="G50" s="76" t="str">
        <f t="shared" si="4"/>
        <v>无属性</v>
      </c>
      <c r="H50" s="51">
        <f t="shared" si="5"/>
        <v>0</v>
      </c>
      <c r="I50" s="76">
        <f t="shared" si="6"/>
        <v>0</v>
      </c>
      <c r="J50" s="77">
        <f t="shared" si="7"/>
        <v>18</v>
      </c>
      <c r="K50" s="63">
        <f t="shared" si="30"/>
        <v>0</v>
      </c>
      <c r="L50" s="53">
        <f t="shared" si="31"/>
        <v>0</v>
      </c>
      <c r="M50" s="29">
        <f t="shared" si="32"/>
        <v>0</v>
      </c>
      <c r="N50" s="75">
        <v>0</v>
      </c>
      <c r="O50" s="82" t="str">
        <f>VLOOKUP(INT(A50/100)*100+1,CHOOSE({1,2},D_马仔表!$J$2:$J$20,D_马仔表!$B$2:$B$20),2,FALSE)</f>
        <v>赌王</v>
      </c>
      <c r="P50" s="81">
        <f>VLOOKUP(O50,D_马仔表!$B$2:$W$20,3,FALSE)</f>
        <v>2</v>
      </c>
      <c r="Q50" s="39">
        <f>IFERROR(VLOOKUP(R50,CHOOSE({1,2},技能辅助表!$B$3:$B$83,技能辅助表!$A$3:$A$82),2,FALSE),0)</f>
        <v>40</v>
      </c>
      <c r="R50" s="39">
        <f t="shared" si="34"/>
        <v>5</v>
      </c>
      <c r="S50" s="29" t="str">
        <f t="shared" si="27"/>
        <v>召唤出场时，主角所有技能立刻全部CD完毕。</v>
      </c>
      <c r="T50" s="115" t="str">
        <f t="shared" si="28"/>
        <v>召唤出场时，主角所有技能立刻全部CD完毕。</v>
      </c>
      <c r="W50" s="4" t="str">
        <f>D_马仔表!B20</f>
        <v>笑面虎</v>
      </c>
      <c r="X50" s="6" t="s">
        <v>643</v>
      </c>
      <c r="Y50" s="61">
        <f>VLOOKUP(X50,CHOOSE({1,2},$X$8:$X$27,$W$8:$W$27),2,FALSE)</f>
        <v>7</v>
      </c>
      <c r="Z50" s="6" t="s">
        <v>329</v>
      </c>
      <c r="AA50" s="14">
        <v>0</v>
      </c>
      <c r="AB50" s="14">
        <v>0</v>
      </c>
      <c r="AC50" s="14">
        <f t="shared" si="24"/>
        <v>0</v>
      </c>
      <c r="AD50" s="43">
        <f t="shared" si="25"/>
        <v>0</v>
      </c>
      <c r="AE50" s="6"/>
      <c r="AF50" s="6">
        <v>10</v>
      </c>
      <c r="AG50" s="29" t="s">
        <v>342</v>
      </c>
    </row>
    <row r="51" spans="1:33" ht="14.45" customHeight="1">
      <c r="A51" s="41">
        <f t="shared" si="17"/>
        <v>9612203</v>
      </c>
      <c r="B51" s="29" t="str">
        <f t="shared" si="18"/>
        <v>明镜止水</v>
      </c>
      <c r="C51" s="75" t="str">
        <f t="shared" si="3"/>
        <v>召唤出场时，减少场上所有敌人攻击力5.71%，持续17.15秒。</v>
      </c>
      <c r="D51" s="6">
        <f t="shared" si="19"/>
        <v>3</v>
      </c>
      <c r="E51" s="6" t="str">
        <f t="shared" si="20"/>
        <v>9612201.png</v>
      </c>
      <c r="F51" s="51">
        <f t="shared" si="26"/>
        <v>0</v>
      </c>
      <c r="G51" s="76" t="str">
        <f t="shared" si="4"/>
        <v>无属性</v>
      </c>
      <c r="H51" s="51">
        <f t="shared" si="5"/>
        <v>0</v>
      </c>
      <c r="I51" s="76">
        <f t="shared" si="6"/>
        <v>0</v>
      </c>
      <c r="J51" s="77">
        <f t="shared" si="7"/>
        <v>15</v>
      </c>
      <c r="K51" s="63">
        <f t="shared" si="30"/>
        <v>5.7142857142857148E-2</v>
      </c>
      <c r="L51" s="53">
        <f t="shared" si="31"/>
        <v>17.142857142857142</v>
      </c>
      <c r="M51" s="29">
        <f t="shared" si="32"/>
        <v>1</v>
      </c>
      <c r="N51" s="75">
        <v>0</v>
      </c>
      <c r="O51" s="82" t="str">
        <f>VLOOKUP(INT(A51/100)*100+1,CHOOSE({1,2},D_马仔表!$J$2:$J$20,D_马仔表!$B$2:$B$20),2,FALSE)</f>
        <v>山下忠秀</v>
      </c>
      <c r="P51" s="81">
        <f>VLOOKUP(O51,D_马仔表!$B$2:$W$20,3,FALSE)</f>
        <v>2</v>
      </c>
      <c r="Q51" s="39">
        <f>IFERROR(VLOOKUP(R51,CHOOSE({1,2},技能辅助表!$B$3:$B$83,技能辅助表!$A$3:$A$82),2,FALSE),0)</f>
        <v>40</v>
      </c>
      <c r="R51" s="39">
        <f t="shared" si="34"/>
        <v>5</v>
      </c>
      <c r="S51" s="29" t="str">
        <f t="shared" si="27"/>
        <v>召唤出场时，减少场上所有敌人攻击力X%，持续Y秒。</v>
      </c>
      <c r="T51" s="115" t="str">
        <f t="shared" si="28"/>
        <v>召唤出场时，减少场上所有敌人攻击力5.71%，持续Y秒。</v>
      </c>
    </row>
    <row r="52" spans="1:33" ht="14.45" customHeight="1">
      <c r="A52" s="41">
        <f t="shared" si="17"/>
        <v>9613203</v>
      </c>
      <c r="B52" s="29" t="str">
        <f t="shared" si="18"/>
        <v>阳炎</v>
      </c>
      <c r="C52" s="75" t="str">
        <f t="shared" si="3"/>
        <v>召唤出场时，减少场上所有敌人防御力5.71%，持续17.15秒。</v>
      </c>
      <c r="D52" s="6">
        <f t="shared" si="19"/>
        <v>3</v>
      </c>
      <c r="E52" s="6" t="str">
        <f t="shared" si="20"/>
        <v>9613201.png</v>
      </c>
      <c r="F52" s="51">
        <f t="shared" si="26"/>
        <v>0</v>
      </c>
      <c r="G52" s="76" t="str">
        <f t="shared" si="4"/>
        <v>无属性</v>
      </c>
      <c r="H52" s="51">
        <f t="shared" si="5"/>
        <v>0</v>
      </c>
      <c r="I52" s="76">
        <f t="shared" si="6"/>
        <v>0</v>
      </c>
      <c r="J52" s="77">
        <f t="shared" si="7"/>
        <v>16</v>
      </c>
      <c r="K52" s="63">
        <f t="shared" si="30"/>
        <v>5.7142857142857148E-2</v>
      </c>
      <c r="L52" s="53">
        <f t="shared" si="31"/>
        <v>17.142857142857142</v>
      </c>
      <c r="M52" s="29">
        <f t="shared" si="32"/>
        <v>1</v>
      </c>
      <c r="N52" s="75">
        <v>0</v>
      </c>
      <c r="O52" s="82" t="str">
        <f>VLOOKUP(INT(A52/100)*100+1,CHOOSE({1,2},D_马仔表!$J$2:$J$20,D_马仔表!$B$2:$B$20),2,FALSE)</f>
        <v>宫本一</v>
      </c>
      <c r="P52" s="81">
        <f>VLOOKUP(O52,D_马仔表!$B$2:$W$20,3,FALSE)</f>
        <v>2</v>
      </c>
      <c r="Q52" s="39">
        <f>IFERROR(VLOOKUP(R52,CHOOSE({1,2},技能辅助表!$B$3:$B$83,技能辅助表!$A$3:$A$82),2,FALSE),0)</f>
        <v>40</v>
      </c>
      <c r="R52" s="39">
        <f t="shared" si="34"/>
        <v>5</v>
      </c>
      <c r="S52" s="29" t="str">
        <f t="shared" si="27"/>
        <v>召唤出场时，减少场上所有敌人防御力X%，持续Y秒。</v>
      </c>
      <c r="T52" s="115" t="str">
        <f t="shared" si="28"/>
        <v>召唤出场时，减少场上所有敌人防御力5.71%，持续Y秒。</v>
      </c>
    </row>
    <row r="53" spans="1:33" ht="14.45" customHeight="1">
      <c r="A53" s="41">
        <f t="shared" ref="A53:A84" si="35">A34+1</f>
        <v>9614203</v>
      </c>
      <c r="B53" s="29" t="str">
        <f t="shared" ref="B53:B84" si="36">B34</f>
        <v>霸气纵横</v>
      </c>
      <c r="C53" s="75" t="str">
        <f t="shared" si="3"/>
        <v>召唤出场时，主角进入无敌状态，持续7.15秒。</v>
      </c>
      <c r="D53" s="6">
        <f t="shared" ref="D53:D84" si="37">D34+1</f>
        <v>3</v>
      </c>
      <c r="E53" s="6" t="str">
        <f t="shared" ref="E53:E84" si="38">E34</f>
        <v>9614201.png</v>
      </c>
      <c r="F53" s="51">
        <f t="shared" si="26"/>
        <v>0</v>
      </c>
      <c r="G53" s="76" t="str">
        <f t="shared" si="4"/>
        <v>无属性</v>
      </c>
      <c r="H53" s="51">
        <f t="shared" si="5"/>
        <v>0</v>
      </c>
      <c r="I53" s="76">
        <f t="shared" si="6"/>
        <v>0</v>
      </c>
      <c r="J53" s="77">
        <f t="shared" si="7"/>
        <v>1</v>
      </c>
      <c r="K53" s="63">
        <f t="shared" si="30"/>
        <v>0</v>
      </c>
      <c r="L53" s="53">
        <f t="shared" si="31"/>
        <v>7.1428571428571423</v>
      </c>
      <c r="M53" s="29">
        <f t="shared" si="32"/>
        <v>0</v>
      </c>
      <c r="N53" s="75">
        <v>0</v>
      </c>
      <c r="O53" s="82" t="str">
        <f>VLOOKUP(INT(A53/100)*100+1,CHOOSE({1,2},D_马仔表!$J$2:$J$20,D_马仔表!$B$2:$B$20),2,FALSE)</f>
        <v>陈浩南</v>
      </c>
      <c r="P53" s="81">
        <f>VLOOKUP(O53,D_马仔表!$B$2:$W$20,3,FALSE)</f>
        <v>3</v>
      </c>
      <c r="Q53" s="39">
        <f>IFERROR(VLOOKUP(R53,CHOOSE({1,2},技能辅助表!$B$3:$B$83,技能辅助表!$A$3:$A$82),2,FALSE),0)</f>
        <v>40</v>
      </c>
      <c r="R53" s="39">
        <f t="shared" si="34"/>
        <v>5</v>
      </c>
      <c r="S53" s="29" t="str">
        <f t="shared" si="27"/>
        <v>召唤出场时，主角进入无敌状态，持续Y秒。</v>
      </c>
      <c r="T53" s="115" t="str">
        <f t="shared" si="28"/>
        <v>召唤出场时，主角进入无敌状态，持续Y秒。</v>
      </c>
      <c r="X53" s="6"/>
      <c r="Y53" s="6"/>
      <c r="Z53" s="6" t="s">
        <v>352</v>
      </c>
      <c r="AA53" s="136" t="s">
        <v>353</v>
      </c>
      <c r="AB53" s="136"/>
      <c r="AC53" s="6" t="s">
        <v>351</v>
      </c>
      <c r="AD53" s="6" t="s">
        <v>354</v>
      </c>
    </row>
    <row r="54" spans="1:33" ht="14.45" customHeight="1">
      <c r="A54" s="41">
        <f t="shared" si="35"/>
        <v>9615203</v>
      </c>
      <c r="B54" s="29" t="str">
        <f t="shared" si="36"/>
        <v>猛虎出山</v>
      </c>
      <c r="C54" s="75" t="str">
        <f t="shared" si="3"/>
        <v>召唤出场时，主角进入霸体状态，持续19.29秒。</v>
      </c>
      <c r="D54" s="6">
        <f t="shared" si="37"/>
        <v>3</v>
      </c>
      <c r="E54" s="6" t="str">
        <f t="shared" si="38"/>
        <v>9615201.png</v>
      </c>
      <c r="F54" s="51">
        <f t="shared" si="26"/>
        <v>0</v>
      </c>
      <c r="G54" s="76" t="str">
        <f t="shared" si="4"/>
        <v>无属性</v>
      </c>
      <c r="H54" s="51">
        <f t="shared" si="5"/>
        <v>0</v>
      </c>
      <c r="I54" s="76">
        <f t="shared" si="6"/>
        <v>0</v>
      </c>
      <c r="J54" s="77">
        <f t="shared" si="7"/>
        <v>2</v>
      </c>
      <c r="K54" s="63">
        <f t="shared" si="30"/>
        <v>80</v>
      </c>
      <c r="L54" s="53">
        <f t="shared" si="31"/>
        <v>19.285714285714285</v>
      </c>
      <c r="M54" s="29">
        <f t="shared" si="32"/>
        <v>0</v>
      </c>
      <c r="N54" s="75">
        <v>0</v>
      </c>
      <c r="O54" s="82" t="str">
        <f>VLOOKUP(INT(A54/100)*100+1,CHOOSE({1,2},D_马仔表!$J$2:$J$20,D_马仔表!$B$2:$B$20),2,FALSE)</f>
        <v>山鸡</v>
      </c>
      <c r="P54" s="81">
        <f>VLOOKUP(O54,D_马仔表!$B$2:$W$20,3,FALSE)</f>
        <v>3</v>
      </c>
      <c r="Q54" s="39">
        <f>IFERROR(VLOOKUP(R54,CHOOSE({1,2},技能辅助表!$B$3:$B$83,技能辅助表!$A$3:$A$82),2,FALSE),0)</f>
        <v>40</v>
      </c>
      <c r="R54" s="39">
        <f t="shared" si="34"/>
        <v>5</v>
      </c>
      <c r="S54" s="29" t="str">
        <f t="shared" si="27"/>
        <v>召唤出场时，主角进入霸体状态，持续Y秒。</v>
      </c>
      <c r="T54" s="115" t="str">
        <f t="shared" si="28"/>
        <v>召唤出场时，主角进入霸体状态，持续Y秒。</v>
      </c>
      <c r="X54" s="6" t="str">
        <f>'[1]0、规划配置'!B2</f>
        <v>无属性</v>
      </c>
      <c r="Y54" s="6">
        <f>'[1]0、规划配置'!C2</f>
        <v>0</v>
      </c>
      <c r="Z54" s="68"/>
      <c r="AA54" s="6"/>
      <c r="AB54" s="6"/>
      <c r="AC54" s="6"/>
      <c r="AD54" s="6"/>
    </row>
    <row r="55" spans="1:33" ht="14.45" customHeight="1">
      <c r="A55" s="41">
        <f t="shared" si="35"/>
        <v>9616203</v>
      </c>
      <c r="B55" s="29" t="str">
        <f t="shared" si="36"/>
        <v>武魂</v>
      </c>
      <c r="C55" s="75" t="str">
        <f t="shared" si="3"/>
        <v>召唤出场时，主角体型变大，移动速度、攻击力、防御力增加5.71%,持续17.15秒。</v>
      </c>
      <c r="D55" s="6">
        <f t="shared" si="37"/>
        <v>3</v>
      </c>
      <c r="E55" s="6" t="str">
        <f t="shared" si="38"/>
        <v>9616201.png</v>
      </c>
      <c r="F55" s="51">
        <f t="shared" si="26"/>
        <v>0</v>
      </c>
      <c r="G55" s="76" t="str">
        <f t="shared" si="4"/>
        <v>无属性</v>
      </c>
      <c r="H55" s="51">
        <f t="shared" si="5"/>
        <v>0</v>
      </c>
      <c r="I55" s="76">
        <f t="shared" si="6"/>
        <v>0</v>
      </c>
      <c r="J55" s="77">
        <f t="shared" si="7"/>
        <v>19</v>
      </c>
      <c r="K55" s="63">
        <f t="shared" si="30"/>
        <v>5.7142857142857148E-2</v>
      </c>
      <c r="L55" s="53">
        <f t="shared" si="31"/>
        <v>17.142857142857142</v>
      </c>
      <c r="M55" s="29">
        <f t="shared" si="32"/>
        <v>1</v>
      </c>
      <c r="N55" s="75">
        <v>0</v>
      </c>
      <c r="O55" s="82" t="str">
        <f>VLOOKUP(INT(A55/100)*100+1,CHOOSE({1,2},D_马仔表!$J$2:$J$20,D_马仔表!$B$2:$B$20),2,FALSE)</f>
        <v>大天二</v>
      </c>
      <c r="P55" s="81">
        <f>VLOOKUP(O55,D_马仔表!$B$2:$W$20,3,FALSE)</f>
        <v>3</v>
      </c>
      <c r="Q55" s="39">
        <f>IFERROR(VLOOKUP(R55,CHOOSE({1,2},技能辅助表!$B$3:$B$83,技能辅助表!$A$3:$A$82),2,FALSE),0)</f>
        <v>40</v>
      </c>
      <c r="R55" s="39">
        <f t="shared" si="34"/>
        <v>5</v>
      </c>
      <c r="S55" s="29" t="str">
        <f t="shared" si="27"/>
        <v>召唤出场时，主角体型变大，移动速度、攻击力、防御力增加X%,持续Y秒。</v>
      </c>
      <c r="T55" s="115" t="str">
        <f t="shared" si="28"/>
        <v>召唤出场时，主角体型变大，移动速度、攻击力、防御力增加5.71%,持续Y秒。</v>
      </c>
      <c r="X55" s="6" t="str">
        <f>'[1]0、规划配置'!B3</f>
        <v>生命</v>
      </c>
      <c r="Y55" s="6">
        <f>'[1]0、规划配置'!C3</f>
        <v>1</v>
      </c>
      <c r="Z55" s="6"/>
      <c r="AA55" s="6"/>
      <c r="AB55" s="6"/>
      <c r="AC55" s="6"/>
      <c r="AD55" s="6"/>
    </row>
    <row r="56" spans="1:33" ht="14.45" customHeight="1">
      <c r="A56" s="113">
        <f t="shared" si="35"/>
        <v>9617203</v>
      </c>
      <c r="B56" s="29" t="str">
        <f t="shared" si="36"/>
        <v>净化</v>
      </c>
      <c r="C56" s="75" t="str">
        <f t="shared" si="3"/>
        <v>召唤出场时，场上所有敌人的BUFF会被全部清除。</v>
      </c>
      <c r="D56" s="6">
        <f t="shared" si="37"/>
        <v>3</v>
      </c>
      <c r="E56" s="6" t="str">
        <f t="shared" si="38"/>
        <v>9601201.png</v>
      </c>
      <c r="F56" s="51">
        <f t="shared" si="26"/>
        <v>0</v>
      </c>
      <c r="G56" s="76" t="str">
        <f t="shared" si="4"/>
        <v>无属性</v>
      </c>
      <c r="H56" s="51">
        <f t="shared" si="5"/>
        <v>0</v>
      </c>
      <c r="I56" s="76">
        <f t="shared" si="6"/>
        <v>0</v>
      </c>
      <c r="J56" s="77">
        <f t="shared" si="7"/>
        <v>14</v>
      </c>
      <c r="K56" s="63">
        <f t="shared" si="30"/>
        <v>0</v>
      </c>
      <c r="L56" s="53">
        <f t="shared" si="31"/>
        <v>0</v>
      </c>
      <c r="M56" s="29">
        <f t="shared" si="32"/>
        <v>0</v>
      </c>
      <c r="N56" s="75">
        <v>0</v>
      </c>
      <c r="O56" s="82" t="str">
        <f>VLOOKUP(INT(A56/100)*100+1,CHOOSE({1,2},D_马仔表!$J$2:$J$20,D_马仔表!$B$2:$B$20),2,FALSE)</f>
        <v>巴闭</v>
      </c>
      <c r="P56" s="81">
        <f>VLOOKUP(O56,D_马仔表!$B$2:$W$20,3,FALSE)</f>
        <v>1</v>
      </c>
      <c r="Q56" s="39">
        <f>IFERROR(VLOOKUP(R56,CHOOSE({1,2},技能辅助表!$B$3:$B$83,技能辅助表!$A$3:$A$82),2,FALSE),0)</f>
        <v>40</v>
      </c>
      <c r="R56" s="39">
        <f t="shared" si="34"/>
        <v>5</v>
      </c>
      <c r="S56" s="29" t="str">
        <f t="shared" si="27"/>
        <v>召唤出场时，场上所有敌人的BUFF会被全部清除。</v>
      </c>
      <c r="T56" s="115" t="str">
        <f t="shared" si="28"/>
        <v>召唤出场时，场上所有敌人的BUFF会被全部清除。</v>
      </c>
      <c r="X56" s="6" t="str">
        <f>'[1]0、规划配置'!B4</f>
        <v>攻击</v>
      </c>
      <c r="Y56" s="6">
        <f>'[1]0、规划配置'!C4</f>
        <v>2</v>
      </c>
      <c r="Z56" s="6"/>
      <c r="AA56" s="6"/>
      <c r="AB56" s="6"/>
      <c r="AC56" s="6"/>
      <c r="AD56" s="6"/>
    </row>
    <row r="57" spans="1:33" ht="14.45" customHeight="1">
      <c r="A57" s="113">
        <f t="shared" si="35"/>
        <v>9618203</v>
      </c>
      <c r="B57" s="29" t="str">
        <f t="shared" si="36"/>
        <v>震慑</v>
      </c>
      <c r="C57" s="75" t="str">
        <f t="shared" si="3"/>
        <v>召唤出场时，场上所有敌人，体型变小，移动速度，攻击力，防御力降低5.71%，持续17.15秒。</v>
      </c>
      <c r="D57" s="6">
        <f t="shared" si="37"/>
        <v>3</v>
      </c>
      <c r="E57" s="6" t="str">
        <f t="shared" si="38"/>
        <v>9612201.png</v>
      </c>
      <c r="F57" s="51">
        <f t="shared" si="26"/>
        <v>0</v>
      </c>
      <c r="G57" s="76" t="str">
        <f t="shared" si="4"/>
        <v>无属性</v>
      </c>
      <c r="H57" s="51">
        <f t="shared" si="5"/>
        <v>0</v>
      </c>
      <c r="I57" s="76">
        <f t="shared" si="6"/>
        <v>0</v>
      </c>
      <c r="J57" s="77">
        <f t="shared" si="7"/>
        <v>20</v>
      </c>
      <c r="K57" s="63">
        <f t="shared" si="30"/>
        <v>5.7142857142857148E-2</v>
      </c>
      <c r="L57" s="53">
        <f t="shared" si="31"/>
        <v>17.142857142857142</v>
      </c>
      <c r="M57" s="29">
        <f t="shared" si="32"/>
        <v>1</v>
      </c>
      <c r="N57" s="75">
        <v>0</v>
      </c>
      <c r="O57" s="82" t="str">
        <f>VLOOKUP(INT(A57/100)*100+1,CHOOSE({1,2},D_马仔表!$J$2:$J$20,D_马仔表!$B$2:$B$20),2,FALSE)</f>
        <v>耀阳</v>
      </c>
      <c r="P57" s="81">
        <f>VLOOKUP(O57,D_马仔表!$B$2:$W$20,3,FALSE)</f>
        <v>2</v>
      </c>
      <c r="Q57" s="39">
        <f>IFERROR(VLOOKUP(R57,CHOOSE({1,2},技能辅助表!$B$3:$B$83,技能辅助表!$A$3:$A$82),2,FALSE),0)</f>
        <v>40</v>
      </c>
      <c r="R57" s="39">
        <f t="shared" si="34"/>
        <v>5</v>
      </c>
      <c r="S57" s="29" t="str">
        <f t="shared" si="27"/>
        <v>召唤出场时，场上所有敌人，体型变小，移动速度，攻击力，防御力降低X%，持续Y秒。</v>
      </c>
      <c r="T57" s="115" t="str">
        <f t="shared" si="28"/>
        <v>召唤出场时，场上所有敌人，体型变小，移动速度，攻击力，防御力降低5.71%，持续Y秒。</v>
      </c>
      <c r="X57" s="6" t="str">
        <f>'[1]0、规划配置'!B5</f>
        <v>防御</v>
      </c>
      <c r="Y57" s="6">
        <f>'[1]0、规划配置'!C5</f>
        <v>3</v>
      </c>
      <c r="Z57" s="6"/>
      <c r="AA57" s="6"/>
      <c r="AB57" s="6"/>
      <c r="AC57" s="6"/>
      <c r="AD57" s="6"/>
    </row>
    <row r="58" spans="1:33" ht="14.45" customHeight="1">
      <c r="A58" s="113">
        <f t="shared" si="35"/>
        <v>9619203</v>
      </c>
      <c r="B58" s="29" t="str">
        <f t="shared" si="36"/>
        <v>暴怒</v>
      </c>
      <c r="C58" s="75" t="str">
        <f t="shared" si="3"/>
        <v>召唤出场时，为主角增加暴击倍数28.57%，持续17.15秒。</v>
      </c>
      <c r="D58" s="6">
        <f t="shared" si="37"/>
        <v>3</v>
      </c>
      <c r="E58" s="6" t="str">
        <f t="shared" si="38"/>
        <v>9604201.png</v>
      </c>
      <c r="F58" s="51">
        <f t="shared" si="26"/>
        <v>0</v>
      </c>
      <c r="G58" s="76" t="str">
        <f t="shared" si="4"/>
        <v>无属性</v>
      </c>
      <c r="H58" s="51">
        <f t="shared" si="5"/>
        <v>0</v>
      </c>
      <c r="I58" s="76">
        <f t="shared" si="6"/>
        <v>0</v>
      </c>
      <c r="J58" s="77">
        <f t="shared" si="7"/>
        <v>7</v>
      </c>
      <c r="K58" s="63">
        <f t="shared" si="30"/>
        <v>14285.714285714286</v>
      </c>
      <c r="L58" s="53">
        <f t="shared" si="31"/>
        <v>17.142857142857142</v>
      </c>
      <c r="M58" s="29">
        <f t="shared" si="32"/>
        <v>1</v>
      </c>
      <c r="N58" s="75">
        <v>0</v>
      </c>
      <c r="O58" s="82" t="str">
        <f>VLOOKUP(INT(A58/100)*100+1,CHOOSE({1,2},D_马仔表!$J$2:$J$20,D_马仔表!$B$2:$B$20),2,FALSE)</f>
        <v>笑面虎</v>
      </c>
      <c r="P58" s="81">
        <f>VLOOKUP(O58,D_马仔表!$B$2:$W$20,3,FALSE)</f>
        <v>2</v>
      </c>
      <c r="Q58" s="39">
        <f>IFERROR(VLOOKUP(R58,CHOOSE({1,2},技能辅助表!$B$3:$B$83,技能辅助表!$A$3:$A$82),2,FALSE),0)</f>
        <v>40</v>
      </c>
      <c r="R58" s="39">
        <f t="shared" si="34"/>
        <v>5</v>
      </c>
      <c r="S58" s="29" t="str">
        <f t="shared" si="27"/>
        <v>召唤出场时，为主角增加暴击倍数X%，持续Y秒。</v>
      </c>
      <c r="T58" s="115" t="str">
        <f t="shared" si="28"/>
        <v>召唤出场时，为主角增加暴击倍数28.57%，持续Y秒。</v>
      </c>
      <c r="X58" s="6" t="str">
        <f>'[1]0、规划配置'!B6</f>
        <v>无属性</v>
      </c>
      <c r="Y58" s="6">
        <f>'[1]0、规划配置'!C6</f>
        <v>4</v>
      </c>
      <c r="Z58" s="6"/>
      <c r="AA58" s="6"/>
      <c r="AB58" s="6"/>
      <c r="AC58" s="6"/>
      <c r="AD58" s="6"/>
    </row>
    <row r="59" spans="1:33" ht="14.45" customHeight="1">
      <c r="A59" s="41">
        <f t="shared" si="35"/>
        <v>9601204</v>
      </c>
      <c r="B59" s="29" t="str">
        <f t="shared" si="36"/>
        <v>急救</v>
      </c>
      <c r="C59" s="75" t="str">
        <f t="shared" si="3"/>
        <v>召唤出场时，为主角回复21.42%最大生命值。</v>
      </c>
      <c r="D59" s="6">
        <f t="shared" si="37"/>
        <v>4</v>
      </c>
      <c r="E59" s="6" t="str">
        <f t="shared" si="38"/>
        <v>9601201.png</v>
      </c>
      <c r="F59" s="51">
        <f t="shared" si="26"/>
        <v>0</v>
      </c>
      <c r="G59" s="76" t="str">
        <f t="shared" si="4"/>
        <v>无属性</v>
      </c>
      <c r="H59" s="51">
        <f t="shared" si="5"/>
        <v>0</v>
      </c>
      <c r="I59" s="76">
        <f t="shared" si="6"/>
        <v>0</v>
      </c>
      <c r="J59" s="77">
        <f t="shared" si="7"/>
        <v>3</v>
      </c>
      <c r="K59" s="63">
        <f t="shared" si="30"/>
        <v>0.2142857142857143</v>
      </c>
      <c r="L59" s="53">
        <f t="shared" si="31"/>
        <v>0</v>
      </c>
      <c r="M59" s="29">
        <f t="shared" si="32"/>
        <v>1</v>
      </c>
      <c r="N59" s="75">
        <v>0</v>
      </c>
      <c r="O59" s="82" t="str">
        <f>VLOOKUP(INT(A59/100)*100+1,CHOOSE({1,2},D_马仔表!$J$2:$J$20,D_马仔表!$B$2:$B$20),2,FALSE)</f>
        <v>制服太妹</v>
      </c>
      <c r="P59" s="81">
        <f>VLOOKUP(O59,D_马仔表!$B$2:$W$20,3,FALSE)</f>
        <v>0</v>
      </c>
      <c r="Q59" s="39">
        <f>IFERROR(VLOOKUP(R59,CHOOSE({1,2},技能辅助表!$B$3:$B$83,技能辅助表!$A$3:$A$82),2,FALSE),0)</f>
        <v>48</v>
      </c>
      <c r="R59" s="39">
        <f t="shared" si="34"/>
        <v>6</v>
      </c>
      <c r="S59" s="29" t="str">
        <f t="shared" si="27"/>
        <v>召唤出场时，为主角回复X%最大生命值。</v>
      </c>
      <c r="T59" s="115" t="str">
        <f t="shared" si="28"/>
        <v>召唤出场时，为主角回复21.42%最大生命值。</v>
      </c>
      <c r="X59" s="6" t="str">
        <f>'[1]0、规划配置'!B7</f>
        <v>无属性</v>
      </c>
      <c r="Y59" s="6">
        <f>'[1]0、规划配置'!C7</f>
        <v>5</v>
      </c>
      <c r="Z59" s="6"/>
      <c r="AA59" s="6"/>
      <c r="AB59" s="6"/>
      <c r="AC59" s="6"/>
      <c r="AD59" s="6"/>
    </row>
    <row r="60" spans="1:33" ht="14.45" customHeight="1">
      <c r="A60" s="41">
        <f t="shared" si="35"/>
        <v>9602204</v>
      </c>
      <c r="B60" s="29" t="str">
        <f t="shared" si="36"/>
        <v>鼓舞</v>
      </c>
      <c r="C60" s="75" t="str">
        <f t="shared" si="3"/>
        <v>召唤出场时，为主角增加生命最大值7142.86，持续17.86秒。</v>
      </c>
      <c r="D60" s="6">
        <f t="shared" si="37"/>
        <v>4</v>
      </c>
      <c r="E60" s="6" t="str">
        <f t="shared" si="38"/>
        <v>9602201.png</v>
      </c>
      <c r="F60" s="51">
        <f t="shared" si="26"/>
        <v>0</v>
      </c>
      <c r="G60" s="76" t="str">
        <f t="shared" si="4"/>
        <v>无属性</v>
      </c>
      <c r="H60" s="51">
        <f t="shared" si="5"/>
        <v>0</v>
      </c>
      <c r="I60" s="76">
        <f t="shared" si="6"/>
        <v>0</v>
      </c>
      <c r="J60" s="77">
        <f t="shared" si="7"/>
        <v>9</v>
      </c>
      <c r="K60" s="63">
        <f t="shared" si="30"/>
        <v>7142.8571428571431</v>
      </c>
      <c r="L60" s="53">
        <f t="shared" si="31"/>
        <v>17.857142857142858</v>
      </c>
      <c r="M60" s="29">
        <f t="shared" si="32"/>
        <v>0</v>
      </c>
      <c r="N60" s="75">
        <v>0</v>
      </c>
      <c r="O60" s="82" t="str">
        <f>VLOOKUP(INT(A60/100)*100+1,CHOOSE({1,2},D_马仔表!$J$2:$J$20,D_马仔表!$B$2:$B$20),2,FALSE)</f>
        <v>蟹仔</v>
      </c>
      <c r="P60" s="81">
        <f>VLOOKUP(O60,D_马仔表!$B$2:$W$20,3,FALSE)</f>
        <v>0</v>
      </c>
      <c r="Q60" s="39">
        <f>IFERROR(VLOOKUP(R60,CHOOSE({1,2},技能辅助表!$B$3:$B$83,技能辅助表!$A$3:$A$82),2,FALSE),0)</f>
        <v>48</v>
      </c>
      <c r="R60" s="39">
        <f t="shared" si="34"/>
        <v>6</v>
      </c>
      <c r="S60" s="29" t="str">
        <f t="shared" si="27"/>
        <v>召唤出场时，为主角增加生命最大值X，持续Y秒。</v>
      </c>
      <c r="T60" s="115" t="str">
        <f t="shared" si="28"/>
        <v>召唤出场时，为主角增加生命最大值7142.86，持续Y秒。</v>
      </c>
      <c r="X60" s="6" t="str">
        <f>'[1]0、规划配置'!B8</f>
        <v>命中值</v>
      </c>
      <c r="Y60" s="6">
        <f>'[1]0、规划配置'!C8</f>
        <v>6</v>
      </c>
      <c r="Z60" s="67"/>
      <c r="AA60" s="6"/>
      <c r="AB60" s="6"/>
      <c r="AC60" s="6"/>
      <c r="AD60" s="6"/>
    </row>
    <row r="61" spans="1:33" ht="14.45" customHeight="1">
      <c r="A61" s="41">
        <f t="shared" si="35"/>
        <v>9603204</v>
      </c>
      <c r="B61" s="29" t="str">
        <f t="shared" si="36"/>
        <v>激励</v>
      </c>
      <c r="C61" s="75" t="str">
        <f t="shared" si="3"/>
        <v>召唤出场时，为主角增加攻击力928.58，持续17.86秒。</v>
      </c>
      <c r="D61" s="6">
        <f t="shared" si="37"/>
        <v>4</v>
      </c>
      <c r="E61" s="6" t="str">
        <f t="shared" si="38"/>
        <v>9603201.png</v>
      </c>
      <c r="F61" s="51">
        <f t="shared" si="26"/>
        <v>0</v>
      </c>
      <c r="G61" s="76" t="str">
        <f t="shared" si="4"/>
        <v>无属性</v>
      </c>
      <c r="H61" s="51">
        <f t="shared" si="5"/>
        <v>0</v>
      </c>
      <c r="I61" s="76">
        <f t="shared" si="6"/>
        <v>0</v>
      </c>
      <c r="J61" s="77">
        <f t="shared" si="7"/>
        <v>10</v>
      </c>
      <c r="K61" s="63">
        <f t="shared" si="30"/>
        <v>928.57142857142867</v>
      </c>
      <c r="L61" s="53">
        <f t="shared" si="31"/>
        <v>17.857142857142858</v>
      </c>
      <c r="M61" s="29">
        <f t="shared" si="32"/>
        <v>0</v>
      </c>
      <c r="N61" s="75">
        <v>0</v>
      </c>
      <c r="O61" s="82" t="str">
        <f>VLOOKUP(INT(A61/100)*100+1,CHOOSE({1,2},D_马仔表!$J$2:$J$20,D_马仔表!$B$2:$B$20),2,FALSE)</f>
        <v>比利</v>
      </c>
      <c r="P61" s="81">
        <f>VLOOKUP(O61,D_马仔表!$B$2:$W$20,3,FALSE)</f>
        <v>0</v>
      </c>
      <c r="Q61" s="39">
        <f>IFERROR(VLOOKUP(R61,CHOOSE({1,2},技能辅助表!$B$3:$B$83,技能辅助表!$A$3:$A$82),2,FALSE),0)</f>
        <v>48</v>
      </c>
      <c r="R61" s="39">
        <f t="shared" si="34"/>
        <v>6</v>
      </c>
      <c r="S61" s="29" t="str">
        <f t="shared" si="27"/>
        <v>召唤出场时，为主角增加攻击力X，持续Y秒。</v>
      </c>
      <c r="T61" s="115" t="str">
        <f t="shared" si="28"/>
        <v>召唤出场时，为主角增加攻击力928.58，持续Y秒。</v>
      </c>
      <c r="X61" s="6" t="str">
        <f>'[1]0、规划配置'!B9</f>
        <v>闪避值</v>
      </c>
      <c r="Y61" s="6">
        <f>'[1]0、规划配置'!C9</f>
        <v>7</v>
      </c>
      <c r="Z61" s="6">
        <f ca="1">[1]马仔规划!$N$50</f>
        <v>0</v>
      </c>
      <c r="AA61" s="43">
        <f>[1]各种公式!$F$11</f>
        <v>50000</v>
      </c>
      <c r="AB61" s="64">
        <f>[1]各种公式!$M$3</f>
        <v>0.3</v>
      </c>
      <c r="AC61" s="64">
        <f ca="1">Z61/AA61*AB61</f>
        <v>0</v>
      </c>
      <c r="AD61" s="6"/>
    </row>
    <row r="62" spans="1:33" ht="14.45" customHeight="1">
      <c r="A62" s="41">
        <f t="shared" si="35"/>
        <v>9604204</v>
      </c>
      <c r="B62" s="29" t="str">
        <f t="shared" si="36"/>
        <v>鞭策</v>
      </c>
      <c r="C62" s="75" t="str">
        <f t="shared" si="3"/>
        <v>召唤出场时，为主角增加暴击值0.11，持续17.86秒。</v>
      </c>
      <c r="D62" s="6">
        <f t="shared" si="37"/>
        <v>4</v>
      </c>
      <c r="E62" s="6" t="str">
        <f t="shared" si="38"/>
        <v>9604201.png</v>
      </c>
      <c r="F62" s="51">
        <f t="shared" si="26"/>
        <v>0</v>
      </c>
      <c r="G62" s="76" t="str">
        <f t="shared" si="4"/>
        <v>无属性</v>
      </c>
      <c r="H62" s="51">
        <f t="shared" si="5"/>
        <v>0</v>
      </c>
      <c r="I62" s="76">
        <f t="shared" si="6"/>
        <v>0</v>
      </c>
      <c r="J62" s="77">
        <f t="shared" si="7"/>
        <v>8</v>
      </c>
      <c r="K62" s="63">
        <f t="shared" si="30"/>
        <v>17857.142857142859</v>
      </c>
      <c r="L62" s="53">
        <f t="shared" si="31"/>
        <v>17.857142857142858</v>
      </c>
      <c r="M62" s="29">
        <f t="shared" si="32"/>
        <v>0</v>
      </c>
      <c r="N62" s="75">
        <v>0</v>
      </c>
      <c r="O62" s="82" t="str">
        <f>VLOOKUP(INT(A62/100)*100+1,CHOOSE({1,2},D_马仔表!$J$2:$J$20,D_马仔表!$B$2:$B$20),2,FALSE)</f>
        <v>黎九</v>
      </c>
      <c r="P62" s="81">
        <f>VLOOKUP(O62,D_马仔表!$B$2:$W$20,3,FALSE)</f>
        <v>0</v>
      </c>
      <c r="Q62" s="39">
        <f>IFERROR(VLOOKUP(R62,CHOOSE({1,2},技能辅助表!$B$3:$B$83,技能辅助表!$A$3:$A$82),2,FALSE),0)</f>
        <v>48</v>
      </c>
      <c r="R62" s="39">
        <f t="shared" si="34"/>
        <v>6</v>
      </c>
      <c r="S62" s="29" t="str">
        <f t="shared" si="27"/>
        <v>召唤出场时，为主角增加暴击值X，持续Y秒。</v>
      </c>
      <c r="T62" s="115" t="str">
        <f t="shared" si="28"/>
        <v>召唤出场时，为主角增加暴击值0.11，持续Y秒。</v>
      </c>
      <c r="X62" s="6" t="str">
        <f>'[1]0、规划配置'!B10</f>
        <v>暴击值</v>
      </c>
      <c r="Y62" s="6">
        <f>'[1]0、规划配置'!C10</f>
        <v>8</v>
      </c>
      <c r="Z62" s="6">
        <f ca="1">[1]马仔规划!$P$50</f>
        <v>0</v>
      </c>
      <c r="AA62" s="43">
        <f>[1]各种公式!$H$11</f>
        <v>50000</v>
      </c>
      <c r="AB62" s="64">
        <f>[1]各种公式!$M$5</f>
        <v>0.3</v>
      </c>
      <c r="AC62" s="64">
        <f t="shared" ref="AC62:AC70" ca="1" si="39">Z62/AA62*AB62</f>
        <v>0</v>
      </c>
      <c r="AD62" s="6"/>
    </row>
    <row r="63" spans="1:33" ht="14.45" customHeight="1">
      <c r="A63" s="41">
        <f t="shared" si="35"/>
        <v>9605204</v>
      </c>
      <c r="B63" s="29" t="str">
        <f t="shared" si="36"/>
        <v>守护</v>
      </c>
      <c r="C63" s="75" t="str">
        <f t="shared" si="3"/>
        <v>召唤出场时，为主角增加防御力571.43，持续17.86秒。</v>
      </c>
      <c r="D63" s="6">
        <f t="shared" si="37"/>
        <v>4</v>
      </c>
      <c r="E63" s="6" t="str">
        <f t="shared" si="38"/>
        <v>9605201.png</v>
      </c>
      <c r="F63" s="51">
        <f t="shared" si="26"/>
        <v>0</v>
      </c>
      <c r="G63" s="76" t="str">
        <f t="shared" si="4"/>
        <v>无属性</v>
      </c>
      <c r="H63" s="51">
        <f t="shared" si="5"/>
        <v>0</v>
      </c>
      <c r="I63" s="76">
        <f t="shared" si="6"/>
        <v>0</v>
      </c>
      <c r="J63" s="77">
        <f t="shared" si="7"/>
        <v>11</v>
      </c>
      <c r="K63" s="63">
        <f t="shared" si="30"/>
        <v>571.42857142857144</v>
      </c>
      <c r="L63" s="53">
        <f t="shared" si="31"/>
        <v>17.857142857142858</v>
      </c>
      <c r="M63" s="29">
        <f t="shared" si="32"/>
        <v>0</v>
      </c>
      <c r="N63" s="75">
        <v>0</v>
      </c>
      <c r="O63" s="82" t="str">
        <f>VLOOKUP(INT(A63/100)*100+1,CHOOSE({1,2},D_马仔表!$J$2:$J$20,D_马仔表!$B$2:$B$20),2,FALSE)</f>
        <v>黑古</v>
      </c>
      <c r="P63" s="81">
        <f>VLOOKUP(O63,D_马仔表!$B$2:$W$20,3,FALSE)</f>
        <v>0</v>
      </c>
      <c r="Q63" s="39">
        <f>IFERROR(VLOOKUP(R63,CHOOSE({1,2},技能辅助表!$B$3:$B$83,技能辅助表!$A$3:$A$82),2,FALSE),0)</f>
        <v>48</v>
      </c>
      <c r="R63" s="39">
        <f t="shared" si="34"/>
        <v>6</v>
      </c>
      <c r="S63" s="29" t="str">
        <f t="shared" si="27"/>
        <v>召唤出场时，为主角增加防御力X，持续Y秒。</v>
      </c>
      <c r="T63" s="115" t="str">
        <f t="shared" si="28"/>
        <v>召唤出场时，为主角增加防御力571.43，持续Y秒。</v>
      </c>
      <c r="X63" s="6" t="str">
        <f>'[1]0、规划配置'!B11</f>
        <v>韧性值</v>
      </c>
      <c r="Y63" s="6">
        <f>'[1]0、规划配置'!C11</f>
        <v>9</v>
      </c>
      <c r="Z63" s="6">
        <f ca="1">[1]马仔规划!$R$50</f>
        <v>0</v>
      </c>
      <c r="AA63" s="43">
        <f>[1]各种公式!$J$11</f>
        <v>50000</v>
      </c>
      <c r="AB63" s="64">
        <f>AB62</f>
        <v>0.3</v>
      </c>
      <c r="AC63" s="64">
        <f t="shared" ca="1" si="39"/>
        <v>0</v>
      </c>
      <c r="AD63" s="6"/>
    </row>
    <row r="64" spans="1:33" ht="14.45" customHeight="1">
      <c r="A64" s="41">
        <f t="shared" si="35"/>
        <v>9606204</v>
      </c>
      <c r="B64" s="29" t="str">
        <f t="shared" si="36"/>
        <v>混世魔王</v>
      </c>
      <c r="C64" s="75" t="str">
        <f t="shared" si="3"/>
        <v>召唤出场时，为主角增加加伤百分比10.71%，持续17.86秒。</v>
      </c>
      <c r="D64" s="6">
        <f t="shared" si="37"/>
        <v>4</v>
      </c>
      <c r="E64" s="6" t="str">
        <f t="shared" si="38"/>
        <v>9606201.png</v>
      </c>
      <c r="F64" s="51">
        <f t="shared" si="26"/>
        <v>0</v>
      </c>
      <c r="G64" s="76" t="str">
        <f t="shared" si="4"/>
        <v>无属性</v>
      </c>
      <c r="H64" s="51">
        <f t="shared" si="5"/>
        <v>0</v>
      </c>
      <c r="I64" s="76">
        <f t="shared" si="6"/>
        <v>0</v>
      </c>
      <c r="J64" s="77">
        <f t="shared" si="7"/>
        <v>12</v>
      </c>
      <c r="K64" s="63">
        <f t="shared" si="30"/>
        <v>7142.8571428571431</v>
      </c>
      <c r="L64" s="53">
        <f t="shared" si="31"/>
        <v>17.857142857142858</v>
      </c>
      <c r="M64" s="29">
        <f t="shared" si="32"/>
        <v>1</v>
      </c>
      <c r="N64" s="75">
        <v>0</v>
      </c>
      <c r="O64" s="82" t="str">
        <f>VLOOKUP(INT(A64/100)*100+1,CHOOSE({1,2},D_马仔表!$J$2:$J$20,D_马仔表!$B$2:$B$20),2,FALSE)</f>
        <v>靓坤</v>
      </c>
      <c r="P64" s="81">
        <f>VLOOKUP(O64,D_马仔表!$B$2:$W$20,3,FALSE)</f>
        <v>1</v>
      </c>
      <c r="Q64" s="39">
        <f>IFERROR(VLOOKUP(R64,CHOOSE({1,2},技能辅助表!$B$3:$B$83,技能辅助表!$A$3:$A$82),2,FALSE),0)</f>
        <v>48</v>
      </c>
      <c r="R64" s="39">
        <f t="shared" si="34"/>
        <v>6</v>
      </c>
      <c r="S64" s="29" t="str">
        <f t="shared" si="27"/>
        <v>召唤出场时，为主角增加加伤百分比X%，持续Y秒。</v>
      </c>
      <c r="T64" s="115" t="str">
        <f t="shared" si="28"/>
        <v>召唤出场时，为主角增加加伤百分比10.71%，持续Y秒。</v>
      </c>
      <c r="X64" s="6" t="str">
        <f>'[1]0、规划配置'!B12</f>
        <v>暴击倍数</v>
      </c>
      <c r="Y64" s="6">
        <f>'[1]0、规划配置'!C12</f>
        <v>10</v>
      </c>
      <c r="Z64" s="6">
        <f ca="1">[1]马仔规划!$Q$50</f>
        <v>0</v>
      </c>
      <c r="AA64" s="43">
        <f>[1]各种公式!$I$11</f>
        <v>50000</v>
      </c>
      <c r="AB64" s="64">
        <f>[1]各种公式!$M$4</f>
        <v>1</v>
      </c>
      <c r="AC64" s="64">
        <f t="shared" ca="1" si="39"/>
        <v>0</v>
      </c>
      <c r="AD64" s="6"/>
    </row>
    <row r="65" spans="1:31" ht="14.45" customHeight="1">
      <c r="A65" s="41">
        <f t="shared" si="35"/>
        <v>9607204</v>
      </c>
      <c r="B65" s="29" t="str">
        <f t="shared" si="36"/>
        <v>弱点分析</v>
      </c>
      <c r="C65" s="75" t="str">
        <f t="shared" si="3"/>
        <v>召唤出场时，减少场上所有敌人命中值21.42%，持续17.86秒。</v>
      </c>
      <c r="D65" s="6">
        <f t="shared" si="37"/>
        <v>4</v>
      </c>
      <c r="E65" s="6" t="str">
        <f t="shared" si="38"/>
        <v>9607201.png</v>
      </c>
      <c r="F65" s="51">
        <f t="shared" si="26"/>
        <v>0</v>
      </c>
      <c r="G65" s="76" t="str">
        <f t="shared" si="4"/>
        <v>无属性</v>
      </c>
      <c r="H65" s="51">
        <f t="shared" si="5"/>
        <v>0</v>
      </c>
      <c r="I65" s="76">
        <f t="shared" si="6"/>
        <v>0</v>
      </c>
      <c r="J65" s="77">
        <f t="shared" si="7"/>
        <v>17</v>
      </c>
      <c r="K65" s="63">
        <f t="shared" si="30"/>
        <v>0.2142857142857143</v>
      </c>
      <c r="L65" s="53">
        <f t="shared" si="31"/>
        <v>17.857142857142858</v>
      </c>
      <c r="M65" s="29">
        <f t="shared" si="32"/>
        <v>1</v>
      </c>
      <c r="N65" s="75">
        <v>0</v>
      </c>
      <c r="O65" s="82" t="str">
        <f>VLOOKUP(INT(A65/100)*100+1,CHOOSE({1,2},D_马仔表!$J$2:$J$20,D_马仔表!$B$2:$B$20),2,FALSE)</f>
        <v>雷复轰</v>
      </c>
      <c r="P65" s="81">
        <f>VLOOKUP(O65,D_马仔表!$B$2:$W$20,3,FALSE)</f>
        <v>1</v>
      </c>
      <c r="Q65" s="39">
        <f>IFERROR(VLOOKUP(R65,CHOOSE({1,2},技能辅助表!$B$3:$B$83,技能辅助表!$A$3:$A$82),2,FALSE),0)</f>
        <v>48</v>
      </c>
      <c r="R65" s="39">
        <f t="shared" si="34"/>
        <v>6</v>
      </c>
      <c r="S65" s="29" t="str">
        <f t="shared" si="27"/>
        <v>召唤出场时，减少场上所有敌人命中值X%，持续Y秒。</v>
      </c>
      <c r="T65" s="115" t="str">
        <f t="shared" si="28"/>
        <v>召唤出场时，减少场上所有敌人命中值21.42%，持续Y秒。</v>
      </c>
      <c r="X65" s="6" t="str">
        <f>'[1]0、规划配置'!B13</f>
        <v>无属性</v>
      </c>
      <c r="Y65" s="6">
        <f>'[1]0、规划配置'!C13</f>
        <v>11</v>
      </c>
      <c r="Z65" s="6">
        <v>0</v>
      </c>
      <c r="AA65" s="43">
        <v>0</v>
      </c>
      <c r="AB65" s="6">
        <v>0</v>
      </c>
      <c r="AC65" s="64">
        <v>0</v>
      </c>
      <c r="AD65" s="6"/>
      <c r="AE65" t="s">
        <v>598</v>
      </c>
    </row>
    <row r="66" spans="1:31" ht="14.45" customHeight="1">
      <c r="A66" s="41">
        <f t="shared" si="35"/>
        <v>9608204</v>
      </c>
      <c r="B66" s="29" t="str">
        <f t="shared" si="36"/>
        <v>硬气功</v>
      </c>
      <c r="C66" s="75" t="str">
        <f t="shared" si="3"/>
        <v>召唤出场时，为主角增加减伤百分比10.71%，持续17.86秒。</v>
      </c>
      <c r="D66" s="6">
        <f t="shared" si="37"/>
        <v>4</v>
      </c>
      <c r="E66" s="6" t="str">
        <f t="shared" si="38"/>
        <v>9608201.png</v>
      </c>
      <c r="F66" s="51">
        <f t="shared" ref="F66:F97" si="40">VLOOKUP(G66,$X$54:$Y$70,2,FALSE)</f>
        <v>0</v>
      </c>
      <c r="G66" s="76" t="str">
        <f t="shared" si="4"/>
        <v>无属性</v>
      </c>
      <c r="H66" s="51">
        <f t="shared" si="5"/>
        <v>0</v>
      </c>
      <c r="I66" s="76">
        <f t="shared" si="6"/>
        <v>0</v>
      </c>
      <c r="J66" s="77">
        <f t="shared" si="7"/>
        <v>13</v>
      </c>
      <c r="K66" s="63">
        <f t="shared" si="30"/>
        <v>7142.8571428571431</v>
      </c>
      <c r="L66" s="53">
        <f t="shared" si="31"/>
        <v>17.857142857142858</v>
      </c>
      <c r="M66" s="29">
        <f t="shared" si="32"/>
        <v>1</v>
      </c>
      <c r="N66" s="75">
        <v>0</v>
      </c>
      <c r="O66" s="82" t="str">
        <f>VLOOKUP(INT(A66/100)*100+1,CHOOSE({1,2},D_马仔表!$J$2:$J$20,D_马仔表!$B$2:$B$20),2,FALSE)</f>
        <v>肥仔</v>
      </c>
      <c r="P66" s="81">
        <f>VLOOKUP(O66,D_马仔表!$B$2:$W$20,3,FALSE)</f>
        <v>1</v>
      </c>
      <c r="Q66" s="39">
        <f>IFERROR(VLOOKUP(R66,CHOOSE({1,2},技能辅助表!$B$3:$B$83,技能辅助表!$A$3:$A$82),2,FALSE),0)</f>
        <v>48</v>
      </c>
      <c r="R66" s="39">
        <f t="shared" si="34"/>
        <v>6</v>
      </c>
      <c r="S66" s="29" t="str">
        <f t="shared" ref="S66:S97" si="41">VLOOKUP(J66,$W$8:$AG$27,3,FALSE)</f>
        <v>召唤出场时，为主角增加减伤百分比X%，持续Y秒。</v>
      </c>
      <c r="T66" s="115" t="str">
        <f t="shared" ref="T66:T97" si="42">IFERROR(REPLACE(S66,FIND("X",S66),LEN("X"),IF(M66=1,ROUNDDOWN(K66/VLOOKUP(J66,$W$8:$AH$27,$AH$6,FALSE)*100,2),ROUNDUP(K66/VLOOKUP(J66,$W$8:$AH$27,$AH$6,FALSE),2))),S66)</f>
        <v>召唤出场时，为主角增加减伤百分比10.71%，持续Y秒。</v>
      </c>
      <c r="X66" s="65" t="str">
        <f>'[1]0、规划配置'!B14</f>
        <v>生命加成</v>
      </c>
      <c r="Y66" s="65">
        <f>'[1]0、规划配置'!C14</f>
        <v>21</v>
      </c>
      <c r="Z66" s="65">
        <f ca="1">[1]马仔规划!$U$50</f>
        <v>0</v>
      </c>
      <c r="AA66" s="69">
        <f>[1]各种公式!$M$11</f>
        <v>10000</v>
      </c>
      <c r="AB66" s="70">
        <f>[1]各种公式!$M$8</f>
        <v>0.1</v>
      </c>
      <c r="AC66" s="70">
        <f t="shared" ca="1" si="39"/>
        <v>0</v>
      </c>
      <c r="AD66" s="71">
        <f>VLOOKUP(80,总属性参考数组,2,FALSE)</f>
        <v>2073582.6544695653</v>
      </c>
      <c r="AE66" s="71">
        <f ca="1">AC66*AD66</f>
        <v>0</v>
      </c>
    </row>
    <row r="67" spans="1:31" ht="14.45" customHeight="1">
      <c r="A67" s="41">
        <f t="shared" si="35"/>
        <v>9609204</v>
      </c>
      <c r="B67" s="29" t="str">
        <f t="shared" si="36"/>
        <v>坚毅之躯</v>
      </c>
      <c r="C67" s="75" t="str">
        <f t="shared" si="3"/>
        <v>召唤出场时，为主角增加生命最大值百分比7.14%,持续17.86秒。</v>
      </c>
      <c r="D67" s="6">
        <f t="shared" si="37"/>
        <v>4</v>
      </c>
      <c r="E67" s="6" t="str">
        <f t="shared" si="38"/>
        <v>9609201.png</v>
      </c>
      <c r="F67" s="51">
        <f t="shared" si="40"/>
        <v>0</v>
      </c>
      <c r="G67" s="76" t="str">
        <f t="shared" ref="G67:G130" si="43">VLOOKUP(O67,$W$32:$Z$50,4,FALSE)</f>
        <v>无属性</v>
      </c>
      <c r="H67" s="51">
        <f t="shared" ref="H67:H130" si="44">VLOOKUP(O67,$W$32:$AC$50,5,FALSE)*D67</f>
        <v>0</v>
      </c>
      <c r="I67" s="76">
        <f t="shared" ref="I67:I130" si="45">IF(VLOOKUP(O67,$W$32:$AF$50,$AC$30,FALSE)=0,H67,H67/VLOOKUP(O67,$W$32:$AF$50,$AD$30,FALSE))</f>
        <v>0</v>
      </c>
      <c r="J67" s="77">
        <f t="shared" ref="J67:J130" si="46">VLOOKUP(O67,$W$32:$Y$50,3,FALSE)</f>
        <v>4</v>
      </c>
      <c r="K67" s="63">
        <f t="shared" si="30"/>
        <v>7.1428571428571438E-2</v>
      </c>
      <c r="L67" s="53">
        <f t="shared" si="31"/>
        <v>17.857142857142858</v>
      </c>
      <c r="M67" s="29">
        <f t="shared" si="32"/>
        <v>1</v>
      </c>
      <c r="N67" s="75">
        <v>0</v>
      </c>
      <c r="O67" s="82" t="str">
        <f>VLOOKUP(INT(A67/100)*100+1,CHOOSE({1,2},D_马仔表!$J$2:$J$20,D_马仔表!$B$2:$B$20),2,FALSE)</f>
        <v>司徒浩南</v>
      </c>
      <c r="P67" s="81">
        <f>VLOOKUP(O67,D_马仔表!$B$2:$W$20,3,FALSE)</f>
        <v>2</v>
      </c>
      <c r="Q67" s="39">
        <f>IFERROR(VLOOKUP(R67,CHOOSE({1,2},技能辅助表!$B$3:$B$83,技能辅助表!$A$3:$A$82),2,FALSE),0)</f>
        <v>48</v>
      </c>
      <c r="R67" s="39">
        <f t="shared" si="34"/>
        <v>6</v>
      </c>
      <c r="S67" s="29" t="str">
        <f t="shared" si="41"/>
        <v>召唤出场时，为主角增加生命最大值百分比X%,持续Y秒。</v>
      </c>
      <c r="T67" s="115" t="str">
        <f t="shared" si="42"/>
        <v>召唤出场时，为主角增加生命最大值百分比7.14%,持续Y秒。</v>
      </c>
      <c r="X67" s="65" t="str">
        <f>'[1]0、规划配置'!B15</f>
        <v>攻击加成</v>
      </c>
      <c r="Y67" s="65">
        <f>'[1]0、规划配置'!C15</f>
        <v>22</v>
      </c>
      <c r="Z67" s="65">
        <f ca="1">[1]马仔规划!$V$50</f>
        <v>0</v>
      </c>
      <c r="AA67" s="69">
        <f>[1]各种公式!$N$11</f>
        <v>20000</v>
      </c>
      <c r="AB67" s="70">
        <f>[1]各种公式!$M$9</f>
        <v>0.2</v>
      </c>
      <c r="AC67" s="70">
        <f t="shared" ca="1" si="39"/>
        <v>0</v>
      </c>
      <c r="AD67" s="71">
        <f>VLOOKUP(80,总属性参考数组,3,FALSE)</f>
        <v>93078.720000000016</v>
      </c>
      <c r="AE67" s="71">
        <f ca="1">AC67*AD67</f>
        <v>0</v>
      </c>
    </row>
    <row r="68" spans="1:31" ht="14.45" customHeight="1">
      <c r="A68" s="41">
        <f t="shared" si="35"/>
        <v>9610204</v>
      </c>
      <c r="B68" s="29" t="str">
        <f t="shared" si="36"/>
        <v>战斗意志</v>
      </c>
      <c r="C68" s="75" t="str">
        <f t="shared" si="3"/>
        <v>召唤出场时，为主角增加攻击力百分比7.14%,持续17.86秒。</v>
      </c>
      <c r="D68" s="6">
        <f t="shared" si="37"/>
        <v>4</v>
      </c>
      <c r="E68" s="6" t="str">
        <f t="shared" si="38"/>
        <v>9610201.png</v>
      </c>
      <c r="F68" s="51">
        <f t="shared" si="40"/>
        <v>0</v>
      </c>
      <c r="G68" s="76" t="str">
        <f t="shared" si="43"/>
        <v>无属性</v>
      </c>
      <c r="H68" s="51">
        <f t="shared" si="44"/>
        <v>0</v>
      </c>
      <c r="I68" s="76">
        <f t="shared" si="45"/>
        <v>0</v>
      </c>
      <c r="J68" s="77">
        <f t="shared" si="46"/>
        <v>5</v>
      </c>
      <c r="K68" s="63">
        <f t="shared" si="30"/>
        <v>7.1428571428571438E-2</v>
      </c>
      <c r="L68" s="53">
        <f t="shared" si="31"/>
        <v>17.857142857142858</v>
      </c>
      <c r="M68" s="29">
        <f t="shared" si="32"/>
        <v>1</v>
      </c>
      <c r="N68" s="75">
        <v>0</v>
      </c>
      <c r="O68" s="82" t="str">
        <f>VLOOKUP(INT(A68/100)*100+1,CHOOSE({1,2},D_马仔表!$J$2:$J$20,D_马仔表!$B$2:$B$20),2,FALSE)</f>
        <v>乌鸦</v>
      </c>
      <c r="P68" s="81">
        <f>VLOOKUP(O68,D_马仔表!$B$2:$W$20,3,FALSE)</f>
        <v>2</v>
      </c>
      <c r="Q68" s="39">
        <f>IFERROR(VLOOKUP(R68,CHOOSE({1,2},技能辅助表!$B$3:$B$83,技能辅助表!$A$3:$A$82),2,FALSE),0)</f>
        <v>48</v>
      </c>
      <c r="R68" s="39">
        <f t="shared" si="34"/>
        <v>6</v>
      </c>
      <c r="S68" s="29" t="str">
        <f t="shared" si="41"/>
        <v>召唤出场时，为主角增加攻击力百分比X%,持续Y秒。</v>
      </c>
      <c r="T68" s="115" t="str">
        <f t="shared" si="42"/>
        <v>召唤出场时，为主角增加攻击力百分比7.14%,持续Y秒。</v>
      </c>
      <c r="X68" s="65" t="str">
        <f>'[1]0、规划配置'!B16</f>
        <v>防御加成</v>
      </c>
      <c r="Y68" s="65">
        <f>'[1]0、规划配置'!C16</f>
        <v>23</v>
      </c>
      <c r="Z68" s="65">
        <f ca="1">[1]马仔规划!$W$50</f>
        <v>0</v>
      </c>
      <c r="AA68" s="69">
        <f>[1]各种公式!$O$11</f>
        <v>20000</v>
      </c>
      <c r="AB68" s="70">
        <f>[1]各种公式!$M$10</f>
        <v>0.3</v>
      </c>
      <c r="AC68" s="70">
        <f t="shared" ca="1" si="39"/>
        <v>0</v>
      </c>
      <c r="AD68" s="71">
        <f>VLOOKUP(80,总属性参考数组,4,FALSE)</f>
        <v>41368.320000000007</v>
      </c>
      <c r="AE68" s="71">
        <f ca="1">AC68*AD68</f>
        <v>0</v>
      </c>
    </row>
    <row r="69" spans="1:31" ht="14.45" customHeight="1">
      <c r="A69" s="41">
        <f t="shared" si="35"/>
        <v>9611204</v>
      </c>
      <c r="B69" s="29" t="str">
        <f t="shared" si="36"/>
        <v>金手指</v>
      </c>
      <c r="C69" s="75" t="str">
        <f t="shared" si="3"/>
        <v>召唤出场时，主角所有技能立刻全部CD完毕。</v>
      </c>
      <c r="D69" s="6">
        <f t="shared" si="37"/>
        <v>4</v>
      </c>
      <c r="E69" s="6" t="str">
        <f t="shared" si="38"/>
        <v>9611201.png</v>
      </c>
      <c r="F69" s="51">
        <f t="shared" si="40"/>
        <v>0</v>
      </c>
      <c r="G69" s="76" t="str">
        <f t="shared" si="43"/>
        <v>无属性</v>
      </c>
      <c r="H69" s="51">
        <f t="shared" si="44"/>
        <v>0</v>
      </c>
      <c r="I69" s="76">
        <f t="shared" si="45"/>
        <v>0</v>
      </c>
      <c r="J69" s="77">
        <f t="shared" si="46"/>
        <v>18</v>
      </c>
      <c r="K69" s="63">
        <f t="shared" ref="K69:K100" si="47">VLOOKUP(J69,$W$8:$AG$27,$AA$6,FALSE)+VLOOKUP(J69,$W$8:$AG$27,$AC$6,FALSE)*D69</f>
        <v>0</v>
      </c>
      <c r="L69" s="53">
        <f t="shared" ref="L69:L100" si="48">VLOOKUP(J69,$W$8:$AG$27,$AD$6,FALSE)+VLOOKUP(J69,$W$8:$AG$27,$AF$6,FALSE)*D69</f>
        <v>0</v>
      </c>
      <c r="M69" s="29">
        <f t="shared" ref="M69:M100" si="49">VLOOKUP(J69,$W$8:$AG$27,$Z$6,FALSE)</f>
        <v>0</v>
      </c>
      <c r="N69" s="75">
        <v>0</v>
      </c>
      <c r="O69" s="82" t="str">
        <f>VLOOKUP(INT(A69/100)*100+1,CHOOSE({1,2},D_马仔表!$J$2:$J$20,D_马仔表!$B$2:$B$20),2,FALSE)</f>
        <v>赌王</v>
      </c>
      <c r="P69" s="81">
        <f>VLOOKUP(O69,D_马仔表!$B$2:$W$20,3,FALSE)</f>
        <v>2</v>
      </c>
      <c r="Q69" s="39">
        <f>IFERROR(VLOOKUP(R69,CHOOSE({1,2},技能辅助表!$B$3:$B$83,技能辅助表!$A$3:$A$82),2,FALSE),0)</f>
        <v>48</v>
      </c>
      <c r="R69" s="39">
        <f t="shared" si="34"/>
        <v>6</v>
      </c>
      <c r="S69" s="29" t="str">
        <f t="shared" si="41"/>
        <v>召唤出场时，主角所有技能立刻全部CD完毕。</v>
      </c>
      <c r="T69" s="115" t="str">
        <f t="shared" si="42"/>
        <v>召唤出场时，主角所有技能立刻全部CD完毕。</v>
      </c>
      <c r="X69" s="6" t="str">
        <f>'[1]0、规划配置'!B17</f>
        <v>伤害加深</v>
      </c>
      <c r="Y69" s="6">
        <f>'[1]0、规划配置'!C17</f>
        <v>24</v>
      </c>
      <c r="Z69" s="6">
        <f ca="1">[1]马仔规划!$T$50</f>
        <v>0</v>
      </c>
      <c r="AA69" s="43">
        <f>[1]各种公式!$K$11</f>
        <v>20000</v>
      </c>
      <c r="AB69" s="64">
        <f>[1]各种公式!$M$6</f>
        <v>0.3</v>
      </c>
      <c r="AC69" s="64">
        <f t="shared" ca="1" si="39"/>
        <v>0</v>
      </c>
      <c r="AD69" s="6"/>
    </row>
    <row r="70" spans="1:31" ht="14.45" customHeight="1">
      <c r="A70" s="41">
        <f t="shared" si="35"/>
        <v>9612204</v>
      </c>
      <c r="B70" s="29" t="str">
        <f t="shared" si="36"/>
        <v>明镜止水</v>
      </c>
      <c r="C70" s="75" t="str">
        <f t="shared" si="3"/>
        <v>召唤出场时，减少场上所有敌人攻击力7.14%，持续17.86秒。</v>
      </c>
      <c r="D70" s="6">
        <f t="shared" si="37"/>
        <v>4</v>
      </c>
      <c r="E70" s="6" t="str">
        <f t="shared" si="38"/>
        <v>9612201.png</v>
      </c>
      <c r="F70" s="51">
        <f t="shared" si="40"/>
        <v>0</v>
      </c>
      <c r="G70" s="76" t="str">
        <f t="shared" si="43"/>
        <v>无属性</v>
      </c>
      <c r="H70" s="51">
        <f t="shared" si="44"/>
        <v>0</v>
      </c>
      <c r="I70" s="76">
        <f t="shared" si="45"/>
        <v>0</v>
      </c>
      <c r="J70" s="77">
        <f t="shared" si="46"/>
        <v>15</v>
      </c>
      <c r="K70" s="63">
        <f t="shared" si="47"/>
        <v>7.1428571428571438E-2</v>
      </c>
      <c r="L70" s="53">
        <f t="shared" si="48"/>
        <v>17.857142857142858</v>
      </c>
      <c r="M70" s="29">
        <f t="shared" si="49"/>
        <v>1</v>
      </c>
      <c r="N70" s="75">
        <v>0</v>
      </c>
      <c r="O70" s="82" t="str">
        <f>VLOOKUP(INT(A70/100)*100+1,CHOOSE({1,2},D_马仔表!$J$2:$J$20,D_马仔表!$B$2:$B$20),2,FALSE)</f>
        <v>山下忠秀</v>
      </c>
      <c r="P70" s="81">
        <f>VLOOKUP(O70,D_马仔表!$B$2:$W$20,3,FALSE)</f>
        <v>2</v>
      </c>
      <c r="Q70" s="39">
        <f>IFERROR(VLOOKUP(R70,CHOOSE({1,2},技能辅助表!$B$3:$B$83,技能辅助表!$A$3:$A$82),2,FALSE),0)</f>
        <v>48</v>
      </c>
      <c r="R70" s="39">
        <f t="shared" si="34"/>
        <v>6</v>
      </c>
      <c r="S70" s="29" t="str">
        <f t="shared" si="41"/>
        <v>召唤出场时，减少场上所有敌人攻击力X%，持续Y秒。</v>
      </c>
      <c r="T70" s="115" t="str">
        <f t="shared" si="42"/>
        <v>召唤出场时，减少场上所有敌人攻击力7.14%，持续Y秒。</v>
      </c>
      <c r="X70" s="6" t="str">
        <f>'[1]0、规划配置'!B18</f>
        <v>伤害减免</v>
      </c>
      <c r="Y70" s="6">
        <f>'[1]0、规划配置'!C18</f>
        <v>25</v>
      </c>
      <c r="Z70" s="6">
        <f ca="1">[1]马仔规划!$S$50</f>
        <v>0</v>
      </c>
      <c r="AA70" s="43">
        <f>[1]各种公式!$L$11</f>
        <v>20000</v>
      </c>
      <c r="AB70" s="64">
        <f>AB69</f>
        <v>0.3</v>
      </c>
      <c r="AC70" s="64">
        <f t="shared" ca="1" si="39"/>
        <v>0</v>
      </c>
      <c r="AD70" s="6"/>
    </row>
    <row r="71" spans="1:31" ht="14.45" customHeight="1">
      <c r="A71" s="41">
        <f t="shared" si="35"/>
        <v>9613204</v>
      </c>
      <c r="B71" s="29" t="str">
        <f t="shared" si="36"/>
        <v>阳炎</v>
      </c>
      <c r="C71" s="75" t="str">
        <f t="shared" si="3"/>
        <v>召唤出场时，减少场上所有敌人防御力7.14%，持续17.86秒。</v>
      </c>
      <c r="D71" s="6">
        <f t="shared" si="37"/>
        <v>4</v>
      </c>
      <c r="E71" s="6" t="str">
        <f t="shared" si="38"/>
        <v>9613201.png</v>
      </c>
      <c r="F71" s="51">
        <f t="shared" si="40"/>
        <v>0</v>
      </c>
      <c r="G71" s="76" t="str">
        <f t="shared" si="43"/>
        <v>无属性</v>
      </c>
      <c r="H71" s="51">
        <f t="shared" si="44"/>
        <v>0</v>
      </c>
      <c r="I71" s="76">
        <f t="shared" si="45"/>
        <v>0</v>
      </c>
      <c r="J71" s="77">
        <f t="shared" si="46"/>
        <v>16</v>
      </c>
      <c r="K71" s="63">
        <f t="shared" si="47"/>
        <v>7.1428571428571438E-2</v>
      </c>
      <c r="L71" s="53">
        <f t="shared" si="48"/>
        <v>17.857142857142858</v>
      </c>
      <c r="M71" s="29">
        <f t="shared" si="49"/>
        <v>1</v>
      </c>
      <c r="N71" s="75">
        <v>0</v>
      </c>
      <c r="O71" s="82" t="str">
        <f>VLOOKUP(INT(A71/100)*100+1,CHOOSE({1,2},D_马仔表!$J$2:$J$20,D_马仔表!$B$2:$B$20),2,FALSE)</f>
        <v>宫本一</v>
      </c>
      <c r="P71" s="81">
        <f>VLOOKUP(O71,D_马仔表!$B$2:$W$20,3,FALSE)</f>
        <v>2</v>
      </c>
      <c r="Q71" s="39">
        <f>IFERROR(VLOOKUP(R71,CHOOSE({1,2},技能辅助表!$B$3:$B$83,技能辅助表!$A$3:$A$82),2,FALSE),0)</f>
        <v>48</v>
      </c>
      <c r="R71" s="39">
        <f t="shared" si="34"/>
        <v>6</v>
      </c>
      <c r="S71" s="29" t="str">
        <f t="shared" si="41"/>
        <v>召唤出场时，减少场上所有敌人防御力X%，持续Y秒。</v>
      </c>
      <c r="T71" s="115" t="str">
        <f t="shared" si="42"/>
        <v>召唤出场时，减少场上所有敌人防御力7.14%，持续Y秒。</v>
      </c>
    </row>
    <row r="72" spans="1:31" ht="14.45" customHeight="1">
      <c r="A72" s="41">
        <f t="shared" si="35"/>
        <v>9614204</v>
      </c>
      <c r="B72" s="29" t="str">
        <f t="shared" si="36"/>
        <v>霸气纵横</v>
      </c>
      <c r="C72" s="75" t="str">
        <f t="shared" si="3"/>
        <v>召唤出场时，主角进入无敌状态，持续7.86秒。</v>
      </c>
      <c r="D72" s="6">
        <f t="shared" si="37"/>
        <v>4</v>
      </c>
      <c r="E72" s="6" t="str">
        <f t="shared" si="38"/>
        <v>9614201.png</v>
      </c>
      <c r="F72" s="51">
        <f t="shared" si="40"/>
        <v>0</v>
      </c>
      <c r="G72" s="76" t="str">
        <f t="shared" si="43"/>
        <v>无属性</v>
      </c>
      <c r="H72" s="51">
        <f t="shared" si="44"/>
        <v>0</v>
      </c>
      <c r="I72" s="76">
        <f t="shared" si="45"/>
        <v>0</v>
      </c>
      <c r="J72" s="77">
        <f t="shared" si="46"/>
        <v>1</v>
      </c>
      <c r="K72" s="63">
        <f t="shared" si="47"/>
        <v>0</v>
      </c>
      <c r="L72" s="53">
        <f t="shared" si="48"/>
        <v>7.8571428571428577</v>
      </c>
      <c r="M72" s="29">
        <f t="shared" si="49"/>
        <v>0</v>
      </c>
      <c r="N72" s="75">
        <v>0</v>
      </c>
      <c r="O72" s="82" t="str">
        <f>VLOOKUP(INT(A72/100)*100+1,CHOOSE({1,2},D_马仔表!$J$2:$J$20,D_马仔表!$B$2:$B$20),2,FALSE)</f>
        <v>陈浩南</v>
      </c>
      <c r="P72" s="81">
        <f>VLOOKUP(O72,D_马仔表!$B$2:$W$20,3,FALSE)</f>
        <v>3</v>
      </c>
      <c r="Q72" s="39">
        <f>IFERROR(VLOOKUP(R72,CHOOSE({1,2},技能辅助表!$B$3:$B$83,技能辅助表!$A$3:$A$82),2,FALSE),0)</f>
        <v>48</v>
      </c>
      <c r="R72" s="39">
        <f t="shared" si="34"/>
        <v>6</v>
      </c>
      <c r="S72" s="29" t="str">
        <f t="shared" si="41"/>
        <v>召唤出场时，主角进入无敌状态，持续Y秒。</v>
      </c>
      <c r="T72" s="115" t="str">
        <f t="shared" si="42"/>
        <v>召唤出场时，主角进入无敌状态，持续Y秒。</v>
      </c>
    </row>
    <row r="73" spans="1:31" ht="14.45" customHeight="1">
      <c r="A73" s="41">
        <f t="shared" si="35"/>
        <v>9615204</v>
      </c>
      <c r="B73" s="29" t="str">
        <f t="shared" si="36"/>
        <v>猛虎出山</v>
      </c>
      <c r="C73" s="75" t="str">
        <f t="shared" si="3"/>
        <v>召唤出场时，主角进入霸体状态，持续20.72秒。</v>
      </c>
      <c r="D73" s="6">
        <f t="shared" si="37"/>
        <v>4</v>
      </c>
      <c r="E73" s="6" t="str">
        <f t="shared" si="38"/>
        <v>9615201.png</v>
      </c>
      <c r="F73" s="51">
        <f t="shared" si="40"/>
        <v>0</v>
      </c>
      <c r="G73" s="76" t="str">
        <f t="shared" si="43"/>
        <v>无属性</v>
      </c>
      <c r="H73" s="51">
        <f t="shared" si="44"/>
        <v>0</v>
      </c>
      <c r="I73" s="76">
        <f t="shared" si="45"/>
        <v>0</v>
      </c>
      <c r="J73" s="77">
        <f t="shared" si="46"/>
        <v>2</v>
      </c>
      <c r="K73" s="63">
        <f t="shared" si="47"/>
        <v>80</v>
      </c>
      <c r="L73" s="53">
        <f t="shared" si="48"/>
        <v>20.714285714285715</v>
      </c>
      <c r="M73" s="29">
        <f t="shared" si="49"/>
        <v>0</v>
      </c>
      <c r="N73" s="75">
        <v>0</v>
      </c>
      <c r="O73" s="82" t="str">
        <f>VLOOKUP(INT(A73/100)*100+1,CHOOSE({1,2},D_马仔表!$J$2:$J$20,D_马仔表!$B$2:$B$20),2,FALSE)</f>
        <v>山鸡</v>
      </c>
      <c r="P73" s="81">
        <f>VLOOKUP(O73,D_马仔表!$B$2:$W$20,3,FALSE)</f>
        <v>3</v>
      </c>
      <c r="Q73" s="39">
        <f>IFERROR(VLOOKUP(R73,CHOOSE({1,2},技能辅助表!$B$3:$B$83,技能辅助表!$A$3:$A$82),2,FALSE),0)</f>
        <v>48</v>
      </c>
      <c r="R73" s="39">
        <f t="shared" si="34"/>
        <v>6</v>
      </c>
      <c r="S73" s="29" t="str">
        <f t="shared" si="41"/>
        <v>召唤出场时，主角进入霸体状态，持续Y秒。</v>
      </c>
      <c r="T73" s="115" t="str">
        <f t="shared" si="42"/>
        <v>召唤出场时，主角进入霸体状态，持续Y秒。</v>
      </c>
    </row>
    <row r="74" spans="1:31" ht="14.45" customHeight="1">
      <c r="A74" s="41">
        <f t="shared" si="35"/>
        <v>9616204</v>
      </c>
      <c r="B74" s="29" t="str">
        <f t="shared" si="36"/>
        <v>武魂</v>
      </c>
      <c r="C74" s="75" t="str">
        <f t="shared" si="3"/>
        <v>召唤出场时，主角体型变大，移动速度、攻击力、防御力增加7.14%,持续17.86秒。</v>
      </c>
      <c r="D74" s="6">
        <f t="shared" si="37"/>
        <v>4</v>
      </c>
      <c r="E74" s="6" t="str">
        <f t="shared" si="38"/>
        <v>9616201.png</v>
      </c>
      <c r="F74" s="51">
        <f t="shared" si="40"/>
        <v>0</v>
      </c>
      <c r="G74" s="76" t="str">
        <f t="shared" si="43"/>
        <v>无属性</v>
      </c>
      <c r="H74" s="51">
        <f t="shared" si="44"/>
        <v>0</v>
      </c>
      <c r="I74" s="76">
        <f t="shared" si="45"/>
        <v>0</v>
      </c>
      <c r="J74" s="77">
        <f t="shared" si="46"/>
        <v>19</v>
      </c>
      <c r="K74" s="63">
        <f t="shared" si="47"/>
        <v>7.1428571428571438E-2</v>
      </c>
      <c r="L74" s="53">
        <f t="shared" si="48"/>
        <v>17.857142857142858</v>
      </c>
      <c r="M74" s="29">
        <f t="shared" si="49"/>
        <v>1</v>
      </c>
      <c r="N74" s="75">
        <v>0</v>
      </c>
      <c r="O74" s="82" t="str">
        <f>VLOOKUP(INT(A74/100)*100+1,CHOOSE({1,2},D_马仔表!$J$2:$J$20,D_马仔表!$B$2:$B$20),2,FALSE)</f>
        <v>大天二</v>
      </c>
      <c r="P74" s="81">
        <f>VLOOKUP(O74,D_马仔表!$B$2:$W$20,3,FALSE)</f>
        <v>3</v>
      </c>
      <c r="Q74" s="39">
        <f>IFERROR(VLOOKUP(R74,CHOOSE({1,2},技能辅助表!$B$3:$B$83,技能辅助表!$A$3:$A$82),2,FALSE),0)</f>
        <v>48</v>
      </c>
      <c r="R74" s="39">
        <f t="shared" si="34"/>
        <v>6</v>
      </c>
      <c r="S74" s="29" t="str">
        <f t="shared" si="41"/>
        <v>召唤出场时，主角体型变大，移动速度、攻击力、防御力增加X%,持续Y秒。</v>
      </c>
      <c r="T74" s="115" t="str">
        <f t="shared" si="42"/>
        <v>召唤出场时，主角体型变大，移动速度、攻击力、防御力增加7.14%,持续Y秒。</v>
      </c>
    </row>
    <row r="75" spans="1:31" ht="14.45" customHeight="1">
      <c r="A75" s="113">
        <f t="shared" si="35"/>
        <v>9617204</v>
      </c>
      <c r="B75" s="29" t="str">
        <f t="shared" si="36"/>
        <v>净化</v>
      </c>
      <c r="C75" s="75" t="str">
        <f t="shared" ref="C75:C77" si="50">IF(F75=0,IFERROR(REPLACE(T75,FIND("Y",T75),LEN("Y"),ROUNDUP(L75,2)),T75),IF(F75=0,"","永久增加主角"&amp;IF(I75&lt;1,ROUNDUP(I75*100,2)&amp;"%",ROUNDUP(I75,0))&amp;G75&amp;",")&amp;IFERROR(REPLACE(T75,FIND("Y",T75),LEN("Y"),ROUNDUP(L75,2)),T75))</f>
        <v>召唤出场时，场上所有敌人的BUFF会被全部清除。</v>
      </c>
      <c r="D75" s="6">
        <f t="shared" si="37"/>
        <v>4</v>
      </c>
      <c r="E75" s="6" t="str">
        <f t="shared" si="38"/>
        <v>9601201.png</v>
      </c>
      <c r="F75" s="51">
        <f t="shared" si="40"/>
        <v>0</v>
      </c>
      <c r="G75" s="76" t="str">
        <f t="shared" si="43"/>
        <v>无属性</v>
      </c>
      <c r="H75" s="51">
        <f t="shared" si="44"/>
        <v>0</v>
      </c>
      <c r="I75" s="76">
        <f t="shared" si="45"/>
        <v>0</v>
      </c>
      <c r="J75" s="77">
        <f t="shared" si="46"/>
        <v>14</v>
      </c>
      <c r="K75" s="63">
        <f t="shared" si="47"/>
        <v>0</v>
      </c>
      <c r="L75" s="53">
        <f t="shared" si="48"/>
        <v>0</v>
      </c>
      <c r="M75" s="29">
        <f t="shared" si="49"/>
        <v>0</v>
      </c>
      <c r="N75" s="75">
        <v>0</v>
      </c>
      <c r="O75" s="82" t="str">
        <f>VLOOKUP(INT(A75/100)*100+1,CHOOSE({1,2},D_马仔表!$J$2:$J$20,D_马仔表!$B$2:$B$20),2,FALSE)</f>
        <v>巴闭</v>
      </c>
      <c r="P75" s="81">
        <f>VLOOKUP(O75,D_马仔表!$B$2:$W$20,3,FALSE)</f>
        <v>1</v>
      </c>
      <c r="Q75" s="39">
        <f>IFERROR(VLOOKUP(R75,CHOOSE({1,2},技能辅助表!$B$3:$B$83,技能辅助表!$A$3:$A$82),2,FALSE),0)</f>
        <v>48</v>
      </c>
      <c r="R75" s="39">
        <f t="shared" ref="R75:R77" si="51">D75+2</f>
        <v>6</v>
      </c>
      <c r="S75" s="29" t="str">
        <f t="shared" si="41"/>
        <v>召唤出场时，场上所有敌人的BUFF会被全部清除。</v>
      </c>
      <c r="T75" s="115" t="str">
        <f t="shared" si="42"/>
        <v>召唤出场时，场上所有敌人的BUFF会被全部清除。</v>
      </c>
    </row>
    <row r="76" spans="1:31" ht="14.45" customHeight="1">
      <c r="A76" s="113">
        <f t="shared" si="35"/>
        <v>9618204</v>
      </c>
      <c r="B76" s="29" t="str">
        <f t="shared" si="36"/>
        <v>震慑</v>
      </c>
      <c r="C76" s="75" t="str">
        <f t="shared" si="50"/>
        <v>召唤出场时，场上所有敌人，体型变小，移动速度，攻击力，防御力降低7.14%，持续17.86秒。</v>
      </c>
      <c r="D76" s="6">
        <f t="shared" si="37"/>
        <v>4</v>
      </c>
      <c r="E76" s="6" t="str">
        <f t="shared" si="38"/>
        <v>9612201.png</v>
      </c>
      <c r="F76" s="51">
        <f t="shared" si="40"/>
        <v>0</v>
      </c>
      <c r="G76" s="76" t="str">
        <f t="shared" si="43"/>
        <v>无属性</v>
      </c>
      <c r="H76" s="51">
        <f t="shared" si="44"/>
        <v>0</v>
      </c>
      <c r="I76" s="76">
        <f t="shared" si="45"/>
        <v>0</v>
      </c>
      <c r="J76" s="77">
        <f t="shared" si="46"/>
        <v>20</v>
      </c>
      <c r="K76" s="63">
        <f t="shared" si="47"/>
        <v>7.1428571428571438E-2</v>
      </c>
      <c r="L76" s="53">
        <f t="shared" si="48"/>
        <v>17.857142857142858</v>
      </c>
      <c r="M76" s="29">
        <f t="shared" si="49"/>
        <v>1</v>
      </c>
      <c r="N76" s="75">
        <v>0</v>
      </c>
      <c r="O76" s="82" t="str">
        <f>VLOOKUP(INT(A76/100)*100+1,CHOOSE({1,2},D_马仔表!$J$2:$J$20,D_马仔表!$B$2:$B$20),2,FALSE)</f>
        <v>耀阳</v>
      </c>
      <c r="P76" s="81">
        <f>VLOOKUP(O76,D_马仔表!$B$2:$W$20,3,FALSE)</f>
        <v>2</v>
      </c>
      <c r="Q76" s="39">
        <f>IFERROR(VLOOKUP(R76,CHOOSE({1,2},技能辅助表!$B$3:$B$83,技能辅助表!$A$3:$A$82),2,FALSE),0)</f>
        <v>48</v>
      </c>
      <c r="R76" s="39">
        <f t="shared" si="51"/>
        <v>6</v>
      </c>
      <c r="S76" s="29" t="str">
        <f t="shared" si="41"/>
        <v>召唤出场时，场上所有敌人，体型变小，移动速度，攻击力，防御力降低X%，持续Y秒。</v>
      </c>
      <c r="T76" s="115" t="str">
        <f t="shared" si="42"/>
        <v>召唤出场时，场上所有敌人，体型变小，移动速度，攻击力，防御力降低7.14%，持续Y秒。</v>
      </c>
    </row>
    <row r="77" spans="1:31" ht="14.45" customHeight="1">
      <c r="A77" s="113">
        <f t="shared" si="35"/>
        <v>9619204</v>
      </c>
      <c r="B77" s="29" t="str">
        <f t="shared" si="36"/>
        <v>暴怒</v>
      </c>
      <c r="C77" s="75" t="str">
        <f t="shared" si="50"/>
        <v>召唤出场时，为主角增加暴击倍数35.71%，持续17.86秒。</v>
      </c>
      <c r="D77" s="6">
        <f t="shared" si="37"/>
        <v>4</v>
      </c>
      <c r="E77" s="6" t="str">
        <f t="shared" si="38"/>
        <v>9604201.png</v>
      </c>
      <c r="F77" s="51">
        <f t="shared" si="40"/>
        <v>0</v>
      </c>
      <c r="G77" s="76" t="str">
        <f t="shared" si="43"/>
        <v>无属性</v>
      </c>
      <c r="H77" s="51">
        <f t="shared" si="44"/>
        <v>0</v>
      </c>
      <c r="I77" s="76">
        <f t="shared" si="45"/>
        <v>0</v>
      </c>
      <c r="J77" s="77">
        <f t="shared" si="46"/>
        <v>7</v>
      </c>
      <c r="K77" s="63">
        <f t="shared" si="47"/>
        <v>17857.142857142859</v>
      </c>
      <c r="L77" s="53">
        <f t="shared" si="48"/>
        <v>17.857142857142858</v>
      </c>
      <c r="M77" s="29">
        <f t="shared" si="49"/>
        <v>1</v>
      </c>
      <c r="N77" s="75">
        <v>0</v>
      </c>
      <c r="O77" s="82" t="str">
        <f>VLOOKUP(INT(A77/100)*100+1,CHOOSE({1,2},D_马仔表!$J$2:$J$20,D_马仔表!$B$2:$B$20),2,FALSE)</f>
        <v>笑面虎</v>
      </c>
      <c r="P77" s="81">
        <f>VLOOKUP(O77,D_马仔表!$B$2:$W$20,3,FALSE)</f>
        <v>2</v>
      </c>
      <c r="Q77" s="39">
        <f>IFERROR(VLOOKUP(R77,CHOOSE({1,2},技能辅助表!$B$3:$B$83,技能辅助表!$A$3:$A$82),2,FALSE),0)</f>
        <v>48</v>
      </c>
      <c r="R77" s="39">
        <f t="shared" si="51"/>
        <v>6</v>
      </c>
      <c r="S77" s="29" t="str">
        <f t="shared" si="41"/>
        <v>召唤出场时，为主角增加暴击倍数X%，持续Y秒。</v>
      </c>
      <c r="T77" s="115" t="str">
        <f t="shared" si="42"/>
        <v>召唤出场时，为主角增加暴击倍数35.71%，持续Y秒。</v>
      </c>
    </row>
    <row r="78" spans="1:31" ht="14.45" customHeight="1">
      <c r="A78" s="41">
        <f t="shared" si="35"/>
        <v>9601205</v>
      </c>
      <c r="B78" s="29" t="str">
        <f t="shared" si="36"/>
        <v>急救</v>
      </c>
      <c r="C78" s="75" t="str">
        <f t="shared" ref="C78:C150" si="52">IF(F78=0,IFERROR(REPLACE(T78,FIND("Y",T78),LEN("Y"),ROUNDUP(L78,2)),T78),IF(F78=0,"","永久增加主角"&amp;IF(I78&lt;1,ROUNDUP(I78*100,2)&amp;"%",ROUNDUP(I78,0))&amp;G78&amp;",")&amp;IFERROR(REPLACE(T78,FIND("Y",T78),LEN("Y"),ROUNDUP(L78,2)),T78))</f>
        <v>召唤出场时，为主角回复25.71%最大生命值。</v>
      </c>
      <c r="D78" s="6">
        <f t="shared" si="37"/>
        <v>5</v>
      </c>
      <c r="E78" s="6" t="str">
        <f t="shared" si="38"/>
        <v>9601201.png</v>
      </c>
      <c r="F78" s="51">
        <f t="shared" si="40"/>
        <v>0</v>
      </c>
      <c r="G78" s="76" t="str">
        <f t="shared" si="43"/>
        <v>无属性</v>
      </c>
      <c r="H78" s="51">
        <f t="shared" si="44"/>
        <v>0</v>
      </c>
      <c r="I78" s="76">
        <f t="shared" si="45"/>
        <v>0</v>
      </c>
      <c r="J78" s="77">
        <f t="shared" si="46"/>
        <v>3</v>
      </c>
      <c r="K78" s="63">
        <f t="shared" si="47"/>
        <v>0.25714285714285717</v>
      </c>
      <c r="L78" s="53">
        <f t="shared" si="48"/>
        <v>0</v>
      </c>
      <c r="M78" s="29">
        <f t="shared" si="49"/>
        <v>1</v>
      </c>
      <c r="N78" s="75">
        <v>0</v>
      </c>
      <c r="O78" s="82" t="str">
        <f>VLOOKUP(INT(A78/100)*100+1,CHOOSE({1,2},D_马仔表!$J$2:$J$20,D_马仔表!$B$2:$B$20),2,FALSE)</f>
        <v>制服太妹</v>
      </c>
      <c r="P78" s="81">
        <f>VLOOKUP(O78,D_马仔表!$B$2:$W$20,3,FALSE)</f>
        <v>0</v>
      </c>
      <c r="Q78" s="39">
        <f>IFERROR(VLOOKUP(R78,CHOOSE({1,2},技能辅助表!$B$3:$B$83,技能辅助表!$A$3:$A$82),2,FALSE),0)</f>
        <v>56</v>
      </c>
      <c r="R78" s="39">
        <f t="shared" ref="R78:R112" si="53">D78+2</f>
        <v>7</v>
      </c>
      <c r="S78" s="29" t="str">
        <f t="shared" si="41"/>
        <v>召唤出场时，为主角回复X%最大生命值。</v>
      </c>
      <c r="T78" s="115" t="str">
        <f t="shared" si="42"/>
        <v>召唤出场时，为主角回复25.71%最大生命值。</v>
      </c>
    </row>
    <row r="79" spans="1:31" ht="14.45" customHeight="1">
      <c r="A79" s="41">
        <f t="shared" si="35"/>
        <v>9602205</v>
      </c>
      <c r="B79" s="29" t="str">
        <f t="shared" si="36"/>
        <v>鼓舞</v>
      </c>
      <c r="C79" s="75" t="str">
        <f t="shared" si="52"/>
        <v>召唤出场时，为主角增加生命最大值8571.43，持续18.58秒。</v>
      </c>
      <c r="D79" s="6">
        <f t="shared" si="37"/>
        <v>5</v>
      </c>
      <c r="E79" s="6" t="str">
        <f t="shared" si="38"/>
        <v>9602201.png</v>
      </c>
      <c r="F79" s="51">
        <f t="shared" si="40"/>
        <v>0</v>
      </c>
      <c r="G79" s="76" t="str">
        <f t="shared" si="43"/>
        <v>无属性</v>
      </c>
      <c r="H79" s="51">
        <f t="shared" si="44"/>
        <v>0</v>
      </c>
      <c r="I79" s="76">
        <f t="shared" si="45"/>
        <v>0</v>
      </c>
      <c r="J79" s="77">
        <f t="shared" si="46"/>
        <v>9</v>
      </c>
      <c r="K79" s="63">
        <f t="shared" si="47"/>
        <v>8571.4285714285725</v>
      </c>
      <c r="L79" s="53">
        <f t="shared" si="48"/>
        <v>18.571428571428573</v>
      </c>
      <c r="M79" s="29">
        <f t="shared" si="49"/>
        <v>0</v>
      </c>
      <c r="N79" s="75">
        <v>0</v>
      </c>
      <c r="O79" s="82" t="str">
        <f>VLOOKUP(INT(A79/100)*100+1,CHOOSE({1,2},D_马仔表!$J$2:$J$20,D_马仔表!$B$2:$B$20),2,FALSE)</f>
        <v>蟹仔</v>
      </c>
      <c r="P79" s="81">
        <f>VLOOKUP(O79,D_马仔表!$B$2:$W$20,3,FALSE)</f>
        <v>0</v>
      </c>
      <c r="Q79" s="39">
        <f>IFERROR(VLOOKUP(R79,CHOOSE({1,2},技能辅助表!$B$3:$B$83,技能辅助表!$A$3:$A$82),2,FALSE),0)</f>
        <v>56</v>
      </c>
      <c r="R79" s="39">
        <f t="shared" si="53"/>
        <v>7</v>
      </c>
      <c r="S79" s="29" t="str">
        <f t="shared" si="41"/>
        <v>召唤出场时，为主角增加生命最大值X，持续Y秒。</v>
      </c>
      <c r="T79" s="115" t="str">
        <f t="shared" si="42"/>
        <v>召唤出场时，为主角增加生命最大值8571.43，持续Y秒。</v>
      </c>
    </row>
    <row r="80" spans="1:31" ht="14.45" customHeight="1">
      <c r="A80" s="41">
        <f t="shared" si="35"/>
        <v>9603205</v>
      </c>
      <c r="B80" s="29" t="str">
        <f t="shared" si="36"/>
        <v>激励</v>
      </c>
      <c r="C80" s="75" t="str">
        <f t="shared" si="52"/>
        <v>召唤出场时，为主角增加攻击力1114.29，持续18.58秒。</v>
      </c>
      <c r="D80" s="6">
        <f t="shared" si="37"/>
        <v>5</v>
      </c>
      <c r="E80" s="6" t="str">
        <f t="shared" si="38"/>
        <v>9603201.png</v>
      </c>
      <c r="F80" s="51">
        <f t="shared" si="40"/>
        <v>0</v>
      </c>
      <c r="G80" s="76" t="str">
        <f t="shared" si="43"/>
        <v>无属性</v>
      </c>
      <c r="H80" s="51">
        <f t="shared" si="44"/>
        <v>0</v>
      </c>
      <c r="I80" s="76">
        <f t="shared" si="45"/>
        <v>0</v>
      </c>
      <c r="J80" s="77">
        <f t="shared" si="46"/>
        <v>10</v>
      </c>
      <c r="K80" s="63">
        <f t="shared" si="47"/>
        <v>1114.2857142857144</v>
      </c>
      <c r="L80" s="53">
        <f t="shared" si="48"/>
        <v>18.571428571428573</v>
      </c>
      <c r="M80" s="29">
        <f t="shared" si="49"/>
        <v>0</v>
      </c>
      <c r="N80" s="75">
        <v>0</v>
      </c>
      <c r="O80" s="82" t="str">
        <f>VLOOKUP(INT(A80/100)*100+1,CHOOSE({1,2},D_马仔表!$J$2:$J$20,D_马仔表!$B$2:$B$20),2,FALSE)</f>
        <v>比利</v>
      </c>
      <c r="P80" s="81">
        <f>VLOOKUP(O80,D_马仔表!$B$2:$W$20,3,FALSE)</f>
        <v>0</v>
      </c>
      <c r="Q80" s="39">
        <f>IFERROR(VLOOKUP(R80,CHOOSE({1,2},技能辅助表!$B$3:$B$83,技能辅助表!$A$3:$A$82),2,FALSE),0)</f>
        <v>56</v>
      </c>
      <c r="R80" s="39">
        <f t="shared" si="53"/>
        <v>7</v>
      </c>
      <c r="S80" s="29" t="str">
        <f t="shared" si="41"/>
        <v>召唤出场时，为主角增加攻击力X，持续Y秒。</v>
      </c>
      <c r="T80" s="115" t="str">
        <f t="shared" si="42"/>
        <v>召唤出场时，为主角增加攻击力1114.29，持续Y秒。</v>
      </c>
    </row>
    <row r="81" spans="1:20" ht="14.45" customHeight="1">
      <c r="A81" s="41">
        <f t="shared" si="35"/>
        <v>9604205</v>
      </c>
      <c r="B81" s="29" t="str">
        <f t="shared" si="36"/>
        <v>鞭策</v>
      </c>
      <c r="C81" s="75" t="str">
        <f t="shared" si="52"/>
        <v>召唤出场时，为主角增加暴击值0.13，持续18.58秒。</v>
      </c>
      <c r="D81" s="6">
        <f t="shared" si="37"/>
        <v>5</v>
      </c>
      <c r="E81" s="6" t="str">
        <f t="shared" si="38"/>
        <v>9604201.png</v>
      </c>
      <c r="F81" s="51">
        <f t="shared" si="40"/>
        <v>0</v>
      </c>
      <c r="G81" s="76" t="str">
        <f t="shared" si="43"/>
        <v>无属性</v>
      </c>
      <c r="H81" s="51">
        <f t="shared" si="44"/>
        <v>0</v>
      </c>
      <c r="I81" s="76">
        <f t="shared" si="45"/>
        <v>0</v>
      </c>
      <c r="J81" s="77">
        <f t="shared" si="46"/>
        <v>8</v>
      </c>
      <c r="K81" s="63">
        <f t="shared" si="47"/>
        <v>21428.571428571431</v>
      </c>
      <c r="L81" s="53">
        <f t="shared" si="48"/>
        <v>18.571428571428573</v>
      </c>
      <c r="M81" s="29">
        <f t="shared" si="49"/>
        <v>0</v>
      </c>
      <c r="N81" s="75">
        <v>0</v>
      </c>
      <c r="O81" s="82" t="str">
        <f>VLOOKUP(INT(A81/100)*100+1,CHOOSE({1,2},D_马仔表!$J$2:$J$20,D_马仔表!$B$2:$B$20),2,FALSE)</f>
        <v>黎九</v>
      </c>
      <c r="P81" s="81">
        <f>VLOOKUP(O81,D_马仔表!$B$2:$W$20,3,FALSE)</f>
        <v>0</v>
      </c>
      <c r="Q81" s="39">
        <f>IFERROR(VLOOKUP(R81,CHOOSE({1,2},技能辅助表!$B$3:$B$83,技能辅助表!$A$3:$A$82),2,FALSE),0)</f>
        <v>56</v>
      </c>
      <c r="R81" s="39">
        <f t="shared" si="53"/>
        <v>7</v>
      </c>
      <c r="S81" s="29" t="str">
        <f t="shared" si="41"/>
        <v>召唤出场时，为主角增加暴击值X，持续Y秒。</v>
      </c>
      <c r="T81" s="115" t="str">
        <f t="shared" si="42"/>
        <v>召唤出场时，为主角增加暴击值0.13，持续Y秒。</v>
      </c>
    </row>
    <row r="82" spans="1:20" ht="14.45" customHeight="1">
      <c r="A82" s="41">
        <f t="shared" si="35"/>
        <v>9605205</v>
      </c>
      <c r="B82" s="29" t="str">
        <f t="shared" si="36"/>
        <v>守护</v>
      </c>
      <c r="C82" s="75" t="str">
        <f t="shared" si="52"/>
        <v>召唤出场时，为主角增加防御力685.72，持续18.58秒。</v>
      </c>
      <c r="D82" s="6">
        <f t="shared" si="37"/>
        <v>5</v>
      </c>
      <c r="E82" s="6" t="str">
        <f t="shared" si="38"/>
        <v>9605201.png</v>
      </c>
      <c r="F82" s="51">
        <f t="shared" si="40"/>
        <v>0</v>
      </c>
      <c r="G82" s="76" t="str">
        <f t="shared" si="43"/>
        <v>无属性</v>
      </c>
      <c r="H82" s="51">
        <f t="shared" si="44"/>
        <v>0</v>
      </c>
      <c r="I82" s="76">
        <f t="shared" si="45"/>
        <v>0</v>
      </c>
      <c r="J82" s="77">
        <f t="shared" si="46"/>
        <v>11</v>
      </c>
      <c r="K82" s="63">
        <f t="shared" si="47"/>
        <v>685.71428571428578</v>
      </c>
      <c r="L82" s="53">
        <f t="shared" si="48"/>
        <v>18.571428571428573</v>
      </c>
      <c r="M82" s="29">
        <f t="shared" si="49"/>
        <v>0</v>
      </c>
      <c r="N82" s="75">
        <v>0</v>
      </c>
      <c r="O82" s="82" t="str">
        <f>VLOOKUP(INT(A82/100)*100+1,CHOOSE({1,2},D_马仔表!$J$2:$J$20,D_马仔表!$B$2:$B$20),2,FALSE)</f>
        <v>黑古</v>
      </c>
      <c r="P82" s="81">
        <f>VLOOKUP(O82,D_马仔表!$B$2:$W$20,3,FALSE)</f>
        <v>0</v>
      </c>
      <c r="Q82" s="39">
        <f>IFERROR(VLOOKUP(R82,CHOOSE({1,2},技能辅助表!$B$3:$B$83,技能辅助表!$A$3:$A$82),2,FALSE),0)</f>
        <v>56</v>
      </c>
      <c r="R82" s="39">
        <f t="shared" si="53"/>
        <v>7</v>
      </c>
      <c r="S82" s="29" t="str">
        <f t="shared" si="41"/>
        <v>召唤出场时，为主角增加防御力X，持续Y秒。</v>
      </c>
      <c r="T82" s="115" t="str">
        <f t="shared" si="42"/>
        <v>召唤出场时，为主角增加防御力685.72，持续Y秒。</v>
      </c>
    </row>
    <row r="83" spans="1:20" ht="14.45" customHeight="1">
      <c r="A83" s="41">
        <f t="shared" si="35"/>
        <v>9606205</v>
      </c>
      <c r="B83" s="29" t="str">
        <f t="shared" si="36"/>
        <v>混世魔王</v>
      </c>
      <c r="C83" s="75" t="str">
        <f t="shared" si="52"/>
        <v>召唤出场时，为主角增加加伤百分比12.85%，持续18.58秒。</v>
      </c>
      <c r="D83" s="6">
        <f t="shared" si="37"/>
        <v>5</v>
      </c>
      <c r="E83" s="6" t="str">
        <f t="shared" si="38"/>
        <v>9606201.png</v>
      </c>
      <c r="F83" s="51">
        <f t="shared" si="40"/>
        <v>0</v>
      </c>
      <c r="G83" s="76" t="str">
        <f t="shared" si="43"/>
        <v>无属性</v>
      </c>
      <c r="H83" s="51">
        <f t="shared" si="44"/>
        <v>0</v>
      </c>
      <c r="I83" s="76">
        <f t="shared" si="45"/>
        <v>0</v>
      </c>
      <c r="J83" s="77">
        <f t="shared" si="46"/>
        <v>12</v>
      </c>
      <c r="K83" s="63">
        <f t="shared" si="47"/>
        <v>8571.4285714285725</v>
      </c>
      <c r="L83" s="53">
        <f t="shared" si="48"/>
        <v>18.571428571428573</v>
      </c>
      <c r="M83" s="29">
        <f t="shared" si="49"/>
        <v>1</v>
      </c>
      <c r="N83" s="75">
        <v>0</v>
      </c>
      <c r="O83" s="82" t="str">
        <f>VLOOKUP(INT(A83/100)*100+1,CHOOSE({1,2},D_马仔表!$J$2:$J$20,D_马仔表!$B$2:$B$20),2,FALSE)</f>
        <v>靓坤</v>
      </c>
      <c r="P83" s="81">
        <f>VLOOKUP(O83,D_马仔表!$B$2:$W$20,3,FALSE)</f>
        <v>1</v>
      </c>
      <c r="Q83" s="39">
        <f>IFERROR(VLOOKUP(R83,CHOOSE({1,2},技能辅助表!$B$3:$B$83,技能辅助表!$A$3:$A$82),2,FALSE),0)</f>
        <v>56</v>
      </c>
      <c r="R83" s="39">
        <f t="shared" si="53"/>
        <v>7</v>
      </c>
      <c r="S83" s="29" t="str">
        <f t="shared" si="41"/>
        <v>召唤出场时，为主角增加加伤百分比X%，持续Y秒。</v>
      </c>
      <c r="T83" s="115" t="str">
        <f t="shared" si="42"/>
        <v>召唤出场时，为主角增加加伤百分比12.85%，持续Y秒。</v>
      </c>
    </row>
    <row r="84" spans="1:20" ht="14.45" customHeight="1">
      <c r="A84" s="41">
        <f t="shared" si="35"/>
        <v>9607205</v>
      </c>
      <c r="B84" s="29" t="str">
        <f t="shared" si="36"/>
        <v>弱点分析</v>
      </c>
      <c r="C84" s="75" t="str">
        <f t="shared" si="52"/>
        <v>召唤出场时，减少场上所有敌人命中值25.71%，持续18.58秒。</v>
      </c>
      <c r="D84" s="6">
        <f t="shared" si="37"/>
        <v>5</v>
      </c>
      <c r="E84" s="6" t="str">
        <f t="shared" si="38"/>
        <v>9607201.png</v>
      </c>
      <c r="F84" s="51">
        <f t="shared" si="40"/>
        <v>0</v>
      </c>
      <c r="G84" s="76" t="str">
        <f t="shared" si="43"/>
        <v>无属性</v>
      </c>
      <c r="H84" s="51">
        <f t="shared" si="44"/>
        <v>0</v>
      </c>
      <c r="I84" s="76">
        <f t="shared" si="45"/>
        <v>0</v>
      </c>
      <c r="J84" s="77">
        <f t="shared" si="46"/>
        <v>17</v>
      </c>
      <c r="K84" s="63">
        <f t="shared" si="47"/>
        <v>0.25714285714285717</v>
      </c>
      <c r="L84" s="53">
        <f t="shared" si="48"/>
        <v>18.571428571428573</v>
      </c>
      <c r="M84" s="29">
        <f t="shared" si="49"/>
        <v>1</v>
      </c>
      <c r="N84" s="75">
        <v>0</v>
      </c>
      <c r="O84" s="82" t="str">
        <f>VLOOKUP(INT(A84/100)*100+1,CHOOSE({1,2},D_马仔表!$J$2:$J$20,D_马仔表!$B$2:$B$20),2,FALSE)</f>
        <v>雷复轰</v>
      </c>
      <c r="P84" s="81">
        <f>VLOOKUP(O84,D_马仔表!$B$2:$W$20,3,FALSE)</f>
        <v>1</v>
      </c>
      <c r="Q84" s="39">
        <f>IFERROR(VLOOKUP(R84,CHOOSE({1,2},技能辅助表!$B$3:$B$83,技能辅助表!$A$3:$A$82),2,FALSE),0)</f>
        <v>56</v>
      </c>
      <c r="R84" s="39">
        <f t="shared" si="53"/>
        <v>7</v>
      </c>
      <c r="S84" s="29" t="str">
        <f t="shared" si="41"/>
        <v>召唤出场时，减少场上所有敌人命中值X%，持续Y秒。</v>
      </c>
      <c r="T84" s="115" t="str">
        <f t="shared" si="42"/>
        <v>召唤出场时，减少场上所有敌人命中值25.71%，持续Y秒。</v>
      </c>
    </row>
    <row r="85" spans="1:20" ht="14.45" customHeight="1">
      <c r="A85" s="41">
        <f t="shared" ref="A85:A116" si="54">A66+1</f>
        <v>9608205</v>
      </c>
      <c r="B85" s="29" t="str">
        <f t="shared" ref="B85:B116" si="55">B66</f>
        <v>硬气功</v>
      </c>
      <c r="C85" s="75" t="str">
        <f t="shared" si="52"/>
        <v>召唤出场时，为主角增加减伤百分比12.85%，持续18.58秒。</v>
      </c>
      <c r="D85" s="6">
        <f t="shared" ref="D85:D116" si="56">D66+1</f>
        <v>5</v>
      </c>
      <c r="E85" s="6" t="str">
        <f t="shared" ref="E85:E116" si="57">E66</f>
        <v>9608201.png</v>
      </c>
      <c r="F85" s="51">
        <f t="shared" si="40"/>
        <v>0</v>
      </c>
      <c r="G85" s="76" t="str">
        <f t="shared" si="43"/>
        <v>无属性</v>
      </c>
      <c r="H85" s="51">
        <f t="shared" si="44"/>
        <v>0</v>
      </c>
      <c r="I85" s="76">
        <f t="shared" si="45"/>
        <v>0</v>
      </c>
      <c r="J85" s="77">
        <f t="shared" si="46"/>
        <v>13</v>
      </c>
      <c r="K85" s="63">
        <f t="shared" si="47"/>
        <v>8571.4285714285725</v>
      </c>
      <c r="L85" s="53">
        <f t="shared" si="48"/>
        <v>18.571428571428573</v>
      </c>
      <c r="M85" s="29">
        <f t="shared" si="49"/>
        <v>1</v>
      </c>
      <c r="N85" s="75">
        <v>0</v>
      </c>
      <c r="O85" s="82" t="str">
        <f>VLOOKUP(INT(A85/100)*100+1,CHOOSE({1,2},D_马仔表!$J$2:$J$20,D_马仔表!$B$2:$B$20),2,FALSE)</f>
        <v>肥仔</v>
      </c>
      <c r="P85" s="81">
        <f>VLOOKUP(O85,D_马仔表!$B$2:$W$20,3,FALSE)</f>
        <v>1</v>
      </c>
      <c r="Q85" s="39">
        <f>IFERROR(VLOOKUP(R85,CHOOSE({1,2},技能辅助表!$B$3:$B$83,技能辅助表!$A$3:$A$82),2,FALSE),0)</f>
        <v>56</v>
      </c>
      <c r="R85" s="39">
        <f t="shared" si="53"/>
        <v>7</v>
      </c>
      <c r="S85" s="29" t="str">
        <f t="shared" si="41"/>
        <v>召唤出场时，为主角增加减伤百分比X%，持续Y秒。</v>
      </c>
      <c r="T85" s="115" t="str">
        <f t="shared" si="42"/>
        <v>召唤出场时，为主角增加减伤百分比12.85%，持续Y秒。</v>
      </c>
    </row>
    <row r="86" spans="1:20" ht="14.45" customHeight="1">
      <c r="A86" s="41">
        <f t="shared" si="54"/>
        <v>9609205</v>
      </c>
      <c r="B86" s="29" t="str">
        <f t="shared" si="55"/>
        <v>坚毅之躯</v>
      </c>
      <c r="C86" s="75" t="str">
        <f t="shared" si="52"/>
        <v>召唤出场时，为主角增加生命最大值百分比8.57%,持续18.58秒。</v>
      </c>
      <c r="D86" s="6">
        <f t="shared" si="56"/>
        <v>5</v>
      </c>
      <c r="E86" s="6" t="str">
        <f t="shared" si="57"/>
        <v>9609201.png</v>
      </c>
      <c r="F86" s="51">
        <f t="shared" si="40"/>
        <v>0</v>
      </c>
      <c r="G86" s="76" t="str">
        <f t="shared" si="43"/>
        <v>无属性</v>
      </c>
      <c r="H86" s="51">
        <f t="shared" si="44"/>
        <v>0</v>
      </c>
      <c r="I86" s="76">
        <f t="shared" si="45"/>
        <v>0</v>
      </c>
      <c r="J86" s="77">
        <f t="shared" si="46"/>
        <v>4</v>
      </c>
      <c r="K86" s="63">
        <f t="shared" si="47"/>
        <v>8.5714285714285729E-2</v>
      </c>
      <c r="L86" s="53">
        <f t="shared" si="48"/>
        <v>18.571428571428573</v>
      </c>
      <c r="M86" s="29">
        <f t="shared" si="49"/>
        <v>1</v>
      </c>
      <c r="N86" s="75">
        <v>0</v>
      </c>
      <c r="O86" s="82" t="str">
        <f>VLOOKUP(INT(A86/100)*100+1,CHOOSE({1,2},D_马仔表!$J$2:$J$20,D_马仔表!$B$2:$B$20),2,FALSE)</f>
        <v>司徒浩南</v>
      </c>
      <c r="P86" s="81">
        <f>VLOOKUP(O86,D_马仔表!$B$2:$W$20,3,FALSE)</f>
        <v>2</v>
      </c>
      <c r="Q86" s="39">
        <f>IFERROR(VLOOKUP(R86,CHOOSE({1,2},技能辅助表!$B$3:$B$83,技能辅助表!$A$3:$A$82),2,FALSE),0)</f>
        <v>56</v>
      </c>
      <c r="R86" s="39">
        <f t="shared" si="53"/>
        <v>7</v>
      </c>
      <c r="S86" s="29" t="str">
        <f t="shared" si="41"/>
        <v>召唤出场时，为主角增加生命最大值百分比X%,持续Y秒。</v>
      </c>
      <c r="T86" s="115" t="str">
        <f t="shared" si="42"/>
        <v>召唤出场时，为主角增加生命最大值百分比8.57%,持续Y秒。</v>
      </c>
    </row>
    <row r="87" spans="1:20" ht="14.45" customHeight="1">
      <c r="A87" s="41">
        <f t="shared" si="54"/>
        <v>9610205</v>
      </c>
      <c r="B87" s="29" t="str">
        <f t="shared" si="55"/>
        <v>战斗意志</v>
      </c>
      <c r="C87" s="75" t="str">
        <f t="shared" si="52"/>
        <v>召唤出场时，为主角增加攻击力百分比8.57%,持续18.58秒。</v>
      </c>
      <c r="D87" s="6">
        <f t="shared" si="56"/>
        <v>5</v>
      </c>
      <c r="E87" s="6" t="str">
        <f t="shared" si="57"/>
        <v>9610201.png</v>
      </c>
      <c r="F87" s="51">
        <f t="shared" si="40"/>
        <v>0</v>
      </c>
      <c r="G87" s="76" t="str">
        <f t="shared" si="43"/>
        <v>无属性</v>
      </c>
      <c r="H87" s="51">
        <f t="shared" si="44"/>
        <v>0</v>
      </c>
      <c r="I87" s="76">
        <f t="shared" si="45"/>
        <v>0</v>
      </c>
      <c r="J87" s="77">
        <f t="shared" si="46"/>
        <v>5</v>
      </c>
      <c r="K87" s="63">
        <f t="shared" si="47"/>
        <v>8.5714285714285729E-2</v>
      </c>
      <c r="L87" s="53">
        <f t="shared" si="48"/>
        <v>18.571428571428573</v>
      </c>
      <c r="M87" s="29">
        <f t="shared" si="49"/>
        <v>1</v>
      </c>
      <c r="N87" s="75">
        <v>0</v>
      </c>
      <c r="O87" s="82" t="str">
        <f>VLOOKUP(INT(A87/100)*100+1,CHOOSE({1,2},D_马仔表!$J$2:$J$20,D_马仔表!$B$2:$B$20),2,FALSE)</f>
        <v>乌鸦</v>
      </c>
      <c r="P87" s="81">
        <f>VLOOKUP(O87,D_马仔表!$B$2:$W$20,3,FALSE)</f>
        <v>2</v>
      </c>
      <c r="Q87" s="39">
        <f>IFERROR(VLOOKUP(R87,CHOOSE({1,2},技能辅助表!$B$3:$B$83,技能辅助表!$A$3:$A$82),2,FALSE),0)</f>
        <v>56</v>
      </c>
      <c r="R87" s="39">
        <f t="shared" si="53"/>
        <v>7</v>
      </c>
      <c r="S87" s="29" t="str">
        <f t="shared" si="41"/>
        <v>召唤出场时，为主角增加攻击力百分比X%,持续Y秒。</v>
      </c>
      <c r="T87" s="115" t="str">
        <f t="shared" si="42"/>
        <v>召唤出场时，为主角增加攻击力百分比8.57%,持续Y秒。</v>
      </c>
    </row>
    <row r="88" spans="1:20" ht="14.45" customHeight="1">
      <c r="A88" s="41">
        <f t="shared" si="54"/>
        <v>9611205</v>
      </c>
      <c r="B88" s="29" t="str">
        <f t="shared" si="55"/>
        <v>金手指</v>
      </c>
      <c r="C88" s="75" t="str">
        <f t="shared" si="52"/>
        <v>召唤出场时，主角所有技能立刻全部CD完毕。</v>
      </c>
      <c r="D88" s="6">
        <f t="shared" si="56"/>
        <v>5</v>
      </c>
      <c r="E88" s="6" t="str">
        <f t="shared" si="57"/>
        <v>9611201.png</v>
      </c>
      <c r="F88" s="51">
        <f t="shared" si="40"/>
        <v>0</v>
      </c>
      <c r="G88" s="76" t="str">
        <f t="shared" si="43"/>
        <v>无属性</v>
      </c>
      <c r="H88" s="51">
        <f t="shared" si="44"/>
        <v>0</v>
      </c>
      <c r="I88" s="76">
        <f t="shared" si="45"/>
        <v>0</v>
      </c>
      <c r="J88" s="77">
        <f t="shared" si="46"/>
        <v>18</v>
      </c>
      <c r="K88" s="63">
        <f t="shared" si="47"/>
        <v>0</v>
      </c>
      <c r="L88" s="53">
        <f t="shared" si="48"/>
        <v>0</v>
      </c>
      <c r="M88" s="29">
        <f t="shared" si="49"/>
        <v>0</v>
      </c>
      <c r="N88" s="75">
        <v>0</v>
      </c>
      <c r="O88" s="82" t="str">
        <f>VLOOKUP(INT(A88/100)*100+1,CHOOSE({1,2},D_马仔表!$J$2:$J$20,D_马仔表!$B$2:$B$20),2,FALSE)</f>
        <v>赌王</v>
      </c>
      <c r="P88" s="81">
        <f>VLOOKUP(O88,D_马仔表!$B$2:$W$20,3,FALSE)</f>
        <v>2</v>
      </c>
      <c r="Q88" s="39">
        <f>IFERROR(VLOOKUP(R88,CHOOSE({1,2},技能辅助表!$B$3:$B$83,技能辅助表!$A$3:$A$82),2,FALSE),0)</f>
        <v>56</v>
      </c>
      <c r="R88" s="39">
        <f t="shared" si="53"/>
        <v>7</v>
      </c>
      <c r="S88" s="29" t="str">
        <f t="shared" si="41"/>
        <v>召唤出场时，主角所有技能立刻全部CD完毕。</v>
      </c>
      <c r="T88" s="115" t="str">
        <f t="shared" si="42"/>
        <v>召唤出场时，主角所有技能立刻全部CD完毕。</v>
      </c>
    </row>
    <row r="89" spans="1:20" ht="14.45" customHeight="1">
      <c r="A89" s="41">
        <f t="shared" si="54"/>
        <v>9612205</v>
      </c>
      <c r="B89" s="29" t="str">
        <f t="shared" si="55"/>
        <v>明镜止水</v>
      </c>
      <c r="C89" s="75" t="str">
        <f t="shared" si="52"/>
        <v>召唤出场时，减少场上所有敌人攻击力8.57%，持续18.58秒。</v>
      </c>
      <c r="D89" s="6">
        <f t="shared" si="56"/>
        <v>5</v>
      </c>
      <c r="E89" s="6" t="str">
        <f t="shared" si="57"/>
        <v>9612201.png</v>
      </c>
      <c r="F89" s="51">
        <f t="shared" si="40"/>
        <v>0</v>
      </c>
      <c r="G89" s="76" t="str">
        <f t="shared" si="43"/>
        <v>无属性</v>
      </c>
      <c r="H89" s="51">
        <f t="shared" si="44"/>
        <v>0</v>
      </c>
      <c r="I89" s="76">
        <f t="shared" si="45"/>
        <v>0</v>
      </c>
      <c r="J89" s="77">
        <f t="shared" si="46"/>
        <v>15</v>
      </c>
      <c r="K89" s="63">
        <f t="shared" si="47"/>
        <v>8.5714285714285729E-2</v>
      </c>
      <c r="L89" s="53">
        <f t="shared" si="48"/>
        <v>18.571428571428573</v>
      </c>
      <c r="M89" s="29">
        <f t="shared" si="49"/>
        <v>1</v>
      </c>
      <c r="N89" s="75">
        <v>0</v>
      </c>
      <c r="O89" s="82" t="str">
        <f>VLOOKUP(INT(A89/100)*100+1,CHOOSE({1,2},D_马仔表!$J$2:$J$20,D_马仔表!$B$2:$B$20),2,FALSE)</f>
        <v>山下忠秀</v>
      </c>
      <c r="P89" s="81">
        <f>VLOOKUP(O89,D_马仔表!$B$2:$W$20,3,FALSE)</f>
        <v>2</v>
      </c>
      <c r="Q89" s="39">
        <f>IFERROR(VLOOKUP(R89,CHOOSE({1,2},技能辅助表!$B$3:$B$83,技能辅助表!$A$3:$A$82),2,FALSE),0)</f>
        <v>56</v>
      </c>
      <c r="R89" s="39">
        <f t="shared" si="53"/>
        <v>7</v>
      </c>
      <c r="S89" s="29" t="str">
        <f t="shared" si="41"/>
        <v>召唤出场时，减少场上所有敌人攻击力X%，持续Y秒。</v>
      </c>
      <c r="T89" s="115" t="str">
        <f t="shared" si="42"/>
        <v>召唤出场时，减少场上所有敌人攻击力8.57%，持续Y秒。</v>
      </c>
    </row>
    <row r="90" spans="1:20" ht="14.45" customHeight="1">
      <c r="A90" s="41">
        <f t="shared" si="54"/>
        <v>9613205</v>
      </c>
      <c r="B90" s="29" t="str">
        <f t="shared" si="55"/>
        <v>阳炎</v>
      </c>
      <c r="C90" s="75" t="str">
        <f t="shared" si="52"/>
        <v>召唤出场时，减少场上所有敌人防御力8.57%，持续18.58秒。</v>
      </c>
      <c r="D90" s="6">
        <f t="shared" si="56"/>
        <v>5</v>
      </c>
      <c r="E90" s="6" t="str">
        <f t="shared" si="57"/>
        <v>9613201.png</v>
      </c>
      <c r="F90" s="51">
        <f t="shared" si="40"/>
        <v>0</v>
      </c>
      <c r="G90" s="76" t="str">
        <f t="shared" si="43"/>
        <v>无属性</v>
      </c>
      <c r="H90" s="51">
        <f t="shared" si="44"/>
        <v>0</v>
      </c>
      <c r="I90" s="76">
        <f t="shared" si="45"/>
        <v>0</v>
      </c>
      <c r="J90" s="77">
        <f t="shared" si="46"/>
        <v>16</v>
      </c>
      <c r="K90" s="63">
        <f t="shared" si="47"/>
        <v>8.5714285714285729E-2</v>
      </c>
      <c r="L90" s="53">
        <f t="shared" si="48"/>
        <v>18.571428571428573</v>
      </c>
      <c r="M90" s="29">
        <f t="shared" si="49"/>
        <v>1</v>
      </c>
      <c r="N90" s="75">
        <v>0</v>
      </c>
      <c r="O90" s="82" t="str">
        <f>VLOOKUP(INT(A90/100)*100+1,CHOOSE({1,2},D_马仔表!$J$2:$J$20,D_马仔表!$B$2:$B$20),2,FALSE)</f>
        <v>宫本一</v>
      </c>
      <c r="P90" s="81">
        <f>VLOOKUP(O90,D_马仔表!$B$2:$W$20,3,FALSE)</f>
        <v>2</v>
      </c>
      <c r="Q90" s="39">
        <f>IFERROR(VLOOKUP(R90,CHOOSE({1,2},技能辅助表!$B$3:$B$83,技能辅助表!$A$3:$A$82),2,FALSE),0)</f>
        <v>56</v>
      </c>
      <c r="R90" s="39">
        <f t="shared" si="53"/>
        <v>7</v>
      </c>
      <c r="S90" s="29" t="str">
        <f t="shared" si="41"/>
        <v>召唤出场时，减少场上所有敌人防御力X%，持续Y秒。</v>
      </c>
      <c r="T90" s="115" t="str">
        <f t="shared" si="42"/>
        <v>召唤出场时，减少场上所有敌人防御力8.57%，持续Y秒。</v>
      </c>
    </row>
    <row r="91" spans="1:20" ht="14.45" customHeight="1">
      <c r="A91" s="41">
        <f t="shared" si="54"/>
        <v>9614205</v>
      </c>
      <c r="B91" s="29" t="str">
        <f t="shared" si="55"/>
        <v>霸气纵横</v>
      </c>
      <c r="C91" s="75" t="str">
        <f t="shared" si="52"/>
        <v>召唤出场时，主角进入无敌状态，持续8.58秒。</v>
      </c>
      <c r="D91" s="6">
        <f t="shared" si="56"/>
        <v>5</v>
      </c>
      <c r="E91" s="6" t="str">
        <f t="shared" si="57"/>
        <v>9614201.png</v>
      </c>
      <c r="F91" s="51">
        <f t="shared" si="40"/>
        <v>0</v>
      </c>
      <c r="G91" s="76" t="str">
        <f t="shared" si="43"/>
        <v>无属性</v>
      </c>
      <c r="H91" s="51">
        <f t="shared" si="44"/>
        <v>0</v>
      </c>
      <c r="I91" s="76">
        <f t="shared" si="45"/>
        <v>0</v>
      </c>
      <c r="J91" s="77">
        <f t="shared" si="46"/>
        <v>1</v>
      </c>
      <c r="K91" s="63">
        <f t="shared" si="47"/>
        <v>0</v>
      </c>
      <c r="L91" s="53">
        <f t="shared" si="48"/>
        <v>8.5714285714285712</v>
      </c>
      <c r="M91" s="29">
        <f t="shared" si="49"/>
        <v>0</v>
      </c>
      <c r="N91" s="75">
        <v>0</v>
      </c>
      <c r="O91" s="82" t="str">
        <f>VLOOKUP(INT(A91/100)*100+1,CHOOSE({1,2},D_马仔表!$J$2:$J$20,D_马仔表!$B$2:$B$20),2,FALSE)</f>
        <v>陈浩南</v>
      </c>
      <c r="P91" s="81">
        <f>VLOOKUP(O91,D_马仔表!$B$2:$W$20,3,FALSE)</f>
        <v>3</v>
      </c>
      <c r="Q91" s="39">
        <f>IFERROR(VLOOKUP(R91,CHOOSE({1,2},技能辅助表!$B$3:$B$83,技能辅助表!$A$3:$A$82),2,FALSE),0)</f>
        <v>56</v>
      </c>
      <c r="R91" s="39">
        <f t="shared" si="53"/>
        <v>7</v>
      </c>
      <c r="S91" s="29" t="str">
        <f t="shared" si="41"/>
        <v>召唤出场时，主角进入无敌状态，持续Y秒。</v>
      </c>
      <c r="T91" s="115" t="str">
        <f t="shared" si="42"/>
        <v>召唤出场时，主角进入无敌状态，持续Y秒。</v>
      </c>
    </row>
    <row r="92" spans="1:20" ht="14.45" customHeight="1">
      <c r="A92" s="41">
        <f t="shared" si="54"/>
        <v>9615205</v>
      </c>
      <c r="B92" s="29" t="str">
        <f t="shared" si="55"/>
        <v>猛虎出山</v>
      </c>
      <c r="C92" s="75" t="str">
        <f t="shared" si="52"/>
        <v>召唤出场时，主角进入霸体状态，持续22.15秒。</v>
      </c>
      <c r="D92" s="6">
        <f t="shared" si="56"/>
        <v>5</v>
      </c>
      <c r="E92" s="6" t="str">
        <f t="shared" si="57"/>
        <v>9615201.png</v>
      </c>
      <c r="F92" s="51">
        <f t="shared" si="40"/>
        <v>0</v>
      </c>
      <c r="G92" s="76" t="str">
        <f t="shared" si="43"/>
        <v>无属性</v>
      </c>
      <c r="H92" s="51">
        <f t="shared" si="44"/>
        <v>0</v>
      </c>
      <c r="I92" s="76">
        <f t="shared" si="45"/>
        <v>0</v>
      </c>
      <c r="J92" s="77">
        <f t="shared" si="46"/>
        <v>2</v>
      </c>
      <c r="K92" s="63">
        <f t="shared" si="47"/>
        <v>80</v>
      </c>
      <c r="L92" s="53">
        <f t="shared" si="48"/>
        <v>22.142857142857142</v>
      </c>
      <c r="M92" s="29">
        <f t="shared" si="49"/>
        <v>0</v>
      </c>
      <c r="N92" s="75">
        <v>0</v>
      </c>
      <c r="O92" s="82" t="str">
        <f>VLOOKUP(INT(A92/100)*100+1,CHOOSE({1,2},D_马仔表!$J$2:$J$20,D_马仔表!$B$2:$B$20),2,FALSE)</f>
        <v>山鸡</v>
      </c>
      <c r="P92" s="81">
        <f>VLOOKUP(O92,D_马仔表!$B$2:$W$20,3,FALSE)</f>
        <v>3</v>
      </c>
      <c r="Q92" s="39">
        <f>IFERROR(VLOOKUP(R92,CHOOSE({1,2},技能辅助表!$B$3:$B$83,技能辅助表!$A$3:$A$82),2,FALSE),0)</f>
        <v>56</v>
      </c>
      <c r="R92" s="39">
        <f t="shared" si="53"/>
        <v>7</v>
      </c>
      <c r="S92" s="29" t="str">
        <f t="shared" si="41"/>
        <v>召唤出场时，主角进入霸体状态，持续Y秒。</v>
      </c>
      <c r="T92" s="115" t="str">
        <f t="shared" si="42"/>
        <v>召唤出场时，主角进入霸体状态，持续Y秒。</v>
      </c>
    </row>
    <row r="93" spans="1:20" ht="14.45" customHeight="1">
      <c r="A93" s="41">
        <f t="shared" si="54"/>
        <v>9616205</v>
      </c>
      <c r="B93" s="29" t="str">
        <f t="shared" si="55"/>
        <v>武魂</v>
      </c>
      <c r="C93" s="75" t="str">
        <f t="shared" si="52"/>
        <v>召唤出场时，主角体型变大，移动速度、攻击力、防御力增加8.57%,持续18.58秒。</v>
      </c>
      <c r="D93" s="6">
        <f t="shared" si="56"/>
        <v>5</v>
      </c>
      <c r="E93" s="6" t="str">
        <f t="shared" si="57"/>
        <v>9616201.png</v>
      </c>
      <c r="F93" s="51">
        <f t="shared" si="40"/>
        <v>0</v>
      </c>
      <c r="G93" s="76" t="str">
        <f t="shared" si="43"/>
        <v>无属性</v>
      </c>
      <c r="H93" s="51">
        <f t="shared" si="44"/>
        <v>0</v>
      </c>
      <c r="I93" s="76">
        <f t="shared" si="45"/>
        <v>0</v>
      </c>
      <c r="J93" s="77">
        <f t="shared" si="46"/>
        <v>19</v>
      </c>
      <c r="K93" s="63">
        <f t="shared" si="47"/>
        <v>8.5714285714285729E-2</v>
      </c>
      <c r="L93" s="53">
        <f t="shared" si="48"/>
        <v>18.571428571428573</v>
      </c>
      <c r="M93" s="29">
        <f t="shared" si="49"/>
        <v>1</v>
      </c>
      <c r="N93" s="75">
        <v>0</v>
      </c>
      <c r="O93" s="82" t="str">
        <f>VLOOKUP(INT(A93/100)*100+1,CHOOSE({1,2},D_马仔表!$J$2:$J$20,D_马仔表!$B$2:$B$20),2,FALSE)</f>
        <v>大天二</v>
      </c>
      <c r="P93" s="81">
        <f>VLOOKUP(O93,D_马仔表!$B$2:$W$20,3,FALSE)</f>
        <v>3</v>
      </c>
      <c r="Q93" s="39">
        <f>IFERROR(VLOOKUP(R93,CHOOSE({1,2},技能辅助表!$B$3:$B$83,技能辅助表!$A$3:$A$82),2,FALSE),0)</f>
        <v>56</v>
      </c>
      <c r="R93" s="39">
        <f t="shared" si="53"/>
        <v>7</v>
      </c>
      <c r="S93" s="29" t="str">
        <f t="shared" si="41"/>
        <v>召唤出场时，主角体型变大，移动速度、攻击力、防御力增加X%,持续Y秒。</v>
      </c>
      <c r="T93" s="115" t="str">
        <f t="shared" si="42"/>
        <v>召唤出场时，主角体型变大，移动速度、攻击力、防御力增加8.57%,持续Y秒。</v>
      </c>
    </row>
    <row r="94" spans="1:20" ht="14.45" customHeight="1">
      <c r="A94" s="113">
        <f t="shared" si="54"/>
        <v>9617205</v>
      </c>
      <c r="B94" s="29" t="str">
        <f t="shared" si="55"/>
        <v>净化</v>
      </c>
      <c r="C94" s="75" t="str">
        <f t="shared" si="52"/>
        <v>召唤出场时，场上所有敌人的BUFF会被全部清除。</v>
      </c>
      <c r="D94" s="6">
        <f t="shared" si="56"/>
        <v>5</v>
      </c>
      <c r="E94" s="6" t="str">
        <f t="shared" si="57"/>
        <v>9601201.png</v>
      </c>
      <c r="F94" s="51">
        <f t="shared" si="40"/>
        <v>0</v>
      </c>
      <c r="G94" s="76" t="str">
        <f t="shared" si="43"/>
        <v>无属性</v>
      </c>
      <c r="H94" s="51">
        <f t="shared" si="44"/>
        <v>0</v>
      </c>
      <c r="I94" s="76">
        <f t="shared" si="45"/>
        <v>0</v>
      </c>
      <c r="J94" s="77">
        <f t="shared" si="46"/>
        <v>14</v>
      </c>
      <c r="K94" s="63">
        <f t="shared" si="47"/>
        <v>0</v>
      </c>
      <c r="L94" s="53">
        <f t="shared" si="48"/>
        <v>0</v>
      </c>
      <c r="M94" s="29">
        <f t="shared" si="49"/>
        <v>0</v>
      </c>
      <c r="N94" s="75">
        <v>0</v>
      </c>
      <c r="O94" s="82" t="str">
        <f>VLOOKUP(INT(A94/100)*100+1,CHOOSE({1,2},D_马仔表!$J$2:$J$20,D_马仔表!$B$2:$B$20),2,FALSE)</f>
        <v>巴闭</v>
      </c>
      <c r="P94" s="81">
        <f>VLOOKUP(O94,D_马仔表!$B$2:$W$20,3,FALSE)</f>
        <v>1</v>
      </c>
      <c r="Q94" s="39">
        <f>IFERROR(VLOOKUP(R94,CHOOSE({1,2},技能辅助表!$B$3:$B$83,技能辅助表!$A$3:$A$82),2,FALSE),0)</f>
        <v>56</v>
      </c>
      <c r="R94" s="39">
        <f t="shared" si="53"/>
        <v>7</v>
      </c>
      <c r="S94" s="29" t="str">
        <f t="shared" si="41"/>
        <v>召唤出场时，场上所有敌人的BUFF会被全部清除。</v>
      </c>
      <c r="T94" s="115" t="str">
        <f t="shared" si="42"/>
        <v>召唤出场时，场上所有敌人的BUFF会被全部清除。</v>
      </c>
    </row>
    <row r="95" spans="1:20" ht="14.45" customHeight="1">
      <c r="A95" s="113">
        <f t="shared" si="54"/>
        <v>9618205</v>
      </c>
      <c r="B95" s="29" t="str">
        <f t="shared" si="55"/>
        <v>震慑</v>
      </c>
      <c r="C95" s="75" t="str">
        <f t="shared" si="52"/>
        <v>召唤出场时，场上所有敌人，体型变小，移动速度，攻击力，防御力降低8.57%，持续18.58秒。</v>
      </c>
      <c r="D95" s="6">
        <f t="shared" si="56"/>
        <v>5</v>
      </c>
      <c r="E95" s="6" t="str">
        <f t="shared" si="57"/>
        <v>9612201.png</v>
      </c>
      <c r="F95" s="51">
        <f t="shared" si="40"/>
        <v>0</v>
      </c>
      <c r="G95" s="76" t="str">
        <f t="shared" si="43"/>
        <v>无属性</v>
      </c>
      <c r="H95" s="51">
        <f t="shared" si="44"/>
        <v>0</v>
      </c>
      <c r="I95" s="76">
        <f t="shared" si="45"/>
        <v>0</v>
      </c>
      <c r="J95" s="77">
        <f t="shared" si="46"/>
        <v>20</v>
      </c>
      <c r="K95" s="63">
        <f t="shared" si="47"/>
        <v>8.5714285714285729E-2</v>
      </c>
      <c r="L95" s="53">
        <f t="shared" si="48"/>
        <v>18.571428571428573</v>
      </c>
      <c r="M95" s="29">
        <f t="shared" si="49"/>
        <v>1</v>
      </c>
      <c r="N95" s="75">
        <v>0</v>
      </c>
      <c r="O95" s="82" t="str">
        <f>VLOOKUP(INT(A95/100)*100+1,CHOOSE({1,2},D_马仔表!$J$2:$J$20,D_马仔表!$B$2:$B$20),2,FALSE)</f>
        <v>耀阳</v>
      </c>
      <c r="P95" s="81">
        <f>VLOOKUP(O95,D_马仔表!$B$2:$W$20,3,FALSE)</f>
        <v>2</v>
      </c>
      <c r="Q95" s="39">
        <f>IFERROR(VLOOKUP(R95,CHOOSE({1,2},技能辅助表!$B$3:$B$83,技能辅助表!$A$3:$A$82),2,FALSE),0)</f>
        <v>56</v>
      </c>
      <c r="R95" s="39">
        <f t="shared" si="53"/>
        <v>7</v>
      </c>
      <c r="S95" s="29" t="str">
        <f t="shared" si="41"/>
        <v>召唤出场时，场上所有敌人，体型变小，移动速度，攻击力，防御力降低X%，持续Y秒。</v>
      </c>
      <c r="T95" s="115" t="str">
        <f t="shared" si="42"/>
        <v>召唤出场时，场上所有敌人，体型变小，移动速度，攻击力，防御力降低8.57%，持续Y秒。</v>
      </c>
    </row>
    <row r="96" spans="1:20" ht="14.45" customHeight="1">
      <c r="A96" s="113">
        <f t="shared" si="54"/>
        <v>9619205</v>
      </c>
      <c r="B96" s="29" t="str">
        <f t="shared" si="55"/>
        <v>暴怒</v>
      </c>
      <c r="C96" s="75" t="str">
        <f t="shared" si="52"/>
        <v>召唤出场时，为主角增加暴击倍数42.85%，持续18.58秒。</v>
      </c>
      <c r="D96" s="6">
        <f t="shared" si="56"/>
        <v>5</v>
      </c>
      <c r="E96" s="6" t="str">
        <f t="shared" si="57"/>
        <v>9604201.png</v>
      </c>
      <c r="F96" s="51">
        <f t="shared" si="40"/>
        <v>0</v>
      </c>
      <c r="G96" s="76" t="str">
        <f t="shared" si="43"/>
        <v>无属性</v>
      </c>
      <c r="H96" s="51">
        <f t="shared" si="44"/>
        <v>0</v>
      </c>
      <c r="I96" s="76">
        <f t="shared" si="45"/>
        <v>0</v>
      </c>
      <c r="J96" s="77">
        <f t="shared" si="46"/>
        <v>7</v>
      </c>
      <c r="K96" s="63">
        <f t="shared" si="47"/>
        <v>21428.571428571431</v>
      </c>
      <c r="L96" s="53">
        <f t="shared" si="48"/>
        <v>18.571428571428573</v>
      </c>
      <c r="M96" s="29">
        <f t="shared" si="49"/>
        <v>1</v>
      </c>
      <c r="N96" s="75">
        <v>0</v>
      </c>
      <c r="O96" s="82" t="str">
        <f>VLOOKUP(INT(A96/100)*100+1,CHOOSE({1,2},D_马仔表!$J$2:$J$20,D_马仔表!$B$2:$B$20),2,FALSE)</f>
        <v>笑面虎</v>
      </c>
      <c r="P96" s="81">
        <f>VLOOKUP(O96,D_马仔表!$B$2:$W$20,3,FALSE)</f>
        <v>2</v>
      </c>
      <c r="Q96" s="39">
        <f>IFERROR(VLOOKUP(R96,CHOOSE({1,2},技能辅助表!$B$3:$B$83,技能辅助表!$A$3:$A$82),2,FALSE),0)</f>
        <v>56</v>
      </c>
      <c r="R96" s="39">
        <f t="shared" si="53"/>
        <v>7</v>
      </c>
      <c r="S96" s="29" t="str">
        <f t="shared" si="41"/>
        <v>召唤出场时，为主角增加暴击倍数X%，持续Y秒。</v>
      </c>
      <c r="T96" s="115" t="str">
        <f t="shared" si="42"/>
        <v>召唤出场时，为主角增加暴击倍数42.85%，持续Y秒。</v>
      </c>
    </row>
    <row r="97" spans="1:20" ht="14.45" customHeight="1">
      <c r="A97" s="41">
        <f t="shared" si="54"/>
        <v>9601206</v>
      </c>
      <c r="B97" s="29" t="str">
        <f t="shared" si="55"/>
        <v>急救</v>
      </c>
      <c r="C97" s="75" t="str">
        <f t="shared" si="52"/>
        <v>召唤出场时，为主角回复30%最大生命值。</v>
      </c>
      <c r="D97" s="6">
        <f t="shared" si="56"/>
        <v>6</v>
      </c>
      <c r="E97" s="6" t="str">
        <f t="shared" si="57"/>
        <v>9601201.png</v>
      </c>
      <c r="F97" s="51">
        <f t="shared" si="40"/>
        <v>0</v>
      </c>
      <c r="G97" s="76" t="str">
        <f t="shared" si="43"/>
        <v>无属性</v>
      </c>
      <c r="H97" s="51">
        <f t="shared" si="44"/>
        <v>0</v>
      </c>
      <c r="I97" s="76">
        <f t="shared" si="45"/>
        <v>0</v>
      </c>
      <c r="J97" s="77">
        <f t="shared" si="46"/>
        <v>3</v>
      </c>
      <c r="K97" s="63">
        <f t="shared" si="47"/>
        <v>0.3</v>
      </c>
      <c r="L97" s="53">
        <f t="shared" si="48"/>
        <v>0</v>
      </c>
      <c r="M97" s="29">
        <f t="shared" si="49"/>
        <v>1</v>
      </c>
      <c r="N97" s="75">
        <v>0</v>
      </c>
      <c r="O97" s="82" t="str">
        <f>VLOOKUP(INT(A97/100)*100+1,CHOOSE({1,2},D_马仔表!$J$2:$J$20,D_马仔表!$B$2:$B$20),2,FALSE)</f>
        <v>制服太妹</v>
      </c>
      <c r="P97" s="81">
        <f>VLOOKUP(O97,D_马仔表!$B$2:$W$20,3,FALSE)</f>
        <v>0</v>
      </c>
      <c r="Q97" s="39">
        <f>IFERROR(VLOOKUP(R97,CHOOSE({1,2},技能辅助表!$B$3:$B$83,技能辅助表!$A$3:$A$82),2,FALSE),0)</f>
        <v>64</v>
      </c>
      <c r="R97" s="39">
        <f t="shared" si="53"/>
        <v>8</v>
      </c>
      <c r="S97" s="29" t="str">
        <f t="shared" si="41"/>
        <v>召唤出场时，为主角回复X%最大生命值。</v>
      </c>
      <c r="T97" s="115" t="str">
        <f t="shared" si="42"/>
        <v>召唤出场时，为主角回复30%最大生命值。</v>
      </c>
    </row>
    <row r="98" spans="1:20" ht="14.45" customHeight="1">
      <c r="A98" s="41">
        <f t="shared" si="54"/>
        <v>9602206</v>
      </c>
      <c r="B98" s="29" t="str">
        <f t="shared" si="55"/>
        <v>鼓舞</v>
      </c>
      <c r="C98" s="75" t="str">
        <f t="shared" si="52"/>
        <v>召唤出场时，为主角增加生命最大值10000，持续19.29秒。</v>
      </c>
      <c r="D98" s="6">
        <f t="shared" si="56"/>
        <v>6</v>
      </c>
      <c r="E98" s="6" t="str">
        <f t="shared" si="57"/>
        <v>9602201.png</v>
      </c>
      <c r="F98" s="51">
        <f t="shared" ref="F98:F129" si="58">VLOOKUP(G98,$X$54:$Y$70,2,FALSE)</f>
        <v>0</v>
      </c>
      <c r="G98" s="76" t="str">
        <f t="shared" si="43"/>
        <v>无属性</v>
      </c>
      <c r="H98" s="51">
        <f t="shared" si="44"/>
        <v>0</v>
      </c>
      <c r="I98" s="76">
        <f t="shared" si="45"/>
        <v>0</v>
      </c>
      <c r="J98" s="77">
        <f t="shared" si="46"/>
        <v>9</v>
      </c>
      <c r="K98" s="63">
        <f t="shared" si="47"/>
        <v>10000.000000000002</v>
      </c>
      <c r="L98" s="53">
        <f t="shared" si="48"/>
        <v>19.285714285714285</v>
      </c>
      <c r="M98" s="29">
        <f t="shared" si="49"/>
        <v>0</v>
      </c>
      <c r="N98" s="75">
        <v>0</v>
      </c>
      <c r="O98" s="82" t="str">
        <f>VLOOKUP(INT(A98/100)*100+1,CHOOSE({1,2},D_马仔表!$J$2:$J$20,D_马仔表!$B$2:$B$20),2,FALSE)</f>
        <v>蟹仔</v>
      </c>
      <c r="P98" s="81">
        <f>VLOOKUP(O98,D_马仔表!$B$2:$W$20,3,FALSE)</f>
        <v>0</v>
      </c>
      <c r="Q98" s="39">
        <f>IFERROR(VLOOKUP(R98,CHOOSE({1,2},技能辅助表!$B$3:$B$83,技能辅助表!$A$3:$A$82),2,FALSE),0)</f>
        <v>64</v>
      </c>
      <c r="R98" s="39">
        <f t="shared" si="53"/>
        <v>8</v>
      </c>
      <c r="S98" s="29" t="str">
        <f t="shared" ref="S98:S129" si="59">VLOOKUP(J98,$W$8:$AG$27,3,FALSE)</f>
        <v>召唤出场时，为主角增加生命最大值X，持续Y秒。</v>
      </c>
      <c r="T98" s="115" t="str">
        <f t="shared" ref="T98:T129" si="60">IFERROR(REPLACE(S98,FIND("X",S98),LEN("X"),IF(M98=1,ROUNDDOWN(K98/VLOOKUP(J98,$W$8:$AH$27,$AH$6,FALSE)*100,2),ROUNDUP(K98/VLOOKUP(J98,$W$8:$AH$27,$AH$6,FALSE),2))),S98)</f>
        <v>召唤出场时，为主角增加生命最大值10000，持续Y秒。</v>
      </c>
    </row>
    <row r="99" spans="1:20" ht="14.45" customHeight="1">
      <c r="A99" s="41">
        <f t="shared" si="54"/>
        <v>9603206</v>
      </c>
      <c r="B99" s="29" t="str">
        <f t="shared" si="55"/>
        <v>激励</v>
      </c>
      <c r="C99" s="75" t="str">
        <f t="shared" si="52"/>
        <v>召唤出场时，为主角增加攻击力1300，持续19.29秒。</v>
      </c>
      <c r="D99" s="6">
        <f t="shared" si="56"/>
        <v>6</v>
      </c>
      <c r="E99" s="6" t="str">
        <f t="shared" si="57"/>
        <v>9603201.png</v>
      </c>
      <c r="F99" s="51">
        <f t="shared" si="58"/>
        <v>0</v>
      </c>
      <c r="G99" s="76" t="str">
        <f t="shared" si="43"/>
        <v>无属性</v>
      </c>
      <c r="H99" s="51">
        <f t="shared" si="44"/>
        <v>0</v>
      </c>
      <c r="I99" s="76">
        <f t="shared" si="45"/>
        <v>0</v>
      </c>
      <c r="J99" s="77">
        <f t="shared" si="46"/>
        <v>10</v>
      </c>
      <c r="K99" s="63">
        <f t="shared" si="47"/>
        <v>1300</v>
      </c>
      <c r="L99" s="53">
        <f t="shared" si="48"/>
        <v>19.285714285714285</v>
      </c>
      <c r="M99" s="29">
        <f t="shared" si="49"/>
        <v>0</v>
      </c>
      <c r="N99" s="75">
        <v>0</v>
      </c>
      <c r="O99" s="82" t="str">
        <f>VLOOKUP(INT(A99/100)*100+1,CHOOSE({1,2},D_马仔表!$J$2:$J$20,D_马仔表!$B$2:$B$20),2,FALSE)</f>
        <v>比利</v>
      </c>
      <c r="P99" s="81">
        <f>VLOOKUP(O99,D_马仔表!$B$2:$W$20,3,FALSE)</f>
        <v>0</v>
      </c>
      <c r="Q99" s="39">
        <f>IFERROR(VLOOKUP(R99,CHOOSE({1,2},技能辅助表!$B$3:$B$83,技能辅助表!$A$3:$A$82),2,FALSE),0)</f>
        <v>64</v>
      </c>
      <c r="R99" s="39">
        <f t="shared" si="53"/>
        <v>8</v>
      </c>
      <c r="S99" s="29" t="str">
        <f t="shared" si="59"/>
        <v>召唤出场时，为主角增加攻击力X，持续Y秒。</v>
      </c>
      <c r="T99" s="115" t="str">
        <f t="shared" si="60"/>
        <v>召唤出场时，为主角增加攻击力1300，持续Y秒。</v>
      </c>
    </row>
    <row r="100" spans="1:20" ht="14.45" customHeight="1">
      <c r="A100" s="41">
        <f t="shared" si="54"/>
        <v>9604206</v>
      </c>
      <c r="B100" s="29" t="str">
        <f t="shared" si="55"/>
        <v>鞭策</v>
      </c>
      <c r="C100" s="75" t="str">
        <f t="shared" si="52"/>
        <v>召唤出场时，为主角增加暴击值0.15，持续19.29秒。</v>
      </c>
      <c r="D100" s="6">
        <f t="shared" si="56"/>
        <v>6</v>
      </c>
      <c r="E100" s="6" t="str">
        <f t="shared" si="57"/>
        <v>9604201.png</v>
      </c>
      <c r="F100" s="51">
        <f t="shared" si="58"/>
        <v>0</v>
      </c>
      <c r="G100" s="76" t="str">
        <f t="shared" si="43"/>
        <v>无属性</v>
      </c>
      <c r="H100" s="51">
        <f t="shared" si="44"/>
        <v>0</v>
      </c>
      <c r="I100" s="76">
        <f t="shared" si="45"/>
        <v>0</v>
      </c>
      <c r="J100" s="77">
        <f t="shared" si="46"/>
        <v>8</v>
      </c>
      <c r="K100" s="63">
        <f t="shared" si="47"/>
        <v>25000.000000000004</v>
      </c>
      <c r="L100" s="53">
        <f t="shared" si="48"/>
        <v>19.285714285714285</v>
      </c>
      <c r="M100" s="29">
        <f t="shared" si="49"/>
        <v>0</v>
      </c>
      <c r="N100" s="75">
        <v>0</v>
      </c>
      <c r="O100" s="82" t="str">
        <f>VLOOKUP(INT(A100/100)*100+1,CHOOSE({1,2},D_马仔表!$J$2:$J$20,D_马仔表!$B$2:$B$20),2,FALSE)</f>
        <v>黎九</v>
      </c>
      <c r="P100" s="81">
        <f>VLOOKUP(O100,D_马仔表!$B$2:$W$20,3,FALSE)</f>
        <v>0</v>
      </c>
      <c r="Q100" s="39">
        <f>IFERROR(VLOOKUP(R100,CHOOSE({1,2},技能辅助表!$B$3:$B$83,技能辅助表!$A$3:$A$82),2,FALSE),0)</f>
        <v>64</v>
      </c>
      <c r="R100" s="39">
        <f t="shared" si="53"/>
        <v>8</v>
      </c>
      <c r="S100" s="29" t="str">
        <f t="shared" si="59"/>
        <v>召唤出场时，为主角增加暴击值X，持续Y秒。</v>
      </c>
      <c r="T100" s="115" t="str">
        <f t="shared" si="60"/>
        <v>召唤出场时，为主角增加暴击值0.15，持续Y秒。</v>
      </c>
    </row>
    <row r="101" spans="1:20" ht="14.45" customHeight="1">
      <c r="A101" s="41">
        <f t="shared" si="54"/>
        <v>9605206</v>
      </c>
      <c r="B101" s="29" t="str">
        <f t="shared" si="55"/>
        <v>守护</v>
      </c>
      <c r="C101" s="75" t="str">
        <f t="shared" si="52"/>
        <v>召唤出场时，为主角增加防御力800，持续19.29秒。</v>
      </c>
      <c r="D101" s="6">
        <f t="shared" si="56"/>
        <v>6</v>
      </c>
      <c r="E101" s="6" t="str">
        <f t="shared" si="57"/>
        <v>9605201.png</v>
      </c>
      <c r="F101" s="51">
        <f t="shared" si="58"/>
        <v>0</v>
      </c>
      <c r="G101" s="76" t="str">
        <f t="shared" si="43"/>
        <v>无属性</v>
      </c>
      <c r="H101" s="51">
        <f t="shared" si="44"/>
        <v>0</v>
      </c>
      <c r="I101" s="76">
        <f t="shared" si="45"/>
        <v>0</v>
      </c>
      <c r="J101" s="77">
        <f t="shared" si="46"/>
        <v>11</v>
      </c>
      <c r="K101" s="63">
        <f t="shared" ref="K101:K132" si="61">VLOOKUP(J101,$W$8:$AG$27,$AA$6,FALSE)+VLOOKUP(J101,$W$8:$AG$27,$AC$6,FALSE)*D101</f>
        <v>800.00000000000011</v>
      </c>
      <c r="L101" s="53">
        <f t="shared" ref="L101:L132" si="62">VLOOKUP(J101,$W$8:$AG$27,$AD$6,FALSE)+VLOOKUP(J101,$W$8:$AG$27,$AF$6,FALSE)*D101</f>
        <v>19.285714285714285</v>
      </c>
      <c r="M101" s="29">
        <f t="shared" ref="M101:M132" si="63">VLOOKUP(J101,$W$8:$AG$27,$Z$6,FALSE)</f>
        <v>0</v>
      </c>
      <c r="N101" s="75">
        <v>0</v>
      </c>
      <c r="O101" s="82" t="str">
        <f>VLOOKUP(INT(A101/100)*100+1,CHOOSE({1,2},D_马仔表!$J$2:$J$20,D_马仔表!$B$2:$B$20),2,FALSE)</f>
        <v>黑古</v>
      </c>
      <c r="P101" s="81">
        <f>VLOOKUP(O101,D_马仔表!$B$2:$W$20,3,FALSE)</f>
        <v>0</v>
      </c>
      <c r="Q101" s="39">
        <f>IFERROR(VLOOKUP(R101,CHOOSE({1,2},技能辅助表!$B$3:$B$83,技能辅助表!$A$3:$A$82),2,FALSE),0)</f>
        <v>64</v>
      </c>
      <c r="R101" s="39">
        <f t="shared" si="53"/>
        <v>8</v>
      </c>
      <c r="S101" s="29" t="str">
        <f t="shared" si="59"/>
        <v>召唤出场时，为主角增加防御力X，持续Y秒。</v>
      </c>
      <c r="T101" s="115" t="str">
        <f t="shared" si="60"/>
        <v>召唤出场时，为主角增加防御力800，持续Y秒。</v>
      </c>
    </row>
    <row r="102" spans="1:20" ht="14.45" customHeight="1">
      <c r="A102" s="41">
        <f t="shared" si="54"/>
        <v>9606206</v>
      </c>
      <c r="B102" s="29" t="str">
        <f t="shared" si="55"/>
        <v>混世魔王</v>
      </c>
      <c r="C102" s="75" t="str">
        <f t="shared" si="52"/>
        <v>召唤出场时，为主角增加加伤百分比15%，持续19.29秒。</v>
      </c>
      <c r="D102" s="6">
        <f t="shared" si="56"/>
        <v>6</v>
      </c>
      <c r="E102" s="6" t="str">
        <f t="shared" si="57"/>
        <v>9606201.png</v>
      </c>
      <c r="F102" s="51">
        <f t="shared" si="58"/>
        <v>0</v>
      </c>
      <c r="G102" s="76" t="str">
        <f t="shared" si="43"/>
        <v>无属性</v>
      </c>
      <c r="H102" s="51">
        <f t="shared" si="44"/>
        <v>0</v>
      </c>
      <c r="I102" s="76">
        <f t="shared" si="45"/>
        <v>0</v>
      </c>
      <c r="J102" s="77">
        <f t="shared" si="46"/>
        <v>12</v>
      </c>
      <c r="K102" s="63">
        <f t="shared" si="61"/>
        <v>10000.000000000002</v>
      </c>
      <c r="L102" s="53">
        <f t="shared" si="62"/>
        <v>19.285714285714285</v>
      </c>
      <c r="M102" s="29">
        <f t="shared" si="63"/>
        <v>1</v>
      </c>
      <c r="N102" s="75">
        <v>0</v>
      </c>
      <c r="O102" s="82" t="str">
        <f>VLOOKUP(INT(A102/100)*100+1,CHOOSE({1,2},D_马仔表!$J$2:$J$20,D_马仔表!$B$2:$B$20),2,FALSE)</f>
        <v>靓坤</v>
      </c>
      <c r="P102" s="81">
        <f>VLOOKUP(O102,D_马仔表!$B$2:$W$20,3,FALSE)</f>
        <v>1</v>
      </c>
      <c r="Q102" s="39">
        <f>IFERROR(VLOOKUP(R102,CHOOSE({1,2},技能辅助表!$B$3:$B$83,技能辅助表!$A$3:$A$82),2,FALSE),0)</f>
        <v>64</v>
      </c>
      <c r="R102" s="39">
        <f t="shared" si="53"/>
        <v>8</v>
      </c>
      <c r="S102" s="29" t="str">
        <f t="shared" si="59"/>
        <v>召唤出场时，为主角增加加伤百分比X%，持续Y秒。</v>
      </c>
      <c r="T102" s="115" t="str">
        <f t="shared" si="60"/>
        <v>召唤出场时，为主角增加加伤百分比15%，持续Y秒。</v>
      </c>
    </row>
    <row r="103" spans="1:20" ht="14.45" customHeight="1">
      <c r="A103" s="41">
        <f t="shared" si="54"/>
        <v>9607206</v>
      </c>
      <c r="B103" s="29" t="str">
        <f t="shared" si="55"/>
        <v>弱点分析</v>
      </c>
      <c r="C103" s="75" t="str">
        <f t="shared" si="52"/>
        <v>召唤出场时，减少场上所有敌人命中值30%，持续19.29秒。</v>
      </c>
      <c r="D103" s="6">
        <f t="shared" si="56"/>
        <v>6</v>
      </c>
      <c r="E103" s="6" t="str">
        <f t="shared" si="57"/>
        <v>9607201.png</v>
      </c>
      <c r="F103" s="51">
        <f t="shared" si="58"/>
        <v>0</v>
      </c>
      <c r="G103" s="76" t="str">
        <f t="shared" si="43"/>
        <v>无属性</v>
      </c>
      <c r="H103" s="51">
        <f t="shared" si="44"/>
        <v>0</v>
      </c>
      <c r="I103" s="76">
        <f t="shared" si="45"/>
        <v>0</v>
      </c>
      <c r="J103" s="77">
        <f t="shared" si="46"/>
        <v>17</v>
      </c>
      <c r="K103" s="63">
        <f t="shared" si="61"/>
        <v>0.3</v>
      </c>
      <c r="L103" s="53">
        <f t="shared" si="62"/>
        <v>19.285714285714285</v>
      </c>
      <c r="M103" s="29">
        <f t="shared" si="63"/>
        <v>1</v>
      </c>
      <c r="N103" s="75">
        <v>0</v>
      </c>
      <c r="O103" s="82" t="str">
        <f>VLOOKUP(INT(A103/100)*100+1,CHOOSE({1,2},D_马仔表!$J$2:$J$20,D_马仔表!$B$2:$B$20),2,FALSE)</f>
        <v>雷复轰</v>
      </c>
      <c r="P103" s="81">
        <f>VLOOKUP(O103,D_马仔表!$B$2:$W$20,3,FALSE)</f>
        <v>1</v>
      </c>
      <c r="Q103" s="39">
        <f>IFERROR(VLOOKUP(R103,CHOOSE({1,2},技能辅助表!$B$3:$B$83,技能辅助表!$A$3:$A$82),2,FALSE),0)</f>
        <v>64</v>
      </c>
      <c r="R103" s="39">
        <f t="shared" si="53"/>
        <v>8</v>
      </c>
      <c r="S103" s="29" t="str">
        <f t="shared" si="59"/>
        <v>召唤出场时，减少场上所有敌人命中值X%，持续Y秒。</v>
      </c>
      <c r="T103" s="115" t="str">
        <f t="shared" si="60"/>
        <v>召唤出场时，减少场上所有敌人命中值30%，持续Y秒。</v>
      </c>
    </row>
    <row r="104" spans="1:20" ht="14.45" customHeight="1">
      <c r="A104" s="41">
        <f t="shared" si="54"/>
        <v>9608206</v>
      </c>
      <c r="B104" s="29" t="str">
        <f t="shared" si="55"/>
        <v>硬气功</v>
      </c>
      <c r="C104" s="75" t="str">
        <f t="shared" si="52"/>
        <v>召唤出场时，为主角增加减伤百分比15%，持续19.29秒。</v>
      </c>
      <c r="D104" s="6">
        <f t="shared" si="56"/>
        <v>6</v>
      </c>
      <c r="E104" s="6" t="str">
        <f t="shared" si="57"/>
        <v>9608201.png</v>
      </c>
      <c r="F104" s="51">
        <f t="shared" si="58"/>
        <v>0</v>
      </c>
      <c r="G104" s="76" t="str">
        <f t="shared" si="43"/>
        <v>无属性</v>
      </c>
      <c r="H104" s="51">
        <f t="shared" si="44"/>
        <v>0</v>
      </c>
      <c r="I104" s="76">
        <f t="shared" si="45"/>
        <v>0</v>
      </c>
      <c r="J104" s="77">
        <f t="shared" si="46"/>
        <v>13</v>
      </c>
      <c r="K104" s="63">
        <f t="shared" si="61"/>
        <v>10000.000000000002</v>
      </c>
      <c r="L104" s="53">
        <f t="shared" si="62"/>
        <v>19.285714285714285</v>
      </c>
      <c r="M104" s="29">
        <f t="shared" si="63"/>
        <v>1</v>
      </c>
      <c r="N104" s="75">
        <v>0</v>
      </c>
      <c r="O104" s="82" t="str">
        <f>VLOOKUP(INT(A104/100)*100+1,CHOOSE({1,2},D_马仔表!$J$2:$J$20,D_马仔表!$B$2:$B$20),2,FALSE)</f>
        <v>肥仔</v>
      </c>
      <c r="P104" s="81">
        <f>VLOOKUP(O104,D_马仔表!$B$2:$W$20,3,FALSE)</f>
        <v>1</v>
      </c>
      <c r="Q104" s="39">
        <f>IFERROR(VLOOKUP(R104,CHOOSE({1,2},技能辅助表!$B$3:$B$83,技能辅助表!$A$3:$A$82),2,FALSE),0)</f>
        <v>64</v>
      </c>
      <c r="R104" s="39">
        <f t="shared" si="53"/>
        <v>8</v>
      </c>
      <c r="S104" s="29" t="str">
        <f t="shared" si="59"/>
        <v>召唤出场时，为主角增加减伤百分比X%，持续Y秒。</v>
      </c>
      <c r="T104" s="115" t="str">
        <f t="shared" si="60"/>
        <v>召唤出场时，为主角增加减伤百分比15%，持续Y秒。</v>
      </c>
    </row>
    <row r="105" spans="1:20" ht="14.45" customHeight="1">
      <c r="A105" s="41">
        <f t="shared" si="54"/>
        <v>9609206</v>
      </c>
      <c r="B105" s="29" t="str">
        <f t="shared" si="55"/>
        <v>坚毅之躯</v>
      </c>
      <c r="C105" s="75" t="str">
        <f t="shared" si="52"/>
        <v>召唤出场时，为主角增加生命最大值百分比10%,持续19.29秒。</v>
      </c>
      <c r="D105" s="6">
        <f t="shared" si="56"/>
        <v>6</v>
      </c>
      <c r="E105" s="6" t="str">
        <f t="shared" si="57"/>
        <v>9609201.png</v>
      </c>
      <c r="F105" s="51">
        <f t="shared" si="58"/>
        <v>0</v>
      </c>
      <c r="G105" s="76" t="str">
        <f t="shared" si="43"/>
        <v>无属性</v>
      </c>
      <c r="H105" s="51">
        <f t="shared" si="44"/>
        <v>0</v>
      </c>
      <c r="I105" s="76">
        <f t="shared" si="45"/>
        <v>0</v>
      </c>
      <c r="J105" s="77">
        <f t="shared" si="46"/>
        <v>4</v>
      </c>
      <c r="K105" s="63">
        <f t="shared" si="61"/>
        <v>0.1</v>
      </c>
      <c r="L105" s="53">
        <f t="shared" si="62"/>
        <v>19.285714285714285</v>
      </c>
      <c r="M105" s="29">
        <f t="shared" si="63"/>
        <v>1</v>
      </c>
      <c r="N105" s="75">
        <v>0</v>
      </c>
      <c r="O105" s="82" t="str">
        <f>VLOOKUP(INT(A105/100)*100+1,CHOOSE({1,2},D_马仔表!$J$2:$J$20,D_马仔表!$B$2:$B$20),2,FALSE)</f>
        <v>司徒浩南</v>
      </c>
      <c r="P105" s="81">
        <f>VLOOKUP(O105,D_马仔表!$B$2:$W$20,3,FALSE)</f>
        <v>2</v>
      </c>
      <c r="Q105" s="39">
        <f>IFERROR(VLOOKUP(R105,CHOOSE({1,2},技能辅助表!$B$3:$B$83,技能辅助表!$A$3:$A$82),2,FALSE),0)</f>
        <v>64</v>
      </c>
      <c r="R105" s="39">
        <f t="shared" si="53"/>
        <v>8</v>
      </c>
      <c r="S105" s="29" t="str">
        <f t="shared" si="59"/>
        <v>召唤出场时，为主角增加生命最大值百分比X%,持续Y秒。</v>
      </c>
      <c r="T105" s="115" t="str">
        <f t="shared" si="60"/>
        <v>召唤出场时，为主角增加生命最大值百分比10%,持续Y秒。</v>
      </c>
    </row>
    <row r="106" spans="1:20" ht="14.45" customHeight="1">
      <c r="A106" s="41">
        <f t="shared" si="54"/>
        <v>9610206</v>
      </c>
      <c r="B106" s="29" t="str">
        <f t="shared" si="55"/>
        <v>战斗意志</v>
      </c>
      <c r="C106" s="75" t="str">
        <f t="shared" si="52"/>
        <v>召唤出场时，为主角增加攻击力百分比10%,持续19.29秒。</v>
      </c>
      <c r="D106" s="6">
        <f t="shared" si="56"/>
        <v>6</v>
      </c>
      <c r="E106" s="6" t="str">
        <f t="shared" si="57"/>
        <v>9610201.png</v>
      </c>
      <c r="F106" s="51">
        <f t="shared" si="58"/>
        <v>0</v>
      </c>
      <c r="G106" s="76" t="str">
        <f t="shared" si="43"/>
        <v>无属性</v>
      </c>
      <c r="H106" s="51">
        <f t="shared" si="44"/>
        <v>0</v>
      </c>
      <c r="I106" s="76">
        <f t="shared" si="45"/>
        <v>0</v>
      </c>
      <c r="J106" s="77">
        <f t="shared" si="46"/>
        <v>5</v>
      </c>
      <c r="K106" s="63">
        <f t="shared" si="61"/>
        <v>0.1</v>
      </c>
      <c r="L106" s="53">
        <f t="shared" si="62"/>
        <v>19.285714285714285</v>
      </c>
      <c r="M106" s="29">
        <f t="shared" si="63"/>
        <v>1</v>
      </c>
      <c r="N106" s="75">
        <v>0</v>
      </c>
      <c r="O106" s="82" t="str">
        <f>VLOOKUP(INT(A106/100)*100+1,CHOOSE({1,2},D_马仔表!$J$2:$J$20,D_马仔表!$B$2:$B$20),2,FALSE)</f>
        <v>乌鸦</v>
      </c>
      <c r="P106" s="81">
        <f>VLOOKUP(O106,D_马仔表!$B$2:$W$20,3,FALSE)</f>
        <v>2</v>
      </c>
      <c r="Q106" s="39">
        <f>IFERROR(VLOOKUP(R106,CHOOSE({1,2},技能辅助表!$B$3:$B$83,技能辅助表!$A$3:$A$82),2,FALSE),0)</f>
        <v>64</v>
      </c>
      <c r="R106" s="39">
        <f t="shared" si="53"/>
        <v>8</v>
      </c>
      <c r="S106" s="29" t="str">
        <f t="shared" si="59"/>
        <v>召唤出场时，为主角增加攻击力百分比X%,持续Y秒。</v>
      </c>
      <c r="T106" s="115" t="str">
        <f t="shared" si="60"/>
        <v>召唤出场时，为主角增加攻击力百分比10%,持续Y秒。</v>
      </c>
    </row>
    <row r="107" spans="1:20" ht="14.45" customHeight="1">
      <c r="A107" s="41">
        <f t="shared" si="54"/>
        <v>9611206</v>
      </c>
      <c r="B107" s="29" t="str">
        <f t="shared" si="55"/>
        <v>金手指</v>
      </c>
      <c r="C107" s="75" t="str">
        <f t="shared" si="52"/>
        <v>召唤出场时，主角所有技能立刻全部CD完毕。</v>
      </c>
      <c r="D107" s="6">
        <f t="shared" si="56"/>
        <v>6</v>
      </c>
      <c r="E107" s="6" t="str">
        <f t="shared" si="57"/>
        <v>9611201.png</v>
      </c>
      <c r="F107" s="51">
        <f t="shared" si="58"/>
        <v>0</v>
      </c>
      <c r="G107" s="76" t="str">
        <f t="shared" si="43"/>
        <v>无属性</v>
      </c>
      <c r="H107" s="51">
        <f t="shared" si="44"/>
        <v>0</v>
      </c>
      <c r="I107" s="76">
        <f t="shared" si="45"/>
        <v>0</v>
      </c>
      <c r="J107" s="77">
        <f t="shared" si="46"/>
        <v>18</v>
      </c>
      <c r="K107" s="63">
        <f t="shared" si="61"/>
        <v>0</v>
      </c>
      <c r="L107" s="53">
        <f t="shared" si="62"/>
        <v>0</v>
      </c>
      <c r="M107" s="29">
        <f t="shared" si="63"/>
        <v>0</v>
      </c>
      <c r="N107" s="75">
        <v>0</v>
      </c>
      <c r="O107" s="82" t="str">
        <f>VLOOKUP(INT(A107/100)*100+1,CHOOSE({1,2},D_马仔表!$J$2:$J$20,D_马仔表!$B$2:$B$20),2,FALSE)</f>
        <v>赌王</v>
      </c>
      <c r="P107" s="81">
        <f>VLOOKUP(O107,D_马仔表!$B$2:$W$20,3,FALSE)</f>
        <v>2</v>
      </c>
      <c r="Q107" s="39">
        <f>IFERROR(VLOOKUP(R107,CHOOSE({1,2},技能辅助表!$B$3:$B$83,技能辅助表!$A$3:$A$82),2,FALSE),0)</f>
        <v>64</v>
      </c>
      <c r="R107" s="39">
        <f t="shared" si="53"/>
        <v>8</v>
      </c>
      <c r="S107" s="29" t="str">
        <f t="shared" si="59"/>
        <v>召唤出场时，主角所有技能立刻全部CD完毕。</v>
      </c>
      <c r="T107" s="115" t="str">
        <f t="shared" si="60"/>
        <v>召唤出场时，主角所有技能立刻全部CD完毕。</v>
      </c>
    </row>
    <row r="108" spans="1:20" ht="14.45" customHeight="1">
      <c r="A108" s="41">
        <f t="shared" si="54"/>
        <v>9612206</v>
      </c>
      <c r="B108" s="29" t="str">
        <f t="shared" si="55"/>
        <v>明镜止水</v>
      </c>
      <c r="C108" s="75" t="str">
        <f t="shared" si="52"/>
        <v>召唤出场时，减少场上所有敌人攻击力10%，持续19.29秒。</v>
      </c>
      <c r="D108" s="6">
        <f t="shared" si="56"/>
        <v>6</v>
      </c>
      <c r="E108" s="6" t="str">
        <f t="shared" si="57"/>
        <v>9612201.png</v>
      </c>
      <c r="F108" s="51">
        <f t="shared" si="58"/>
        <v>0</v>
      </c>
      <c r="G108" s="76" t="str">
        <f t="shared" si="43"/>
        <v>无属性</v>
      </c>
      <c r="H108" s="51">
        <f t="shared" si="44"/>
        <v>0</v>
      </c>
      <c r="I108" s="76">
        <f t="shared" si="45"/>
        <v>0</v>
      </c>
      <c r="J108" s="77">
        <f t="shared" si="46"/>
        <v>15</v>
      </c>
      <c r="K108" s="63">
        <f t="shared" si="61"/>
        <v>0.1</v>
      </c>
      <c r="L108" s="53">
        <f t="shared" si="62"/>
        <v>19.285714285714285</v>
      </c>
      <c r="M108" s="29">
        <f t="shared" si="63"/>
        <v>1</v>
      </c>
      <c r="N108" s="75">
        <v>0</v>
      </c>
      <c r="O108" s="82" t="str">
        <f>VLOOKUP(INT(A108/100)*100+1,CHOOSE({1,2},D_马仔表!$J$2:$J$20,D_马仔表!$B$2:$B$20),2,FALSE)</f>
        <v>山下忠秀</v>
      </c>
      <c r="P108" s="81">
        <f>VLOOKUP(O108,D_马仔表!$B$2:$W$20,3,FALSE)</f>
        <v>2</v>
      </c>
      <c r="Q108" s="39">
        <f>IFERROR(VLOOKUP(R108,CHOOSE({1,2},技能辅助表!$B$3:$B$83,技能辅助表!$A$3:$A$82),2,FALSE),0)</f>
        <v>64</v>
      </c>
      <c r="R108" s="39">
        <f t="shared" si="53"/>
        <v>8</v>
      </c>
      <c r="S108" s="29" t="str">
        <f t="shared" si="59"/>
        <v>召唤出场时，减少场上所有敌人攻击力X%，持续Y秒。</v>
      </c>
      <c r="T108" s="115" t="str">
        <f t="shared" si="60"/>
        <v>召唤出场时，减少场上所有敌人攻击力10%，持续Y秒。</v>
      </c>
    </row>
    <row r="109" spans="1:20" ht="14.45" customHeight="1">
      <c r="A109" s="41">
        <f t="shared" si="54"/>
        <v>9613206</v>
      </c>
      <c r="B109" s="29" t="str">
        <f t="shared" si="55"/>
        <v>阳炎</v>
      </c>
      <c r="C109" s="75" t="str">
        <f t="shared" si="52"/>
        <v>召唤出场时，减少场上所有敌人防御力10%，持续19.29秒。</v>
      </c>
      <c r="D109" s="6">
        <f t="shared" si="56"/>
        <v>6</v>
      </c>
      <c r="E109" s="6" t="str">
        <f t="shared" si="57"/>
        <v>9613201.png</v>
      </c>
      <c r="F109" s="51">
        <f t="shared" si="58"/>
        <v>0</v>
      </c>
      <c r="G109" s="76" t="str">
        <f t="shared" si="43"/>
        <v>无属性</v>
      </c>
      <c r="H109" s="51">
        <f t="shared" si="44"/>
        <v>0</v>
      </c>
      <c r="I109" s="76">
        <f t="shared" si="45"/>
        <v>0</v>
      </c>
      <c r="J109" s="77">
        <f t="shared" si="46"/>
        <v>16</v>
      </c>
      <c r="K109" s="63">
        <f t="shared" si="61"/>
        <v>0.1</v>
      </c>
      <c r="L109" s="53">
        <f t="shared" si="62"/>
        <v>19.285714285714285</v>
      </c>
      <c r="M109" s="29">
        <f t="shared" si="63"/>
        <v>1</v>
      </c>
      <c r="N109" s="75">
        <v>0</v>
      </c>
      <c r="O109" s="82" t="str">
        <f>VLOOKUP(INT(A109/100)*100+1,CHOOSE({1,2},D_马仔表!$J$2:$J$20,D_马仔表!$B$2:$B$20),2,FALSE)</f>
        <v>宫本一</v>
      </c>
      <c r="P109" s="81">
        <f>VLOOKUP(O109,D_马仔表!$B$2:$W$20,3,FALSE)</f>
        <v>2</v>
      </c>
      <c r="Q109" s="39">
        <f>IFERROR(VLOOKUP(R109,CHOOSE({1,2},技能辅助表!$B$3:$B$83,技能辅助表!$A$3:$A$82),2,FALSE),0)</f>
        <v>64</v>
      </c>
      <c r="R109" s="39">
        <f t="shared" si="53"/>
        <v>8</v>
      </c>
      <c r="S109" s="29" t="str">
        <f t="shared" si="59"/>
        <v>召唤出场时，减少场上所有敌人防御力X%，持续Y秒。</v>
      </c>
      <c r="T109" s="115" t="str">
        <f t="shared" si="60"/>
        <v>召唤出场时，减少场上所有敌人防御力10%，持续Y秒。</v>
      </c>
    </row>
    <row r="110" spans="1:20" ht="14.45" customHeight="1">
      <c r="A110" s="41">
        <f t="shared" si="54"/>
        <v>9614206</v>
      </c>
      <c r="B110" s="29" t="str">
        <f t="shared" si="55"/>
        <v>霸气纵横</v>
      </c>
      <c r="C110" s="75" t="str">
        <f t="shared" si="52"/>
        <v>召唤出场时，主角进入无敌状态，持续9.29秒。</v>
      </c>
      <c r="D110" s="6">
        <f t="shared" si="56"/>
        <v>6</v>
      </c>
      <c r="E110" s="6" t="str">
        <f t="shared" si="57"/>
        <v>9614201.png</v>
      </c>
      <c r="F110" s="51">
        <f t="shared" si="58"/>
        <v>0</v>
      </c>
      <c r="G110" s="76" t="str">
        <f t="shared" si="43"/>
        <v>无属性</v>
      </c>
      <c r="H110" s="51">
        <f t="shared" si="44"/>
        <v>0</v>
      </c>
      <c r="I110" s="76">
        <f t="shared" si="45"/>
        <v>0</v>
      </c>
      <c r="J110" s="77">
        <f t="shared" si="46"/>
        <v>1</v>
      </c>
      <c r="K110" s="63">
        <f t="shared" si="61"/>
        <v>0</v>
      </c>
      <c r="L110" s="53">
        <f t="shared" si="62"/>
        <v>9.2857142857142847</v>
      </c>
      <c r="M110" s="29">
        <f t="shared" si="63"/>
        <v>0</v>
      </c>
      <c r="N110" s="75">
        <v>0</v>
      </c>
      <c r="O110" s="82" t="str">
        <f>VLOOKUP(INT(A110/100)*100+1,CHOOSE({1,2},D_马仔表!$J$2:$J$20,D_马仔表!$B$2:$B$20),2,FALSE)</f>
        <v>陈浩南</v>
      </c>
      <c r="P110" s="81">
        <f>VLOOKUP(O110,D_马仔表!$B$2:$W$20,3,FALSE)</f>
        <v>3</v>
      </c>
      <c r="Q110" s="39">
        <f>IFERROR(VLOOKUP(R110,CHOOSE({1,2},技能辅助表!$B$3:$B$83,技能辅助表!$A$3:$A$82),2,FALSE),0)</f>
        <v>64</v>
      </c>
      <c r="R110" s="39">
        <f t="shared" si="53"/>
        <v>8</v>
      </c>
      <c r="S110" s="29" t="str">
        <f t="shared" si="59"/>
        <v>召唤出场时，主角进入无敌状态，持续Y秒。</v>
      </c>
      <c r="T110" s="115" t="str">
        <f t="shared" si="60"/>
        <v>召唤出场时，主角进入无敌状态，持续Y秒。</v>
      </c>
    </row>
    <row r="111" spans="1:20" ht="14.45" customHeight="1">
      <c r="A111" s="41">
        <f t="shared" si="54"/>
        <v>9615206</v>
      </c>
      <c r="B111" s="29" t="str">
        <f t="shared" si="55"/>
        <v>猛虎出山</v>
      </c>
      <c r="C111" s="75" t="str">
        <f t="shared" si="52"/>
        <v>召唤出场时，主角进入霸体状态，持续23.58秒。</v>
      </c>
      <c r="D111" s="6">
        <f t="shared" si="56"/>
        <v>6</v>
      </c>
      <c r="E111" s="6" t="str">
        <f t="shared" si="57"/>
        <v>9615201.png</v>
      </c>
      <c r="F111" s="51">
        <f t="shared" si="58"/>
        <v>0</v>
      </c>
      <c r="G111" s="76" t="str">
        <f t="shared" si="43"/>
        <v>无属性</v>
      </c>
      <c r="H111" s="51">
        <f t="shared" si="44"/>
        <v>0</v>
      </c>
      <c r="I111" s="76">
        <f t="shared" si="45"/>
        <v>0</v>
      </c>
      <c r="J111" s="77">
        <f t="shared" si="46"/>
        <v>2</v>
      </c>
      <c r="K111" s="63">
        <f t="shared" si="61"/>
        <v>80</v>
      </c>
      <c r="L111" s="53">
        <f t="shared" si="62"/>
        <v>23.571428571428569</v>
      </c>
      <c r="M111" s="29">
        <f t="shared" si="63"/>
        <v>0</v>
      </c>
      <c r="N111" s="75">
        <v>0</v>
      </c>
      <c r="O111" s="82" t="str">
        <f>VLOOKUP(INT(A111/100)*100+1,CHOOSE({1,2},D_马仔表!$J$2:$J$20,D_马仔表!$B$2:$B$20),2,FALSE)</f>
        <v>山鸡</v>
      </c>
      <c r="P111" s="81">
        <f>VLOOKUP(O111,D_马仔表!$B$2:$W$20,3,FALSE)</f>
        <v>3</v>
      </c>
      <c r="Q111" s="39">
        <f>IFERROR(VLOOKUP(R111,CHOOSE({1,2},技能辅助表!$B$3:$B$83,技能辅助表!$A$3:$A$82),2,FALSE),0)</f>
        <v>64</v>
      </c>
      <c r="R111" s="39">
        <f t="shared" si="53"/>
        <v>8</v>
      </c>
      <c r="S111" s="29" t="str">
        <f t="shared" si="59"/>
        <v>召唤出场时，主角进入霸体状态，持续Y秒。</v>
      </c>
      <c r="T111" s="115" t="str">
        <f t="shared" si="60"/>
        <v>召唤出场时，主角进入霸体状态，持续Y秒。</v>
      </c>
    </row>
    <row r="112" spans="1:20" ht="14.45" customHeight="1">
      <c r="A112" s="41">
        <f t="shared" si="54"/>
        <v>9616206</v>
      </c>
      <c r="B112" s="29" t="str">
        <f t="shared" si="55"/>
        <v>武魂</v>
      </c>
      <c r="C112" s="75" t="str">
        <f t="shared" si="52"/>
        <v>召唤出场时，主角体型变大，移动速度、攻击力、防御力增加10%,持续19.29秒。</v>
      </c>
      <c r="D112" s="6">
        <f t="shared" si="56"/>
        <v>6</v>
      </c>
      <c r="E112" s="6" t="str">
        <f t="shared" si="57"/>
        <v>9616201.png</v>
      </c>
      <c r="F112" s="51">
        <f t="shared" si="58"/>
        <v>0</v>
      </c>
      <c r="G112" s="76" t="str">
        <f t="shared" si="43"/>
        <v>无属性</v>
      </c>
      <c r="H112" s="51">
        <f t="shared" si="44"/>
        <v>0</v>
      </c>
      <c r="I112" s="76">
        <f t="shared" si="45"/>
        <v>0</v>
      </c>
      <c r="J112" s="77">
        <f t="shared" si="46"/>
        <v>19</v>
      </c>
      <c r="K112" s="63">
        <f t="shared" si="61"/>
        <v>0.1</v>
      </c>
      <c r="L112" s="53">
        <f t="shared" si="62"/>
        <v>19.285714285714285</v>
      </c>
      <c r="M112" s="29">
        <f t="shared" si="63"/>
        <v>1</v>
      </c>
      <c r="N112" s="75">
        <v>0</v>
      </c>
      <c r="O112" s="82" t="str">
        <f>VLOOKUP(INT(A112/100)*100+1,CHOOSE({1,2},D_马仔表!$J$2:$J$20,D_马仔表!$B$2:$B$20),2,FALSE)</f>
        <v>大天二</v>
      </c>
      <c r="P112" s="81">
        <f>VLOOKUP(O112,D_马仔表!$B$2:$W$20,3,FALSE)</f>
        <v>3</v>
      </c>
      <c r="Q112" s="39">
        <f>IFERROR(VLOOKUP(R112,CHOOSE({1,2},技能辅助表!$B$3:$B$83,技能辅助表!$A$3:$A$82),2,FALSE),0)</f>
        <v>64</v>
      </c>
      <c r="R112" s="39">
        <f t="shared" si="53"/>
        <v>8</v>
      </c>
      <c r="S112" s="29" t="str">
        <f t="shared" si="59"/>
        <v>召唤出场时，主角体型变大，移动速度、攻击力、防御力增加X%,持续Y秒。</v>
      </c>
      <c r="T112" s="115" t="str">
        <f t="shared" si="60"/>
        <v>召唤出场时，主角体型变大，移动速度、攻击力、防御力增加10%,持续Y秒。</v>
      </c>
    </row>
    <row r="113" spans="1:20" ht="14.45" customHeight="1">
      <c r="A113" s="113">
        <f t="shared" si="54"/>
        <v>9617206</v>
      </c>
      <c r="B113" s="29" t="str">
        <f t="shared" si="55"/>
        <v>净化</v>
      </c>
      <c r="C113" s="75" t="str">
        <f t="shared" ref="C113:C115" si="64">IF(F113=0,IFERROR(REPLACE(T113,FIND("Y",T113),LEN("Y"),ROUNDUP(L113,2)),T113),IF(F113=0,"","永久增加主角"&amp;IF(I113&lt;1,ROUNDUP(I113*100,2)&amp;"%",ROUNDUP(I113,0))&amp;G113&amp;",")&amp;IFERROR(REPLACE(T113,FIND("Y",T113),LEN("Y"),ROUNDUP(L113,2)),T113))</f>
        <v>召唤出场时，场上所有敌人的BUFF会被全部清除。</v>
      </c>
      <c r="D113" s="6">
        <f t="shared" si="56"/>
        <v>6</v>
      </c>
      <c r="E113" s="6" t="str">
        <f t="shared" si="57"/>
        <v>9601201.png</v>
      </c>
      <c r="F113" s="51">
        <f t="shared" si="58"/>
        <v>0</v>
      </c>
      <c r="G113" s="76" t="str">
        <f t="shared" si="43"/>
        <v>无属性</v>
      </c>
      <c r="H113" s="51">
        <f t="shared" si="44"/>
        <v>0</v>
      </c>
      <c r="I113" s="76">
        <f t="shared" si="45"/>
        <v>0</v>
      </c>
      <c r="J113" s="77">
        <f t="shared" si="46"/>
        <v>14</v>
      </c>
      <c r="K113" s="63">
        <f t="shared" si="61"/>
        <v>0</v>
      </c>
      <c r="L113" s="53">
        <f t="shared" si="62"/>
        <v>0</v>
      </c>
      <c r="M113" s="29">
        <f t="shared" si="63"/>
        <v>0</v>
      </c>
      <c r="N113" s="75">
        <v>0</v>
      </c>
      <c r="O113" s="82" t="str">
        <f>VLOOKUP(INT(A113/100)*100+1,CHOOSE({1,2},D_马仔表!$J$2:$J$20,D_马仔表!$B$2:$B$20),2,FALSE)</f>
        <v>巴闭</v>
      </c>
      <c r="P113" s="81">
        <f>VLOOKUP(O113,D_马仔表!$B$2:$W$20,3,FALSE)</f>
        <v>1</v>
      </c>
      <c r="Q113" s="39">
        <f>IFERROR(VLOOKUP(R113,CHOOSE({1,2},技能辅助表!$B$3:$B$83,技能辅助表!$A$3:$A$82),2,FALSE),0)</f>
        <v>64</v>
      </c>
      <c r="R113" s="39">
        <f t="shared" ref="R113:R115" si="65">D113+2</f>
        <v>8</v>
      </c>
      <c r="S113" s="29" t="str">
        <f t="shared" si="59"/>
        <v>召唤出场时，场上所有敌人的BUFF会被全部清除。</v>
      </c>
      <c r="T113" s="115" t="str">
        <f t="shared" si="60"/>
        <v>召唤出场时，场上所有敌人的BUFF会被全部清除。</v>
      </c>
    </row>
    <row r="114" spans="1:20" ht="14.45" customHeight="1">
      <c r="A114" s="113">
        <f t="shared" si="54"/>
        <v>9618206</v>
      </c>
      <c r="B114" s="29" t="str">
        <f t="shared" si="55"/>
        <v>震慑</v>
      </c>
      <c r="C114" s="75" t="str">
        <f t="shared" si="64"/>
        <v>召唤出场时，场上所有敌人，体型变小，移动速度，攻击力，防御力降低10%，持续19.29秒。</v>
      </c>
      <c r="D114" s="6">
        <f t="shared" si="56"/>
        <v>6</v>
      </c>
      <c r="E114" s="6" t="str">
        <f t="shared" si="57"/>
        <v>9612201.png</v>
      </c>
      <c r="F114" s="51">
        <f t="shared" si="58"/>
        <v>0</v>
      </c>
      <c r="G114" s="76" t="str">
        <f t="shared" si="43"/>
        <v>无属性</v>
      </c>
      <c r="H114" s="51">
        <f t="shared" si="44"/>
        <v>0</v>
      </c>
      <c r="I114" s="76">
        <f t="shared" si="45"/>
        <v>0</v>
      </c>
      <c r="J114" s="77">
        <f t="shared" si="46"/>
        <v>20</v>
      </c>
      <c r="K114" s="63">
        <f t="shared" si="61"/>
        <v>0.1</v>
      </c>
      <c r="L114" s="53">
        <f t="shared" si="62"/>
        <v>19.285714285714285</v>
      </c>
      <c r="M114" s="29">
        <f t="shared" si="63"/>
        <v>1</v>
      </c>
      <c r="N114" s="75">
        <v>0</v>
      </c>
      <c r="O114" s="82" t="str">
        <f>VLOOKUP(INT(A114/100)*100+1,CHOOSE({1,2},D_马仔表!$J$2:$J$20,D_马仔表!$B$2:$B$20),2,FALSE)</f>
        <v>耀阳</v>
      </c>
      <c r="P114" s="81">
        <f>VLOOKUP(O114,D_马仔表!$B$2:$W$20,3,FALSE)</f>
        <v>2</v>
      </c>
      <c r="Q114" s="39">
        <f>IFERROR(VLOOKUP(R114,CHOOSE({1,2},技能辅助表!$B$3:$B$83,技能辅助表!$A$3:$A$82),2,FALSE),0)</f>
        <v>64</v>
      </c>
      <c r="R114" s="39">
        <f t="shared" si="65"/>
        <v>8</v>
      </c>
      <c r="S114" s="29" t="str">
        <f t="shared" si="59"/>
        <v>召唤出场时，场上所有敌人，体型变小，移动速度，攻击力，防御力降低X%，持续Y秒。</v>
      </c>
      <c r="T114" s="115" t="str">
        <f t="shared" si="60"/>
        <v>召唤出场时，场上所有敌人，体型变小，移动速度，攻击力，防御力降低10%，持续Y秒。</v>
      </c>
    </row>
    <row r="115" spans="1:20" ht="14.45" customHeight="1">
      <c r="A115" s="113">
        <f t="shared" si="54"/>
        <v>9619206</v>
      </c>
      <c r="B115" s="29" t="str">
        <f t="shared" si="55"/>
        <v>暴怒</v>
      </c>
      <c r="C115" s="75" t="str">
        <f t="shared" si="64"/>
        <v>召唤出场时，为主角增加暴击倍数50%，持续19.29秒。</v>
      </c>
      <c r="D115" s="6">
        <f t="shared" si="56"/>
        <v>6</v>
      </c>
      <c r="E115" s="6" t="str">
        <f t="shared" si="57"/>
        <v>9604201.png</v>
      </c>
      <c r="F115" s="51">
        <f t="shared" si="58"/>
        <v>0</v>
      </c>
      <c r="G115" s="76" t="str">
        <f t="shared" si="43"/>
        <v>无属性</v>
      </c>
      <c r="H115" s="51">
        <f t="shared" si="44"/>
        <v>0</v>
      </c>
      <c r="I115" s="76">
        <f t="shared" si="45"/>
        <v>0</v>
      </c>
      <c r="J115" s="77">
        <f t="shared" si="46"/>
        <v>7</v>
      </c>
      <c r="K115" s="63">
        <f t="shared" si="61"/>
        <v>25000</v>
      </c>
      <c r="L115" s="53">
        <f t="shared" si="62"/>
        <v>19.285714285714285</v>
      </c>
      <c r="M115" s="29">
        <f t="shared" si="63"/>
        <v>1</v>
      </c>
      <c r="N115" s="75">
        <v>0</v>
      </c>
      <c r="O115" s="82" t="str">
        <f>VLOOKUP(INT(A115/100)*100+1,CHOOSE({1,2},D_马仔表!$J$2:$J$20,D_马仔表!$B$2:$B$20),2,FALSE)</f>
        <v>笑面虎</v>
      </c>
      <c r="P115" s="81">
        <f>VLOOKUP(O115,D_马仔表!$B$2:$W$20,3,FALSE)</f>
        <v>2</v>
      </c>
      <c r="Q115" s="39">
        <f>IFERROR(VLOOKUP(R115,CHOOSE({1,2},技能辅助表!$B$3:$B$83,技能辅助表!$A$3:$A$82),2,FALSE),0)</f>
        <v>64</v>
      </c>
      <c r="R115" s="39">
        <f t="shared" si="65"/>
        <v>8</v>
      </c>
      <c r="S115" s="29" t="str">
        <f t="shared" si="59"/>
        <v>召唤出场时，为主角增加暴击倍数X%，持续Y秒。</v>
      </c>
      <c r="T115" s="115" t="str">
        <f t="shared" si="60"/>
        <v>召唤出场时，为主角增加暴击倍数50%，持续Y秒。</v>
      </c>
    </row>
    <row r="116" spans="1:20" ht="14.45" customHeight="1">
      <c r="A116" s="41">
        <f t="shared" si="54"/>
        <v>9601207</v>
      </c>
      <c r="B116" s="29" t="str">
        <f t="shared" si="55"/>
        <v>急救</v>
      </c>
      <c r="C116" s="75" t="str">
        <f t="shared" si="52"/>
        <v>召唤出场时，为主角回复34.28%最大生命值。</v>
      </c>
      <c r="D116" s="6">
        <f t="shared" si="56"/>
        <v>7</v>
      </c>
      <c r="E116" s="6" t="str">
        <f t="shared" si="57"/>
        <v>9601201.png</v>
      </c>
      <c r="F116" s="51">
        <f t="shared" si="58"/>
        <v>0</v>
      </c>
      <c r="G116" s="76" t="str">
        <f t="shared" si="43"/>
        <v>无属性</v>
      </c>
      <c r="H116" s="51">
        <f t="shared" si="44"/>
        <v>0</v>
      </c>
      <c r="I116" s="76">
        <f t="shared" si="45"/>
        <v>0</v>
      </c>
      <c r="J116" s="77">
        <f t="shared" si="46"/>
        <v>3</v>
      </c>
      <c r="K116" s="63">
        <f t="shared" si="61"/>
        <v>0.34285714285714286</v>
      </c>
      <c r="L116" s="53">
        <f t="shared" si="62"/>
        <v>0</v>
      </c>
      <c r="M116" s="29">
        <f t="shared" si="63"/>
        <v>1</v>
      </c>
      <c r="N116" s="75">
        <v>0</v>
      </c>
      <c r="O116" s="82" t="str">
        <f>VLOOKUP(INT(A116/100)*100+1,CHOOSE({1,2},D_马仔表!$J$2:$J$20,D_马仔表!$B$2:$B$20),2,FALSE)</f>
        <v>制服太妹</v>
      </c>
      <c r="P116" s="81">
        <f>VLOOKUP(O116,D_马仔表!$B$2:$W$20,3,FALSE)</f>
        <v>0</v>
      </c>
      <c r="Q116" s="39">
        <f>IFERROR(VLOOKUP(R116,CHOOSE({1,2},技能辅助表!$B$3:$B$83,技能辅助表!$A$3:$A$82),2,FALSE),0)</f>
        <v>72</v>
      </c>
      <c r="R116" s="39">
        <f t="shared" ref="R116:R153" si="66">D116+2</f>
        <v>9</v>
      </c>
      <c r="S116" s="29" t="str">
        <f t="shared" si="59"/>
        <v>召唤出场时，为主角回复X%最大生命值。</v>
      </c>
      <c r="T116" s="115" t="str">
        <f t="shared" si="60"/>
        <v>召唤出场时，为主角回复34.28%最大生命值。</v>
      </c>
    </row>
    <row r="117" spans="1:20" ht="14.45" customHeight="1">
      <c r="A117" s="41">
        <f t="shared" ref="A117:A148" si="67">A98+1</f>
        <v>9602207</v>
      </c>
      <c r="B117" s="29" t="str">
        <f t="shared" ref="B117:B148" si="68">B98</f>
        <v>鼓舞</v>
      </c>
      <c r="C117" s="75" t="str">
        <f t="shared" si="52"/>
        <v>召唤出场时，为主角增加生命最大值11428.58，持续20秒。</v>
      </c>
      <c r="D117" s="6">
        <f t="shared" ref="D117:D148" si="69">D98+1</f>
        <v>7</v>
      </c>
      <c r="E117" s="6" t="str">
        <f t="shared" ref="E117:E148" si="70">E98</f>
        <v>9602201.png</v>
      </c>
      <c r="F117" s="51">
        <f t="shared" si="58"/>
        <v>0</v>
      </c>
      <c r="G117" s="76" t="str">
        <f t="shared" si="43"/>
        <v>无属性</v>
      </c>
      <c r="H117" s="51">
        <f t="shared" si="44"/>
        <v>0</v>
      </c>
      <c r="I117" s="76">
        <f t="shared" si="45"/>
        <v>0</v>
      </c>
      <c r="J117" s="77">
        <f t="shared" si="46"/>
        <v>9</v>
      </c>
      <c r="K117" s="63">
        <f t="shared" si="61"/>
        <v>11428.571428571429</v>
      </c>
      <c r="L117" s="53">
        <f t="shared" si="62"/>
        <v>20</v>
      </c>
      <c r="M117" s="29">
        <f t="shared" si="63"/>
        <v>0</v>
      </c>
      <c r="N117" s="75">
        <v>0</v>
      </c>
      <c r="O117" s="82" t="str">
        <f>VLOOKUP(INT(A117/100)*100+1,CHOOSE({1,2},D_马仔表!$J$2:$J$20,D_马仔表!$B$2:$B$20),2,FALSE)</f>
        <v>蟹仔</v>
      </c>
      <c r="P117" s="81">
        <f>VLOOKUP(O117,D_马仔表!$B$2:$W$20,3,FALSE)</f>
        <v>0</v>
      </c>
      <c r="Q117" s="39">
        <f>IFERROR(VLOOKUP(R117,CHOOSE({1,2},技能辅助表!$B$3:$B$83,技能辅助表!$A$3:$A$82),2,FALSE),0)</f>
        <v>72</v>
      </c>
      <c r="R117" s="39">
        <f t="shared" si="66"/>
        <v>9</v>
      </c>
      <c r="S117" s="29" t="str">
        <f t="shared" si="59"/>
        <v>召唤出场时，为主角增加生命最大值X，持续Y秒。</v>
      </c>
      <c r="T117" s="115" t="str">
        <f t="shared" si="60"/>
        <v>召唤出场时，为主角增加生命最大值11428.58，持续Y秒。</v>
      </c>
    </row>
    <row r="118" spans="1:20" ht="14.45" customHeight="1">
      <c r="A118" s="41">
        <f t="shared" si="67"/>
        <v>9603207</v>
      </c>
      <c r="B118" s="29" t="str">
        <f t="shared" si="68"/>
        <v>激励</v>
      </c>
      <c r="C118" s="75" t="str">
        <f t="shared" si="52"/>
        <v>召唤出场时，为主角增加攻击力1485.72，持续20秒。</v>
      </c>
      <c r="D118" s="6">
        <f t="shared" si="69"/>
        <v>7</v>
      </c>
      <c r="E118" s="6" t="str">
        <f t="shared" si="70"/>
        <v>9603201.png</v>
      </c>
      <c r="F118" s="51">
        <f t="shared" si="58"/>
        <v>0</v>
      </c>
      <c r="G118" s="76" t="str">
        <f t="shared" si="43"/>
        <v>无属性</v>
      </c>
      <c r="H118" s="51">
        <f t="shared" si="44"/>
        <v>0</v>
      </c>
      <c r="I118" s="76">
        <f t="shared" si="45"/>
        <v>0</v>
      </c>
      <c r="J118" s="77">
        <f t="shared" si="46"/>
        <v>10</v>
      </c>
      <c r="K118" s="63">
        <f t="shared" si="61"/>
        <v>1485.7142857142858</v>
      </c>
      <c r="L118" s="53">
        <f t="shared" si="62"/>
        <v>20</v>
      </c>
      <c r="M118" s="29">
        <f t="shared" si="63"/>
        <v>0</v>
      </c>
      <c r="N118" s="75">
        <v>0</v>
      </c>
      <c r="O118" s="82" t="str">
        <f>VLOOKUP(INT(A118/100)*100+1,CHOOSE({1,2},D_马仔表!$J$2:$J$20,D_马仔表!$B$2:$B$20),2,FALSE)</f>
        <v>比利</v>
      </c>
      <c r="P118" s="81">
        <f>VLOOKUP(O118,D_马仔表!$B$2:$W$20,3,FALSE)</f>
        <v>0</v>
      </c>
      <c r="Q118" s="39">
        <f>IFERROR(VLOOKUP(R118,CHOOSE({1,2},技能辅助表!$B$3:$B$83,技能辅助表!$A$3:$A$82),2,FALSE),0)</f>
        <v>72</v>
      </c>
      <c r="R118" s="39">
        <f t="shared" si="66"/>
        <v>9</v>
      </c>
      <c r="S118" s="29" t="str">
        <f t="shared" si="59"/>
        <v>召唤出场时，为主角增加攻击力X，持续Y秒。</v>
      </c>
      <c r="T118" s="115" t="str">
        <f t="shared" si="60"/>
        <v>召唤出场时，为主角增加攻击力1485.72，持续Y秒。</v>
      </c>
    </row>
    <row r="119" spans="1:20" ht="14.45" customHeight="1">
      <c r="A119" s="41">
        <f t="shared" si="67"/>
        <v>9604207</v>
      </c>
      <c r="B119" s="29" t="str">
        <f t="shared" si="68"/>
        <v>鞭策</v>
      </c>
      <c r="C119" s="75" t="str">
        <f t="shared" si="52"/>
        <v>召唤出场时，为主角增加暴击值0.18，持续20秒。</v>
      </c>
      <c r="D119" s="6">
        <f t="shared" si="69"/>
        <v>7</v>
      </c>
      <c r="E119" s="6" t="str">
        <f t="shared" si="70"/>
        <v>9604201.png</v>
      </c>
      <c r="F119" s="51">
        <f t="shared" si="58"/>
        <v>0</v>
      </c>
      <c r="G119" s="76" t="str">
        <f t="shared" si="43"/>
        <v>无属性</v>
      </c>
      <c r="H119" s="51">
        <f t="shared" si="44"/>
        <v>0</v>
      </c>
      <c r="I119" s="76">
        <f t="shared" si="45"/>
        <v>0</v>
      </c>
      <c r="J119" s="77">
        <f t="shared" si="46"/>
        <v>8</v>
      </c>
      <c r="K119" s="63">
        <f t="shared" si="61"/>
        <v>28571.428571428576</v>
      </c>
      <c r="L119" s="53">
        <f t="shared" si="62"/>
        <v>20</v>
      </c>
      <c r="M119" s="29">
        <f t="shared" si="63"/>
        <v>0</v>
      </c>
      <c r="N119" s="75">
        <v>0</v>
      </c>
      <c r="O119" s="82" t="str">
        <f>VLOOKUP(INT(A119/100)*100+1,CHOOSE({1,2},D_马仔表!$J$2:$J$20,D_马仔表!$B$2:$B$20),2,FALSE)</f>
        <v>黎九</v>
      </c>
      <c r="P119" s="81">
        <f>VLOOKUP(O119,D_马仔表!$B$2:$W$20,3,FALSE)</f>
        <v>0</v>
      </c>
      <c r="Q119" s="39">
        <f>IFERROR(VLOOKUP(R119,CHOOSE({1,2},技能辅助表!$B$3:$B$83,技能辅助表!$A$3:$A$82),2,FALSE),0)</f>
        <v>72</v>
      </c>
      <c r="R119" s="39">
        <f t="shared" si="66"/>
        <v>9</v>
      </c>
      <c r="S119" s="29" t="str">
        <f t="shared" si="59"/>
        <v>召唤出场时，为主角增加暴击值X，持续Y秒。</v>
      </c>
      <c r="T119" s="115" t="str">
        <f t="shared" si="60"/>
        <v>召唤出场时，为主角增加暴击值0.18，持续Y秒。</v>
      </c>
    </row>
    <row r="120" spans="1:20" ht="14.45" customHeight="1">
      <c r="A120" s="41">
        <f t="shared" si="67"/>
        <v>9605207</v>
      </c>
      <c r="B120" s="29" t="str">
        <f t="shared" si="68"/>
        <v>守护</v>
      </c>
      <c r="C120" s="75" t="str">
        <f t="shared" si="52"/>
        <v>召唤出场时，为主角增加防御力914.29，持续20秒。</v>
      </c>
      <c r="D120" s="6">
        <f t="shared" si="69"/>
        <v>7</v>
      </c>
      <c r="E120" s="6" t="str">
        <f t="shared" si="70"/>
        <v>9605201.png</v>
      </c>
      <c r="F120" s="51">
        <f t="shared" si="58"/>
        <v>0</v>
      </c>
      <c r="G120" s="76" t="str">
        <f t="shared" si="43"/>
        <v>无属性</v>
      </c>
      <c r="H120" s="51">
        <f t="shared" si="44"/>
        <v>0</v>
      </c>
      <c r="I120" s="76">
        <f t="shared" si="45"/>
        <v>0</v>
      </c>
      <c r="J120" s="77">
        <f t="shared" si="46"/>
        <v>11</v>
      </c>
      <c r="K120" s="63">
        <f t="shared" si="61"/>
        <v>914.28571428571433</v>
      </c>
      <c r="L120" s="53">
        <f t="shared" si="62"/>
        <v>20</v>
      </c>
      <c r="M120" s="29">
        <f t="shared" si="63"/>
        <v>0</v>
      </c>
      <c r="N120" s="75">
        <v>0</v>
      </c>
      <c r="O120" s="82" t="str">
        <f>VLOOKUP(INT(A120/100)*100+1,CHOOSE({1,2},D_马仔表!$J$2:$J$20,D_马仔表!$B$2:$B$20),2,FALSE)</f>
        <v>黑古</v>
      </c>
      <c r="P120" s="81">
        <f>VLOOKUP(O120,D_马仔表!$B$2:$W$20,3,FALSE)</f>
        <v>0</v>
      </c>
      <c r="Q120" s="39">
        <f>IFERROR(VLOOKUP(R120,CHOOSE({1,2},技能辅助表!$B$3:$B$83,技能辅助表!$A$3:$A$82),2,FALSE),0)</f>
        <v>72</v>
      </c>
      <c r="R120" s="39">
        <f t="shared" si="66"/>
        <v>9</v>
      </c>
      <c r="S120" s="29" t="str">
        <f t="shared" si="59"/>
        <v>召唤出场时，为主角增加防御力X，持续Y秒。</v>
      </c>
      <c r="T120" s="115" t="str">
        <f t="shared" si="60"/>
        <v>召唤出场时，为主角增加防御力914.29，持续Y秒。</v>
      </c>
    </row>
    <row r="121" spans="1:20" ht="14.45" customHeight="1">
      <c r="A121" s="41">
        <f t="shared" si="67"/>
        <v>9606207</v>
      </c>
      <c r="B121" s="29" t="str">
        <f t="shared" si="68"/>
        <v>混世魔王</v>
      </c>
      <c r="C121" s="75" t="str">
        <f t="shared" si="52"/>
        <v>召唤出场时，为主角增加加伤百分比17.14%，持续20秒。</v>
      </c>
      <c r="D121" s="6">
        <f t="shared" si="69"/>
        <v>7</v>
      </c>
      <c r="E121" s="6" t="str">
        <f t="shared" si="70"/>
        <v>9606201.png</v>
      </c>
      <c r="F121" s="51">
        <f t="shared" si="58"/>
        <v>0</v>
      </c>
      <c r="G121" s="76" t="str">
        <f t="shared" si="43"/>
        <v>无属性</v>
      </c>
      <c r="H121" s="51">
        <f t="shared" si="44"/>
        <v>0</v>
      </c>
      <c r="I121" s="76">
        <f t="shared" si="45"/>
        <v>0</v>
      </c>
      <c r="J121" s="77">
        <f t="shared" si="46"/>
        <v>12</v>
      </c>
      <c r="K121" s="63">
        <f t="shared" si="61"/>
        <v>11428.571428571429</v>
      </c>
      <c r="L121" s="53">
        <f t="shared" si="62"/>
        <v>20</v>
      </c>
      <c r="M121" s="29">
        <f t="shared" si="63"/>
        <v>1</v>
      </c>
      <c r="N121" s="75">
        <v>0</v>
      </c>
      <c r="O121" s="82" t="str">
        <f>VLOOKUP(INT(A121/100)*100+1,CHOOSE({1,2},D_马仔表!$J$2:$J$20,D_马仔表!$B$2:$B$20),2,FALSE)</f>
        <v>靓坤</v>
      </c>
      <c r="P121" s="81">
        <f>VLOOKUP(O121,D_马仔表!$B$2:$W$20,3,FALSE)</f>
        <v>1</v>
      </c>
      <c r="Q121" s="39">
        <f>IFERROR(VLOOKUP(R121,CHOOSE({1,2},技能辅助表!$B$3:$B$83,技能辅助表!$A$3:$A$82),2,FALSE),0)</f>
        <v>72</v>
      </c>
      <c r="R121" s="39">
        <f t="shared" si="66"/>
        <v>9</v>
      </c>
      <c r="S121" s="29" t="str">
        <f t="shared" si="59"/>
        <v>召唤出场时，为主角增加加伤百分比X%，持续Y秒。</v>
      </c>
      <c r="T121" s="115" t="str">
        <f t="shared" si="60"/>
        <v>召唤出场时，为主角增加加伤百分比17.14%，持续Y秒。</v>
      </c>
    </row>
    <row r="122" spans="1:20" ht="14.45" customHeight="1">
      <c r="A122" s="41">
        <f t="shared" si="67"/>
        <v>9607207</v>
      </c>
      <c r="B122" s="29" t="str">
        <f t="shared" si="68"/>
        <v>弱点分析</v>
      </c>
      <c r="C122" s="75" t="str">
        <f t="shared" si="52"/>
        <v>召唤出场时，减少场上所有敌人命中值34.28%，持续20秒。</v>
      </c>
      <c r="D122" s="6">
        <f t="shared" si="69"/>
        <v>7</v>
      </c>
      <c r="E122" s="6" t="str">
        <f t="shared" si="70"/>
        <v>9607201.png</v>
      </c>
      <c r="F122" s="51">
        <f t="shared" si="58"/>
        <v>0</v>
      </c>
      <c r="G122" s="76" t="str">
        <f t="shared" si="43"/>
        <v>无属性</v>
      </c>
      <c r="H122" s="51">
        <f t="shared" si="44"/>
        <v>0</v>
      </c>
      <c r="I122" s="76">
        <f t="shared" si="45"/>
        <v>0</v>
      </c>
      <c r="J122" s="77">
        <f t="shared" si="46"/>
        <v>17</v>
      </c>
      <c r="K122" s="63">
        <f t="shared" si="61"/>
        <v>0.34285714285714286</v>
      </c>
      <c r="L122" s="53">
        <f t="shared" si="62"/>
        <v>20</v>
      </c>
      <c r="M122" s="29">
        <f t="shared" si="63"/>
        <v>1</v>
      </c>
      <c r="N122" s="75">
        <v>0</v>
      </c>
      <c r="O122" s="82" t="str">
        <f>VLOOKUP(INT(A122/100)*100+1,CHOOSE({1,2},D_马仔表!$J$2:$J$20,D_马仔表!$B$2:$B$20),2,FALSE)</f>
        <v>雷复轰</v>
      </c>
      <c r="P122" s="81">
        <f>VLOOKUP(O122,D_马仔表!$B$2:$W$20,3,FALSE)</f>
        <v>1</v>
      </c>
      <c r="Q122" s="39">
        <f>IFERROR(VLOOKUP(R122,CHOOSE({1,2},技能辅助表!$B$3:$B$83,技能辅助表!$A$3:$A$82),2,FALSE),0)</f>
        <v>72</v>
      </c>
      <c r="R122" s="39">
        <f t="shared" si="66"/>
        <v>9</v>
      </c>
      <c r="S122" s="29" t="str">
        <f t="shared" si="59"/>
        <v>召唤出场时，减少场上所有敌人命中值X%，持续Y秒。</v>
      </c>
      <c r="T122" s="115" t="str">
        <f t="shared" si="60"/>
        <v>召唤出场时，减少场上所有敌人命中值34.28%，持续Y秒。</v>
      </c>
    </row>
    <row r="123" spans="1:20" ht="14.45" customHeight="1">
      <c r="A123" s="41">
        <f t="shared" si="67"/>
        <v>9608207</v>
      </c>
      <c r="B123" s="29" t="str">
        <f t="shared" si="68"/>
        <v>硬气功</v>
      </c>
      <c r="C123" s="75" t="str">
        <f t="shared" si="52"/>
        <v>召唤出场时，为主角增加减伤百分比17.14%，持续20秒。</v>
      </c>
      <c r="D123" s="6">
        <f t="shared" si="69"/>
        <v>7</v>
      </c>
      <c r="E123" s="6" t="str">
        <f t="shared" si="70"/>
        <v>9608201.png</v>
      </c>
      <c r="F123" s="51">
        <f t="shared" si="58"/>
        <v>0</v>
      </c>
      <c r="G123" s="76" t="str">
        <f t="shared" si="43"/>
        <v>无属性</v>
      </c>
      <c r="H123" s="51">
        <f t="shared" si="44"/>
        <v>0</v>
      </c>
      <c r="I123" s="76">
        <f t="shared" si="45"/>
        <v>0</v>
      </c>
      <c r="J123" s="77">
        <f t="shared" si="46"/>
        <v>13</v>
      </c>
      <c r="K123" s="63">
        <f t="shared" si="61"/>
        <v>11428.571428571429</v>
      </c>
      <c r="L123" s="53">
        <f t="shared" si="62"/>
        <v>20</v>
      </c>
      <c r="M123" s="29">
        <f t="shared" si="63"/>
        <v>1</v>
      </c>
      <c r="N123" s="75">
        <v>0</v>
      </c>
      <c r="O123" s="82" t="str">
        <f>VLOOKUP(INT(A123/100)*100+1,CHOOSE({1,2},D_马仔表!$J$2:$J$20,D_马仔表!$B$2:$B$20),2,FALSE)</f>
        <v>肥仔</v>
      </c>
      <c r="P123" s="81">
        <f>VLOOKUP(O123,D_马仔表!$B$2:$W$20,3,FALSE)</f>
        <v>1</v>
      </c>
      <c r="Q123" s="39">
        <f>IFERROR(VLOOKUP(R123,CHOOSE({1,2},技能辅助表!$B$3:$B$83,技能辅助表!$A$3:$A$82),2,FALSE),0)</f>
        <v>72</v>
      </c>
      <c r="R123" s="39">
        <f t="shared" si="66"/>
        <v>9</v>
      </c>
      <c r="S123" s="29" t="str">
        <f t="shared" si="59"/>
        <v>召唤出场时，为主角增加减伤百分比X%，持续Y秒。</v>
      </c>
      <c r="T123" s="115" t="str">
        <f t="shared" si="60"/>
        <v>召唤出场时，为主角增加减伤百分比17.14%，持续Y秒。</v>
      </c>
    </row>
    <row r="124" spans="1:20" ht="14.45" customHeight="1">
      <c r="A124" s="41">
        <f t="shared" si="67"/>
        <v>9609207</v>
      </c>
      <c r="B124" s="29" t="str">
        <f t="shared" si="68"/>
        <v>坚毅之躯</v>
      </c>
      <c r="C124" s="75" t="str">
        <f t="shared" si="52"/>
        <v>召唤出场时，为主角增加生命最大值百分比11.42%,持续20秒。</v>
      </c>
      <c r="D124" s="6">
        <f t="shared" si="69"/>
        <v>7</v>
      </c>
      <c r="E124" s="6" t="str">
        <f t="shared" si="70"/>
        <v>9609201.png</v>
      </c>
      <c r="F124" s="51">
        <f t="shared" si="58"/>
        <v>0</v>
      </c>
      <c r="G124" s="76" t="str">
        <f t="shared" si="43"/>
        <v>无属性</v>
      </c>
      <c r="H124" s="51">
        <f t="shared" si="44"/>
        <v>0</v>
      </c>
      <c r="I124" s="76">
        <f t="shared" si="45"/>
        <v>0</v>
      </c>
      <c r="J124" s="77">
        <f t="shared" si="46"/>
        <v>4</v>
      </c>
      <c r="K124" s="63">
        <f t="shared" si="61"/>
        <v>0.1142857142857143</v>
      </c>
      <c r="L124" s="53">
        <f t="shared" si="62"/>
        <v>20</v>
      </c>
      <c r="M124" s="29">
        <f t="shared" si="63"/>
        <v>1</v>
      </c>
      <c r="N124" s="75">
        <v>0</v>
      </c>
      <c r="O124" s="82" t="str">
        <f>VLOOKUP(INT(A124/100)*100+1,CHOOSE({1,2},D_马仔表!$J$2:$J$20,D_马仔表!$B$2:$B$20),2,FALSE)</f>
        <v>司徒浩南</v>
      </c>
      <c r="P124" s="81">
        <f>VLOOKUP(O124,D_马仔表!$B$2:$W$20,3,FALSE)</f>
        <v>2</v>
      </c>
      <c r="Q124" s="39">
        <f>IFERROR(VLOOKUP(R124,CHOOSE({1,2},技能辅助表!$B$3:$B$83,技能辅助表!$A$3:$A$82),2,FALSE),0)</f>
        <v>72</v>
      </c>
      <c r="R124" s="39">
        <f t="shared" si="66"/>
        <v>9</v>
      </c>
      <c r="S124" s="29" t="str">
        <f t="shared" si="59"/>
        <v>召唤出场时，为主角增加生命最大值百分比X%,持续Y秒。</v>
      </c>
      <c r="T124" s="115" t="str">
        <f t="shared" si="60"/>
        <v>召唤出场时，为主角增加生命最大值百分比11.42%,持续Y秒。</v>
      </c>
    </row>
    <row r="125" spans="1:20" ht="14.45" customHeight="1">
      <c r="A125" s="41">
        <f t="shared" si="67"/>
        <v>9610207</v>
      </c>
      <c r="B125" s="29" t="str">
        <f t="shared" si="68"/>
        <v>战斗意志</v>
      </c>
      <c r="C125" s="75" t="str">
        <f t="shared" si="52"/>
        <v>召唤出场时，为主角增加攻击力百分比11.42%,持续20秒。</v>
      </c>
      <c r="D125" s="6">
        <f t="shared" si="69"/>
        <v>7</v>
      </c>
      <c r="E125" s="6" t="str">
        <f t="shared" si="70"/>
        <v>9610201.png</v>
      </c>
      <c r="F125" s="51">
        <f t="shared" si="58"/>
        <v>0</v>
      </c>
      <c r="G125" s="76" t="str">
        <f t="shared" si="43"/>
        <v>无属性</v>
      </c>
      <c r="H125" s="51">
        <f t="shared" si="44"/>
        <v>0</v>
      </c>
      <c r="I125" s="76">
        <f t="shared" si="45"/>
        <v>0</v>
      </c>
      <c r="J125" s="77">
        <f t="shared" si="46"/>
        <v>5</v>
      </c>
      <c r="K125" s="63">
        <f t="shared" si="61"/>
        <v>0.1142857142857143</v>
      </c>
      <c r="L125" s="53">
        <f t="shared" si="62"/>
        <v>20</v>
      </c>
      <c r="M125" s="29">
        <f t="shared" si="63"/>
        <v>1</v>
      </c>
      <c r="N125" s="75">
        <v>0</v>
      </c>
      <c r="O125" s="82" t="str">
        <f>VLOOKUP(INT(A125/100)*100+1,CHOOSE({1,2},D_马仔表!$J$2:$J$20,D_马仔表!$B$2:$B$20),2,FALSE)</f>
        <v>乌鸦</v>
      </c>
      <c r="P125" s="81">
        <f>VLOOKUP(O125,D_马仔表!$B$2:$W$20,3,FALSE)</f>
        <v>2</v>
      </c>
      <c r="Q125" s="39">
        <f>IFERROR(VLOOKUP(R125,CHOOSE({1,2},技能辅助表!$B$3:$B$83,技能辅助表!$A$3:$A$82),2,FALSE),0)</f>
        <v>72</v>
      </c>
      <c r="R125" s="39">
        <f t="shared" si="66"/>
        <v>9</v>
      </c>
      <c r="S125" s="29" t="str">
        <f t="shared" si="59"/>
        <v>召唤出场时，为主角增加攻击力百分比X%,持续Y秒。</v>
      </c>
      <c r="T125" s="115" t="str">
        <f t="shared" si="60"/>
        <v>召唤出场时，为主角增加攻击力百分比11.42%,持续Y秒。</v>
      </c>
    </row>
    <row r="126" spans="1:20" ht="14.45" customHeight="1">
      <c r="A126" s="41">
        <f t="shared" si="67"/>
        <v>9611207</v>
      </c>
      <c r="B126" s="29" t="str">
        <f t="shared" si="68"/>
        <v>金手指</v>
      </c>
      <c r="C126" s="75" t="str">
        <f t="shared" si="52"/>
        <v>召唤出场时，主角所有技能立刻全部CD完毕。</v>
      </c>
      <c r="D126" s="6">
        <f t="shared" si="69"/>
        <v>7</v>
      </c>
      <c r="E126" s="6" t="str">
        <f t="shared" si="70"/>
        <v>9611201.png</v>
      </c>
      <c r="F126" s="51">
        <f t="shared" si="58"/>
        <v>0</v>
      </c>
      <c r="G126" s="76" t="str">
        <f t="shared" si="43"/>
        <v>无属性</v>
      </c>
      <c r="H126" s="51">
        <f t="shared" si="44"/>
        <v>0</v>
      </c>
      <c r="I126" s="76">
        <f t="shared" si="45"/>
        <v>0</v>
      </c>
      <c r="J126" s="77">
        <f t="shared" si="46"/>
        <v>18</v>
      </c>
      <c r="K126" s="63">
        <f t="shared" si="61"/>
        <v>0</v>
      </c>
      <c r="L126" s="53">
        <f t="shared" si="62"/>
        <v>0</v>
      </c>
      <c r="M126" s="29">
        <f t="shared" si="63"/>
        <v>0</v>
      </c>
      <c r="N126" s="75">
        <v>0</v>
      </c>
      <c r="O126" s="82" t="str">
        <f>VLOOKUP(INT(A126/100)*100+1,CHOOSE({1,2},D_马仔表!$J$2:$J$20,D_马仔表!$B$2:$B$20),2,FALSE)</f>
        <v>赌王</v>
      </c>
      <c r="P126" s="81">
        <f>VLOOKUP(O126,D_马仔表!$B$2:$W$20,3,FALSE)</f>
        <v>2</v>
      </c>
      <c r="Q126" s="39">
        <f>IFERROR(VLOOKUP(R126,CHOOSE({1,2},技能辅助表!$B$3:$B$83,技能辅助表!$A$3:$A$82),2,FALSE),0)</f>
        <v>72</v>
      </c>
      <c r="R126" s="39">
        <f t="shared" si="66"/>
        <v>9</v>
      </c>
      <c r="S126" s="29" t="str">
        <f t="shared" si="59"/>
        <v>召唤出场时，主角所有技能立刻全部CD完毕。</v>
      </c>
      <c r="T126" s="115" t="str">
        <f t="shared" si="60"/>
        <v>召唤出场时，主角所有技能立刻全部CD完毕。</v>
      </c>
    </row>
    <row r="127" spans="1:20" ht="14.45" customHeight="1">
      <c r="A127" s="41">
        <f t="shared" si="67"/>
        <v>9612207</v>
      </c>
      <c r="B127" s="29" t="str">
        <f t="shared" si="68"/>
        <v>明镜止水</v>
      </c>
      <c r="C127" s="75" t="str">
        <f t="shared" si="52"/>
        <v>召唤出场时，减少场上所有敌人攻击力11.42%，持续20秒。</v>
      </c>
      <c r="D127" s="6">
        <f t="shared" si="69"/>
        <v>7</v>
      </c>
      <c r="E127" s="6" t="str">
        <f t="shared" si="70"/>
        <v>9612201.png</v>
      </c>
      <c r="F127" s="51">
        <f t="shared" si="58"/>
        <v>0</v>
      </c>
      <c r="G127" s="76" t="str">
        <f t="shared" si="43"/>
        <v>无属性</v>
      </c>
      <c r="H127" s="51">
        <f t="shared" si="44"/>
        <v>0</v>
      </c>
      <c r="I127" s="76">
        <f t="shared" si="45"/>
        <v>0</v>
      </c>
      <c r="J127" s="77">
        <f t="shared" si="46"/>
        <v>15</v>
      </c>
      <c r="K127" s="63">
        <f t="shared" si="61"/>
        <v>0.1142857142857143</v>
      </c>
      <c r="L127" s="53">
        <f t="shared" si="62"/>
        <v>20</v>
      </c>
      <c r="M127" s="29">
        <f t="shared" si="63"/>
        <v>1</v>
      </c>
      <c r="N127" s="75">
        <v>0</v>
      </c>
      <c r="O127" s="82" t="str">
        <f>VLOOKUP(INT(A127/100)*100+1,CHOOSE({1,2},D_马仔表!$J$2:$J$20,D_马仔表!$B$2:$B$20),2,FALSE)</f>
        <v>山下忠秀</v>
      </c>
      <c r="P127" s="81">
        <f>VLOOKUP(O127,D_马仔表!$B$2:$W$20,3,FALSE)</f>
        <v>2</v>
      </c>
      <c r="Q127" s="39">
        <f>IFERROR(VLOOKUP(R127,CHOOSE({1,2},技能辅助表!$B$3:$B$83,技能辅助表!$A$3:$A$82),2,FALSE),0)</f>
        <v>72</v>
      </c>
      <c r="R127" s="39">
        <f t="shared" si="66"/>
        <v>9</v>
      </c>
      <c r="S127" s="29" t="str">
        <f t="shared" si="59"/>
        <v>召唤出场时，减少场上所有敌人攻击力X%，持续Y秒。</v>
      </c>
      <c r="T127" s="115" t="str">
        <f t="shared" si="60"/>
        <v>召唤出场时，减少场上所有敌人攻击力11.42%，持续Y秒。</v>
      </c>
    </row>
    <row r="128" spans="1:20" ht="14.45" customHeight="1">
      <c r="A128" s="41">
        <f t="shared" si="67"/>
        <v>9613207</v>
      </c>
      <c r="B128" s="29" t="str">
        <f t="shared" si="68"/>
        <v>阳炎</v>
      </c>
      <c r="C128" s="75" t="str">
        <f t="shared" si="52"/>
        <v>召唤出场时，减少场上所有敌人防御力11.42%，持续20秒。</v>
      </c>
      <c r="D128" s="6">
        <f t="shared" si="69"/>
        <v>7</v>
      </c>
      <c r="E128" s="6" t="str">
        <f t="shared" si="70"/>
        <v>9613201.png</v>
      </c>
      <c r="F128" s="51">
        <f t="shared" si="58"/>
        <v>0</v>
      </c>
      <c r="G128" s="76" t="str">
        <f t="shared" si="43"/>
        <v>无属性</v>
      </c>
      <c r="H128" s="51">
        <f t="shared" si="44"/>
        <v>0</v>
      </c>
      <c r="I128" s="76">
        <f t="shared" si="45"/>
        <v>0</v>
      </c>
      <c r="J128" s="77">
        <f t="shared" si="46"/>
        <v>16</v>
      </c>
      <c r="K128" s="63">
        <f t="shared" si="61"/>
        <v>0.1142857142857143</v>
      </c>
      <c r="L128" s="53">
        <f t="shared" si="62"/>
        <v>20</v>
      </c>
      <c r="M128" s="29">
        <f t="shared" si="63"/>
        <v>1</v>
      </c>
      <c r="N128" s="75">
        <v>0</v>
      </c>
      <c r="O128" s="82" t="str">
        <f>VLOOKUP(INT(A128/100)*100+1,CHOOSE({1,2},D_马仔表!$J$2:$J$20,D_马仔表!$B$2:$B$20),2,FALSE)</f>
        <v>宫本一</v>
      </c>
      <c r="P128" s="81">
        <f>VLOOKUP(O128,D_马仔表!$B$2:$W$20,3,FALSE)</f>
        <v>2</v>
      </c>
      <c r="Q128" s="39">
        <f>IFERROR(VLOOKUP(R128,CHOOSE({1,2},技能辅助表!$B$3:$B$83,技能辅助表!$A$3:$A$82),2,FALSE),0)</f>
        <v>72</v>
      </c>
      <c r="R128" s="39">
        <f t="shared" si="66"/>
        <v>9</v>
      </c>
      <c r="S128" s="29" t="str">
        <f t="shared" si="59"/>
        <v>召唤出场时，减少场上所有敌人防御力X%，持续Y秒。</v>
      </c>
      <c r="T128" s="115" t="str">
        <f t="shared" si="60"/>
        <v>召唤出场时，减少场上所有敌人防御力11.42%，持续Y秒。</v>
      </c>
    </row>
    <row r="129" spans="1:20" ht="14.45" customHeight="1">
      <c r="A129" s="41">
        <f t="shared" si="67"/>
        <v>9614207</v>
      </c>
      <c r="B129" s="29" t="str">
        <f t="shared" si="68"/>
        <v>霸气纵横</v>
      </c>
      <c r="C129" s="75" t="str">
        <f t="shared" si="52"/>
        <v>召唤出场时，主角进入无敌状态，持续10秒。</v>
      </c>
      <c r="D129" s="6">
        <f t="shared" si="69"/>
        <v>7</v>
      </c>
      <c r="E129" s="6" t="str">
        <f t="shared" si="70"/>
        <v>9614201.png</v>
      </c>
      <c r="F129" s="51">
        <f t="shared" si="58"/>
        <v>0</v>
      </c>
      <c r="G129" s="76" t="str">
        <f t="shared" si="43"/>
        <v>无属性</v>
      </c>
      <c r="H129" s="51">
        <f t="shared" si="44"/>
        <v>0</v>
      </c>
      <c r="I129" s="76">
        <f t="shared" si="45"/>
        <v>0</v>
      </c>
      <c r="J129" s="77">
        <f t="shared" si="46"/>
        <v>1</v>
      </c>
      <c r="K129" s="63">
        <f t="shared" si="61"/>
        <v>0</v>
      </c>
      <c r="L129" s="53">
        <f t="shared" si="62"/>
        <v>10</v>
      </c>
      <c r="M129" s="29">
        <f t="shared" si="63"/>
        <v>0</v>
      </c>
      <c r="N129" s="75">
        <v>0</v>
      </c>
      <c r="O129" s="82" t="str">
        <f>VLOOKUP(INT(A129/100)*100+1,CHOOSE({1,2},D_马仔表!$J$2:$J$20,D_马仔表!$B$2:$B$20),2,FALSE)</f>
        <v>陈浩南</v>
      </c>
      <c r="P129" s="81">
        <f>VLOOKUP(O129,D_马仔表!$B$2:$W$20,3,FALSE)</f>
        <v>3</v>
      </c>
      <c r="Q129" s="39">
        <f>IFERROR(VLOOKUP(R129,CHOOSE({1,2},技能辅助表!$B$3:$B$83,技能辅助表!$A$3:$A$82),2,FALSE),0)</f>
        <v>72</v>
      </c>
      <c r="R129" s="39">
        <f t="shared" si="66"/>
        <v>9</v>
      </c>
      <c r="S129" s="29" t="str">
        <f t="shared" si="59"/>
        <v>召唤出场时，主角进入无敌状态，持续Y秒。</v>
      </c>
      <c r="T129" s="115" t="str">
        <f t="shared" si="60"/>
        <v>召唤出场时，主角进入无敌状态，持续Y秒。</v>
      </c>
    </row>
    <row r="130" spans="1:20" ht="14.45" customHeight="1">
      <c r="A130" s="41">
        <f t="shared" si="67"/>
        <v>9615207</v>
      </c>
      <c r="B130" s="29" t="str">
        <f t="shared" si="68"/>
        <v>猛虎出山</v>
      </c>
      <c r="C130" s="75" t="str">
        <f t="shared" si="52"/>
        <v>召唤出场时，主角进入霸体状态，持续25秒。</v>
      </c>
      <c r="D130" s="6">
        <f t="shared" si="69"/>
        <v>7</v>
      </c>
      <c r="E130" s="6" t="str">
        <f t="shared" si="70"/>
        <v>9615201.png</v>
      </c>
      <c r="F130" s="51">
        <f t="shared" ref="F130:F153" si="71">VLOOKUP(G130,$X$54:$Y$70,2,FALSE)</f>
        <v>0</v>
      </c>
      <c r="G130" s="76" t="str">
        <f t="shared" si="43"/>
        <v>无属性</v>
      </c>
      <c r="H130" s="51">
        <f t="shared" si="44"/>
        <v>0</v>
      </c>
      <c r="I130" s="76">
        <f t="shared" si="45"/>
        <v>0</v>
      </c>
      <c r="J130" s="77">
        <f t="shared" si="46"/>
        <v>2</v>
      </c>
      <c r="K130" s="63">
        <f t="shared" si="61"/>
        <v>80</v>
      </c>
      <c r="L130" s="53">
        <f t="shared" si="62"/>
        <v>25</v>
      </c>
      <c r="M130" s="29">
        <f t="shared" si="63"/>
        <v>0</v>
      </c>
      <c r="N130" s="75">
        <v>0</v>
      </c>
      <c r="O130" s="82" t="str">
        <f>VLOOKUP(INT(A130/100)*100+1,CHOOSE({1,2},D_马仔表!$J$2:$J$20,D_马仔表!$B$2:$B$20),2,FALSE)</f>
        <v>山鸡</v>
      </c>
      <c r="P130" s="81">
        <f>VLOOKUP(O130,D_马仔表!$B$2:$W$20,3,FALSE)</f>
        <v>3</v>
      </c>
      <c r="Q130" s="39">
        <f>IFERROR(VLOOKUP(R130,CHOOSE({1,2},技能辅助表!$B$3:$B$83,技能辅助表!$A$3:$A$82),2,FALSE),0)</f>
        <v>72</v>
      </c>
      <c r="R130" s="39">
        <f t="shared" si="66"/>
        <v>9</v>
      </c>
      <c r="S130" s="29" t="str">
        <f t="shared" ref="S130:S153" si="72">VLOOKUP(J130,$W$8:$AG$27,3,FALSE)</f>
        <v>召唤出场时，主角进入霸体状态，持续Y秒。</v>
      </c>
      <c r="T130" s="115" t="str">
        <f t="shared" ref="T130:T153" si="73">IFERROR(REPLACE(S130,FIND("X",S130),LEN("X"),IF(M130=1,ROUNDDOWN(K130/VLOOKUP(J130,$W$8:$AH$27,$AH$6,FALSE)*100,2),ROUNDUP(K130/VLOOKUP(J130,$W$8:$AH$27,$AH$6,FALSE),2))),S130)</f>
        <v>召唤出场时，主角进入霸体状态，持续Y秒。</v>
      </c>
    </row>
    <row r="131" spans="1:20" ht="14.45" customHeight="1">
      <c r="A131" s="41">
        <f t="shared" si="67"/>
        <v>9616207</v>
      </c>
      <c r="B131" s="29" t="str">
        <f t="shared" si="68"/>
        <v>武魂</v>
      </c>
      <c r="C131" s="75" t="str">
        <f t="shared" si="52"/>
        <v>召唤出场时，主角体型变大，移动速度、攻击力、防御力增加11.42%,持续20秒。</v>
      </c>
      <c r="D131" s="6">
        <f t="shared" si="69"/>
        <v>7</v>
      </c>
      <c r="E131" s="6" t="str">
        <f t="shared" si="70"/>
        <v>9616201.png</v>
      </c>
      <c r="F131" s="51">
        <f t="shared" si="71"/>
        <v>0</v>
      </c>
      <c r="G131" s="76" t="str">
        <f t="shared" ref="G131:G153" si="74">VLOOKUP(O131,$W$32:$Z$50,4,FALSE)</f>
        <v>无属性</v>
      </c>
      <c r="H131" s="51">
        <f t="shared" ref="H131:H153" si="75">VLOOKUP(O131,$W$32:$AC$50,5,FALSE)*D131</f>
        <v>0</v>
      </c>
      <c r="I131" s="76">
        <f t="shared" ref="I131:I153" si="76">IF(VLOOKUP(O131,$W$32:$AF$50,$AC$30,FALSE)=0,H131,H131/VLOOKUP(O131,$W$32:$AF$50,$AD$30,FALSE))</f>
        <v>0</v>
      </c>
      <c r="J131" s="77">
        <f t="shared" ref="J131:J153" si="77">VLOOKUP(O131,$W$32:$Y$50,3,FALSE)</f>
        <v>19</v>
      </c>
      <c r="K131" s="63">
        <f t="shared" si="61"/>
        <v>0.1142857142857143</v>
      </c>
      <c r="L131" s="53">
        <f t="shared" si="62"/>
        <v>20</v>
      </c>
      <c r="M131" s="29">
        <f t="shared" si="63"/>
        <v>1</v>
      </c>
      <c r="N131" s="75">
        <v>0</v>
      </c>
      <c r="O131" s="82" t="str">
        <f>VLOOKUP(INT(A131/100)*100+1,CHOOSE({1,2},D_马仔表!$J$2:$J$20,D_马仔表!$B$2:$B$20),2,FALSE)</f>
        <v>大天二</v>
      </c>
      <c r="P131" s="81">
        <f>VLOOKUP(O131,D_马仔表!$B$2:$W$20,3,FALSE)</f>
        <v>3</v>
      </c>
      <c r="Q131" s="39">
        <f>IFERROR(VLOOKUP(R131,CHOOSE({1,2},技能辅助表!$B$3:$B$83,技能辅助表!$A$3:$A$82),2,FALSE),0)</f>
        <v>72</v>
      </c>
      <c r="R131" s="39">
        <f t="shared" si="66"/>
        <v>9</v>
      </c>
      <c r="S131" s="29" t="str">
        <f t="shared" si="72"/>
        <v>召唤出场时，主角体型变大，移动速度、攻击力、防御力增加X%,持续Y秒。</v>
      </c>
      <c r="T131" s="115" t="str">
        <f t="shared" si="73"/>
        <v>召唤出场时，主角体型变大，移动速度、攻击力、防御力增加11.42%,持续Y秒。</v>
      </c>
    </row>
    <row r="132" spans="1:20" ht="14.45" customHeight="1">
      <c r="A132" s="113">
        <f t="shared" si="67"/>
        <v>9617207</v>
      </c>
      <c r="B132" s="29" t="str">
        <f t="shared" si="68"/>
        <v>净化</v>
      </c>
      <c r="C132" s="75" t="str">
        <f t="shared" si="52"/>
        <v>召唤出场时，场上所有敌人的BUFF会被全部清除。</v>
      </c>
      <c r="D132" s="6">
        <f t="shared" si="69"/>
        <v>7</v>
      </c>
      <c r="E132" s="6" t="str">
        <f t="shared" si="70"/>
        <v>9601201.png</v>
      </c>
      <c r="F132" s="51">
        <f t="shared" si="71"/>
        <v>0</v>
      </c>
      <c r="G132" s="76" t="str">
        <f t="shared" si="74"/>
        <v>无属性</v>
      </c>
      <c r="H132" s="51">
        <f t="shared" si="75"/>
        <v>0</v>
      </c>
      <c r="I132" s="76">
        <f t="shared" si="76"/>
        <v>0</v>
      </c>
      <c r="J132" s="77">
        <f t="shared" si="77"/>
        <v>14</v>
      </c>
      <c r="K132" s="63">
        <f t="shared" si="61"/>
        <v>0</v>
      </c>
      <c r="L132" s="53">
        <f t="shared" si="62"/>
        <v>0</v>
      </c>
      <c r="M132" s="29">
        <f t="shared" si="63"/>
        <v>0</v>
      </c>
      <c r="N132" s="75">
        <v>0</v>
      </c>
      <c r="O132" s="82" t="str">
        <f>VLOOKUP(INT(A132/100)*100+1,CHOOSE({1,2},D_马仔表!$J$2:$J$20,D_马仔表!$B$2:$B$20),2,FALSE)</f>
        <v>巴闭</v>
      </c>
      <c r="P132" s="81">
        <f>VLOOKUP(O132,D_马仔表!$B$2:$W$20,3,FALSE)</f>
        <v>1</v>
      </c>
      <c r="Q132" s="39">
        <f>IFERROR(VLOOKUP(R132,CHOOSE({1,2},技能辅助表!$B$3:$B$83,技能辅助表!$A$3:$A$82),2,FALSE),0)</f>
        <v>72</v>
      </c>
      <c r="R132" s="39">
        <f t="shared" si="66"/>
        <v>9</v>
      </c>
      <c r="S132" s="29" t="str">
        <f t="shared" si="72"/>
        <v>召唤出场时，场上所有敌人的BUFF会被全部清除。</v>
      </c>
      <c r="T132" s="115" t="str">
        <f t="shared" si="73"/>
        <v>召唤出场时，场上所有敌人的BUFF会被全部清除。</v>
      </c>
    </row>
    <row r="133" spans="1:20" ht="14.45" customHeight="1">
      <c r="A133" s="113">
        <f t="shared" si="67"/>
        <v>9618207</v>
      </c>
      <c r="B133" s="29" t="str">
        <f t="shared" si="68"/>
        <v>震慑</v>
      </c>
      <c r="C133" s="75" t="str">
        <f t="shared" si="52"/>
        <v>召唤出场时，场上所有敌人，体型变小，移动速度，攻击力，防御力降低11.42%，持续20秒。</v>
      </c>
      <c r="D133" s="6">
        <f t="shared" si="69"/>
        <v>7</v>
      </c>
      <c r="E133" s="6" t="str">
        <f t="shared" si="70"/>
        <v>9612201.png</v>
      </c>
      <c r="F133" s="51">
        <f t="shared" si="71"/>
        <v>0</v>
      </c>
      <c r="G133" s="76" t="str">
        <f t="shared" si="74"/>
        <v>无属性</v>
      </c>
      <c r="H133" s="51">
        <f t="shared" si="75"/>
        <v>0</v>
      </c>
      <c r="I133" s="76">
        <f t="shared" si="76"/>
        <v>0</v>
      </c>
      <c r="J133" s="77">
        <f t="shared" si="77"/>
        <v>20</v>
      </c>
      <c r="K133" s="63">
        <f t="shared" ref="K133:K153" si="78">VLOOKUP(J133,$W$8:$AG$27,$AA$6,FALSE)+VLOOKUP(J133,$W$8:$AG$27,$AC$6,FALSE)*D133</f>
        <v>0.1142857142857143</v>
      </c>
      <c r="L133" s="53">
        <f t="shared" ref="L133:L153" si="79">VLOOKUP(J133,$W$8:$AG$27,$AD$6,FALSE)+VLOOKUP(J133,$W$8:$AG$27,$AF$6,FALSE)*D133</f>
        <v>20</v>
      </c>
      <c r="M133" s="29">
        <f t="shared" ref="M133:M153" si="80">VLOOKUP(J133,$W$8:$AG$27,$Z$6,FALSE)</f>
        <v>1</v>
      </c>
      <c r="N133" s="75">
        <v>0</v>
      </c>
      <c r="O133" s="82" t="str">
        <f>VLOOKUP(INT(A133/100)*100+1,CHOOSE({1,2},D_马仔表!$J$2:$J$20,D_马仔表!$B$2:$B$20),2,FALSE)</f>
        <v>耀阳</v>
      </c>
      <c r="P133" s="81">
        <f>VLOOKUP(O133,D_马仔表!$B$2:$W$20,3,FALSE)</f>
        <v>2</v>
      </c>
      <c r="Q133" s="39">
        <f>IFERROR(VLOOKUP(R133,CHOOSE({1,2},技能辅助表!$B$3:$B$83,技能辅助表!$A$3:$A$82),2,FALSE),0)</f>
        <v>72</v>
      </c>
      <c r="R133" s="39">
        <f t="shared" si="66"/>
        <v>9</v>
      </c>
      <c r="S133" s="29" t="str">
        <f t="shared" si="72"/>
        <v>召唤出场时，场上所有敌人，体型变小，移动速度，攻击力，防御力降低X%，持续Y秒。</v>
      </c>
      <c r="T133" s="115" t="str">
        <f t="shared" si="73"/>
        <v>召唤出场时，场上所有敌人，体型变小，移动速度，攻击力，防御力降低11.42%，持续Y秒。</v>
      </c>
    </row>
    <row r="134" spans="1:20" ht="14.45" customHeight="1">
      <c r="A134" s="113">
        <f t="shared" si="67"/>
        <v>9619207</v>
      </c>
      <c r="B134" s="29" t="str">
        <f t="shared" si="68"/>
        <v>暴怒</v>
      </c>
      <c r="C134" s="75" t="str">
        <f t="shared" si="52"/>
        <v>召唤出场时，为主角增加暴击倍数57.14%，持续20秒。</v>
      </c>
      <c r="D134" s="6">
        <f t="shared" si="69"/>
        <v>7</v>
      </c>
      <c r="E134" s="6" t="str">
        <f t="shared" si="70"/>
        <v>9604201.png</v>
      </c>
      <c r="F134" s="51">
        <f t="shared" si="71"/>
        <v>0</v>
      </c>
      <c r="G134" s="76" t="str">
        <f t="shared" si="74"/>
        <v>无属性</v>
      </c>
      <c r="H134" s="51">
        <f t="shared" si="75"/>
        <v>0</v>
      </c>
      <c r="I134" s="76">
        <f t="shared" si="76"/>
        <v>0</v>
      </c>
      <c r="J134" s="77">
        <f t="shared" si="77"/>
        <v>7</v>
      </c>
      <c r="K134" s="63">
        <f t="shared" si="78"/>
        <v>28571.428571428572</v>
      </c>
      <c r="L134" s="53">
        <f t="shared" si="79"/>
        <v>20</v>
      </c>
      <c r="M134" s="29">
        <f t="shared" si="80"/>
        <v>1</v>
      </c>
      <c r="N134" s="75">
        <v>0</v>
      </c>
      <c r="O134" s="82" t="str">
        <f>VLOOKUP(INT(A134/100)*100+1,CHOOSE({1,2},D_马仔表!$J$2:$J$20,D_马仔表!$B$2:$B$20),2,FALSE)</f>
        <v>笑面虎</v>
      </c>
      <c r="P134" s="81">
        <f>VLOOKUP(O134,D_马仔表!$B$2:$W$20,3,FALSE)</f>
        <v>2</v>
      </c>
      <c r="Q134" s="39">
        <f>IFERROR(VLOOKUP(R134,CHOOSE({1,2},技能辅助表!$B$3:$B$83,技能辅助表!$A$3:$A$82),2,FALSE),0)</f>
        <v>72</v>
      </c>
      <c r="R134" s="39">
        <f t="shared" si="66"/>
        <v>9</v>
      </c>
      <c r="S134" s="29" t="str">
        <f t="shared" si="72"/>
        <v>召唤出场时，为主角增加暴击倍数X%，持续Y秒。</v>
      </c>
      <c r="T134" s="115" t="str">
        <f t="shared" si="73"/>
        <v>召唤出场时，为主角增加暴击倍数57.14%，持续Y秒。</v>
      </c>
    </row>
    <row r="135" spans="1:20" ht="14.45" customHeight="1">
      <c r="A135" s="41">
        <f t="shared" si="67"/>
        <v>9601208</v>
      </c>
      <c r="B135" s="29" t="str">
        <f t="shared" si="68"/>
        <v>急救</v>
      </c>
      <c r="C135" s="75" t="str">
        <f t="shared" si="52"/>
        <v>召唤出场时，为主角回复38.57%最大生命值。</v>
      </c>
      <c r="D135" s="6">
        <f t="shared" si="69"/>
        <v>8</v>
      </c>
      <c r="E135" s="6" t="str">
        <f t="shared" si="70"/>
        <v>9601201.png</v>
      </c>
      <c r="F135" s="51">
        <f t="shared" si="71"/>
        <v>0</v>
      </c>
      <c r="G135" s="76" t="str">
        <f t="shared" si="74"/>
        <v>无属性</v>
      </c>
      <c r="H135" s="51">
        <f t="shared" si="75"/>
        <v>0</v>
      </c>
      <c r="I135" s="76">
        <f t="shared" si="76"/>
        <v>0</v>
      </c>
      <c r="J135" s="77">
        <f t="shared" si="77"/>
        <v>3</v>
      </c>
      <c r="K135" s="63">
        <f t="shared" si="78"/>
        <v>0.38571428571428573</v>
      </c>
      <c r="L135" s="53">
        <f t="shared" si="79"/>
        <v>0</v>
      </c>
      <c r="M135" s="29">
        <f t="shared" si="80"/>
        <v>1</v>
      </c>
      <c r="N135" s="75">
        <v>0</v>
      </c>
      <c r="O135" s="82" t="str">
        <f>VLOOKUP(INT(A135/100)*100+1,CHOOSE({1,2},D_马仔表!$J$2:$J$20,D_马仔表!$B$2:$B$20),2,FALSE)</f>
        <v>制服太妹</v>
      </c>
      <c r="P135" s="81">
        <f>VLOOKUP(O135,D_马仔表!$B$2:$W$20,3,FALSE)</f>
        <v>0</v>
      </c>
      <c r="Q135" s="39">
        <f>IFERROR(VLOOKUP(R135,CHOOSE({1,2},技能辅助表!$B$3:$B$83,技能辅助表!$A$3:$A$82),2,FALSE),0)</f>
        <v>80</v>
      </c>
      <c r="R135" s="39">
        <f t="shared" si="66"/>
        <v>10</v>
      </c>
      <c r="S135" s="29" t="str">
        <f t="shared" si="72"/>
        <v>召唤出场时，为主角回复X%最大生命值。</v>
      </c>
      <c r="T135" s="115" t="str">
        <f t="shared" si="73"/>
        <v>召唤出场时，为主角回复38.57%最大生命值。</v>
      </c>
    </row>
    <row r="136" spans="1:20" ht="14.45" customHeight="1">
      <c r="A136" s="41">
        <f t="shared" si="67"/>
        <v>9602208</v>
      </c>
      <c r="B136" s="29" t="str">
        <f t="shared" si="68"/>
        <v>鼓舞</v>
      </c>
      <c r="C136" s="75" t="str">
        <f t="shared" si="52"/>
        <v>召唤出场时，为主角增加生命最大值12857.15，持续20.72秒。</v>
      </c>
      <c r="D136" s="6">
        <f t="shared" si="69"/>
        <v>8</v>
      </c>
      <c r="E136" s="6" t="str">
        <f t="shared" si="70"/>
        <v>9602201.png</v>
      </c>
      <c r="F136" s="51">
        <f t="shared" si="71"/>
        <v>0</v>
      </c>
      <c r="G136" s="76" t="str">
        <f t="shared" si="74"/>
        <v>无属性</v>
      </c>
      <c r="H136" s="51">
        <f t="shared" si="75"/>
        <v>0</v>
      </c>
      <c r="I136" s="76">
        <f t="shared" si="76"/>
        <v>0</v>
      </c>
      <c r="J136" s="77">
        <f t="shared" si="77"/>
        <v>9</v>
      </c>
      <c r="K136" s="63">
        <f t="shared" si="78"/>
        <v>12857.142857142859</v>
      </c>
      <c r="L136" s="53">
        <f t="shared" si="79"/>
        <v>20.714285714285715</v>
      </c>
      <c r="M136" s="29">
        <f t="shared" si="80"/>
        <v>0</v>
      </c>
      <c r="N136" s="75">
        <v>0</v>
      </c>
      <c r="O136" s="82" t="str">
        <f>VLOOKUP(INT(A136/100)*100+1,CHOOSE({1,2},D_马仔表!$J$2:$J$20,D_马仔表!$B$2:$B$20),2,FALSE)</f>
        <v>蟹仔</v>
      </c>
      <c r="P136" s="81">
        <f>VLOOKUP(O136,D_马仔表!$B$2:$W$20,3,FALSE)</f>
        <v>0</v>
      </c>
      <c r="Q136" s="39">
        <f>IFERROR(VLOOKUP(R136,CHOOSE({1,2},技能辅助表!$B$3:$B$83,技能辅助表!$A$3:$A$82),2,FALSE),0)</f>
        <v>80</v>
      </c>
      <c r="R136" s="39">
        <f t="shared" si="66"/>
        <v>10</v>
      </c>
      <c r="S136" s="29" t="str">
        <f t="shared" si="72"/>
        <v>召唤出场时，为主角增加生命最大值X，持续Y秒。</v>
      </c>
      <c r="T136" s="115" t="str">
        <f t="shared" si="73"/>
        <v>召唤出场时，为主角增加生命最大值12857.15，持续Y秒。</v>
      </c>
    </row>
    <row r="137" spans="1:20" ht="14.45" customHeight="1">
      <c r="A137" s="41">
        <f t="shared" si="67"/>
        <v>9603208</v>
      </c>
      <c r="B137" s="29" t="str">
        <f t="shared" si="68"/>
        <v>激励</v>
      </c>
      <c r="C137" s="75" t="str">
        <f t="shared" si="52"/>
        <v>召唤出场时，为主角增加攻击力1671.43，持续20.72秒。</v>
      </c>
      <c r="D137" s="6">
        <f t="shared" si="69"/>
        <v>8</v>
      </c>
      <c r="E137" s="6" t="str">
        <f t="shared" si="70"/>
        <v>9603201.png</v>
      </c>
      <c r="F137" s="51">
        <f t="shared" si="71"/>
        <v>0</v>
      </c>
      <c r="G137" s="76" t="str">
        <f t="shared" si="74"/>
        <v>无属性</v>
      </c>
      <c r="H137" s="51">
        <f t="shared" si="75"/>
        <v>0</v>
      </c>
      <c r="I137" s="76">
        <f t="shared" si="76"/>
        <v>0</v>
      </c>
      <c r="J137" s="77">
        <f t="shared" si="77"/>
        <v>10</v>
      </c>
      <c r="K137" s="63">
        <f t="shared" si="78"/>
        <v>1671.4285714285716</v>
      </c>
      <c r="L137" s="53">
        <f t="shared" si="79"/>
        <v>20.714285714285715</v>
      </c>
      <c r="M137" s="29">
        <f t="shared" si="80"/>
        <v>0</v>
      </c>
      <c r="N137" s="75">
        <v>0</v>
      </c>
      <c r="O137" s="82" t="str">
        <f>VLOOKUP(INT(A137/100)*100+1,CHOOSE({1,2},D_马仔表!$J$2:$J$20,D_马仔表!$B$2:$B$20),2,FALSE)</f>
        <v>比利</v>
      </c>
      <c r="P137" s="81">
        <f>VLOOKUP(O137,D_马仔表!$B$2:$W$20,3,FALSE)</f>
        <v>0</v>
      </c>
      <c r="Q137" s="39">
        <f>IFERROR(VLOOKUP(R137,CHOOSE({1,2},技能辅助表!$B$3:$B$83,技能辅助表!$A$3:$A$82),2,FALSE),0)</f>
        <v>80</v>
      </c>
      <c r="R137" s="39">
        <f t="shared" si="66"/>
        <v>10</v>
      </c>
      <c r="S137" s="29" t="str">
        <f t="shared" si="72"/>
        <v>召唤出场时，为主角增加攻击力X，持续Y秒。</v>
      </c>
      <c r="T137" s="115" t="str">
        <f t="shared" si="73"/>
        <v>召唤出场时，为主角增加攻击力1671.43，持续Y秒。</v>
      </c>
    </row>
    <row r="138" spans="1:20" ht="14.45" customHeight="1">
      <c r="A138" s="41">
        <f t="shared" si="67"/>
        <v>9604208</v>
      </c>
      <c r="B138" s="29" t="str">
        <f t="shared" si="68"/>
        <v>鞭策</v>
      </c>
      <c r="C138" s="75" t="str">
        <f t="shared" si="52"/>
        <v>召唤出场时，为主角增加暴击值0.2，持续20.72秒。</v>
      </c>
      <c r="D138" s="6">
        <f t="shared" si="69"/>
        <v>8</v>
      </c>
      <c r="E138" s="6" t="str">
        <f t="shared" si="70"/>
        <v>9604201.png</v>
      </c>
      <c r="F138" s="51">
        <f t="shared" si="71"/>
        <v>0</v>
      </c>
      <c r="G138" s="76" t="str">
        <f t="shared" si="74"/>
        <v>无属性</v>
      </c>
      <c r="H138" s="51">
        <f t="shared" si="75"/>
        <v>0</v>
      </c>
      <c r="I138" s="76">
        <f t="shared" si="76"/>
        <v>0</v>
      </c>
      <c r="J138" s="77">
        <f t="shared" si="77"/>
        <v>8</v>
      </c>
      <c r="K138" s="63">
        <f t="shared" si="78"/>
        <v>32142.857142857149</v>
      </c>
      <c r="L138" s="53">
        <f t="shared" si="79"/>
        <v>20.714285714285715</v>
      </c>
      <c r="M138" s="29">
        <f t="shared" si="80"/>
        <v>0</v>
      </c>
      <c r="N138" s="75">
        <v>0</v>
      </c>
      <c r="O138" s="82" t="str">
        <f>VLOOKUP(INT(A138/100)*100+1,CHOOSE({1,2},D_马仔表!$J$2:$J$20,D_马仔表!$B$2:$B$20),2,FALSE)</f>
        <v>黎九</v>
      </c>
      <c r="P138" s="81">
        <f>VLOOKUP(O138,D_马仔表!$B$2:$W$20,3,FALSE)</f>
        <v>0</v>
      </c>
      <c r="Q138" s="39">
        <f>IFERROR(VLOOKUP(R138,CHOOSE({1,2},技能辅助表!$B$3:$B$83,技能辅助表!$A$3:$A$82),2,FALSE),0)</f>
        <v>80</v>
      </c>
      <c r="R138" s="39">
        <f t="shared" si="66"/>
        <v>10</v>
      </c>
      <c r="S138" s="29" t="str">
        <f t="shared" si="72"/>
        <v>召唤出场时，为主角增加暴击值X，持续Y秒。</v>
      </c>
      <c r="T138" s="115" t="str">
        <f t="shared" si="73"/>
        <v>召唤出场时，为主角增加暴击值0.2，持续Y秒。</v>
      </c>
    </row>
    <row r="139" spans="1:20" ht="14.45" customHeight="1">
      <c r="A139" s="41">
        <f t="shared" si="67"/>
        <v>9605208</v>
      </c>
      <c r="B139" s="29" t="str">
        <f t="shared" si="68"/>
        <v>守护</v>
      </c>
      <c r="C139" s="75" t="str">
        <f t="shared" si="52"/>
        <v>召唤出场时，为主角增加防御力1028.58，持续20.72秒。</v>
      </c>
      <c r="D139" s="6">
        <f t="shared" si="69"/>
        <v>8</v>
      </c>
      <c r="E139" s="6" t="str">
        <f t="shared" si="70"/>
        <v>9605201.png</v>
      </c>
      <c r="F139" s="51">
        <f t="shared" si="71"/>
        <v>0</v>
      </c>
      <c r="G139" s="76" t="str">
        <f t="shared" si="74"/>
        <v>无属性</v>
      </c>
      <c r="H139" s="51">
        <f t="shared" si="75"/>
        <v>0</v>
      </c>
      <c r="I139" s="76">
        <f t="shared" si="76"/>
        <v>0</v>
      </c>
      <c r="J139" s="77">
        <f t="shared" si="77"/>
        <v>11</v>
      </c>
      <c r="K139" s="63">
        <f t="shared" si="78"/>
        <v>1028.5714285714287</v>
      </c>
      <c r="L139" s="53">
        <f t="shared" si="79"/>
        <v>20.714285714285715</v>
      </c>
      <c r="M139" s="29">
        <f t="shared" si="80"/>
        <v>0</v>
      </c>
      <c r="N139" s="75">
        <v>0</v>
      </c>
      <c r="O139" s="82" t="str">
        <f>VLOOKUP(INT(A139/100)*100+1,CHOOSE({1,2},D_马仔表!$J$2:$J$20,D_马仔表!$B$2:$B$20),2,FALSE)</f>
        <v>黑古</v>
      </c>
      <c r="P139" s="81">
        <f>VLOOKUP(O139,D_马仔表!$B$2:$W$20,3,FALSE)</f>
        <v>0</v>
      </c>
      <c r="Q139" s="39">
        <f>IFERROR(VLOOKUP(R139,CHOOSE({1,2},技能辅助表!$B$3:$B$83,技能辅助表!$A$3:$A$82),2,FALSE),0)</f>
        <v>80</v>
      </c>
      <c r="R139" s="39">
        <f t="shared" si="66"/>
        <v>10</v>
      </c>
      <c r="S139" s="29" t="str">
        <f t="shared" si="72"/>
        <v>召唤出场时，为主角增加防御力X，持续Y秒。</v>
      </c>
      <c r="T139" s="115" t="str">
        <f t="shared" si="73"/>
        <v>召唤出场时，为主角增加防御力1028.58，持续Y秒。</v>
      </c>
    </row>
    <row r="140" spans="1:20" ht="14.45" customHeight="1">
      <c r="A140" s="41">
        <f t="shared" si="67"/>
        <v>9606208</v>
      </c>
      <c r="B140" s="29" t="str">
        <f t="shared" si="68"/>
        <v>混世魔王</v>
      </c>
      <c r="C140" s="75" t="str">
        <f t="shared" si="52"/>
        <v>召唤出场时，为主角增加加伤百分比19.28%，持续20.72秒。</v>
      </c>
      <c r="D140" s="6">
        <f t="shared" si="69"/>
        <v>8</v>
      </c>
      <c r="E140" s="6" t="str">
        <f t="shared" si="70"/>
        <v>9606201.png</v>
      </c>
      <c r="F140" s="51">
        <f t="shared" si="71"/>
        <v>0</v>
      </c>
      <c r="G140" s="76" t="str">
        <f t="shared" si="74"/>
        <v>无属性</v>
      </c>
      <c r="H140" s="51">
        <f t="shared" si="75"/>
        <v>0</v>
      </c>
      <c r="I140" s="76">
        <f t="shared" si="76"/>
        <v>0</v>
      </c>
      <c r="J140" s="77">
        <f t="shared" si="77"/>
        <v>12</v>
      </c>
      <c r="K140" s="63">
        <f t="shared" si="78"/>
        <v>12857.142857142859</v>
      </c>
      <c r="L140" s="53">
        <f t="shared" si="79"/>
        <v>20.714285714285715</v>
      </c>
      <c r="M140" s="29">
        <f t="shared" si="80"/>
        <v>1</v>
      </c>
      <c r="N140" s="75">
        <v>0</v>
      </c>
      <c r="O140" s="82" t="str">
        <f>VLOOKUP(INT(A140/100)*100+1,CHOOSE({1,2},D_马仔表!$J$2:$J$20,D_马仔表!$B$2:$B$20),2,FALSE)</f>
        <v>靓坤</v>
      </c>
      <c r="P140" s="81">
        <f>VLOOKUP(O140,D_马仔表!$B$2:$W$20,3,FALSE)</f>
        <v>1</v>
      </c>
      <c r="Q140" s="39">
        <f>IFERROR(VLOOKUP(R140,CHOOSE({1,2},技能辅助表!$B$3:$B$83,技能辅助表!$A$3:$A$82),2,FALSE),0)</f>
        <v>80</v>
      </c>
      <c r="R140" s="39">
        <f t="shared" si="66"/>
        <v>10</v>
      </c>
      <c r="S140" s="29" t="str">
        <f t="shared" si="72"/>
        <v>召唤出场时，为主角增加加伤百分比X%，持续Y秒。</v>
      </c>
      <c r="T140" s="115" t="str">
        <f t="shared" si="73"/>
        <v>召唤出场时，为主角增加加伤百分比19.28%，持续Y秒。</v>
      </c>
    </row>
    <row r="141" spans="1:20" ht="14.45" customHeight="1">
      <c r="A141" s="41">
        <f t="shared" si="67"/>
        <v>9607208</v>
      </c>
      <c r="B141" s="29" t="str">
        <f t="shared" si="68"/>
        <v>弱点分析</v>
      </c>
      <c r="C141" s="75" t="str">
        <f t="shared" si="52"/>
        <v>召唤出场时，减少场上所有敌人命中值38.57%，持续20.72秒。</v>
      </c>
      <c r="D141" s="6">
        <f t="shared" si="69"/>
        <v>8</v>
      </c>
      <c r="E141" s="6" t="str">
        <f t="shared" si="70"/>
        <v>9607201.png</v>
      </c>
      <c r="F141" s="51">
        <f t="shared" si="71"/>
        <v>0</v>
      </c>
      <c r="G141" s="76" t="str">
        <f t="shared" si="74"/>
        <v>无属性</v>
      </c>
      <c r="H141" s="51">
        <f t="shared" si="75"/>
        <v>0</v>
      </c>
      <c r="I141" s="76">
        <f t="shared" si="76"/>
        <v>0</v>
      </c>
      <c r="J141" s="77">
        <f t="shared" si="77"/>
        <v>17</v>
      </c>
      <c r="K141" s="63">
        <f t="shared" si="78"/>
        <v>0.38571428571428573</v>
      </c>
      <c r="L141" s="53">
        <f t="shared" si="79"/>
        <v>20.714285714285715</v>
      </c>
      <c r="M141" s="29">
        <f t="shared" si="80"/>
        <v>1</v>
      </c>
      <c r="N141" s="75">
        <v>0</v>
      </c>
      <c r="O141" s="82" t="str">
        <f>VLOOKUP(INT(A141/100)*100+1,CHOOSE({1,2},D_马仔表!$J$2:$J$20,D_马仔表!$B$2:$B$20),2,FALSE)</f>
        <v>雷复轰</v>
      </c>
      <c r="P141" s="81">
        <f>VLOOKUP(O141,D_马仔表!$B$2:$W$20,3,FALSE)</f>
        <v>1</v>
      </c>
      <c r="Q141" s="39">
        <f>IFERROR(VLOOKUP(R141,CHOOSE({1,2},技能辅助表!$B$3:$B$83,技能辅助表!$A$3:$A$82),2,FALSE),0)</f>
        <v>80</v>
      </c>
      <c r="R141" s="39">
        <f t="shared" si="66"/>
        <v>10</v>
      </c>
      <c r="S141" s="29" t="str">
        <f t="shared" si="72"/>
        <v>召唤出场时，减少场上所有敌人命中值X%，持续Y秒。</v>
      </c>
      <c r="T141" s="115" t="str">
        <f t="shared" si="73"/>
        <v>召唤出场时，减少场上所有敌人命中值38.57%，持续Y秒。</v>
      </c>
    </row>
    <row r="142" spans="1:20" ht="14.45" customHeight="1">
      <c r="A142" s="41">
        <f t="shared" si="67"/>
        <v>9608208</v>
      </c>
      <c r="B142" s="29" t="str">
        <f t="shared" si="68"/>
        <v>硬气功</v>
      </c>
      <c r="C142" s="75" t="str">
        <f t="shared" si="52"/>
        <v>召唤出场时，为主角增加减伤百分比19.28%，持续20.72秒。</v>
      </c>
      <c r="D142" s="6">
        <f t="shared" si="69"/>
        <v>8</v>
      </c>
      <c r="E142" s="6" t="str">
        <f t="shared" si="70"/>
        <v>9608201.png</v>
      </c>
      <c r="F142" s="51">
        <f t="shared" si="71"/>
        <v>0</v>
      </c>
      <c r="G142" s="76" t="str">
        <f t="shared" si="74"/>
        <v>无属性</v>
      </c>
      <c r="H142" s="51">
        <f t="shared" si="75"/>
        <v>0</v>
      </c>
      <c r="I142" s="76">
        <f t="shared" si="76"/>
        <v>0</v>
      </c>
      <c r="J142" s="77">
        <f t="shared" si="77"/>
        <v>13</v>
      </c>
      <c r="K142" s="63">
        <f t="shared" si="78"/>
        <v>12857.142857142859</v>
      </c>
      <c r="L142" s="53">
        <f t="shared" si="79"/>
        <v>20.714285714285715</v>
      </c>
      <c r="M142" s="29">
        <f t="shared" si="80"/>
        <v>1</v>
      </c>
      <c r="N142" s="75">
        <v>0</v>
      </c>
      <c r="O142" s="82" t="str">
        <f>VLOOKUP(INT(A142/100)*100+1,CHOOSE({1,2},D_马仔表!$J$2:$J$20,D_马仔表!$B$2:$B$20),2,FALSE)</f>
        <v>肥仔</v>
      </c>
      <c r="P142" s="81">
        <f>VLOOKUP(O142,D_马仔表!$B$2:$W$20,3,FALSE)</f>
        <v>1</v>
      </c>
      <c r="Q142" s="39">
        <f>IFERROR(VLOOKUP(R142,CHOOSE({1,2},技能辅助表!$B$3:$B$83,技能辅助表!$A$3:$A$82),2,FALSE),0)</f>
        <v>80</v>
      </c>
      <c r="R142" s="39">
        <f t="shared" si="66"/>
        <v>10</v>
      </c>
      <c r="S142" s="29" t="str">
        <f t="shared" si="72"/>
        <v>召唤出场时，为主角增加减伤百分比X%，持续Y秒。</v>
      </c>
      <c r="T142" s="115" t="str">
        <f t="shared" si="73"/>
        <v>召唤出场时，为主角增加减伤百分比19.28%，持续Y秒。</v>
      </c>
    </row>
    <row r="143" spans="1:20" ht="14.45" customHeight="1">
      <c r="A143" s="41">
        <f t="shared" si="67"/>
        <v>9609208</v>
      </c>
      <c r="B143" s="29" t="str">
        <f t="shared" si="68"/>
        <v>坚毅之躯</v>
      </c>
      <c r="C143" s="75" t="str">
        <f t="shared" si="52"/>
        <v>召唤出场时，为主角增加生命最大值百分比12.85%,持续20.72秒。</v>
      </c>
      <c r="D143" s="6">
        <f t="shared" si="69"/>
        <v>8</v>
      </c>
      <c r="E143" s="6" t="str">
        <f t="shared" si="70"/>
        <v>9609201.png</v>
      </c>
      <c r="F143" s="51">
        <f t="shared" si="71"/>
        <v>0</v>
      </c>
      <c r="G143" s="76" t="str">
        <f t="shared" si="74"/>
        <v>无属性</v>
      </c>
      <c r="H143" s="51">
        <f t="shared" si="75"/>
        <v>0</v>
      </c>
      <c r="I143" s="76">
        <f t="shared" si="76"/>
        <v>0</v>
      </c>
      <c r="J143" s="77">
        <f t="shared" si="77"/>
        <v>4</v>
      </c>
      <c r="K143" s="63">
        <f t="shared" si="78"/>
        <v>0.12857142857142859</v>
      </c>
      <c r="L143" s="53">
        <f t="shared" si="79"/>
        <v>20.714285714285715</v>
      </c>
      <c r="M143" s="29">
        <f t="shared" si="80"/>
        <v>1</v>
      </c>
      <c r="N143" s="75">
        <v>0</v>
      </c>
      <c r="O143" s="82" t="str">
        <f>VLOOKUP(INT(A143/100)*100+1,CHOOSE({1,2},D_马仔表!$J$2:$J$20,D_马仔表!$B$2:$B$20),2,FALSE)</f>
        <v>司徒浩南</v>
      </c>
      <c r="P143" s="81">
        <f>VLOOKUP(O143,D_马仔表!$B$2:$W$20,3,FALSE)</f>
        <v>2</v>
      </c>
      <c r="Q143" s="39">
        <f>IFERROR(VLOOKUP(R143,CHOOSE({1,2},技能辅助表!$B$3:$B$83,技能辅助表!$A$3:$A$82),2,FALSE),0)</f>
        <v>80</v>
      </c>
      <c r="R143" s="39">
        <f t="shared" si="66"/>
        <v>10</v>
      </c>
      <c r="S143" s="29" t="str">
        <f t="shared" si="72"/>
        <v>召唤出场时，为主角增加生命最大值百分比X%,持续Y秒。</v>
      </c>
      <c r="T143" s="115" t="str">
        <f t="shared" si="73"/>
        <v>召唤出场时，为主角增加生命最大值百分比12.85%,持续Y秒。</v>
      </c>
    </row>
    <row r="144" spans="1:20" ht="14.45" customHeight="1">
      <c r="A144" s="41">
        <f t="shared" si="67"/>
        <v>9610208</v>
      </c>
      <c r="B144" s="29" t="str">
        <f t="shared" si="68"/>
        <v>战斗意志</v>
      </c>
      <c r="C144" s="75" t="str">
        <f t="shared" si="52"/>
        <v>召唤出场时，为主角增加攻击力百分比12.85%,持续20.72秒。</v>
      </c>
      <c r="D144" s="6">
        <f t="shared" si="69"/>
        <v>8</v>
      </c>
      <c r="E144" s="6" t="str">
        <f t="shared" si="70"/>
        <v>9610201.png</v>
      </c>
      <c r="F144" s="51">
        <f t="shared" si="71"/>
        <v>0</v>
      </c>
      <c r="G144" s="76" t="str">
        <f t="shared" si="74"/>
        <v>无属性</v>
      </c>
      <c r="H144" s="51">
        <f t="shared" si="75"/>
        <v>0</v>
      </c>
      <c r="I144" s="76">
        <f t="shared" si="76"/>
        <v>0</v>
      </c>
      <c r="J144" s="77">
        <f t="shared" si="77"/>
        <v>5</v>
      </c>
      <c r="K144" s="63">
        <f t="shared" si="78"/>
        <v>0.12857142857142859</v>
      </c>
      <c r="L144" s="53">
        <f t="shared" si="79"/>
        <v>20.714285714285715</v>
      </c>
      <c r="M144" s="29">
        <f t="shared" si="80"/>
        <v>1</v>
      </c>
      <c r="N144" s="75">
        <v>0</v>
      </c>
      <c r="O144" s="82" t="str">
        <f>VLOOKUP(INT(A144/100)*100+1,CHOOSE({1,2},D_马仔表!$J$2:$J$20,D_马仔表!$B$2:$B$20),2,FALSE)</f>
        <v>乌鸦</v>
      </c>
      <c r="P144" s="81">
        <f>VLOOKUP(O144,D_马仔表!$B$2:$W$20,3,FALSE)</f>
        <v>2</v>
      </c>
      <c r="Q144" s="39">
        <f>IFERROR(VLOOKUP(R144,CHOOSE({1,2},技能辅助表!$B$3:$B$83,技能辅助表!$A$3:$A$82),2,FALSE),0)</f>
        <v>80</v>
      </c>
      <c r="R144" s="39">
        <f t="shared" si="66"/>
        <v>10</v>
      </c>
      <c r="S144" s="29" t="str">
        <f t="shared" si="72"/>
        <v>召唤出场时，为主角增加攻击力百分比X%,持续Y秒。</v>
      </c>
      <c r="T144" s="115" t="str">
        <f t="shared" si="73"/>
        <v>召唤出场时，为主角增加攻击力百分比12.85%,持续Y秒。</v>
      </c>
    </row>
    <row r="145" spans="1:20" ht="14.45" customHeight="1">
      <c r="A145" s="41">
        <f t="shared" si="67"/>
        <v>9611208</v>
      </c>
      <c r="B145" s="29" t="str">
        <f t="shared" si="68"/>
        <v>金手指</v>
      </c>
      <c r="C145" s="75" t="str">
        <f t="shared" si="52"/>
        <v>召唤出场时，主角所有技能立刻全部CD完毕。</v>
      </c>
      <c r="D145" s="6">
        <f t="shared" si="69"/>
        <v>8</v>
      </c>
      <c r="E145" s="6" t="str">
        <f t="shared" si="70"/>
        <v>9611201.png</v>
      </c>
      <c r="F145" s="51">
        <f t="shared" si="71"/>
        <v>0</v>
      </c>
      <c r="G145" s="76" t="str">
        <f t="shared" si="74"/>
        <v>无属性</v>
      </c>
      <c r="H145" s="51">
        <f t="shared" si="75"/>
        <v>0</v>
      </c>
      <c r="I145" s="76">
        <f t="shared" si="76"/>
        <v>0</v>
      </c>
      <c r="J145" s="77">
        <f t="shared" si="77"/>
        <v>18</v>
      </c>
      <c r="K145" s="63">
        <f t="shared" si="78"/>
        <v>0</v>
      </c>
      <c r="L145" s="53">
        <f t="shared" si="79"/>
        <v>0</v>
      </c>
      <c r="M145" s="29">
        <f t="shared" si="80"/>
        <v>0</v>
      </c>
      <c r="N145" s="75">
        <v>0</v>
      </c>
      <c r="O145" s="82" t="str">
        <f>VLOOKUP(INT(A145/100)*100+1,CHOOSE({1,2},D_马仔表!$J$2:$J$20,D_马仔表!$B$2:$B$20),2,FALSE)</f>
        <v>赌王</v>
      </c>
      <c r="P145" s="81">
        <f>VLOOKUP(O145,D_马仔表!$B$2:$W$20,3,FALSE)</f>
        <v>2</v>
      </c>
      <c r="Q145" s="39">
        <f>IFERROR(VLOOKUP(R145,CHOOSE({1,2},技能辅助表!$B$3:$B$83,技能辅助表!$A$3:$A$82),2,FALSE),0)</f>
        <v>80</v>
      </c>
      <c r="R145" s="39">
        <f t="shared" si="66"/>
        <v>10</v>
      </c>
      <c r="S145" s="29" t="str">
        <f t="shared" si="72"/>
        <v>召唤出场时，主角所有技能立刻全部CD完毕。</v>
      </c>
      <c r="T145" s="115" t="str">
        <f t="shared" si="73"/>
        <v>召唤出场时，主角所有技能立刻全部CD完毕。</v>
      </c>
    </row>
    <row r="146" spans="1:20" ht="14.45" customHeight="1">
      <c r="A146" s="41">
        <f t="shared" si="67"/>
        <v>9612208</v>
      </c>
      <c r="B146" s="29" t="str">
        <f t="shared" si="68"/>
        <v>明镜止水</v>
      </c>
      <c r="C146" s="75" t="str">
        <f t="shared" si="52"/>
        <v>召唤出场时，减少场上所有敌人攻击力12.85%，持续20.72秒。</v>
      </c>
      <c r="D146" s="6">
        <f t="shared" si="69"/>
        <v>8</v>
      </c>
      <c r="E146" s="6" t="str">
        <f t="shared" si="70"/>
        <v>9612201.png</v>
      </c>
      <c r="F146" s="51">
        <f t="shared" si="71"/>
        <v>0</v>
      </c>
      <c r="G146" s="76" t="str">
        <f t="shared" si="74"/>
        <v>无属性</v>
      </c>
      <c r="H146" s="51">
        <f t="shared" si="75"/>
        <v>0</v>
      </c>
      <c r="I146" s="76">
        <f t="shared" si="76"/>
        <v>0</v>
      </c>
      <c r="J146" s="77">
        <f t="shared" si="77"/>
        <v>15</v>
      </c>
      <c r="K146" s="63">
        <f t="shared" si="78"/>
        <v>0.12857142857142859</v>
      </c>
      <c r="L146" s="53">
        <f t="shared" si="79"/>
        <v>20.714285714285715</v>
      </c>
      <c r="M146" s="29">
        <f t="shared" si="80"/>
        <v>1</v>
      </c>
      <c r="N146" s="75">
        <v>0</v>
      </c>
      <c r="O146" s="82" t="str">
        <f>VLOOKUP(INT(A146/100)*100+1,CHOOSE({1,2},D_马仔表!$J$2:$J$20,D_马仔表!$B$2:$B$20),2,FALSE)</f>
        <v>山下忠秀</v>
      </c>
      <c r="P146" s="81">
        <f>VLOOKUP(O146,D_马仔表!$B$2:$W$20,3,FALSE)</f>
        <v>2</v>
      </c>
      <c r="Q146" s="39">
        <f>IFERROR(VLOOKUP(R146,CHOOSE({1,2},技能辅助表!$B$3:$B$83,技能辅助表!$A$3:$A$82),2,FALSE),0)</f>
        <v>80</v>
      </c>
      <c r="R146" s="39">
        <f t="shared" si="66"/>
        <v>10</v>
      </c>
      <c r="S146" s="29" t="str">
        <f t="shared" si="72"/>
        <v>召唤出场时，减少场上所有敌人攻击力X%，持续Y秒。</v>
      </c>
      <c r="T146" s="115" t="str">
        <f t="shared" si="73"/>
        <v>召唤出场时，减少场上所有敌人攻击力12.85%，持续Y秒。</v>
      </c>
    </row>
    <row r="147" spans="1:20" ht="14.45" customHeight="1">
      <c r="A147" s="41">
        <f t="shared" si="67"/>
        <v>9613208</v>
      </c>
      <c r="B147" s="29" t="str">
        <f t="shared" si="68"/>
        <v>阳炎</v>
      </c>
      <c r="C147" s="75" t="str">
        <f t="shared" si="52"/>
        <v>召唤出场时，减少场上所有敌人防御力12.85%，持续20.72秒。</v>
      </c>
      <c r="D147" s="6">
        <f t="shared" si="69"/>
        <v>8</v>
      </c>
      <c r="E147" s="6" t="str">
        <f t="shared" si="70"/>
        <v>9613201.png</v>
      </c>
      <c r="F147" s="51">
        <f t="shared" si="71"/>
        <v>0</v>
      </c>
      <c r="G147" s="76" t="str">
        <f t="shared" si="74"/>
        <v>无属性</v>
      </c>
      <c r="H147" s="51">
        <f t="shared" si="75"/>
        <v>0</v>
      </c>
      <c r="I147" s="76">
        <f t="shared" si="76"/>
        <v>0</v>
      </c>
      <c r="J147" s="77">
        <f t="shared" si="77"/>
        <v>16</v>
      </c>
      <c r="K147" s="63">
        <f t="shared" si="78"/>
        <v>0.12857142857142859</v>
      </c>
      <c r="L147" s="53">
        <f t="shared" si="79"/>
        <v>20.714285714285715</v>
      </c>
      <c r="M147" s="29">
        <f t="shared" si="80"/>
        <v>1</v>
      </c>
      <c r="N147" s="75">
        <v>0</v>
      </c>
      <c r="O147" s="82" t="str">
        <f>VLOOKUP(INT(A147/100)*100+1,CHOOSE({1,2},D_马仔表!$J$2:$J$20,D_马仔表!$B$2:$B$20),2,FALSE)</f>
        <v>宫本一</v>
      </c>
      <c r="P147" s="81">
        <f>VLOOKUP(O147,D_马仔表!$B$2:$W$20,3,FALSE)</f>
        <v>2</v>
      </c>
      <c r="Q147" s="39">
        <f>IFERROR(VLOOKUP(R147,CHOOSE({1,2},技能辅助表!$B$3:$B$83,技能辅助表!$A$3:$A$82),2,FALSE),0)</f>
        <v>80</v>
      </c>
      <c r="R147" s="39">
        <f t="shared" si="66"/>
        <v>10</v>
      </c>
      <c r="S147" s="29" t="str">
        <f t="shared" si="72"/>
        <v>召唤出场时，减少场上所有敌人防御力X%，持续Y秒。</v>
      </c>
      <c r="T147" s="115" t="str">
        <f t="shared" si="73"/>
        <v>召唤出场时，减少场上所有敌人防御力12.85%，持续Y秒。</v>
      </c>
    </row>
    <row r="148" spans="1:20" ht="14.45" customHeight="1">
      <c r="A148" s="41">
        <f t="shared" si="67"/>
        <v>9614208</v>
      </c>
      <c r="B148" s="29" t="str">
        <f t="shared" si="68"/>
        <v>霸气纵横</v>
      </c>
      <c r="C148" s="75" t="str">
        <f t="shared" si="52"/>
        <v>召唤出场时，主角进入无敌状态，持续10.72秒。</v>
      </c>
      <c r="D148" s="6">
        <f t="shared" si="69"/>
        <v>8</v>
      </c>
      <c r="E148" s="6" t="str">
        <f t="shared" si="70"/>
        <v>9614201.png</v>
      </c>
      <c r="F148" s="51">
        <f t="shared" si="71"/>
        <v>0</v>
      </c>
      <c r="G148" s="76" t="str">
        <f t="shared" si="74"/>
        <v>无属性</v>
      </c>
      <c r="H148" s="51">
        <f t="shared" si="75"/>
        <v>0</v>
      </c>
      <c r="I148" s="76">
        <f t="shared" si="76"/>
        <v>0</v>
      </c>
      <c r="J148" s="77">
        <f t="shared" si="77"/>
        <v>1</v>
      </c>
      <c r="K148" s="63">
        <f t="shared" si="78"/>
        <v>0</v>
      </c>
      <c r="L148" s="53">
        <f t="shared" si="79"/>
        <v>10.714285714285715</v>
      </c>
      <c r="M148" s="29">
        <f t="shared" si="80"/>
        <v>0</v>
      </c>
      <c r="N148" s="75">
        <v>0</v>
      </c>
      <c r="O148" s="82" t="str">
        <f>VLOOKUP(INT(A148/100)*100+1,CHOOSE({1,2},D_马仔表!$J$2:$J$20,D_马仔表!$B$2:$B$20),2,FALSE)</f>
        <v>陈浩南</v>
      </c>
      <c r="P148" s="81">
        <f>VLOOKUP(O148,D_马仔表!$B$2:$W$20,3,FALSE)</f>
        <v>3</v>
      </c>
      <c r="Q148" s="39">
        <f>IFERROR(VLOOKUP(R148,CHOOSE({1,2},技能辅助表!$B$3:$B$83,技能辅助表!$A$3:$A$82),2,FALSE),0)</f>
        <v>80</v>
      </c>
      <c r="R148" s="39">
        <f t="shared" si="66"/>
        <v>10</v>
      </c>
      <c r="S148" s="29" t="str">
        <f t="shared" si="72"/>
        <v>召唤出场时，主角进入无敌状态，持续Y秒。</v>
      </c>
      <c r="T148" s="115" t="str">
        <f t="shared" si="73"/>
        <v>召唤出场时，主角进入无敌状态，持续Y秒。</v>
      </c>
    </row>
    <row r="149" spans="1:20" ht="14.45" customHeight="1">
      <c r="A149" s="41">
        <f t="shared" ref="A149:A153" si="81">A130+1</f>
        <v>9615208</v>
      </c>
      <c r="B149" s="29" t="str">
        <f t="shared" ref="B149:B153" si="82">B130</f>
        <v>猛虎出山</v>
      </c>
      <c r="C149" s="75" t="str">
        <f t="shared" si="52"/>
        <v>召唤出场时，主角进入霸体状态，持续26.43秒。</v>
      </c>
      <c r="D149" s="6">
        <f t="shared" ref="D149:D153" si="83">D130+1</f>
        <v>8</v>
      </c>
      <c r="E149" s="6" t="str">
        <f t="shared" ref="E149:E153" si="84">E130</f>
        <v>9615201.png</v>
      </c>
      <c r="F149" s="51">
        <f t="shared" si="71"/>
        <v>0</v>
      </c>
      <c r="G149" s="76" t="str">
        <f t="shared" si="74"/>
        <v>无属性</v>
      </c>
      <c r="H149" s="51">
        <f t="shared" si="75"/>
        <v>0</v>
      </c>
      <c r="I149" s="76">
        <f t="shared" si="76"/>
        <v>0</v>
      </c>
      <c r="J149" s="77">
        <f t="shared" si="77"/>
        <v>2</v>
      </c>
      <c r="K149" s="63">
        <f t="shared" si="78"/>
        <v>80</v>
      </c>
      <c r="L149" s="53">
        <f t="shared" si="79"/>
        <v>26.428571428571431</v>
      </c>
      <c r="M149" s="29">
        <f t="shared" si="80"/>
        <v>0</v>
      </c>
      <c r="N149" s="75">
        <v>0</v>
      </c>
      <c r="O149" s="82" t="str">
        <f>VLOOKUP(INT(A149/100)*100+1,CHOOSE({1,2},D_马仔表!$J$2:$J$20,D_马仔表!$B$2:$B$20),2,FALSE)</f>
        <v>山鸡</v>
      </c>
      <c r="P149" s="81">
        <f>VLOOKUP(O149,D_马仔表!$B$2:$W$20,3,FALSE)</f>
        <v>3</v>
      </c>
      <c r="Q149" s="39">
        <f>IFERROR(VLOOKUP(R149,CHOOSE({1,2},技能辅助表!$B$3:$B$83,技能辅助表!$A$3:$A$82),2,FALSE),0)</f>
        <v>80</v>
      </c>
      <c r="R149" s="39">
        <f t="shared" si="66"/>
        <v>10</v>
      </c>
      <c r="S149" s="29" t="str">
        <f t="shared" si="72"/>
        <v>召唤出场时，主角进入霸体状态，持续Y秒。</v>
      </c>
      <c r="T149" s="115" t="str">
        <f t="shared" si="73"/>
        <v>召唤出场时，主角进入霸体状态，持续Y秒。</v>
      </c>
    </row>
    <row r="150" spans="1:20" ht="14.45" customHeight="1">
      <c r="A150" s="41">
        <f t="shared" si="81"/>
        <v>9616208</v>
      </c>
      <c r="B150" s="29" t="str">
        <f t="shared" si="82"/>
        <v>武魂</v>
      </c>
      <c r="C150" s="75" t="str">
        <f t="shared" si="52"/>
        <v>召唤出场时，主角体型变大，移动速度、攻击力、防御力增加12.85%,持续20.72秒。</v>
      </c>
      <c r="D150" s="6">
        <f t="shared" si="83"/>
        <v>8</v>
      </c>
      <c r="E150" s="6" t="str">
        <f t="shared" si="84"/>
        <v>9616201.png</v>
      </c>
      <c r="F150" s="51">
        <f t="shared" si="71"/>
        <v>0</v>
      </c>
      <c r="G150" s="76" t="str">
        <f t="shared" si="74"/>
        <v>无属性</v>
      </c>
      <c r="H150" s="51">
        <f t="shared" si="75"/>
        <v>0</v>
      </c>
      <c r="I150" s="76">
        <f t="shared" si="76"/>
        <v>0</v>
      </c>
      <c r="J150" s="77">
        <f t="shared" si="77"/>
        <v>19</v>
      </c>
      <c r="K150" s="63">
        <f t="shared" si="78"/>
        <v>0.12857142857142859</v>
      </c>
      <c r="L150" s="53">
        <f t="shared" si="79"/>
        <v>20.714285714285715</v>
      </c>
      <c r="M150" s="29">
        <f t="shared" si="80"/>
        <v>1</v>
      </c>
      <c r="N150" s="75">
        <v>0</v>
      </c>
      <c r="O150" s="82" t="str">
        <f>VLOOKUP(INT(A150/100)*100+1,CHOOSE({1,2},D_马仔表!$J$2:$J$20,D_马仔表!$B$2:$B$20),2,FALSE)</f>
        <v>大天二</v>
      </c>
      <c r="P150" s="81">
        <f>VLOOKUP(O150,D_马仔表!$B$2:$W$20,3,FALSE)</f>
        <v>3</v>
      </c>
      <c r="Q150" s="39">
        <f>IFERROR(VLOOKUP(R150,CHOOSE({1,2},技能辅助表!$B$3:$B$83,技能辅助表!$A$3:$A$82),2,FALSE),0)</f>
        <v>80</v>
      </c>
      <c r="R150" s="39">
        <f t="shared" si="66"/>
        <v>10</v>
      </c>
      <c r="S150" s="29" t="str">
        <f t="shared" si="72"/>
        <v>召唤出场时，主角体型变大，移动速度、攻击力、防御力增加X%,持续Y秒。</v>
      </c>
      <c r="T150" s="115" t="str">
        <f t="shared" si="73"/>
        <v>召唤出场时，主角体型变大，移动速度、攻击力、防御力增加12.85%,持续Y秒。</v>
      </c>
    </row>
    <row r="151" spans="1:20" ht="14.45" customHeight="1">
      <c r="A151" s="113">
        <f t="shared" si="81"/>
        <v>9617208</v>
      </c>
      <c r="B151" s="29" t="str">
        <f t="shared" si="82"/>
        <v>净化</v>
      </c>
      <c r="C151" s="75" t="str">
        <f t="shared" ref="C151:C153" si="85">IF(F151=0,IFERROR(REPLACE(T151,FIND("Y",T151),LEN("Y"),ROUNDUP(L151,2)),T151),IF(F151=0,"","永久增加主角"&amp;IF(I151&lt;1,ROUNDUP(I151*100,2)&amp;"%",ROUNDUP(I151,0))&amp;G151&amp;",")&amp;IFERROR(REPLACE(T151,FIND("Y",T151),LEN("Y"),ROUNDUP(L151,2)),T151))</f>
        <v>召唤出场时，场上所有敌人的BUFF会被全部清除。</v>
      </c>
      <c r="D151" s="6">
        <f t="shared" si="83"/>
        <v>8</v>
      </c>
      <c r="E151" s="6" t="str">
        <f t="shared" si="84"/>
        <v>9601201.png</v>
      </c>
      <c r="F151" s="51">
        <f t="shared" si="71"/>
        <v>0</v>
      </c>
      <c r="G151" s="76" t="str">
        <f t="shared" si="74"/>
        <v>无属性</v>
      </c>
      <c r="H151" s="51">
        <f t="shared" si="75"/>
        <v>0</v>
      </c>
      <c r="I151" s="76">
        <f t="shared" si="76"/>
        <v>0</v>
      </c>
      <c r="J151" s="77">
        <f t="shared" si="77"/>
        <v>14</v>
      </c>
      <c r="K151" s="63">
        <f t="shared" si="78"/>
        <v>0</v>
      </c>
      <c r="L151" s="53">
        <f t="shared" si="79"/>
        <v>0</v>
      </c>
      <c r="M151" s="29">
        <f t="shared" si="80"/>
        <v>0</v>
      </c>
      <c r="N151" s="75">
        <v>0</v>
      </c>
      <c r="O151" s="82" t="str">
        <f>VLOOKUP(INT(A151/100)*100+1,CHOOSE({1,2},D_马仔表!$J$2:$J$20,D_马仔表!$B$2:$B$20),2,FALSE)</f>
        <v>巴闭</v>
      </c>
      <c r="P151" s="81">
        <f>VLOOKUP(O151,D_马仔表!$B$2:$W$20,3,FALSE)</f>
        <v>1</v>
      </c>
      <c r="Q151" s="39">
        <f>IFERROR(VLOOKUP(R151,CHOOSE({1,2},技能辅助表!$B$3:$B$83,技能辅助表!$A$3:$A$82),2,FALSE),0)</f>
        <v>80</v>
      </c>
      <c r="R151" s="39">
        <f t="shared" si="66"/>
        <v>10</v>
      </c>
      <c r="S151" s="29" t="str">
        <f t="shared" si="72"/>
        <v>召唤出场时，场上所有敌人的BUFF会被全部清除。</v>
      </c>
      <c r="T151" s="115" t="str">
        <f t="shared" si="73"/>
        <v>召唤出场时，场上所有敌人的BUFF会被全部清除。</v>
      </c>
    </row>
    <row r="152" spans="1:20" ht="14.45" customHeight="1">
      <c r="A152" s="113">
        <f t="shared" si="81"/>
        <v>9618208</v>
      </c>
      <c r="B152" s="29" t="str">
        <f t="shared" si="82"/>
        <v>震慑</v>
      </c>
      <c r="C152" s="75" t="str">
        <f t="shared" si="85"/>
        <v>召唤出场时，场上所有敌人，体型变小，移动速度，攻击力，防御力降低12.85%，持续20.72秒。</v>
      </c>
      <c r="D152" s="6">
        <f t="shared" si="83"/>
        <v>8</v>
      </c>
      <c r="E152" s="6" t="str">
        <f t="shared" si="84"/>
        <v>9612201.png</v>
      </c>
      <c r="F152" s="51">
        <f t="shared" si="71"/>
        <v>0</v>
      </c>
      <c r="G152" s="76" t="str">
        <f t="shared" si="74"/>
        <v>无属性</v>
      </c>
      <c r="H152" s="51">
        <f t="shared" si="75"/>
        <v>0</v>
      </c>
      <c r="I152" s="76">
        <f t="shared" si="76"/>
        <v>0</v>
      </c>
      <c r="J152" s="77">
        <f t="shared" si="77"/>
        <v>20</v>
      </c>
      <c r="K152" s="63">
        <f t="shared" si="78"/>
        <v>0.12857142857142859</v>
      </c>
      <c r="L152" s="53">
        <f t="shared" si="79"/>
        <v>20.714285714285715</v>
      </c>
      <c r="M152" s="29">
        <f t="shared" si="80"/>
        <v>1</v>
      </c>
      <c r="N152" s="75">
        <v>0</v>
      </c>
      <c r="O152" s="82" t="str">
        <f>VLOOKUP(INT(A152/100)*100+1,CHOOSE({1,2},D_马仔表!$J$2:$J$20,D_马仔表!$B$2:$B$20),2,FALSE)</f>
        <v>耀阳</v>
      </c>
      <c r="P152" s="81">
        <f>VLOOKUP(O152,D_马仔表!$B$2:$W$20,3,FALSE)</f>
        <v>2</v>
      </c>
      <c r="Q152" s="39">
        <f>IFERROR(VLOOKUP(R152,CHOOSE({1,2},技能辅助表!$B$3:$B$83,技能辅助表!$A$3:$A$82),2,FALSE),0)</f>
        <v>80</v>
      </c>
      <c r="R152" s="39">
        <f t="shared" si="66"/>
        <v>10</v>
      </c>
      <c r="S152" s="29" t="str">
        <f t="shared" si="72"/>
        <v>召唤出场时，场上所有敌人，体型变小，移动速度，攻击力，防御力降低X%，持续Y秒。</v>
      </c>
      <c r="T152" s="115" t="str">
        <f t="shared" si="73"/>
        <v>召唤出场时，场上所有敌人，体型变小，移动速度，攻击力，防御力降低12.85%，持续Y秒。</v>
      </c>
    </row>
    <row r="153" spans="1:20" ht="14.45" customHeight="1">
      <c r="A153" s="113">
        <f t="shared" si="81"/>
        <v>9619208</v>
      </c>
      <c r="B153" s="29" t="str">
        <f t="shared" si="82"/>
        <v>暴怒</v>
      </c>
      <c r="C153" s="75" t="str">
        <f t="shared" si="85"/>
        <v>召唤出场时，为主角增加暴击倍数64.28%，持续20.72秒。</v>
      </c>
      <c r="D153" s="6">
        <f t="shared" si="83"/>
        <v>8</v>
      </c>
      <c r="E153" s="6" t="str">
        <f t="shared" si="84"/>
        <v>9604201.png</v>
      </c>
      <c r="F153" s="51">
        <f t="shared" si="71"/>
        <v>0</v>
      </c>
      <c r="G153" s="76" t="str">
        <f t="shared" si="74"/>
        <v>无属性</v>
      </c>
      <c r="H153" s="51">
        <f t="shared" si="75"/>
        <v>0</v>
      </c>
      <c r="I153" s="76">
        <f t="shared" si="76"/>
        <v>0</v>
      </c>
      <c r="J153" s="77">
        <f t="shared" si="77"/>
        <v>7</v>
      </c>
      <c r="K153" s="63">
        <f t="shared" si="78"/>
        <v>32142.857142857145</v>
      </c>
      <c r="L153" s="53">
        <f t="shared" si="79"/>
        <v>20.714285714285715</v>
      </c>
      <c r="M153" s="29">
        <f t="shared" si="80"/>
        <v>1</v>
      </c>
      <c r="N153" s="75">
        <v>0</v>
      </c>
      <c r="O153" s="82" t="str">
        <f>VLOOKUP(INT(A153/100)*100+1,CHOOSE({1,2},D_马仔表!$J$2:$J$20,D_马仔表!$B$2:$B$20),2,FALSE)</f>
        <v>笑面虎</v>
      </c>
      <c r="P153" s="81">
        <f>VLOOKUP(O153,D_马仔表!$B$2:$W$20,3,FALSE)</f>
        <v>2</v>
      </c>
      <c r="Q153" s="39">
        <f>IFERROR(VLOOKUP(R153,CHOOSE({1,2},技能辅助表!$B$3:$B$83,技能辅助表!$A$3:$A$82),2,FALSE),0)</f>
        <v>80</v>
      </c>
      <c r="R153" s="39">
        <f t="shared" si="66"/>
        <v>10</v>
      </c>
      <c r="S153" s="29" t="str">
        <f t="shared" si="72"/>
        <v>召唤出场时，为主角增加暴击倍数X%，持续Y秒。</v>
      </c>
      <c r="T153" s="115" t="str">
        <f t="shared" si="73"/>
        <v>召唤出场时，为主角增加暴击倍数64.28%，持续Y秒。</v>
      </c>
    </row>
  </sheetData>
  <autoFilter ref="A1:T131"/>
  <mergeCells count="1">
    <mergeCell ref="AA53:AB53"/>
  </mergeCells>
  <phoneticPr fontId="1" type="noConversion"/>
  <dataValidations count="2">
    <dataValidation type="list" allowBlank="1" showInputMessage="1" showErrorMessage="1" sqref="AG37:AG50 G2:G153 Z32:Z50">
      <formula1>$X$54:$X$70</formula1>
    </dataValidation>
    <dataValidation type="list" allowBlank="1" showInputMessage="1" showErrorMessage="1" sqref="X32:X50">
      <formula1>$X$8:$X$27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6"/>
  <sheetViews>
    <sheetView workbookViewId="0">
      <selection activeCell="K23" sqref="K23"/>
    </sheetView>
  </sheetViews>
  <sheetFormatPr defaultRowHeight="13.5"/>
  <sheetData>
    <row r="1" spans="1:2">
      <c r="A1" t="s">
        <v>260</v>
      </c>
      <c r="B1" t="s">
        <v>261</v>
      </c>
    </row>
    <row r="2" spans="1:2">
      <c r="A2">
        <v>1</v>
      </c>
      <c r="B2">
        <v>8</v>
      </c>
    </row>
    <row r="3" spans="1:2">
      <c r="A3">
        <v>2</v>
      </c>
      <c r="B3">
        <v>18</v>
      </c>
    </row>
    <row r="4" spans="1:2">
      <c r="A4">
        <v>3</v>
      </c>
      <c r="B4">
        <v>28</v>
      </c>
    </row>
    <row r="5" spans="1:2">
      <c r="A5">
        <v>4</v>
      </c>
      <c r="B5">
        <v>38</v>
      </c>
    </row>
    <row r="6" spans="1:2">
      <c r="A6">
        <v>5</v>
      </c>
      <c r="B6">
        <v>48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6"/>
  <sheetViews>
    <sheetView workbookViewId="0">
      <selection activeCell="B6" sqref="B6"/>
    </sheetView>
  </sheetViews>
  <sheetFormatPr defaultRowHeight="13.5"/>
  <cols>
    <col min="2" max="2" width="12.25" bestFit="1" customWidth="1"/>
    <col min="3" max="3" width="20.5" bestFit="1" customWidth="1"/>
    <col min="6" max="6" width="13" bestFit="1" customWidth="1"/>
    <col min="13" max="13" width="27.625" bestFit="1" customWidth="1"/>
    <col min="14" max="14" width="23.5" bestFit="1" customWidth="1"/>
  </cols>
  <sheetData>
    <row r="1" spans="1:14">
      <c r="A1" t="s">
        <v>382</v>
      </c>
      <c r="B1" t="s">
        <v>383</v>
      </c>
      <c r="C1" t="s">
        <v>564</v>
      </c>
      <c r="D1" t="s">
        <v>384</v>
      </c>
      <c r="E1" t="s">
        <v>591</v>
      </c>
      <c r="F1" t="s">
        <v>592</v>
      </c>
      <c r="G1" t="s">
        <v>593</v>
      </c>
      <c r="H1" t="s">
        <v>644</v>
      </c>
      <c r="I1" t="s">
        <v>594</v>
      </c>
      <c r="J1" t="s">
        <v>645</v>
      </c>
      <c r="K1" t="s">
        <v>595</v>
      </c>
      <c r="L1" t="s">
        <v>646</v>
      </c>
      <c r="M1" t="s">
        <v>596</v>
      </c>
      <c r="N1" t="s">
        <v>597</v>
      </c>
    </row>
    <row r="2" spans="1:14">
      <c r="A2">
        <v>1</v>
      </c>
      <c r="B2" t="s">
        <v>698</v>
      </c>
      <c r="C2" t="s">
        <v>568</v>
      </c>
      <c r="D2">
        <v>0</v>
      </c>
      <c r="E2">
        <f ca="1">ROUND(马仔追债辅助表!G14/5,0)</f>
        <v>449</v>
      </c>
      <c r="F2">
        <f>马仔追债辅助表!H14</f>
        <v>200</v>
      </c>
      <c r="G2">
        <v>86001</v>
      </c>
      <c r="H2">
        <v>1</v>
      </c>
      <c r="I2">
        <v>89111</v>
      </c>
      <c r="J2">
        <v>30</v>
      </c>
      <c r="M2">
        <v>100</v>
      </c>
      <c r="N2">
        <v>0</v>
      </c>
    </row>
    <row r="3" spans="1:14">
      <c r="A3">
        <v>2</v>
      </c>
      <c r="B3" t="s">
        <v>699</v>
      </c>
      <c r="C3" t="s">
        <v>639</v>
      </c>
      <c r="D3">
        <v>1</v>
      </c>
      <c r="E3">
        <f ca="1">ROUND(马仔追债辅助表!G15/5,0)</f>
        <v>674</v>
      </c>
      <c r="F3">
        <f>马仔追债辅助表!H15</f>
        <v>300</v>
      </c>
      <c r="G3">
        <v>86002</v>
      </c>
      <c r="H3">
        <v>1</v>
      </c>
      <c r="I3">
        <v>89111</v>
      </c>
      <c r="J3">
        <v>40</v>
      </c>
      <c r="M3">
        <v>80</v>
      </c>
      <c r="N3">
        <v>20</v>
      </c>
    </row>
    <row r="4" spans="1:14">
      <c r="A4">
        <v>3</v>
      </c>
      <c r="B4" t="s">
        <v>700</v>
      </c>
      <c r="C4" t="s">
        <v>566</v>
      </c>
      <c r="D4">
        <v>2</v>
      </c>
      <c r="E4">
        <f ca="1">ROUND(马仔追债辅助表!G16/5,0)</f>
        <v>1179</v>
      </c>
      <c r="F4">
        <f>马仔追债辅助表!H16</f>
        <v>525</v>
      </c>
      <c r="G4">
        <v>86003</v>
      </c>
      <c r="H4">
        <v>1</v>
      </c>
      <c r="I4">
        <v>89111</v>
      </c>
      <c r="J4">
        <v>60</v>
      </c>
      <c r="M4">
        <v>60</v>
      </c>
      <c r="N4">
        <v>40</v>
      </c>
    </row>
    <row r="5" spans="1:14">
      <c r="A5">
        <v>4</v>
      </c>
      <c r="B5" t="s">
        <v>701</v>
      </c>
      <c r="C5" t="s">
        <v>565</v>
      </c>
      <c r="D5">
        <v>3</v>
      </c>
      <c r="E5">
        <f ca="1">ROUND(马仔追债辅助表!G17/5,0)</f>
        <v>1768</v>
      </c>
      <c r="F5">
        <f>马仔追债辅助表!H17</f>
        <v>788</v>
      </c>
      <c r="G5">
        <v>86004</v>
      </c>
      <c r="H5" s="88">
        <v>1</v>
      </c>
      <c r="I5">
        <v>89111</v>
      </c>
      <c r="J5">
        <v>80</v>
      </c>
      <c r="M5">
        <v>40</v>
      </c>
      <c r="N5">
        <v>60</v>
      </c>
    </row>
    <row r="6" spans="1:14">
      <c r="A6">
        <v>5</v>
      </c>
      <c r="B6" t="s">
        <v>702</v>
      </c>
      <c r="C6" t="s">
        <v>567</v>
      </c>
      <c r="D6">
        <v>4</v>
      </c>
      <c r="E6">
        <f ca="1">ROUND(马仔追债辅助表!G18/5,0)</f>
        <v>2947</v>
      </c>
      <c r="F6">
        <f>马仔追债辅助表!H18</f>
        <v>1313</v>
      </c>
      <c r="G6">
        <v>86005</v>
      </c>
      <c r="H6" s="88">
        <v>1</v>
      </c>
      <c r="I6">
        <v>89111</v>
      </c>
      <c r="J6">
        <v>100</v>
      </c>
      <c r="M6">
        <v>0</v>
      </c>
      <c r="N6">
        <v>0</v>
      </c>
    </row>
  </sheetData>
  <phoneticPr fontId="1" type="noConversion"/>
  <conditionalFormatting sqref="G2:J6">
    <cfRule type="duplicateValues" dxfId="850" priority="1"/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81"/>
  <sheetViews>
    <sheetView workbookViewId="0">
      <selection activeCell="J11" sqref="J11"/>
    </sheetView>
  </sheetViews>
  <sheetFormatPr defaultRowHeight="13.5"/>
  <cols>
    <col min="7" max="7" width="10.125" customWidth="1"/>
    <col min="8" max="8" width="12" customWidth="1"/>
  </cols>
  <sheetData>
    <row r="1" spans="1:12">
      <c r="A1" t="s">
        <v>575</v>
      </c>
      <c r="B1" t="s">
        <v>578</v>
      </c>
      <c r="C1" t="s">
        <v>579</v>
      </c>
      <c r="D1" t="s">
        <v>582</v>
      </c>
      <c r="G1" t="s">
        <v>657</v>
      </c>
      <c r="H1">
        <f>[3]马仔的投放!$C$13</f>
        <v>10000</v>
      </c>
    </row>
    <row r="2" spans="1:12">
      <c r="A2">
        <v>1</v>
      </c>
      <c r="B2">
        <f ca="1">ROUND(SUMIF(D_马仔追债任务表!$A$2:$A$6,马仔追债辅助表!$H$7,马仔追债辅助表!$G$14:$G$18)*(1+马仔追债辅助表!$H$8/100*($A2-1))*(1+马仔追债辅助表!$H$9/100*(马仔追债辅助表!$H$10-1)),0)</f>
        <v>7073</v>
      </c>
      <c r="C2">
        <f>ROUND(SUMIF(D_马仔追债任务表!$A$2:$A$6,马仔追债辅助表!$H$7,马仔追债辅助表!$H$14:$H$18)*(1+马仔追债辅助表!$H$8/100*($A2-1))*(1+马仔追债辅助表!$H$9/100*(马仔追债辅助表!$H$10-1)),0)</f>
        <v>630</v>
      </c>
      <c r="D2">
        <f>D_马仔经验!B2</f>
        <v>99</v>
      </c>
      <c r="E2">
        <f>D_马仔经验!I3</f>
        <v>99</v>
      </c>
      <c r="G2" t="s">
        <v>658</v>
      </c>
      <c r="H2">
        <v>0.5</v>
      </c>
    </row>
    <row r="3" spans="1:12">
      <c r="A3">
        <v>2</v>
      </c>
      <c r="B3">
        <f ca="1">ROUND(SUMIF(D_马仔追债任务表!$A$2:$A$6,马仔追债辅助表!$H$7,马仔追债辅助表!$G$14:$G$18)*(1+马仔追债辅助表!$H$8/100*($A3-1))*(1+马仔追债辅助表!$H$9/100*(马仔追债辅助表!$H$10-1)),0)</f>
        <v>7144</v>
      </c>
      <c r="C3">
        <f>ROUND(SUMIF(D_马仔追债任务表!$A$2:$A$6,马仔追债辅助表!$H$7,马仔追债辅助表!$H$14:$H$18)*(1+马仔追债辅助表!$H$8/100*($A3-1))*(1+马仔追债辅助表!$H$9/100*(马仔追债辅助表!$H$10-1)),0)</f>
        <v>636</v>
      </c>
      <c r="D3">
        <f>D_马仔经验!B3</f>
        <v>101</v>
      </c>
      <c r="E3">
        <f>D_马仔经验!I4</f>
        <v>200</v>
      </c>
      <c r="G3" t="s">
        <v>659</v>
      </c>
      <c r="H3">
        <f>H1/5*(1-H2)/2</f>
        <v>500</v>
      </c>
    </row>
    <row r="4" spans="1:12">
      <c r="A4">
        <v>3</v>
      </c>
      <c r="B4">
        <f ca="1">ROUND(SUMIF(D_马仔追债任务表!$A$2:$A$6,马仔追债辅助表!$H$7,马仔追债辅助表!$G$14:$G$18)*(1+马仔追债辅助表!$H$8/100*($A4-1))*(1+马仔追债辅助表!$H$9/100*(马仔追债辅助表!$H$10-1)),0)</f>
        <v>7214</v>
      </c>
      <c r="C4">
        <f>ROUND(SUMIF(D_马仔追债任务表!$A$2:$A$6,马仔追债辅助表!$H$7,马仔追债辅助表!$H$14:$H$18)*(1+马仔追债辅助表!$H$8/100*($A4-1))*(1+马仔追债辅助表!$H$9/100*(马仔追债辅助表!$H$10-1)),0)</f>
        <v>643</v>
      </c>
      <c r="D4">
        <f>D_马仔经验!B4</f>
        <v>103</v>
      </c>
      <c r="E4">
        <f>D_马仔经验!I5</f>
        <v>303</v>
      </c>
      <c r="G4" t="s">
        <v>660</v>
      </c>
      <c r="H4">
        <f>H1*H2/2</f>
        <v>2500</v>
      </c>
    </row>
    <row r="5" spans="1:12">
      <c r="A5">
        <v>4</v>
      </c>
      <c r="B5">
        <f ca="1">ROUND(SUMIF(D_马仔追债任务表!$A$2:$A$6,马仔追债辅助表!$H$7,马仔追债辅助表!$G$14:$G$18)*(1+马仔追债辅助表!$H$8/100*($A5-1))*(1+马仔追债辅助表!$H$9/100*(马仔追债辅助表!$H$10-1)),0)</f>
        <v>7285</v>
      </c>
      <c r="C5">
        <f>ROUND(SUMIF(D_马仔追债任务表!$A$2:$A$6,马仔追债辅助表!$H$7,马仔追债辅助表!$H$14:$H$18)*(1+马仔追债辅助表!$H$8/100*($A5-1))*(1+马仔追债辅助表!$H$9/100*(马仔追债辅助表!$H$10-1)),0)</f>
        <v>649</v>
      </c>
      <c r="D5">
        <f>D_马仔经验!B5</f>
        <v>107</v>
      </c>
      <c r="E5">
        <f>D_马仔经验!I6</f>
        <v>410</v>
      </c>
    </row>
    <row r="6" spans="1:12">
      <c r="A6">
        <v>5</v>
      </c>
      <c r="B6">
        <f ca="1">ROUND(SUMIF(D_马仔追债任务表!$A$2:$A$6,马仔追债辅助表!$H$7,马仔追债辅助表!$G$14:$G$18)*(1+马仔追债辅助表!$H$8/100*($A6-1))*(1+马仔追债辅助表!$H$9/100*(马仔追债辅助表!$H$10-1)),0)</f>
        <v>7356</v>
      </c>
      <c r="C6">
        <f>ROUND(SUMIF(D_马仔追债任务表!$A$2:$A$6,马仔追债辅助表!$H$7,马仔追债辅助表!$H$14:$H$18)*(1+马仔追债辅助表!$H$8/100*($A6-1))*(1+马仔追债辅助表!$H$9/100*(马仔追债辅助表!$H$10-1)),0)</f>
        <v>655</v>
      </c>
      <c r="D6">
        <f>D_马仔经验!B6</f>
        <v>113</v>
      </c>
      <c r="E6">
        <f>D_马仔经验!I7</f>
        <v>523</v>
      </c>
    </row>
    <row r="7" spans="1:12">
      <c r="A7">
        <v>6</v>
      </c>
      <c r="B7">
        <f ca="1">ROUND(SUMIF(D_马仔追债任务表!$A$2:$A$6,马仔追债辅助表!$H$7,马仔追债辅助表!$G$14:$G$18)*(1+马仔追债辅助表!$H$8/100*($A7-1))*(1+马仔追债辅助表!$H$9/100*(马仔追债辅助表!$H$10-1)),0)</f>
        <v>7426</v>
      </c>
      <c r="C7">
        <f>ROUND(SUMIF(D_马仔追债任务表!$A$2:$A$6,马仔追债辅助表!$H$7,马仔追债辅助表!$H$14:$H$18)*(1+马仔追债辅助表!$H$8/100*($A7-1))*(1+马仔追债辅助表!$H$9/100*(马仔追债辅助表!$H$10-1)),0)</f>
        <v>662</v>
      </c>
      <c r="D7">
        <f>D_马仔经验!B7</f>
        <v>122</v>
      </c>
      <c r="E7">
        <f>D_马仔经验!I8</f>
        <v>645</v>
      </c>
      <c r="G7" s="6" t="s">
        <v>580</v>
      </c>
      <c r="H7" s="106">
        <v>3</v>
      </c>
    </row>
    <row r="8" spans="1:12">
      <c r="A8">
        <v>7</v>
      </c>
      <c r="B8">
        <f ca="1">ROUND(SUMIF(D_马仔追债任务表!$A$2:$A$6,马仔追债辅助表!$H$7,马仔追债辅助表!$G$14:$G$18)*(1+马仔追债辅助表!$H$8/100*($A8-1))*(1+马仔追债辅助表!$H$9/100*(马仔追债辅助表!$H$10-1)),0)</f>
        <v>7497</v>
      </c>
      <c r="C8">
        <f>ROUND(SUMIF(D_马仔追债任务表!$A$2:$A$6,马仔追债辅助表!$H$7,马仔追债辅助表!$H$14:$H$18)*(1+马仔追债辅助表!$H$8/100*($A8-1))*(1+马仔追债辅助表!$H$9/100*(马仔追债辅助表!$H$10-1)),0)</f>
        <v>668</v>
      </c>
      <c r="D8">
        <f>D_马仔经验!B8</f>
        <v>136</v>
      </c>
      <c r="E8">
        <f>D_马仔经验!I9</f>
        <v>781</v>
      </c>
      <c r="G8" s="6" t="s">
        <v>576</v>
      </c>
      <c r="H8" s="106">
        <v>1</v>
      </c>
      <c r="J8" s="104" t="s">
        <v>574</v>
      </c>
    </row>
    <row r="9" spans="1:12">
      <c r="A9">
        <v>8</v>
      </c>
      <c r="B9">
        <f ca="1">ROUND(SUMIF(D_马仔追债任务表!$A$2:$A$6,马仔追债辅助表!$H$7,马仔追债辅助表!$G$14:$G$18)*(1+马仔追债辅助表!$H$8/100*($A9-1))*(1+马仔追债辅助表!$H$9/100*(马仔追债辅助表!$H$10-1)),0)</f>
        <v>7568</v>
      </c>
      <c r="C9">
        <f>ROUND(SUMIF(D_马仔追债任务表!$A$2:$A$6,马仔追债辅助表!$H$7,马仔追债辅助表!$H$14:$H$18)*(1+马仔追债辅助表!$H$8/100*($A9-1))*(1+马仔追债辅助表!$H$9/100*(马仔追债辅助表!$H$10-1)),0)</f>
        <v>674</v>
      </c>
      <c r="D9">
        <f>D_马仔经验!B9</f>
        <v>155</v>
      </c>
      <c r="E9">
        <f>D_马仔经验!I10</f>
        <v>936</v>
      </c>
      <c r="G9" s="6" t="s">
        <v>577</v>
      </c>
      <c r="H9" s="106">
        <v>20</v>
      </c>
    </row>
    <row r="10" spans="1:12">
      <c r="A10">
        <v>9</v>
      </c>
      <c r="B10">
        <f ca="1">ROUND(SUMIF(D_马仔追债任务表!$A$2:$A$6,马仔追债辅助表!$H$7,马仔追债辅助表!$G$14:$G$18)*(1+马仔追债辅助表!$H$8/100*($A10-1))*(1+马仔追债辅助表!$H$9/100*(马仔追债辅助表!$H$10-1)),0)</f>
        <v>7639</v>
      </c>
      <c r="C10">
        <f>ROUND(SUMIF(D_马仔追债任务表!$A$2:$A$6,马仔追债辅助表!$H$7,马仔追债辅助表!$H$14:$H$18)*(1+马仔追债辅助表!$H$8/100*($A10-1))*(1+马仔追债辅助表!$H$9/100*(马仔追债辅助表!$H$10-1)),0)</f>
        <v>680</v>
      </c>
      <c r="D10">
        <f>D_马仔经验!B10</f>
        <v>180</v>
      </c>
      <c r="E10">
        <f>D_马仔经验!I11</f>
        <v>1116</v>
      </c>
      <c r="G10" s="29" t="s">
        <v>581</v>
      </c>
      <c r="H10" s="106">
        <v>2</v>
      </c>
    </row>
    <row r="11" spans="1:12">
      <c r="A11">
        <v>10</v>
      </c>
      <c r="B11">
        <f ca="1">ROUND(SUMIF(D_马仔追债任务表!$A$2:$A$6,马仔追债辅助表!$H$7,马仔追债辅助表!$G$14:$G$18)*(1+马仔追债辅助表!$H$8/100*($A11-1))*(1+马仔追债辅助表!$H$9/100*(马仔追债辅助表!$H$10-1)),0)</f>
        <v>7709</v>
      </c>
      <c r="C11">
        <f>ROUND(SUMIF(D_马仔追债任务表!$A$2:$A$6,马仔追债辅助表!$H$7,马仔追债辅助表!$H$14:$H$18)*(1+马仔追债辅助表!$H$8/100*($A11-1))*(1+马仔追债辅助表!$H$9/100*(马仔追债辅助表!$H$10-1)),0)</f>
        <v>687</v>
      </c>
      <c r="D11">
        <f>D_马仔经验!B11</f>
        <v>213</v>
      </c>
      <c r="E11">
        <f>D_马仔经验!I12</f>
        <v>1329</v>
      </c>
    </row>
    <row r="12" spans="1:12">
      <c r="A12">
        <v>11</v>
      </c>
      <c r="B12">
        <f ca="1">ROUND(SUMIF(D_马仔追债任务表!$A$2:$A$6,马仔追债辅助表!$H$7,马仔追债辅助表!$G$14:$G$18)*(1+马仔追债辅助表!$H$8/100*($A12-1))*(1+马仔追债辅助表!$H$9/100*(马仔追债辅助表!$H$10-1)),0)</f>
        <v>7780</v>
      </c>
      <c r="C12">
        <f>ROUND(SUMIF(D_马仔追债任务表!$A$2:$A$6,马仔追债辅助表!$H$7,马仔追债辅助表!$H$14:$H$18)*(1+马仔追债辅助表!$H$8/100*($A12-1))*(1+马仔追债辅助表!$H$9/100*(马仔追债辅助表!$H$10-1)),0)</f>
        <v>693</v>
      </c>
      <c r="D12">
        <f>D_马仔经验!B12</f>
        <v>253</v>
      </c>
      <c r="E12">
        <f>D_马仔经验!I13</f>
        <v>1582</v>
      </c>
      <c r="G12">
        <f ca="1">INT([3]金币投放!$N$14)</f>
        <v>8981</v>
      </c>
    </row>
    <row r="13" spans="1:12">
      <c r="A13">
        <v>12</v>
      </c>
      <c r="B13">
        <f ca="1">ROUND(SUMIF(D_马仔追债任务表!$A$2:$A$6,马仔追债辅助表!$H$7,马仔追债辅助表!$G$14:$G$18)*(1+马仔追债辅助表!$H$8/100*($A13-1))*(1+马仔追债辅助表!$H$9/100*(马仔追债辅助表!$H$10-1)),0)</f>
        <v>7851</v>
      </c>
      <c r="C13">
        <f>ROUND(SUMIF(D_马仔追债任务表!$A$2:$A$6,马仔追债辅助表!$H$7,马仔追债辅助表!$H$14:$H$18)*(1+马仔追债辅助表!$H$8/100*($A13-1))*(1+马仔追债辅助表!$H$9/100*(马仔追债辅助表!$H$10-1)),0)</f>
        <v>699</v>
      </c>
      <c r="D13">
        <f>D_马仔经验!B13</f>
        <v>303</v>
      </c>
      <c r="E13">
        <f>D_马仔经验!I14</f>
        <v>1885</v>
      </c>
      <c r="G13" s="6" t="s">
        <v>385</v>
      </c>
      <c r="H13" s="6" t="s">
        <v>386</v>
      </c>
    </row>
    <row r="14" spans="1:12">
      <c r="A14">
        <v>13</v>
      </c>
      <c r="B14">
        <f ca="1">ROUND(SUMIF(D_马仔追债任务表!$A$2:$A$6,马仔追债辅助表!$H$7,马仔追债辅助表!$G$14:$G$18)*(1+马仔追债辅助表!$H$8/100*($A14-1))*(1+马仔追债辅助表!$H$9/100*(马仔追债辅助表!$H$10-1)),0)</f>
        <v>7922</v>
      </c>
      <c r="C14">
        <f>ROUND(SUMIF(D_马仔追债任务表!$A$2:$A$6,马仔追债辅助表!$H$7,马仔追债辅助表!$H$14:$H$18)*(1+马仔追债辅助表!$H$8/100*($A14-1))*(1+马仔追债辅助表!$H$9/100*(马仔追债辅助表!$H$10-1)),0)</f>
        <v>706</v>
      </c>
      <c r="D14">
        <f>D_马仔经验!B14</f>
        <v>363</v>
      </c>
      <c r="E14">
        <f>D_马仔经验!I15</f>
        <v>2248</v>
      </c>
      <c r="G14" s="6">
        <f ca="1">INT([3]金币投放!$N$14/2/2)</f>
        <v>2245</v>
      </c>
      <c r="H14" s="6">
        <v>200</v>
      </c>
      <c r="I14">
        <v>1</v>
      </c>
      <c r="K14">
        <v>1</v>
      </c>
    </row>
    <row r="15" spans="1:12">
      <c r="A15">
        <v>14</v>
      </c>
      <c r="B15">
        <f ca="1">ROUND(SUMIF(D_马仔追债任务表!$A$2:$A$6,马仔追债辅助表!$H$7,马仔追债辅助表!$G$14:$G$18)*(1+马仔追债辅助表!$H$8/100*($A15-1))*(1+马仔追债辅助表!$H$9/100*(马仔追债辅助表!$H$10-1)),0)</f>
        <v>7992</v>
      </c>
      <c r="C15">
        <f>ROUND(SUMIF(D_马仔追债任务表!$A$2:$A$6,马仔追债辅助表!$H$7,马仔追债辅助表!$H$14:$H$18)*(1+马仔追债辅助表!$H$8/100*($A15-1))*(1+马仔追债辅助表!$H$9/100*(马仔追债辅助表!$H$10-1)),0)</f>
        <v>712</v>
      </c>
      <c r="D15">
        <f>D_马仔经验!B15</f>
        <v>435</v>
      </c>
      <c r="E15">
        <f>D_马仔经验!I16</f>
        <v>2683</v>
      </c>
      <c r="G15" s="6">
        <f ca="1">ROUND(G14*I15,0)</f>
        <v>3368</v>
      </c>
      <c r="H15" s="6">
        <f>ROUND(H14*I15,0)</f>
        <v>300</v>
      </c>
      <c r="I15">
        <v>1.5</v>
      </c>
      <c r="J15">
        <f ca="1">G15-G14</f>
        <v>1123</v>
      </c>
      <c r="K15">
        <v>1.25</v>
      </c>
      <c r="L15">
        <f>H15-H14</f>
        <v>100</v>
      </c>
    </row>
    <row r="16" spans="1:12">
      <c r="A16">
        <v>15</v>
      </c>
      <c r="B16">
        <f ca="1">ROUND(SUMIF(D_马仔追债任务表!$A$2:$A$6,马仔追债辅助表!$H$7,马仔追债辅助表!$G$14:$G$18)*(1+马仔追债辅助表!$H$8/100*($A16-1))*(1+马仔追债辅助表!$H$9/100*(马仔追债辅助表!$H$10-1)),0)</f>
        <v>8063</v>
      </c>
      <c r="C16">
        <f>ROUND(SUMIF(D_马仔追债任务表!$A$2:$A$6,马仔追债辅助表!$H$7,马仔追债辅助表!$H$14:$H$18)*(1+马仔追债辅助表!$H$8/100*($A16-1))*(1+马仔追债辅助表!$H$9/100*(马仔追债辅助表!$H$10-1)),0)</f>
        <v>718</v>
      </c>
      <c r="D16">
        <f>D_马仔经验!B16</f>
        <v>520</v>
      </c>
      <c r="E16">
        <f>D_马仔经验!I17</f>
        <v>3203</v>
      </c>
      <c r="G16" s="6">
        <f ca="1">ROUND(G15*I16,0)</f>
        <v>5894</v>
      </c>
      <c r="H16" s="6">
        <f t="shared" ref="H16:H18" si="0">ROUND(H15*I16,0)</f>
        <v>525</v>
      </c>
      <c r="I16">
        <v>1.75</v>
      </c>
      <c r="J16">
        <f ca="1">G16-G15</f>
        <v>2526</v>
      </c>
      <c r="K16">
        <v>1.6</v>
      </c>
      <c r="L16">
        <f t="shared" ref="L16:L18" si="1">H16-H15</f>
        <v>225</v>
      </c>
    </row>
    <row r="17" spans="1:12">
      <c r="A17">
        <v>16</v>
      </c>
      <c r="B17">
        <f ca="1">ROUND(SUMIF(D_马仔追债任务表!$A$2:$A$6,马仔追债辅助表!$H$7,马仔追债辅助表!$G$14:$G$18)*(1+马仔追债辅助表!$H$8/100*($A17-1))*(1+马仔追债辅助表!$H$9/100*(马仔追债辅助表!$H$10-1)),0)</f>
        <v>8134</v>
      </c>
      <c r="C17">
        <f>ROUND(SUMIF(D_马仔追债任务表!$A$2:$A$6,马仔追债辅助表!$H$7,马仔追债辅助表!$H$14:$H$18)*(1+马仔追债辅助表!$H$8/100*($A17-1))*(1+马仔追债辅助表!$H$9/100*(马仔追债辅助表!$H$10-1)),0)</f>
        <v>725</v>
      </c>
      <c r="D17">
        <f>D_马仔经验!B17</f>
        <v>620</v>
      </c>
      <c r="E17">
        <f>D_马仔经验!I18</f>
        <v>3823</v>
      </c>
      <c r="G17" s="6">
        <f ca="1">ROUND(G16*I17,0)</f>
        <v>8841</v>
      </c>
      <c r="H17" s="6">
        <f t="shared" si="0"/>
        <v>788</v>
      </c>
      <c r="I17">
        <v>1.5</v>
      </c>
      <c r="J17">
        <f ca="1">G17-G16</f>
        <v>2947</v>
      </c>
      <c r="K17">
        <v>1.5</v>
      </c>
      <c r="L17">
        <f t="shared" si="1"/>
        <v>263</v>
      </c>
    </row>
    <row r="18" spans="1:12">
      <c r="A18">
        <v>17</v>
      </c>
      <c r="B18">
        <f ca="1">ROUND(SUMIF(D_马仔追债任务表!$A$2:$A$6,马仔追债辅助表!$H$7,马仔追债辅助表!$G$14:$G$18)*(1+马仔追债辅助表!$H$8/100*($A18-1))*(1+马仔追债辅助表!$H$9/100*(马仔追债辅助表!$H$10-1)),0)</f>
        <v>8204</v>
      </c>
      <c r="C18">
        <f>ROUND(SUMIF(D_马仔追债任务表!$A$2:$A$6,马仔追债辅助表!$H$7,马仔追债辅助表!$H$14:$H$18)*(1+马仔追债辅助表!$H$8/100*($A18-1))*(1+马仔追债辅助表!$H$9/100*(马仔追债辅助表!$H$10-1)),0)</f>
        <v>731</v>
      </c>
      <c r="D18">
        <f>D_马仔经验!B18</f>
        <v>735</v>
      </c>
      <c r="E18">
        <f>D_马仔经验!I19</f>
        <v>4558</v>
      </c>
      <c r="G18" s="6">
        <f ca="1">ROUND(G17*I18,0)</f>
        <v>14735</v>
      </c>
      <c r="H18" s="6">
        <f t="shared" si="0"/>
        <v>1313</v>
      </c>
      <c r="I18">
        <v>1.6666666999999999</v>
      </c>
      <c r="J18">
        <f ca="1">G18-G17</f>
        <v>5894</v>
      </c>
      <c r="K18">
        <v>1.4</v>
      </c>
      <c r="L18">
        <f t="shared" si="1"/>
        <v>525</v>
      </c>
    </row>
    <row r="19" spans="1:12">
      <c r="A19">
        <v>18</v>
      </c>
      <c r="B19">
        <f ca="1">ROUND(SUMIF(D_马仔追债任务表!$A$2:$A$6,马仔追债辅助表!$H$7,马仔追债辅助表!$G$14:$G$18)*(1+马仔追债辅助表!$H$8/100*($A19-1))*(1+马仔追债辅助表!$H$9/100*(马仔追债辅助表!$H$10-1)),0)</f>
        <v>8275</v>
      </c>
      <c r="C19">
        <f>ROUND(SUMIF(D_马仔追债任务表!$A$2:$A$6,马仔追债辅助表!$H$7,马仔追债辅助表!$H$14:$H$18)*(1+马仔追债辅助表!$H$8/100*($A19-1))*(1+马仔追债辅助表!$H$9/100*(马仔追债辅助表!$H$10-1)),0)</f>
        <v>737</v>
      </c>
      <c r="D19">
        <f>D_马仔经验!B19</f>
        <v>868</v>
      </c>
      <c r="E19">
        <f>D_马仔经验!I20</f>
        <v>5426</v>
      </c>
    </row>
    <row r="20" spans="1:12">
      <c r="A20">
        <v>19</v>
      </c>
      <c r="B20">
        <f ca="1">ROUND(SUMIF(D_马仔追债任务表!$A$2:$A$6,马仔追债辅助表!$H$7,马仔追债辅助表!$G$14:$G$18)*(1+马仔追债辅助表!$H$8/100*($A20-1))*(1+马仔追债辅助表!$H$9/100*(马仔追债辅助表!$H$10-1)),0)</f>
        <v>8346</v>
      </c>
      <c r="C20">
        <f>ROUND(SUMIF(D_马仔追债任务表!$A$2:$A$6,马仔追债辅助表!$H$7,马仔追债辅助表!$H$14:$H$18)*(1+马仔追债辅助表!$H$8/100*($A20-1))*(1+马仔追债辅助表!$H$9/100*(马仔追债辅助表!$H$10-1)),0)</f>
        <v>743</v>
      </c>
      <c r="D20">
        <f>D_马仔经验!B20</f>
        <v>1019</v>
      </c>
      <c r="E20">
        <f>D_马仔经验!I21</f>
        <v>6445</v>
      </c>
      <c r="H20">
        <v>350</v>
      </c>
    </row>
    <row r="21" spans="1:12">
      <c r="A21">
        <v>20</v>
      </c>
      <c r="B21">
        <f ca="1">ROUND(SUMIF(D_马仔追债任务表!$A$2:$A$6,马仔追债辅助表!$H$7,马仔追债辅助表!$G$14:$G$18)*(1+马仔追债辅助表!$H$8/100*($A21-1))*(1+马仔追债辅助表!$H$9/100*(马仔追债辅助表!$H$10-1)),0)</f>
        <v>8417</v>
      </c>
      <c r="C21">
        <f>ROUND(SUMIF(D_马仔追债任务表!$A$2:$A$6,马仔追债辅助表!$H$7,马仔追债辅助表!$H$14:$H$18)*(1+马仔追债辅助表!$H$8/100*($A21-1))*(1+马仔追债辅助表!$H$9/100*(马仔追债辅助表!$H$10-1)),0)</f>
        <v>750</v>
      </c>
      <c r="D21">
        <f>D_马仔经验!B21</f>
        <v>1192</v>
      </c>
      <c r="E21">
        <f>D_马仔经验!I22</f>
        <v>7637</v>
      </c>
    </row>
    <row r="22" spans="1:12">
      <c r="A22">
        <v>21</v>
      </c>
      <c r="B22">
        <f ca="1">ROUND(SUMIF(D_马仔追债任务表!$A$2:$A$6,马仔追债辅助表!$H$7,马仔追债辅助表!$G$14:$G$18)*(1+马仔追债辅助表!$H$8/100*($A22-1))*(1+马仔追债辅助表!$H$9/100*(马仔追债辅助表!$H$10-1)),0)</f>
        <v>8487</v>
      </c>
      <c r="C22">
        <f>ROUND(SUMIF(D_马仔追债任务表!$A$2:$A$6,马仔追债辅助表!$H$7,马仔追债辅助表!$H$14:$H$18)*(1+马仔追债辅助表!$H$8/100*($A22-1))*(1+马仔追债辅助表!$H$9/100*(马仔追债辅助表!$H$10-1)),0)</f>
        <v>756</v>
      </c>
      <c r="D22">
        <f>D_马仔经验!B22</f>
        <v>1386</v>
      </c>
      <c r="E22">
        <f>D_马仔经验!I23</f>
        <v>9023</v>
      </c>
      <c r="G22" t="s">
        <v>661</v>
      </c>
    </row>
    <row r="23" spans="1:12">
      <c r="A23">
        <v>22</v>
      </c>
      <c r="B23">
        <f ca="1">ROUND(SUMIF(D_马仔追债任务表!$A$2:$A$6,马仔追债辅助表!$H$7,马仔追债辅助表!$G$14:$G$18)*(1+马仔追债辅助表!$H$8/100*($A23-1))*(1+马仔追债辅助表!$H$9/100*(马仔追债辅助表!$H$10-1)),0)</f>
        <v>8558</v>
      </c>
      <c r="C23">
        <f>ROUND(SUMIF(D_马仔追债任务表!$A$2:$A$6,马仔追债辅助表!$H$7,马仔追债辅助表!$H$14:$H$18)*(1+马仔追债辅助表!$H$8/100*($A23-1))*(1+马仔追债辅助表!$H$9/100*(马仔追债辅助表!$H$10-1)),0)</f>
        <v>762</v>
      </c>
      <c r="D23">
        <f>D_马仔经验!B23</f>
        <v>1604</v>
      </c>
      <c r="E23">
        <f>D_马仔经验!I24</f>
        <v>10627</v>
      </c>
      <c r="G23">
        <v>1</v>
      </c>
      <c r="H23">
        <v>1300</v>
      </c>
    </row>
    <row r="24" spans="1:12">
      <c r="A24">
        <v>23</v>
      </c>
      <c r="B24">
        <f ca="1">ROUND(SUMIF(D_马仔追债任务表!$A$2:$A$6,马仔追债辅助表!$H$7,马仔追债辅助表!$G$14:$G$18)*(1+马仔追债辅助表!$H$8/100*($A24-1))*(1+马仔追债辅助表!$H$9/100*(马仔追债辅助表!$H$10-1)),0)</f>
        <v>8629</v>
      </c>
      <c r="C24">
        <f>ROUND(SUMIF(D_马仔追债任务表!$A$2:$A$6,马仔追债辅助表!$H$7,马仔追债辅助表!$H$14:$H$18)*(1+马仔追债辅助表!$H$8/100*($A24-1))*(1+马仔追债辅助表!$H$9/100*(马仔追债辅助表!$H$10-1)),0)</f>
        <v>769</v>
      </c>
      <c r="D24">
        <f>D_马仔经验!B24</f>
        <v>1848</v>
      </c>
      <c r="E24">
        <f>D_马仔经验!I25</f>
        <v>12475</v>
      </c>
      <c r="G24">
        <v>2</v>
      </c>
      <c r="H24">
        <v>2000</v>
      </c>
      <c r="I24">
        <f>H24/H23</f>
        <v>1.5384615384615385</v>
      </c>
    </row>
    <row r="25" spans="1:12">
      <c r="A25">
        <v>24</v>
      </c>
      <c r="B25">
        <f ca="1">ROUND(SUMIF(D_马仔追债任务表!$A$2:$A$6,马仔追债辅助表!$H$7,马仔追债辅助表!$G$14:$G$18)*(1+马仔追债辅助表!$H$8/100*($A25-1))*(1+马仔追债辅助表!$H$9/100*(马仔追债辅助表!$H$10-1)),0)</f>
        <v>8700</v>
      </c>
      <c r="C25">
        <f>ROUND(SUMIF(D_马仔追债任务表!$A$2:$A$6,马仔追债辅助表!$H$7,马仔追债辅助表!$H$14:$H$18)*(1+马仔追债辅助表!$H$8/100*($A25-1))*(1+马仔追债辅助表!$H$9/100*(马仔追债辅助表!$H$10-1)),0)</f>
        <v>775</v>
      </c>
      <c r="D25">
        <f>D_马仔经验!B25</f>
        <v>2119</v>
      </c>
      <c r="E25">
        <f>D_马仔经验!I26</f>
        <v>14594</v>
      </c>
      <c r="G25">
        <v>3</v>
      </c>
      <c r="H25">
        <v>3000</v>
      </c>
      <c r="I25">
        <f t="shared" ref="I25:I27" si="2">H25/H24</f>
        <v>1.5</v>
      </c>
    </row>
    <row r="26" spans="1:12">
      <c r="A26">
        <v>25</v>
      </c>
      <c r="B26">
        <f ca="1">ROUND(SUMIF(D_马仔追债任务表!$A$2:$A$6,马仔追债辅助表!$H$7,马仔追债辅助表!$G$14:$G$18)*(1+马仔追债辅助表!$H$8/100*($A26-1))*(1+马仔追债辅助表!$H$9/100*(马仔追债辅助表!$H$10-1)),0)</f>
        <v>8770</v>
      </c>
      <c r="C26">
        <f>ROUND(SUMIF(D_马仔追债任务表!$A$2:$A$6,马仔追债辅助表!$H$7,马仔追债辅助表!$H$14:$H$18)*(1+马仔追债辅助表!$H$8/100*($A26-1))*(1+马仔追债辅助表!$H$9/100*(马仔追债辅助表!$H$10-1)),0)</f>
        <v>781</v>
      </c>
      <c r="D26">
        <f>D_马仔经验!B26</f>
        <v>2419</v>
      </c>
      <c r="E26">
        <f>D_马仔经验!I27</f>
        <v>17013</v>
      </c>
      <c r="G26">
        <v>4</v>
      </c>
      <c r="H26">
        <v>4250</v>
      </c>
      <c r="I26">
        <f t="shared" si="2"/>
        <v>1.4166666666666667</v>
      </c>
    </row>
    <row r="27" spans="1:12">
      <c r="A27">
        <v>26</v>
      </c>
      <c r="B27">
        <f ca="1">ROUND(SUMIF(D_马仔追债任务表!$A$2:$A$6,马仔追债辅助表!$H$7,马仔追债辅助表!$G$14:$G$18)*(1+马仔追债辅助表!$H$8/100*($A27-1))*(1+马仔追债辅助表!$H$9/100*(马仔追债辅助表!$H$10-1)),0)</f>
        <v>8841</v>
      </c>
      <c r="C27">
        <f>ROUND(SUMIF(D_马仔追债任务表!$A$2:$A$6,马仔追债辅助表!$H$7,马仔追债辅助表!$H$14:$H$18)*(1+马仔追债辅助表!$H$8/100*($A27-1))*(1+马仔追债辅助表!$H$9/100*(马仔追债辅助表!$H$10-1)),0)</f>
        <v>788</v>
      </c>
      <c r="D27">
        <f>D_马仔经验!B27</f>
        <v>2751</v>
      </c>
      <c r="E27">
        <f>D_马仔经验!I28</f>
        <v>19764</v>
      </c>
      <c r="G27">
        <v>5</v>
      </c>
      <c r="H27">
        <v>6500</v>
      </c>
      <c r="I27">
        <f t="shared" si="2"/>
        <v>1.5294117647058822</v>
      </c>
    </row>
    <row r="28" spans="1:12">
      <c r="A28">
        <v>27</v>
      </c>
      <c r="B28">
        <f ca="1">ROUND(SUMIF(D_马仔追债任务表!$A$2:$A$6,马仔追债辅助表!$H$7,马仔追债辅助表!$G$14:$G$18)*(1+马仔追债辅助表!$H$8/100*($A28-1))*(1+马仔追债辅助表!$H$9/100*(马仔追债辅助表!$H$10-1)),0)</f>
        <v>8912</v>
      </c>
      <c r="C28">
        <f>ROUND(SUMIF(D_马仔追债任务表!$A$2:$A$6,马仔追债辅助表!$H$7,马仔追债辅助表!$H$14:$H$18)*(1+马仔追债辅助表!$H$8/100*($A28-1))*(1+马仔追债辅助表!$H$9/100*(马仔追债辅助表!$H$10-1)),0)</f>
        <v>794</v>
      </c>
      <c r="D28">
        <f>D_马仔经验!B28</f>
        <v>3116</v>
      </c>
      <c r="E28">
        <f>D_马仔经验!I29</f>
        <v>22880</v>
      </c>
    </row>
    <row r="29" spans="1:12">
      <c r="A29">
        <v>28</v>
      </c>
      <c r="B29">
        <f ca="1">ROUND(SUMIF(D_马仔追债任务表!$A$2:$A$6,马仔追债辅助表!$H$7,马仔追债辅助表!$G$14:$G$18)*(1+马仔追债辅助表!$H$8/100*($A29-1))*(1+马仔追债辅助表!$H$9/100*(马仔追债辅助表!$H$10-1)),0)</f>
        <v>8982</v>
      </c>
      <c r="C29">
        <f>ROUND(SUMIF(D_马仔追债任务表!$A$2:$A$6,马仔追债辅助表!$H$7,马仔追债辅助表!$H$14:$H$18)*(1+马仔追债辅助表!$H$8/100*($A29-1))*(1+马仔追债辅助表!$H$9/100*(马仔追债辅助表!$H$10-1)),0)</f>
        <v>800</v>
      </c>
      <c r="D29">
        <f>D_马仔经验!B29</f>
        <v>3517</v>
      </c>
      <c r="E29">
        <f>D_马仔经验!I30</f>
        <v>26397</v>
      </c>
    </row>
    <row r="30" spans="1:12">
      <c r="A30">
        <v>29</v>
      </c>
      <c r="B30">
        <f ca="1">ROUND(SUMIF(D_马仔追债任务表!$A$2:$A$6,马仔追债辅助表!$H$7,马仔追债辅助表!$G$14:$G$18)*(1+马仔追债辅助表!$H$8/100*($A30-1))*(1+马仔追债辅助表!$H$9/100*(马仔追债辅助表!$H$10-1)),0)</f>
        <v>9053</v>
      </c>
      <c r="C30">
        <f>ROUND(SUMIF(D_马仔追债任务表!$A$2:$A$6,马仔追债辅助表!$H$7,马仔追债辅助表!$H$14:$H$18)*(1+马仔追债辅助表!$H$8/100*($A30-1))*(1+马仔追债辅助表!$H$9/100*(马仔追债辅助表!$H$10-1)),0)</f>
        <v>806</v>
      </c>
      <c r="D30">
        <f>D_马仔经验!B30</f>
        <v>3955</v>
      </c>
      <c r="E30">
        <f>D_马仔经验!I31</f>
        <v>30352</v>
      </c>
    </row>
    <row r="31" spans="1:12">
      <c r="A31">
        <v>30</v>
      </c>
      <c r="B31">
        <f ca="1">ROUND(SUMIF(D_马仔追债任务表!$A$2:$A$6,马仔追债辅助表!$H$7,马仔追债辅助表!$G$14:$G$18)*(1+马仔追债辅助表!$H$8/100*($A31-1))*(1+马仔追债辅助表!$H$9/100*(马仔追债辅助表!$H$10-1)),0)</f>
        <v>9124</v>
      </c>
      <c r="C31">
        <f>ROUND(SUMIF(D_马仔追债任务表!$A$2:$A$6,马仔追债辅助表!$H$7,马仔追债辅助表!$H$14:$H$18)*(1+马仔追债辅助表!$H$8/100*($A31-1))*(1+马仔追债辅助表!$H$9/100*(马仔追债辅助表!$H$10-1)),0)</f>
        <v>813</v>
      </c>
      <c r="D31">
        <f>D_马仔经验!B31</f>
        <v>4432</v>
      </c>
      <c r="E31">
        <f>D_马仔经验!I32</f>
        <v>34784</v>
      </c>
    </row>
    <row r="32" spans="1:12">
      <c r="A32">
        <v>31</v>
      </c>
      <c r="B32">
        <f ca="1">ROUND(SUMIF(D_马仔追债任务表!$A$2:$A$6,马仔追债辅助表!$H$7,马仔追债辅助表!$G$14:$G$18)*(1+马仔追债辅助表!$H$8/100*($A32-1))*(1+马仔追债辅助表!$H$9/100*(马仔追债辅助表!$H$10-1)),0)</f>
        <v>9195</v>
      </c>
      <c r="C32">
        <f>ROUND(SUMIF(D_马仔追债任务表!$A$2:$A$6,马仔追债辅助表!$H$7,马仔追债辅助表!$H$14:$H$18)*(1+马仔追债辅助表!$H$8/100*($A32-1))*(1+马仔追债辅助表!$H$9/100*(马仔追债辅助表!$H$10-1)),0)</f>
        <v>819</v>
      </c>
      <c r="D32">
        <f>D_马仔经验!B32</f>
        <v>4951</v>
      </c>
      <c r="E32">
        <f>D_马仔经验!I33</f>
        <v>39735</v>
      </c>
    </row>
    <row r="33" spans="1:5">
      <c r="A33">
        <v>32</v>
      </c>
      <c r="B33">
        <f ca="1">ROUND(SUMIF(D_马仔追债任务表!$A$2:$A$6,马仔追债辅助表!$H$7,马仔追债辅助表!$G$14:$G$18)*(1+马仔追债辅助表!$H$8/100*($A33-1))*(1+马仔追债辅助表!$H$9/100*(马仔追债辅助表!$H$10-1)),0)</f>
        <v>9265</v>
      </c>
      <c r="C33">
        <f>ROUND(SUMIF(D_马仔追债任务表!$A$2:$A$6,马仔追债辅助表!$H$7,马仔追债辅助表!$H$14:$H$18)*(1+马仔追债辅助表!$H$8/100*($A33-1))*(1+马仔追债辅助表!$H$9/100*(马仔追债辅助表!$H$10-1)),0)</f>
        <v>825</v>
      </c>
      <c r="D33">
        <f>D_马仔经验!B33</f>
        <v>5515</v>
      </c>
      <c r="E33">
        <f>D_马仔经验!I34</f>
        <v>45250</v>
      </c>
    </row>
    <row r="34" spans="1:5">
      <c r="A34">
        <v>33</v>
      </c>
      <c r="B34">
        <f ca="1">ROUND(SUMIF(D_马仔追债任务表!$A$2:$A$6,马仔追债辅助表!$H$7,马仔追债辅助表!$G$14:$G$18)*(1+马仔追债辅助表!$H$8/100*($A34-1))*(1+马仔追债辅助表!$H$9/100*(马仔追债辅助表!$H$10-1)),0)</f>
        <v>9336</v>
      </c>
      <c r="C34">
        <f>ROUND(SUMIF(D_马仔追债任务表!$A$2:$A$6,马仔追债辅助表!$H$7,马仔追债辅助表!$H$14:$H$18)*(1+马仔追债辅助表!$H$8/100*($A34-1))*(1+马仔追债辅助表!$H$9/100*(马仔追债辅助表!$H$10-1)),0)</f>
        <v>832</v>
      </c>
      <c r="D34">
        <f>D_马仔经验!B34</f>
        <v>6125</v>
      </c>
      <c r="E34">
        <f>D_马仔经验!I35</f>
        <v>51375</v>
      </c>
    </row>
    <row r="35" spans="1:5">
      <c r="A35">
        <v>34</v>
      </c>
      <c r="B35">
        <f ca="1">ROUND(SUMIF(D_马仔追债任务表!$A$2:$A$6,马仔追债辅助表!$H$7,马仔追债辅助表!$G$14:$G$18)*(1+马仔追债辅助表!$H$8/100*($A35-1))*(1+马仔追债辅助表!$H$9/100*(马仔追债辅助表!$H$10-1)),0)</f>
        <v>9407</v>
      </c>
      <c r="C35">
        <f>ROUND(SUMIF(D_马仔追债任务表!$A$2:$A$6,马仔追债辅助表!$H$7,马仔追债辅助表!$H$14:$H$18)*(1+马仔追债辅助表!$H$8/100*($A35-1))*(1+马仔追债辅助表!$H$9/100*(马仔追债辅助表!$H$10-1)),0)</f>
        <v>838</v>
      </c>
      <c r="D35">
        <f>D_马仔经验!B35</f>
        <v>6784</v>
      </c>
      <c r="E35">
        <f>D_马仔经验!I36</f>
        <v>58159</v>
      </c>
    </row>
    <row r="36" spans="1:5">
      <c r="A36">
        <v>35</v>
      </c>
      <c r="B36">
        <f ca="1">ROUND(SUMIF(D_马仔追债任务表!$A$2:$A$6,马仔追债辅助表!$H$7,马仔追债辅助表!$G$14:$G$18)*(1+马仔追债辅助表!$H$8/100*($A36-1))*(1+马仔追债辅助表!$H$9/100*(马仔追债辅助表!$H$10-1)),0)</f>
        <v>9478</v>
      </c>
      <c r="C36">
        <f>ROUND(SUMIF(D_马仔追债任务表!$A$2:$A$6,马仔追债辅助表!$H$7,马仔追债辅助表!$H$14:$H$18)*(1+马仔追债辅助表!$H$8/100*($A36-1))*(1+马仔追债辅助表!$H$9/100*(马仔追债辅助表!$H$10-1)),0)</f>
        <v>844</v>
      </c>
      <c r="D36">
        <f>D_马仔经验!B36</f>
        <v>7494</v>
      </c>
      <c r="E36">
        <f>D_马仔经验!I37</f>
        <v>65653</v>
      </c>
    </row>
    <row r="37" spans="1:5">
      <c r="A37">
        <v>36</v>
      </c>
      <c r="B37">
        <f ca="1">ROUND(SUMIF(D_马仔追债任务表!$A$2:$A$6,马仔追债辅助表!$H$7,马仔追债辅助表!$G$14:$G$18)*(1+马仔追债辅助表!$H$8/100*($A37-1))*(1+马仔追债辅助表!$H$9/100*(马仔追债辅助表!$H$10-1)),0)</f>
        <v>9548</v>
      </c>
      <c r="C37">
        <f>ROUND(SUMIF(D_马仔追债任务表!$A$2:$A$6,马仔追债辅助表!$H$7,马仔追债辅助表!$H$14:$H$18)*(1+马仔追债辅助表!$H$8/100*($A37-1))*(1+马仔追债辅助表!$H$9/100*(马仔追债辅助表!$H$10-1)),0)</f>
        <v>851</v>
      </c>
      <c r="D37">
        <f>D_马仔经验!B37</f>
        <v>8258</v>
      </c>
      <c r="E37">
        <f>D_马仔经验!I38</f>
        <v>73911</v>
      </c>
    </row>
    <row r="38" spans="1:5">
      <c r="A38">
        <v>37</v>
      </c>
      <c r="B38">
        <f ca="1">ROUND(SUMIF(D_马仔追债任务表!$A$2:$A$6,马仔追债辅助表!$H$7,马仔追债辅助表!$G$14:$G$18)*(1+马仔追债辅助表!$H$8/100*($A38-1))*(1+马仔追债辅助表!$H$9/100*(马仔追债辅助表!$H$10-1)),0)</f>
        <v>9619</v>
      </c>
      <c r="C38">
        <f>ROUND(SUMIF(D_马仔追债任务表!$A$2:$A$6,马仔追债辅助表!$H$7,马仔追债辅助表!$H$14:$H$18)*(1+马仔追债辅助表!$H$8/100*($A38-1))*(1+马仔追债辅助表!$H$9/100*(马仔追债辅助表!$H$10-1)),0)</f>
        <v>857</v>
      </c>
      <c r="D38">
        <f>D_马仔经验!B38</f>
        <v>9079</v>
      </c>
      <c r="E38">
        <f>D_马仔经验!I39</f>
        <v>82990</v>
      </c>
    </row>
    <row r="39" spans="1:5">
      <c r="A39">
        <v>38</v>
      </c>
      <c r="B39">
        <f ca="1">ROUND(SUMIF(D_马仔追债任务表!$A$2:$A$6,马仔追债辅助表!$H$7,马仔追债辅助表!$G$14:$G$18)*(1+马仔追债辅助表!$H$8/100*($A39-1))*(1+马仔追债辅助表!$H$9/100*(马仔追债辅助表!$H$10-1)),0)</f>
        <v>9690</v>
      </c>
      <c r="C39">
        <f>ROUND(SUMIF(D_马仔追债任务表!$A$2:$A$6,马仔追债辅助表!$H$7,马仔追债辅助表!$H$14:$H$18)*(1+马仔追债辅助表!$H$8/100*($A39-1))*(1+马仔追债辅助表!$H$9/100*(马仔追债辅助表!$H$10-1)),0)</f>
        <v>863</v>
      </c>
      <c r="D39">
        <f>D_马仔经验!B39</f>
        <v>9959</v>
      </c>
      <c r="E39">
        <f>D_马仔经验!I40</f>
        <v>92949</v>
      </c>
    </row>
    <row r="40" spans="1:5">
      <c r="A40">
        <v>39</v>
      </c>
      <c r="B40">
        <f ca="1">ROUND(SUMIF(D_马仔追债任务表!$A$2:$A$6,马仔追债辅助表!$H$7,马仔追债辅助表!$G$14:$G$18)*(1+马仔追债辅助表!$H$8/100*($A40-1))*(1+马仔追债辅助表!$H$9/100*(马仔追债辅助表!$H$10-1)),0)</f>
        <v>9760</v>
      </c>
      <c r="C40">
        <f>ROUND(SUMIF(D_马仔追债任务表!$A$2:$A$6,马仔追债辅助表!$H$7,马仔追债辅助表!$H$14:$H$18)*(1+马仔追债辅助表!$H$8/100*($A40-1))*(1+马仔追债辅助表!$H$9/100*(马仔追债辅助表!$H$10-1)),0)</f>
        <v>869</v>
      </c>
      <c r="D40">
        <f>D_马仔经验!B40</f>
        <v>10900</v>
      </c>
      <c r="E40">
        <f>D_马仔经验!I41</f>
        <v>103849</v>
      </c>
    </row>
    <row r="41" spans="1:5">
      <c r="A41">
        <v>40</v>
      </c>
      <c r="B41">
        <f ca="1">ROUND(SUMIF(D_马仔追债任务表!$A$2:$A$6,马仔追债辅助表!$H$7,马仔追债辅助表!$G$14:$G$18)*(1+马仔追债辅助表!$H$8/100*($A41-1))*(1+马仔追债辅助表!$H$9/100*(马仔追债辅助表!$H$10-1)),0)</f>
        <v>9831</v>
      </c>
      <c r="C41">
        <f>ROUND(SUMIF(D_马仔追债任务表!$A$2:$A$6,马仔追债辅助表!$H$7,马仔追债辅助表!$H$14:$H$18)*(1+马仔追债辅助表!$H$8/100*($A41-1))*(1+马仔追债辅助表!$H$9/100*(马仔追债辅助表!$H$10-1)),0)</f>
        <v>876</v>
      </c>
      <c r="D41">
        <f>D_马仔经验!B41</f>
        <v>11906</v>
      </c>
      <c r="E41">
        <f>D_马仔经验!I42</f>
        <v>115755</v>
      </c>
    </row>
    <row r="42" spans="1:5">
      <c r="A42">
        <v>41</v>
      </c>
      <c r="B42">
        <f ca="1">ROUND(SUMIF(D_马仔追债任务表!$A$2:$A$6,马仔追债辅助表!$H$7,马仔追债辅助表!$G$14:$G$18)*(1+马仔追债辅助表!$H$8/100*($A42-1))*(1+马仔追债辅助表!$H$9/100*(马仔追债辅助表!$H$10-1)),0)</f>
        <v>9902</v>
      </c>
      <c r="C42">
        <f>ROUND(SUMIF(D_马仔追债任务表!$A$2:$A$6,马仔追债辅助表!$H$7,马仔追债辅助表!$H$14:$H$18)*(1+马仔追债辅助表!$H$8/100*($A42-1))*(1+马仔追债辅助表!$H$9/100*(马仔追债辅助表!$H$10-1)),0)</f>
        <v>882</v>
      </c>
      <c r="D42">
        <f>D_马仔经验!B42</f>
        <v>12980</v>
      </c>
      <c r="E42">
        <f>D_马仔经验!I43</f>
        <v>128735</v>
      </c>
    </row>
    <row r="43" spans="1:5">
      <c r="A43">
        <v>42</v>
      </c>
      <c r="B43">
        <f ca="1">ROUND(SUMIF(D_马仔追债任务表!$A$2:$A$6,马仔追债辅助表!$H$7,马仔追债辅助表!$G$14:$G$18)*(1+马仔追债辅助表!$H$8/100*($A43-1))*(1+马仔追债辅助表!$H$9/100*(马仔追债辅助表!$H$10-1)),0)</f>
        <v>9973</v>
      </c>
      <c r="C43">
        <f>ROUND(SUMIF(D_马仔追债任务表!$A$2:$A$6,马仔追债辅助表!$H$7,马仔追债辅助表!$H$14:$H$18)*(1+马仔追债辅助表!$H$8/100*($A43-1))*(1+马仔追债辅助表!$H$9/100*(马仔追债辅助表!$H$10-1)),0)</f>
        <v>888</v>
      </c>
      <c r="D43">
        <f>D_马仔经验!B43</f>
        <v>14123</v>
      </c>
      <c r="E43">
        <f>D_马仔经验!I44</f>
        <v>142858</v>
      </c>
    </row>
    <row r="44" spans="1:5">
      <c r="A44">
        <v>43</v>
      </c>
      <c r="B44">
        <f ca="1">ROUND(SUMIF(D_马仔追债任务表!$A$2:$A$6,马仔追债辅助表!$H$7,马仔追债辅助表!$G$14:$G$18)*(1+马仔追债辅助表!$H$8/100*($A44-1))*(1+马仔追债辅助表!$H$9/100*(马仔追债辅助表!$H$10-1)),0)</f>
        <v>10043</v>
      </c>
      <c r="C44">
        <f>ROUND(SUMIF(D_马仔追债任务表!$A$2:$A$6,马仔追债辅助表!$H$7,马仔追债辅助表!$H$14:$H$18)*(1+马仔追债辅助表!$H$8/100*($A44-1))*(1+马仔追债辅助表!$H$9/100*(马仔追债辅助表!$H$10-1)),0)</f>
        <v>895</v>
      </c>
      <c r="D44">
        <f>D_马仔经验!B44</f>
        <v>15340</v>
      </c>
      <c r="E44">
        <f>D_马仔经验!I45</f>
        <v>158198</v>
      </c>
    </row>
    <row r="45" spans="1:5">
      <c r="A45">
        <v>44</v>
      </c>
      <c r="B45">
        <f ca="1">ROUND(SUMIF(D_马仔追债任务表!$A$2:$A$6,马仔追债辅助表!$H$7,马仔追债辅助表!$G$14:$G$18)*(1+马仔追债辅助表!$H$8/100*($A45-1))*(1+马仔追债辅助表!$H$9/100*(马仔追债辅助表!$H$10-1)),0)</f>
        <v>10114</v>
      </c>
      <c r="C45">
        <f>ROUND(SUMIF(D_马仔追债任务表!$A$2:$A$6,马仔追债辅助表!$H$7,马仔追债辅助表!$H$14:$H$18)*(1+马仔追债辅助表!$H$8/100*($A45-1))*(1+马仔追债辅助表!$H$9/100*(马仔追债辅助表!$H$10-1)),0)</f>
        <v>901</v>
      </c>
      <c r="D45">
        <f>D_马仔经验!B45</f>
        <v>16633</v>
      </c>
      <c r="E45">
        <f>D_马仔经验!I46</f>
        <v>174831</v>
      </c>
    </row>
    <row r="46" spans="1:5">
      <c r="A46">
        <v>45</v>
      </c>
      <c r="B46">
        <f ca="1">ROUND(SUMIF(D_马仔追债任务表!$A$2:$A$6,马仔追债辅助表!$H$7,马仔追债辅助表!$G$14:$G$18)*(1+马仔追债辅助表!$H$8/100*($A46-1))*(1+马仔追债辅助表!$H$9/100*(马仔追债辅助表!$H$10-1)),0)</f>
        <v>10185</v>
      </c>
      <c r="C46">
        <f>ROUND(SUMIF(D_马仔追债任务表!$A$2:$A$6,马仔追债辅助表!$H$7,马仔追债辅助表!$H$14:$H$18)*(1+马仔追债辅助表!$H$8/100*($A46-1))*(1+马仔追债辅助表!$H$9/100*(马仔追债辅助表!$H$10-1)),0)</f>
        <v>907</v>
      </c>
      <c r="D46">
        <f>D_马仔经验!B46</f>
        <v>18005</v>
      </c>
      <c r="E46">
        <f>D_马仔经验!I47</f>
        <v>192836</v>
      </c>
    </row>
    <row r="47" spans="1:5">
      <c r="A47">
        <v>46</v>
      </c>
      <c r="B47">
        <f ca="1">ROUND(SUMIF(D_马仔追债任务表!$A$2:$A$6,马仔追债辅助表!$H$7,马仔追债辅助表!$G$14:$G$18)*(1+马仔追债辅助表!$H$8/100*($A47-1))*(1+马仔追债辅助表!$H$9/100*(马仔追债辅助表!$H$10-1)),0)</f>
        <v>10256</v>
      </c>
      <c r="C47">
        <f>ROUND(SUMIF(D_马仔追债任务表!$A$2:$A$6,马仔追债辅助表!$H$7,马仔追债辅助表!$H$14:$H$18)*(1+马仔追债辅助表!$H$8/100*($A47-1))*(1+马仔追债辅助表!$H$9/100*(马仔追债辅助表!$H$10-1)),0)</f>
        <v>914</v>
      </c>
      <c r="D47">
        <f>D_马仔经验!B47</f>
        <v>19459</v>
      </c>
      <c r="E47">
        <f>D_马仔经验!I48</f>
        <v>212295</v>
      </c>
    </row>
    <row r="48" spans="1:5">
      <c r="A48">
        <v>47</v>
      </c>
      <c r="B48">
        <f ca="1">ROUND(SUMIF(D_马仔追债任务表!$A$2:$A$6,马仔追债辅助表!$H$7,马仔追债辅助表!$G$14:$G$18)*(1+马仔追债辅助表!$H$8/100*($A48-1))*(1+马仔追债辅助表!$H$9/100*(马仔追债辅助表!$H$10-1)),0)</f>
        <v>10326</v>
      </c>
      <c r="C48">
        <f>ROUND(SUMIF(D_马仔追债任务表!$A$2:$A$6,马仔追债辅助表!$H$7,马仔追债辅助表!$H$14:$H$18)*(1+马仔追债辅助表!$H$8/100*($A48-1))*(1+马仔追债辅助表!$H$9/100*(马仔追债辅助表!$H$10-1)),0)</f>
        <v>920</v>
      </c>
      <c r="D48">
        <f>D_马仔经验!B48</f>
        <v>20999</v>
      </c>
      <c r="E48">
        <f>D_马仔经验!I49</f>
        <v>233294</v>
      </c>
    </row>
    <row r="49" spans="1:5">
      <c r="A49">
        <v>48</v>
      </c>
      <c r="B49">
        <f ca="1">ROUND(SUMIF(D_马仔追债任务表!$A$2:$A$6,马仔追债辅助表!$H$7,马仔追债辅助表!$G$14:$G$18)*(1+马仔追债辅助表!$H$8/100*($A49-1))*(1+马仔追债辅助表!$H$9/100*(马仔追债辅助表!$H$10-1)),0)</f>
        <v>10397</v>
      </c>
      <c r="C49">
        <f>ROUND(SUMIF(D_马仔追债任务表!$A$2:$A$6,马仔追债辅助表!$H$7,马仔追债辅助表!$H$14:$H$18)*(1+马仔追债辅助表!$H$8/100*($A49-1))*(1+马仔追债辅助表!$H$9/100*(马仔追债辅助表!$H$10-1)),0)</f>
        <v>926</v>
      </c>
      <c r="D49">
        <f>D_马仔经验!B49</f>
        <v>22627</v>
      </c>
      <c r="E49">
        <f>D_马仔经验!I50</f>
        <v>255921</v>
      </c>
    </row>
    <row r="50" spans="1:5">
      <c r="A50">
        <v>49</v>
      </c>
      <c r="B50">
        <f ca="1">ROUND(SUMIF(D_马仔追债任务表!$A$2:$A$6,马仔追债辅助表!$H$7,马仔追债辅助表!$G$14:$G$18)*(1+马仔追债辅助表!$H$8/100*($A50-1))*(1+马仔追债辅助表!$H$9/100*(马仔追债辅助表!$H$10-1)),0)</f>
        <v>10468</v>
      </c>
      <c r="C50">
        <f>ROUND(SUMIF(D_马仔追债任务表!$A$2:$A$6,马仔追债辅助表!$H$7,马仔追债辅助表!$H$14:$H$18)*(1+马仔追债辅助表!$H$8/100*($A50-1))*(1+马仔追债辅助表!$H$9/100*(马仔追债辅助表!$H$10-1)),0)</f>
        <v>932</v>
      </c>
      <c r="D50">
        <f>D_马仔经验!B50</f>
        <v>24348</v>
      </c>
      <c r="E50">
        <f>D_马仔经验!I51</f>
        <v>280269</v>
      </c>
    </row>
    <row r="51" spans="1:5">
      <c r="A51">
        <v>50</v>
      </c>
      <c r="B51">
        <f ca="1">ROUND(SUMIF(D_马仔追债任务表!$A$2:$A$6,马仔追债辅助表!$H$7,马仔追债辅助表!$G$14:$G$18)*(1+马仔追债辅助表!$H$8/100*($A51-1))*(1+马仔追债辅助表!$H$9/100*(马仔追债辅助表!$H$10-1)),0)</f>
        <v>10538</v>
      </c>
      <c r="C51">
        <f>ROUND(SUMIF(D_马仔追债任务表!$A$2:$A$6,马仔追债辅助表!$H$7,马仔追债辅助表!$H$14:$H$18)*(1+马仔追债辅助表!$H$8/100*($A51-1))*(1+马仔追债辅助表!$H$9/100*(马仔追债辅助表!$H$10-1)),0)</f>
        <v>939</v>
      </c>
      <c r="D51">
        <f>D_马仔经验!B51</f>
        <v>26163</v>
      </c>
      <c r="E51">
        <f>D_马仔经验!I52</f>
        <v>306432</v>
      </c>
    </row>
    <row r="52" spans="1:5">
      <c r="A52">
        <v>51</v>
      </c>
      <c r="B52">
        <f ca="1">ROUND(SUMIF(D_马仔追债任务表!$A$2:$A$6,马仔追债辅助表!$H$7,马仔追债辅助表!$G$14:$G$18)*(1+马仔追债辅助表!$H$8/100*($A52-1))*(1+马仔追债辅助表!$H$9/100*(马仔追债辅助表!$H$10-1)),0)</f>
        <v>10609</v>
      </c>
      <c r="C52">
        <f>ROUND(SUMIF(D_马仔追债任务表!$A$2:$A$6,马仔追债辅助表!$H$7,马仔追债辅助表!$H$14:$H$18)*(1+马仔追债辅助表!$H$8/100*($A52-1))*(1+马仔追债辅助表!$H$9/100*(马仔追债辅助表!$H$10-1)),0)</f>
        <v>945</v>
      </c>
      <c r="D52">
        <f>D_马仔经验!B52</f>
        <v>28077</v>
      </c>
      <c r="E52">
        <f>D_马仔经验!I53</f>
        <v>334509</v>
      </c>
    </row>
    <row r="53" spans="1:5">
      <c r="A53">
        <v>52</v>
      </c>
      <c r="B53">
        <f ca="1">ROUND(SUMIF(D_马仔追债任务表!$A$2:$A$6,马仔追债辅助表!$H$7,马仔追债辅助表!$G$14:$G$18)*(1+马仔追债辅助表!$H$8/100*($A53-1))*(1+马仔追债辅助表!$H$9/100*(马仔追债辅助表!$H$10-1)),0)</f>
        <v>10680</v>
      </c>
      <c r="C53">
        <f>ROUND(SUMIF(D_马仔追债任务表!$A$2:$A$6,马仔追债辅助表!$H$7,马仔追债辅助表!$H$14:$H$18)*(1+马仔追债辅助表!$H$8/100*($A53-1))*(1+马仔追债辅助表!$H$9/100*(马仔追债辅助表!$H$10-1)),0)</f>
        <v>951</v>
      </c>
      <c r="D53">
        <f>D_马仔经验!B53</f>
        <v>30093</v>
      </c>
      <c r="E53">
        <f>D_马仔经验!I54</f>
        <v>364602</v>
      </c>
    </row>
    <row r="54" spans="1:5">
      <c r="A54">
        <v>53</v>
      </c>
      <c r="B54">
        <f ca="1">ROUND(SUMIF(D_马仔追债任务表!$A$2:$A$6,马仔追债辅助表!$H$7,马仔追债辅助表!$G$14:$G$18)*(1+马仔追债辅助表!$H$8/100*($A54-1))*(1+马仔追债辅助表!$H$9/100*(马仔追债辅助表!$H$10-1)),0)</f>
        <v>10751</v>
      </c>
      <c r="C54">
        <f>ROUND(SUMIF(D_马仔追债任务表!$A$2:$A$6,马仔追债辅助表!$H$7,马仔追债辅助表!$H$14:$H$18)*(1+马仔追债辅助表!$H$8/100*($A54-1))*(1+马仔追债辅助表!$H$9/100*(马仔追债辅助表!$H$10-1)),0)</f>
        <v>958</v>
      </c>
      <c r="D54">
        <f>D_马仔经验!B54</f>
        <v>32215</v>
      </c>
      <c r="E54">
        <f>D_马仔经验!I55</f>
        <v>396817</v>
      </c>
    </row>
    <row r="55" spans="1:5">
      <c r="A55">
        <v>54</v>
      </c>
      <c r="B55">
        <f ca="1">ROUND(SUMIF(D_马仔追债任务表!$A$2:$A$6,马仔追债辅助表!$H$7,马仔追债辅助表!$G$14:$G$18)*(1+马仔追债辅助表!$H$8/100*($A55-1))*(1+马仔追债辅助表!$H$9/100*(马仔追债辅助表!$H$10-1)),0)</f>
        <v>10821</v>
      </c>
      <c r="C55">
        <f>ROUND(SUMIF(D_马仔追债任务表!$A$2:$A$6,马仔追债辅助表!$H$7,马仔追债辅助表!$H$14:$H$18)*(1+马仔追债辅助表!$H$8/100*($A55-1))*(1+马仔追债辅助表!$H$9/100*(马仔追债辅助表!$H$10-1)),0)</f>
        <v>964</v>
      </c>
      <c r="D55">
        <f>D_马仔经验!B55</f>
        <v>34446</v>
      </c>
      <c r="E55">
        <f>D_马仔经验!I56</f>
        <v>431263</v>
      </c>
    </row>
    <row r="56" spans="1:5">
      <c r="A56">
        <v>55</v>
      </c>
      <c r="B56">
        <f ca="1">ROUND(SUMIF(D_马仔追债任务表!$A$2:$A$6,马仔追债辅助表!$H$7,马仔追债辅助表!$G$14:$G$18)*(1+马仔追债辅助表!$H$8/100*($A56-1))*(1+马仔追债辅助表!$H$9/100*(马仔追债辅助表!$H$10-1)),0)</f>
        <v>10892</v>
      </c>
      <c r="C56">
        <f>ROUND(SUMIF(D_马仔追债任务表!$A$2:$A$6,马仔追债辅助表!$H$7,马仔追债辅助表!$H$14:$H$18)*(1+马仔追债辅助表!$H$8/100*($A56-1))*(1+马仔追债辅助表!$H$9/100*(马仔追债辅助表!$H$10-1)),0)</f>
        <v>970</v>
      </c>
      <c r="D56">
        <f>D_马仔经验!B56</f>
        <v>36789</v>
      </c>
      <c r="E56">
        <f>D_马仔经验!I57</f>
        <v>468052</v>
      </c>
    </row>
    <row r="57" spans="1:5">
      <c r="A57">
        <v>56</v>
      </c>
      <c r="B57">
        <f ca="1">ROUND(SUMIF(D_马仔追债任务表!$A$2:$A$6,马仔追债辅助表!$H$7,马仔追债辅助表!$G$14:$G$18)*(1+马仔追债辅助表!$H$8/100*($A57-1))*(1+马仔追债辅助表!$H$9/100*(马仔追债辅助表!$H$10-1)),0)</f>
        <v>10963</v>
      </c>
      <c r="C57">
        <f>ROUND(SUMIF(D_马仔追债任务表!$A$2:$A$6,马仔追债辅助表!$H$7,马仔追债辅助表!$H$14:$H$18)*(1+马仔追债辅助表!$H$8/100*($A57-1))*(1+马仔追债辅助表!$H$9/100*(马仔追债辅助表!$H$10-1)),0)</f>
        <v>977</v>
      </c>
      <c r="D57">
        <f>D_马仔经验!B57</f>
        <v>39249</v>
      </c>
      <c r="E57">
        <f>D_马仔经验!I58</f>
        <v>507301</v>
      </c>
    </row>
    <row r="58" spans="1:5">
      <c r="A58">
        <v>57</v>
      </c>
      <c r="B58">
        <f ca="1">ROUND(SUMIF(D_马仔追债任务表!$A$2:$A$6,马仔追债辅助表!$H$7,马仔追债辅助表!$G$14:$G$18)*(1+马仔追债辅助表!$H$8/100*($A58-1))*(1+马仔追债辅助表!$H$9/100*(马仔追债辅助表!$H$10-1)),0)</f>
        <v>11034</v>
      </c>
      <c r="C58">
        <f>ROUND(SUMIF(D_马仔追债任务表!$A$2:$A$6,马仔追债辅助表!$H$7,马仔追债辅助表!$H$14:$H$18)*(1+马仔追债辅助表!$H$8/100*($A58-1))*(1+马仔追债辅助表!$H$9/100*(马仔追债辅助表!$H$10-1)),0)</f>
        <v>983</v>
      </c>
      <c r="D58">
        <f>D_马仔经验!B58</f>
        <v>41829</v>
      </c>
      <c r="E58">
        <f>D_马仔经验!I59</f>
        <v>549130</v>
      </c>
    </row>
    <row r="59" spans="1:5">
      <c r="A59">
        <v>58</v>
      </c>
      <c r="B59">
        <f ca="1">ROUND(SUMIF(D_马仔追债任务表!$A$2:$A$6,马仔追债辅助表!$H$7,马仔追债辅助表!$G$14:$G$18)*(1+马仔追债辅助表!$H$8/100*($A59-1))*(1+马仔追债辅助表!$H$9/100*(马仔追债辅助表!$H$10-1)),0)</f>
        <v>11104</v>
      </c>
      <c r="C59">
        <f>ROUND(SUMIF(D_马仔追债任务表!$A$2:$A$6,马仔追债辅助表!$H$7,马仔追债辅助表!$H$14:$H$18)*(1+马仔追债辅助表!$H$8/100*($A59-1))*(1+马仔追债辅助表!$H$9/100*(马仔追债辅助表!$H$10-1)),0)</f>
        <v>989</v>
      </c>
      <c r="D59">
        <f>D_马仔经验!B59</f>
        <v>44533</v>
      </c>
      <c r="E59">
        <f>D_马仔经验!I60</f>
        <v>593663</v>
      </c>
    </row>
    <row r="60" spans="1:5">
      <c r="A60">
        <v>59</v>
      </c>
      <c r="B60">
        <f ca="1">ROUND(SUMIF(D_马仔追债任务表!$A$2:$A$6,马仔追债辅助表!$H$7,马仔追债辅助表!$G$14:$G$18)*(1+马仔追债辅助表!$H$8/100*($A60-1))*(1+马仔追债辅助表!$H$9/100*(马仔追债辅助表!$H$10-1)),0)</f>
        <v>11175</v>
      </c>
      <c r="C60">
        <f>ROUND(SUMIF(D_马仔追债任务表!$A$2:$A$6,马仔追债辅助表!$H$7,马仔追债辅助表!$H$14:$H$18)*(1+马仔追债辅助表!$H$8/100*($A60-1))*(1+马仔追债辅助表!$H$9/100*(马仔追债辅助表!$H$10-1)),0)</f>
        <v>995</v>
      </c>
      <c r="D60">
        <f>D_马仔经验!B60</f>
        <v>47365</v>
      </c>
      <c r="E60">
        <f>D_马仔经验!I61</f>
        <v>641028</v>
      </c>
    </row>
    <row r="61" spans="1:5">
      <c r="A61">
        <v>60</v>
      </c>
      <c r="B61">
        <f ca="1">ROUND(SUMIF(D_马仔追债任务表!$A$2:$A$6,马仔追债辅助表!$H$7,马仔追债辅助表!$G$14:$G$18)*(1+马仔追债辅助表!$H$8/100*($A61-1))*(1+马仔追债辅助表!$H$9/100*(马仔追债辅助表!$H$10-1)),0)</f>
        <v>11246</v>
      </c>
      <c r="C61">
        <f>ROUND(SUMIF(D_马仔追债任务表!$A$2:$A$6,马仔追债辅助表!$H$7,马仔追债辅助表!$H$14:$H$18)*(1+马仔追债辅助表!$H$8/100*($A61-1))*(1+马仔追债辅助表!$H$9/100*(马仔追债辅助表!$H$10-1)),0)</f>
        <v>1002</v>
      </c>
      <c r="D61">
        <f>D_马仔经验!B61</f>
        <v>50328</v>
      </c>
      <c r="E61">
        <f>D_马仔经验!I62</f>
        <v>691356</v>
      </c>
    </row>
    <row r="62" spans="1:5">
      <c r="A62">
        <v>61</v>
      </c>
      <c r="B62">
        <f ca="1">ROUND(SUMIF(D_马仔追债任务表!$A$2:$A$6,马仔追债辅助表!$H$7,马仔追债辅助表!$G$14:$G$18)*(1+马仔追债辅助表!$H$8/100*($A62-1))*(1+马仔追债辅助表!$H$9/100*(马仔追债辅助表!$H$10-1)),0)</f>
        <v>11316</v>
      </c>
      <c r="C62">
        <f>ROUND(SUMIF(D_马仔追债任务表!$A$2:$A$6,马仔追债辅助表!$H$7,马仔追债辅助表!$H$14:$H$18)*(1+马仔追债辅助表!$H$8/100*($A62-1))*(1+马仔追债辅助表!$H$9/100*(马仔追债辅助表!$H$10-1)),0)</f>
        <v>1008</v>
      </c>
      <c r="D62">
        <f>D_马仔经验!B62</f>
        <v>53427</v>
      </c>
      <c r="E62">
        <f>D_马仔经验!I63</f>
        <v>744783</v>
      </c>
    </row>
    <row r="63" spans="1:5">
      <c r="A63">
        <v>62</v>
      </c>
      <c r="B63">
        <f ca="1">ROUND(SUMIF(D_马仔追债任务表!$A$2:$A$6,马仔追债辅助表!$H$7,马仔追债辅助表!$G$14:$G$18)*(1+马仔追债辅助表!$H$8/100*($A63-1))*(1+马仔追债辅助表!$H$9/100*(马仔追债辅助表!$H$10-1)),0)</f>
        <v>11387</v>
      </c>
      <c r="C63">
        <f>ROUND(SUMIF(D_马仔追债任务表!$A$2:$A$6,马仔追债辅助表!$H$7,马仔追债辅助表!$H$14:$H$18)*(1+马仔追债辅助表!$H$8/100*($A63-1))*(1+马仔追债辅助表!$H$9/100*(马仔追债辅助表!$H$10-1)),0)</f>
        <v>1014</v>
      </c>
      <c r="D63">
        <f>D_马仔经验!B63</f>
        <v>56666</v>
      </c>
      <c r="E63">
        <f>D_马仔经验!I64</f>
        <v>801449</v>
      </c>
    </row>
    <row r="64" spans="1:5">
      <c r="A64">
        <v>63</v>
      </c>
      <c r="B64">
        <f ca="1">ROUND(SUMIF(D_马仔追债任务表!$A$2:$A$6,马仔追债辅助表!$H$7,马仔追债辅助表!$G$14:$G$18)*(1+马仔追债辅助表!$H$8/100*($A64-1))*(1+马仔追债辅助表!$H$9/100*(马仔追债辅助表!$H$10-1)),0)</f>
        <v>11458</v>
      </c>
      <c r="C64">
        <f>ROUND(SUMIF(D_马仔追债任务表!$A$2:$A$6,马仔追债辅助表!$H$7,马仔追债辅助表!$H$14:$H$18)*(1+马仔追债辅助表!$H$8/100*($A64-1))*(1+马仔追债辅助表!$H$9/100*(马仔追债辅助表!$H$10-1)),0)</f>
        <v>1021</v>
      </c>
      <c r="D64">
        <f>D_马仔经验!B64</f>
        <v>60048</v>
      </c>
      <c r="E64">
        <f>D_马仔经验!I65</f>
        <v>861497</v>
      </c>
    </row>
    <row r="65" spans="1:5">
      <c r="A65">
        <v>64</v>
      </c>
      <c r="B65">
        <f ca="1">ROUND(SUMIF(D_马仔追债任务表!$A$2:$A$6,马仔追债辅助表!$H$7,马仔追债辅助表!$G$14:$G$18)*(1+马仔追债辅助表!$H$8/100*($A65-1))*(1+马仔追债辅助表!$H$9/100*(马仔追债辅助表!$H$10-1)),0)</f>
        <v>11529</v>
      </c>
      <c r="C65">
        <f>ROUND(SUMIF(D_马仔追债任务表!$A$2:$A$6,马仔追债辅助表!$H$7,马仔追债辅助表!$H$14:$H$18)*(1+马仔追债辅助表!$H$8/100*($A65-1))*(1+马仔追债辅助表!$H$9/100*(马仔追债辅助表!$H$10-1)),0)</f>
        <v>1027</v>
      </c>
      <c r="D65">
        <f>D_马仔经验!B65</f>
        <v>63578</v>
      </c>
      <c r="E65">
        <f>D_马仔经验!I66</f>
        <v>925075</v>
      </c>
    </row>
    <row r="66" spans="1:5">
      <c r="A66">
        <v>65</v>
      </c>
      <c r="B66">
        <f ca="1">ROUND(SUMIF(D_马仔追债任务表!$A$2:$A$6,马仔追债辅助表!$H$7,马仔追债辅助表!$G$14:$G$18)*(1+马仔追债辅助表!$H$8/100*($A66-1))*(1+马仔追债辅助表!$H$9/100*(马仔追债辅助表!$H$10-1)),0)</f>
        <v>11599</v>
      </c>
      <c r="C66">
        <f>ROUND(SUMIF(D_马仔追债任务表!$A$2:$A$6,马仔追债辅助表!$H$7,马仔追债辅助表!$H$14:$H$18)*(1+马仔追债辅助表!$H$8/100*($A66-1))*(1+马仔追债辅助表!$H$9/100*(马仔追债辅助表!$H$10-1)),0)</f>
        <v>1033</v>
      </c>
      <c r="D66">
        <f>D_马仔经验!B66</f>
        <v>67260</v>
      </c>
      <c r="E66">
        <f>D_马仔经验!I67</f>
        <v>992335</v>
      </c>
    </row>
    <row r="67" spans="1:5">
      <c r="A67">
        <v>66</v>
      </c>
      <c r="B67">
        <f ca="1">ROUND(SUMIF(D_马仔追债任务表!$A$2:$A$6,马仔追债辅助表!$H$7,马仔追债辅助表!$G$14:$G$18)*(1+马仔追债辅助表!$H$8/100*($A67-1))*(1+马仔追债辅助表!$H$9/100*(马仔追债辅助表!$H$10-1)),0)</f>
        <v>11670</v>
      </c>
      <c r="C67">
        <f>ROUND(SUMIF(D_马仔追债任务表!$A$2:$A$6,马仔追债辅助表!$H$7,马仔追债辅助表!$H$14:$H$18)*(1+马仔追债辅助表!$H$8/100*($A67-1))*(1+马仔追债辅助表!$H$9/100*(马仔追债辅助表!$H$10-1)),0)</f>
        <v>1040</v>
      </c>
      <c r="D67">
        <f>D_马仔经验!B67</f>
        <v>71099</v>
      </c>
      <c r="E67">
        <f>D_马仔经验!I68</f>
        <v>1063434</v>
      </c>
    </row>
    <row r="68" spans="1:5">
      <c r="A68">
        <v>67</v>
      </c>
      <c r="B68">
        <f ca="1">ROUND(SUMIF(D_马仔追债任务表!$A$2:$A$6,马仔追债辅助表!$H$7,马仔追债辅助表!$G$14:$G$18)*(1+马仔追债辅助表!$H$8/100*($A68-1))*(1+马仔追债辅助表!$H$9/100*(马仔追债辅助表!$H$10-1)),0)</f>
        <v>11741</v>
      </c>
      <c r="C68">
        <f>ROUND(SUMIF(D_马仔追债任务表!$A$2:$A$6,马仔追债辅助表!$H$7,马仔追债辅助表!$H$14:$H$18)*(1+马仔追债辅助表!$H$8/100*($A68-1))*(1+马仔追债辅助表!$H$9/100*(马仔追债辅助表!$H$10-1)),0)</f>
        <v>1046</v>
      </c>
      <c r="D68">
        <f>D_马仔经验!B68</f>
        <v>75098</v>
      </c>
      <c r="E68">
        <f>D_马仔经验!I69</f>
        <v>1138532</v>
      </c>
    </row>
    <row r="69" spans="1:5">
      <c r="A69">
        <v>68</v>
      </c>
      <c r="B69">
        <f ca="1">ROUND(SUMIF(D_马仔追债任务表!$A$2:$A$6,马仔追债辅助表!$H$7,马仔追债辅助表!$G$14:$G$18)*(1+马仔追债辅助表!$H$8/100*($A69-1))*(1+马仔追债辅助表!$H$9/100*(马仔追债辅助表!$H$10-1)),0)</f>
        <v>11812</v>
      </c>
      <c r="C69">
        <f>ROUND(SUMIF(D_马仔追债任务表!$A$2:$A$6,马仔追债辅助表!$H$7,马仔追债辅助表!$H$14:$H$18)*(1+马仔追债辅助表!$H$8/100*($A69-1))*(1+马仔追债辅助表!$H$9/100*(马仔追债辅助表!$H$10-1)),0)</f>
        <v>1052</v>
      </c>
      <c r="D69">
        <f>D_马仔经验!B69</f>
        <v>79262</v>
      </c>
      <c r="E69">
        <f>D_马仔经验!I70</f>
        <v>1217794</v>
      </c>
    </row>
    <row r="70" spans="1:5">
      <c r="A70">
        <v>69</v>
      </c>
      <c r="B70">
        <f ca="1">ROUND(SUMIF(D_马仔追债任务表!$A$2:$A$6,马仔追债辅助表!$H$7,马仔追债辅助表!$G$14:$G$18)*(1+马仔追债辅助表!$H$8/100*($A70-1))*(1+马仔追债辅助表!$H$9/100*(马仔追债辅助表!$H$10-1)),0)</f>
        <v>11882</v>
      </c>
      <c r="C70">
        <f>ROUND(SUMIF(D_马仔追债任务表!$A$2:$A$6,马仔追债辅助表!$H$7,马仔追债辅助表!$H$14:$H$18)*(1+马仔追债辅助表!$H$8/100*($A70-1))*(1+马仔追债辅助表!$H$9/100*(马仔追债辅助表!$H$10-1)),0)</f>
        <v>1058</v>
      </c>
      <c r="D70">
        <f>D_马仔经验!B70</f>
        <v>83596</v>
      </c>
      <c r="E70">
        <f>D_马仔经验!I71</f>
        <v>1301390</v>
      </c>
    </row>
    <row r="71" spans="1:5">
      <c r="A71">
        <v>70</v>
      </c>
      <c r="B71">
        <f ca="1">ROUND(SUMIF(D_马仔追债任务表!$A$2:$A$6,马仔追债辅助表!$H$7,马仔追债辅助表!$G$14:$G$18)*(1+马仔追债辅助表!$H$8/100*($A71-1))*(1+马仔追债辅助表!$H$9/100*(马仔追债辅助表!$H$10-1)),0)</f>
        <v>11953</v>
      </c>
      <c r="C71">
        <f>ROUND(SUMIF(D_马仔追债任务表!$A$2:$A$6,马仔追债辅助表!$H$7,马仔追债辅助表!$H$14:$H$18)*(1+马仔追债辅助表!$H$8/100*($A71-1))*(1+马仔追债辅助表!$H$9/100*(马仔追债辅助表!$H$10-1)),0)</f>
        <v>1065</v>
      </c>
      <c r="D71">
        <f>D_马仔经验!B71</f>
        <v>88103</v>
      </c>
      <c r="E71">
        <f>D_马仔经验!I72</f>
        <v>1389493</v>
      </c>
    </row>
    <row r="72" spans="1:5">
      <c r="A72">
        <v>71</v>
      </c>
      <c r="B72">
        <f ca="1">ROUND(SUMIF(D_马仔追债任务表!$A$2:$A$6,马仔追债辅助表!$H$7,马仔追债辅助表!$G$14:$G$18)*(1+马仔追债辅助表!$H$8/100*($A72-1))*(1+马仔追债辅助表!$H$9/100*(马仔追债辅助表!$H$10-1)),0)</f>
        <v>12024</v>
      </c>
      <c r="C72">
        <f>ROUND(SUMIF(D_马仔追债任务表!$A$2:$A$6,马仔追债辅助表!$H$7,马仔追债辅助表!$H$14:$H$18)*(1+马仔追债辅助表!$H$8/100*($A72-1))*(1+马仔追债辅助表!$H$9/100*(马仔追债辅助表!$H$10-1)),0)</f>
        <v>1071</v>
      </c>
      <c r="D72">
        <f>D_马仔经验!B72</f>
        <v>92789</v>
      </c>
      <c r="E72">
        <f>D_马仔经验!I73</f>
        <v>1482282</v>
      </c>
    </row>
    <row r="73" spans="1:5">
      <c r="A73">
        <v>72</v>
      </c>
      <c r="B73">
        <f ca="1">ROUND(SUMIF(D_马仔追债任务表!$A$2:$A$6,马仔追债辅助表!$H$7,马仔追债辅助表!$G$14:$G$18)*(1+马仔追债辅助表!$H$8/100*($A73-1))*(1+马仔追债辅助表!$H$9/100*(马仔追债辅助表!$H$10-1)),0)</f>
        <v>12094</v>
      </c>
      <c r="C73">
        <f>ROUND(SUMIF(D_马仔追债任务表!$A$2:$A$6,马仔追债辅助表!$H$7,马仔追债辅助表!$H$14:$H$18)*(1+马仔追债辅助表!$H$8/100*($A73-1))*(1+马仔追债辅助表!$H$9/100*(马仔追债辅助表!$H$10-1)),0)</f>
        <v>1077</v>
      </c>
      <c r="D73">
        <f>D_马仔经验!B73</f>
        <v>97658</v>
      </c>
      <c r="E73">
        <f>D_马仔经验!I74</f>
        <v>1579940</v>
      </c>
    </row>
    <row r="74" spans="1:5">
      <c r="A74">
        <v>73</v>
      </c>
      <c r="B74">
        <f ca="1">ROUND(SUMIF(D_马仔追债任务表!$A$2:$A$6,马仔追债辅助表!$H$7,马仔追债辅助表!$G$14:$G$18)*(1+马仔追债辅助表!$H$8/100*($A74-1))*(1+马仔追债辅助表!$H$9/100*(马仔追债辅助表!$H$10-1)),0)</f>
        <v>12165</v>
      </c>
      <c r="C74">
        <f>ROUND(SUMIF(D_马仔追债任务表!$A$2:$A$6,马仔追债辅助表!$H$7,马仔追债辅助表!$H$14:$H$18)*(1+马仔追债辅助表!$H$8/100*($A74-1))*(1+马仔追债辅助表!$H$9/100*(马仔追债辅助表!$H$10-1)),0)</f>
        <v>1084</v>
      </c>
      <c r="D74">
        <f>D_马仔经验!B74</f>
        <v>102714</v>
      </c>
      <c r="E74">
        <f>D_马仔经验!I75</f>
        <v>1682654</v>
      </c>
    </row>
    <row r="75" spans="1:5">
      <c r="A75">
        <v>74</v>
      </c>
      <c r="B75">
        <f ca="1">ROUND(SUMIF(D_马仔追债任务表!$A$2:$A$6,马仔追债辅助表!$H$7,马仔追债辅助表!$G$14:$G$18)*(1+马仔追债辅助表!$H$8/100*($A75-1))*(1+马仔追债辅助表!$H$9/100*(马仔追债辅助表!$H$10-1)),0)</f>
        <v>12236</v>
      </c>
      <c r="C75">
        <f>ROUND(SUMIF(D_马仔追债任务表!$A$2:$A$6,马仔追债辅助表!$H$7,马仔追债辅助表!$H$14:$H$18)*(1+马仔追债辅助表!$H$8/100*($A75-1))*(1+马仔追债辅助表!$H$9/100*(马仔追债辅助表!$H$10-1)),0)</f>
        <v>1090</v>
      </c>
      <c r="D75">
        <f>D_马仔经验!B75</f>
        <v>107963</v>
      </c>
      <c r="E75">
        <f>D_马仔经验!I76</f>
        <v>1790617</v>
      </c>
    </row>
    <row r="76" spans="1:5">
      <c r="A76">
        <v>75</v>
      </c>
      <c r="B76">
        <f ca="1">ROUND(SUMIF(D_马仔追债任务表!$A$2:$A$6,马仔追债辅助表!$H$7,马仔追债辅助表!$G$14:$G$18)*(1+马仔追债辅助表!$H$8/100*($A76-1))*(1+马仔追债辅助表!$H$9/100*(马仔追债辅助表!$H$10-1)),0)</f>
        <v>12307</v>
      </c>
      <c r="C76">
        <f>ROUND(SUMIF(D_马仔追债任务表!$A$2:$A$6,马仔追债辅助表!$H$7,马仔追债辅助表!$H$14:$H$18)*(1+马仔追债辅助表!$H$8/100*($A76-1))*(1+马仔追债辅助表!$H$9/100*(马仔追债辅助表!$H$10-1)),0)</f>
        <v>1096</v>
      </c>
      <c r="D76">
        <f>D_马仔经验!B76</f>
        <v>113409</v>
      </c>
      <c r="E76">
        <f>D_马仔经验!I77</f>
        <v>1904026</v>
      </c>
    </row>
    <row r="77" spans="1:5">
      <c r="A77">
        <v>76</v>
      </c>
      <c r="B77">
        <f ca="1">ROUND(SUMIF(D_马仔追债任务表!$A$2:$A$6,马仔追债辅助表!$H$7,马仔追债辅助表!$G$14:$G$18)*(1+马仔追债辅助表!$H$8/100*($A77-1))*(1+马仔追债辅助表!$H$9/100*(马仔追债辅助表!$H$10-1)),0)</f>
        <v>12377</v>
      </c>
      <c r="C77">
        <f>ROUND(SUMIF(D_马仔追债任务表!$A$2:$A$6,马仔追债辅助表!$H$7,马仔追债辅助表!$H$14:$H$18)*(1+马仔追债辅助表!$H$8/100*($A77-1))*(1+马仔追债辅助表!$H$9/100*(马仔追债辅助表!$H$10-1)),0)</f>
        <v>1103</v>
      </c>
      <c r="D77">
        <f>D_马仔经验!B77</f>
        <v>119057</v>
      </c>
      <c r="E77">
        <f>D_马仔经验!I78</f>
        <v>2023083</v>
      </c>
    </row>
    <row r="78" spans="1:5">
      <c r="A78">
        <v>77</v>
      </c>
      <c r="B78">
        <f ca="1">ROUND(SUMIF(D_马仔追债任务表!$A$2:$A$6,马仔追债辅助表!$H$7,马仔追债辅助表!$G$14:$G$18)*(1+马仔追债辅助表!$H$8/100*($A78-1))*(1+马仔追债辅助表!$H$9/100*(马仔追债辅助表!$H$10-1)),0)</f>
        <v>12448</v>
      </c>
      <c r="C78">
        <f>ROUND(SUMIF(D_马仔追债任务表!$A$2:$A$6,马仔追债辅助表!$H$7,马仔追债辅助表!$H$14:$H$18)*(1+马仔追债辅助表!$H$8/100*($A78-1))*(1+马仔追债辅助表!$H$9/100*(马仔追债辅助表!$H$10-1)),0)</f>
        <v>1109</v>
      </c>
      <c r="D78">
        <f>D_马仔经验!B78</f>
        <v>124912</v>
      </c>
      <c r="E78">
        <f>D_马仔经验!I79</f>
        <v>2147995</v>
      </c>
    </row>
    <row r="79" spans="1:5">
      <c r="A79">
        <v>78</v>
      </c>
      <c r="B79">
        <f ca="1">ROUND(SUMIF(D_马仔追债任务表!$A$2:$A$6,马仔追债辅助表!$H$7,马仔追债辅助表!$G$14:$G$18)*(1+马仔追债辅助表!$H$8/100*($A79-1))*(1+马仔追债辅助表!$H$9/100*(马仔追债辅助表!$H$10-1)),0)</f>
        <v>12519</v>
      </c>
      <c r="C79">
        <f>ROUND(SUMIF(D_马仔追债任务表!$A$2:$A$6,马仔追债辅助表!$H$7,马仔追债辅助表!$H$14:$H$18)*(1+马仔追债辅助表!$H$8/100*($A79-1))*(1+马仔追债辅助表!$H$9/100*(马仔追债辅助表!$H$10-1)),0)</f>
        <v>1115</v>
      </c>
      <c r="D79">
        <f>D_马仔经验!B79</f>
        <v>130979</v>
      </c>
      <c r="E79">
        <f>D_马仔经验!I80</f>
        <v>2278974</v>
      </c>
    </row>
    <row r="80" spans="1:5">
      <c r="A80">
        <v>79</v>
      </c>
      <c r="B80">
        <f ca="1">ROUND(SUMIF(D_马仔追债任务表!$A$2:$A$6,马仔追债辅助表!$H$7,马仔追债辅助表!$G$14:$G$18)*(1+马仔追债辅助表!$H$8/100*($A80-1))*(1+马仔追债辅助表!$H$9/100*(马仔追债辅助表!$H$10-1)),0)</f>
        <v>12590</v>
      </c>
      <c r="C80">
        <f>ROUND(SUMIF(D_马仔追债任务表!$A$2:$A$6,马仔追债辅助表!$H$7,马仔追债辅助表!$H$14:$H$18)*(1+马仔追债辅助表!$H$8/100*($A80-1))*(1+马仔追债辅助表!$H$9/100*(马仔追债辅助表!$H$10-1)),0)</f>
        <v>1121</v>
      </c>
      <c r="D80">
        <f>D_马仔经验!B80</f>
        <v>137262</v>
      </c>
      <c r="E80">
        <f>D_马仔经验!I81</f>
        <v>2416236</v>
      </c>
    </row>
    <row r="81" spans="1:5">
      <c r="A81">
        <v>80</v>
      </c>
      <c r="B81">
        <f ca="1">ROUND(SUMIF(D_马仔追债任务表!$A$2:$A$6,马仔追债辅助表!$H$7,马仔追债辅助表!$G$14:$G$18)*(1+马仔追债辅助表!$H$8/100*($A81-1))*(1+马仔追债辅助表!$H$9/100*(马仔追债辅助表!$H$10-1)),0)</f>
        <v>12660</v>
      </c>
      <c r="C81">
        <f>ROUND(SUMIF(D_马仔追债任务表!$A$2:$A$6,马仔追债辅助表!$H$7,马仔追债辅助表!$H$14:$H$18)*(1+马仔追债辅助表!$H$8/100*($A81-1))*(1+马仔追债辅助表!$H$9/100*(马仔追债辅助表!$H$10-1)),0)</f>
        <v>1128</v>
      </c>
      <c r="D81">
        <f>D_马仔经验!B81</f>
        <v>143768</v>
      </c>
      <c r="E81">
        <f>D_马仔经验!I82</f>
        <v>2560004</v>
      </c>
    </row>
  </sheetData>
  <phoneticPr fontId="1" type="noConversion"/>
  <conditionalFormatting sqref="H14:H18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{FFCB8891-D79A-4B90-ABB6-F6799588D414}</x14:id>
        </ext>
      </extLst>
    </cfRule>
  </conditionalFormatting>
  <conditionalFormatting sqref="G14:G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{C29BD856-03DE-4499-AD39-FDA360E1A521}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CB8891-D79A-4B90-ABB6-F6799588D4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H14:H18</xm:sqref>
        </x14:conditionalFormatting>
        <x14:conditionalFormatting xmlns:xm="http://schemas.microsoft.com/office/excel/2006/main">
          <x14:cfRule type="dataBar" id="{C29BD856-03DE-4499-AD39-FDA360E1A52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G14:G18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11"/>
  <sheetViews>
    <sheetView workbookViewId="0">
      <selection activeCell="B10" sqref="B10"/>
    </sheetView>
  </sheetViews>
  <sheetFormatPr defaultRowHeight="13.5"/>
  <sheetData>
    <row r="1" spans="1:2">
      <c r="A1" t="s">
        <v>551</v>
      </c>
      <c r="B1" t="s">
        <v>552</v>
      </c>
    </row>
    <row r="2" spans="1:2">
      <c r="A2">
        <v>1</v>
      </c>
      <c r="B2">
        <v>10</v>
      </c>
    </row>
    <row r="3" spans="1:2">
      <c r="A3">
        <v>2</v>
      </c>
      <c r="B3">
        <v>10</v>
      </c>
    </row>
    <row r="4" spans="1:2">
      <c r="A4">
        <v>3</v>
      </c>
      <c r="B4">
        <v>10</v>
      </c>
    </row>
    <row r="5" spans="1:2">
      <c r="A5">
        <v>4</v>
      </c>
      <c r="B5">
        <v>20</v>
      </c>
    </row>
    <row r="6" spans="1:2">
      <c r="A6">
        <v>5</v>
      </c>
      <c r="B6">
        <v>20</v>
      </c>
    </row>
    <row r="7" spans="1:2">
      <c r="A7">
        <v>6</v>
      </c>
      <c r="B7">
        <v>20</v>
      </c>
    </row>
    <row r="8" spans="1:2">
      <c r="A8">
        <v>7</v>
      </c>
      <c r="B8">
        <v>30</v>
      </c>
    </row>
    <row r="9" spans="1:2">
      <c r="A9">
        <v>8</v>
      </c>
      <c r="B9">
        <v>30</v>
      </c>
    </row>
    <row r="10" spans="1:2">
      <c r="A10">
        <v>9</v>
      </c>
      <c r="B10">
        <v>30</v>
      </c>
    </row>
    <row r="11" spans="1:2">
      <c r="A11">
        <v>10</v>
      </c>
      <c r="B11">
        <v>50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22"/>
  <sheetViews>
    <sheetView topLeftCell="A82" workbookViewId="0">
      <selection activeCell="F105" sqref="F105"/>
    </sheetView>
  </sheetViews>
  <sheetFormatPr defaultRowHeight="13.5"/>
  <cols>
    <col min="2" max="2" width="11.625" bestFit="1" customWidth="1"/>
    <col min="4" max="4" width="13.875" bestFit="1" customWidth="1"/>
    <col min="5" max="6" width="9.5" bestFit="1" customWidth="1"/>
    <col min="7" max="11" width="13.875" bestFit="1" customWidth="1"/>
    <col min="12" max="12" width="10.625" customWidth="1"/>
    <col min="13" max="15" width="13.875" bestFit="1" customWidth="1"/>
    <col min="16" max="16" width="16.5" customWidth="1"/>
    <col min="17" max="17" width="17.375" customWidth="1"/>
    <col min="18" max="18" width="13.75" customWidth="1"/>
    <col min="19" max="19" width="9.5" bestFit="1" customWidth="1"/>
    <col min="22" max="24" width="15.375" customWidth="1"/>
  </cols>
  <sheetData>
    <row r="1" spans="1:21"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P1" s="6" t="s">
        <v>288</v>
      </c>
      <c r="Q1" s="6">
        <v>80</v>
      </c>
      <c r="R1" s="6"/>
    </row>
    <row r="2" spans="1:21">
      <c r="E2" s="1" t="str">
        <f>[1]马仔规划!B23</f>
        <v>马仔品阶</v>
      </c>
      <c r="F2" s="1" t="str">
        <f>[1]马仔规划!C23</f>
        <v>品阶权重</v>
      </c>
      <c r="G2" s="1" t="s">
        <v>19</v>
      </c>
      <c r="H2" s="1" t="s">
        <v>18</v>
      </c>
      <c r="I2" s="1" t="s">
        <v>25</v>
      </c>
      <c r="J2" s="1" t="s">
        <v>17</v>
      </c>
      <c r="K2" s="1" t="s">
        <v>152</v>
      </c>
      <c r="M2" s="6" t="s">
        <v>153</v>
      </c>
      <c r="N2" s="29">
        <v>100</v>
      </c>
      <c r="P2" s="6" t="s">
        <v>284</v>
      </c>
      <c r="Q2" s="6" t="s">
        <v>285</v>
      </c>
      <c r="R2" s="6" t="s">
        <v>289</v>
      </c>
    </row>
    <row r="3" spans="1:21">
      <c r="A3" t="s">
        <v>23</v>
      </c>
      <c r="B3">
        <v>0</v>
      </c>
      <c r="E3" s="5">
        <f>[1]马仔规划!B24</f>
        <v>1</v>
      </c>
      <c r="F3" s="5">
        <f>[1]马仔规划!C24</f>
        <v>1</v>
      </c>
      <c r="G3" s="5">
        <f>[1]马仔规划!$I$24</f>
        <v>1.111111111111111E-2</v>
      </c>
      <c r="H3" s="5">
        <f>[1]马仔规划!$N$21</f>
        <v>6.6666666666666662E-3</v>
      </c>
      <c r="I3" s="5">
        <f>[1]马仔规划!$N$7</f>
        <v>8.8888888888888882E-4</v>
      </c>
      <c r="J3" s="5">
        <f>[1]马仔规划!$N$31</f>
        <v>5.5555555555555559E-2</v>
      </c>
      <c r="K3" s="5">
        <f>[1]马仔规划!J24</f>
        <v>0.66666666666666663</v>
      </c>
      <c r="M3" s="29" t="s">
        <v>154</v>
      </c>
      <c r="N3" s="29">
        <v>12</v>
      </c>
      <c r="P3" s="6">
        <f>VLOOKUP($Q$1,[1]!总属性参考数组,J$10,FALSE)*VLOOKUP($F$8,[1]!属性权重数组,J$10,FALSE)*$K6/$F$7</f>
        <v>26132.106546560368</v>
      </c>
      <c r="Q3" s="6">
        <f>VLOOKUP($Q$1,[1]!总属性参考数组,K$10,FALSE)*VLOOKUP($F$8,[1]!属性权重数组,K$10,FALSE)*$K6/$F$7</f>
        <v>1327.3257754010697</v>
      </c>
      <c r="R3" s="6">
        <f>VLOOKUP($Q$1,[1]!总属性参考数组,L$10,FALSE)*VLOOKUP($F$8,[1]!属性权重数组,L$10,FALSE)*$K6/$F$7</f>
        <v>573.5642287694975</v>
      </c>
    </row>
    <row r="4" spans="1:21">
      <c r="E4" s="5">
        <f>[1]马仔规划!B25</f>
        <v>2</v>
      </c>
      <c r="F4" s="5">
        <f>[1]马仔规划!C25</f>
        <v>2</v>
      </c>
      <c r="G4" s="5">
        <f>[1]马仔规划!$I$25</f>
        <v>2.222222222222222E-2</v>
      </c>
      <c r="H4" s="5">
        <f>[1]马仔规划!$O$21</f>
        <v>6.6666666666666662E-3</v>
      </c>
      <c r="I4" s="5">
        <f>[1]马仔规划!$O$7</f>
        <v>1.7777777777777776E-3</v>
      </c>
      <c r="J4" s="5">
        <f>[1]马仔规划!$O$31</f>
        <v>0.11111111111111112</v>
      </c>
      <c r="K4" s="5">
        <f>[1]马仔规划!J25</f>
        <v>0.66666666666666663</v>
      </c>
      <c r="M4" s="29" t="s">
        <v>155</v>
      </c>
      <c r="N4" s="29">
        <v>10</v>
      </c>
    </row>
    <row r="5" spans="1:21">
      <c r="E5" s="5">
        <f>[1]马仔规划!B26</f>
        <v>3</v>
      </c>
      <c r="F5" s="5">
        <f>[1]马仔规划!C26</f>
        <v>4</v>
      </c>
      <c r="G5" s="5">
        <f>[1]马仔规划!$I$26</f>
        <v>4.4444444444444439E-2</v>
      </c>
      <c r="H5" s="5">
        <f>[1]马仔规划!$P$21</f>
        <v>6.6666666666666662E-3</v>
      </c>
      <c r="I5" s="5">
        <f>[1]马仔规划!$P$7</f>
        <v>3.5555555555555553E-3</v>
      </c>
      <c r="J5" s="5">
        <f>[1]马仔规划!$P$31</f>
        <v>0.22222222222222224</v>
      </c>
      <c r="K5" s="5">
        <f>[1]马仔规划!J26</f>
        <v>0.66666666666666663</v>
      </c>
      <c r="S5">
        <v>2</v>
      </c>
      <c r="T5">
        <v>3</v>
      </c>
      <c r="U5">
        <v>4</v>
      </c>
    </row>
    <row r="6" spans="1:21">
      <c r="E6" s="5">
        <f>[1]马仔规划!B27</f>
        <v>4</v>
      </c>
      <c r="F6" s="5">
        <f>[1]马仔规划!C27</f>
        <v>6</v>
      </c>
      <c r="G6" s="5">
        <f>[1]马仔规划!$I$27</f>
        <v>6.6666666666666666E-2</v>
      </c>
      <c r="H6" s="5">
        <f>[1]马仔规划!$Q$21</f>
        <v>6.6666666666666662E-3</v>
      </c>
      <c r="I6" s="5">
        <f>[1]马仔规划!$Q$7</f>
        <v>5.3333333333333332E-3</v>
      </c>
      <c r="J6" s="5">
        <f>[1]马仔规划!$Q$31</f>
        <v>0.33333333333333337</v>
      </c>
      <c r="K6" s="5">
        <f>[1]马仔规划!J27</f>
        <v>0.66666666666666663</v>
      </c>
      <c r="S6" s="1" t="s">
        <v>0</v>
      </c>
      <c r="T6" s="1" t="s">
        <v>1</v>
      </c>
      <c r="U6" s="2" t="s">
        <v>2</v>
      </c>
    </row>
    <row r="7" spans="1:21">
      <c r="E7" s="6" t="s">
        <v>22</v>
      </c>
      <c r="F7" s="6">
        <f>[1]马仔规划!$B$2</f>
        <v>20</v>
      </c>
      <c r="R7" t="s">
        <v>115</v>
      </c>
      <c r="S7">
        <f>[1]各种公式!C13</f>
        <v>0.04</v>
      </c>
      <c r="T7">
        <f>[1]各种公式!D13</f>
        <v>1</v>
      </c>
      <c r="U7">
        <f>[1]各种公式!E13</f>
        <v>1</v>
      </c>
    </row>
    <row r="8" spans="1:21">
      <c r="E8" s="6" t="s">
        <v>21</v>
      </c>
      <c r="F8" s="6" t="str">
        <f>[1]马仔规划!$B$9</f>
        <v>马仔</v>
      </c>
      <c r="K8" s="17"/>
    </row>
    <row r="9" spans="1:21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</row>
    <row r="10" spans="1:21">
      <c r="D10" s="136" t="s">
        <v>24</v>
      </c>
      <c r="E10" s="136"/>
      <c r="F10" s="136"/>
      <c r="H10" t="s">
        <v>156</v>
      </c>
      <c r="J10" s="7">
        <v>2</v>
      </c>
      <c r="K10" s="7">
        <v>3</v>
      </c>
      <c r="L10" s="7">
        <v>4</v>
      </c>
      <c r="M10" s="7">
        <v>5</v>
      </c>
      <c r="N10" s="7">
        <v>6</v>
      </c>
      <c r="O10" s="7">
        <v>7</v>
      </c>
      <c r="P10" s="7">
        <v>8</v>
      </c>
      <c r="Q10" s="7">
        <v>9</v>
      </c>
      <c r="R10" s="7">
        <v>10</v>
      </c>
      <c r="S10" s="7">
        <v>11</v>
      </c>
    </row>
    <row r="11" spans="1:21">
      <c r="D11" t="s">
        <v>117</v>
      </c>
      <c r="E11" s="9" t="s">
        <v>10</v>
      </c>
      <c r="F11" s="9" t="s">
        <v>11</v>
      </c>
      <c r="G11" s="1" t="s">
        <v>20</v>
      </c>
      <c r="H11" s="1" t="s">
        <v>150</v>
      </c>
      <c r="I11" s="1" t="s">
        <v>16</v>
      </c>
      <c r="J11" s="1" t="s">
        <v>0</v>
      </c>
      <c r="K11" s="1" t="s">
        <v>1</v>
      </c>
      <c r="L11" s="2" t="s">
        <v>2</v>
      </c>
      <c r="M11" s="3" t="s">
        <v>3</v>
      </c>
      <c r="N11" s="3" t="s">
        <v>4</v>
      </c>
      <c r="O11" s="3" t="s">
        <v>5</v>
      </c>
      <c r="P11" s="3" t="s">
        <v>6</v>
      </c>
      <c r="Q11" s="3" t="s">
        <v>7</v>
      </c>
      <c r="R11" s="4" t="s">
        <v>8</v>
      </c>
      <c r="S11" s="4" t="s">
        <v>9</v>
      </c>
      <c r="T11" s="23" t="s">
        <v>116</v>
      </c>
    </row>
    <row r="12" spans="1:21">
      <c r="D12">
        <v>80</v>
      </c>
      <c r="E12" s="5" t="str">
        <f>D_马仔表!B2</f>
        <v>制服太妹</v>
      </c>
      <c r="F12" s="5">
        <v>1</v>
      </c>
      <c r="G12" s="5">
        <v>1</v>
      </c>
      <c r="H12" s="6">
        <f>$B$3+D12</f>
        <v>80</v>
      </c>
      <c r="I12" s="6">
        <f t="shared" ref="I12:I26" si="0">VLOOKUP(G12,$E$3:$K$6,3,FALSE)</f>
        <v>1.111111111111111E-2</v>
      </c>
      <c r="J12" s="8">
        <f>VLOOKUP($H12,[1]!总属性参考数组,J$10,FALSE)*VLOOKUP($F$8,[1]!属性权重数组,J$10,FALSE)*$I12/$F$7</f>
        <v>435.53510910933949</v>
      </c>
      <c r="K12" s="8">
        <f>VLOOKUP($H12,[1]!总属性参考数组,K$10,FALSE)*VLOOKUP($F$8,[1]!属性权重数组,K$10,FALSE)*$I12/$F$7</f>
        <v>22.122096256684493</v>
      </c>
      <c r="L12" s="8">
        <f>VLOOKUP($H12,[1]!总属性参考数组,L$10,FALSE)*VLOOKUP($F$8,[1]!属性权重数组,L$10,FALSE)*$I12/$F$7</f>
        <v>9.5594038128249572</v>
      </c>
      <c r="M12" s="8">
        <f>VLOOKUP($H12,[1]!总属性参考数组,M$10,FALSE)*VLOOKUP($F$8,[1]!属性权重数组,M$10,FALSE)*$I12/$F$7</f>
        <v>0</v>
      </c>
      <c r="N12" s="8">
        <f>VLOOKUP($H12,[1]!总属性参考数组,N$10,FALSE)*VLOOKUP($F$8,[1]!属性权重数组,N$10,FALSE)*$I12/$F$7</f>
        <v>0</v>
      </c>
      <c r="O12" s="8">
        <f>VLOOKUP($H12,[1]!总属性参考数组,O$10,FALSE)*VLOOKUP($F$8,[1]!属性权重数组,O$10,FALSE)*$I12/$F$7</f>
        <v>0</v>
      </c>
      <c r="P12" s="8">
        <f>VLOOKUP($H12,[1]!总属性参考数组,P$10,FALSE)*VLOOKUP($F$8,[1]!属性权重数组,P$10,FALSE)*$I12/$F$7</f>
        <v>0</v>
      </c>
      <c r="Q12" s="8">
        <f>VLOOKUP($H12,[1]!总属性参考数组,Q$10,FALSE)*VLOOKUP($F$8,[1]!属性权重数组,Q$10,FALSE)*$I12/$F$7</f>
        <v>0</v>
      </c>
      <c r="R12" s="8">
        <f>VLOOKUP($H12,[1]!总属性参考数组,R$10,FALSE)*VLOOKUP($F$8,[1]!属性权重数组,R$10,FALSE)*$I12/$F$7</f>
        <v>0</v>
      </c>
      <c r="S12" s="8">
        <f>VLOOKUP($H12,[1]!总属性参考数组,S$10,FALSE)*VLOOKUP($F$8,[1]!属性权重数组,S$10,FALSE)*$I12/$F$7</f>
        <v>0</v>
      </c>
      <c r="T12">
        <f>SUMPRODUCT(J12:L12,$S$7:$U$7)</f>
        <v>49.102904433883026</v>
      </c>
    </row>
    <row r="13" spans="1:21">
      <c r="D13">
        <v>80</v>
      </c>
      <c r="E13" s="5" t="str">
        <f>D_马仔表!B3</f>
        <v>蟹仔</v>
      </c>
      <c r="F13" s="5">
        <v>1</v>
      </c>
      <c r="G13" s="5">
        <v>1</v>
      </c>
      <c r="H13" s="6">
        <f t="shared" ref="H13:H27" si="1">$B$3+D13</f>
        <v>80</v>
      </c>
      <c r="I13" s="6">
        <f t="shared" si="0"/>
        <v>1.111111111111111E-2</v>
      </c>
      <c r="J13" s="8">
        <f>VLOOKUP($H13,[1]!总属性参考数组,J$10,FALSE)*VLOOKUP($F$8,[1]!属性权重数组,J$10,FALSE)*$I13/$F$7</f>
        <v>435.53510910933949</v>
      </c>
      <c r="K13" s="8">
        <f>VLOOKUP($H13,[1]!总属性参考数组,K$10,FALSE)*VLOOKUP($F$8,[1]!属性权重数组,K$10,FALSE)*$I13/$F$7</f>
        <v>22.122096256684493</v>
      </c>
      <c r="L13" s="8">
        <f>VLOOKUP($H13,[1]!总属性参考数组,L$10,FALSE)*VLOOKUP($F$8,[1]!属性权重数组,L$10,FALSE)*$I13/$F$7</f>
        <v>9.5594038128249572</v>
      </c>
      <c r="M13" s="8">
        <f>VLOOKUP($H13,[1]!总属性参考数组,M$10,FALSE)*VLOOKUP($F$8,[1]!属性权重数组,M$10,FALSE)*$I13/$F$7</f>
        <v>0</v>
      </c>
      <c r="N13" s="8">
        <f>VLOOKUP($H13,[1]!总属性参考数组,N$10,FALSE)*VLOOKUP($F$8,[1]!属性权重数组,N$10,FALSE)*$I13/$F$7</f>
        <v>0</v>
      </c>
      <c r="O13" s="8">
        <f>VLOOKUP($H13,[1]!总属性参考数组,O$10,FALSE)*VLOOKUP($F$8,[1]!属性权重数组,O$10,FALSE)*$I13/$F$7</f>
        <v>0</v>
      </c>
      <c r="P13" s="8">
        <f>VLOOKUP($H13,[1]!总属性参考数组,P$10,FALSE)*VLOOKUP($F$8,[1]!属性权重数组,P$10,FALSE)*$I13/$F$7</f>
        <v>0</v>
      </c>
      <c r="Q13" s="8">
        <f>VLOOKUP($H13,[1]!总属性参考数组,Q$10,FALSE)*VLOOKUP($F$8,[1]!属性权重数组,Q$10,FALSE)*$I13/$F$7</f>
        <v>0</v>
      </c>
      <c r="R13" s="8">
        <f>VLOOKUP($H13,[1]!总属性参考数组,R$10,FALSE)*VLOOKUP($F$8,[1]!属性权重数组,R$10,FALSE)*$I13/$F$7</f>
        <v>0</v>
      </c>
      <c r="S13" s="8">
        <f>VLOOKUP($H13,[1]!总属性参考数组,S$10,FALSE)*VLOOKUP($F$8,[1]!属性权重数组,S$10,FALSE)*$I13/$F$7</f>
        <v>0</v>
      </c>
      <c r="T13">
        <f t="shared" ref="T13:T27" si="2">SUMPRODUCT(J13:L13,$S$7:$U$7)</f>
        <v>49.102904433883026</v>
      </c>
    </row>
    <row r="14" spans="1:21">
      <c r="D14">
        <v>80</v>
      </c>
      <c r="E14" s="5" t="str">
        <f>D_马仔表!B4</f>
        <v>比利</v>
      </c>
      <c r="F14" s="5">
        <v>1</v>
      </c>
      <c r="G14" s="5">
        <v>1</v>
      </c>
      <c r="H14" s="6">
        <f t="shared" si="1"/>
        <v>80</v>
      </c>
      <c r="I14" s="6">
        <f t="shared" si="0"/>
        <v>1.111111111111111E-2</v>
      </c>
      <c r="J14" s="8">
        <f>VLOOKUP($H14,[1]!总属性参考数组,J$10,FALSE)*VLOOKUP($F$8,[1]!属性权重数组,J$10,FALSE)*$I14/$F$7</f>
        <v>435.53510910933949</v>
      </c>
      <c r="K14" s="8">
        <f>VLOOKUP($H14,[1]!总属性参考数组,K$10,FALSE)*VLOOKUP($F$8,[1]!属性权重数组,K$10,FALSE)*$I14/$F$7</f>
        <v>22.122096256684493</v>
      </c>
      <c r="L14" s="8">
        <f>VLOOKUP($H14,[1]!总属性参考数组,L$10,FALSE)*VLOOKUP($F$8,[1]!属性权重数组,L$10,FALSE)*$I14/$F$7</f>
        <v>9.5594038128249572</v>
      </c>
      <c r="M14" s="8">
        <f>VLOOKUP($H14,[1]!总属性参考数组,M$10,FALSE)*VLOOKUP($F$8,[1]!属性权重数组,M$10,FALSE)*$I14/$F$7</f>
        <v>0</v>
      </c>
      <c r="N14" s="8">
        <f>VLOOKUP($H14,[1]!总属性参考数组,N$10,FALSE)*VLOOKUP($F$8,[1]!属性权重数组,N$10,FALSE)*$I14/$F$7</f>
        <v>0</v>
      </c>
      <c r="O14" s="8">
        <f>VLOOKUP($H14,[1]!总属性参考数组,O$10,FALSE)*VLOOKUP($F$8,[1]!属性权重数组,O$10,FALSE)*$I14/$F$7</f>
        <v>0</v>
      </c>
      <c r="P14" s="8">
        <f>VLOOKUP($H14,[1]!总属性参考数组,P$10,FALSE)*VLOOKUP($F$8,[1]!属性权重数组,P$10,FALSE)*$I14/$F$7</f>
        <v>0</v>
      </c>
      <c r="Q14" s="8">
        <f>VLOOKUP($H14,[1]!总属性参考数组,Q$10,FALSE)*VLOOKUP($F$8,[1]!属性权重数组,Q$10,FALSE)*$I14/$F$7</f>
        <v>0</v>
      </c>
      <c r="R14" s="8">
        <f>VLOOKUP($H14,[1]!总属性参考数组,R$10,FALSE)*VLOOKUP($F$8,[1]!属性权重数组,R$10,FALSE)*$I14/$F$7</f>
        <v>0</v>
      </c>
      <c r="S14" s="8">
        <f>VLOOKUP($H14,[1]!总属性参考数组,S$10,FALSE)*VLOOKUP($F$8,[1]!属性权重数组,S$10,FALSE)*$I14/$F$7</f>
        <v>0</v>
      </c>
      <c r="T14">
        <f t="shared" si="2"/>
        <v>49.102904433883026</v>
      </c>
    </row>
    <row r="15" spans="1:21">
      <c r="D15">
        <v>80</v>
      </c>
      <c r="E15" s="5" t="str">
        <f>D_马仔表!B5</f>
        <v>黎九</v>
      </c>
      <c r="F15" s="5">
        <v>1</v>
      </c>
      <c r="G15" s="5">
        <v>1</v>
      </c>
      <c r="H15" s="6">
        <f t="shared" si="1"/>
        <v>80</v>
      </c>
      <c r="I15" s="6">
        <f t="shared" si="0"/>
        <v>1.111111111111111E-2</v>
      </c>
      <c r="J15" s="8">
        <f>VLOOKUP($H15,[1]!总属性参考数组,J$10,FALSE)*VLOOKUP($F$8,[1]!属性权重数组,J$10,FALSE)*$I15/$F$7</f>
        <v>435.53510910933949</v>
      </c>
      <c r="K15" s="8">
        <f>VLOOKUP($H15,[1]!总属性参考数组,K$10,FALSE)*VLOOKUP($F$8,[1]!属性权重数组,K$10,FALSE)*$I15/$F$7</f>
        <v>22.122096256684493</v>
      </c>
      <c r="L15" s="8">
        <f>VLOOKUP($H15,[1]!总属性参考数组,L$10,FALSE)*VLOOKUP($F$8,[1]!属性权重数组,L$10,FALSE)*$I15/$F$7</f>
        <v>9.5594038128249572</v>
      </c>
      <c r="M15" s="8">
        <f>VLOOKUP($H15,[1]!总属性参考数组,M$10,FALSE)*VLOOKUP($F$8,[1]!属性权重数组,M$10,FALSE)*$I15/$F$7</f>
        <v>0</v>
      </c>
      <c r="N15" s="8">
        <f>VLOOKUP($H15,[1]!总属性参考数组,N$10,FALSE)*VLOOKUP($F$8,[1]!属性权重数组,N$10,FALSE)*$I15/$F$7</f>
        <v>0</v>
      </c>
      <c r="O15" s="8">
        <f>VLOOKUP($H15,[1]!总属性参考数组,O$10,FALSE)*VLOOKUP($F$8,[1]!属性权重数组,O$10,FALSE)*$I15/$F$7</f>
        <v>0</v>
      </c>
      <c r="P15" s="8">
        <f>VLOOKUP($H15,[1]!总属性参考数组,P$10,FALSE)*VLOOKUP($F$8,[1]!属性权重数组,P$10,FALSE)*$I15/$F$7</f>
        <v>0</v>
      </c>
      <c r="Q15" s="8">
        <f>VLOOKUP($H15,[1]!总属性参考数组,Q$10,FALSE)*VLOOKUP($F$8,[1]!属性权重数组,Q$10,FALSE)*$I15/$F$7</f>
        <v>0</v>
      </c>
      <c r="R15" s="8">
        <f>VLOOKUP($H15,[1]!总属性参考数组,R$10,FALSE)*VLOOKUP($F$8,[1]!属性权重数组,R$10,FALSE)*$I15/$F$7</f>
        <v>0</v>
      </c>
      <c r="S15" s="8">
        <f>VLOOKUP($H15,[1]!总属性参考数组,S$10,FALSE)*VLOOKUP($F$8,[1]!属性权重数组,S$10,FALSE)*$I15/$F$7</f>
        <v>0</v>
      </c>
      <c r="T15">
        <f t="shared" si="2"/>
        <v>49.102904433883026</v>
      </c>
    </row>
    <row r="16" spans="1:21">
      <c r="D16">
        <v>80</v>
      </c>
      <c r="E16" s="5" t="str">
        <f>D_马仔表!B6</f>
        <v>黑古</v>
      </c>
      <c r="F16" s="5">
        <v>1</v>
      </c>
      <c r="G16" s="5">
        <v>1</v>
      </c>
      <c r="H16" s="6">
        <f t="shared" si="1"/>
        <v>80</v>
      </c>
      <c r="I16" s="6">
        <f t="shared" si="0"/>
        <v>1.111111111111111E-2</v>
      </c>
      <c r="J16" s="8">
        <f>VLOOKUP($H16,[1]!总属性参考数组,J$10,FALSE)*VLOOKUP($F$8,[1]!属性权重数组,J$10,FALSE)*$I16/$F$7</f>
        <v>435.53510910933949</v>
      </c>
      <c r="K16" s="8">
        <f>VLOOKUP($H16,[1]!总属性参考数组,K$10,FALSE)*VLOOKUP($F$8,[1]!属性权重数组,K$10,FALSE)*$I16/$F$7</f>
        <v>22.122096256684493</v>
      </c>
      <c r="L16" s="8">
        <f>VLOOKUP($H16,[1]!总属性参考数组,L$10,FALSE)*VLOOKUP($F$8,[1]!属性权重数组,L$10,FALSE)*$I16/$F$7</f>
        <v>9.5594038128249572</v>
      </c>
      <c r="M16" s="8">
        <f>VLOOKUP($H16,[1]!总属性参考数组,M$10,FALSE)*VLOOKUP($F$8,[1]!属性权重数组,M$10,FALSE)*$I16/$F$7</f>
        <v>0</v>
      </c>
      <c r="N16" s="8">
        <f>VLOOKUP($H16,[1]!总属性参考数组,N$10,FALSE)*VLOOKUP($F$8,[1]!属性权重数组,N$10,FALSE)*$I16/$F$7</f>
        <v>0</v>
      </c>
      <c r="O16" s="8">
        <f>VLOOKUP($H16,[1]!总属性参考数组,O$10,FALSE)*VLOOKUP($F$8,[1]!属性权重数组,O$10,FALSE)*$I16/$F$7</f>
        <v>0</v>
      </c>
      <c r="P16" s="8">
        <f>VLOOKUP($H16,[1]!总属性参考数组,P$10,FALSE)*VLOOKUP($F$8,[1]!属性权重数组,P$10,FALSE)*$I16/$F$7</f>
        <v>0</v>
      </c>
      <c r="Q16" s="8">
        <f>VLOOKUP($H16,[1]!总属性参考数组,Q$10,FALSE)*VLOOKUP($F$8,[1]!属性权重数组,Q$10,FALSE)*$I16/$F$7</f>
        <v>0</v>
      </c>
      <c r="R16" s="8">
        <f>VLOOKUP($H16,[1]!总属性参考数组,R$10,FALSE)*VLOOKUP($F$8,[1]!属性权重数组,R$10,FALSE)*$I16/$F$7</f>
        <v>0</v>
      </c>
      <c r="S16" s="8">
        <f>VLOOKUP($H16,[1]!总属性参考数组,S$10,FALSE)*VLOOKUP($F$8,[1]!属性权重数组,S$10,FALSE)*$I16/$F$7</f>
        <v>0</v>
      </c>
      <c r="T16">
        <f t="shared" si="2"/>
        <v>49.102904433883026</v>
      </c>
    </row>
    <row r="17" spans="4:28">
      <c r="D17">
        <v>80</v>
      </c>
      <c r="E17" s="5" t="str">
        <f>D_马仔表!B7</f>
        <v>靓坤</v>
      </c>
      <c r="F17" s="5">
        <v>1</v>
      </c>
      <c r="G17" s="5">
        <v>2</v>
      </c>
      <c r="H17" s="6">
        <f t="shared" si="1"/>
        <v>80</v>
      </c>
      <c r="I17" s="6">
        <f t="shared" si="0"/>
        <v>2.222222222222222E-2</v>
      </c>
      <c r="J17" s="8">
        <f>VLOOKUP($H17,[1]!总属性参考数组,J$10,FALSE)*VLOOKUP($F$8,[1]!属性权重数组,J$10,FALSE)*$I17/$F$7</f>
        <v>871.07021821867897</v>
      </c>
      <c r="K17" s="8">
        <f>VLOOKUP($H17,[1]!总属性参考数组,K$10,FALSE)*VLOOKUP($F$8,[1]!属性权重数组,K$10,FALSE)*$I17/$F$7</f>
        <v>44.244192513368986</v>
      </c>
      <c r="L17" s="8">
        <f>VLOOKUP($H17,[1]!总属性参考数组,L$10,FALSE)*VLOOKUP($F$8,[1]!属性权重数组,L$10,FALSE)*$I17/$F$7</f>
        <v>19.118807625649914</v>
      </c>
      <c r="M17" s="8">
        <f>VLOOKUP($H17,[1]!总属性参考数组,M$10,FALSE)*VLOOKUP($F$8,[1]!属性权重数组,M$10,FALSE)*$I17/$F$7</f>
        <v>0</v>
      </c>
      <c r="N17" s="8">
        <f>VLOOKUP($H17,[1]!总属性参考数组,N$10,FALSE)*VLOOKUP($F$8,[1]!属性权重数组,N$10,FALSE)*$I17/$F$7</f>
        <v>0</v>
      </c>
      <c r="O17" s="8">
        <f>VLOOKUP($H17,[1]!总属性参考数组,O$10,FALSE)*VLOOKUP($F$8,[1]!属性权重数组,O$10,FALSE)*$I17/$F$7</f>
        <v>0</v>
      </c>
      <c r="P17" s="8">
        <f>VLOOKUP($H17,[1]!总属性参考数组,P$10,FALSE)*VLOOKUP($F$8,[1]!属性权重数组,P$10,FALSE)*$I17/$F$7</f>
        <v>0</v>
      </c>
      <c r="Q17" s="8">
        <f>VLOOKUP($H17,[1]!总属性参考数组,Q$10,FALSE)*VLOOKUP($F$8,[1]!属性权重数组,Q$10,FALSE)*$I17/$F$7</f>
        <v>0</v>
      </c>
      <c r="R17" s="8">
        <f>VLOOKUP($H17,[1]!总属性参考数组,R$10,FALSE)*VLOOKUP($F$8,[1]!属性权重数组,R$10,FALSE)*$I17/$F$7</f>
        <v>0</v>
      </c>
      <c r="S17" s="8">
        <f>VLOOKUP($H17,[1]!总属性参考数组,S$10,FALSE)*VLOOKUP($F$8,[1]!属性权重数组,S$10,FALSE)*$I17/$F$7</f>
        <v>0</v>
      </c>
      <c r="T17">
        <f t="shared" si="2"/>
        <v>98.205808867766052</v>
      </c>
    </row>
    <row r="18" spans="4:28">
      <c r="D18">
        <v>80</v>
      </c>
      <c r="E18" s="5" t="str">
        <f>D_马仔表!B8</f>
        <v>雷复轰</v>
      </c>
      <c r="F18" s="5">
        <v>1</v>
      </c>
      <c r="G18" s="5">
        <v>2</v>
      </c>
      <c r="H18" s="6">
        <f t="shared" si="1"/>
        <v>80</v>
      </c>
      <c r="I18" s="6">
        <f t="shared" si="0"/>
        <v>2.222222222222222E-2</v>
      </c>
      <c r="J18" s="8">
        <f>VLOOKUP($H18,[1]!总属性参考数组,J$10,FALSE)*VLOOKUP($F$8,[1]!属性权重数组,J$10,FALSE)*$I18/$F$7</f>
        <v>871.07021821867897</v>
      </c>
      <c r="K18" s="8">
        <f>VLOOKUP($H18,[1]!总属性参考数组,K$10,FALSE)*VLOOKUP($F$8,[1]!属性权重数组,K$10,FALSE)*$I18/$F$7</f>
        <v>44.244192513368986</v>
      </c>
      <c r="L18" s="8">
        <f>VLOOKUP($H18,[1]!总属性参考数组,L$10,FALSE)*VLOOKUP($F$8,[1]!属性权重数组,L$10,FALSE)*$I18/$F$7</f>
        <v>19.118807625649914</v>
      </c>
      <c r="M18" s="8">
        <f>VLOOKUP($H18,[1]!总属性参考数组,M$10,FALSE)*VLOOKUP($F$8,[1]!属性权重数组,M$10,FALSE)*$I18/$F$7</f>
        <v>0</v>
      </c>
      <c r="N18" s="8">
        <f>VLOOKUP($H18,[1]!总属性参考数组,N$10,FALSE)*VLOOKUP($F$8,[1]!属性权重数组,N$10,FALSE)*$I18/$F$7</f>
        <v>0</v>
      </c>
      <c r="O18" s="8">
        <f>VLOOKUP($H18,[1]!总属性参考数组,O$10,FALSE)*VLOOKUP($F$8,[1]!属性权重数组,O$10,FALSE)*$I18/$F$7</f>
        <v>0</v>
      </c>
      <c r="P18" s="8">
        <f>VLOOKUP($H18,[1]!总属性参考数组,P$10,FALSE)*VLOOKUP($F$8,[1]!属性权重数组,P$10,FALSE)*$I18/$F$7</f>
        <v>0</v>
      </c>
      <c r="Q18" s="8">
        <f>VLOOKUP($H18,[1]!总属性参考数组,Q$10,FALSE)*VLOOKUP($F$8,[1]!属性权重数组,Q$10,FALSE)*$I18/$F$7</f>
        <v>0</v>
      </c>
      <c r="R18" s="8">
        <f>VLOOKUP($H18,[1]!总属性参考数组,R$10,FALSE)*VLOOKUP($F$8,[1]!属性权重数组,R$10,FALSE)*$I18/$F$7</f>
        <v>0</v>
      </c>
      <c r="S18" s="8">
        <f>VLOOKUP($H18,[1]!总属性参考数组,S$10,FALSE)*VLOOKUP($F$8,[1]!属性权重数组,S$10,FALSE)*$I18/$F$7</f>
        <v>0</v>
      </c>
      <c r="T18">
        <f t="shared" si="2"/>
        <v>98.205808867766052</v>
      </c>
    </row>
    <row r="19" spans="4:28">
      <c r="D19">
        <v>80</v>
      </c>
      <c r="E19" s="5" t="str">
        <f>D_马仔表!B9</f>
        <v>肥仔</v>
      </c>
      <c r="F19" s="5">
        <v>1</v>
      </c>
      <c r="G19" s="5">
        <v>2</v>
      </c>
      <c r="H19" s="6">
        <f t="shared" si="1"/>
        <v>80</v>
      </c>
      <c r="I19" s="6">
        <f t="shared" si="0"/>
        <v>2.222222222222222E-2</v>
      </c>
      <c r="J19" s="8">
        <f>VLOOKUP($H19,[1]!总属性参考数组,J$10,FALSE)*VLOOKUP($F$8,[1]!属性权重数组,J$10,FALSE)*$I19/$F$7</f>
        <v>871.07021821867897</v>
      </c>
      <c r="K19" s="8">
        <f>VLOOKUP($H19,[1]!总属性参考数组,K$10,FALSE)*VLOOKUP($F$8,[1]!属性权重数组,K$10,FALSE)*$I19/$F$7</f>
        <v>44.244192513368986</v>
      </c>
      <c r="L19" s="8">
        <f>VLOOKUP($H19,[1]!总属性参考数组,L$10,FALSE)*VLOOKUP($F$8,[1]!属性权重数组,L$10,FALSE)*$I19/$F$7</f>
        <v>19.118807625649914</v>
      </c>
      <c r="M19" s="8">
        <f>VLOOKUP($H19,[1]!总属性参考数组,M$10,FALSE)*VLOOKUP($F$8,[1]!属性权重数组,M$10,FALSE)*$I19/$F$7</f>
        <v>0</v>
      </c>
      <c r="N19" s="8">
        <f>VLOOKUP($H19,[1]!总属性参考数组,N$10,FALSE)*VLOOKUP($F$8,[1]!属性权重数组,N$10,FALSE)*$I19/$F$7</f>
        <v>0</v>
      </c>
      <c r="O19" s="8">
        <f>VLOOKUP($H19,[1]!总属性参考数组,O$10,FALSE)*VLOOKUP($F$8,[1]!属性权重数组,O$10,FALSE)*$I19/$F$7</f>
        <v>0</v>
      </c>
      <c r="P19" s="8">
        <f>VLOOKUP($H19,[1]!总属性参考数组,P$10,FALSE)*VLOOKUP($F$8,[1]!属性权重数组,P$10,FALSE)*$I19/$F$7</f>
        <v>0</v>
      </c>
      <c r="Q19" s="8">
        <f>VLOOKUP($H19,[1]!总属性参考数组,Q$10,FALSE)*VLOOKUP($F$8,[1]!属性权重数组,Q$10,FALSE)*$I19/$F$7</f>
        <v>0</v>
      </c>
      <c r="R19" s="8">
        <f>VLOOKUP($H19,[1]!总属性参考数组,R$10,FALSE)*VLOOKUP($F$8,[1]!属性权重数组,R$10,FALSE)*$I19/$F$7</f>
        <v>0</v>
      </c>
      <c r="S19" s="8">
        <f>VLOOKUP($H19,[1]!总属性参考数组,S$10,FALSE)*VLOOKUP($F$8,[1]!属性权重数组,S$10,FALSE)*$I19/$F$7</f>
        <v>0</v>
      </c>
      <c r="T19">
        <f t="shared" si="2"/>
        <v>98.205808867766052</v>
      </c>
    </row>
    <row r="20" spans="4:28">
      <c r="D20">
        <v>80</v>
      </c>
      <c r="E20" s="5" t="str">
        <f>D_马仔表!B10</f>
        <v>司徒浩南</v>
      </c>
      <c r="F20" s="5">
        <v>1</v>
      </c>
      <c r="G20" s="5">
        <v>3</v>
      </c>
      <c r="H20" s="6">
        <f t="shared" si="1"/>
        <v>80</v>
      </c>
      <c r="I20" s="6">
        <f t="shared" si="0"/>
        <v>4.4444444444444439E-2</v>
      </c>
      <c r="J20" s="8">
        <f>VLOOKUP($H20,[1]!总属性参考数组,J$10,FALSE)*VLOOKUP($F$8,[1]!属性权重数组,J$10,FALSE)*$I20/$F$7</f>
        <v>1742.1404364373579</v>
      </c>
      <c r="K20" s="8">
        <f>VLOOKUP($H20,[1]!总属性参考数组,K$10,FALSE)*VLOOKUP($F$8,[1]!属性权重数组,K$10,FALSE)*$I20/$F$7</f>
        <v>88.488385026737973</v>
      </c>
      <c r="L20" s="8">
        <f>VLOOKUP($H20,[1]!总属性参考数组,L$10,FALSE)*VLOOKUP($F$8,[1]!属性权重数组,L$10,FALSE)*$I20/$F$7</f>
        <v>38.237615251299829</v>
      </c>
      <c r="M20" s="8">
        <f>VLOOKUP($H20,[1]!总属性参考数组,M$10,FALSE)*VLOOKUP($F$8,[1]!属性权重数组,M$10,FALSE)*$I20/$F$7</f>
        <v>0</v>
      </c>
      <c r="N20" s="8">
        <f>VLOOKUP($H20,[1]!总属性参考数组,N$10,FALSE)*VLOOKUP($F$8,[1]!属性权重数组,N$10,FALSE)*$I20/$F$7</f>
        <v>0</v>
      </c>
      <c r="O20" s="8">
        <f>VLOOKUP($H20,[1]!总属性参考数组,O$10,FALSE)*VLOOKUP($F$8,[1]!属性权重数组,O$10,FALSE)*$I20/$F$7</f>
        <v>0</v>
      </c>
      <c r="P20" s="8">
        <f>VLOOKUP($H20,[1]!总属性参考数组,P$10,FALSE)*VLOOKUP($F$8,[1]!属性权重数组,P$10,FALSE)*$I20/$F$7</f>
        <v>0</v>
      </c>
      <c r="Q20" s="8">
        <f>VLOOKUP($H20,[1]!总属性参考数组,Q$10,FALSE)*VLOOKUP($F$8,[1]!属性权重数组,Q$10,FALSE)*$I20/$F$7</f>
        <v>0</v>
      </c>
      <c r="R20" s="8">
        <f>VLOOKUP($H20,[1]!总属性参考数组,R$10,FALSE)*VLOOKUP($F$8,[1]!属性权重数组,R$10,FALSE)*$I20/$F$7</f>
        <v>0</v>
      </c>
      <c r="S20" s="8">
        <f>VLOOKUP($H20,[1]!总属性参考数组,S$10,FALSE)*VLOOKUP($F$8,[1]!属性权重数组,S$10,FALSE)*$I20/$F$7</f>
        <v>0</v>
      </c>
      <c r="T20">
        <f t="shared" si="2"/>
        <v>196.4116177355321</v>
      </c>
    </row>
    <row r="21" spans="4:28">
      <c r="D21">
        <v>80</v>
      </c>
      <c r="E21" s="5" t="str">
        <f>D_马仔表!B11</f>
        <v>乌鸦</v>
      </c>
      <c r="F21" s="5">
        <v>1</v>
      </c>
      <c r="G21" s="5">
        <v>3</v>
      </c>
      <c r="H21" s="6">
        <f t="shared" si="1"/>
        <v>80</v>
      </c>
      <c r="I21" s="6">
        <f t="shared" si="0"/>
        <v>4.4444444444444439E-2</v>
      </c>
      <c r="J21" s="8">
        <f>VLOOKUP($H21,[1]!总属性参考数组,J$10,FALSE)*VLOOKUP($F$8,[1]!属性权重数组,J$10,FALSE)*$I21/$F$7</f>
        <v>1742.1404364373579</v>
      </c>
      <c r="K21" s="8">
        <f>VLOOKUP($H21,[1]!总属性参考数组,K$10,FALSE)*VLOOKUP($F$8,[1]!属性权重数组,K$10,FALSE)*$I21/$F$7</f>
        <v>88.488385026737973</v>
      </c>
      <c r="L21" s="8">
        <f>VLOOKUP($H21,[1]!总属性参考数组,L$10,FALSE)*VLOOKUP($F$8,[1]!属性权重数组,L$10,FALSE)*$I21/$F$7</f>
        <v>38.237615251299829</v>
      </c>
      <c r="M21" s="8">
        <f>VLOOKUP($H21,[1]!总属性参考数组,M$10,FALSE)*VLOOKUP($F$8,[1]!属性权重数组,M$10,FALSE)*$I21/$F$7</f>
        <v>0</v>
      </c>
      <c r="N21" s="8">
        <f>VLOOKUP($H21,[1]!总属性参考数组,N$10,FALSE)*VLOOKUP($F$8,[1]!属性权重数组,N$10,FALSE)*$I21/$F$7</f>
        <v>0</v>
      </c>
      <c r="O21" s="8">
        <f>VLOOKUP($H21,[1]!总属性参考数组,O$10,FALSE)*VLOOKUP($F$8,[1]!属性权重数组,O$10,FALSE)*$I21/$F$7</f>
        <v>0</v>
      </c>
      <c r="P21" s="8">
        <f>VLOOKUP($H21,[1]!总属性参考数组,P$10,FALSE)*VLOOKUP($F$8,[1]!属性权重数组,P$10,FALSE)*$I21/$F$7</f>
        <v>0</v>
      </c>
      <c r="Q21" s="8">
        <f>VLOOKUP($H21,[1]!总属性参考数组,Q$10,FALSE)*VLOOKUP($F$8,[1]!属性权重数组,Q$10,FALSE)*$I21/$F$7</f>
        <v>0</v>
      </c>
      <c r="R21" s="8">
        <f>VLOOKUP($H21,[1]!总属性参考数组,R$10,FALSE)*VLOOKUP($F$8,[1]!属性权重数组,R$10,FALSE)*$I21/$F$7</f>
        <v>0</v>
      </c>
      <c r="S21" s="8">
        <f>VLOOKUP($H21,[1]!总属性参考数组,S$10,FALSE)*VLOOKUP($F$8,[1]!属性权重数组,S$10,FALSE)*$I21/$F$7</f>
        <v>0</v>
      </c>
      <c r="T21">
        <f t="shared" si="2"/>
        <v>196.4116177355321</v>
      </c>
    </row>
    <row r="22" spans="4:28">
      <c r="D22">
        <v>80</v>
      </c>
      <c r="E22" s="5" t="str">
        <f>D_马仔表!B12</f>
        <v>赌王</v>
      </c>
      <c r="F22" s="5">
        <v>1</v>
      </c>
      <c r="G22" s="5">
        <v>3</v>
      </c>
      <c r="H22" s="6">
        <f t="shared" si="1"/>
        <v>80</v>
      </c>
      <c r="I22" s="6">
        <f t="shared" si="0"/>
        <v>4.4444444444444439E-2</v>
      </c>
      <c r="J22" s="8">
        <f>VLOOKUP($H22,[1]!总属性参考数组,J$10,FALSE)*VLOOKUP($F$8,[1]!属性权重数组,J$10,FALSE)*$I22/$F$7</f>
        <v>1742.1404364373579</v>
      </c>
      <c r="K22" s="8">
        <f>VLOOKUP($H22,[1]!总属性参考数组,K$10,FALSE)*VLOOKUP($F$8,[1]!属性权重数组,K$10,FALSE)*$I22/$F$7</f>
        <v>88.488385026737973</v>
      </c>
      <c r="L22" s="8">
        <f>VLOOKUP($H22,[1]!总属性参考数组,L$10,FALSE)*VLOOKUP($F$8,[1]!属性权重数组,L$10,FALSE)*$I22/$F$7</f>
        <v>38.237615251299829</v>
      </c>
      <c r="M22" s="8">
        <f>VLOOKUP($H22,[1]!总属性参考数组,M$10,FALSE)*VLOOKUP($F$8,[1]!属性权重数组,M$10,FALSE)*$I22/$F$7</f>
        <v>0</v>
      </c>
      <c r="N22" s="8">
        <f>VLOOKUP($H22,[1]!总属性参考数组,N$10,FALSE)*VLOOKUP($F$8,[1]!属性权重数组,N$10,FALSE)*$I22/$F$7</f>
        <v>0</v>
      </c>
      <c r="O22" s="8">
        <f>VLOOKUP($H22,[1]!总属性参考数组,O$10,FALSE)*VLOOKUP($F$8,[1]!属性权重数组,O$10,FALSE)*$I22/$F$7</f>
        <v>0</v>
      </c>
      <c r="P22" s="8">
        <f>VLOOKUP($H22,[1]!总属性参考数组,P$10,FALSE)*VLOOKUP($F$8,[1]!属性权重数组,P$10,FALSE)*$I22/$F$7</f>
        <v>0</v>
      </c>
      <c r="Q22" s="8">
        <f>VLOOKUP($H22,[1]!总属性参考数组,Q$10,FALSE)*VLOOKUP($F$8,[1]!属性权重数组,Q$10,FALSE)*$I22/$F$7</f>
        <v>0</v>
      </c>
      <c r="R22" s="8">
        <f>VLOOKUP($H22,[1]!总属性参考数组,R$10,FALSE)*VLOOKUP($F$8,[1]!属性权重数组,R$10,FALSE)*$I22/$F$7</f>
        <v>0</v>
      </c>
      <c r="S22" s="8">
        <f>VLOOKUP($H22,[1]!总属性参考数组,S$10,FALSE)*VLOOKUP($F$8,[1]!属性权重数组,S$10,FALSE)*$I22/$F$7</f>
        <v>0</v>
      </c>
      <c r="T22">
        <f t="shared" si="2"/>
        <v>196.4116177355321</v>
      </c>
    </row>
    <row r="23" spans="4:28">
      <c r="D23">
        <v>80</v>
      </c>
      <c r="E23" s="5" t="str">
        <f>D_马仔表!B13</f>
        <v>山下忠秀</v>
      </c>
      <c r="F23" s="5">
        <v>1</v>
      </c>
      <c r="G23" s="5">
        <v>3</v>
      </c>
      <c r="H23" s="6">
        <f t="shared" si="1"/>
        <v>80</v>
      </c>
      <c r="I23" s="6">
        <f t="shared" si="0"/>
        <v>4.4444444444444439E-2</v>
      </c>
      <c r="J23" s="8">
        <f>VLOOKUP($H23,[1]!总属性参考数组,J$10,FALSE)*VLOOKUP($F$8,[1]!属性权重数组,J$10,FALSE)*$I23/$F$7</f>
        <v>1742.1404364373579</v>
      </c>
      <c r="K23" s="8">
        <f>VLOOKUP($H23,[1]!总属性参考数组,K$10,FALSE)*VLOOKUP($F$8,[1]!属性权重数组,K$10,FALSE)*$I23/$F$7</f>
        <v>88.488385026737973</v>
      </c>
      <c r="L23" s="8">
        <f>VLOOKUP($H23,[1]!总属性参考数组,L$10,FALSE)*VLOOKUP($F$8,[1]!属性权重数组,L$10,FALSE)*$I23/$F$7</f>
        <v>38.237615251299829</v>
      </c>
      <c r="M23" s="8">
        <f>VLOOKUP($H23,[1]!总属性参考数组,M$10,FALSE)*VLOOKUP($F$8,[1]!属性权重数组,M$10,FALSE)*$I23/$F$7</f>
        <v>0</v>
      </c>
      <c r="N23" s="8">
        <f>VLOOKUP($H23,[1]!总属性参考数组,N$10,FALSE)*VLOOKUP($F$8,[1]!属性权重数组,N$10,FALSE)*$I23/$F$7</f>
        <v>0</v>
      </c>
      <c r="O23" s="8">
        <f>VLOOKUP($H23,[1]!总属性参考数组,O$10,FALSE)*VLOOKUP($F$8,[1]!属性权重数组,O$10,FALSE)*$I23/$F$7</f>
        <v>0</v>
      </c>
      <c r="P23" s="8">
        <f>VLOOKUP($H23,[1]!总属性参考数组,P$10,FALSE)*VLOOKUP($F$8,[1]!属性权重数组,P$10,FALSE)*$I23/$F$7</f>
        <v>0</v>
      </c>
      <c r="Q23" s="8">
        <f>VLOOKUP($H23,[1]!总属性参考数组,Q$10,FALSE)*VLOOKUP($F$8,[1]!属性权重数组,Q$10,FALSE)*$I23/$F$7</f>
        <v>0</v>
      </c>
      <c r="R23" s="8">
        <f>VLOOKUP($H23,[1]!总属性参考数组,R$10,FALSE)*VLOOKUP($F$8,[1]!属性权重数组,R$10,FALSE)*$I23/$F$7</f>
        <v>0</v>
      </c>
      <c r="S23" s="8">
        <f>VLOOKUP($H23,[1]!总属性参考数组,S$10,FALSE)*VLOOKUP($F$8,[1]!属性权重数组,S$10,FALSE)*$I23/$F$7</f>
        <v>0</v>
      </c>
      <c r="T23">
        <f t="shared" si="2"/>
        <v>196.4116177355321</v>
      </c>
    </row>
    <row r="24" spans="4:28">
      <c r="D24">
        <v>80</v>
      </c>
      <c r="E24" s="5" t="str">
        <f>D_马仔表!B14</f>
        <v>宫本一</v>
      </c>
      <c r="F24" s="5">
        <v>1</v>
      </c>
      <c r="G24" s="5">
        <v>3</v>
      </c>
      <c r="H24" s="6">
        <f t="shared" si="1"/>
        <v>80</v>
      </c>
      <c r="I24" s="6">
        <f t="shared" si="0"/>
        <v>4.4444444444444439E-2</v>
      </c>
      <c r="J24" s="8">
        <f>VLOOKUP($H24,[1]!总属性参考数组,J$10,FALSE)*VLOOKUP($F$8,[1]!属性权重数组,J$10,FALSE)*$I24/$F$7</f>
        <v>1742.1404364373579</v>
      </c>
      <c r="K24" s="8">
        <f>VLOOKUP($H24,[1]!总属性参考数组,K$10,FALSE)*VLOOKUP($F$8,[1]!属性权重数组,K$10,FALSE)*$I24/$F$7</f>
        <v>88.488385026737973</v>
      </c>
      <c r="L24" s="8">
        <f>VLOOKUP($H24,[1]!总属性参考数组,L$10,FALSE)*VLOOKUP($F$8,[1]!属性权重数组,L$10,FALSE)*$I24/$F$7</f>
        <v>38.237615251299829</v>
      </c>
      <c r="M24" s="8">
        <f>VLOOKUP($H24,[1]!总属性参考数组,M$10,FALSE)*VLOOKUP($F$8,[1]!属性权重数组,M$10,FALSE)*$I24/$F$7</f>
        <v>0</v>
      </c>
      <c r="N24" s="8">
        <f>VLOOKUP($H24,[1]!总属性参考数组,N$10,FALSE)*VLOOKUP($F$8,[1]!属性权重数组,N$10,FALSE)*$I24/$F$7</f>
        <v>0</v>
      </c>
      <c r="O24" s="8">
        <f>VLOOKUP($H24,[1]!总属性参考数组,O$10,FALSE)*VLOOKUP($F$8,[1]!属性权重数组,O$10,FALSE)*$I24/$F$7</f>
        <v>0</v>
      </c>
      <c r="P24" s="8">
        <f>VLOOKUP($H24,[1]!总属性参考数组,P$10,FALSE)*VLOOKUP($F$8,[1]!属性权重数组,P$10,FALSE)*$I24/$F$7</f>
        <v>0</v>
      </c>
      <c r="Q24" s="8">
        <f>VLOOKUP($H24,[1]!总属性参考数组,Q$10,FALSE)*VLOOKUP($F$8,[1]!属性权重数组,Q$10,FALSE)*$I24/$F$7</f>
        <v>0</v>
      </c>
      <c r="R24" s="8">
        <f>VLOOKUP($H24,[1]!总属性参考数组,R$10,FALSE)*VLOOKUP($F$8,[1]!属性权重数组,R$10,FALSE)*$I24/$F$7</f>
        <v>0</v>
      </c>
      <c r="S24" s="8">
        <f>VLOOKUP($H24,[1]!总属性参考数组,S$10,FALSE)*VLOOKUP($F$8,[1]!属性权重数组,S$10,FALSE)*$I24/$F$7</f>
        <v>0</v>
      </c>
      <c r="T24">
        <f t="shared" si="2"/>
        <v>196.4116177355321</v>
      </c>
    </row>
    <row r="25" spans="4:28">
      <c r="D25">
        <v>80</v>
      </c>
      <c r="E25" s="5" t="str">
        <f>D_马仔表!B15</f>
        <v>陈浩南</v>
      </c>
      <c r="F25" s="5">
        <v>1</v>
      </c>
      <c r="G25" s="5">
        <v>4</v>
      </c>
      <c r="H25" s="6">
        <f t="shared" si="1"/>
        <v>80</v>
      </c>
      <c r="I25" s="6">
        <f t="shared" si="0"/>
        <v>6.6666666666666666E-2</v>
      </c>
      <c r="J25" s="8">
        <f>VLOOKUP($H25,[1]!总属性参考数组,J$10,FALSE)*VLOOKUP($F$8,[1]!属性权重数组,J$10,FALSE)*$I25/$F$7</f>
        <v>2613.2106546560367</v>
      </c>
      <c r="K25" s="8">
        <f>VLOOKUP($H25,[1]!总属性参考数组,K$10,FALSE)*VLOOKUP($F$8,[1]!属性权重数组,K$10,FALSE)*$I25/$F$7</f>
        <v>132.732577540107</v>
      </c>
      <c r="L25" s="8">
        <f>VLOOKUP($H25,[1]!总属性参考数组,L$10,FALSE)*VLOOKUP($F$8,[1]!属性权重数组,L$10,FALSE)*$I25/$F$7</f>
        <v>57.35642287694975</v>
      </c>
      <c r="M25" s="8">
        <f>VLOOKUP($H25,[1]!总属性参考数组,M$10,FALSE)*VLOOKUP($F$8,[1]!属性权重数组,M$10,FALSE)*$I25/$F$7</f>
        <v>0</v>
      </c>
      <c r="N25" s="8">
        <f>VLOOKUP($H25,[1]!总属性参考数组,N$10,FALSE)*VLOOKUP($F$8,[1]!属性权重数组,N$10,FALSE)*$I25/$F$7</f>
        <v>0</v>
      </c>
      <c r="O25" s="8">
        <f>VLOOKUP($H25,[1]!总属性参考数组,O$10,FALSE)*VLOOKUP($F$8,[1]!属性权重数组,O$10,FALSE)*$I25/$F$7</f>
        <v>0</v>
      </c>
      <c r="P25" s="8">
        <f>VLOOKUP($H25,[1]!总属性参考数组,P$10,FALSE)*VLOOKUP($F$8,[1]!属性权重数组,P$10,FALSE)*$I25/$F$7</f>
        <v>0</v>
      </c>
      <c r="Q25" s="8">
        <f>VLOOKUP($H25,[1]!总属性参考数组,Q$10,FALSE)*VLOOKUP($F$8,[1]!属性权重数组,Q$10,FALSE)*$I25/$F$7</f>
        <v>0</v>
      </c>
      <c r="R25" s="8">
        <f>VLOOKUP($H25,[1]!总属性参考数组,R$10,FALSE)*VLOOKUP($F$8,[1]!属性权重数组,R$10,FALSE)*$I25/$F$7</f>
        <v>0</v>
      </c>
      <c r="S25" s="8">
        <f>VLOOKUP($H25,[1]!总属性参考数组,S$10,FALSE)*VLOOKUP($F$8,[1]!属性权重数组,S$10,FALSE)*$I25/$F$7</f>
        <v>0</v>
      </c>
      <c r="T25">
        <f t="shared" si="2"/>
        <v>294.61742660329821</v>
      </c>
    </row>
    <row r="26" spans="4:28">
      <c r="D26">
        <v>80</v>
      </c>
      <c r="E26" s="5" t="str">
        <f>D_马仔表!B16</f>
        <v>山鸡</v>
      </c>
      <c r="F26" s="5">
        <v>1</v>
      </c>
      <c r="G26" s="5">
        <v>4</v>
      </c>
      <c r="H26" s="6">
        <f t="shared" si="1"/>
        <v>80</v>
      </c>
      <c r="I26" s="6">
        <f t="shared" si="0"/>
        <v>6.6666666666666666E-2</v>
      </c>
      <c r="J26" s="8">
        <f>VLOOKUP($H26,[1]!总属性参考数组,J$10,FALSE)*VLOOKUP($F$8,[1]!属性权重数组,J$10,FALSE)*$I26/$F$7</f>
        <v>2613.2106546560367</v>
      </c>
      <c r="K26" s="8">
        <f>VLOOKUP($H26,[1]!总属性参考数组,K$10,FALSE)*VLOOKUP($F$8,[1]!属性权重数组,K$10,FALSE)*$I26/$F$7</f>
        <v>132.732577540107</v>
      </c>
      <c r="L26" s="8">
        <f>VLOOKUP($H26,[1]!总属性参考数组,L$10,FALSE)*VLOOKUP($F$8,[1]!属性权重数组,L$10,FALSE)*$I26/$F$7</f>
        <v>57.35642287694975</v>
      </c>
      <c r="M26" s="8">
        <f>VLOOKUP($H26,[1]!总属性参考数组,M$10,FALSE)*VLOOKUP($F$8,[1]!属性权重数组,M$10,FALSE)*$I26/$F$7</f>
        <v>0</v>
      </c>
      <c r="N26" s="8">
        <f>VLOOKUP($H26,[1]!总属性参考数组,N$10,FALSE)*VLOOKUP($F$8,[1]!属性权重数组,N$10,FALSE)*$I26/$F$7</f>
        <v>0</v>
      </c>
      <c r="O26" s="8">
        <f>VLOOKUP($H26,[1]!总属性参考数组,O$10,FALSE)*VLOOKUP($F$8,[1]!属性权重数组,O$10,FALSE)*$I26/$F$7</f>
        <v>0</v>
      </c>
      <c r="P26" s="8">
        <f>VLOOKUP($H26,[1]!总属性参考数组,P$10,FALSE)*VLOOKUP($F$8,[1]!属性权重数组,P$10,FALSE)*$I26/$F$7</f>
        <v>0</v>
      </c>
      <c r="Q26" s="8">
        <f>VLOOKUP($H26,[1]!总属性参考数组,Q$10,FALSE)*VLOOKUP($F$8,[1]!属性权重数组,Q$10,FALSE)*$I26/$F$7</f>
        <v>0</v>
      </c>
      <c r="R26" s="8">
        <f>VLOOKUP($H26,[1]!总属性参考数组,R$10,FALSE)*VLOOKUP($F$8,[1]!属性权重数组,R$10,FALSE)*$I26/$F$7</f>
        <v>0</v>
      </c>
      <c r="S26" s="8">
        <f>VLOOKUP($H26,[1]!总属性参考数组,S$10,FALSE)*VLOOKUP($F$8,[1]!属性权重数组,S$10,FALSE)*$I26/$F$7</f>
        <v>0</v>
      </c>
      <c r="T26">
        <f t="shared" si="2"/>
        <v>294.61742660329821</v>
      </c>
    </row>
    <row r="27" spans="4:28">
      <c r="D27">
        <v>80</v>
      </c>
      <c r="E27" s="5" t="str">
        <f>D_马仔表!B17</f>
        <v>大天二</v>
      </c>
      <c r="F27" s="5">
        <v>1</v>
      </c>
      <c r="G27" s="5">
        <v>4</v>
      </c>
      <c r="H27" s="6">
        <f t="shared" si="1"/>
        <v>80</v>
      </c>
      <c r="I27" s="6">
        <f>VLOOKUP(G27,$E$3:$K$6,3,FALSE)</f>
        <v>6.6666666666666666E-2</v>
      </c>
      <c r="J27" s="8">
        <f>VLOOKUP($H27,[1]!总属性参考数组,J$10,FALSE)*VLOOKUP($F$8,[1]!属性权重数组,J$10,FALSE)*$I27/$F$7</f>
        <v>2613.2106546560367</v>
      </c>
      <c r="K27" s="8">
        <f>VLOOKUP($H27,[1]!总属性参考数组,K$10,FALSE)*VLOOKUP($F$8,[1]!属性权重数组,K$10,FALSE)*$I27/$F$7</f>
        <v>132.732577540107</v>
      </c>
      <c r="L27" s="8">
        <f>VLOOKUP($H27,[1]!总属性参考数组,L$10,FALSE)*VLOOKUP($F$8,[1]!属性权重数组,L$10,FALSE)*$I27/$F$7</f>
        <v>57.35642287694975</v>
      </c>
      <c r="M27" s="8">
        <f>VLOOKUP($H27,[1]!总属性参考数组,M$10,FALSE)*VLOOKUP($F$8,[1]!属性权重数组,M$10,FALSE)*$I27/$F$7</f>
        <v>0</v>
      </c>
      <c r="N27" s="8">
        <f>VLOOKUP($H27,[1]!总属性参考数组,N$10,FALSE)*VLOOKUP($F$8,[1]!属性权重数组,N$10,FALSE)*$I27/$F$7</f>
        <v>0</v>
      </c>
      <c r="O27" s="8">
        <f>VLOOKUP($H27,[1]!总属性参考数组,O$10,FALSE)*VLOOKUP($F$8,[1]!属性权重数组,O$10,FALSE)*$I27/$F$7</f>
        <v>0</v>
      </c>
      <c r="P27" s="8">
        <f>VLOOKUP($H27,[1]!总属性参考数组,P$10,FALSE)*VLOOKUP($F$8,[1]!属性权重数组,P$10,FALSE)*$I27/$F$7</f>
        <v>0</v>
      </c>
      <c r="Q27" s="8">
        <f>VLOOKUP($H27,[1]!总属性参考数组,Q$10,FALSE)*VLOOKUP($F$8,[1]!属性权重数组,Q$10,FALSE)*$I27/$F$7</f>
        <v>0</v>
      </c>
      <c r="R27" s="8">
        <f>VLOOKUP($H27,[1]!总属性参考数组,R$10,FALSE)*VLOOKUP($F$8,[1]!属性权重数组,R$10,FALSE)*$I27/$F$7</f>
        <v>0</v>
      </c>
      <c r="S27" s="8">
        <f>VLOOKUP($H27,[1]!总属性参考数组,S$10,FALSE)*VLOOKUP($F$8,[1]!属性权重数组,S$10,FALSE)*$I27/$F$7</f>
        <v>0</v>
      </c>
      <c r="T27">
        <f t="shared" si="2"/>
        <v>294.61742660329821</v>
      </c>
    </row>
    <row r="28" spans="4:28">
      <c r="D28">
        <v>80</v>
      </c>
      <c r="E28" s="110" t="str">
        <f>D_马仔表!B18</f>
        <v>巴闭</v>
      </c>
      <c r="F28" s="110">
        <v>1</v>
      </c>
      <c r="G28" s="110">
        <v>2</v>
      </c>
      <c r="H28" s="111">
        <f t="shared" ref="H28:H30" si="3">$B$3+D28</f>
        <v>80</v>
      </c>
      <c r="I28" s="111">
        <f t="shared" ref="I28:I29" si="4">VLOOKUP(G28,$E$3:$K$6,3,FALSE)</f>
        <v>2.222222222222222E-2</v>
      </c>
      <c r="J28" s="8">
        <f>VLOOKUP($H28,[1]!总属性参考数组,J$10,FALSE)*VLOOKUP($F$8,[1]!属性权重数组,J$10,FALSE)*$I28/$F$7</f>
        <v>871.07021821867897</v>
      </c>
      <c r="K28" s="8">
        <f>VLOOKUP($H28,[1]!总属性参考数组,K$10,FALSE)*VLOOKUP($F$8,[1]!属性权重数组,K$10,FALSE)*$I28/$F$7</f>
        <v>44.244192513368986</v>
      </c>
      <c r="L28" s="8">
        <f>VLOOKUP($H28,[1]!总属性参考数组,L$10,FALSE)*VLOOKUP($F$8,[1]!属性权重数组,L$10,FALSE)*$I28/$F$7</f>
        <v>19.118807625649914</v>
      </c>
      <c r="M28" s="8">
        <f>VLOOKUP($H28,[1]!总属性参考数组,M$10,FALSE)*VLOOKUP($F$8,[1]!属性权重数组,M$10,FALSE)*$I28/$F$7</f>
        <v>0</v>
      </c>
      <c r="N28" s="8">
        <f>VLOOKUP($H28,[1]!总属性参考数组,N$10,FALSE)*VLOOKUP($F$8,[1]!属性权重数组,N$10,FALSE)*$I28/$F$7</f>
        <v>0</v>
      </c>
      <c r="O28" s="8">
        <f>VLOOKUP($H28,[1]!总属性参考数组,O$10,FALSE)*VLOOKUP($F$8,[1]!属性权重数组,O$10,FALSE)*$I28/$F$7</f>
        <v>0</v>
      </c>
      <c r="P28" s="8">
        <f>VLOOKUP($H28,[1]!总属性参考数组,P$10,FALSE)*VLOOKUP($F$8,[1]!属性权重数组,P$10,FALSE)*$I28/$F$7</f>
        <v>0</v>
      </c>
      <c r="Q28" s="8">
        <f>VLOOKUP($H28,[1]!总属性参考数组,Q$10,FALSE)*VLOOKUP($F$8,[1]!属性权重数组,Q$10,FALSE)*$I28/$F$7</f>
        <v>0</v>
      </c>
      <c r="R28" s="8">
        <f>VLOOKUP($H28,[1]!总属性参考数组,R$10,FALSE)*VLOOKUP($F$8,[1]!属性权重数组,R$10,FALSE)*$I28/$F$7</f>
        <v>0</v>
      </c>
      <c r="S28" s="8">
        <f>VLOOKUP($H28,[1]!总属性参考数组,S$10,FALSE)*VLOOKUP($F$8,[1]!属性权重数组,S$10,FALSE)*$I28/$F$7</f>
        <v>0</v>
      </c>
      <c r="T28">
        <f t="shared" ref="T28:T30" si="5">SUMPRODUCT(J28:L28,$S$7:$U$7)</f>
        <v>98.205808867766052</v>
      </c>
    </row>
    <row r="29" spans="4:28">
      <c r="D29">
        <v>80</v>
      </c>
      <c r="E29" s="5" t="str">
        <f>D_马仔表!B19</f>
        <v>耀阳</v>
      </c>
      <c r="F29" s="5">
        <v>1</v>
      </c>
      <c r="G29" s="5">
        <v>3</v>
      </c>
      <c r="H29" s="6">
        <f t="shared" si="3"/>
        <v>80</v>
      </c>
      <c r="I29" s="6">
        <f t="shared" si="4"/>
        <v>4.4444444444444439E-2</v>
      </c>
      <c r="J29" s="8">
        <f>VLOOKUP($H29,[1]!总属性参考数组,J$10,FALSE)*VLOOKUP($F$8,[1]!属性权重数组,J$10,FALSE)*$I29/$F$7</f>
        <v>1742.1404364373579</v>
      </c>
      <c r="K29" s="8">
        <f>VLOOKUP($H29,[1]!总属性参考数组,K$10,FALSE)*VLOOKUP($F$8,[1]!属性权重数组,K$10,FALSE)*$I29/$F$7</f>
        <v>88.488385026737973</v>
      </c>
      <c r="L29" s="8">
        <f>VLOOKUP($H29,[1]!总属性参考数组,L$10,FALSE)*VLOOKUP($F$8,[1]!属性权重数组,L$10,FALSE)*$I29/$F$7</f>
        <v>38.237615251299829</v>
      </c>
      <c r="M29" s="8">
        <f>VLOOKUP($H29,[1]!总属性参考数组,M$10,FALSE)*VLOOKUP($F$8,[1]!属性权重数组,M$10,FALSE)*$I29/$F$7</f>
        <v>0</v>
      </c>
      <c r="N29" s="8">
        <f>VLOOKUP($H29,[1]!总属性参考数组,N$10,FALSE)*VLOOKUP($F$8,[1]!属性权重数组,N$10,FALSE)*$I29/$F$7</f>
        <v>0</v>
      </c>
      <c r="O29" s="8">
        <f>VLOOKUP($H29,[1]!总属性参考数组,O$10,FALSE)*VLOOKUP($F$8,[1]!属性权重数组,O$10,FALSE)*$I29/$F$7</f>
        <v>0</v>
      </c>
      <c r="P29" s="8">
        <f>VLOOKUP($H29,[1]!总属性参考数组,P$10,FALSE)*VLOOKUP($F$8,[1]!属性权重数组,P$10,FALSE)*$I29/$F$7</f>
        <v>0</v>
      </c>
      <c r="Q29" s="8">
        <f>VLOOKUP($H29,[1]!总属性参考数组,Q$10,FALSE)*VLOOKUP($F$8,[1]!属性权重数组,Q$10,FALSE)*$I29/$F$7</f>
        <v>0</v>
      </c>
      <c r="R29" s="8">
        <f>VLOOKUP($H29,[1]!总属性参考数组,R$10,FALSE)*VLOOKUP($F$8,[1]!属性权重数组,R$10,FALSE)*$I29/$F$7</f>
        <v>0</v>
      </c>
      <c r="S29" s="8">
        <f>VLOOKUP($H29,[1]!总属性参考数组,S$10,FALSE)*VLOOKUP($F$8,[1]!属性权重数组,S$10,FALSE)*$I29/$F$7</f>
        <v>0</v>
      </c>
      <c r="T29">
        <f t="shared" si="5"/>
        <v>196.4116177355321</v>
      </c>
    </row>
    <row r="30" spans="4:28">
      <c r="D30">
        <v>80</v>
      </c>
      <c r="E30" s="5" t="str">
        <f>D_马仔表!B20</f>
        <v>笑面虎</v>
      </c>
      <c r="F30" s="5">
        <v>1</v>
      </c>
      <c r="G30" s="5">
        <v>3</v>
      </c>
      <c r="H30" s="6">
        <f t="shared" si="3"/>
        <v>80</v>
      </c>
      <c r="I30" s="6">
        <f>VLOOKUP(G30,$E$3:$K$6,3,FALSE)</f>
        <v>4.4444444444444439E-2</v>
      </c>
      <c r="J30" s="8">
        <f>VLOOKUP($H30,[1]!总属性参考数组,J$10,FALSE)*VLOOKUP($F$8,[1]!属性权重数组,J$10,FALSE)*$I30/$F$7</f>
        <v>1742.1404364373579</v>
      </c>
      <c r="K30" s="8">
        <f>VLOOKUP($H30,[1]!总属性参考数组,K$10,FALSE)*VLOOKUP($F$8,[1]!属性权重数组,K$10,FALSE)*$I30/$F$7</f>
        <v>88.488385026737973</v>
      </c>
      <c r="L30" s="8">
        <f>VLOOKUP($H30,[1]!总属性参考数组,L$10,FALSE)*VLOOKUP($F$8,[1]!属性权重数组,L$10,FALSE)*$I30/$F$7</f>
        <v>38.237615251299829</v>
      </c>
      <c r="M30" s="8">
        <f>VLOOKUP($H30,[1]!总属性参考数组,M$10,FALSE)*VLOOKUP($F$8,[1]!属性权重数组,M$10,FALSE)*$I30/$F$7</f>
        <v>0</v>
      </c>
      <c r="N30" s="8">
        <f>VLOOKUP($H30,[1]!总属性参考数组,N$10,FALSE)*VLOOKUP($F$8,[1]!属性权重数组,N$10,FALSE)*$I30/$F$7</f>
        <v>0</v>
      </c>
      <c r="O30" s="8">
        <f>VLOOKUP($H30,[1]!总属性参考数组,O$10,FALSE)*VLOOKUP($F$8,[1]!属性权重数组,O$10,FALSE)*$I30/$F$7</f>
        <v>0</v>
      </c>
      <c r="P30" s="8">
        <f>VLOOKUP($H30,[1]!总属性参考数组,P$10,FALSE)*VLOOKUP($F$8,[1]!属性权重数组,P$10,FALSE)*$I30/$F$7</f>
        <v>0</v>
      </c>
      <c r="Q30" s="8">
        <f>VLOOKUP($H30,[1]!总属性参考数组,Q$10,FALSE)*VLOOKUP($F$8,[1]!属性权重数组,Q$10,FALSE)*$I30/$F$7</f>
        <v>0</v>
      </c>
      <c r="R30" s="8">
        <f>VLOOKUP($H30,[1]!总属性参考数组,R$10,FALSE)*VLOOKUP($F$8,[1]!属性权重数组,R$10,FALSE)*$I30/$F$7</f>
        <v>0</v>
      </c>
      <c r="S30" s="8">
        <f>VLOOKUP($H30,[1]!总属性参考数组,S$10,FALSE)*VLOOKUP($F$8,[1]!属性权重数组,S$10,FALSE)*$I30/$F$7</f>
        <v>0</v>
      </c>
      <c r="T30">
        <f t="shared" si="5"/>
        <v>196.4116177355321</v>
      </c>
    </row>
    <row r="31" spans="4:28">
      <c r="V31" t="s">
        <v>157</v>
      </c>
    </row>
    <row r="32" spans="4:28">
      <c r="V32" s="136">
        <v>0.8</v>
      </c>
      <c r="W32" s="136"/>
      <c r="X32" s="136"/>
      <c r="Z32" s="136">
        <v>0.2</v>
      </c>
      <c r="AA32" s="136"/>
      <c r="AB32" s="136"/>
    </row>
    <row r="33" spans="3:28">
      <c r="D33" s="136" t="s">
        <v>17</v>
      </c>
      <c r="E33" s="136"/>
      <c r="F33" s="136"/>
      <c r="J33" s="7">
        <v>2</v>
      </c>
      <c r="K33" s="7">
        <v>3</v>
      </c>
      <c r="L33" s="7">
        <v>4</v>
      </c>
      <c r="M33" s="7">
        <v>5</v>
      </c>
      <c r="N33" s="7">
        <v>6</v>
      </c>
      <c r="O33" s="7">
        <v>7</v>
      </c>
      <c r="P33" s="7">
        <v>8</v>
      </c>
      <c r="Q33" s="7">
        <v>9</v>
      </c>
      <c r="R33" s="7">
        <v>10</v>
      </c>
      <c r="S33" s="7">
        <v>11</v>
      </c>
      <c r="V33" s="6">
        <v>150</v>
      </c>
      <c r="W33" s="6">
        <v>5</v>
      </c>
      <c r="X33" s="6">
        <v>2.5</v>
      </c>
    </row>
    <row r="34" spans="3:28">
      <c r="D34" s="6" t="str">
        <f>D11</f>
        <v>预估等级辅助</v>
      </c>
      <c r="E34" s="9" t="str">
        <f t="shared" ref="E34:I34" si="6">E11</f>
        <v>马仔名称</v>
      </c>
      <c r="F34" s="9" t="str">
        <f t="shared" si="6"/>
        <v>马仔星级</v>
      </c>
      <c r="G34" s="1" t="str">
        <f t="shared" si="6"/>
        <v>马仔品阶</v>
      </c>
      <c r="H34" s="1" t="str">
        <f t="shared" si="6"/>
        <v>评估等级</v>
      </c>
      <c r="I34" s="1" t="str">
        <f t="shared" si="6"/>
        <v>属性点</v>
      </c>
      <c r="J34" s="1" t="s">
        <v>0</v>
      </c>
      <c r="K34" s="1" t="s">
        <v>1</v>
      </c>
      <c r="L34" s="2" t="s">
        <v>2</v>
      </c>
      <c r="M34" s="3" t="s">
        <v>3</v>
      </c>
      <c r="N34" s="3" t="s">
        <v>4</v>
      </c>
      <c r="O34" s="3" t="s">
        <v>5</v>
      </c>
      <c r="P34" s="3" t="s">
        <v>6</v>
      </c>
      <c r="Q34" s="3" t="s">
        <v>7</v>
      </c>
      <c r="R34" s="4" t="s">
        <v>8</v>
      </c>
      <c r="S34" s="4" t="s">
        <v>9</v>
      </c>
      <c r="T34" s="23" t="s">
        <v>116</v>
      </c>
      <c r="V34" s="3" t="s">
        <v>161</v>
      </c>
      <c r="W34" s="3" t="s">
        <v>162</v>
      </c>
      <c r="X34" s="3" t="s">
        <v>163</v>
      </c>
      <c r="Z34" s="3" t="s">
        <v>686</v>
      </c>
      <c r="AA34" s="3" t="s">
        <v>687</v>
      </c>
      <c r="AB34" s="3" t="s">
        <v>688</v>
      </c>
    </row>
    <row r="35" spans="3:28">
      <c r="C35" s="137" t="s">
        <v>271</v>
      </c>
      <c r="D35" s="6">
        <v>80</v>
      </c>
      <c r="E35" s="5" t="str">
        <f t="shared" ref="E35:G35" si="7">E12</f>
        <v>制服太妹</v>
      </c>
      <c r="F35" s="5">
        <f t="shared" si="7"/>
        <v>1</v>
      </c>
      <c r="G35" s="5">
        <f t="shared" si="7"/>
        <v>1</v>
      </c>
      <c r="H35" s="5">
        <f>$B$3+D35</f>
        <v>80</v>
      </c>
      <c r="I35" s="6">
        <f t="shared" ref="I35:I49" si="8">VLOOKUP(G35,$E$3:$K$6,6)</f>
        <v>5.5555555555555559E-2</v>
      </c>
      <c r="J35" s="8">
        <f>VLOOKUP($H35,[1]!总属性参考数组,J$10,FALSE)*VLOOKUP($F$8,[1]!属性权重数组,J$10,FALSE)*$I35/$F$7</f>
        <v>2177.6755455466978</v>
      </c>
      <c r="K35" s="8">
        <f>VLOOKUP($H35,[1]!总属性参考数组,K$10,FALSE)*VLOOKUP($F$8,[1]!属性权重数组,K$10,FALSE)*$I35/$F$7</f>
        <v>110.6104812834225</v>
      </c>
      <c r="L35" s="8">
        <f>VLOOKUP($H35,[1]!总属性参考数组,L$10,FALSE)*VLOOKUP($F$8,[1]!属性权重数组,L$10,FALSE)*$I35/$F$7</f>
        <v>47.797019064124797</v>
      </c>
      <c r="M35" s="8">
        <f>VLOOKUP($H35,[1]!总属性参考数组,M$10,FALSE)*VLOOKUP($F$8,[1]!属性权重数组,M$10,FALSE)*$I35/$F$7</f>
        <v>0</v>
      </c>
      <c r="N35" s="8">
        <f>VLOOKUP($H35,[1]!总属性参考数组,N$10,FALSE)*VLOOKUP($F$8,[1]!属性权重数组,N$10,FALSE)*$I35/$F$7</f>
        <v>0</v>
      </c>
      <c r="O35" s="8">
        <f>VLOOKUP($H35,[1]!总属性参考数组,O$10,FALSE)*VLOOKUP($F$8,[1]!属性权重数组,O$10,FALSE)*$I35/$F$7</f>
        <v>0</v>
      </c>
      <c r="P35" s="8">
        <f>VLOOKUP($H35,[1]!总属性参考数组,P$10,FALSE)*VLOOKUP($F$8,[1]!属性权重数组,P$10,FALSE)*$I35/$F$7</f>
        <v>0</v>
      </c>
      <c r="Q35" s="8">
        <f>VLOOKUP($H35,[1]!总属性参考数组,Q$10,FALSE)*VLOOKUP($F$8,[1]!属性权重数组,Q$10,FALSE)*$I35/$F$7</f>
        <v>0</v>
      </c>
      <c r="R35" s="8">
        <f>VLOOKUP($H35,[1]!总属性参考数组,R$10,FALSE)*VLOOKUP($F$8,[1]!属性权重数组,R$10,FALSE)*$I35/$F$7</f>
        <v>0</v>
      </c>
      <c r="S35" s="8">
        <f>VLOOKUP($H35,[1]!总属性参考数组,S$10,FALSE)*VLOOKUP($F$8,[1]!属性权重数组,S$10,FALSE)*$I35/$F$7</f>
        <v>0</v>
      </c>
      <c r="T35">
        <f>SUMPRODUCT(J35:L35,$S$7:$U$7)</f>
        <v>245.51452216941522</v>
      </c>
      <c r="V35" s="6">
        <f>J35*V$32/V$33/80</f>
        <v>0.14517836970311321</v>
      </c>
      <c r="W35" s="6">
        <f>K35*V$32/W$33/80</f>
        <v>0.22122096256684501</v>
      </c>
      <c r="X35" s="6">
        <f>L35*V$32/X$33/80</f>
        <v>0.1911880762564992</v>
      </c>
      <c r="Z35" s="6">
        <f>J35*$Z$32</f>
        <v>435.5351091093396</v>
      </c>
      <c r="AA35" s="6">
        <f t="shared" ref="AA35:AB35" si="9">K35*$Z$32</f>
        <v>22.1220962566845</v>
      </c>
      <c r="AB35" s="6">
        <f t="shared" si="9"/>
        <v>9.559403812824959</v>
      </c>
    </row>
    <row r="36" spans="3:28">
      <c r="C36" s="137"/>
      <c r="D36" s="6">
        <f t="shared" ref="D36:D53" si="10">D13</f>
        <v>80</v>
      </c>
      <c r="E36" s="5" t="str">
        <f t="shared" ref="E36:G36" si="11">E13</f>
        <v>蟹仔</v>
      </c>
      <c r="F36" s="5">
        <f t="shared" si="11"/>
        <v>1</v>
      </c>
      <c r="G36" s="5">
        <f t="shared" si="11"/>
        <v>1</v>
      </c>
      <c r="H36" s="5">
        <f t="shared" ref="H36:H50" si="12">$B$3+D36</f>
        <v>80</v>
      </c>
      <c r="I36" s="6">
        <f t="shared" si="8"/>
        <v>5.5555555555555559E-2</v>
      </c>
      <c r="J36" s="8">
        <f>VLOOKUP($H36,[1]!总属性参考数组,J$10,FALSE)*VLOOKUP($F$8,[1]!属性权重数组,J$10,FALSE)*$I36/$F$7</f>
        <v>2177.6755455466978</v>
      </c>
      <c r="K36" s="8">
        <f>VLOOKUP($H36,[1]!总属性参考数组,K$10,FALSE)*VLOOKUP($F$8,[1]!属性权重数组,K$10,FALSE)*$I36/$F$7</f>
        <v>110.6104812834225</v>
      </c>
      <c r="L36" s="8">
        <f>VLOOKUP($H36,[1]!总属性参考数组,L$10,FALSE)*VLOOKUP($F$8,[1]!属性权重数组,L$10,FALSE)*$I36/$F$7</f>
        <v>47.797019064124797</v>
      </c>
      <c r="M36" s="8">
        <f>VLOOKUP($H36,[1]!总属性参考数组,M$10,FALSE)*VLOOKUP($F$8,[1]!属性权重数组,M$10,FALSE)*$I36/$F$7</f>
        <v>0</v>
      </c>
      <c r="N36" s="8">
        <f>VLOOKUP($H36,[1]!总属性参考数组,N$10,FALSE)*VLOOKUP($F$8,[1]!属性权重数组,N$10,FALSE)*$I36/$F$7</f>
        <v>0</v>
      </c>
      <c r="O36" s="8">
        <f>VLOOKUP($H36,[1]!总属性参考数组,O$10,FALSE)*VLOOKUP($F$8,[1]!属性权重数组,O$10,FALSE)*$I36/$F$7</f>
        <v>0</v>
      </c>
      <c r="P36" s="8">
        <f>VLOOKUP($H36,[1]!总属性参考数组,P$10,FALSE)*VLOOKUP($F$8,[1]!属性权重数组,P$10,FALSE)*$I36/$F$7</f>
        <v>0</v>
      </c>
      <c r="Q36" s="8">
        <f>VLOOKUP($H36,[1]!总属性参考数组,Q$10,FALSE)*VLOOKUP($F$8,[1]!属性权重数组,Q$10,FALSE)*$I36/$F$7</f>
        <v>0</v>
      </c>
      <c r="R36" s="8">
        <f>VLOOKUP($H36,[1]!总属性参考数组,R$10,FALSE)*VLOOKUP($F$8,[1]!属性权重数组,R$10,FALSE)*$I36/$F$7</f>
        <v>0</v>
      </c>
      <c r="S36" s="8">
        <f>VLOOKUP($H36,[1]!总属性参考数组,S$10,FALSE)*VLOOKUP($F$8,[1]!属性权重数组,S$10,FALSE)*$I36/$F$7</f>
        <v>0</v>
      </c>
      <c r="T36">
        <f t="shared" ref="T36:T50" si="13">SUMPRODUCT(J36:L36,$S$7:$U$7)</f>
        <v>245.51452216941522</v>
      </c>
      <c r="V36" s="6">
        <f t="shared" ref="V36:V53" si="14">J36*V$32/V$33/80</f>
        <v>0.14517836970311321</v>
      </c>
      <c r="W36" s="6">
        <f t="shared" ref="W36:W53" si="15">K36*V$32/W$33/80</f>
        <v>0.22122096256684501</v>
      </c>
      <c r="X36" s="6">
        <f t="shared" ref="X36:X53" si="16">L36*V$32/X$33/80</f>
        <v>0.1911880762564992</v>
      </c>
      <c r="Z36" s="6">
        <f t="shared" ref="Z36:Z53" si="17">J36*$Z$32</f>
        <v>435.5351091093396</v>
      </c>
      <c r="AA36" s="6">
        <f t="shared" ref="AA36:AA53" si="18">K36*$Z$32</f>
        <v>22.1220962566845</v>
      </c>
      <c r="AB36" s="6">
        <f t="shared" ref="AB36:AB53" si="19">L36*$Z$32</f>
        <v>9.559403812824959</v>
      </c>
    </row>
    <row r="37" spans="3:28">
      <c r="C37" s="137"/>
      <c r="D37" s="6">
        <f t="shared" si="10"/>
        <v>80</v>
      </c>
      <c r="E37" s="5" t="str">
        <f t="shared" ref="E37:G37" si="20">E14</f>
        <v>比利</v>
      </c>
      <c r="F37" s="5">
        <f t="shared" si="20"/>
        <v>1</v>
      </c>
      <c r="G37" s="5">
        <f t="shared" si="20"/>
        <v>1</v>
      </c>
      <c r="H37" s="5">
        <f t="shared" si="12"/>
        <v>80</v>
      </c>
      <c r="I37" s="6">
        <f t="shared" si="8"/>
        <v>5.5555555555555559E-2</v>
      </c>
      <c r="J37" s="8">
        <f>VLOOKUP($H37,[1]!总属性参考数组,J$10,FALSE)*VLOOKUP($F$8,[1]!属性权重数组,J$10,FALSE)*$I37/$F$7</f>
        <v>2177.6755455466978</v>
      </c>
      <c r="K37" s="8">
        <f>VLOOKUP($H37,[1]!总属性参考数组,K$10,FALSE)*VLOOKUP($F$8,[1]!属性权重数组,K$10,FALSE)*$I37/$F$7</f>
        <v>110.6104812834225</v>
      </c>
      <c r="L37" s="8">
        <f>VLOOKUP($H37,[1]!总属性参考数组,L$10,FALSE)*VLOOKUP($F$8,[1]!属性权重数组,L$10,FALSE)*$I37/$F$7</f>
        <v>47.797019064124797</v>
      </c>
      <c r="M37" s="8">
        <f>VLOOKUP($H37,[1]!总属性参考数组,M$10,FALSE)*VLOOKUP($F$8,[1]!属性权重数组,M$10,FALSE)*$I37/$F$7</f>
        <v>0</v>
      </c>
      <c r="N37" s="8">
        <f>VLOOKUP($H37,[1]!总属性参考数组,N$10,FALSE)*VLOOKUP($F$8,[1]!属性权重数组,N$10,FALSE)*$I37/$F$7</f>
        <v>0</v>
      </c>
      <c r="O37" s="8">
        <f>VLOOKUP($H37,[1]!总属性参考数组,O$10,FALSE)*VLOOKUP($F$8,[1]!属性权重数组,O$10,FALSE)*$I37/$F$7</f>
        <v>0</v>
      </c>
      <c r="P37" s="8">
        <f>VLOOKUP($H37,[1]!总属性参考数组,P$10,FALSE)*VLOOKUP($F$8,[1]!属性权重数组,P$10,FALSE)*$I37/$F$7</f>
        <v>0</v>
      </c>
      <c r="Q37" s="8">
        <f>VLOOKUP($H37,[1]!总属性参考数组,Q$10,FALSE)*VLOOKUP($F$8,[1]!属性权重数组,Q$10,FALSE)*$I37/$F$7</f>
        <v>0</v>
      </c>
      <c r="R37" s="8">
        <f>VLOOKUP($H37,[1]!总属性参考数组,R$10,FALSE)*VLOOKUP($F$8,[1]!属性权重数组,R$10,FALSE)*$I37/$F$7</f>
        <v>0</v>
      </c>
      <c r="S37" s="8">
        <f>VLOOKUP($H37,[1]!总属性参考数组,S$10,FALSE)*VLOOKUP($F$8,[1]!属性权重数组,S$10,FALSE)*$I37/$F$7</f>
        <v>0</v>
      </c>
      <c r="T37">
        <f t="shared" si="13"/>
        <v>245.51452216941522</v>
      </c>
      <c r="V37" s="6">
        <f t="shared" si="14"/>
        <v>0.14517836970311321</v>
      </c>
      <c r="W37" s="6">
        <f t="shared" si="15"/>
        <v>0.22122096256684501</v>
      </c>
      <c r="X37" s="6">
        <f t="shared" si="16"/>
        <v>0.1911880762564992</v>
      </c>
      <c r="Z37" s="6">
        <f t="shared" si="17"/>
        <v>435.5351091093396</v>
      </c>
      <c r="AA37" s="6">
        <f t="shared" si="18"/>
        <v>22.1220962566845</v>
      </c>
      <c r="AB37" s="6">
        <f t="shared" si="19"/>
        <v>9.559403812824959</v>
      </c>
    </row>
    <row r="38" spans="3:28">
      <c r="C38" s="137"/>
      <c r="D38" s="6">
        <f t="shared" si="10"/>
        <v>80</v>
      </c>
      <c r="E38" s="5" t="str">
        <f t="shared" ref="E38:G39" si="21">E15</f>
        <v>黎九</v>
      </c>
      <c r="F38" s="5">
        <f t="shared" si="21"/>
        <v>1</v>
      </c>
      <c r="G38" s="5">
        <f t="shared" si="21"/>
        <v>1</v>
      </c>
      <c r="H38" s="5">
        <f t="shared" si="12"/>
        <v>80</v>
      </c>
      <c r="I38" s="6">
        <f t="shared" si="8"/>
        <v>5.5555555555555559E-2</v>
      </c>
      <c r="J38" s="8">
        <f>VLOOKUP($H38,[1]!总属性参考数组,J$10,FALSE)*VLOOKUP($F$8,[1]!属性权重数组,J$10,FALSE)*$I38/$F$7</f>
        <v>2177.6755455466978</v>
      </c>
      <c r="K38" s="8">
        <f>VLOOKUP($H38,[1]!总属性参考数组,K$10,FALSE)*VLOOKUP($F$8,[1]!属性权重数组,K$10,FALSE)*$I38/$F$7</f>
        <v>110.6104812834225</v>
      </c>
      <c r="L38" s="8">
        <f>VLOOKUP($H38,[1]!总属性参考数组,L$10,FALSE)*VLOOKUP($F$8,[1]!属性权重数组,L$10,FALSE)*$I38/$F$7</f>
        <v>47.797019064124797</v>
      </c>
      <c r="M38" s="8">
        <f>VLOOKUP($H38,[1]!总属性参考数组,M$10,FALSE)*VLOOKUP($F$8,[1]!属性权重数组,M$10,FALSE)*$I38/$F$7</f>
        <v>0</v>
      </c>
      <c r="N38" s="8">
        <f>VLOOKUP($H38,[1]!总属性参考数组,N$10,FALSE)*VLOOKUP($F$8,[1]!属性权重数组,N$10,FALSE)*$I38/$F$7</f>
        <v>0</v>
      </c>
      <c r="O38" s="8">
        <f>VLOOKUP($H38,[1]!总属性参考数组,O$10,FALSE)*VLOOKUP($F$8,[1]!属性权重数组,O$10,FALSE)*$I38/$F$7</f>
        <v>0</v>
      </c>
      <c r="P38" s="8">
        <f>VLOOKUP($H38,[1]!总属性参考数组,P$10,FALSE)*VLOOKUP($F$8,[1]!属性权重数组,P$10,FALSE)*$I38/$F$7</f>
        <v>0</v>
      </c>
      <c r="Q38" s="8">
        <f>VLOOKUP($H38,[1]!总属性参考数组,Q$10,FALSE)*VLOOKUP($F$8,[1]!属性权重数组,Q$10,FALSE)*$I38/$F$7</f>
        <v>0</v>
      </c>
      <c r="R38" s="8">
        <f>VLOOKUP($H38,[1]!总属性参考数组,R$10,FALSE)*VLOOKUP($F$8,[1]!属性权重数组,R$10,FALSE)*$I38/$F$7</f>
        <v>0</v>
      </c>
      <c r="S38" s="8">
        <f>VLOOKUP($H38,[1]!总属性参考数组,S$10,FALSE)*VLOOKUP($F$8,[1]!属性权重数组,S$10,FALSE)*$I38/$F$7</f>
        <v>0</v>
      </c>
      <c r="T38">
        <f t="shared" si="13"/>
        <v>245.51452216941522</v>
      </c>
      <c r="V38" s="6">
        <f t="shared" si="14"/>
        <v>0.14517836970311321</v>
      </c>
      <c r="W38" s="6">
        <f t="shared" si="15"/>
        <v>0.22122096256684501</v>
      </c>
      <c r="X38" s="6">
        <f t="shared" si="16"/>
        <v>0.1911880762564992</v>
      </c>
      <c r="Z38" s="6">
        <f t="shared" si="17"/>
        <v>435.5351091093396</v>
      </c>
      <c r="AA38" s="6">
        <f t="shared" si="18"/>
        <v>22.1220962566845</v>
      </c>
      <c r="AB38" s="6">
        <f t="shared" si="19"/>
        <v>9.559403812824959</v>
      </c>
    </row>
    <row r="39" spans="3:28">
      <c r="C39" s="137"/>
      <c r="D39" s="6">
        <f t="shared" si="10"/>
        <v>80</v>
      </c>
      <c r="E39" s="5" t="str">
        <f t="shared" si="21"/>
        <v>黑古</v>
      </c>
      <c r="F39" s="5">
        <f t="shared" si="21"/>
        <v>1</v>
      </c>
      <c r="G39" s="5">
        <f t="shared" si="21"/>
        <v>1</v>
      </c>
      <c r="H39" s="5">
        <f t="shared" si="12"/>
        <v>80</v>
      </c>
      <c r="I39" s="6">
        <f t="shared" si="8"/>
        <v>5.5555555555555559E-2</v>
      </c>
      <c r="J39" s="8">
        <f>VLOOKUP($H39,[1]!总属性参考数组,J$10,FALSE)*VLOOKUP($F$8,[1]!属性权重数组,J$10,FALSE)*$I39/$F$7</f>
        <v>2177.6755455466978</v>
      </c>
      <c r="K39" s="8">
        <f>VLOOKUP($H39,[1]!总属性参考数组,K$10,FALSE)*VLOOKUP($F$8,[1]!属性权重数组,K$10,FALSE)*$I39/$F$7</f>
        <v>110.6104812834225</v>
      </c>
      <c r="L39" s="8">
        <f>VLOOKUP($H39,[1]!总属性参考数组,L$10,FALSE)*VLOOKUP($F$8,[1]!属性权重数组,L$10,FALSE)*$I39/$F$7</f>
        <v>47.797019064124797</v>
      </c>
      <c r="M39" s="8">
        <f>VLOOKUP($H39,[1]!总属性参考数组,M$10,FALSE)*VLOOKUP($F$8,[1]!属性权重数组,M$10,FALSE)*$I39/$F$7</f>
        <v>0</v>
      </c>
      <c r="N39" s="8">
        <f>VLOOKUP($H39,[1]!总属性参考数组,N$10,FALSE)*VLOOKUP($F$8,[1]!属性权重数组,N$10,FALSE)*$I39/$F$7</f>
        <v>0</v>
      </c>
      <c r="O39" s="8">
        <f>VLOOKUP($H39,[1]!总属性参考数组,O$10,FALSE)*VLOOKUP($F$8,[1]!属性权重数组,O$10,FALSE)*$I39/$F$7</f>
        <v>0</v>
      </c>
      <c r="P39" s="8">
        <f>VLOOKUP($H39,[1]!总属性参考数组,P$10,FALSE)*VLOOKUP($F$8,[1]!属性权重数组,P$10,FALSE)*$I39/$F$7</f>
        <v>0</v>
      </c>
      <c r="Q39" s="8">
        <f>VLOOKUP($H39,[1]!总属性参考数组,Q$10,FALSE)*VLOOKUP($F$8,[1]!属性权重数组,Q$10,FALSE)*$I39/$F$7</f>
        <v>0</v>
      </c>
      <c r="R39" s="8">
        <f>VLOOKUP($H39,[1]!总属性参考数组,R$10,FALSE)*VLOOKUP($F$8,[1]!属性权重数组,R$10,FALSE)*$I39/$F$7</f>
        <v>0</v>
      </c>
      <c r="S39" s="8">
        <f>VLOOKUP($H39,[1]!总属性参考数组,S$10,FALSE)*VLOOKUP($F$8,[1]!属性权重数组,S$10,FALSE)*$I39/$F$7</f>
        <v>0</v>
      </c>
      <c r="T39">
        <f t="shared" si="13"/>
        <v>245.51452216941522</v>
      </c>
      <c r="V39" s="6">
        <f t="shared" si="14"/>
        <v>0.14517836970311321</v>
      </c>
      <c r="W39" s="6">
        <f t="shared" si="15"/>
        <v>0.22122096256684501</v>
      </c>
      <c r="X39" s="6">
        <f t="shared" si="16"/>
        <v>0.1911880762564992</v>
      </c>
      <c r="Z39" s="6">
        <f t="shared" si="17"/>
        <v>435.5351091093396</v>
      </c>
      <c r="AA39" s="6">
        <f t="shared" si="18"/>
        <v>22.1220962566845</v>
      </c>
      <c r="AB39" s="6">
        <f t="shared" si="19"/>
        <v>9.559403812824959</v>
      </c>
    </row>
    <row r="40" spans="3:28">
      <c r="C40" s="137"/>
      <c r="D40" s="6">
        <f t="shared" si="10"/>
        <v>80</v>
      </c>
      <c r="E40" s="5" t="str">
        <f t="shared" ref="E40:G40" si="22">E17</f>
        <v>靓坤</v>
      </c>
      <c r="F40" s="5">
        <f t="shared" si="22"/>
        <v>1</v>
      </c>
      <c r="G40" s="5">
        <f t="shared" si="22"/>
        <v>2</v>
      </c>
      <c r="H40" s="5">
        <f t="shared" si="12"/>
        <v>80</v>
      </c>
      <c r="I40" s="6">
        <f t="shared" si="8"/>
        <v>0.11111111111111112</v>
      </c>
      <c r="J40" s="8">
        <f>VLOOKUP($H40,[1]!总属性参考数组,J$10,FALSE)*VLOOKUP($F$8,[1]!属性权重数组,J$10,FALSE)*$I40/$F$7</f>
        <v>4355.3510910933956</v>
      </c>
      <c r="K40" s="8">
        <f>VLOOKUP($H40,[1]!总属性参考数组,K$10,FALSE)*VLOOKUP($F$8,[1]!属性权重数组,K$10,FALSE)*$I40/$F$7</f>
        <v>221.220962566845</v>
      </c>
      <c r="L40" s="8">
        <f>VLOOKUP($H40,[1]!总属性参考数组,L$10,FALSE)*VLOOKUP($F$8,[1]!属性权重数组,L$10,FALSE)*$I40/$F$7</f>
        <v>95.594038128249593</v>
      </c>
      <c r="M40" s="8">
        <f>VLOOKUP($H40,[1]!总属性参考数组,M$10,FALSE)*VLOOKUP($F$8,[1]!属性权重数组,M$10,FALSE)*$I40/$F$7</f>
        <v>0</v>
      </c>
      <c r="N40" s="8">
        <f>VLOOKUP($H40,[1]!总属性参考数组,N$10,FALSE)*VLOOKUP($F$8,[1]!属性权重数组,N$10,FALSE)*$I40/$F$7</f>
        <v>0</v>
      </c>
      <c r="O40" s="8">
        <f>VLOOKUP($H40,[1]!总属性参考数组,O$10,FALSE)*VLOOKUP($F$8,[1]!属性权重数组,O$10,FALSE)*$I40/$F$7</f>
        <v>0</v>
      </c>
      <c r="P40" s="8">
        <f>VLOOKUP($H40,[1]!总属性参考数组,P$10,FALSE)*VLOOKUP($F$8,[1]!属性权重数组,P$10,FALSE)*$I40/$F$7</f>
        <v>0</v>
      </c>
      <c r="Q40" s="8">
        <f>VLOOKUP($H40,[1]!总属性参考数组,Q$10,FALSE)*VLOOKUP($F$8,[1]!属性权重数组,Q$10,FALSE)*$I40/$F$7</f>
        <v>0</v>
      </c>
      <c r="R40" s="8">
        <f>VLOOKUP($H40,[1]!总属性参考数组,R$10,FALSE)*VLOOKUP($F$8,[1]!属性权重数组,R$10,FALSE)*$I40/$F$7</f>
        <v>0</v>
      </c>
      <c r="S40" s="8">
        <f>VLOOKUP($H40,[1]!总属性参考数组,S$10,FALSE)*VLOOKUP($F$8,[1]!属性权重数组,S$10,FALSE)*$I40/$F$7</f>
        <v>0</v>
      </c>
      <c r="T40">
        <f t="shared" si="13"/>
        <v>491.02904433883043</v>
      </c>
      <c r="V40" s="6">
        <f t="shared" si="14"/>
        <v>0.29035673940622642</v>
      </c>
      <c r="W40" s="6">
        <f t="shared" si="15"/>
        <v>0.44244192513369002</v>
      </c>
      <c r="X40" s="6">
        <f t="shared" si="16"/>
        <v>0.38237615251299839</v>
      </c>
      <c r="Z40" s="6">
        <f t="shared" si="17"/>
        <v>871.0702182186792</v>
      </c>
      <c r="AA40" s="6">
        <f t="shared" si="18"/>
        <v>44.244192513369001</v>
      </c>
      <c r="AB40" s="6">
        <f t="shared" si="19"/>
        <v>19.118807625649918</v>
      </c>
    </row>
    <row r="41" spans="3:28">
      <c r="C41" s="137"/>
      <c r="D41" s="6">
        <f t="shared" si="10"/>
        <v>80</v>
      </c>
      <c r="E41" s="5" t="str">
        <f t="shared" ref="E41:G41" si="23">E18</f>
        <v>雷复轰</v>
      </c>
      <c r="F41" s="5">
        <f t="shared" si="23"/>
        <v>1</v>
      </c>
      <c r="G41" s="5">
        <f t="shared" si="23"/>
        <v>2</v>
      </c>
      <c r="H41" s="5">
        <f t="shared" si="12"/>
        <v>80</v>
      </c>
      <c r="I41" s="6">
        <f t="shared" si="8"/>
        <v>0.11111111111111112</v>
      </c>
      <c r="J41" s="8">
        <f>VLOOKUP($H41,[1]!总属性参考数组,J$10,FALSE)*VLOOKUP($F$8,[1]!属性权重数组,J$10,FALSE)*$I41/$F$7</f>
        <v>4355.3510910933956</v>
      </c>
      <c r="K41" s="8">
        <f>VLOOKUP($H41,[1]!总属性参考数组,K$10,FALSE)*VLOOKUP($F$8,[1]!属性权重数组,K$10,FALSE)*$I41/$F$7</f>
        <v>221.220962566845</v>
      </c>
      <c r="L41" s="8">
        <f>VLOOKUP($H41,[1]!总属性参考数组,L$10,FALSE)*VLOOKUP($F$8,[1]!属性权重数组,L$10,FALSE)*$I41/$F$7</f>
        <v>95.594038128249593</v>
      </c>
      <c r="M41" s="8">
        <f>VLOOKUP($H41,[1]!总属性参考数组,M$10,FALSE)*VLOOKUP($F$8,[1]!属性权重数组,M$10,FALSE)*$I41/$F$7</f>
        <v>0</v>
      </c>
      <c r="N41" s="8">
        <f>VLOOKUP($H41,[1]!总属性参考数组,N$10,FALSE)*VLOOKUP($F$8,[1]!属性权重数组,N$10,FALSE)*$I41/$F$7</f>
        <v>0</v>
      </c>
      <c r="O41" s="8">
        <f>VLOOKUP($H41,[1]!总属性参考数组,O$10,FALSE)*VLOOKUP($F$8,[1]!属性权重数组,O$10,FALSE)*$I41/$F$7</f>
        <v>0</v>
      </c>
      <c r="P41" s="8">
        <f>VLOOKUP($H41,[1]!总属性参考数组,P$10,FALSE)*VLOOKUP($F$8,[1]!属性权重数组,P$10,FALSE)*$I41/$F$7</f>
        <v>0</v>
      </c>
      <c r="Q41" s="8">
        <f>VLOOKUP($H41,[1]!总属性参考数组,Q$10,FALSE)*VLOOKUP($F$8,[1]!属性权重数组,Q$10,FALSE)*$I41/$F$7</f>
        <v>0</v>
      </c>
      <c r="R41" s="8">
        <f>VLOOKUP($H41,[1]!总属性参考数组,R$10,FALSE)*VLOOKUP($F$8,[1]!属性权重数组,R$10,FALSE)*$I41/$F$7</f>
        <v>0</v>
      </c>
      <c r="S41" s="8">
        <f>VLOOKUP($H41,[1]!总属性参考数组,S$10,FALSE)*VLOOKUP($F$8,[1]!属性权重数组,S$10,FALSE)*$I41/$F$7</f>
        <v>0</v>
      </c>
      <c r="T41">
        <f t="shared" si="13"/>
        <v>491.02904433883043</v>
      </c>
      <c r="V41" s="6">
        <f t="shared" si="14"/>
        <v>0.29035673940622642</v>
      </c>
      <c r="W41" s="6">
        <f t="shared" si="15"/>
        <v>0.44244192513369002</v>
      </c>
      <c r="X41" s="6">
        <f t="shared" si="16"/>
        <v>0.38237615251299839</v>
      </c>
      <c r="Z41" s="6">
        <f t="shared" si="17"/>
        <v>871.0702182186792</v>
      </c>
      <c r="AA41" s="6">
        <f t="shared" si="18"/>
        <v>44.244192513369001</v>
      </c>
      <c r="AB41" s="6">
        <f t="shared" si="19"/>
        <v>19.118807625649918</v>
      </c>
    </row>
    <row r="42" spans="3:28">
      <c r="C42" s="137"/>
      <c r="D42" s="6">
        <f t="shared" si="10"/>
        <v>80</v>
      </c>
      <c r="E42" s="5" t="str">
        <f t="shared" ref="E42:G42" si="24">E19</f>
        <v>肥仔</v>
      </c>
      <c r="F42" s="5">
        <f t="shared" si="24"/>
        <v>1</v>
      </c>
      <c r="G42" s="5">
        <f t="shared" si="24"/>
        <v>2</v>
      </c>
      <c r="H42" s="5">
        <f t="shared" si="12"/>
        <v>80</v>
      </c>
      <c r="I42" s="6">
        <f t="shared" si="8"/>
        <v>0.11111111111111112</v>
      </c>
      <c r="J42" s="8">
        <f>VLOOKUP($H42,[1]!总属性参考数组,J$10,FALSE)*VLOOKUP($F$8,[1]!属性权重数组,J$10,FALSE)*$I42/$F$7</f>
        <v>4355.3510910933956</v>
      </c>
      <c r="K42" s="8">
        <f>VLOOKUP($H42,[1]!总属性参考数组,K$10,FALSE)*VLOOKUP($F$8,[1]!属性权重数组,K$10,FALSE)*$I42/$F$7</f>
        <v>221.220962566845</v>
      </c>
      <c r="L42" s="8">
        <f>VLOOKUP($H42,[1]!总属性参考数组,L$10,FALSE)*VLOOKUP($F$8,[1]!属性权重数组,L$10,FALSE)*$I42/$F$7</f>
        <v>95.594038128249593</v>
      </c>
      <c r="M42" s="8">
        <f>VLOOKUP($H42,[1]!总属性参考数组,M$10,FALSE)*VLOOKUP($F$8,[1]!属性权重数组,M$10,FALSE)*$I42/$F$7</f>
        <v>0</v>
      </c>
      <c r="N42" s="8">
        <f>VLOOKUP($H42,[1]!总属性参考数组,N$10,FALSE)*VLOOKUP($F$8,[1]!属性权重数组,N$10,FALSE)*$I42/$F$7</f>
        <v>0</v>
      </c>
      <c r="O42" s="8">
        <f>VLOOKUP($H42,[1]!总属性参考数组,O$10,FALSE)*VLOOKUP($F$8,[1]!属性权重数组,O$10,FALSE)*$I42/$F$7</f>
        <v>0</v>
      </c>
      <c r="P42" s="8">
        <f>VLOOKUP($H42,[1]!总属性参考数组,P$10,FALSE)*VLOOKUP($F$8,[1]!属性权重数组,P$10,FALSE)*$I42/$F$7</f>
        <v>0</v>
      </c>
      <c r="Q42" s="8">
        <f>VLOOKUP($H42,[1]!总属性参考数组,Q$10,FALSE)*VLOOKUP($F$8,[1]!属性权重数组,Q$10,FALSE)*$I42/$F$7</f>
        <v>0</v>
      </c>
      <c r="R42" s="8">
        <f>VLOOKUP($H42,[1]!总属性参考数组,R$10,FALSE)*VLOOKUP($F$8,[1]!属性权重数组,R$10,FALSE)*$I42/$F$7</f>
        <v>0</v>
      </c>
      <c r="S42" s="8">
        <f>VLOOKUP($H42,[1]!总属性参考数组,S$10,FALSE)*VLOOKUP($F$8,[1]!属性权重数组,S$10,FALSE)*$I42/$F$7</f>
        <v>0</v>
      </c>
      <c r="T42">
        <f t="shared" si="13"/>
        <v>491.02904433883043</v>
      </c>
      <c r="V42" s="6">
        <f t="shared" si="14"/>
        <v>0.29035673940622642</v>
      </c>
      <c r="W42" s="6">
        <f t="shared" si="15"/>
        <v>0.44244192513369002</v>
      </c>
      <c r="X42" s="6">
        <f t="shared" si="16"/>
        <v>0.38237615251299839</v>
      </c>
      <c r="Z42" s="6">
        <f t="shared" si="17"/>
        <v>871.0702182186792</v>
      </c>
      <c r="AA42" s="6">
        <f t="shared" si="18"/>
        <v>44.244192513369001</v>
      </c>
      <c r="AB42" s="6">
        <f t="shared" si="19"/>
        <v>19.118807625649918</v>
      </c>
    </row>
    <row r="43" spans="3:28">
      <c r="C43" s="137"/>
      <c r="D43" s="6">
        <f t="shared" si="10"/>
        <v>80</v>
      </c>
      <c r="E43" s="5" t="str">
        <f t="shared" ref="E43:G43" si="25">E20</f>
        <v>司徒浩南</v>
      </c>
      <c r="F43" s="5">
        <f t="shared" si="25"/>
        <v>1</v>
      </c>
      <c r="G43" s="5">
        <f t="shared" si="25"/>
        <v>3</v>
      </c>
      <c r="H43" s="5">
        <f t="shared" si="12"/>
        <v>80</v>
      </c>
      <c r="I43" s="6">
        <f t="shared" si="8"/>
        <v>0.22222222222222224</v>
      </c>
      <c r="J43" s="8">
        <f>VLOOKUP($H43,[1]!总属性参考数组,J$10,FALSE)*VLOOKUP($F$8,[1]!属性权重数组,J$10,FALSE)*$I43/$F$7</f>
        <v>8710.7021821867911</v>
      </c>
      <c r="K43" s="8">
        <f>VLOOKUP($H43,[1]!总属性参考数组,K$10,FALSE)*VLOOKUP($F$8,[1]!属性权重数组,K$10,FALSE)*$I43/$F$7</f>
        <v>442.44192513369001</v>
      </c>
      <c r="L43" s="8">
        <f>VLOOKUP($H43,[1]!总属性参考数组,L$10,FALSE)*VLOOKUP($F$8,[1]!属性权重数组,L$10,FALSE)*$I43/$F$7</f>
        <v>191.18807625649919</v>
      </c>
      <c r="M43" s="8">
        <f>VLOOKUP($H43,[1]!总属性参考数组,M$10,FALSE)*VLOOKUP($F$8,[1]!属性权重数组,M$10,FALSE)*$I43/$F$7</f>
        <v>0</v>
      </c>
      <c r="N43" s="8">
        <f>VLOOKUP($H43,[1]!总属性参考数组,N$10,FALSE)*VLOOKUP($F$8,[1]!属性权重数组,N$10,FALSE)*$I43/$F$7</f>
        <v>0</v>
      </c>
      <c r="O43" s="8">
        <f>VLOOKUP($H43,[1]!总属性参考数组,O$10,FALSE)*VLOOKUP($F$8,[1]!属性权重数组,O$10,FALSE)*$I43/$F$7</f>
        <v>0</v>
      </c>
      <c r="P43" s="8">
        <f>VLOOKUP($H43,[1]!总属性参考数组,P$10,FALSE)*VLOOKUP($F$8,[1]!属性权重数组,P$10,FALSE)*$I43/$F$7</f>
        <v>0</v>
      </c>
      <c r="Q43" s="8">
        <f>VLOOKUP($H43,[1]!总属性参考数组,Q$10,FALSE)*VLOOKUP($F$8,[1]!属性权重数组,Q$10,FALSE)*$I43/$F$7</f>
        <v>0</v>
      </c>
      <c r="R43" s="8">
        <f>VLOOKUP($H43,[1]!总属性参考数组,R$10,FALSE)*VLOOKUP($F$8,[1]!属性权重数组,R$10,FALSE)*$I43/$F$7</f>
        <v>0</v>
      </c>
      <c r="S43" s="8">
        <f>VLOOKUP($H43,[1]!总属性参考数组,S$10,FALSE)*VLOOKUP($F$8,[1]!属性权重数组,S$10,FALSE)*$I43/$F$7</f>
        <v>0</v>
      </c>
      <c r="T43">
        <f t="shared" si="13"/>
        <v>982.05808867766086</v>
      </c>
      <c r="V43" s="6">
        <f t="shared" si="14"/>
        <v>0.58071347881245283</v>
      </c>
      <c r="W43" s="6">
        <f t="shared" si="15"/>
        <v>0.88488385026738003</v>
      </c>
      <c r="X43" s="6">
        <f t="shared" si="16"/>
        <v>0.76475230502599678</v>
      </c>
      <c r="Z43" s="6">
        <f t="shared" si="17"/>
        <v>1742.1404364373584</v>
      </c>
      <c r="AA43" s="6">
        <f t="shared" si="18"/>
        <v>88.488385026738001</v>
      </c>
      <c r="AB43" s="6">
        <f t="shared" si="19"/>
        <v>38.237615251299836</v>
      </c>
    </row>
    <row r="44" spans="3:28">
      <c r="C44" s="137"/>
      <c r="D44" s="6">
        <f t="shared" si="10"/>
        <v>80</v>
      </c>
      <c r="E44" s="5" t="str">
        <f t="shared" ref="E44:G44" si="26">E21</f>
        <v>乌鸦</v>
      </c>
      <c r="F44" s="5">
        <f t="shared" si="26"/>
        <v>1</v>
      </c>
      <c r="G44" s="5">
        <f t="shared" si="26"/>
        <v>3</v>
      </c>
      <c r="H44" s="5">
        <f t="shared" si="12"/>
        <v>80</v>
      </c>
      <c r="I44" s="6">
        <f t="shared" si="8"/>
        <v>0.22222222222222224</v>
      </c>
      <c r="J44" s="8">
        <f>VLOOKUP($H44,[1]!总属性参考数组,J$10,FALSE)*VLOOKUP($F$8,[1]!属性权重数组,J$10,FALSE)*$I44/$F$7</f>
        <v>8710.7021821867911</v>
      </c>
      <c r="K44" s="8">
        <f>VLOOKUP($H44,[1]!总属性参考数组,K$10,FALSE)*VLOOKUP($F$8,[1]!属性权重数组,K$10,FALSE)*$I44/$F$7</f>
        <v>442.44192513369001</v>
      </c>
      <c r="L44" s="8">
        <f>VLOOKUP($H44,[1]!总属性参考数组,L$10,FALSE)*VLOOKUP($F$8,[1]!属性权重数组,L$10,FALSE)*$I44/$F$7</f>
        <v>191.18807625649919</v>
      </c>
      <c r="M44" s="8">
        <f>VLOOKUP($H44,[1]!总属性参考数组,M$10,FALSE)*VLOOKUP($F$8,[1]!属性权重数组,M$10,FALSE)*$I44/$F$7</f>
        <v>0</v>
      </c>
      <c r="N44" s="8">
        <f>VLOOKUP($H44,[1]!总属性参考数组,N$10,FALSE)*VLOOKUP($F$8,[1]!属性权重数组,N$10,FALSE)*$I44/$F$7</f>
        <v>0</v>
      </c>
      <c r="O44" s="8">
        <f>VLOOKUP($H44,[1]!总属性参考数组,O$10,FALSE)*VLOOKUP($F$8,[1]!属性权重数组,O$10,FALSE)*$I44/$F$7</f>
        <v>0</v>
      </c>
      <c r="P44" s="8">
        <f>VLOOKUP($H44,[1]!总属性参考数组,P$10,FALSE)*VLOOKUP($F$8,[1]!属性权重数组,P$10,FALSE)*$I44/$F$7</f>
        <v>0</v>
      </c>
      <c r="Q44" s="8">
        <f>VLOOKUP($H44,[1]!总属性参考数组,Q$10,FALSE)*VLOOKUP($F$8,[1]!属性权重数组,Q$10,FALSE)*$I44/$F$7</f>
        <v>0</v>
      </c>
      <c r="R44" s="8">
        <f>VLOOKUP($H44,[1]!总属性参考数组,R$10,FALSE)*VLOOKUP($F$8,[1]!属性权重数组,R$10,FALSE)*$I44/$F$7</f>
        <v>0</v>
      </c>
      <c r="S44" s="8">
        <f>VLOOKUP($H44,[1]!总属性参考数组,S$10,FALSE)*VLOOKUP($F$8,[1]!属性权重数组,S$10,FALSE)*$I44/$F$7</f>
        <v>0</v>
      </c>
      <c r="T44">
        <f t="shared" si="13"/>
        <v>982.05808867766086</v>
      </c>
      <c r="V44" s="6">
        <f t="shared" si="14"/>
        <v>0.58071347881245283</v>
      </c>
      <c r="W44" s="6">
        <f t="shared" si="15"/>
        <v>0.88488385026738003</v>
      </c>
      <c r="X44" s="6">
        <f t="shared" si="16"/>
        <v>0.76475230502599678</v>
      </c>
      <c r="Z44" s="6">
        <f t="shared" si="17"/>
        <v>1742.1404364373584</v>
      </c>
      <c r="AA44" s="6">
        <f t="shared" si="18"/>
        <v>88.488385026738001</v>
      </c>
      <c r="AB44" s="6">
        <f t="shared" si="19"/>
        <v>38.237615251299836</v>
      </c>
    </row>
    <row r="45" spans="3:28">
      <c r="C45" s="137"/>
      <c r="D45" s="6">
        <f t="shared" si="10"/>
        <v>80</v>
      </c>
      <c r="E45" s="5" t="str">
        <f t="shared" ref="E45:G45" si="27">E22</f>
        <v>赌王</v>
      </c>
      <c r="F45" s="5">
        <f t="shared" si="27"/>
        <v>1</v>
      </c>
      <c r="G45" s="5">
        <f t="shared" si="27"/>
        <v>3</v>
      </c>
      <c r="H45" s="5">
        <f t="shared" si="12"/>
        <v>80</v>
      </c>
      <c r="I45" s="6">
        <f t="shared" si="8"/>
        <v>0.22222222222222224</v>
      </c>
      <c r="J45" s="8">
        <f>VLOOKUP($H45,[1]!总属性参考数组,J$10,FALSE)*VLOOKUP($F$8,[1]!属性权重数组,J$10,FALSE)*$I45/$F$7</f>
        <v>8710.7021821867911</v>
      </c>
      <c r="K45" s="8">
        <f>VLOOKUP($H45,[1]!总属性参考数组,K$10,FALSE)*VLOOKUP($F$8,[1]!属性权重数组,K$10,FALSE)*$I45/$F$7</f>
        <v>442.44192513369001</v>
      </c>
      <c r="L45" s="8">
        <f>VLOOKUP($H45,[1]!总属性参考数组,L$10,FALSE)*VLOOKUP($F$8,[1]!属性权重数组,L$10,FALSE)*$I45/$F$7</f>
        <v>191.18807625649919</v>
      </c>
      <c r="M45" s="8">
        <f>VLOOKUP($H45,[1]!总属性参考数组,M$10,FALSE)*VLOOKUP($F$8,[1]!属性权重数组,M$10,FALSE)*$I45/$F$7</f>
        <v>0</v>
      </c>
      <c r="N45" s="8">
        <f>VLOOKUP($H45,[1]!总属性参考数组,N$10,FALSE)*VLOOKUP($F$8,[1]!属性权重数组,N$10,FALSE)*$I45/$F$7</f>
        <v>0</v>
      </c>
      <c r="O45" s="8">
        <f>VLOOKUP($H45,[1]!总属性参考数组,O$10,FALSE)*VLOOKUP($F$8,[1]!属性权重数组,O$10,FALSE)*$I45/$F$7</f>
        <v>0</v>
      </c>
      <c r="P45" s="8">
        <f>VLOOKUP($H45,[1]!总属性参考数组,P$10,FALSE)*VLOOKUP($F$8,[1]!属性权重数组,P$10,FALSE)*$I45/$F$7</f>
        <v>0</v>
      </c>
      <c r="Q45" s="8">
        <f>VLOOKUP($H45,[1]!总属性参考数组,Q$10,FALSE)*VLOOKUP($F$8,[1]!属性权重数组,Q$10,FALSE)*$I45/$F$7</f>
        <v>0</v>
      </c>
      <c r="R45" s="8">
        <f>VLOOKUP($H45,[1]!总属性参考数组,R$10,FALSE)*VLOOKUP($F$8,[1]!属性权重数组,R$10,FALSE)*$I45/$F$7</f>
        <v>0</v>
      </c>
      <c r="S45" s="8">
        <f>VLOOKUP($H45,[1]!总属性参考数组,S$10,FALSE)*VLOOKUP($F$8,[1]!属性权重数组,S$10,FALSE)*$I45/$F$7</f>
        <v>0</v>
      </c>
      <c r="T45">
        <f t="shared" si="13"/>
        <v>982.05808867766086</v>
      </c>
      <c r="V45" s="6">
        <f t="shared" si="14"/>
        <v>0.58071347881245283</v>
      </c>
      <c r="W45" s="6">
        <f t="shared" si="15"/>
        <v>0.88488385026738003</v>
      </c>
      <c r="X45" s="6">
        <f t="shared" si="16"/>
        <v>0.76475230502599678</v>
      </c>
      <c r="Z45" s="6">
        <f t="shared" si="17"/>
        <v>1742.1404364373584</v>
      </c>
      <c r="AA45" s="6">
        <f t="shared" si="18"/>
        <v>88.488385026738001</v>
      </c>
      <c r="AB45" s="6">
        <f t="shared" si="19"/>
        <v>38.237615251299836</v>
      </c>
    </row>
    <row r="46" spans="3:28">
      <c r="C46" s="137"/>
      <c r="D46" s="6">
        <f t="shared" si="10"/>
        <v>80</v>
      </c>
      <c r="E46" s="5" t="str">
        <f t="shared" ref="E46:G46" si="28">E23</f>
        <v>山下忠秀</v>
      </c>
      <c r="F46" s="5">
        <f t="shared" si="28"/>
        <v>1</v>
      </c>
      <c r="G46" s="5">
        <f t="shared" si="28"/>
        <v>3</v>
      </c>
      <c r="H46" s="5">
        <f t="shared" si="12"/>
        <v>80</v>
      </c>
      <c r="I46" s="6">
        <f t="shared" si="8"/>
        <v>0.22222222222222224</v>
      </c>
      <c r="J46" s="8">
        <f>VLOOKUP($H46,[1]!总属性参考数组,J$10,FALSE)*VLOOKUP($F$8,[1]!属性权重数组,J$10,FALSE)*$I46/$F$7</f>
        <v>8710.7021821867911</v>
      </c>
      <c r="K46" s="8">
        <f>VLOOKUP($H46,[1]!总属性参考数组,K$10,FALSE)*VLOOKUP($F$8,[1]!属性权重数组,K$10,FALSE)*$I46/$F$7</f>
        <v>442.44192513369001</v>
      </c>
      <c r="L46" s="8">
        <f>VLOOKUP($H46,[1]!总属性参考数组,L$10,FALSE)*VLOOKUP($F$8,[1]!属性权重数组,L$10,FALSE)*$I46/$F$7</f>
        <v>191.18807625649919</v>
      </c>
      <c r="M46" s="8">
        <f>VLOOKUP($H46,[1]!总属性参考数组,M$10,FALSE)*VLOOKUP($F$8,[1]!属性权重数组,M$10,FALSE)*$I46/$F$7</f>
        <v>0</v>
      </c>
      <c r="N46" s="8">
        <f>VLOOKUP($H46,[1]!总属性参考数组,N$10,FALSE)*VLOOKUP($F$8,[1]!属性权重数组,N$10,FALSE)*$I46/$F$7</f>
        <v>0</v>
      </c>
      <c r="O46" s="8">
        <f>VLOOKUP($H46,[1]!总属性参考数组,O$10,FALSE)*VLOOKUP($F$8,[1]!属性权重数组,O$10,FALSE)*$I46/$F$7</f>
        <v>0</v>
      </c>
      <c r="P46" s="8">
        <f>VLOOKUP($H46,[1]!总属性参考数组,P$10,FALSE)*VLOOKUP($F$8,[1]!属性权重数组,P$10,FALSE)*$I46/$F$7</f>
        <v>0</v>
      </c>
      <c r="Q46" s="8">
        <f>VLOOKUP($H46,[1]!总属性参考数组,Q$10,FALSE)*VLOOKUP($F$8,[1]!属性权重数组,Q$10,FALSE)*$I46/$F$7</f>
        <v>0</v>
      </c>
      <c r="R46" s="8">
        <f>VLOOKUP($H46,[1]!总属性参考数组,R$10,FALSE)*VLOOKUP($F$8,[1]!属性权重数组,R$10,FALSE)*$I46/$F$7</f>
        <v>0</v>
      </c>
      <c r="S46" s="8">
        <f>VLOOKUP($H46,[1]!总属性参考数组,S$10,FALSE)*VLOOKUP($F$8,[1]!属性权重数组,S$10,FALSE)*$I46/$F$7</f>
        <v>0</v>
      </c>
      <c r="T46">
        <f t="shared" si="13"/>
        <v>982.05808867766086</v>
      </c>
      <c r="V46" s="6">
        <f t="shared" si="14"/>
        <v>0.58071347881245283</v>
      </c>
      <c r="W46" s="6">
        <f t="shared" si="15"/>
        <v>0.88488385026738003</v>
      </c>
      <c r="X46" s="6">
        <f t="shared" si="16"/>
        <v>0.76475230502599678</v>
      </c>
      <c r="Z46" s="6">
        <f t="shared" si="17"/>
        <v>1742.1404364373584</v>
      </c>
      <c r="AA46" s="6">
        <f t="shared" si="18"/>
        <v>88.488385026738001</v>
      </c>
      <c r="AB46" s="6">
        <f t="shared" si="19"/>
        <v>38.237615251299836</v>
      </c>
    </row>
    <row r="47" spans="3:28">
      <c r="C47" s="137"/>
      <c r="D47" s="6">
        <f t="shared" si="10"/>
        <v>80</v>
      </c>
      <c r="E47" s="5" t="str">
        <f t="shared" ref="E47:G47" si="29">E24</f>
        <v>宫本一</v>
      </c>
      <c r="F47" s="5">
        <f t="shared" si="29"/>
        <v>1</v>
      </c>
      <c r="G47" s="5">
        <f t="shared" si="29"/>
        <v>3</v>
      </c>
      <c r="H47" s="5">
        <f t="shared" si="12"/>
        <v>80</v>
      </c>
      <c r="I47" s="6">
        <f t="shared" si="8"/>
        <v>0.22222222222222224</v>
      </c>
      <c r="J47" s="8">
        <f>VLOOKUP($H47,[1]!总属性参考数组,J$10,FALSE)*VLOOKUP($F$8,[1]!属性权重数组,J$10,FALSE)*$I47/$F$7</f>
        <v>8710.7021821867911</v>
      </c>
      <c r="K47" s="8">
        <f>VLOOKUP($H47,[1]!总属性参考数组,K$10,FALSE)*VLOOKUP($F$8,[1]!属性权重数组,K$10,FALSE)*$I47/$F$7</f>
        <v>442.44192513369001</v>
      </c>
      <c r="L47" s="8">
        <f>VLOOKUP($H47,[1]!总属性参考数组,L$10,FALSE)*VLOOKUP($F$8,[1]!属性权重数组,L$10,FALSE)*$I47/$F$7</f>
        <v>191.18807625649919</v>
      </c>
      <c r="M47" s="8">
        <f>VLOOKUP($H47,[1]!总属性参考数组,M$10,FALSE)*VLOOKUP($F$8,[1]!属性权重数组,M$10,FALSE)*$I47/$F$7</f>
        <v>0</v>
      </c>
      <c r="N47" s="8">
        <f>VLOOKUP($H47,[1]!总属性参考数组,N$10,FALSE)*VLOOKUP($F$8,[1]!属性权重数组,N$10,FALSE)*$I47/$F$7</f>
        <v>0</v>
      </c>
      <c r="O47" s="8">
        <f>VLOOKUP($H47,[1]!总属性参考数组,O$10,FALSE)*VLOOKUP($F$8,[1]!属性权重数组,O$10,FALSE)*$I47/$F$7</f>
        <v>0</v>
      </c>
      <c r="P47" s="8">
        <f>VLOOKUP($H47,[1]!总属性参考数组,P$10,FALSE)*VLOOKUP($F$8,[1]!属性权重数组,P$10,FALSE)*$I47/$F$7</f>
        <v>0</v>
      </c>
      <c r="Q47" s="8">
        <f>VLOOKUP($H47,[1]!总属性参考数组,Q$10,FALSE)*VLOOKUP($F$8,[1]!属性权重数组,Q$10,FALSE)*$I47/$F$7</f>
        <v>0</v>
      </c>
      <c r="R47" s="8">
        <f>VLOOKUP($H47,[1]!总属性参考数组,R$10,FALSE)*VLOOKUP($F$8,[1]!属性权重数组,R$10,FALSE)*$I47/$F$7</f>
        <v>0</v>
      </c>
      <c r="S47" s="8">
        <f>VLOOKUP($H47,[1]!总属性参考数组,S$10,FALSE)*VLOOKUP($F$8,[1]!属性权重数组,S$10,FALSE)*$I47/$F$7</f>
        <v>0</v>
      </c>
      <c r="T47">
        <f t="shared" si="13"/>
        <v>982.05808867766086</v>
      </c>
      <c r="V47" s="6">
        <f t="shared" si="14"/>
        <v>0.58071347881245283</v>
      </c>
      <c r="W47" s="6">
        <f t="shared" si="15"/>
        <v>0.88488385026738003</v>
      </c>
      <c r="X47" s="6">
        <f t="shared" si="16"/>
        <v>0.76475230502599678</v>
      </c>
      <c r="Z47" s="6">
        <f t="shared" si="17"/>
        <v>1742.1404364373584</v>
      </c>
      <c r="AA47" s="6">
        <f t="shared" si="18"/>
        <v>88.488385026738001</v>
      </c>
      <c r="AB47" s="6">
        <f t="shared" si="19"/>
        <v>38.237615251299836</v>
      </c>
    </row>
    <row r="48" spans="3:28">
      <c r="C48" s="137"/>
      <c r="D48" s="6">
        <f t="shared" si="10"/>
        <v>80</v>
      </c>
      <c r="E48" s="5" t="str">
        <f t="shared" ref="E48:G48" si="30">E25</f>
        <v>陈浩南</v>
      </c>
      <c r="F48" s="5">
        <f t="shared" si="30"/>
        <v>1</v>
      </c>
      <c r="G48" s="5">
        <f t="shared" si="30"/>
        <v>4</v>
      </c>
      <c r="H48" s="5">
        <f t="shared" si="12"/>
        <v>80</v>
      </c>
      <c r="I48" s="6">
        <f t="shared" si="8"/>
        <v>0.33333333333333337</v>
      </c>
      <c r="J48" s="8">
        <f>VLOOKUP($H48,[1]!总属性参考数组,J$10,FALSE)*VLOOKUP($F$8,[1]!属性权重数组,J$10,FALSE)*$I48/$F$7</f>
        <v>13066.053273280186</v>
      </c>
      <c r="K48" s="8">
        <f>VLOOKUP($H48,[1]!总属性参考数组,K$10,FALSE)*VLOOKUP($F$8,[1]!属性权重数组,K$10,FALSE)*$I48/$F$7</f>
        <v>663.66288770053495</v>
      </c>
      <c r="L48" s="8">
        <f>VLOOKUP($H48,[1]!总属性参考数组,L$10,FALSE)*VLOOKUP($F$8,[1]!属性权重数组,L$10,FALSE)*$I48/$F$7</f>
        <v>286.78211438474875</v>
      </c>
      <c r="M48" s="8">
        <f>VLOOKUP($H48,[1]!总属性参考数组,M$10,FALSE)*VLOOKUP($F$8,[1]!属性权重数组,M$10,FALSE)*$I48/$F$7</f>
        <v>0</v>
      </c>
      <c r="N48" s="8">
        <f>VLOOKUP($H48,[1]!总属性参考数组,N$10,FALSE)*VLOOKUP($F$8,[1]!属性权重数组,N$10,FALSE)*$I48/$F$7</f>
        <v>0</v>
      </c>
      <c r="O48" s="8">
        <f>VLOOKUP($H48,[1]!总属性参考数组,O$10,FALSE)*VLOOKUP($F$8,[1]!属性权重数组,O$10,FALSE)*$I48/$F$7</f>
        <v>0</v>
      </c>
      <c r="P48" s="8">
        <f>VLOOKUP($H48,[1]!总属性参考数组,P$10,FALSE)*VLOOKUP($F$8,[1]!属性权重数组,P$10,FALSE)*$I48/$F$7</f>
        <v>0</v>
      </c>
      <c r="Q48" s="8">
        <f>VLOOKUP($H48,[1]!总属性参考数组,Q$10,FALSE)*VLOOKUP($F$8,[1]!属性权重数组,Q$10,FALSE)*$I48/$F$7</f>
        <v>0</v>
      </c>
      <c r="R48" s="8">
        <f>VLOOKUP($H48,[1]!总属性参考数组,R$10,FALSE)*VLOOKUP($F$8,[1]!属性权重数组,R$10,FALSE)*$I48/$F$7</f>
        <v>0</v>
      </c>
      <c r="S48" s="8">
        <f>VLOOKUP($H48,[1]!总属性参考数组,S$10,FALSE)*VLOOKUP($F$8,[1]!属性权重数组,S$10,FALSE)*$I48/$F$7</f>
        <v>0</v>
      </c>
      <c r="T48">
        <f t="shared" si="13"/>
        <v>1473.087133016491</v>
      </c>
      <c r="V48" s="6">
        <f t="shared" si="14"/>
        <v>0.87107021821867914</v>
      </c>
      <c r="W48" s="6">
        <f t="shared" si="15"/>
        <v>1.3273257754010701</v>
      </c>
      <c r="X48" s="6">
        <f t="shared" si="16"/>
        <v>1.1471284575389951</v>
      </c>
      <c r="Z48" s="6">
        <f t="shared" si="17"/>
        <v>2613.2106546560371</v>
      </c>
      <c r="AA48" s="6">
        <f t="shared" si="18"/>
        <v>132.732577540107</v>
      </c>
      <c r="AB48" s="6">
        <f t="shared" si="19"/>
        <v>57.35642287694975</v>
      </c>
    </row>
    <row r="49" spans="3:28">
      <c r="C49" s="137"/>
      <c r="D49" s="6">
        <f t="shared" si="10"/>
        <v>80</v>
      </c>
      <c r="E49" s="5" t="str">
        <f t="shared" ref="E49:G50" si="31">E26</f>
        <v>山鸡</v>
      </c>
      <c r="F49" s="5">
        <f t="shared" si="31"/>
        <v>1</v>
      </c>
      <c r="G49" s="5">
        <f t="shared" si="31"/>
        <v>4</v>
      </c>
      <c r="H49" s="5">
        <f t="shared" si="12"/>
        <v>80</v>
      </c>
      <c r="I49" s="6">
        <f t="shared" si="8"/>
        <v>0.33333333333333337</v>
      </c>
      <c r="J49" s="8">
        <f>VLOOKUP($H49,[1]!总属性参考数组,J$10,FALSE)*VLOOKUP($F$8,[1]!属性权重数组,J$10,FALSE)*$I49/$F$7</f>
        <v>13066.053273280186</v>
      </c>
      <c r="K49" s="8">
        <f>VLOOKUP($H49,[1]!总属性参考数组,K$10,FALSE)*VLOOKUP($F$8,[1]!属性权重数组,K$10,FALSE)*$I49/$F$7</f>
        <v>663.66288770053495</v>
      </c>
      <c r="L49" s="8">
        <f>VLOOKUP($H49,[1]!总属性参考数组,L$10,FALSE)*VLOOKUP($F$8,[1]!属性权重数组,L$10,FALSE)*$I49/$F$7</f>
        <v>286.78211438474875</v>
      </c>
      <c r="M49" s="8">
        <f>VLOOKUP($H49,[1]!总属性参考数组,M$10,FALSE)*VLOOKUP($F$8,[1]!属性权重数组,M$10,FALSE)*$I49/$F$7</f>
        <v>0</v>
      </c>
      <c r="N49" s="8">
        <f>VLOOKUP($H49,[1]!总属性参考数组,N$10,FALSE)*VLOOKUP($F$8,[1]!属性权重数组,N$10,FALSE)*$I49/$F$7</f>
        <v>0</v>
      </c>
      <c r="O49" s="8">
        <f>VLOOKUP($H49,[1]!总属性参考数组,O$10,FALSE)*VLOOKUP($F$8,[1]!属性权重数组,O$10,FALSE)*$I49/$F$7</f>
        <v>0</v>
      </c>
      <c r="P49" s="8">
        <f>VLOOKUP($H49,[1]!总属性参考数组,P$10,FALSE)*VLOOKUP($F$8,[1]!属性权重数组,P$10,FALSE)*$I49/$F$7</f>
        <v>0</v>
      </c>
      <c r="Q49" s="8">
        <f>VLOOKUP($H49,[1]!总属性参考数组,Q$10,FALSE)*VLOOKUP($F$8,[1]!属性权重数组,Q$10,FALSE)*$I49/$F$7</f>
        <v>0</v>
      </c>
      <c r="R49" s="8">
        <f>VLOOKUP($H49,[1]!总属性参考数组,R$10,FALSE)*VLOOKUP($F$8,[1]!属性权重数组,R$10,FALSE)*$I49/$F$7</f>
        <v>0</v>
      </c>
      <c r="S49" s="8">
        <f>VLOOKUP($H49,[1]!总属性参考数组,S$10,FALSE)*VLOOKUP($F$8,[1]!属性权重数组,S$10,FALSE)*$I49/$F$7</f>
        <v>0</v>
      </c>
      <c r="T49">
        <f t="shared" si="13"/>
        <v>1473.087133016491</v>
      </c>
      <c r="V49" s="6">
        <f t="shared" si="14"/>
        <v>0.87107021821867914</v>
      </c>
      <c r="W49" s="6">
        <f t="shared" si="15"/>
        <v>1.3273257754010701</v>
      </c>
      <c r="X49" s="6">
        <f t="shared" si="16"/>
        <v>1.1471284575389951</v>
      </c>
      <c r="Z49" s="6">
        <f t="shared" si="17"/>
        <v>2613.2106546560371</v>
      </c>
      <c r="AA49" s="6">
        <f t="shared" si="18"/>
        <v>132.732577540107</v>
      </c>
      <c r="AB49" s="6">
        <f t="shared" si="19"/>
        <v>57.35642287694975</v>
      </c>
    </row>
    <row r="50" spans="3:28">
      <c r="C50" s="137"/>
      <c r="D50" s="6">
        <f t="shared" si="10"/>
        <v>80</v>
      </c>
      <c r="E50" s="5" t="str">
        <f t="shared" si="31"/>
        <v>大天二</v>
      </c>
      <c r="F50" s="5">
        <f t="shared" si="31"/>
        <v>1</v>
      </c>
      <c r="G50" s="5">
        <f t="shared" si="31"/>
        <v>4</v>
      </c>
      <c r="H50" s="5">
        <f t="shared" si="12"/>
        <v>80</v>
      </c>
      <c r="I50" s="6">
        <f t="shared" ref="I50:I52" si="32">VLOOKUP(G50,$E$3:$K$6,6)</f>
        <v>0.33333333333333337</v>
      </c>
      <c r="J50" s="8">
        <f>VLOOKUP($H50,[1]!总属性参考数组,J$10,FALSE)*VLOOKUP($F$8,[1]!属性权重数组,J$10,FALSE)*$I50/$F$7</f>
        <v>13066.053273280186</v>
      </c>
      <c r="K50" s="8">
        <f>VLOOKUP($H50,[1]!总属性参考数组,K$10,FALSE)*VLOOKUP($F$8,[1]!属性权重数组,K$10,FALSE)*$I50/$F$7</f>
        <v>663.66288770053495</v>
      </c>
      <c r="L50" s="8">
        <f>VLOOKUP($H50,[1]!总属性参考数组,L$10,FALSE)*VLOOKUP($F$8,[1]!属性权重数组,L$10,FALSE)*$I50/$F$7</f>
        <v>286.78211438474875</v>
      </c>
      <c r="M50" s="8">
        <f>VLOOKUP($H50,[1]!总属性参考数组,M$10,FALSE)*VLOOKUP($F$8,[1]!属性权重数组,M$10,FALSE)*$I50/$F$7</f>
        <v>0</v>
      </c>
      <c r="N50" s="8">
        <f>VLOOKUP($H50,[1]!总属性参考数组,N$10,FALSE)*VLOOKUP($F$8,[1]!属性权重数组,N$10,FALSE)*$I50/$F$7</f>
        <v>0</v>
      </c>
      <c r="O50" s="8">
        <f>VLOOKUP($H50,[1]!总属性参考数组,O$10,FALSE)*VLOOKUP($F$8,[1]!属性权重数组,O$10,FALSE)*$I50/$F$7</f>
        <v>0</v>
      </c>
      <c r="P50" s="8">
        <f>VLOOKUP($H50,[1]!总属性参考数组,P$10,FALSE)*VLOOKUP($F$8,[1]!属性权重数组,P$10,FALSE)*$I50/$F$7</f>
        <v>0</v>
      </c>
      <c r="Q50" s="8">
        <f>VLOOKUP($H50,[1]!总属性参考数组,Q$10,FALSE)*VLOOKUP($F$8,[1]!属性权重数组,Q$10,FALSE)*$I50/$F$7</f>
        <v>0</v>
      </c>
      <c r="R50" s="8">
        <f>VLOOKUP($H50,[1]!总属性参考数组,R$10,FALSE)*VLOOKUP($F$8,[1]!属性权重数组,R$10,FALSE)*$I50/$F$7</f>
        <v>0</v>
      </c>
      <c r="S50" s="8">
        <f>VLOOKUP($H50,[1]!总属性参考数组,S$10,FALSE)*VLOOKUP($F$8,[1]!属性权重数组,S$10,FALSE)*$I50/$F$7</f>
        <v>0</v>
      </c>
      <c r="T50">
        <f t="shared" si="13"/>
        <v>1473.087133016491</v>
      </c>
      <c r="V50" s="6">
        <f t="shared" si="14"/>
        <v>0.87107021821867914</v>
      </c>
      <c r="W50" s="6">
        <f t="shared" si="15"/>
        <v>1.3273257754010701</v>
      </c>
      <c r="X50" s="6">
        <f t="shared" si="16"/>
        <v>1.1471284575389951</v>
      </c>
      <c r="Z50" s="6">
        <f t="shared" si="17"/>
        <v>2613.2106546560371</v>
      </c>
      <c r="AA50" s="6">
        <f t="shared" si="18"/>
        <v>132.732577540107</v>
      </c>
      <c r="AB50" s="6">
        <f t="shared" si="19"/>
        <v>57.35642287694975</v>
      </c>
    </row>
    <row r="51" spans="3:28">
      <c r="C51" s="112"/>
      <c r="D51" s="6">
        <f t="shared" si="10"/>
        <v>80</v>
      </c>
      <c r="E51" s="5" t="str">
        <f t="shared" ref="E51:G51" si="33">E28</f>
        <v>巴闭</v>
      </c>
      <c r="F51" s="5">
        <f t="shared" si="33"/>
        <v>1</v>
      </c>
      <c r="G51" s="5">
        <f t="shared" si="33"/>
        <v>2</v>
      </c>
      <c r="H51" s="5">
        <f t="shared" ref="H51:H53" si="34">$B$3+D51</f>
        <v>80</v>
      </c>
      <c r="I51" s="6">
        <f t="shared" si="32"/>
        <v>0.11111111111111112</v>
      </c>
      <c r="J51" s="8">
        <f>VLOOKUP($H51,[1]!总属性参考数组,J$10,FALSE)*VLOOKUP($F$8,[1]!属性权重数组,J$10,FALSE)*$I51/$F$7</f>
        <v>4355.3510910933956</v>
      </c>
      <c r="K51" s="8">
        <f>VLOOKUP($H51,[1]!总属性参考数组,K$10,FALSE)*VLOOKUP($F$8,[1]!属性权重数组,K$10,FALSE)*$I51/$F$7</f>
        <v>221.220962566845</v>
      </c>
      <c r="L51" s="8">
        <f>VLOOKUP($H51,[1]!总属性参考数组,L$10,FALSE)*VLOOKUP($F$8,[1]!属性权重数组,L$10,FALSE)*$I51/$F$7</f>
        <v>95.594038128249593</v>
      </c>
      <c r="M51" s="8">
        <f>VLOOKUP($H51,[1]!总属性参考数组,M$10,FALSE)*VLOOKUP($F$8,[1]!属性权重数组,M$10,FALSE)*$I51/$F$7</f>
        <v>0</v>
      </c>
      <c r="N51" s="8">
        <f>VLOOKUP($H51,[1]!总属性参考数组,N$10,FALSE)*VLOOKUP($F$8,[1]!属性权重数组,N$10,FALSE)*$I51/$F$7</f>
        <v>0</v>
      </c>
      <c r="O51" s="8">
        <f>VLOOKUP($H51,[1]!总属性参考数组,O$10,FALSE)*VLOOKUP($F$8,[1]!属性权重数组,O$10,FALSE)*$I51/$F$7</f>
        <v>0</v>
      </c>
      <c r="P51" s="8">
        <f>VLOOKUP($H51,[1]!总属性参考数组,P$10,FALSE)*VLOOKUP($F$8,[1]!属性权重数组,P$10,FALSE)*$I51/$F$7</f>
        <v>0</v>
      </c>
      <c r="Q51" s="8">
        <f>VLOOKUP($H51,[1]!总属性参考数组,Q$10,FALSE)*VLOOKUP($F$8,[1]!属性权重数组,Q$10,FALSE)*$I51/$F$7</f>
        <v>0</v>
      </c>
      <c r="R51" s="8">
        <f>VLOOKUP($H51,[1]!总属性参考数组,R$10,FALSE)*VLOOKUP($F$8,[1]!属性权重数组,R$10,FALSE)*$I51/$F$7</f>
        <v>0</v>
      </c>
      <c r="S51" s="8">
        <f>VLOOKUP($H51,[1]!总属性参考数组,S$10,FALSE)*VLOOKUP($F$8,[1]!属性权重数组,S$10,FALSE)*$I51/$F$7</f>
        <v>0</v>
      </c>
      <c r="T51">
        <f t="shared" ref="T51:T53" si="35">SUMPRODUCT(J51:L51,$S$7:$U$7)</f>
        <v>491.02904433883043</v>
      </c>
      <c r="V51" s="6">
        <f t="shared" si="14"/>
        <v>0.29035673940622642</v>
      </c>
      <c r="W51" s="6">
        <f t="shared" si="15"/>
        <v>0.44244192513369002</v>
      </c>
      <c r="X51" s="6">
        <f t="shared" si="16"/>
        <v>0.38237615251299839</v>
      </c>
      <c r="Z51" s="6">
        <f t="shared" si="17"/>
        <v>871.0702182186792</v>
      </c>
      <c r="AA51" s="6">
        <f t="shared" si="18"/>
        <v>44.244192513369001</v>
      </c>
      <c r="AB51" s="6">
        <f t="shared" si="19"/>
        <v>19.118807625649918</v>
      </c>
    </row>
    <row r="52" spans="3:28">
      <c r="C52" s="112"/>
      <c r="D52" s="6">
        <f t="shared" si="10"/>
        <v>80</v>
      </c>
      <c r="E52" s="5" t="str">
        <f t="shared" ref="E52:G53" si="36">E29</f>
        <v>耀阳</v>
      </c>
      <c r="F52" s="5">
        <f t="shared" si="36"/>
        <v>1</v>
      </c>
      <c r="G52" s="5">
        <f t="shared" si="36"/>
        <v>3</v>
      </c>
      <c r="H52" s="5">
        <f t="shared" si="34"/>
        <v>80</v>
      </c>
      <c r="I52" s="6">
        <f t="shared" si="32"/>
        <v>0.22222222222222224</v>
      </c>
      <c r="J52" s="8">
        <f>VLOOKUP($H52,[1]!总属性参考数组,J$10,FALSE)*VLOOKUP($F$8,[1]!属性权重数组,J$10,FALSE)*$I52/$F$7</f>
        <v>8710.7021821867911</v>
      </c>
      <c r="K52" s="8">
        <f>VLOOKUP($H52,[1]!总属性参考数组,K$10,FALSE)*VLOOKUP($F$8,[1]!属性权重数组,K$10,FALSE)*$I52/$F$7</f>
        <v>442.44192513369001</v>
      </c>
      <c r="L52" s="8">
        <f>VLOOKUP($H52,[1]!总属性参考数组,L$10,FALSE)*VLOOKUP($F$8,[1]!属性权重数组,L$10,FALSE)*$I52/$F$7</f>
        <v>191.18807625649919</v>
      </c>
      <c r="M52" s="8">
        <f>VLOOKUP($H52,[1]!总属性参考数组,M$10,FALSE)*VLOOKUP($F$8,[1]!属性权重数组,M$10,FALSE)*$I52/$F$7</f>
        <v>0</v>
      </c>
      <c r="N52" s="8">
        <f>VLOOKUP($H52,[1]!总属性参考数组,N$10,FALSE)*VLOOKUP($F$8,[1]!属性权重数组,N$10,FALSE)*$I52/$F$7</f>
        <v>0</v>
      </c>
      <c r="O52" s="8">
        <f>VLOOKUP($H52,[1]!总属性参考数组,O$10,FALSE)*VLOOKUP($F$8,[1]!属性权重数组,O$10,FALSE)*$I52/$F$7</f>
        <v>0</v>
      </c>
      <c r="P52" s="8">
        <f>VLOOKUP($H52,[1]!总属性参考数组,P$10,FALSE)*VLOOKUP($F$8,[1]!属性权重数组,P$10,FALSE)*$I52/$F$7</f>
        <v>0</v>
      </c>
      <c r="Q52" s="8">
        <f>VLOOKUP($H52,[1]!总属性参考数组,Q$10,FALSE)*VLOOKUP($F$8,[1]!属性权重数组,Q$10,FALSE)*$I52/$F$7</f>
        <v>0</v>
      </c>
      <c r="R52" s="8">
        <f>VLOOKUP($H52,[1]!总属性参考数组,R$10,FALSE)*VLOOKUP($F$8,[1]!属性权重数组,R$10,FALSE)*$I52/$F$7</f>
        <v>0</v>
      </c>
      <c r="S52" s="8">
        <f>VLOOKUP($H52,[1]!总属性参考数组,S$10,FALSE)*VLOOKUP($F$8,[1]!属性权重数组,S$10,FALSE)*$I52/$F$7</f>
        <v>0</v>
      </c>
      <c r="T52">
        <f t="shared" si="35"/>
        <v>982.05808867766086</v>
      </c>
      <c r="V52" s="6">
        <f t="shared" si="14"/>
        <v>0.58071347881245283</v>
      </c>
      <c r="W52" s="6">
        <f t="shared" si="15"/>
        <v>0.88488385026738003</v>
      </c>
      <c r="X52" s="6">
        <f t="shared" si="16"/>
        <v>0.76475230502599678</v>
      </c>
      <c r="Z52" s="6">
        <f t="shared" si="17"/>
        <v>1742.1404364373584</v>
      </c>
      <c r="AA52" s="6">
        <f t="shared" si="18"/>
        <v>88.488385026738001</v>
      </c>
      <c r="AB52" s="6">
        <f t="shared" si="19"/>
        <v>38.237615251299836</v>
      </c>
    </row>
    <row r="53" spans="3:28">
      <c r="C53" s="112"/>
      <c r="D53" s="6">
        <f t="shared" si="10"/>
        <v>80</v>
      </c>
      <c r="E53" s="5" t="str">
        <f t="shared" si="36"/>
        <v>笑面虎</v>
      </c>
      <c r="F53" s="5">
        <f t="shared" si="36"/>
        <v>1</v>
      </c>
      <c r="G53" s="5">
        <f t="shared" si="36"/>
        <v>3</v>
      </c>
      <c r="H53" s="5">
        <f t="shared" si="34"/>
        <v>80</v>
      </c>
      <c r="I53" s="6">
        <f t="shared" ref="I53" si="37">VLOOKUP(G53,$E$3:$K$6,6)</f>
        <v>0.22222222222222224</v>
      </c>
      <c r="J53" s="8">
        <f>VLOOKUP($H53,[1]!总属性参考数组,J$10,FALSE)*VLOOKUP($F$8,[1]!属性权重数组,J$10,FALSE)*$I53/$F$7</f>
        <v>8710.7021821867911</v>
      </c>
      <c r="K53" s="8">
        <f>VLOOKUP($H53,[1]!总属性参考数组,K$10,FALSE)*VLOOKUP($F$8,[1]!属性权重数组,K$10,FALSE)*$I53/$F$7</f>
        <v>442.44192513369001</v>
      </c>
      <c r="L53" s="8">
        <f>VLOOKUP($H53,[1]!总属性参考数组,L$10,FALSE)*VLOOKUP($F$8,[1]!属性权重数组,L$10,FALSE)*$I53/$F$7</f>
        <v>191.18807625649919</v>
      </c>
      <c r="M53" s="8">
        <f>VLOOKUP($H53,[1]!总属性参考数组,M$10,FALSE)*VLOOKUP($F$8,[1]!属性权重数组,M$10,FALSE)*$I53/$F$7</f>
        <v>0</v>
      </c>
      <c r="N53" s="8">
        <f>VLOOKUP($H53,[1]!总属性参考数组,N$10,FALSE)*VLOOKUP($F$8,[1]!属性权重数组,N$10,FALSE)*$I53/$F$7</f>
        <v>0</v>
      </c>
      <c r="O53" s="8">
        <f>VLOOKUP($H53,[1]!总属性参考数组,O$10,FALSE)*VLOOKUP($F$8,[1]!属性权重数组,O$10,FALSE)*$I53/$F$7</f>
        <v>0</v>
      </c>
      <c r="P53" s="8">
        <f>VLOOKUP($H53,[1]!总属性参考数组,P$10,FALSE)*VLOOKUP($F$8,[1]!属性权重数组,P$10,FALSE)*$I53/$F$7</f>
        <v>0</v>
      </c>
      <c r="Q53" s="8">
        <f>VLOOKUP($H53,[1]!总属性参考数组,Q$10,FALSE)*VLOOKUP($F$8,[1]!属性权重数组,Q$10,FALSE)*$I53/$F$7</f>
        <v>0</v>
      </c>
      <c r="R53" s="8">
        <f>VLOOKUP($H53,[1]!总属性参考数组,R$10,FALSE)*VLOOKUP($F$8,[1]!属性权重数组,R$10,FALSE)*$I53/$F$7</f>
        <v>0</v>
      </c>
      <c r="S53" s="8">
        <f>VLOOKUP($H53,[1]!总属性参考数组,S$10,FALSE)*VLOOKUP($F$8,[1]!属性权重数组,S$10,FALSE)*$I53/$F$7</f>
        <v>0</v>
      </c>
      <c r="T53">
        <f t="shared" si="35"/>
        <v>982.05808867766086</v>
      </c>
      <c r="V53" s="6">
        <f t="shared" si="14"/>
        <v>0.58071347881245283</v>
      </c>
      <c r="W53" s="6">
        <f t="shared" si="15"/>
        <v>0.88488385026738003</v>
      </c>
      <c r="X53" s="6">
        <f t="shared" si="16"/>
        <v>0.76475230502599678</v>
      </c>
      <c r="Z53" s="6">
        <f t="shared" si="17"/>
        <v>1742.1404364373584</v>
      </c>
      <c r="AA53" s="6">
        <f t="shared" si="18"/>
        <v>88.488385026738001</v>
      </c>
      <c r="AB53" s="6">
        <f t="shared" si="19"/>
        <v>38.237615251299836</v>
      </c>
    </row>
    <row r="56" spans="3:28">
      <c r="D56" s="136" t="s">
        <v>18</v>
      </c>
      <c r="E56" s="136"/>
      <c r="F56" s="136"/>
      <c r="J56" s="7">
        <v>2</v>
      </c>
      <c r="K56" s="7">
        <v>3</v>
      </c>
      <c r="L56" s="7">
        <v>4</v>
      </c>
      <c r="M56" s="7">
        <v>5</v>
      </c>
      <c r="N56" s="7">
        <v>6</v>
      </c>
      <c r="O56" s="7">
        <v>7</v>
      </c>
      <c r="P56" s="7">
        <v>8</v>
      </c>
      <c r="Q56" s="7">
        <v>9</v>
      </c>
      <c r="R56" s="7">
        <v>10</v>
      </c>
      <c r="S56" s="7">
        <v>11</v>
      </c>
    </row>
    <row r="57" spans="3:28">
      <c r="D57" t="str">
        <f t="shared" ref="D57:D76" si="38">D11</f>
        <v>预估等级辅助</v>
      </c>
      <c r="E57" s="9" t="str">
        <f t="shared" ref="E57:I57" si="39">E34</f>
        <v>马仔名称</v>
      </c>
      <c r="F57" s="9" t="str">
        <f t="shared" si="39"/>
        <v>马仔星级</v>
      </c>
      <c r="G57" s="1" t="str">
        <f t="shared" si="39"/>
        <v>马仔品阶</v>
      </c>
      <c r="H57" s="1" t="str">
        <f t="shared" si="39"/>
        <v>评估等级</v>
      </c>
      <c r="I57" s="1" t="str">
        <f t="shared" si="39"/>
        <v>属性点</v>
      </c>
      <c r="J57" s="1" t="s">
        <v>0</v>
      </c>
      <c r="K57" s="1" t="s">
        <v>1</v>
      </c>
      <c r="L57" s="2" t="s">
        <v>2</v>
      </c>
      <c r="M57" s="3" t="s">
        <v>3</v>
      </c>
      <c r="N57" s="3" t="s">
        <v>4</v>
      </c>
      <c r="O57" s="3" t="s">
        <v>5</v>
      </c>
      <c r="P57" s="3" t="s">
        <v>6</v>
      </c>
      <c r="Q57" s="3" t="s">
        <v>7</v>
      </c>
      <c r="R57" s="4" t="s">
        <v>8</v>
      </c>
      <c r="S57" s="4" t="s">
        <v>9</v>
      </c>
      <c r="T57" s="23" t="s">
        <v>116</v>
      </c>
    </row>
    <row r="58" spans="3:28">
      <c r="D58">
        <f t="shared" si="38"/>
        <v>80</v>
      </c>
      <c r="E58" s="5" t="str">
        <f t="shared" ref="E58:G58" si="40">E12</f>
        <v>制服太妹</v>
      </c>
      <c r="F58" s="5">
        <f t="shared" si="40"/>
        <v>1</v>
      </c>
      <c r="G58" s="5">
        <f t="shared" si="40"/>
        <v>1</v>
      </c>
      <c r="H58" s="6">
        <f>$B$3+D58</f>
        <v>80</v>
      </c>
      <c r="I58" s="6">
        <f t="shared" ref="I58:I72" si="41">VLOOKUP(G58,$E$3:$K$6,4)</f>
        <v>6.6666666666666662E-3</v>
      </c>
      <c r="J58" s="8">
        <f>VLOOKUP($H58,[1]!总属性参考数组,J$10,FALSE)*VLOOKUP($F$8,[1]!属性权重数组,J$10,FALSE)*$I58/$F$7</f>
        <v>261.32106546560368</v>
      </c>
      <c r="K58" s="8">
        <f>VLOOKUP($H58,[1]!总属性参考数组,K$10,FALSE)*VLOOKUP($F$8,[1]!属性权重数组,K$10,FALSE)*$I58/$F$7</f>
        <v>13.273257754010697</v>
      </c>
      <c r="L58" s="8">
        <f>VLOOKUP($H58,[1]!总属性参考数组,L$10,FALSE)*VLOOKUP($F$8,[1]!属性权重数组,L$10,FALSE)*$I58/$F$7</f>
        <v>5.7356422876949749</v>
      </c>
      <c r="M58" s="8">
        <f>VLOOKUP($H58,[1]!总属性参考数组,M$10,FALSE)*VLOOKUP($F$8,[1]!属性权重数组,M$10,FALSE)*$I58/$F$7</f>
        <v>0</v>
      </c>
      <c r="N58" s="8">
        <f>VLOOKUP($H58,[1]!总属性参考数组,N$10,FALSE)*VLOOKUP($F$8,[1]!属性权重数组,N$10,FALSE)*$I58/$F$7</f>
        <v>0</v>
      </c>
      <c r="O58" s="8">
        <f>VLOOKUP($H58,[1]!总属性参考数组,O$10,FALSE)*VLOOKUP($F$8,[1]!属性权重数组,O$10,FALSE)*$I58/$F$7</f>
        <v>0</v>
      </c>
      <c r="P58" s="8">
        <f>VLOOKUP($H58,[1]!总属性参考数组,P$10,FALSE)*VLOOKUP($F$8,[1]!属性权重数组,P$10,FALSE)*$I58/$F$7</f>
        <v>0</v>
      </c>
      <c r="Q58" s="8">
        <f>VLOOKUP($H58,[1]!总属性参考数组,Q$10,FALSE)*VLOOKUP($F$8,[1]!属性权重数组,Q$10,FALSE)*$I58/$F$7</f>
        <v>0</v>
      </c>
      <c r="R58" s="8">
        <f>VLOOKUP($H58,[1]!总属性参考数组,R$10,FALSE)*VLOOKUP($F$8,[1]!属性权重数组,R$10,FALSE)*$I58/$F$7</f>
        <v>0</v>
      </c>
      <c r="S58" s="8">
        <f>VLOOKUP($H58,[1]!总属性参考数组,S$10,FALSE)*VLOOKUP($F$8,[1]!属性权重数组,S$10,FALSE)*$I58/$F$7</f>
        <v>0</v>
      </c>
      <c r="T58">
        <f>SUMPRODUCT(J58:L58,$S$7:$U$7)</f>
        <v>29.461742660329822</v>
      </c>
    </row>
    <row r="59" spans="3:28">
      <c r="D59">
        <f t="shared" si="38"/>
        <v>80</v>
      </c>
      <c r="E59" s="5" t="str">
        <f t="shared" ref="E59:G59" si="42">E13</f>
        <v>蟹仔</v>
      </c>
      <c r="F59" s="5">
        <f t="shared" si="42"/>
        <v>1</v>
      </c>
      <c r="G59" s="5">
        <f t="shared" si="42"/>
        <v>1</v>
      </c>
      <c r="H59" s="6">
        <f t="shared" ref="H59:H73" si="43">$B$3+D59</f>
        <v>80</v>
      </c>
      <c r="I59" s="6">
        <f t="shared" si="41"/>
        <v>6.6666666666666662E-3</v>
      </c>
      <c r="J59" s="8">
        <f>VLOOKUP($H59,[1]!总属性参考数组,J$10,FALSE)*VLOOKUP($F$8,[1]!属性权重数组,J$10,FALSE)*$I59/$F$7</f>
        <v>261.32106546560368</v>
      </c>
      <c r="K59" s="8">
        <f>VLOOKUP($H59,[1]!总属性参考数组,K$10,FALSE)*VLOOKUP($F$8,[1]!属性权重数组,K$10,FALSE)*$I59/$F$7</f>
        <v>13.273257754010697</v>
      </c>
      <c r="L59" s="8">
        <f>VLOOKUP($H59,[1]!总属性参考数组,L$10,FALSE)*VLOOKUP($F$8,[1]!属性权重数组,L$10,FALSE)*$I59/$F$7</f>
        <v>5.7356422876949749</v>
      </c>
      <c r="M59" s="8">
        <f>VLOOKUP($H59,[1]!总属性参考数组,M$10,FALSE)*VLOOKUP($F$8,[1]!属性权重数组,M$10,FALSE)*$I59/$F$7</f>
        <v>0</v>
      </c>
      <c r="N59" s="8">
        <f>VLOOKUP($H59,[1]!总属性参考数组,N$10,FALSE)*VLOOKUP($F$8,[1]!属性权重数组,N$10,FALSE)*$I59/$F$7</f>
        <v>0</v>
      </c>
      <c r="O59" s="8">
        <f>VLOOKUP($H59,[1]!总属性参考数组,O$10,FALSE)*VLOOKUP($F$8,[1]!属性权重数组,O$10,FALSE)*$I59/$F$7</f>
        <v>0</v>
      </c>
      <c r="P59" s="8">
        <f>VLOOKUP($H59,[1]!总属性参考数组,P$10,FALSE)*VLOOKUP($F$8,[1]!属性权重数组,P$10,FALSE)*$I59/$F$7</f>
        <v>0</v>
      </c>
      <c r="Q59" s="8">
        <f>VLOOKUP($H59,[1]!总属性参考数组,Q$10,FALSE)*VLOOKUP($F$8,[1]!属性权重数组,Q$10,FALSE)*$I59/$F$7</f>
        <v>0</v>
      </c>
      <c r="R59" s="8">
        <f>VLOOKUP($H59,[1]!总属性参考数组,R$10,FALSE)*VLOOKUP($F$8,[1]!属性权重数组,R$10,FALSE)*$I59/$F$7</f>
        <v>0</v>
      </c>
      <c r="S59" s="8">
        <f>VLOOKUP($H59,[1]!总属性参考数组,S$10,FALSE)*VLOOKUP($F$8,[1]!属性权重数组,S$10,FALSE)*$I59/$F$7</f>
        <v>0</v>
      </c>
      <c r="T59">
        <f t="shared" ref="T59:T73" si="44">SUMPRODUCT(J59:L59,$S$7:$U$7)</f>
        <v>29.461742660329822</v>
      </c>
    </row>
    <row r="60" spans="3:28">
      <c r="D60">
        <f t="shared" si="38"/>
        <v>80</v>
      </c>
      <c r="E60" s="5" t="str">
        <f t="shared" ref="E60:G60" si="45">E14</f>
        <v>比利</v>
      </c>
      <c r="F60" s="5">
        <f t="shared" si="45"/>
        <v>1</v>
      </c>
      <c r="G60" s="5">
        <f t="shared" si="45"/>
        <v>1</v>
      </c>
      <c r="H60" s="6">
        <f t="shared" si="43"/>
        <v>80</v>
      </c>
      <c r="I60" s="6">
        <f t="shared" si="41"/>
        <v>6.6666666666666662E-3</v>
      </c>
      <c r="J60" s="8">
        <f>VLOOKUP($H60,[1]!总属性参考数组,J$10,FALSE)*VLOOKUP($F$8,[1]!属性权重数组,J$10,FALSE)*$I60/$F$7</f>
        <v>261.32106546560368</v>
      </c>
      <c r="K60" s="8">
        <f>VLOOKUP($H60,[1]!总属性参考数组,K$10,FALSE)*VLOOKUP($F$8,[1]!属性权重数组,K$10,FALSE)*$I60/$F$7</f>
        <v>13.273257754010697</v>
      </c>
      <c r="L60" s="8">
        <f>VLOOKUP($H60,[1]!总属性参考数组,L$10,FALSE)*VLOOKUP($F$8,[1]!属性权重数组,L$10,FALSE)*$I60/$F$7</f>
        <v>5.7356422876949749</v>
      </c>
      <c r="M60" s="8">
        <f>VLOOKUP($H60,[1]!总属性参考数组,M$10,FALSE)*VLOOKUP($F$8,[1]!属性权重数组,M$10,FALSE)*$I60/$F$7</f>
        <v>0</v>
      </c>
      <c r="N60" s="8">
        <f>VLOOKUP($H60,[1]!总属性参考数组,N$10,FALSE)*VLOOKUP($F$8,[1]!属性权重数组,N$10,FALSE)*$I60/$F$7</f>
        <v>0</v>
      </c>
      <c r="O60" s="8">
        <f>VLOOKUP($H60,[1]!总属性参考数组,O$10,FALSE)*VLOOKUP($F$8,[1]!属性权重数组,O$10,FALSE)*$I60/$F$7</f>
        <v>0</v>
      </c>
      <c r="P60" s="8">
        <f>VLOOKUP($H60,[1]!总属性参考数组,P$10,FALSE)*VLOOKUP($F$8,[1]!属性权重数组,P$10,FALSE)*$I60/$F$7</f>
        <v>0</v>
      </c>
      <c r="Q60" s="8">
        <f>VLOOKUP($H60,[1]!总属性参考数组,Q$10,FALSE)*VLOOKUP($F$8,[1]!属性权重数组,Q$10,FALSE)*$I60/$F$7</f>
        <v>0</v>
      </c>
      <c r="R60" s="8">
        <f>VLOOKUP($H60,[1]!总属性参考数组,R$10,FALSE)*VLOOKUP($F$8,[1]!属性权重数组,R$10,FALSE)*$I60/$F$7</f>
        <v>0</v>
      </c>
      <c r="S60" s="8">
        <f>VLOOKUP($H60,[1]!总属性参考数组,S$10,FALSE)*VLOOKUP($F$8,[1]!属性权重数组,S$10,FALSE)*$I60/$F$7</f>
        <v>0</v>
      </c>
      <c r="T60">
        <f t="shared" si="44"/>
        <v>29.461742660329822</v>
      </c>
    </row>
    <row r="61" spans="3:28">
      <c r="D61">
        <f t="shared" si="38"/>
        <v>80</v>
      </c>
      <c r="E61" s="5" t="str">
        <f t="shared" ref="E61:G62" si="46">E15</f>
        <v>黎九</v>
      </c>
      <c r="F61" s="5">
        <f t="shared" si="46"/>
        <v>1</v>
      </c>
      <c r="G61" s="5">
        <f t="shared" si="46"/>
        <v>1</v>
      </c>
      <c r="H61" s="6">
        <f t="shared" si="43"/>
        <v>80</v>
      </c>
      <c r="I61" s="6">
        <f t="shared" si="41"/>
        <v>6.6666666666666662E-3</v>
      </c>
      <c r="J61" s="8">
        <f>VLOOKUP($H61,[1]!总属性参考数组,J$10,FALSE)*VLOOKUP($F$8,[1]!属性权重数组,J$10,FALSE)*$I61/$F$7</f>
        <v>261.32106546560368</v>
      </c>
      <c r="K61" s="8">
        <f>VLOOKUP($H61,[1]!总属性参考数组,K$10,FALSE)*VLOOKUP($F$8,[1]!属性权重数组,K$10,FALSE)*$I61/$F$7</f>
        <v>13.273257754010697</v>
      </c>
      <c r="L61" s="8">
        <f>VLOOKUP($H61,[1]!总属性参考数组,L$10,FALSE)*VLOOKUP($F$8,[1]!属性权重数组,L$10,FALSE)*$I61/$F$7</f>
        <v>5.7356422876949749</v>
      </c>
      <c r="M61" s="8">
        <f>VLOOKUP($H61,[1]!总属性参考数组,M$10,FALSE)*VLOOKUP($F$8,[1]!属性权重数组,M$10,FALSE)*$I61/$F$7</f>
        <v>0</v>
      </c>
      <c r="N61" s="8">
        <f>VLOOKUP($H61,[1]!总属性参考数组,N$10,FALSE)*VLOOKUP($F$8,[1]!属性权重数组,N$10,FALSE)*$I61/$F$7</f>
        <v>0</v>
      </c>
      <c r="O61" s="8">
        <f>VLOOKUP($H61,[1]!总属性参考数组,O$10,FALSE)*VLOOKUP($F$8,[1]!属性权重数组,O$10,FALSE)*$I61/$F$7</f>
        <v>0</v>
      </c>
      <c r="P61" s="8">
        <f>VLOOKUP($H61,[1]!总属性参考数组,P$10,FALSE)*VLOOKUP($F$8,[1]!属性权重数组,P$10,FALSE)*$I61/$F$7</f>
        <v>0</v>
      </c>
      <c r="Q61" s="8">
        <f>VLOOKUP($H61,[1]!总属性参考数组,Q$10,FALSE)*VLOOKUP($F$8,[1]!属性权重数组,Q$10,FALSE)*$I61/$F$7</f>
        <v>0</v>
      </c>
      <c r="R61" s="8">
        <f>VLOOKUP($H61,[1]!总属性参考数组,R$10,FALSE)*VLOOKUP($F$8,[1]!属性权重数组,R$10,FALSE)*$I61/$F$7</f>
        <v>0</v>
      </c>
      <c r="S61" s="8">
        <f>VLOOKUP($H61,[1]!总属性参考数组,S$10,FALSE)*VLOOKUP($F$8,[1]!属性权重数组,S$10,FALSE)*$I61/$F$7</f>
        <v>0</v>
      </c>
      <c r="T61">
        <f t="shared" si="44"/>
        <v>29.461742660329822</v>
      </c>
    </row>
    <row r="62" spans="3:28">
      <c r="D62">
        <f t="shared" si="38"/>
        <v>80</v>
      </c>
      <c r="E62" s="5" t="str">
        <f t="shared" si="46"/>
        <v>黑古</v>
      </c>
      <c r="F62" s="5">
        <f t="shared" si="46"/>
        <v>1</v>
      </c>
      <c r="G62" s="5">
        <f t="shared" si="46"/>
        <v>1</v>
      </c>
      <c r="H62" s="6">
        <f t="shared" si="43"/>
        <v>80</v>
      </c>
      <c r="I62" s="6">
        <f t="shared" si="41"/>
        <v>6.6666666666666662E-3</v>
      </c>
      <c r="J62" s="8">
        <f>VLOOKUP($H62,[1]!总属性参考数组,J$10,FALSE)*VLOOKUP($F$8,[1]!属性权重数组,J$10,FALSE)*$I62/$F$7</f>
        <v>261.32106546560368</v>
      </c>
      <c r="K62" s="8">
        <f>VLOOKUP($H62,[1]!总属性参考数组,K$10,FALSE)*VLOOKUP($F$8,[1]!属性权重数组,K$10,FALSE)*$I62/$F$7</f>
        <v>13.273257754010697</v>
      </c>
      <c r="L62" s="8">
        <f>VLOOKUP($H62,[1]!总属性参考数组,L$10,FALSE)*VLOOKUP($F$8,[1]!属性权重数组,L$10,FALSE)*$I62/$F$7</f>
        <v>5.7356422876949749</v>
      </c>
      <c r="M62" s="8">
        <f>VLOOKUP($H62,[1]!总属性参考数组,M$10,FALSE)*VLOOKUP($F$8,[1]!属性权重数组,M$10,FALSE)*$I62/$F$7</f>
        <v>0</v>
      </c>
      <c r="N62" s="8">
        <f>VLOOKUP($H62,[1]!总属性参考数组,N$10,FALSE)*VLOOKUP($F$8,[1]!属性权重数组,N$10,FALSE)*$I62/$F$7</f>
        <v>0</v>
      </c>
      <c r="O62" s="8">
        <f>VLOOKUP($H62,[1]!总属性参考数组,O$10,FALSE)*VLOOKUP($F$8,[1]!属性权重数组,O$10,FALSE)*$I62/$F$7</f>
        <v>0</v>
      </c>
      <c r="P62" s="8">
        <f>VLOOKUP($H62,[1]!总属性参考数组,P$10,FALSE)*VLOOKUP($F$8,[1]!属性权重数组,P$10,FALSE)*$I62/$F$7</f>
        <v>0</v>
      </c>
      <c r="Q62" s="8">
        <f>VLOOKUP($H62,[1]!总属性参考数组,Q$10,FALSE)*VLOOKUP($F$8,[1]!属性权重数组,Q$10,FALSE)*$I62/$F$7</f>
        <v>0</v>
      </c>
      <c r="R62" s="8">
        <f>VLOOKUP($H62,[1]!总属性参考数组,R$10,FALSE)*VLOOKUP($F$8,[1]!属性权重数组,R$10,FALSE)*$I62/$F$7</f>
        <v>0</v>
      </c>
      <c r="S62" s="8">
        <f>VLOOKUP($H62,[1]!总属性参考数组,S$10,FALSE)*VLOOKUP($F$8,[1]!属性权重数组,S$10,FALSE)*$I62/$F$7</f>
        <v>0</v>
      </c>
      <c r="T62">
        <f t="shared" si="44"/>
        <v>29.461742660329822</v>
      </c>
    </row>
    <row r="63" spans="3:28">
      <c r="D63">
        <f t="shared" si="38"/>
        <v>80</v>
      </c>
      <c r="E63" s="5" t="str">
        <f t="shared" ref="E63:G63" si="47">E17</f>
        <v>靓坤</v>
      </c>
      <c r="F63" s="5">
        <f t="shared" si="47"/>
        <v>1</v>
      </c>
      <c r="G63" s="5">
        <f t="shared" si="47"/>
        <v>2</v>
      </c>
      <c r="H63" s="6">
        <f t="shared" si="43"/>
        <v>80</v>
      </c>
      <c r="I63" s="6">
        <f t="shared" si="41"/>
        <v>6.6666666666666662E-3</v>
      </c>
      <c r="J63" s="8">
        <f>VLOOKUP($H63,[1]!总属性参考数组,J$10,FALSE)*VLOOKUP($F$8,[1]!属性权重数组,J$10,FALSE)*$I63/$F$7</f>
        <v>261.32106546560368</v>
      </c>
      <c r="K63" s="8">
        <f>VLOOKUP($H63,[1]!总属性参考数组,K$10,FALSE)*VLOOKUP($F$8,[1]!属性权重数组,K$10,FALSE)*$I63/$F$7</f>
        <v>13.273257754010697</v>
      </c>
      <c r="L63" s="8">
        <f>VLOOKUP($H63,[1]!总属性参考数组,L$10,FALSE)*VLOOKUP($F$8,[1]!属性权重数组,L$10,FALSE)*$I63/$F$7</f>
        <v>5.7356422876949749</v>
      </c>
      <c r="M63" s="8">
        <f>VLOOKUP($H63,[1]!总属性参考数组,M$10,FALSE)*VLOOKUP($F$8,[1]!属性权重数组,M$10,FALSE)*$I63/$F$7</f>
        <v>0</v>
      </c>
      <c r="N63" s="8">
        <f>VLOOKUP($H63,[1]!总属性参考数组,N$10,FALSE)*VLOOKUP($F$8,[1]!属性权重数组,N$10,FALSE)*$I63/$F$7</f>
        <v>0</v>
      </c>
      <c r="O63" s="8">
        <f>VLOOKUP($H63,[1]!总属性参考数组,O$10,FALSE)*VLOOKUP($F$8,[1]!属性权重数组,O$10,FALSE)*$I63/$F$7</f>
        <v>0</v>
      </c>
      <c r="P63" s="8">
        <f>VLOOKUP($H63,[1]!总属性参考数组,P$10,FALSE)*VLOOKUP($F$8,[1]!属性权重数组,P$10,FALSE)*$I63/$F$7</f>
        <v>0</v>
      </c>
      <c r="Q63" s="8">
        <f>VLOOKUP($H63,[1]!总属性参考数组,Q$10,FALSE)*VLOOKUP($F$8,[1]!属性权重数组,Q$10,FALSE)*$I63/$F$7</f>
        <v>0</v>
      </c>
      <c r="R63" s="8">
        <f>VLOOKUP($H63,[1]!总属性参考数组,R$10,FALSE)*VLOOKUP($F$8,[1]!属性权重数组,R$10,FALSE)*$I63/$F$7</f>
        <v>0</v>
      </c>
      <c r="S63" s="8">
        <f>VLOOKUP($H63,[1]!总属性参考数组,S$10,FALSE)*VLOOKUP($F$8,[1]!属性权重数组,S$10,FALSE)*$I63/$F$7</f>
        <v>0</v>
      </c>
      <c r="T63">
        <f t="shared" si="44"/>
        <v>29.461742660329822</v>
      </c>
    </row>
    <row r="64" spans="3:28">
      <c r="D64">
        <f t="shared" si="38"/>
        <v>80</v>
      </c>
      <c r="E64" s="5" t="str">
        <f t="shared" ref="E64:G64" si="48">E18</f>
        <v>雷复轰</v>
      </c>
      <c r="F64" s="5">
        <f t="shared" si="48"/>
        <v>1</v>
      </c>
      <c r="G64" s="5">
        <f t="shared" si="48"/>
        <v>2</v>
      </c>
      <c r="H64" s="6">
        <f t="shared" si="43"/>
        <v>80</v>
      </c>
      <c r="I64" s="6">
        <f t="shared" si="41"/>
        <v>6.6666666666666662E-3</v>
      </c>
      <c r="J64" s="8">
        <f>VLOOKUP($H64,[1]!总属性参考数组,J$10,FALSE)*VLOOKUP($F$8,[1]!属性权重数组,J$10,FALSE)*$I64/$F$7</f>
        <v>261.32106546560368</v>
      </c>
      <c r="K64" s="8">
        <f>VLOOKUP($H64,[1]!总属性参考数组,K$10,FALSE)*VLOOKUP($F$8,[1]!属性权重数组,K$10,FALSE)*$I64/$F$7</f>
        <v>13.273257754010697</v>
      </c>
      <c r="L64" s="8">
        <f>VLOOKUP($H64,[1]!总属性参考数组,L$10,FALSE)*VLOOKUP($F$8,[1]!属性权重数组,L$10,FALSE)*$I64/$F$7</f>
        <v>5.7356422876949749</v>
      </c>
      <c r="M64" s="8">
        <f>VLOOKUP($H64,[1]!总属性参考数组,M$10,FALSE)*VLOOKUP($F$8,[1]!属性权重数组,M$10,FALSE)*$I64/$F$7</f>
        <v>0</v>
      </c>
      <c r="N64" s="8">
        <f>VLOOKUP($H64,[1]!总属性参考数组,N$10,FALSE)*VLOOKUP($F$8,[1]!属性权重数组,N$10,FALSE)*$I64/$F$7</f>
        <v>0</v>
      </c>
      <c r="O64" s="8">
        <f>VLOOKUP($H64,[1]!总属性参考数组,O$10,FALSE)*VLOOKUP($F$8,[1]!属性权重数组,O$10,FALSE)*$I64/$F$7</f>
        <v>0</v>
      </c>
      <c r="P64" s="8">
        <f>VLOOKUP($H64,[1]!总属性参考数组,P$10,FALSE)*VLOOKUP($F$8,[1]!属性权重数组,P$10,FALSE)*$I64/$F$7</f>
        <v>0</v>
      </c>
      <c r="Q64" s="8">
        <f>VLOOKUP($H64,[1]!总属性参考数组,Q$10,FALSE)*VLOOKUP($F$8,[1]!属性权重数组,Q$10,FALSE)*$I64/$F$7</f>
        <v>0</v>
      </c>
      <c r="R64" s="8">
        <f>VLOOKUP($H64,[1]!总属性参考数组,R$10,FALSE)*VLOOKUP($F$8,[1]!属性权重数组,R$10,FALSE)*$I64/$F$7</f>
        <v>0</v>
      </c>
      <c r="S64" s="8">
        <f>VLOOKUP($H64,[1]!总属性参考数组,S$10,FALSE)*VLOOKUP($F$8,[1]!属性权重数组,S$10,FALSE)*$I64/$F$7</f>
        <v>0</v>
      </c>
      <c r="T64">
        <f t="shared" si="44"/>
        <v>29.461742660329822</v>
      </c>
    </row>
    <row r="65" spans="4:24">
      <c r="D65">
        <f t="shared" si="38"/>
        <v>80</v>
      </c>
      <c r="E65" s="5" t="str">
        <f t="shared" ref="E65:G65" si="49">E19</f>
        <v>肥仔</v>
      </c>
      <c r="F65" s="5">
        <f t="shared" si="49"/>
        <v>1</v>
      </c>
      <c r="G65" s="5">
        <f t="shared" si="49"/>
        <v>2</v>
      </c>
      <c r="H65" s="6">
        <f t="shared" si="43"/>
        <v>80</v>
      </c>
      <c r="I65" s="6">
        <f t="shared" si="41"/>
        <v>6.6666666666666662E-3</v>
      </c>
      <c r="J65" s="8">
        <f>VLOOKUP($H65,[1]!总属性参考数组,J$10,FALSE)*VLOOKUP($F$8,[1]!属性权重数组,J$10,FALSE)*$I65/$F$7</f>
        <v>261.32106546560368</v>
      </c>
      <c r="K65" s="8">
        <f>VLOOKUP($H65,[1]!总属性参考数组,K$10,FALSE)*VLOOKUP($F$8,[1]!属性权重数组,K$10,FALSE)*$I65/$F$7</f>
        <v>13.273257754010697</v>
      </c>
      <c r="L65" s="8">
        <f>VLOOKUP($H65,[1]!总属性参考数组,L$10,FALSE)*VLOOKUP($F$8,[1]!属性权重数组,L$10,FALSE)*$I65/$F$7</f>
        <v>5.7356422876949749</v>
      </c>
      <c r="M65" s="8">
        <f>VLOOKUP($H65,[1]!总属性参考数组,M$10,FALSE)*VLOOKUP($F$8,[1]!属性权重数组,M$10,FALSE)*$I65/$F$7</f>
        <v>0</v>
      </c>
      <c r="N65" s="8">
        <f>VLOOKUP($H65,[1]!总属性参考数组,N$10,FALSE)*VLOOKUP($F$8,[1]!属性权重数组,N$10,FALSE)*$I65/$F$7</f>
        <v>0</v>
      </c>
      <c r="O65" s="8">
        <f>VLOOKUP($H65,[1]!总属性参考数组,O$10,FALSE)*VLOOKUP($F$8,[1]!属性权重数组,O$10,FALSE)*$I65/$F$7</f>
        <v>0</v>
      </c>
      <c r="P65" s="8">
        <f>VLOOKUP($H65,[1]!总属性参考数组,P$10,FALSE)*VLOOKUP($F$8,[1]!属性权重数组,P$10,FALSE)*$I65/$F$7</f>
        <v>0</v>
      </c>
      <c r="Q65" s="8">
        <f>VLOOKUP($H65,[1]!总属性参考数组,Q$10,FALSE)*VLOOKUP($F$8,[1]!属性权重数组,Q$10,FALSE)*$I65/$F$7</f>
        <v>0</v>
      </c>
      <c r="R65" s="8">
        <f>VLOOKUP($H65,[1]!总属性参考数组,R$10,FALSE)*VLOOKUP($F$8,[1]!属性权重数组,R$10,FALSE)*$I65/$F$7</f>
        <v>0</v>
      </c>
      <c r="S65" s="8">
        <f>VLOOKUP($H65,[1]!总属性参考数组,S$10,FALSE)*VLOOKUP($F$8,[1]!属性权重数组,S$10,FALSE)*$I65/$F$7</f>
        <v>0</v>
      </c>
      <c r="T65">
        <f t="shared" si="44"/>
        <v>29.461742660329822</v>
      </c>
    </row>
    <row r="66" spans="4:24">
      <c r="D66">
        <f t="shared" si="38"/>
        <v>80</v>
      </c>
      <c r="E66" s="5" t="str">
        <f t="shared" ref="E66:G66" si="50">E20</f>
        <v>司徒浩南</v>
      </c>
      <c r="F66" s="5">
        <f t="shared" si="50"/>
        <v>1</v>
      </c>
      <c r="G66" s="5">
        <f t="shared" si="50"/>
        <v>3</v>
      </c>
      <c r="H66" s="6">
        <f t="shared" si="43"/>
        <v>80</v>
      </c>
      <c r="I66" s="6">
        <f t="shared" si="41"/>
        <v>6.6666666666666662E-3</v>
      </c>
      <c r="J66" s="8">
        <f>VLOOKUP($H66,[1]!总属性参考数组,J$10,FALSE)*VLOOKUP($F$8,[1]!属性权重数组,J$10,FALSE)*$I66/$F$7</f>
        <v>261.32106546560368</v>
      </c>
      <c r="K66" s="8">
        <f>VLOOKUP($H66,[1]!总属性参考数组,K$10,FALSE)*VLOOKUP($F$8,[1]!属性权重数组,K$10,FALSE)*$I66/$F$7</f>
        <v>13.273257754010697</v>
      </c>
      <c r="L66" s="8">
        <f>VLOOKUP($H66,[1]!总属性参考数组,L$10,FALSE)*VLOOKUP($F$8,[1]!属性权重数组,L$10,FALSE)*$I66/$F$7</f>
        <v>5.7356422876949749</v>
      </c>
      <c r="M66" s="8">
        <f>VLOOKUP($H66,[1]!总属性参考数组,M$10,FALSE)*VLOOKUP($F$8,[1]!属性权重数组,M$10,FALSE)*$I66/$F$7</f>
        <v>0</v>
      </c>
      <c r="N66" s="8">
        <f>VLOOKUP($H66,[1]!总属性参考数组,N$10,FALSE)*VLOOKUP($F$8,[1]!属性权重数组,N$10,FALSE)*$I66/$F$7</f>
        <v>0</v>
      </c>
      <c r="O66" s="8">
        <f>VLOOKUP($H66,[1]!总属性参考数组,O$10,FALSE)*VLOOKUP($F$8,[1]!属性权重数组,O$10,FALSE)*$I66/$F$7</f>
        <v>0</v>
      </c>
      <c r="P66" s="8">
        <f>VLOOKUP($H66,[1]!总属性参考数组,P$10,FALSE)*VLOOKUP($F$8,[1]!属性权重数组,P$10,FALSE)*$I66/$F$7</f>
        <v>0</v>
      </c>
      <c r="Q66" s="8">
        <f>VLOOKUP($H66,[1]!总属性参考数组,Q$10,FALSE)*VLOOKUP($F$8,[1]!属性权重数组,Q$10,FALSE)*$I66/$F$7</f>
        <v>0</v>
      </c>
      <c r="R66" s="8">
        <f>VLOOKUP($H66,[1]!总属性参考数组,R$10,FALSE)*VLOOKUP($F$8,[1]!属性权重数组,R$10,FALSE)*$I66/$F$7</f>
        <v>0</v>
      </c>
      <c r="S66" s="8">
        <f>VLOOKUP($H66,[1]!总属性参考数组,S$10,FALSE)*VLOOKUP($F$8,[1]!属性权重数组,S$10,FALSE)*$I66/$F$7</f>
        <v>0</v>
      </c>
      <c r="T66">
        <f t="shared" si="44"/>
        <v>29.461742660329822</v>
      </c>
    </row>
    <row r="67" spans="4:24">
      <c r="D67">
        <f t="shared" si="38"/>
        <v>80</v>
      </c>
      <c r="E67" s="5" t="str">
        <f t="shared" ref="E67:G67" si="51">E21</f>
        <v>乌鸦</v>
      </c>
      <c r="F67" s="5">
        <f t="shared" si="51"/>
        <v>1</v>
      </c>
      <c r="G67" s="5">
        <f t="shared" si="51"/>
        <v>3</v>
      </c>
      <c r="H67" s="6">
        <f t="shared" si="43"/>
        <v>80</v>
      </c>
      <c r="I67" s="6">
        <f t="shared" si="41"/>
        <v>6.6666666666666662E-3</v>
      </c>
      <c r="J67" s="8">
        <f>VLOOKUP($H67,[1]!总属性参考数组,J$10,FALSE)*VLOOKUP($F$8,[1]!属性权重数组,J$10,FALSE)*$I67/$F$7</f>
        <v>261.32106546560368</v>
      </c>
      <c r="K67" s="8">
        <f>VLOOKUP($H67,[1]!总属性参考数组,K$10,FALSE)*VLOOKUP($F$8,[1]!属性权重数组,K$10,FALSE)*$I67/$F$7</f>
        <v>13.273257754010697</v>
      </c>
      <c r="L67" s="8">
        <f>VLOOKUP($H67,[1]!总属性参考数组,L$10,FALSE)*VLOOKUP($F$8,[1]!属性权重数组,L$10,FALSE)*$I67/$F$7</f>
        <v>5.7356422876949749</v>
      </c>
      <c r="M67" s="8">
        <f>VLOOKUP($H67,[1]!总属性参考数组,M$10,FALSE)*VLOOKUP($F$8,[1]!属性权重数组,M$10,FALSE)*$I67/$F$7</f>
        <v>0</v>
      </c>
      <c r="N67" s="8">
        <f>VLOOKUP($H67,[1]!总属性参考数组,N$10,FALSE)*VLOOKUP($F$8,[1]!属性权重数组,N$10,FALSE)*$I67/$F$7</f>
        <v>0</v>
      </c>
      <c r="O67" s="8">
        <f>VLOOKUP($H67,[1]!总属性参考数组,O$10,FALSE)*VLOOKUP($F$8,[1]!属性权重数组,O$10,FALSE)*$I67/$F$7</f>
        <v>0</v>
      </c>
      <c r="P67" s="8">
        <f>VLOOKUP($H67,[1]!总属性参考数组,P$10,FALSE)*VLOOKUP($F$8,[1]!属性权重数组,P$10,FALSE)*$I67/$F$7</f>
        <v>0</v>
      </c>
      <c r="Q67" s="8">
        <f>VLOOKUP($H67,[1]!总属性参考数组,Q$10,FALSE)*VLOOKUP($F$8,[1]!属性权重数组,Q$10,FALSE)*$I67/$F$7</f>
        <v>0</v>
      </c>
      <c r="R67" s="8">
        <f>VLOOKUP($H67,[1]!总属性参考数组,R$10,FALSE)*VLOOKUP($F$8,[1]!属性权重数组,R$10,FALSE)*$I67/$F$7</f>
        <v>0</v>
      </c>
      <c r="S67" s="8">
        <f>VLOOKUP($H67,[1]!总属性参考数组,S$10,FALSE)*VLOOKUP($F$8,[1]!属性权重数组,S$10,FALSE)*$I67/$F$7</f>
        <v>0</v>
      </c>
      <c r="T67">
        <f t="shared" si="44"/>
        <v>29.461742660329822</v>
      </c>
    </row>
    <row r="68" spans="4:24">
      <c r="D68">
        <f t="shared" si="38"/>
        <v>80</v>
      </c>
      <c r="E68" s="5" t="str">
        <f t="shared" ref="E68:G68" si="52">E22</f>
        <v>赌王</v>
      </c>
      <c r="F68" s="5">
        <f t="shared" si="52"/>
        <v>1</v>
      </c>
      <c r="G68" s="5">
        <f t="shared" si="52"/>
        <v>3</v>
      </c>
      <c r="H68" s="6">
        <f t="shared" si="43"/>
        <v>80</v>
      </c>
      <c r="I68" s="6">
        <f t="shared" si="41"/>
        <v>6.6666666666666662E-3</v>
      </c>
      <c r="J68" s="8">
        <f>VLOOKUP($H68,[1]!总属性参考数组,J$10,FALSE)*VLOOKUP($F$8,[1]!属性权重数组,J$10,FALSE)*$I68/$F$7</f>
        <v>261.32106546560368</v>
      </c>
      <c r="K68" s="8">
        <f>VLOOKUP($H68,[1]!总属性参考数组,K$10,FALSE)*VLOOKUP($F$8,[1]!属性权重数组,K$10,FALSE)*$I68/$F$7</f>
        <v>13.273257754010697</v>
      </c>
      <c r="L68" s="8">
        <f>VLOOKUP($H68,[1]!总属性参考数组,L$10,FALSE)*VLOOKUP($F$8,[1]!属性权重数组,L$10,FALSE)*$I68/$F$7</f>
        <v>5.7356422876949749</v>
      </c>
      <c r="M68" s="8">
        <f>VLOOKUP($H68,[1]!总属性参考数组,M$10,FALSE)*VLOOKUP($F$8,[1]!属性权重数组,M$10,FALSE)*$I68/$F$7</f>
        <v>0</v>
      </c>
      <c r="N68" s="8">
        <f>VLOOKUP($H68,[1]!总属性参考数组,N$10,FALSE)*VLOOKUP($F$8,[1]!属性权重数组,N$10,FALSE)*$I68/$F$7</f>
        <v>0</v>
      </c>
      <c r="O68" s="8">
        <f>VLOOKUP($H68,[1]!总属性参考数组,O$10,FALSE)*VLOOKUP($F$8,[1]!属性权重数组,O$10,FALSE)*$I68/$F$7</f>
        <v>0</v>
      </c>
      <c r="P68" s="8">
        <f>VLOOKUP($H68,[1]!总属性参考数组,P$10,FALSE)*VLOOKUP($F$8,[1]!属性权重数组,P$10,FALSE)*$I68/$F$7</f>
        <v>0</v>
      </c>
      <c r="Q68" s="8">
        <f>VLOOKUP($H68,[1]!总属性参考数组,Q$10,FALSE)*VLOOKUP($F$8,[1]!属性权重数组,Q$10,FALSE)*$I68/$F$7</f>
        <v>0</v>
      </c>
      <c r="R68" s="8">
        <f>VLOOKUP($H68,[1]!总属性参考数组,R$10,FALSE)*VLOOKUP($F$8,[1]!属性权重数组,R$10,FALSE)*$I68/$F$7</f>
        <v>0</v>
      </c>
      <c r="S68" s="8">
        <f>VLOOKUP($H68,[1]!总属性参考数组,S$10,FALSE)*VLOOKUP($F$8,[1]!属性权重数组,S$10,FALSE)*$I68/$F$7</f>
        <v>0</v>
      </c>
      <c r="T68">
        <f t="shared" si="44"/>
        <v>29.461742660329822</v>
      </c>
    </row>
    <row r="69" spans="4:24">
      <c r="D69">
        <f t="shared" si="38"/>
        <v>80</v>
      </c>
      <c r="E69" s="5" t="str">
        <f t="shared" ref="E69:G69" si="53">E23</f>
        <v>山下忠秀</v>
      </c>
      <c r="F69" s="5">
        <f t="shared" si="53"/>
        <v>1</v>
      </c>
      <c r="G69" s="5">
        <f t="shared" si="53"/>
        <v>3</v>
      </c>
      <c r="H69" s="6">
        <f t="shared" si="43"/>
        <v>80</v>
      </c>
      <c r="I69" s="6">
        <f t="shared" si="41"/>
        <v>6.6666666666666662E-3</v>
      </c>
      <c r="J69" s="8">
        <f>VLOOKUP($H69,[1]!总属性参考数组,J$10,FALSE)*VLOOKUP($F$8,[1]!属性权重数组,J$10,FALSE)*$I69/$F$7</f>
        <v>261.32106546560368</v>
      </c>
      <c r="K69" s="8">
        <f>VLOOKUP($H69,[1]!总属性参考数组,K$10,FALSE)*VLOOKUP($F$8,[1]!属性权重数组,K$10,FALSE)*$I69/$F$7</f>
        <v>13.273257754010697</v>
      </c>
      <c r="L69" s="8">
        <f>VLOOKUP($H69,[1]!总属性参考数组,L$10,FALSE)*VLOOKUP($F$8,[1]!属性权重数组,L$10,FALSE)*$I69/$F$7</f>
        <v>5.7356422876949749</v>
      </c>
      <c r="M69" s="8">
        <f>VLOOKUP($H69,[1]!总属性参考数组,M$10,FALSE)*VLOOKUP($F$8,[1]!属性权重数组,M$10,FALSE)*$I69/$F$7</f>
        <v>0</v>
      </c>
      <c r="N69" s="8">
        <f>VLOOKUP($H69,[1]!总属性参考数组,N$10,FALSE)*VLOOKUP($F$8,[1]!属性权重数组,N$10,FALSE)*$I69/$F$7</f>
        <v>0</v>
      </c>
      <c r="O69" s="8">
        <f>VLOOKUP($H69,[1]!总属性参考数组,O$10,FALSE)*VLOOKUP($F$8,[1]!属性权重数组,O$10,FALSE)*$I69/$F$7</f>
        <v>0</v>
      </c>
      <c r="P69" s="8">
        <f>VLOOKUP($H69,[1]!总属性参考数组,P$10,FALSE)*VLOOKUP($F$8,[1]!属性权重数组,P$10,FALSE)*$I69/$F$7</f>
        <v>0</v>
      </c>
      <c r="Q69" s="8">
        <f>VLOOKUP($H69,[1]!总属性参考数组,Q$10,FALSE)*VLOOKUP($F$8,[1]!属性权重数组,Q$10,FALSE)*$I69/$F$7</f>
        <v>0</v>
      </c>
      <c r="R69" s="8">
        <f>VLOOKUP($H69,[1]!总属性参考数组,R$10,FALSE)*VLOOKUP($F$8,[1]!属性权重数组,R$10,FALSE)*$I69/$F$7</f>
        <v>0</v>
      </c>
      <c r="S69" s="8">
        <f>VLOOKUP($H69,[1]!总属性参考数组,S$10,FALSE)*VLOOKUP($F$8,[1]!属性权重数组,S$10,FALSE)*$I69/$F$7</f>
        <v>0</v>
      </c>
      <c r="T69">
        <f t="shared" si="44"/>
        <v>29.461742660329822</v>
      </c>
    </row>
    <row r="70" spans="4:24">
      <c r="D70">
        <f t="shared" si="38"/>
        <v>80</v>
      </c>
      <c r="E70" s="5" t="str">
        <f t="shared" ref="E70:G70" si="54">E24</f>
        <v>宫本一</v>
      </c>
      <c r="F70" s="5">
        <f t="shared" si="54"/>
        <v>1</v>
      </c>
      <c r="G70" s="5">
        <f t="shared" si="54"/>
        <v>3</v>
      </c>
      <c r="H70" s="6">
        <f t="shared" si="43"/>
        <v>80</v>
      </c>
      <c r="I70" s="6">
        <f t="shared" si="41"/>
        <v>6.6666666666666662E-3</v>
      </c>
      <c r="J70" s="8">
        <f>VLOOKUP($H70,[1]!总属性参考数组,J$10,FALSE)*VLOOKUP($F$8,[1]!属性权重数组,J$10,FALSE)*$I70/$F$7</f>
        <v>261.32106546560368</v>
      </c>
      <c r="K70" s="8">
        <f>VLOOKUP($H70,[1]!总属性参考数组,K$10,FALSE)*VLOOKUP($F$8,[1]!属性权重数组,K$10,FALSE)*$I70/$F$7</f>
        <v>13.273257754010697</v>
      </c>
      <c r="L70" s="8">
        <f>VLOOKUP($H70,[1]!总属性参考数组,L$10,FALSE)*VLOOKUP($F$8,[1]!属性权重数组,L$10,FALSE)*$I70/$F$7</f>
        <v>5.7356422876949749</v>
      </c>
      <c r="M70" s="8">
        <f>VLOOKUP($H70,[1]!总属性参考数组,M$10,FALSE)*VLOOKUP($F$8,[1]!属性权重数组,M$10,FALSE)*$I70/$F$7</f>
        <v>0</v>
      </c>
      <c r="N70" s="8">
        <f>VLOOKUP($H70,[1]!总属性参考数组,N$10,FALSE)*VLOOKUP($F$8,[1]!属性权重数组,N$10,FALSE)*$I70/$F$7</f>
        <v>0</v>
      </c>
      <c r="O70" s="8">
        <f>VLOOKUP($H70,[1]!总属性参考数组,O$10,FALSE)*VLOOKUP($F$8,[1]!属性权重数组,O$10,FALSE)*$I70/$F$7</f>
        <v>0</v>
      </c>
      <c r="P70" s="8">
        <f>VLOOKUP($H70,[1]!总属性参考数组,P$10,FALSE)*VLOOKUP($F$8,[1]!属性权重数组,P$10,FALSE)*$I70/$F$7</f>
        <v>0</v>
      </c>
      <c r="Q70" s="8">
        <f>VLOOKUP($H70,[1]!总属性参考数组,Q$10,FALSE)*VLOOKUP($F$8,[1]!属性权重数组,Q$10,FALSE)*$I70/$F$7</f>
        <v>0</v>
      </c>
      <c r="R70" s="8">
        <f>VLOOKUP($H70,[1]!总属性参考数组,R$10,FALSE)*VLOOKUP($F$8,[1]!属性权重数组,R$10,FALSE)*$I70/$F$7</f>
        <v>0</v>
      </c>
      <c r="S70" s="8">
        <f>VLOOKUP($H70,[1]!总属性参考数组,S$10,FALSE)*VLOOKUP($F$8,[1]!属性权重数组,S$10,FALSE)*$I70/$F$7</f>
        <v>0</v>
      </c>
      <c r="T70">
        <f t="shared" si="44"/>
        <v>29.461742660329822</v>
      </c>
    </row>
    <row r="71" spans="4:24">
      <c r="D71">
        <f t="shared" si="38"/>
        <v>80</v>
      </c>
      <c r="E71" s="5" t="str">
        <f t="shared" ref="E71:G71" si="55">E25</f>
        <v>陈浩南</v>
      </c>
      <c r="F71" s="5">
        <f t="shared" si="55"/>
        <v>1</v>
      </c>
      <c r="G71" s="5">
        <f t="shared" si="55"/>
        <v>4</v>
      </c>
      <c r="H71" s="6">
        <f t="shared" si="43"/>
        <v>80</v>
      </c>
      <c r="I71" s="6">
        <f t="shared" si="41"/>
        <v>6.6666666666666662E-3</v>
      </c>
      <c r="J71" s="8">
        <f>VLOOKUP($H71,[1]!总属性参考数组,J$10,FALSE)*VLOOKUP($F$8,[1]!属性权重数组,J$10,FALSE)*$I71/$F$7</f>
        <v>261.32106546560368</v>
      </c>
      <c r="K71" s="8">
        <f>VLOOKUP($H71,[1]!总属性参考数组,K$10,FALSE)*VLOOKUP($F$8,[1]!属性权重数组,K$10,FALSE)*$I71/$F$7</f>
        <v>13.273257754010697</v>
      </c>
      <c r="L71" s="8">
        <f>VLOOKUP($H71,[1]!总属性参考数组,L$10,FALSE)*VLOOKUP($F$8,[1]!属性权重数组,L$10,FALSE)*$I71/$F$7</f>
        <v>5.7356422876949749</v>
      </c>
      <c r="M71" s="8">
        <f>VLOOKUP($H71,[1]!总属性参考数组,M$10,FALSE)*VLOOKUP($F$8,[1]!属性权重数组,M$10,FALSE)*$I71/$F$7</f>
        <v>0</v>
      </c>
      <c r="N71" s="8">
        <f>VLOOKUP($H71,[1]!总属性参考数组,N$10,FALSE)*VLOOKUP($F$8,[1]!属性权重数组,N$10,FALSE)*$I71/$F$7</f>
        <v>0</v>
      </c>
      <c r="O71" s="8">
        <f>VLOOKUP($H71,[1]!总属性参考数组,O$10,FALSE)*VLOOKUP($F$8,[1]!属性权重数组,O$10,FALSE)*$I71/$F$7</f>
        <v>0</v>
      </c>
      <c r="P71" s="8">
        <f>VLOOKUP($H71,[1]!总属性参考数组,P$10,FALSE)*VLOOKUP($F$8,[1]!属性权重数组,P$10,FALSE)*$I71/$F$7</f>
        <v>0</v>
      </c>
      <c r="Q71" s="8">
        <f>VLOOKUP($H71,[1]!总属性参考数组,Q$10,FALSE)*VLOOKUP($F$8,[1]!属性权重数组,Q$10,FALSE)*$I71/$F$7</f>
        <v>0</v>
      </c>
      <c r="R71" s="8">
        <f>VLOOKUP($H71,[1]!总属性参考数组,R$10,FALSE)*VLOOKUP($F$8,[1]!属性权重数组,R$10,FALSE)*$I71/$F$7</f>
        <v>0</v>
      </c>
      <c r="S71" s="8">
        <f>VLOOKUP($H71,[1]!总属性参考数组,S$10,FALSE)*VLOOKUP($F$8,[1]!属性权重数组,S$10,FALSE)*$I71/$F$7</f>
        <v>0</v>
      </c>
      <c r="T71">
        <f t="shared" si="44"/>
        <v>29.461742660329822</v>
      </c>
    </row>
    <row r="72" spans="4:24">
      <c r="D72">
        <f t="shared" si="38"/>
        <v>80</v>
      </c>
      <c r="E72" s="5" t="str">
        <f t="shared" ref="E72:G73" si="56">E26</f>
        <v>山鸡</v>
      </c>
      <c r="F72" s="5">
        <f t="shared" si="56"/>
        <v>1</v>
      </c>
      <c r="G72" s="5">
        <f t="shared" si="56"/>
        <v>4</v>
      </c>
      <c r="H72" s="6">
        <f t="shared" si="43"/>
        <v>80</v>
      </c>
      <c r="I72" s="6">
        <f t="shared" si="41"/>
        <v>6.6666666666666662E-3</v>
      </c>
      <c r="J72" s="8">
        <f>VLOOKUP($H72,[1]!总属性参考数组,J$10,FALSE)*VLOOKUP($F$8,[1]!属性权重数组,J$10,FALSE)*$I72/$F$7</f>
        <v>261.32106546560368</v>
      </c>
      <c r="K72" s="8">
        <f>VLOOKUP($H72,[1]!总属性参考数组,K$10,FALSE)*VLOOKUP($F$8,[1]!属性权重数组,K$10,FALSE)*$I72/$F$7</f>
        <v>13.273257754010697</v>
      </c>
      <c r="L72" s="8">
        <f>VLOOKUP($H72,[1]!总属性参考数组,L$10,FALSE)*VLOOKUP($F$8,[1]!属性权重数组,L$10,FALSE)*$I72/$F$7</f>
        <v>5.7356422876949749</v>
      </c>
      <c r="M72" s="8">
        <f>VLOOKUP($H72,[1]!总属性参考数组,M$10,FALSE)*VLOOKUP($F$8,[1]!属性权重数组,M$10,FALSE)*$I72/$F$7</f>
        <v>0</v>
      </c>
      <c r="N72" s="8">
        <f>VLOOKUP($H72,[1]!总属性参考数组,N$10,FALSE)*VLOOKUP($F$8,[1]!属性权重数组,N$10,FALSE)*$I72/$F$7</f>
        <v>0</v>
      </c>
      <c r="O72" s="8">
        <f>VLOOKUP($H72,[1]!总属性参考数组,O$10,FALSE)*VLOOKUP($F$8,[1]!属性权重数组,O$10,FALSE)*$I72/$F$7</f>
        <v>0</v>
      </c>
      <c r="P72" s="8">
        <f>VLOOKUP($H72,[1]!总属性参考数组,P$10,FALSE)*VLOOKUP($F$8,[1]!属性权重数组,P$10,FALSE)*$I72/$F$7</f>
        <v>0</v>
      </c>
      <c r="Q72" s="8">
        <f>VLOOKUP($H72,[1]!总属性参考数组,Q$10,FALSE)*VLOOKUP($F$8,[1]!属性权重数组,Q$10,FALSE)*$I72/$F$7</f>
        <v>0</v>
      </c>
      <c r="R72" s="8">
        <f>VLOOKUP($H72,[1]!总属性参考数组,R$10,FALSE)*VLOOKUP($F$8,[1]!属性权重数组,R$10,FALSE)*$I72/$F$7</f>
        <v>0</v>
      </c>
      <c r="S72" s="8">
        <f>VLOOKUP($H72,[1]!总属性参考数组,S$10,FALSE)*VLOOKUP($F$8,[1]!属性权重数组,S$10,FALSE)*$I72/$F$7</f>
        <v>0</v>
      </c>
      <c r="T72">
        <f t="shared" si="44"/>
        <v>29.461742660329822</v>
      </c>
    </row>
    <row r="73" spans="4:24">
      <c r="D73">
        <f t="shared" si="38"/>
        <v>80</v>
      </c>
      <c r="E73" s="5" t="str">
        <f t="shared" si="56"/>
        <v>大天二</v>
      </c>
      <c r="F73" s="5">
        <f t="shared" si="56"/>
        <v>1</v>
      </c>
      <c r="G73" s="5">
        <f t="shared" si="56"/>
        <v>4</v>
      </c>
      <c r="H73" s="6">
        <f t="shared" si="43"/>
        <v>80</v>
      </c>
      <c r="I73" s="6">
        <f t="shared" ref="I73:I75" si="57">VLOOKUP(G73,$E$3:$K$6,4)</f>
        <v>6.6666666666666662E-3</v>
      </c>
      <c r="J73" s="8">
        <f>VLOOKUP($H73,[1]!总属性参考数组,J$10,FALSE)*VLOOKUP($F$8,[1]!属性权重数组,J$10,FALSE)*$I73/$F$7</f>
        <v>261.32106546560368</v>
      </c>
      <c r="K73" s="8">
        <f>VLOOKUP($H73,[1]!总属性参考数组,K$10,FALSE)*VLOOKUP($F$8,[1]!属性权重数组,K$10,FALSE)*$I73/$F$7</f>
        <v>13.273257754010697</v>
      </c>
      <c r="L73" s="8">
        <f>VLOOKUP($H73,[1]!总属性参考数组,L$10,FALSE)*VLOOKUP($F$8,[1]!属性权重数组,L$10,FALSE)*$I73/$F$7</f>
        <v>5.7356422876949749</v>
      </c>
      <c r="M73" s="8">
        <f>VLOOKUP($H73,[1]!总属性参考数组,M$10,FALSE)*VLOOKUP($F$8,[1]!属性权重数组,M$10,FALSE)*$I73/$F$7</f>
        <v>0</v>
      </c>
      <c r="N73" s="8">
        <f>VLOOKUP($H73,[1]!总属性参考数组,N$10,FALSE)*VLOOKUP($F$8,[1]!属性权重数组,N$10,FALSE)*$I73/$F$7</f>
        <v>0</v>
      </c>
      <c r="O73" s="8">
        <f>VLOOKUP($H73,[1]!总属性参考数组,O$10,FALSE)*VLOOKUP($F$8,[1]!属性权重数组,O$10,FALSE)*$I73/$F$7</f>
        <v>0</v>
      </c>
      <c r="P73" s="8">
        <f>VLOOKUP($H73,[1]!总属性参考数组,P$10,FALSE)*VLOOKUP($F$8,[1]!属性权重数组,P$10,FALSE)*$I73/$F$7</f>
        <v>0</v>
      </c>
      <c r="Q73" s="8">
        <f>VLOOKUP($H73,[1]!总属性参考数组,Q$10,FALSE)*VLOOKUP($F$8,[1]!属性权重数组,Q$10,FALSE)*$I73/$F$7</f>
        <v>0</v>
      </c>
      <c r="R73" s="8">
        <f>VLOOKUP($H73,[1]!总属性参考数组,R$10,FALSE)*VLOOKUP($F$8,[1]!属性权重数组,R$10,FALSE)*$I73/$F$7</f>
        <v>0</v>
      </c>
      <c r="S73" s="8">
        <f>VLOOKUP($H73,[1]!总属性参考数组,S$10,FALSE)*VLOOKUP($F$8,[1]!属性权重数组,S$10,FALSE)*$I73/$F$7</f>
        <v>0</v>
      </c>
      <c r="T73">
        <f t="shared" si="44"/>
        <v>29.461742660329822</v>
      </c>
    </row>
    <row r="74" spans="4:24">
      <c r="D74">
        <f t="shared" si="38"/>
        <v>80</v>
      </c>
      <c r="E74" s="5" t="str">
        <f t="shared" ref="E74:G74" si="58">E28</f>
        <v>巴闭</v>
      </c>
      <c r="F74" s="5">
        <f t="shared" si="58"/>
        <v>1</v>
      </c>
      <c r="G74" s="5">
        <f t="shared" si="58"/>
        <v>2</v>
      </c>
      <c r="H74" s="6">
        <f t="shared" ref="H74:H76" si="59">$B$3+D74</f>
        <v>80</v>
      </c>
      <c r="I74" s="6">
        <f t="shared" si="57"/>
        <v>6.6666666666666662E-3</v>
      </c>
      <c r="J74" s="8">
        <f>VLOOKUP($H74,[1]!总属性参考数组,J$10,FALSE)*VLOOKUP($F$8,[1]!属性权重数组,J$10,FALSE)*$I74/$F$7</f>
        <v>261.32106546560368</v>
      </c>
      <c r="K74" s="8">
        <f>VLOOKUP($H74,[1]!总属性参考数组,K$10,FALSE)*VLOOKUP($F$8,[1]!属性权重数组,K$10,FALSE)*$I74/$F$7</f>
        <v>13.273257754010697</v>
      </c>
      <c r="L74" s="8">
        <f>VLOOKUP($H74,[1]!总属性参考数组,L$10,FALSE)*VLOOKUP($F$8,[1]!属性权重数组,L$10,FALSE)*$I74/$F$7</f>
        <v>5.7356422876949749</v>
      </c>
      <c r="M74" s="8">
        <f>VLOOKUP($H74,[1]!总属性参考数组,M$10,FALSE)*VLOOKUP($F$8,[1]!属性权重数组,M$10,FALSE)*$I74/$F$7</f>
        <v>0</v>
      </c>
      <c r="N74" s="8">
        <f>VLOOKUP($H74,[1]!总属性参考数组,N$10,FALSE)*VLOOKUP($F$8,[1]!属性权重数组,N$10,FALSE)*$I74/$F$7</f>
        <v>0</v>
      </c>
      <c r="O74" s="8">
        <f>VLOOKUP($H74,[1]!总属性参考数组,O$10,FALSE)*VLOOKUP($F$8,[1]!属性权重数组,O$10,FALSE)*$I74/$F$7</f>
        <v>0</v>
      </c>
      <c r="P74" s="8">
        <f>VLOOKUP($H74,[1]!总属性参考数组,P$10,FALSE)*VLOOKUP($F$8,[1]!属性权重数组,P$10,FALSE)*$I74/$F$7</f>
        <v>0</v>
      </c>
      <c r="Q74" s="8">
        <f>VLOOKUP($H74,[1]!总属性参考数组,Q$10,FALSE)*VLOOKUP($F$8,[1]!属性权重数组,Q$10,FALSE)*$I74/$F$7</f>
        <v>0</v>
      </c>
      <c r="R74" s="8">
        <f>VLOOKUP($H74,[1]!总属性参考数组,R$10,FALSE)*VLOOKUP($F$8,[1]!属性权重数组,R$10,FALSE)*$I74/$F$7</f>
        <v>0</v>
      </c>
      <c r="S74" s="8">
        <f>VLOOKUP($H74,[1]!总属性参考数组,S$10,FALSE)*VLOOKUP($F$8,[1]!属性权重数组,S$10,FALSE)*$I74/$F$7</f>
        <v>0</v>
      </c>
      <c r="T74">
        <f t="shared" ref="T74:T76" si="60">SUMPRODUCT(J74:L74,$S$7:$U$7)</f>
        <v>29.461742660329822</v>
      </c>
    </row>
    <row r="75" spans="4:24">
      <c r="D75">
        <f t="shared" si="38"/>
        <v>80</v>
      </c>
      <c r="E75" s="5" t="str">
        <f t="shared" ref="E75:G76" si="61">E29</f>
        <v>耀阳</v>
      </c>
      <c r="F75" s="5">
        <f t="shared" si="61"/>
        <v>1</v>
      </c>
      <c r="G75" s="5">
        <f t="shared" si="61"/>
        <v>3</v>
      </c>
      <c r="H75" s="6">
        <f t="shared" si="59"/>
        <v>80</v>
      </c>
      <c r="I75" s="6">
        <f t="shared" si="57"/>
        <v>6.6666666666666662E-3</v>
      </c>
      <c r="J75" s="8">
        <f>VLOOKUP($H75,[1]!总属性参考数组,J$10,FALSE)*VLOOKUP($F$8,[1]!属性权重数组,J$10,FALSE)*$I75/$F$7</f>
        <v>261.32106546560368</v>
      </c>
      <c r="K75" s="8">
        <f>VLOOKUP($H75,[1]!总属性参考数组,K$10,FALSE)*VLOOKUP($F$8,[1]!属性权重数组,K$10,FALSE)*$I75/$F$7</f>
        <v>13.273257754010697</v>
      </c>
      <c r="L75" s="8">
        <f>VLOOKUP($H75,[1]!总属性参考数组,L$10,FALSE)*VLOOKUP($F$8,[1]!属性权重数组,L$10,FALSE)*$I75/$F$7</f>
        <v>5.7356422876949749</v>
      </c>
      <c r="M75" s="8">
        <f>VLOOKUP($H75,[1]!总属性参考数组,M$10,FALSE)*VLOOKUP($F$8,[1]!属性权重数组,M$10,FALSE)*$I75/$F$7</f>
        <v>0</v>
      </c>
      <c r="N75" s="8">
        <f>VLOOKUP($H75,[1]!总属性参考数组,N$10,FALSE)*VLOOKUP($F$8,[1]!属性权重数组,N$10,FALSE)*$I75/$F$7</f>
        <v>0</v>
      </c>
      <c r="O75" s="8">
        <f>VLOOKUP($H75,[1]!总属性参考数组,O$10,FALSE)*VLOOKUP($F$8,[1]!属性权重数组,O$10,FALSE)*$I75/$F$7</f>
        <v>0</v>
      </c>
      <c r="P75" s="8">
        <f>VLOOKUP($H75,[1]!总属性参考数组,P$10,FALSE)*VLOOKUP($F$8,[1]!属性权重数组,P$10,FALSE)*$I75/$F$7</f>
        <v>0</v>
      </c>
      <c r="Q75" s="8">
        <f>VLOOKUP($H75,[1]!总属性参考数组,Q$10,FALSE)*VLOOKUP($F$8,[1]!属性权重数组,Q$10,FALSE)*$I75/$F$7</f>
        <v>0</v>
      </c>
      <c r="R75" s="8">
        <f>VLOOKUP($H75,[1]!总属性参考数组,R$10,FALSE)*VLOOKUP($F$8,[1]!属性权重数组,R$10,FALSE)*$I75/$F$7</f>
        <v>0</v>
      </c>
      <c r="S75" s="8">
        <f>VLOOKUP($H75,[1]!总属性参考数组,S$10,FALSE)*VLOOKUP($F$8,[1]!属性权重数组,S$10,FALSE)*$I75/$F$7</f>
        <v>0</v>
      </c>
      <c r="T75">
        <f t="shared" si="60"/>
        <v>29.461742660329822</v>
      </c>
    </row>
    <row r="76" spans="4:24">
      <c r="D76">
        <f t="shared" si="38"/>
        <v>80</v>
      </c>
      <c r="E76" s="5" t="str">
        <f t="shared" si="61"/>
        <v>笑面虎</v>
      </c>
      <c r="F76" s="5">
        <f t="shared" si="61"/>
        <v>1</v>
      </c>
      <c r="G76" s="5">
        <f t="shared" si="61"/>
        <v>3</v>
      </c>
      <c r="H76" s="6">
        <f t="shared" si="59"/>
        <v>80</v>
      </c>
      <c r="I76" s="6">
        <f t="shared" ref="I76" si="62">VLOOKUP(G76,$E$3:$K$6,4)</f>
        <v>6.6666666666666662E-3</v>
      </c>
      <c r="J76" s="8">
        <f>VLOOKUP($H76,[1]!总属性参考数组,J$10,FALSE)*VLOOKUP($F$8,[1]!属性权重数组,J$10,FALSE)*$I76/$F$7</f>
        <v>261.32106546560368</v>
      </c>
      <c r="K76" s="8">
        <f>VLOOKUP($H76,[1]!总属性参考数组,K$10,FALSE)*VLOOKUP($F$8,[1]!属性权重数组,K$10,FALSE)*$I76/$F$7</f>
        <v>13.273257754010697</v>
      </c>
      <c r="L76" s="8">
        <f>VLOOKUP($H76,[1]!总属性参考数组,L$10,FALSE)*VLOOKUP($F$8,[1]!属性权重数组,L$10,FALSE)*$I76/$F$7</f>
        <v>5.7356422876949749</v>
      </c>
      <c r="M76" s="8">
        <f>VLOOKUP($H76,[1]!总属性参考数组,M$10,FALSE)*VLOOKUP($F$8,[1]!属性权重数组,M$10,FALSE)*$I76/$F$7</f>
        <v>0</v>
      </c>
      <c r="N76" s="8">
        <f>VLOOKUP($H76,[1]!总属性参考数组,N$10,FALSE)*VLOOKUP($F$8,[1]!属性权重数组,N$10,FALSE)*$I76/$F$7</f>
        <v>0</v>
      </c>
      <c r="O76" s="8">
        <f>VLOOKUP($H76,[1]!总属性参考数组,O$10,FALSE)*VLOOKUP($F$8,[1]!属性权重数组,O$10,FALSE)*$I76/$F$7</f>
        <v>0</v>
      </c>
      <c r="P76" s="8">
        <f>VLOOKUP($H76,[1]!总属性参考数组,P$10,FALSE)*VLOOKUP($F$8,[1]!属性权重数组,P$10,FALSE)*$I76/$F$7</f>
        <v>0</v>
      </c>
      <c r="Q76" s="8">
        <f>VLOOKUP($H76,[1]!总属性参考数组,Q$10,FALSE)*VLOOKUP($F$8,[1]!属性权重数组,Q$10,FALSE)*$I76/$F$7</f>
        <v>0</v>
      </c>
      <c r="R76" s="8">
        <f>VLOOKUP($H76,[1]!总属性参考数组,R$10,FALSE)*VLOOKUP($F$8,[1]!属性权重数组,R$10,FALSE)*$I76/$F$7</f>
        <v>0</v>
      </c>
      <c r="S76" s="8">
        <f>VLOOKUP($H76,[1]!总属性参考数组,S$10,FALSE)*VLOOKUP($F$8,[1]!属性权重数组,S$10,FALSE)*$I76/$F$7</f>
        <v>0</v>
      </c>
      <c r="T76">
        <f t="shared" si="60"/>
        <v>29.461742660329822</v>
      </c>
    </row>
    <row r="78" spans="4:24">
      <c r="D78" s="136" t="s">
        <v>26</v>
      </c>
      <c r="E78" s="136"/>
      <c r="F78" s="136"/>
      <c r="J78" s="7">
        <v>2</v>
      </c>
      <c r="K78" s="7">
        <v>3</v>
      </c>
      <c r="L78" s="7">
        <v>4</v>
      </c>
      <c r="M78" s="7">
        <v>5</v>
      </c>
      <c r="N78" s="7">
        <v>6</v>
      </c>
      <c r="O78" s="7">
        <v>7</v>
      </c>
      <c r="P78" s="7">
        <v>8</v>
      </c>
      <c r="Q78" s="7">
        <v>9</v>
      </c>
      <c r="R78" s="7">
        <v>10</v>
      </c>
      <c r="S78" s="7">
        <v>11</v>
      </c>
    </row>
    <row r="79" spans="4:24">
      <c r="D79" t="str">
        <f>D11</f>
        <v>预估等级辅助</v>
      </c>
      <c r="E79" t="str">
        <f t="shared" ref="E79:I79" si="63">E11</f>
        <v>马仔名称</v>
      </c>
      <c r="F79" t="str">
        <f t="shared" si="63"/>
        <v>马仔星级</v>
      </c>
      <c r="G79" t="str">
        <f t="shared" si="63"/>
        <v>马仔品阶</v>
      </c>
      <c r="H79" t="str">
        <f t="shared" si="63"/>
        <v>评估等级</v>
      </c>
      <c r="I79" t="str">
        <f t="shared" si="63"/>
        <v>属性点</v>
      </c>
      <c r="J79" s="1" t="s">
        <v>0</v>
      </c>
      <c r="K79" s="1" t="s">
        <v>1</v>
      </c>
      <c r="L79" s="2" t="s">
        <v>2</v>
      </c>
      <c r="M79" s="3" t="s">
        <v>3</v>
      </c>
      <c r="N79" s="3" t="s">
        <v>4</v>
      </c>
      <c r="O79" s="3" t="s">
        <v>5</v>
      </c>
      <c r="P79" s="3" t="s">
        <v>6</v>
      </c>
      <c r="Q79" s="3" t="s">
        <v>7</v>
      </c>
      <c r="R79" s="4" t="s">
        <v>8</v>
      </c>
      <c r="S79" s="4" t="s">
        <v>9</v>
      </c>
      <c r="T79" s="23" t="s">
        <v>116</v>
      </c>
    </row>
    <row r="80" spans="4:24">
      <c r="D80">
        <f t="shared" ref="D80:H80" si="64">D12</f>
        <v>80</v>
      </c>
      <c r="E80" s="5" t="str">
        <f t="shared" si="64"/>
        <v>制服太妹</v>
      </c>
      <c r="F80" s="5">
        <f t="shared" si="64"/>
        <v>1</v>
      </c>
      <c r="G80" s="5">
        <f t="shared" si="64"/>
        <v>1</v>
      </c>
      <c r="H80" s="5">
        <f t="shared" si="64"/>
        <v>80</v>
      </c>
      <c r="I80" s="5">
        <f t="shared" ref="I80:I94" si="65">VLOOKUP(G80,$E$3:$K$6,5)</f>
        <v>8.8888888888888882E-4</v>
      </c>
      <c r="J80" s="8">
        <f>VLOOKUP($H80,[1]!总属性参考数组,J$10,FALSE)*VLOOKUP($F$8,[1]!属性权重数组,J$10,FALSE)*$I80/$F$7</f>
        <v>34.842808728747158</v>
      </c>
      <c r="K80" s="8">
        <f>VLOOKUP($H80,[1]!总属性参考数组,K$10,FALSE)*VLOOKUP($F$8,[1]!属性权重数组,K$10,FALSE)*$I80/$F$7</f>
        <v>1.7697677005347596</v>
      </c>
      <c r="L80" s="8">
        <f>VLOOKUP($H80,[1]!总属性参考数组,L$10,FALSE)*VLOOKUP($F$8,[1]!属性权重数组,L$10,FALSE)*$I80/$F$7</f>
        <v>0.76475230502599667</v>
      </c>
      <c r="M80" s="8">
        <f>VLOOKUP($H80,[1]!总属性参考数组,M$10,FALSE)*VLOOKUP($F$8,[1]!属性权重数组,M$10,FALSE)*$I80/$F$7</f>
        <v>0</v>
      </c>
      <c r="N80" s="8">
        <f>VLOOKUP($H80,[1]!总属性参考数组,N$10,FALSE)*VLOOKUP($F$8,[1]!属性权重数组,N$10,FALSE)*$I80/$F$7</f>
        <v>0</v>
      </c>
      <c r="O80" s="8">
        <f>VLOOKUP($H80,[1]!总属性参考数组,O$10,FALSE)*VLOOKUP($F$8,[1]!属性权重数组,O$10,FALSE)*$I80/$F$7</f>
        <v>0</v>
      </c>
      <c r="P80" s="8">
        <f>VLOOKUP($H80,[1]!总属性参考数组,P$10,FALSE)*VLOOKUP($F$8,[1]!属性权重数组,P$10,FALSE)*$I80/$F$7</f>
        <v>0</v>
      </c>
      <c r="Q80" s="8">
        <f>VLOOKUP($H80,[1]!总属性参考数组,Q$10,FALSE)*VLOOKUP($F$8,[1]!属性权重数组,Q$10,FALSE)*$I80/$F$7</f>
        <v>0</v>
      </c>
      <c r="R80" s="8">
        <f>VLOOKUP($H80,[1]!总属性参考数组,R$10,FALSE)*VLOOKUP($F$8,[1]!属性权重数组,R$10,FALSE)*$I80/$F$7</f>
        <v>0</v>
      </c>
      <c r="S80" s="8">
        <f>VLOOKUP($H80,[1]!总属性参考数组,S$10,FALSE)*VLOOKUP($F$8,[1]!属性权重数组,S$10,FALSE)*$I80/$F$7</f>
        <v>0</v>
      </c>
      <c r="T80">
        <f>SUMPRODUCT(J80:L80,$S$7:$U$7)</f>
        <v>3.9282323547106426</v>
      </c>
      <c r="V80" s="6">
        <f>J80/V$33</f>
        <v>0.23228539152498107</v>
      </c>
      <c r="W80" s="6">
        <f t="shared" ref="W80:X80" si="66">K80/W$33</f>
        <v>0.3539535401069519</v>
      </c>
      <c r="X80" s="6">
        <f t="shared" si="66"/>
        <v>0.30590092201039865</v>
      </c>
    </row>
    <row r="81" spans="4:24">
      <c r="D81">
        <f t="shared" ref="D81:H81" si="67">D13</f>
        <v>80</v>
      </c>
      <c r="E81" s="5" t="str">
        <f t="shared" si="67"/>
        <v>蟹仔</v>
      </c>
      <c r="F81" s="5">
        <f t="shared" si="67"/>
        <v>1</v>
      </c>
      <c r="G81" s="5">
        <f t="shared" si="67"/>
        <v>1</v>
      </c>
      <c r="H81" s="5">
        <f t="shared" si="67"/>
        <v>80</v>
      </c>
      <c r="I81" s="5">
        <f t="shared" si="65"/>
        <v>8.8888888888888882E-4</v>
      </c>
      <c r="J81" s="8">
        <f>VLOOKUP($H81,[1]!总属性参考数组,J$10,FALSE)*VLOOKUP($F$8,[1]!属性权重数组,J$10,FALSE)*$I81/$F$7</f>
        <v>34.842808728747158</v>
      </c>
      <c r="K81" s="8">
        <f>VLOOKUP($H81,[1]!总属性参考数组,K$10,FALSE)*VLOOKUP($F$8,[1]!属性权重数组,K$10,FALSE)*$I81/$F$7</f>
        <v>1.7697677005347596</v>
      </c>
      <c r="L81" s="8">
        <f>VLOOKUP($H81,[1]!总属性参考数组,L$10,FALSE)*VLOOKUP($F$8,[1]!属性权重数组,L$10,FALSE)*$I81/$F$7</f>
        <v>0.76475230502599667</v>
      </c>
      <c r="M81" s="8">
        <f>VLOOKUP($H81,[1]!总属性参考数组,M$10,FALSE)*VLOOKUP($F$8,[1]!属性权重数组,M$10,FALSE)*$I81/$F$7</f>
        <v>0</v>
      </c>
      <c r="N81" s="8">
        <f>VLOOKUP($H81,[1]!总属性参考数组,N$10,FALSE)*VLOOKUP($F$8,[1]!属性权重数组,N$10,FALSE)*$I81/$F$7</f>
        <v>0</v>
      </c>
      <c r="O81" s="8">
        <f>VLOOKUP($H81,[1]!总属性参考数组,O$10,FALSE)*VLOOKUP($F$8,[1]!属性权重数组,O$10,FALSE)*$I81/$F$7</f>
        <v>0</v>
      </c>
      <c r="P81" s="8">
        <f>VLOOKUP($H81,[1]!总属性参考数组,P$10,FALSE)*VLOOKUP($F$8,[1]!属性权重数组,P$10,FALSE)*$I81/$F$7</f>
        <v>0</v>
      </c>
      <c r="Q81" s="8">
        <f>VLOOKUP($H81,[1]!总属性参考数组,Q$10,FALSE)*VLOOKUP($F$8,[1]!属性权重数组,Q$10,FALSE)*$I81/$F$7</f>
        <v>0</v>
      </c>
      <c r="R81" s="8">
        <f>VLOOKUP($H81,[1]!总属性参考数组,R$10,FALSE)*VLOOKUP($F$8,[1]!属性权重数组,R$10,FALSE)*$I81/$F$7</f>
        <v>0</v>
      </c>
      <c r="S81" s="8">
        <f>VLOOKUP($H81,[1]!总属性参考数组,S$10,FALSE)*VLOOKUP($F$8,[1]!属性权重数组,S$10,FALSE)*$I81/$F$7</f>
        <v>0</v>
      </c>
      <c r="T81">
        <f t="shared" ref="T81:T95" si="68">SUMPRODUCT(J81:L81,$S$7:$U$7)</f>
        <v>3.9282323547106426</v>
      </c>
      <c r="V81" s="6">
        <f t="shared" ref="V81:V95" si="69">J81/V$33</f>
        <v>0.23228539152498107</v>
      </c>
      <c r="W81" s="6">
        <f t="shared" ref="W81:W95" si="70">K81/W$33</f>
        <v>0.3539535401069519</v>
      </c>
      <c r="X81" s="6">
        <f t="shared" ref="X81:X95" si="71">L81/X$33</f>
        <v>0.30590092201039865</v>
      </c>
    </row>
    <row r="82" spans="4:24">
      <c r="D82">
        <f t="shared" ref="D82:H82" si="72">D14</f>
        <v>80</v>
      </c>
      <c r="E82" s="5" t="str">
        <f t="shared" si="72"/>
        <v>比利</v>
      </c>
      <c r="F82" s="5">
        <f t="shared" si="72"/>
        <v>1</v>
      </c>
      <c r="G82" s="5">
        <f t="shared" si="72"/>
        <v>1</v>
      </c>
      <c r="H82" s="5">
        <f t="shared" si="72"/>
        <v>80</v>
      </c>
      <c r="I82" s="5">
        <f t="shared" si="65"/>
        <v>8.8888888888888882E-4</v>
      </c>
      <c r="J82" s="8">
        <f>VLOOKUP($H82,[1]!总属性参考数组,J$10,FALSE)*VLOOKUP($F$8,[1]!属性权重数组,J$10,FALSE)*$I82/$F$7</f>
        <v>34.842808728747158</v>
      </c>
      <c r="K82" s="8">
        <f>VLOOKUP($H82,[1]!总属性参考数组,K$10,FALSE)*VLOOKUP($F$8,[1]!属性权重数组,K$10,FALSE)*$I82/$F$7</f>
        <v>1.7697677005347596</v>
      </c>
      <c r="L82" s="8">
        <f>VLOOKUP($H82,[1]!总属性参考数组,L$10,FALSE)*VLOOKUP($F$8,[1]!属性权重数组,L$10,FALSE)*$I82/$F$7</f>
        <v>0.76475230502599667</v>
      </c>
      <c r="M82" s="8">
        <f>VLOOKUP($H82,[1]!总属性参考数组,M$10,FALSE)*VLOOKUP($F$8,[1]!属性权重数组,M$10,FALSE)*$I82/$F$7</f>
        <v>0</v>
      </c>
      <c r="N82" s="8">
        <f>VLOOKUP($H82,[1]!总属性参考数组,N$10,FALSE)*VLOOKUP($F$8,[1]!属性权重数组,N$10,FALSE)*$I82/$F$7</f>
        <v>0</v>
      </c>
      <c r="O82" s="8">
        <f>VLOOKUP($H82,[1]!总属性参考数组,O$10,FALSE)*VLOOKUP($F$8,[1]!属性权重数组,O$10,FALSE)*$I82/$F$7</f>
        <v>0</v>
      </c>
      <c r="P82" s="8">
        <f>VLOOKUP($H82,[1]!总属性参考数组,P$10,FALSE)*VLOOKUP($F$8,[1]!属性权重数组,P$10,FALSE)*$I82/$F$7</f>
        <v>0</v>
      </c>
      <c r="Q82" s="8">
        <f>VLOOKUP($H82,[1]!总属性参考数组,Q$10,FALSE)*VLOOKUP($F$8,[1]!属性权重数组,Q$10,FALSE)*$I82/$F$7</f>
        <v>0</v>
      </c>
      <c r="R82" s="8">
        <f>VLOOKUP($H82,[1]!总属性参考数组,R$10,FALSE)*VLOOKUP($F$8,[1]!属性权重数组,R$10,FALSE)*$I82/$F$7</f>
        <v>0</v>
      </c>
      <c r="S82" s="8">
        <f>VLOOKUP($H82,[1]!总属性参考数组,S$10,FALSE)*VLOOKUP($F$8,[1]!属性权重数组,S$10,FALSE)*$I82/$F$7</f>
        <v>0</v>
      </c>
      <c r="T82">
        <f t="shared" si="68"/>
        <v>3.9282323547106426</v>
      </c>
      <c r="V82" s="6">
        <f t="shared" si="69"/>
        <v>0.23228539152498107</v>
      </c>
      <c r="W82" s="6">
        <f t="shared" si="70"/>
        <v>0.3539535401069519</v>
      </c>
      <c r="X82" s="6">
        <f t="shared" si="71"/>
        <v>0.30590092201039865</v>
      </c>
    </row>
    <row r="83" spans="4:24">
      <c r="D83">
        <f t="shared" ref="D83:H84" si="73">D15</f>
        <v>80</v>
      </c>
      <c r="E83" s="5" t="str">
        <f t="shared" si="73"/>
        <v>黎九</v>
      </c>
      <c r="F83" s="5">
        <f t="shared" si="73"/>
        <v>1</v>
      </c>
      <c r="G83" s="5">
        <f t="shared" si="73"/>
        <v>1</v>
      </c>
      <c r="H83" s="5">
        <f t="shared" si="73"/>
        <v>80</v>
      </c>
      <c r="I83" s="5">
        <f t="shared" si="65"/>
        <v>8.8888888888888882E-4</v>
      </c>
      <c r="J83" s="8">
        <f>VLOOKUP($H83,[1]!总属性参考数组,J$10,FALSE)*VLOOKUP($F$8,[1]!属性权重数组,J$10,FALSE)*$I83/$F$7</f>
        <v>34.842808728747158</v>
      </c>
      <c r="K83" s="8">
        <f>VLOOKUP($H83,[1]!总属性参考数组,K$10,FALSE)*VLOOKUP($F$8,[1]!属性权重数组,K$10,FALSE)*$I83/$F$7</f>
        <v>1.7697677005347596</v>
      </c>
      <c r="L83" s="8">
        <f>VLOOKUP($H83,[1]!总属性参考数组,L$10,FALSE)*VLOOKUP($F$8,[1]!属性权重数组,L$10,FALSE)*$I83/$F$7</f>
        <v>0.76475230502599667</v>
      </c>
      <c r="M83" s="8">
        <f>VLOOKUP($H83,[1]!总属性参考数组,M$10,FALSE)*VLOOKUP($F$8,[1]!属性权重数组,M$10,FALSE)*$I83/$F$7</f>
        <v>0</v>
      </c>
      <c r="N83" s="8">
        <f>VLOOKUP($H83,[1]!总属性参考数组,N$10,FALSE)*VLOOKUP($F$8,[1]!属性权重数组,N$10,FALSE)*$I83/$F$7</f>
        <v>0</v>
      </c>
      <c r="O83" s="8">
        <f>VLOOKUP($H83,[1]!总属性参考数组,O$10,FALSE)*VLOOKUP($F$8,[1]!属性权重数组,O$10,FALSE)*$I83/$F$7</f>
        <v>0</v>
      </c>
      <c r="P83" s="8">
        <f>VLOOKUP($H83,[1]!总属性参考数组,P$10,FALSE)*VLOOKUP($F$8,[1]!属性权重数组,P$10,FALSE)*$I83/$F$7</f>
        <v>0</v>
      </c>
      <c r="Q83" s="8">
        <f>VLOOKUP($H83,[1]!总属性参考数组,Q$10,FALSE)*VLOOKUP($F$8,[1]!属性权重数组,Q$10,FALSE)*$I83/$F$7</f>
        <v>0</v>
      </c>
      <c r="R83" s="8">
        <f>VLOOKUP($H83,[1]!总属性参考数组,R$10,FALSE)*VLOOKUP($F$8,[1]!属性权重数组,R$10,FALSE)*$I83/$F$7</f>
        <v>0</v>
      </c>
      <c r="S83" s="8">
        <f>VLOOKUP($H83,[1]!总属性参考数组,S$10,FALSE)*VLOOKUP($F$8,[1]!属性权重数组,S$10,FALSE)*$I83/$F$7</f>
        <v>0</v>
      </c>
      <c r="T83">
        <f t="shared" si="68"/>
        <v>3.9282323547106426</v>
      </c>
      <c r="V83" s="6">
        <f t="shared" si="69"/>
        <v>0.23228539152498107</v>
      </c>
      <c r="W83" s="6">
        <f t="shared" si="70"/>
        <v>0.3539535401069519</v>
      </c>
      <c r="X83" s="6">
        <f t="shared" si="71"/>
        <v>0.30590092201039865</v>
      </c>
    </row>
    <row r="84" spans="4:24">
      <c r="D84">
        <f t="shared" si="73"/>
        <v>80</v>
      </c>
      <c r="E84" s="5" t="str">
        <f t="shared" si="73"/>
        <v>黑古</v>
      </c>
      <c r="F84" s="5">
        <f t="shared" si="73"/>
        <v>1</v>
      </c>
      <c r="G84" s="5">
        <f t="shared" si="73"/>
        <v>1</v>
      </c>
      <c r="H84" s="5">
        <f t="shared" si="73"/>
        <v>80</v>
      </c>
      <c r="I84" s="5">
        <f t="shared" si="65"/>
        <v>8.8888888888888882E-4</v>
      </c>
      <c r="J84" s="8">
        <f>VLOOKUP($H84,[1]!总属性参考数组,J$10,FALSE)*VLOOKUP($F$8,[1]!属性权重数组,J$10,FALSE)*$I84/$F$7</f>
        <v>34.842808728747158</v>
      </c>
      <c r="K84" s="8">
        <f>VLOOKUP($H84,[1]!总属性参考数组,K$10,FALSE)*VLOOKUP($F$8,[1]!属性权重数组,K$10,FALSE)*$I84/$F$7</f>
        <v>1.7697677005347596</v>
      </c>
      <c r="L84" s="8">
        <f>VLOOKUP($H84,[1]!总属性参考数组,L$10,FALSE)*VLOOKUP($F$8,[1]!属性权重数组,L$10,FALSE)*$I84/$F$7</f>
        <v>0.76475230502599667</v>
      </c>
      <c r="M84" s="8">
        <f>VLOOKUP($H84,[1]!总属性参考数组,M$10,FALSE)*VLOOKUP($F$8,[1]!属性权重数组,M$10,FALSE)*$I84/$F$7</f>
        <v>0</v>
      </c>
      <c r="N84" s="8">
        <f>VLOOKUP($H84,[1]!总属性参考数组,N$10,FALSE)*VLOOKUP($F$8,[1]!属性权重数组,N$10,FALSE)*$I84/$F$7</f>
        <v>0</v>
      </c>
      <c r="O84" s="8">
        <f>VLOOKUP($H84,[1]!总属性参考数组,O$10,FALSE)*VLOOKUP($F$8,[1]!属性权重数组,O$10,FALSE)*$I84/$F$7</f>
        <v>0</v>
      </c>
      <c r="P84" s="8">
        <f>VLOOKUP($H84,[1]!总属性参考数组,P$10,FALSE)*VLOOKUP($F$8,[1]!属性权重数组,P$10,FALSE)*$I84/$F$7</f>
        <v>0</v>
      </c>
      <c r="Q84" s="8">
        <f>VLOOKUP($H84,[1]!总属性参考数组,Q$10,FALSE)*VLOOKUP($F$8,[1]!属性权重数组,Q$10,FALSE)*$I84/$F$7</f>
        <v>0</v>
      </c>
      <c r="R84" s="8">
        <f>VLOOKUP($H84,[1]!总属性参考数组,R$10,FALSE)*VLOOKUP($F$8,[1]!属性权重数组,R$10,FALSE)*$I84/$F$7</f>
        <v>0</v>
      </c>
      <c r="S84" s="8">
        <f>VLOOKUP($H84,[1]!总属性参考数组,S$10,FALSE)*VLOOKUP($F$8,[1]!属性权重数组,S$10,FALSE)*$I84/$F$7</f>
        <v>0</v>
      </c>
      <c r="T84">
        <f t="shared" si="68"/>
        <v>3.9282323547106426</v>
      </c>
      <c r="V84" s="6">
        <f t="shared" si="69"/>
        <v>0.23228539152498107</v>
      </c>
      <c r="W84" s="6">
        <f t="shared" si="70"/>
        <v>0.3539535401069519</v>
      </c>
      <c r="X84" s="6">
        <f t="shared" si="71"/>
        <v>0.30590092201039865</v>
      </c>
    </row>
    <row r="85" spans="4:24">
      <c r="D85">
        <f t="shared" ref="D85:H85" si="74">D17</f>
        <v>80</v>
      </c>
      <c r="E85" s="5" t="str">
        <f t="shared" si="74"/>
        <v>靓坤</v>
      </c>
      <c r="F85" s="5">
        <f t="shared" si="74"/>
        <v>1</v>
      </c>
      <c r="G85" s="5">
        <f t="shared" si="74"/>
        <v>2</v>
      </c>
      <c r="H85" s="5">
        <f t="shared" si="74"/>
        <v>80</v>
      </c>
      <c r="I85" s="5">
        <f t="shared" si="65"/>
        <v>1.7777777777777776E-3</v>
      </c>
      <c r="J85" s="8">
        <f>VLOOKUP($H85,[1]!总属性参考数组,J$10,FALSE)*VLOOKUP($F$8,[1]!属性权重数组,J$10,FALSE)*$I85/$F$7</f>
        <v>69.685617457494317</v>
      </c>
      <c r="K85" s="8">
        <f>VLOOKUP($H85,[1]!总属性参考数组,K$10,FALSE)*VLOOKUP($F$8,[1]!属性权重数组,K$10,FALSE)*$I85/$F$7</f>
        <v>3.5395354010695192</v>
      </c>
      <c r="L85" s="8">
        <f>VLOOKUP($H85,[1]!总属性参考数组,L$10,FALSE)*VLOOKUP($F$8,[1]!属性权重数组,L$10,FALSE)*$I85/$F$7</f>
        <v>1.5295046100519933</v>
      </c>
      <c r="M85" s="8">
        <f>VLOOKUP($H85,[1]!总属性参考数组,M$10,FALSE)*VLOOKUP($F$8,[1]!属性权重数组,M$10,FALSE)*$I85/$F$7</f>
        <v>0</v>
      </c>
      <c r="N85" s="8">
        <f>VLOOKUP($H85,[1]!总属性参考数组,N$10,FALSE)*VLOOKUP($F$8,[1]!属性权重数组,N$10,FALSE)*$I85/$F$7</f>
        <v>0</v>
      </c>
      <c r="O85" s="8">
        <f>VLOOKUP($H85,[1]!总属性参考数组,O$10,FALSE)*VLOOKUP($F$8,[1]!属性权重数组,O$10,FALSE)*$I85/$F$7</f>
        <v>0</v>
      </c>
      <c r="P85" s="8">
        <f>VLOOKUP($H85,[1]!总属性参考数组,P$10,FALSE)*VLOOKUP($F$8,[1]!属性权重数组,P$10,FALSE)*$I85/$F$7</f>
        <v>0</v>
      </c>
      <c r="Q85" s="8">
        <f>VLOOKUP($H85,[1]!总属性参考数组,Q$10,FALSE)*VLOOKUP($F$8,[1]!属性权重数组,Q$10,FALSE)*$I85/$F$7</f>
        <v>0</v>
      </c>
      <c r="R85" s="8">
        <f>VLOOKUP($H85,[1]!总属性参考数组,R$10,FALSE)*VLOOKUP($F$8,[1]!属性权重数组,R$10,FALSE)*$I85/$F$7</f>
        <v>0</v>
      </c>
      <c r="S85" s="8">
        <f>VLOOKUP($H85,[1]!总属性参考数组,S$10,FALSE)*VLOOKUP($F$8,[1]!属性权重数组,S$10,FALSE)*$I85/$F$7</f>
        <v>0</v>
      </c>
      <c r="T85">
        <f t="shared" si="68"/>
        <v>7.8564647094212852</v>
      </c>
      <c r="V85" s="6">
        <f t="shared" si="69"/>
        <v>0.46457078304996213</v>
      </c>
      <c r="W85" s="6">
        <f t="shared" si="70"/>
        <v>0.70790708021390381</v>
      </c>
      <c r="X85" s="6">
        <f t="shared" si="71"/>
        <v>0.61180184402079729</v>
      </c>
    </row>
    <row r="86" spans="4:24">
      <c r="D86">
        <f t="shared" ref="D86:H86" si="75">D18</f>
        <v>80</v>
      </c>
      <c r="E86" s="5" t="str">
        <f t="shared" si="75"/>
        <v>雷复轰</v>
      </c>
      <c r="F86" s="5">
        <f t="shared" si="75"/>
        <v>1</v>
      </c>
      <c r="G86" s="5">
        <f t="shared" si="75"/>
        <v>2</v>
      </c>
      <c r="H86" s="5">
        <f t="shared" si="75"/>
        <v>80</v>
      </c>
      <c r="I86" s="5">
        <f t="shared" si="65"/>
        <v>1.7777777777777776E-3</v>
      </c>
      <c r="J86" s="8">
        <f>VLOOKUP($H86,[1]!总属性参考数组,J$10,FALSE)*VLOOKUP($F$8,[1]!属性权重数组,J$10,FALSE)*$I86/$F$7</f>
        <v>69.685617457494317</v>
      </c>
      <c r="K86" s="8">
        <f>VLOOKUP($H86,[1]!总属性参考数组,K$10,FALSE)*VLOOKUP($F$8,[1]!属性权重数组,K$10,FALSE)*$I86/$F$7</f>
        <v>3.5395354010695192</v>
      </c>
      <c r="L86" s="8">
        <f>VLOOKUP($H86,[1]!总属性参考数组,L$10,FALSE)*VLOOKUP($F$8,[1]!属性权重数组,L$10,FALSE)*$I86/$F$7</f>
        <v>1.5295046100519933</v>
      </c>
      <c r="M86" s="8">
        <f>VLOOKUP($H86,[1]!总属性参考数组,M$10,FALSE)*VLOOKUP($F$8,[1]!属性权重数组,M$10,FALSE)*$I86/$F$7</f>
        <v>0</v>
      </c>
      <c r="N86" s="8">
        <f>VLOOKUP($H86,[1]!总属性参考数组,N$10,FALSE)*VLOOKUP($F$8,[1]!属性权重数组,N$10,FALSE)*$I86/$F$7</f>
        <v>0</v>
      </c>
      <c r="O86" s="8">
        <f>VLOOKUP($H86,[1]!总属性参考数组,O$10,FALSE)*VLOOKUP($F$8,[1]!属性权重数组,O$10,FALSE)*$I86/$F$7</f>
        <v>0</v>
      </c>
      <c r="P86" s="8">
        <f>VLOOKUP($H86,[1]!总属性参考数组,P$10,FALSE)*VLOOKUP($F$8,[1]!属性权重数组,P$10,FALSE)*$I86/$F$7</f>
        <v>0</v>
      </c>
      <c r="Q86" s="8">
        <f>VLOOKUP($H86,[1]!总属性参考数组,Q$10,FALSE)*VLOOKUP($F$8,[1]!属性权重数组,Q$10,FALSE)*$I86/$F$7</f>
        <v>0</v>
      </c>
      <c r="R86" s="8">
        <f>VLOOKUP($H86,[1]!总属性参考数组,R$10,FALSE)*VLOOKUP($F$8,[1]!属性权重数组,R$10,FALSE)*$I86/$F$7</f>
        <v>0</v>
      </c>
      <c r="S86" s="8">
        <f>VLOOKUP($H86,[1]!总属性参考数组,S$10,FALSE)*VLOOKUP($F$8,[1]!属性权重数组,S$10,FALSE)*$I86/$F$7</f>
        <v>0</v>
      </c>
      <c r="T86">
        <f t="shared" si="68"/>
        <v>7.8564647094212852</v>
      </c>
      <c r="V86" s="6">
        <f t="shared" si="69"/>
        <v>0.46457078304996213</v>
      </c>
      <c r="W86" s="6">
        <f t="shared" si="70"/>
        <v>0.70790708021390381</v>
      </c>
      <c r="X86" s="6">
        <f t="shared" si="71"/>
        <v>0.61180184402079729</v>
      </c>
    </row>
    <row r="87" spans="4:24">
      <c r="D87">
        <f t="shared" ref="D87:H87" si="76">D19</f>
        <v>80</v>
      </c>
      <c r="E87" s="5" t="str">
        <f t="shared" si="76"/>
        <v>肥仔</v>
      </c>
      <c r="F87" s="5">
        <f t="shared" si="76"/>
        <v>1</v>
      </c>
      <c r="G87" s="5">
        <f t="shared" si="76"/>
        <v>2</v>
      </c>
      <c r="H87" s="5">
        <f t="shared" si="76"/>
        <v>80</v>
      </c>
      <c r="I87" s="5">
        <f t="shared" si="65"/>
        <v>1.7777777777777776E-3</v>
      </c>
      <c r="J87" s="8">
        <f>VLOOKUP($H87,[1]!总属性参考数组,J$10,FALSE)*VLOOKUP($F$8,[1]!属性权重数组,J$10,FALSE)*$I87/$F$7</f>
        <v>69.685617457494317</v>
      </c>
      <c r="K87" s="8">
        <f>VLOOKUP($H87,[1]!总属性参考数组,K$10,FALSE)*VLOOKUP($F$8,[1]!属性权重数组,K$10,FALSE)*$I87/$F$7</f>
        <v>3.5395354010695192</v>
      </c>
      <c r="L87" s="8">
        <f>VLOOKUP($H87,[1]!总属性参考数组,L$10,FALSE)*VLOOKUP($F$8,[1]!属性权重数组,L$10,FALSE)*$I87/$F$7</f>
        <v>1.5295046100519933</v>
      </c>
      <c r="M87" s="8">
        <f>VLOOKUP($H87,[1]!总属性参考数组,M$10,FALSE)*VLOOKUP($F$8,[1]!属性权重数组,M$10,FALSE)*$I87/$F$7</f>
        <v>0</v>
      </c>
      <c r="N87" s="8">
        <f>VLOOKUP($H87,[1]!总属性参考数组,N$10,FALSE)*VLOOKUP($F$8,[1]!属性权重数组,N$10,FALSE)*$I87/$F$7</f>
        <v>0</v>
      </c>
      <c r="O87" s="8">
        <f>VLOOKUP($H87,[1]!总属性参考数组,O$10,FALSE)*VLOOKUP($F$8,[1]!属性权重数组,O$10,FALSE)*$I87/$F$7</f>
        <v>0</v>
      </c>
      <c r="P87" s="8">
        <f>VLOOKUP($H87,[1]!总属性参考数组,P$10,FALSE)*VLOOKUP($F$8,[1]!属性权重数组,P$10,FALSE)*$I87/$F$7</f>
        <v>0</v>
      </c>
      <c r="Q87" s="8">
        <f>VLOOKUP($H87,[1]!总属性参考数组,Q$10,FALSE)*VLOOKUP($F$8,[1]!属性权重数组,Q$10,FALSE)*$I87/$F$7</f>
        <v>0</v>
      </c>
      <c r="R87" s="8">
        <f>VLOOKUP($H87,[1]!总属性参考数组,R$10,FALSE)*VLOOKUP($F$8,[1]!属性权重数组,R$10,FALSE)*$I87/$F$7</f>
        <v>0</v>
      </c>
      <c r="S87" s="8">
        <f>VLOOKUP($H87,[1]!总属性参考数组,S$10,FALSE)*VLOOKUP($F$8,[1]!属性权重数组,S$10,FALSE)*$I87/$F$7</f>
        <v>0</v>
      </c>
      <c r="T87">
        <f t="shared" si="68"/>
        <v>7.8564647094212852</v>
      </c>
      <c r="V87" s="6">
        <f t="shared" si="69"/>
        <v>0.46457078304996213</v>
      </c>
      <c r="W87" s="6">
        <f t="shared" si="70"/>
        <v>0.70790708021390381</v>
      </c>
      <c r="X87" s="6">
        <f t="shared" si="71"/>
        <v>0.61180184402079729</v>
      </c>
    </row>
    <row r="88" spans="4:24">
      <c r="D88">
        <f t="shared" ref="D88:H88" si="77">D20</f>
        <v>80</v>
      </c>
      <c r="E88" s="5" t="str">
        <f t="shared" si="77"/>
        <v>司徒浩南</v>
      </c>
      <c r="F88" s="5">
        <f t="shared" si="77"/>
        <v>1</v>
      </c>
      <c r="G88" s="5">
        <f t="shared" si="77"/>
        <v>3</v>
      </c>
      <c r="H88" s="5">
        <f t="shared" si="77"/>
        <v>80</v>
      </c>
      <c r="I88" s="5">
        <f t="shared" si="65"/>
        <v>3.5555555555555553E-3</v>
      </c>
      <c r="J88" s="8">
        <f>VLOOKUP($H88,[1]!总属性参考数组,J$10,FALSE)*VLOOKUP($F$8,[1]!属性权重数组,J$10,FALSE)*$I88/$F$7</f>
        <v>139.37123491498863</v>
      </c>
      <c r="K88" s="8">
        <f>VLOOKUP($H88,[1]!总属性参考数组,K$10,FALSE)*VLOOKUP($F$8,[1]!属性权重数组,K$10,FALSE)*$I88/$F$7</f>
        <v>7.0790708021390385</v>
      </c>
      <c r="L88" s="8">
        <f>VLOOKUP($H88,[1]!总属性参考数组,L$10,FALSE)*VLOOKUP($F$8,[1]!属性权重数组,L$10,FALSE)*$I88/$F$7</f>
        <v>3.0590092201039867</v>
      </c>
      <c r="M88" s="8">
        <f>VLOOKUP($H88,[1]!总属性参考数组,M$10,FALSE)*VLOOKUP($F$8,[1]!属性权重数组,M$10,FALSE)*$I88/$F$7</f>
        <v>0</v>
      </c>
      <c r="N88" s="8">
        <f>VLOOKUP($H88,[1]!总属性参考数组,N$10,FALSE)*VLOOKUP($F$8,[1]!属性权重数组,N$10,FALSE)*$I88/$F$7</f>
        <v>0</v>
      </c>
      <c r="O88" s="8">
        <f>VLOOKUP($H88,[1]!总属性参考数组,O$10,FALSE)*VLOOKUP($F$8,[1]!属性权重数组,O$10,FALSE)*$I88/$F$7</f>
        <v>0</v>
      </c>
      <c r="P88" s="8">
        <f>VLOOKUP($H88,[1]!总属性参考数组,P$10,FALSE)*VLOOKUP($F$8,[1]!属性权重数组,P$10,FALSE)*$I88/$F$7</f>
        <v>0</v>
      </c>
      <c r="Q88" s="8">
        <f>VLOOKUP($H88,[1]!总属性参考数组,Q$10,FALSE)*VLOOKUP($F$8,[1]!属性权重数组,Q$10,FALSE)*$I88/$F$7</f>
        <v>0</v>
      </c>
      <c r="R88" s="8">
        <f>VLOOKUP($H88,[1]!总属性参考数组,R$10,FALSE)*VLOOKUP($F$8,[1]!属性权重数组,R$10,FALSE)*$I88/$F$7</f>
        <v>0</v>
      </c>
      <c r="S88" s="8">
        <f>VLOOKUP($H88,[1]!总属性参考数组,S$10,FALSE)*VLOOKUP($F$8,[1]!属性权重数组,S$10,FALSE)*$I88/$F$7</f>
        <v>0</v>
      </c>
      <c r="T88">
        <f t="shared" si="68"/>
        <v>15.71292941884257</v>
      </c>
      <c r="V88" s="6">
        <f t="shared" si="69"/>
        <v>0.92914156609992427</v>
      </c>
      <c r="W88" s="6">
        <f t="shared" si="70"/>
        <v>1.4158141604278076</v>
      </c>
      <c r="X88" s="6">
        <f t="shared" si="71"/>
        <v>1.2236036880415946</v>
      </c>
    </row>
    <row r="89" spans="4:24">
      <c r="D89">
        <f t="shared" ref="D89:H89" si="78">D21</f>
        <v>80</v>
      </c>
      <c r="E89" s="5" t="str">
        <f t="shared" si="78"/>
        <v>乌鸦</v>
      </c>
      <c r="F89" s="5">
        <f t="shared" si="78"/>
        <v>1</v>
      </c>
      <c r="G89" s="5">
        <f t="shared" si="78"/>
        <v>3</v>
      </c>
      <c r="H89" s="5">
        <f t="shared" si="78"/>
        <v>80</v>
      </c>
      <c r="I89" s="5">
        <f t="shared" si="65"/>
        <v>3.5555555555555553E-3</v>
      </c>
      <c r="J89" s="8">
        <f>VLOOKUP($H89,[1]!总属性参考数组,J$10,FALSE)*VLOOKUP($F$8,[1]!属性权重数组,J$10,FALSE)*$I89/$F$7</f>
        <v>139.37123491498863</v>
      </c>
      <c r="K89" s="8">
        <f>VLOOKUP($H89,[1]!总属性参考数组,K$10,FALSE)*VLOOKUP($F$8,[1]!属性权重数组,K$10,FALSE)*$I89/$F$7</f>
        <v>7.0790708021390385</v>
      </c>
      <c r="L89" s="8">
        <f>VLOOKUP($H89,[1]!总属性参考数组,L$10,FALSE)*VLOOKUP($F$8,[1]!属性权重数组,L$10,FALSE)*$I89/$F$7</f>
        <v>3.0590092201039867</v>
      </c>
      <c r="M89" s="8">
        <f>VLOOKUP($H89,[1]!总属性参考数组,M$10,FALSE)*VLOOKUP($F$8,[1]!属性权重数组,M$10,FALSE)*$I89/$F$7</f>
        <v>0</v>
      </c>
      <c r="N89" s="8">
        <f>VLOOKUP($H89,[1]!总属性参考数组,N$10,FALSE)*VLOOKUP($F$8,[1]!属性权重数组,N$10,FALSE)*$I89/$F$7</f>
        <v>0</v>
      </c>
      <c r="O89" s="8">
        <f>VLOOKUP($H89,[1]!总属性参考数组,O$10,FALSE)*VLOOKUP($F$8,[1]!属性权重数组,O$10,FALSE)*$I89/$F$7</f>
        <v>0</v>
      </c>
      <c r="P89" s="8">
        <f>VLOOKUP($H89,[1]!总属性参考数组,P$10,FALSE)*VLOOKUP($F$8,[1]!属性权重数组,P$10,FALSE)*$I89/$F$7</f>
        <v>0</v>
      </c>
      <c r="Q89" s="8">
        <f>VLOOKUP($H89,[1]!总属性参考数组,Q$10,FALSE)*VLOOKUP($F$8,[1]!属性权重数组,Q$10,FALSE)*$I89/$F$7</f>
        <v>0</v>
      </c>
      <c r="R89" s="8">
        <f>VLOOKUP($H89,[1]!总属性参考数组,R$10,FALSE)*VLOOKUP($F$8,[1]!属性权重数组,R$10,FALSE)*$I89/$F$7</f>
        <v>0</v>
      </c>
      <c r="S89" s="8">
        <f>VLOOKUP($H89,[1]!总属性参考数组,S$10,FALSE)*VLOOKUP($F$8,[1]!属性权重数组,S$10,FALSE)*$I89/$F$7</f>
        <v>0</v>
      </c>
      <c r="T89">
        <f t="shared" si="68"/>
        <v>15.71292941884257</v>
      </c>
      <c r="V89" s="6">
        <f t="shared" si="69"/>
        <v>0.92914156609992427</v>
      </c>
      <c r="W89" s="6">
        <f t="shared" si="70"/>
        <v>1.4158141604278076</v>
      </c>
      <c r="X89" s="6">
        <f t="shared" si="71"/>
        <v>1.2236036880415946</v>
      </c>
    </row>
    <row r="90" spans="4:24">
      <c r="D90">
        <f t="shared" ref="D90:H90" si="79">D22</f>
        <v>80</v>
      </c>
      <c r="E90" s="5" t="str">
        <f t="shared" si="79"/>
        <v>赌王</v>
      </c>
      <c r="F90" s="5">
        <f t="shared" si="79"/>
        <v>1</v>
      </c>
      <c r="G90" s="5">
        <f t="shared" si="79"/>
        <v>3</v>
      </c>
      <c r="H90" s="5">
        <f t="shared" si="79"/>
        <v>80</v>
      </c>
      <c r="I90" s="5">
        <f t="shared" si="65"/>
        <v>3.5555555555555553E-3</v>
      </c>
      <c r="J90" s="8">
        <f>VLOOKUP($H90,[1]!总属性参考数组,J$10,FALSE)*VLOOKUP($F$8,[1]!属性权重数组,J$10,FALSE)*$I90/$F$7</f>
        <v>139.37123491498863</v>
      </c>
      <c r="K90" s="8">
        <f>VLOOKUP($H90,[1]!总属性参考数组,K$10,FALSE)*VLOOKUP($F$8,[1]!属性权重数组,K$10,FALSE)*$I90/$F$7</f>
        <v>7.0790708021390385</v>
      </c>
      <c r="L90" s="8">
        <f>VLOOKUP($H90,[1]!总属性参考数组,L$10,FALSE)*VLOOKUP($F$8,[1]!属性权重数组,L$10,FALSE)*$I90/$F$7</f>
        <v>3.0590092201039867</v>
      </c>
      <c r="M90" s="8">
        <f>VLOOKUP($H90,[1]!总属性参考数组,M$10,FALSE)*VLOOKUP($F$8,[1]!属性权重数组,M$10,FALSE)*$I90/$F$7</f>
        <v>0</v>
      </c>
      <c r="N90" s="8">
        <f>VLOOKUP($H90,[1]!总属性参考数组,N$10,FALSE)*VLOOKUP($F$8,[1]!属性权重数组,N$10,FALSE)*$I90/$F$7</f>
        <v>0</v>
      </c>
      <c r="O90" s="8">
        <f>VLOOKUP($H90,[1]!总属性参考数组,O$10,FALSE)*VLOOKUP($F$8,[1]!属性权重数组,O$10,FALSE)*$I90/$F$7</f>
        <v>0</v>
      </c>
      <c r="P90" s="8">
        <f>VLOOKUP($H90,[1]!总属性参考数组,P$10,FALSE)*VLOOKUP($F$8,[1]!属性权重数组,P$10,FALSE)*$I90/$F$7</f>
        <v>0</v>
      </c>
      <c r="Q90" s="8">
        <f>VLOOKUP($H90,[1]!总属性参考数组,Q$10,FALSE)*VLOOKUP($F$8,[1]!属性权重数组,Q$10,FALSE)*$I90/$F$7</f>
        <v>0</v>
      </c>
      <c r="R90" s="8">
        <f>VLOOKUP($H90,[1]!总属性参考数组,R$10,FALSE)*VLOOKUP($F$8,[1]!属性权重数组,R$10,FALSE)*$I90/$F$7</f>
        <v>0</v>
      </c>
      <c r="S90" s="8">
        <f>VLOOKUP($H90,[1]!总属性参考数组,S$10,FALSE)*VLOOKUP($F$8,[1]!属性权重数组,S$10,FALSE)*$I90/$F$7</f>
        <v>0</v>
      </c>
      <c r="T90">
        <f t="shared" si="68"/>
        <v>15.71292941884257</v>
      </c>
      <c r="V90" s="6">
        <f t="shared" si="69"/>
        <v>0.92914156609992427</v>
      </c>
      <c r="W90" s="6">
        <f t="shared" si="70"/>
        <v>1.4158141604278076</v>
      </c>
      <c r="X90" s="6">
        <f t="shared" si="71"/>
        <v>1.2236036880415946</v>
      </c>
    </row>
    <row r="91" spans="4:24">
      <c r="D91">
        <f t="shared" ref="D91:H91" si="80">D23</f>
        <v>80</v>
      </c>
      <c r="E91" s="5" t="str">
        <f t="shared" si="80"/>
        <v>山下忠秀</v>
      </c>
      <c r="F91" s="5">
        <f t="shared" si="80"/>
        <v>1</v>
      </c>
      <c r="G91" s="5">
        <f t="shared" si="80"/>
        <v>3</v>
      </c>
      <c r="H91" s="5">
        <f t="shared" si="80"/>
        <v>80</v>
      </c>
      <c r="I91" s="5">
        <f t="shared" si="65"/>
        <v>3.5555555555555553E-3</v>
      </c>
      <c r="J91" s="8">
        <f>VLOOKUP($H91,[1]!总属性参考数组,J$10,FALSE)*VLOOKUP($F$8,[1]!属性权重数组,J$10,FALSE)*$I91/$F$7</f>
        <v>139.37123491498863</v>
      </c>
      <c r="K91" s="8">
        <f>VLOOKUP($H91,[1]!总属性参考数组,K$10,FALSE)*VLOOKUP($F$8,[1]!属性权重数组,K$10,FALSE)*$I91/$F$7</f>
        <v>7.0790708021390385</v>
      </c>
      <c r="L91" s="8">
        <f>VLOOKUP($H91,[1]!总属性参考数组,L$10,FALSE)*VLOOKUP($F$8,[1]!属性权重数组,L$10,FALSE)*$I91/$F$7</f>
        <v>3.0590092201039867</v>
      </c>
      <c r="M91" s="8">
        <f>VLOOKUP($H91,[1]!总属性参考数组,M$10,FALSE)*VLOOKUP($F$8,[1]!属性权重数组,M$10,FALSE)*$I91/$F$7</f>
        <v>0</v>
      </c>
      <c r="N91" s="8">
        <f>VLOOKUP($H91,[1]!总属性参考数组,N$10,FALSE)*VLOOKUP($F$8,[1]!属性权重数组,N$10,FALSE)*$I91/$F$7</f>
        <v>0</v>
      </c>
      <c r="O91" s="8">
        <f>VLOOKUP($H91,[1]!总属性参考数组,O$10,FALSE)*VLOOKUP($F$8,[1]!属性权重数组,O$10,FALSE)*$I91/$F$7</f>
        <v>0</v>
      </c>
      <c r="P91" s="8">
        <f>VLOOKUP($H91,[1]!总属性参考数组,P$10,FALSE)*VLOOKUP($F$8,[1]!属性权重数组,P$10,FALSE)*$I91/$F$7</f>
        <v>0</v>
      </c>
      <c r="Q91" s="8">
        <f>VLOOKUP($H91,[1]!总属性参考数组,Q$10,FALSE)*VLOOKUP($F$8,[1]!属性权重数组,Q$10,FALSE)*$I91/$F$7</f>
        <v>0</v>
      </c>
      <c r="R91" s="8">
        <f>VLOOKUP($H91,[1]!总属性参考数组,R$10,FALSE)*VLOOKUP($F$8,[1]!属性权重数组,R$10,FALSE)*$I91/$F$7</f>
        <v>0</v>
      </c>
      <c r="S91" s="8">
        <f>VLOOKUP($H91,[1]!总属性参考数组,S$10,FALSE)*VLOOKUP($F$8,[1]!属性权重数组,S$10,FALSE)*$I91/$F$7</f>
        <v>0</v>
      </c>
      <c r="T91">
        <f t="shared" si="68"/>
        <v>15.71292941884257</v>
      </c>
      <c r="V91" s="6">
        <f t="shared" si="69"/>
        <v>0.92914156609992427</v>
      </c>
      <c r="W91" s="6">
        <f t="shared" si="70"/>
        <v>1.4158141604278076</v>
      </c>
      <c r="X91" s="6">
        <f t="shared" si="71"/>
        <v>1.2236036880415946</v>
      </c>
    </row>
    <row r="92" spans="4:24">
      <c r="D92">
        <f t="shared" ref="D92:H92" si="81">D24</f>
        <v>80</v>
      </c>
      <c r="E92" s="5" t="str">
        <f t="shared" si="81"/>
        <v>宫本一</v>
      </c>
      <c r="F92" s="5">
        <f t="shared" si="81"/>
        <v>1</v>
      </c>
      <c r="G92" s="5">
        <f t="shared" si="81"/>
        <v>3</v>
      </c>
      <c r="H92" s="5">
        <f t="shared" si="81"/>
        <v>80</v>
      </c>
      <c r="I92" s="5">
        <f t="shared" si="65"/>
        <v>3.5555555555555553E-3</v>
      </c>
      <c r="J92" s="8">
        <f>VLOOKUP($H92,[1]!总属性参考数组,J$10,FALSE)*VLOOKUP($F$8,[1]!属性权重数组,J$10,FALSE)*$I92/$F$7</f>
        <v>139.37123491498863</v>
      </c>
      <c r="K92" s="8">
        <f>VLOOKUP($H92,[1]!总属性参考数组,K$10,FALSE)*VLOOKUP($F$8,[1]!属性权重数组,K$10,FALSE)*$I92/$F$7</f>
        <v>7.0790708021390385</v>
      </c>
      <c r="L92" s="8">
        <f>VLOOKUP($H92,[1]!总属性参考数组,L$10,FALSE)*VLOOKUP($F$8,[1]!属性权重数组,L$10,FALSE)*$I92/$F$7</f>
        <v>3.0590092201039867</v>
      </c>
      <c r="M92" s="8">
        <f>VLOOKUP($H92,[1]!总属性参考数组,M$10,FALSE)*VLOOKUP($F$8,[1]!属性权重数组,M$10,FALSE)*$I92/$F$7</f>
        <v>0</v>
      </c>
      <c r="N92" s="8">
        <f>VLOOKUP($H92,[1]!总属性参考数组,N$10,FALSE)*VLOOKUP($F$8,[1]!属性权重数组,N$10,FALSE)*$I92/$F$7</f>
        <v>0</v>
      </c>
      <c r="O92" s="8">
        <f>VLOOKUP($H92,[1]!总属性参考数组,O$10,FALSE)*VLOOKUP($F$8,[1]!属性权重数组,O$10,FALSE)*$I92/$F$7</f>
        <v>0</v>
      </c>
      <c r="P92" s="8">
        <f>VLOOKUP($H92,[1]!总属性参考数组,P$10,FALSE)*VLOOKUP($F$8,[1]!属性权重数组,P$10,FALSE)*$I92/$F$7</f>
        <v>0</v>
      </c>
      <c r="Q92" s="8">
        <f>VLOOKUP($H92,[1]!总属性参考数组,Q$10,FALSE)*VLOOKUP($F$8,[1]!属性权重数组,Q$10,FALSE)*$I92/$F$7</f>
        <v>0</v>
      </c>
      <c r="R92" s="8">
        <f>VLOOKUP($H92,[1]!总属性参考数组,R$10,FALSE)*VLOOKUP($F$8,[1]!属性权重数组,R$10,FALSE)*$I92/$F$7</f>
        <v>0</v>
      </c>
      <c r="S92" s="8">
        <f>VLOOKUP($H92,[1]!总属性参考数组,S$10,FALSE)*VLOOKUP($F$8,[1]!属性权重数组,S$10,FALSE)*$I92/$F$7</f>
        <v>0</v>
      </c>
      <c r="T92">
        <f t="shared" si="68"/>
        <v>15.71292941884257</v>
      </c>
      <c r="V92" s="6">
        <f t="shared" si="69"/>
        <v>0.92914156609992427</v>
      </c>
      <c r="W92" s="6">
        <f t="shared" si="70"/>
        <v>1.4158141604278076</v>
      </c>
      <c r="X92" s="6">
        <f t="shared" si="71"/>
        <v>1.2236036880415946</v>
      </c>
    </row>
    <row r="93" spans="4:24">
      <c r="D93">
        <f t="shared" ref="D93:H93" si="82">D25</f>
        <v>80</v>
      </c>
      <c r="E93" s="5" t="str">
        <f t="shared" si="82"/>
        <v>陈浩南</v>
      </c>
      <c r="F93" s="5">
        <f t="shared" si="82"/>
        <v>1</v>
      </c>
      <c r="G93" s="5">
        <f t="shared" si="82"/>
        <v>4</v>
      </c>
      <c r="H93" s="5">
        <f t="shared" si="82"/>
        <v>80</v>
      </c>
      <c r="I93" s="5">
        <f t="shared" si="65"/>
        <v>5.3333333333333332E-3</v>
      </c>
      <c r="J93" s="8">
        <f>VLOOKUP($H93,[1]!总属性参考数组,J$10,FALSE)*VLOOKUP($F$8,[1]!属性权重数组,J$10,FALSE)*$I93/$F$7</f>
        <v>209.05685237248295</v>
      </c>
      <c r="K93" s="8">
        <f>VLOOKUP($H93,[1]!总属性参考数组,K$10,FALSE)*VLOOKUP($F$8,[1]!属性权重数组,K$10,FALSE)*$I93/$F$7</f>
        <v>10.618606203208559</v>
      </c>
      <c r="L93" s="8">
        <f>VLOOKUP($H93,[1]!总属性参考数组,L$10,FALSE)*VLOOKUP($F$8,[1]!属性权重数组,L$10,FALSE)*$I93/$F$7</f>
        <v>4.5885138301559802</v>
      </c>
      <c r="M93" s="8">
        <f>VLOOKUP($H93,[1]!总属性参考数组,M$10,FALSE)*VLOOKUP($F$8,[1]!属性权重数组,M$10,FALSE)*$I93/$F$7</f>
        <v>0</v>
      </c>
      <c r="N93" s="8">
        <f>VLOOKUP($H93,[1]!总属性参考数组,N$10,FALSE)*VLOOKUP($F$8,[1]!属性权重数组,N$10,FALSE)*$I93/$F$7</f>
        <v>0</v>
      </c>
      <c r="O93" s="8">
        <f>VLOOKUP($H93,[1]!总属性参考数组,O$10,FALSE)*VLOOKUP($F$8,[1]!属性权重数组,O$10,FALSE)*$I93/$F$7</f>
        <v>0</v>
      </c>
      <c r="P93" s="8">
        <f>VLOOKUP($H93,[1]!总属性参考数组,P$10,FALSE)*VLOOKUP($F$8,[1]!属性权重数组,P$10,FALSE)*$I93/$F$7</f>
        <v>0</v>
      </c>
      <c r="Q93" s="8">
        <f>VLOOKUP($H93,[1]!总属性参考数组,Q$10,FALSE)*VLOOKUP($F$8,[1]!属性权重数组,Q$10,FALSE)*$I93/$F$7</f>
        <v>0</v>
      </c>
      <c r="R93" s="8">
        <f>VLOOKUP($H93,[1]!总属性参考数组,R$10,FALSE)*VLOOKUP($F$8,[1]!属性权重数组,R$10,FALSE)*$I93/$F$7</f>
        <v>0</v>
      </c>
      <c r="S93" s="8">
        <f>VLOOKUP($H93,[1]!总属性参考数组,S$10,FALSE)*VLOOKUP($F$8,[1]!属性权重数组,S$10,FALSE)*$I93/$F$7</f>
        <v>0</v>
      </c>
      <c r="T93">
        <f t="shared" si="68"/>
        <v>23.569394128263859</v>
      </c>
      <c r="V93" s="6">
        <f t="shared" si="69"/>
        <v>1.3937123491498864</v>
      </c>
      <c r="W93" s="6">
        <f t="shared" si="70"/>
        <v>2.1237212406417116</v>
      </c>
      <c r="X93" s="6">
        <f t="shared" si="71"/>
        <v>1.8354055320623921</v>
      </c>
    </row>
    <row r="94" spans="4:24">
      <c r="D94">
        <f t="shared" ref="D94:H95" si="83">D26</f>
        <v>80</v>
      </c>
      <c r="E94" s="5" t="str">
        <f t="shared" si="83"/>
        <v>山鸡</v>
      </c>
      <c r="F94" s="5">
        <f t="shared" si="83"/>
        <v>1</v>
      </c>
      <c r="G94" s="5">
        <f t="shared" si="83"/>
        <v>4</v>
      </c>
      <c r="H94" s="5">
        <f t="shared" si="83"/>
        <v>80</v>
      </c>
      <c r="I94" s="5">
        <f t="shared" si="65"/>
        <v>5.3333333333333332E-3</v>
      </c>
      <c r="J94" s="8">
        <f>VLOOKUP($H94,[1]!总属性参考数组,J$10,FALSE)*VLOOKUP($F$8,[1]!属性权重数组,J$10,FALSE)*$I94/$F$7</f>
        <v>209.05685237248295</v>
      </c>
      <c r="K94" s="8">
        <f>VLOOKUP($H94,[1]!总属性参考数组,K$10,FALSE)*VLOOKUP($F$8,[1]!属性权重数组,K$10,FALSE)*$I94/$F$7</f>
        <v>10.618606203208559</v>
      </c>
      <c r="L94" s="8">
        <f>VLOOKUP($H94,[1]!总属性参考数组,L$10,FALSE)*VLOOKUP($F$8,[1]!属性权重数组,L$10,FALSE)*$I94/$F$7</f>
        <v>4.5885138301559802</v>
      </c>
      <c r="M94" s="8">
        <f>VLOOKUP($H94,[1]!总属性参考数组,M$10,FALSE)*VLOOKUP($F$8,[1]!属性权重数组,M$10,FALSE)*$I94/$F$7</f>
        <v>0</v>
      </c>
      <c r="N94" s="8">
        <f>VLOOKUP($H94,[1]!总属性参考数组,N$10,FALSE)*VLOOKUP($F$8,[1]!属性权重数组,N$10,FALSE)*$I94/$F$7</f>
        <v>0</v>
      </c>
      <c r="O94" s="8">
        <f>VLOOKUP($H94,[1]!总属性参考数组,O$10,FALSE)*VLOOKUP($F$8,[1]!属性权重数组,O$10,FALSE)*$I94/$F$7</f>
        <v>0</v>
      </c>
      <c r="P94" s="8">
        <f>VLOOKUP($H94,[1]!总属性参考数组,P$10,FALSE)*VLOOKUP($F$8,[1]!属性权重数组,P$10,FALSE)*$I94/$F$7</f>
        <v>0</v>
      </c>
      <c r="Q94" s="8">
        <f>VLOOKUP($H94,[1]!总属性参考数组,Q$10,FALSE)*VLOOKUP($F$8,[1]!属性权重数组,Q$10,FALSE)*$I94/$F$7</f>
        <v>0</v>
      </c>
      <c r="R94" s="8">
        <f>VLOOKUP($H94,[1]!总属性参考数组,R$10,FALSE)*VLOOKUP($F$8,[1]!属性权重数组,R$10,FALSE)*$I94/$F$7</f>
        <v>0</v>
      </c>
      <c r="S94" s="8">
        <f>VLOOKUP($H94,[1]!总属性参考数组,S$10,FALSE)*VLOOKUP($F$8,[1]!属性权重数组,S$10,FALSE)*$I94/$F$7</f>
        <v>0</v>
      </c>
      <c r="T94">
        <f t="shared" si="68"/>
        <v>23.569394128263859</v>
      </c>
      <c r="V94" s="6">
        <f t="shared" si="69"/>
        <v>1.3937123491498864</v>
      </c>
      <c r="W94" s="6">
        <f t="shared" si="70"/>
        <v>2.1237212406417116</v>
      </c>
      <c r="X94" s="6">
        <f t="shared" si="71"/>
        <v>1.8354055320623921</v>
      </c>
    </row>
    <row r="95" spans="4:24">
      <c r="D95">
        <f t="shared" si="83"/>
        <v>80</v>
      </c>
      <c r="E95" s="5" t="str">
        <f t="shared" si="83"/>
        <v>大天二</v>
      </c>
      <c r="F95" s="5">
        <f t="shared" si="83"/>
        <v>1</v>
      </c>
      <c r="G95" s="5">
        <f t="shared" si="83"/>
        <v>4</v>
      </c>
      <c r="H95" s="5">
        <f t="shared" si="83"/>
        <v>80</v>
      </c>
      <c r="I95" s="5">
        <f>VLOOKUP(G95,$E$3:$K$6,5)</f>
        <v>5.3333333333333332E-3</v>
      </c>
      <c r="J95" s="8">
        <f>VLOOKUP($H95,[1]!总属性参考数组,J$10,FALSE)*VLOOKUP($F$8,[1]!属性权重数组,J$10,FALSE)*$I95/$F$7</f>
        <v>209.05685237248295</v>
      </c>
      <c r="K95" s="8">
        <f>VLOOKUP($H95,[1]!总属性参考数组,K$10,FALSE)*VLOOKUP($F$8,[1]!属性权重数组,K$10,FALSE)*$I95/$F$7</f>
        <v>10.618606203208559</v>
      </c>
      <c r="L95" s="8">
        <f>VLOOKUP($H95,[1]!总属性参考数组,L$10,FALSE)*VLOOKUP($F$8,[1]!属性权重数组,L$10,FALSE)*$I95/$F$7</f>
        <v>4.5885138301559802</v>
      </c>
      <c r="M95" s="8">
        <f>VLOOKUP($H95,[1]!总属性参考数组,M$10,FALSE)*VLOOKUP($F$8,[1]!属性权重数组,M$10,FALSE)*$I95/$F$7</f>
        <v>0</v>
      </c>
      <c r="N95" s="8">
        <f>VLOOKUP($H95,[1]!总属性参考数组,N$10,FALSE)*VLOOKUP($F$8,[1]!属性权重数组,N$10,FALSE)*$I95/$F$7</f>
        <v>0</v>
      </c>
      <c r="O95" s="8">
        <f>VLOOKUP($H95,[1]!总属性参考数组,O$10,FALSE)*VLOOKUP($F$8,[1]!属性权重数组,O$10,FALSE)*$I95/$F$7</f>
        <v>0</v>
      </c>
      <c r="P95" s="8">
        <f>VLOOKUP($H95,[1]!总属性参考数组,P$10,FALSE)*VLOOKUP($F$8,[1]!属性权重数组,P$10,FALSE)*$I95/$F$7</f>
        <v>0</v>
      </c>
      <c r="Q95" s="8">
        <f>VLOOKUP($H95,[1]!总属性参考数组,Q$10,FALSE)*VLOOKUP($F$8,[1]!属性权重数组,Q$10,FALSE)*$I95/$F$7</f>
        <v>0</v>
      </c>
      <c r="R95" s="8">
        <f>VLOOKUP($H95,[1]!总属性参考数组,R$10,FALSE)*VLOOKUP($F$8,[1]!属性权重数组,R$10,FALSE)*$I95/$F$7</f>
        <v>0</v>
      </c>
      <c r="S95" s="8">
        <f>VLOOKUP($H95,[1]!总属性参考数组,S$10,FALSE)*VLOOKUP($F$8,[1]!属性权重数组,S$10,FALSE)*$I95/$F$7</f>
        <v>0</v>
      </c>
      <c r="T95">
        <f t="shared" si="68"/>
        <v>23.569394128263859</v>
      </c>
      <c r="V95" s="6">
        <f t="shared" si="69"/>
        <v>1.3937123491498864</v>
      </c>
      <c r="W95" s="6">
        <f t="shared" si="70"/>
        <v>2.1237212406417116</v>
      </c>
      <c r="X95" s="6">
        <f t="shared" si="71"/>
        <v>1.8354055320623921</v>
      </c>
    </row>
    <row r="96" spans="4:24">
      <c r="D96">
        <f t="shared" ref="D96:H96" si="84">D28</f>
        <v>80</v>
      </c>
      <c r="E96" s="5" t="str">
        <f t="shared" si="84"/>
        <v>巴闭</v>
      </c>
      <c r="F96" s="5">
        <f t="shared" si="84"/>
        <v>1</v>
      </c>
      <c r="G96" s="5">
        <f t="shared" si="84"/>
        <v>2</v>
      </c>
      <c r="H96" s="5">
        <f t="shared" si="84"/>
        <v>80</v>
      </c>
      <c r="I96" s="5">
        <f t="shared" ref="I96:I97" si="85">VLOOKUP(G96,$E$3:$K$6,5)</f>
        <v>1.7777777777777776E-3</v>
      </c>
      <c r="J96" s="8">
        <f>VLOOKUP($H96,[1]!总属性参考数组,J$10,FALSE)*VLOOKUP($F$8,[1]!属性权重数组,J$10,FALSE)*$I96/$F$7</f>
        <v>69.685617457494317</v>
      </c>
      <c r="K96" s="8">
        <f>VLOOKUP($H96,[1]!总属性参考数组,K$10,FALSE)*VLOOKUP($F$8,[1]!属性权重数组,K$10,FALSE)*$I96/$F$7</f>
        <v>3.5395354010695192</v>
      </c>
      <c r="L96" s="8">
        <f>VLOOKUP($H96,[1]!总属性参考数组,L$10,FALSE)*VLOOKUP($F$8,[1]!属性权重数组,L$10,FALSE)*$I96/$F$7</f>
        <v>1.5295046100519933</v>
      </c>
      <c r="M96" s="8">
        <f>VLOOKUP($H96,[1]!总属性参考数组,M$10,FALSE)*VLOOKUP($F$8,[1]!属性权重数组,M$10,FALSE)*$I96/$F$7</f>
        <v>0</v>
      </c>
      <c r="N96" s="8">
        <f>VLOOKUP($H96,[1]!总属性参考数组,N$10,FALSE)*VLOOKUP($F$8,[1]!属性权重数组,N$10,FALSE)*$I96/$F$7</f>
        <v>0</v>
      </c>
      <c r="O96" s="8">
        <f>VLOOKUP($H96,[1]!总属性参考数组,O$10,FALSE)*VLOOKUP($F$8,[1]!属性权重数组,O$10,FALSE)*$I96/$F$7</f>
        <v>0</v>
      </c>
      <c r="P96" s="8">
        <f>VLOOKUP($H96,[1]!总属性参考数组,P$10,FALSE)*VLOOKUP($F$8,[1]!属性权重数组,P$10,FALSE)*$I96/$F$7</f>
        <v>0</v>
      </c>
      <c r="Q96" s="8">
        <f>VLOOKUP($H96,[1]!总属性参考数组,Q$10,FALSE)*VLOOKUP($F$8,[1]!属性权重数组,Q$10,FALSE)*$I96/$F$7</f>
        <v>0</v>
      </c>
      <c r="R96" s="8">
        <f>VLOOKUP($H96,[1]!总属性参考数组,R$10,FALSE)*VLOOKUP($F$8,[1]!属性权重数组,R$10,FALSE)*$I96/$F$7</f>
        <v>0</v>
      </c>
      <c r="S96" s="8">
        <f>VLOOKUP($H96,[1]!总属性参考数组,S$10,FALSE)*VLOOKUP($F$8,[1]!属性权重数组,S$10,FALSE)*$I96/$F$7</f>
        <v>0</v>
      </c>
      <c r="T96">
        <f t="shared" ref="T96:T98" si="86">SUMPRODUCT(J96:L96,$S$7:$U$7)</f>
        <v>7.8564647094212852</v>
      </c>
      <c r="V96" s="6">
        <f t="shared" ref="V96:V98" si="87">J96/V$33</f>
        <v>0.46457078304996213</v>
      </c>
      <c r="W96" s="6">
        <f t="shared" ref="W96:W98" si="88">K96/W$33</f>
        <v>0.70790708021390381</v>
      </c>
      <c r="X96" s="6">
        <f t="shared" ref="X96:X98" si="89">L96/X$33</f>
        <v>0.61180184402079729</v>
      </c>
    </row>
    <row r="97" spans="4:24">
      <c r="D97">
        <f t="shared" ref="D97:H98" si="90">D29</f>
        <v>80</v>
      </c>
      <c r="E97" s="5" t="str">
        <f t="shared" si="90"/>
        <v>耀阳</v>
      </c>
      <c r="F97" s="5">
        <f t="shared" si="90"/>
        <v>1</v>
      </c>
      <c r="G97" s="5">
        <f t="shared" si="90"/>
        <v>3</v>
      </c>
      <c r="H97" s="5">
        <f t="shared" si="90"/>
        <v>80</v>
      </c>
      <c r="I97" s="5">
        <f t="shared" si="85"/>
        <v>3.5555555555555553E-3</v>
      </c>
      <c r="J97" s="8">
        <f>VLOOKUP($H97,[1]!总属性参考数组,J$10,FALSE)*VLOOKUP($F$8,[1]!属性权重数组,J$10,FALSE)*$I97/$F$7</f>
        <v>139.37123491498863</v>
      </c>
      <c r="K97" s="8">
        <f>VLOOKUP($H97,[1]!总属性参考数组,K$10,FALSE)*VLOOKUP($F$8,[1]!属性权重数组,K$10,FALSE)*$I97/$F$7</f>
        <v>7.0790708021390385</v>
      </c>
      <c r="L97" s="8">
        <f>VLOOKUP($H97,[1]!总属性参考数组,L$10,FALSE)*VLOOKUP($F$8,[1]!属性权重数组,L$10,FALSE)*$I97/$F$7</f>
        <v>3.0590092201039867</v>
      </c>
      <c r="M97" s="8">
        <f>VLOOKUP($H97,[1]!总属性参考数组,M$10,FALSE)*VLOOKUP($F$8,[1]!属性权重数组,M$10,FALSE)*$I97/$F$7</f>
        <v>0</v>
      </c>
      <c r="N97" s="8">
        <f>VLOOKUP($H97,[1]!总属性参考数组,N$10,FALSE)*VLOOKUP($F$8,[1]!属性权重数组,N$10,FALSE)*$I97/$F$7</f>
        <v>0</v>
      </c>
      <c r="O97" s="8">
        <f>VLOOKUP($H97,[1]!总属性参考数组,O$10,FALSE)*VLOOKUP($F$8,[1]!属性权重数组,O$10,FALSE)*$I97/$F$7</f>
        <v>0</v>
      </c>
      <c r="P97" s="8">
        <f>VLOOKUP($H97,[1]!总属性参考数组,P$10,FALSE)*VLOOKUP($F$8,[1]!属性权重数组,P$10,FALSE)*$I97/$F$7</f>
        <v>0</v>
      </c>
      <c r="Q97" s="8">
        <f>VLOOKUP($H97,[1]!总属性参考数组,Q$10,FALSE)*VLOOKUP($F$8,[1]!属性权重数组,Q$10,FALSE)*$I97/$F$7</f>
        <v>0</v>
      </c>
      <c r="R97" s="8">
        <f>VLOOKUP($H97,[1]!总属性参考数组,R$10,FALSE)*VLOOKUP($F$8,[1]!属性权重数组,R$10,FALSE)*$I97/$F$7</f>
        <v>0</v>
      </c>
      <c r="S97" s="8">
        <f>VLOOKUP($H97,[1]!总属性参考数组,S$10,FALSE)*VLOOKUP($F$8,[1]!属性权重数组,S$10,FALSE)*$I97/$F$7</f>
        <v>0</v>
      </c>
      <c r="T97">
        <f t="shared" si="86"/>
        <v>15.71292941884257</v>
      </c>
      <c r="V97" s="6">
        <f t="shared" si="87"/>
        <v>0.92914156609992427</v>
      </c>
      <c r="W97" s="6">
        <f t="shared" si="88"/>
        <v>1.4158141604278076</v>
      </c>
      <c r="X97" s="6">
        <f t="shared" si="89"/>
        <v>1.2236036880415946</v>
      </c>
    </row>
    <row r="98" spans="4:24">
      <c r="D98">
        <f t="shared" si="90"/>
        <v>80</v>
      </c>
      <c r="E98" s="5" t="str">
        <f t="shared" si="90"/>
        <v>笑面虎</v>
      </c>
      <c r="F98" s="5">
        <f t="shared" si="90"/>
        <v>1</v>
      </c>
      <c r="G98" s="5">
        <f t="shared" si="90"/>
        <v>3</v>
      </c>
      <c r="H98" s="5">
        <f t="shared" si="90"/>
        <v>80</v>
      </c>
      <c r="I98" s="5">
        <f>VLOOKUP(G98,$E$3:$K$6,5)</f>
        <v>3.5555555555555553E-3</v>
      </c>
      <c r="J98" s="8">
        <f>VLOOKUP($H98,[1]!总属性参考数组,J$10,FALSE)*VLOOKUP($F$8,[1]!属性权重数组,J$10,FALSE)*$I98/$F$7</f>
        <v>139.37123491498863</v>
      </c>
      <c r="K98" s="8">
        <f>VLOOKUP($H98,[1]!总属性参考数组,K$10,FALSE)*VLOOKUP($F$8,[1]!属性权重数组,K$10,FALSE)*$I98/$F$7</f>
        <v>7.0790708021390385</v>
      </c>
      <c r="L98" s="8">
        <f>VLOOKUP($H98,[1]!总属性参考数组,L$10,FALSE)*VLOOKUP($F$8,[1]!属性权重数组,L$10,FALSE)*$I98/$F$7</f>
        <v>3.0590092201039867</v>
      </c>
      <c r="M98" s="8">
        <f>VLOOKUP($H98,[1]!总属性参考数组,M$10,FALSE)*VLOOKUP($F$8,[1]!属性权重数组,M$10,FALSE)*$I98/$F$7</f>
        <v>0</v>
      </c>
      <c r="N98" s="8">
        <f>VLOOKUP($H98,[1]!总属性参考数组,N$10,FALSE)*VLOOKUP($F$8,[1]!属性权重数组,N$10,FALSE)*$I98/$F$7</f>
        <v>0</v>
      </c>
      <c r="O98" s="8">
        <f>VLOOKUP($H98,[1]!总属性参考数组,O$10,FALSE)*VLOOKUP($F$8,[1]!属性权重数组,O$10,FALSE)*$I98/$F$7</f>
        <v>0</v>
      </c>
      <c r="P98" s="8">
        <f>VLOOKUP($H98,[1]!总属性参考数组,P$10,FALSE)*VLOOKUP($F$8,[1]!属性权重数组,P$10,FALSE)*$I98/$F$7</f>
        <v>0</v>
      </c>
      <c r="Q98" s="8">
        <f>VLOOKUP($H98,[1]!总属性参考数组,Q$10,FALSE)*VLOOKUP($F$8,[1]!属性权重数组,Q$10,FALSE)*$I98/$F$7</f>
        <v>0</v>
      </c>
      <c r="R98" s="8">
        <f>VLOOKUP($H98,[1]!总属性参考数组,R$10,FALSE)*VLOOKUP($F$8,[1]!属性权重数组,R$10,FALSE)*$I98/$F$7</f>
        <v>0</v>
      </c>
      <c r="S98" s="8">
        <f>VLOOKUP($H98,[1]!总属性参考数组,S$10,FALSE)*VLOOKUP($F$8,[1]!属性权重数组,S$10,FALSE)*$I98/$F$7</f>
        <v>0</v>
      </c>
      <c r="T98">
        <f t="shared" si="86"/>
        <v>15.71292941884257</v>
      </c>
      <c r="V98" s="6">
        <f t="shared" si="87"/>
        <v>0.92914156609992427</v>
      </c>
      <c r="W98" s="6">
        <f t="shared" si="88"/>
        <v>1.4158141604278076</v>
      </c>
      <c r="X98" s="6">
        <f t="shared" si="89"/>
        <v>1.2236036880415946</v>
      </c>
    </row>
    <row r="103" spans="4:24">
      <c r="E103" s="6" t="s">
        <v>276</v>
      </c>
      <c r="F103" s="6" t="s">
        <v>277</v>
      </c>
      <c r="G103" s="6" t="s">
        <v>278</v>
      </c>
      <c r="H103" s="6" t="s">
        <v>279</v>
      </c>
      <c r="I103" s="1" t="s">
        <v>280</v>
      </c>
      <c r="J103" s="29" t="s">
        <v>281</v>
      </c>
      <c r="K103" s="29" t="s">
        <v>282</v>
      </c>
      <c r="L103" s="29" t="s">
        <v>283</v>
      </c>
      <c r="M103" s="29" t="s">
        <v>284</v>
      </c>
      <c r="N103" s="29" t="s">
        <v>285</v>
      </c>
      <c r="O103" s="29" t="s">
        <v>286</v>
      </c>
      <c r="P103" s="29" t="s">
        <v>287</v>
      </c>
      <c r="Q103" s="47"/>
    </row>
    <row r="104" spans="4:24">
      <c r="D104">
        <v>0</v>
      </c>
      <c r="E104" s="6" t="str">
        <f t="shared" ref="E104:E122" si="91">E12</f>
        <v>制服太妹</v>
      </c>
      <c r="F104" s="6">
        <v>10</v>
      </c>
      <c r="G104" s="6">
        <v>10</v>
      </c>
      <c r="H104" s="6">
        <v>80</v>
      </c>
      <c r="I104" s="1">
        <f ca="1">SUMPRODUCT(J104:L104,$S$7:$U$7)</f>
        <v>5857.1641411081846</v>
      </c>
      <c r="J104" s="6">
        <f ca="1">J12+J35*F104+J58*G104+J80*$H104+M104</f>
        <v>54363.92591753212</v>
      </c>
      <c r="K104" s="6">
        <f ca="1">K12+K35*F104+K58*G104+K80*H104+N104</f>
        <v>2548.5409026737971</v>
      </c>
      <c r="L104" s="6">
        <f ca="1">L12+L35*F104+L58*G104+L80*H104+O104</f>
        <v>1134.0662017331024</v>
      </c>
      <c r="M104" s="6">
        <f ca="1">OFFSET(D_马仔培养宝物!P$13,12*$D104,0)</f>
        <v>26751</v>
      </c>
      <c r="N104" s="6">
        <f ca="1">OFFSET(D_马仔培养宝物!Q$13,12*$D104,0)</f>
        <v>1146</v>
      </c>
      <c r="O104" s="6">
        <f ca="1">OFFSET(D_马仔培养宝物!R$13,12*$D104,0)</f>
        <v>528</v>
      </c>
      <c r="P104" s="6">
        <f ca="1">SUMPRODUCT(M104:O104,$S$7:$U$7)</f>
        <v>2744.04</v>
      </c>
    </row>
    <row r="105" spans="4:24">
      <c r="D105">
        <v>1</v>
      </c>
      <c r="E105" s="6" t="str">
        <f t="shared" si="91"/>
        <v>蟹仔</v>
      </c>
      <c r="F105" s="6">
        <v>10</v>
      </c>
      <c r="G105" s="6">
        <v>10</v>
      </c>
      <c r="H105" s="6">
        <f t="shared" ref="H105:H122" si="92">H13</f>
        <v>80</v>
      </c>
      <c r="I105" s="1">
        <f t="shared" ref="I105:I119" ca="1" si="93">SUMPRODUCT(J105:L105,$S$7:$U$7)</f>
        <v>5904.4441411081843</v>
      </c>
      <c r="J105" s="6">
        <f t="shared" ref="J105:J122" ca="1" si="94">J13+J36*F105+J59*G105+J81*$H105+M105</f>
        <v>53745.92591753212</v>
      </c>
      <c r="K105" s="6">
        <f t="shared" ref="K105:K122" ca="1" si="95">K13+K36*F105+K59*G105+K81*H105+N105</f>
        <v>2651.5409026737971</v>
      </c>
      <c r="L105" s="6">
        <f t="shared" ref="L105:L122" ca="1" si="96">L13+L36*F105+L59*G105+L81*H105+O105</f>
        <v>1103.0662017331024</v>
      </c>
      <c r="M105" s="6">
        <f ca="1">OFFSET(D_马仔培养宝物!P$13,12*$D105,0)</f>
        <v>26133</v>
      </c>
      <c r="N105" s="6">
        <f ca="1">OFFSET(D_马仔培养宝物!Q$13,12*$D105,0)</f>
        <v>1249</v>
      </c>
      <c r="O105" s="6">
        <f ca="1">OFFSET(D_马仔培养宝物!R$13,12*$D105,0)</f>
        <v>497</v>
      </c>
      <c r="P105" s="6">
        <f t="shared" ref="P105:P119" ca="1" si="97">SUMPRODUCT(M105:O105,$S$7:$U$7)</f>
        <v>2791.3199999999997</v>
      </c>
    </row>
    <row r="106" spans="4:24">
      <c r="D106">
        <v>2</v>
      </c>
      <c r="E106" s="6" t="str">
        <f t="shared" si="91"/>
        <v>比利</v>
      </c>
      <c r="F106" s="6">
        <v>10</v>
      </c>
      <c r="G106" s="6">
        <v>10</v>
      </c>
      <c r="H106" s="6">
        <f t="shared" si="92"/>
        <v>80</v>
      </c>
      <c r="I106" s="1">
        <f t="shared" ca="1" si="93"/>
        <v>5873.764141108185</v>
      </c>
      <c r="J106" s="6">
        <f t="shared" ca="1" si="94"/>
        <v>52303.92591753212</v>
      </c>
      <c r="K106" s="6">
        <f t="shared" ca="1" si="95"/>
        <v>2642.5409026737971</v>
      </c>
      <c r="L106" s="6">
        <f t="shared" ca="1" si="96"/>
        <v>1139.0662017331024</v>
      </c>
      <c r="M106" s="6">
        <f ca="1">OFFSET(D_马仔培养宝物!P$13,12*$D106,0)</f>
        <v>24691</v>
      </c>
      <c r="N106" s="6">
        <f ca="1">OFFSET(D_马仔培养宝物!Q$13,12*$D106,0)</f>
        <v>1240</v>
      </c>
      <c r="O106" s="6">
        <f ca="1">OFFSET(D_马仔培养宝物!R$13,12*$D106,0)</f>
        <v>533</v>
      </c>
      <c r="P106" s="6">
        <f t="shared" ca="1" si="97"/>
        <v>2760.64</v>
      </c>
    </row>
    <row r="107" spans="4:24">
      <c r="D107">
        <v>3</v>
      </c>
      <c r="E107" s="6" t="str">
        <f t="shared" si="91"/>
        <v>黎九</v>
      </c>
      <c r="F107" s="6">
        <v>10</v>
      </c>
      <c r="G107" s="6">
        <v>10</v>
      </c>
      <c r="H107" s="6">
        <f t="shared" si="92"/>
        <v>80</v>
      </c>
      <c r="I107" s="1">
        <f t="shared" ca="1" si="93"/>
        <v>5974.9241411081848</v>
      </c>
      <c r="J107" s="6">
        <f t="shared" ca="1" si="94"/>
        <v>56832.92591753212</v>
      </c>
      <c r="K107" s="6">
        <f t="shared" ca="1" si="95"/>
        <v>2673.5409026737971</v>
      </c>
      <c r="L107" s="6">
        <f t="shared" ca="1" si="96"/>
        <v>1028.0662017331024</v>
      </c>
      <c r="M107" s="6">
        <f ca="1">OFFSET(D_马仔培养宝物!P$13,12*$D107,0)</f>
        <v>29220</v>
      </c>
      <c r="N107" s="6">
        <f ca="1">OFFSET(D_马仔培养宝物!Q$13,12*$D107,0)</f>
        <v>1271</v>
      </c>
      <c r="O107" s="6">
        <f ca="1">OFFSET(D_马仔培养宝物!R$13,12*$D107,0)</f>
        <v>422</v>
      </c>
      <c r="P107" s="6">
        <f t="shared" ca="1" si="97"/>
        <v>2861.8</v>
      </c>
    </row>
    <row r="108" spans="4:24">
      <c r="D108">
        <v>4</v>
      </c>
      <c r="E108" s="6" t="str">
        <f t="shared" si="91"/>
        <v>黑古</v>
      </c>
      <c r="F108" s="6">
        <v>10</v>
      </c>
      <c r="G108" s="6">
        <v>10</v>
      </c>
      <c r="H108" s="6">
        <f t="shared" si="92"/>
        <v>80</v>
      </c>
      <c r="I108" s="1">
        <f t="shared" ca="1" si="93"/>
        <v>5750.6841411081841</v>
      </c>
      <c r="J108" s="6">
        <f t="shared" ca="1" si="94"/>
        <v>51276.92591753212</v>
      </c>
      <c r="K108" s="6">
        <f t="shared" ca="1" si="95"/>
        <v>2464.5409026737971</v>
      </c>
      <c r="L108" s="6">
        <f t="shared" ca="1" si="96"/>
        <v>1235.0662017331024</v>
      </c>
      <c r="M108" s="6">
        <f ca="1">OFFSET(D_马仔培养宝物!P$13,12*$D108,0)</f>
        <v>23664</v>
      </c>
      <c r="N108" s="6">
        <f ca="1">OFFSET(D_马仔培养宝物!Q$13,12*$D108,0)</f>
        <v>1062</v>
      </c>
      <c r="O108" s="6">
        <f ca="1">OFFSET(D_马仔培养宝物!R$13,12*$D108,0)</f>
        <v>629</v>
      </c>
      <c r="P108" s="6">
        <f t="shared" ca="1" si="97"/>
        <v>2637.56</v>
      </c>
    </row>
    <row r="109" spans="4:24">
      <c r="D109">
        <v>5</v>
      </c>
      <c r="E109" s="6" t="str">
        <f t="shared" si="91"/>
        <v>靓坤</v>
      </c>
      <c r="F109" s="6">
        <v>10</v>
      </c>
      <c r="G109" s="6">
        <v>10</v>
      </c>
      <c r="H109" s="6">
        <f t="shared" si="92"/>
        <v>80</v>
      </c>
      <c r="I109" s="1">
        <f t="shared" ca="1" si="93"/>
        <v>8686.0708556130703</v>
      </c>
      <c r="J109" s="6">
        <f t="shared" ca="1" si="94"/>
        <v>74423.641180408216</v>
      </c>
      <c r="K109" s="6">
        <f t="shared" ca="1" si="95"/>
        <v>3995.3492278074873</v>
      </c>
      <c r="L109" s="6">
        <f t="shared" ca="1" si="96"/>
        <v>1713.7759805892551</v>
      </c>
      <c r="M109" s="6">
        <f ca="1">OFFSET(D_马仔培养宝物!P$13,12*$D109,0)</f>
        <v>21811</v>
      </c>
      <c r="N109" s="6">
        <f ca="1">OFFSET(D_马仔培养宝物!Q$13,12*$D109,0)</f>
        <v>1323</v>
      </c>
      <c r="O109" s="6">
        <f ca="1">OFFSET(D_马仔培养宝物!R$13,12*$D109,0)</f>
        <v>559</v>
      </c>
      <c r="P109" s="6">
        <f t="shared" ca="1" si="97"/>
        <v>2754.44</v>
      </c>
    </row>
    <row r="110" spans="4:24">
      <c r="D110">
        <v>6</v>
      </c>
      <c r="E110" s="6" t="str">
        <f t="shared" si="91"/>
        <v>雷复轰</v>
      </c>
      <c r="F110" s="6">
        <v>10</v>
      </c>
      <c r="G110" s="6">
        <v>10</v>
      </c>
      <c r="H110" s="6">
        <f t="shared" si="92"/>
        <v>80</v>
      </c>
      <c r="I110" s="1">
        <f t="shared" ca="1" si="93"/>
        <v>8738.2308556130702</v>
      </c>
      <c r="J110" s="6">
        <f t="shared" ca="1" si="94"/>
        <v>80802.641180408216</v>
      </c>
      <c r="K110" s="6">
        <f t="shared" ca="1" si="95"/>
        <v>3880.3492278074873</v>
      </c>
      <c r="L110" s="6">
        <f t="shared" ca="1" si="96"/>
        <v>1625.7759805892551</v>
      </c>
      <c r="M110" s="6">
        <f ca="1">OFFSET(D_马仔培养宝物!P$13,12*$D110,0)</f>
        <v>28190</v>
      </c>
      <c r="N110" s="6">
        <f ca="1">OFFSET(D_马仔培养宝物!Q$13,12*$D110,0)</f>
        <v>1208</v>
      </c>
      <c r="O110" s="6">
        <f ca="1">OFFSET(D_马仔培养宝物!R$13,12*$D110,0)</f>
        <v>471</v>
      </c>
      <c r="P110" s="6">
        <f t="shared" ca="1" si="97"/>
        <v>2806.6000000000004</v>
      </c>
    </row>
    <row r="111" spans="4:24">
      <c r="D111">
        <v>7</v>
      </c>
      <c r="E111" s="6" t="str">
        <f t="shared" si="91"/>
        <v>肥仔</v>
      </c>
      <c r="F111" s="6">
        <v>10</v>
      </c>
      <c r="G111" s="6">
        <v>10</v>
      </c>
      <c r="H111" s="6">
        <f t="shared" si="92"/>
        <v>80</v>
      </c>
      <c r="I111" s="1">
        <f t="shared" ca="1" si="93"/>
        <v>8691.3108556130701</v>
      </c>
      <c r="J111" s="6">
        <f t="shared" ca="1" si="94"/>
        <v>77304.641180408216</v>
      </c>
      <c r="K111" s="6">
        <f t="shared" ca="1" si="95"/>
        <v>3912.3492278074873</v>
      </c>
      <c r="L111" s="6">
        <f t="shared" ca="1" si="96"/>
        <v>1686.7759805892551</v>
      </c>
      <c r="M111" s="6">
        <f ca="1">OFFSET(D_马仔培养宝物!P$13,12*$D111,0)</f>
        <v>24692</v>
      </c>
      <c r="N111" s="6">
        <f ca="1">OFFSET(D_马仔培养宝物!Q$13,12*$D111,0)</f>
        <v>1240</v>
      </c>
      <c r="O111" s="6">
        <f ca="1">OFFSET(D_马仔培养宝物!R$13,12*$D111,0)</f>
        <v>532</v>
      </c>
      <c r="P111" s="6">
        <f t="shared" ca="1" si="97"/>
        <v>2759.6800000000003</v>
      </c>
    </row>
    <row r="112" spans="4:24">
      <c r="D112">
        <v>8</v>
      </c>
      <c r="E112" s="6" t="str">
        <f t="shared" si="91"/>
        <v>司徒浩南</v>
      </c>
      <c r="F112" s="6">
        <v>10</v>
      </c>
      <c r="G112" s="6">
        <v>10</v>
      </c>
      <c r="H112" s="6">
        <f t="shared" si="92"/>
        <v>80</v>
      </c>
      <c r="I112" s="1">
        <f t="shared" ca="1" si="93"/>
        <v>14206.444284622845</v>
      </c>
      <c r="J112" s="6">
        <f t="shared" ca="1" si="94"/>
        <v>122982.07170616039</v>
      </c>
      <c r="K112" s="6">
        <f t="shared" ca="1" si="95"/>
        <v>6377.9658780748678</v>
      </c>
      <c r="L112" s="6">
        <f t="shared" ca="1" si="96"/>
        <v>2909.1955383015602</v>
      </c>
      <c r="M112" s="6">
        <f ca="1">OFFSET(D_马仔培养宝物!P$13,12*$D112,0)</f>
        <v>20370</v>
      </c>
      <c r="N112" s="6">
        <f ca="1">OFFSET(D_马仔培养宝物!Q$13,12*$D112,0)</f>
        <v>1166</v>
      </c>
      <c r="O112" s="6">
        <f ca="1">OFFSET(D_马仔培养宝物!R$13,12*$D112,0)</f>
        <v>657</v>
      </c>
      <c r="P112" s="6">
        <f t="shared" ca="1" si="97"/>
        <v>2637.8</v>
      </c>
    </row>
    <row r="113" spans="4:16">
      <c r="D113">
        <v>9</v>
      </c>
      <c r="E113" s="6" t="str">
        <f t="shared" si="91"/>
        <v>乌鸦</v>
      </c>
      <c r="F113" s="6">
        <v>10</v>
      </c>
      <c r="G113" s="6">
        <v>10</v>
      </c>
      <c r="H113" s="6">
        <f t="shared" si="92"/>
        <v>80</v>
      </c>
      <c r="I113" s="1">
        <f t="shared" ca="1" si="93"/>
        <v>14228.284284622845</v>
      </c>
      <c r="J113" s="6">
        <f t="shared" ca="1" si="94"/>
        <v>125453.07170616039</v>
      </c>
      <c r="K113" s="6">
        <f t="shared" ca="1" si="95"/>
        <v>6336.9658780748678</v>
      </c>
      <c r="L113" s="6">
        <f t="shared" ca="1" si="96"/>
        <v>2873.1955383015602</v>
      </c>
      <c r="M113" s="6">
        <f ca="1">OFFSET(D_马仔培养宝物!P$13,12*$D113,0)</f>
        <v>22841</v>
      </c>
      <c r="N113" s="6">
        <f ca="1">OFFSET(D_马仔培养宝物!Q$13,12*$D113,0)</f>
        <v>1125</v>
      </c>
      <c r="O113" s="6">
        <f ca="1">OFFSET(D_马仔培养宝物!R$13,12*$D113,0)</f>
        <v>621</v>
      </c>
      <c r="P113" s="6">
        <f t="shared" ca="1" si="97"/>
        <v>2659.64</v>
      </c>
    </row>
    <row r="114" spans="4:16">
      <c r="D114">
        <v>10</v>
      </c>
      <c r="E114" s="6" t="str">
        <f t="shared" si="91"/>
        <v>赌王</v>
      </c>
      <c r="F114" s="6">
        <v>10</v>
      </c>
      <c r="G114" s="6">
        <v>10</v>
      </c>
      <c r="H114" s="6">
        <f t="shared" si="92"/>
        <v>80</v>
      </c>
      <c r="I114" s="1">
        <f t="shared" ca="1" si="93"/>
        <v>14423.444284622845</v>
      </c>
      <c r="J114" s="6">
        <f t="shared" ca="1" si="94"/>
        <v>129157.07170616039</v>
      </c>
      <c r="K114" s="6">
        <f t="shared" ca="1" si="95"/>
        <v>6555.9658780748678</v>
      </c>
      <c r="L114" s="6">
        <f t="shared" ca="1" si="96"/>
        <v>2701.1955383015602</v>
      </c>
      <c r="M114" s="6">
        <f ca="1">OFFSET(D_马仔培养宝物!P$13,12*$D114,0)</f>
        <v>26545</v>
      </c>
      <c r="N114" s="6">
        <f ca="1">OFFSET(D_马仔培养宝物!Q$13,12*$D114,0)</f>
        <v>1344</v>
      </c>
      <c r="O114" s="6">
        <f ca="1">OFFSET(D_马仔培养宝物!R$13,12*$D114,0)</f>
        <v>449</v>
      </c>
      <c r="P114" s="6">
        <f t="shared" ca="1" si="97"/>
        <v>2854.8</v>
      </c>
    </row>
    <row r="115" spans="4:16">
      <c r="D115">
        <v>11</v>
      </c>
      <c r="E115" s="6" t="str">
        <f t="shared" si="91"/>
        <v>山下忠秀</v>
      </c>
      <c r="F115" s="6">
        <v>10</v>
      </c>
      <c r="G115" s="6">
        <v>10</v>
      </c>
      <c r="H115" s="6">
        <f t="shared" si="92"/>
        <v>80</v>
      </c>
      <c r="I115" s="1">
        <f t="shared" ca="1" si="93"/>
        <v>14384.324284622842</v>
      </c>
      <c r="J115" s="6">
        <f t="shared" ca="1" si="94"/>
        <v>129979.07170616039</v>
      </c>
      <c r="K115" s="6">
        <f t="shared" ca="1" si="95"/>
        <v>6461.9658780748678</v>
      </c>
      <c r="L115" s="6">
        <f t="shared" ca="1" si="96"/>
        <v>2723.1955383015602</v>
      </c>
      <c r="M115" s="6">
        <f ca="1">OFFSET(D_马仔培养宝物!P$13,12*$D115,0)</f>
        <v>27367</v>
      </c>
      <c r="N115" s="6">
        <f ca="1">OFFSET(D_马仔培养宝物!Q$13,12*$D115,0)</f>
        <v>1250</v>
      </c>
      <c r="O115" s="6">
        <f ca="1">OFFSET(D_马仔培养宝物!R$13,12*$D115,0)</f>
        <v>471</v>
      </c>
      <c r="P115" s="6">
        <f t="shared" ca="1" si="97"/>
        <v>2815.6800000000003</v>
      </c>
    </row>
    <row r="116" spans="4:16">
      <c r="D116">
        <v>12</v>
      </c>
      <c r="E116" s="6" t="str">
        <f t="shared" si="91"/>
        <v>宫本一</v>
      </c>
      <c r="F116" s="6">
        <v>10</v>
      </c>
      <c r="G116" s="6">
        <v>10</v>
      </c>
      <c r="H116" s="6">
        <f t="shared" si="92"/>
        <v>80</v>
      </c>
      <c r="I116" s="1">
        <f t="shared" ca="1" si="93"/>
        <v>14345.844284622843</v>
      </c>
      <c r="J116" s="6">
        <f t="shared" ca="1" si="94"/>
        <v>129567.07170616039</v>
      </c>
      <c r="K116" s="6">
        <f t="shared" ca="1" si="95"/>
        <v>6409.9658780748678</v>
      </c>
      <c r="L116" s="6">
        <f t="shared" ca="1" si="96"/>
        <v>2753.1955383015602</v>
      </c>
      <c r="M116" s="6">
        <f ca="1">OFFSET(D_马仔培养宝物!P$13,12*$D116,0)</f>
        <v>26955</v>
      </c>
      <c r="N116" s="6">
        <f ca="1">OFFSET(D_马仔培养宝物!Q$13,12*$D116,0)</f>
        <v>1198</v>
      </c>
      <c r="O116" s="6">
        <f ca="1">OFFSET(D_马仔培养宝物!R$13,12*$D116,0)</f>
        <v>501</v>
      </c>
      <c r="P116" s="6">
        <f t="shared" ca="1" si="97"/>
        <v>2777.2</v>
      </c>
    </row>
    <row r="117" spans="4:16">
      <c r="D117">
        <v>13</v>
      </c>
      <c r="E117" s="6" t="str">
        <f t="shared" si="91"/>
        <v>陈浩南</v>
      </c>
      <c r="F117" s="6">
        <v>10</v>
      </c>
      <c r="G117" s="6">
        <v>10</v>
      </c>
      <c r="H117" s="6">
        <f t="shared" si="92"/>
        <v>80</v>
      </c>
      <c r="I117" s="1">
        <f t="shared" ca="1" si="93"/>
        <v>19874.497713632616</v>
      </c>
      <c r="J117" s="6">
        <f t="shared" ca="1" si="94"/>
        <v>175657.50223191254</v>
      </c>
      <c r="K117" s="6">
        <f t="shared" ca="1" si="95"/>
        <v>8886.5825283422491</v>
      </c>
      <c r="L117" s="6">
        <f t="shared" ca="1" si="96"/>
        <v>3961.6150960138648</v>
      </c>
      <c r="M117" s="6">
        <f ca="1">OFFSET(D_马仔培养宝物!P$13,12*$D117,0)</f>
        <v>23046</v>
      </c>
      <c r="N117" s="6">
        <f ca="1">OFFSET(D_马仔培养宝物!Q$13,12*$D117,0)</f>
        <v>1135</v>
      </c>
      <c r="O117" s="6">
        <f ca="1">OFFSET(D_马仔培养宝物!R$13,12*$D117,0)</f>
        <v>612</v>
      </c>
      <c r="P117" s="6">
        <f t="shared" ca="1" si="97"/>
        <v>2668.84</v>
      </c>
    </row>
    <row r="118" spans="4:16">
      <c r="D118">
        <v>14</v>
      </c>
      <c r="E118" s="6" t="str">
        <f t="shared" si="91"/>
        <v>山鸡</v>
      </c>
      <c r="F118" s="6">
        <v>10</v>
      </c>
      <c r="G118" s="6">
        <v>10</v>
      </c>
      <c r="H118" s="6">
        <f t="shared" si="92"/>
        <v>80</v>
      </c>
      <c r="I118" s="1">
        <f t="shared" ca="1" si="93"/>
        <v>19903.577713632618</v>
      </c>
      <c r="J118" s="6">
        <f t="shared" ca="1" si="94"/>
        <v>177509.50223191254</v>
      </c>
      <c r="K118" s="6">
        <f t="shared" ca="1" si="95"/>
        <v>8876.5825283422491</v>
      </c>
      <c r="L118" s="6">
        <f t="shared" ca="1" si="96"/>
        <v>3926.6150960138648</v>
      </c>
      <c r="M118" s="6">
        <f ca="1">OFFSET(D_马仔培养宝物!P$13,12*$D118,0)</f>
        <v>24898</v>
      </c>
      <c r="N118" s="6">
        <f ca="1">OFFSET(D_马仔培养宝物!Q$13,12*$D118,0)</f>
        <v>1125</v>
      </c>
      <c r="O118" s="6">
        <f ca="1">OFFSET(D_马仔培养宝物!R$13,12*$D118,0)</f>
        <v>577</v>
      </c>
      <c r="P118" s="6">
        <f t="shared" ca="1" si="97"/>
        <v>2697.92</v>
      </c>
    </row>
    <row r="119" spans="4:16">
      <c r="D119">
        <v>15</v>
      </c>
      <c r="E119" s="6" t="str">
        <f t="shared" si="91"/>
        <v>大天二</v>
      </c>
      <c r="F119" s="6">
        <v>10</v>
      </c>
      <c r="G119" s="6">
        <v>10</v>
      </c>
      <c r="H119" s="6">
        <f t="shared" si="92"/>
        <v>80</v>
      </c>
      <c r="I119" s="1">
        <f t="shared" ca="1" si="93"/>
        <v>19900.897713632618</v>
      </c>
      <c r="J119" s="6">
        <f t="shared" ca="1" si="94"/>
        <v>171542.50223191254</v>
      </c>
      <c r="K119" s="6">
        <f t="shared" ca="1" si="95"/>
        <v>9064.5825283422491</v>
      </c>
      <c r="L119" s="6">
        <f t="shared" ca="1" si="96"/>
        <v>3974.6150960138648</v>
      </c>
      <c r="M119" s="6">
        <f ca="1">OFFSET(D_马仔培养宝物!P$13,12*$D119,0)</f>
        <v>18931</v>
      </c>
      <c r="N119" s="6">
        <f ca="1">OFFSET(D_马仔培养宝物!Q$13,12*$D119,0)</f>
        <v>1313</v>
      </c>
      <c r="O119" s="6">
        <f ca="1">OFFSET(D_马仔培养宝物!R$13,12*$D119,0)</f>
        <v>625</v>
      </c>
      <c r="P119" s="6">
        <f t="shared" ca="1" si="97"/>
        <v>2695.24</v>
      </c>
    </row>
    <row r="120" spans="4:16">
      <c r="D120">
        <v>16</v>
      </c>
      <c r="E120" s="6" t="str">
        <f t="shared" si="91"/>
        <v>巴闭</v>
      </c>
      <c r="F120" s="6">
        <v>10</v>
      </c>
      <c r="G120" s="6">
        <v>10</v>
      </c>
      <c r="H120" s="6">
        <f t="shared" si="92"/>
        <v>80</v>
      </c>
      <c r="I120" s="1">
        <f ca="1">SUMPRODUCT(J120:L120,$S$7:$U$7)</f>
        <v>8637.4308556130709</v>
      </c>
      <c r="J120" s="6">
        <f t="shared" ca="1" si="94"/>
        <v>75657.641180408216</v>
      </c>
      <c r="K120" s="6">
        <f t="shared" ca="1" si="95"/>
        <v>3871.3492278074873</v>
      </c>
      <c r="L120" s="6">
        <f t="shared" ca="1" si="96"/>
        <v>1739.7759805892551</v>
      </c>
      <c r="M120" s="6">
        <f ca="1">OFFSET(D_马仔培养宝物!P$13,12*$D120,0)</f>
        <v>23045</v>
      </c>
      <c r="N120" s="6">
        <f ca="1">OFFSET(D_马仔培养宝物!Q$13,12*$D120,0)</f>
        <v>1199</v>
      </c>
      <c r="O120" s="6">
        <f ca="1">OFFSET(D_马仔培养宝物!R$13,12*$D120,0)</f>
        <v>585</v>
      </c>
      <c r="P120" s="6">
        <f t="shared" ref="P120:P122" ca="1" si="98">SUMPRODUCT(M120:O120,$S$7:$U$7)</f>
        <v>2705.8</v>
      </c>
    </row>
    <row r="121" spans="4:16">
      <c r="D121">
        <v>17</v>
      </c>
      <c r="E121" s="6" t="str">
        <f t="shared" si="91"/>
        <v>耀阳</v>
      </c>
      <c r="F121" s="6">
        <v>10</v>
      </c>
      <c r="G121" s="6">
        <v>10</v>
      </c>
      <c r="H121" s="6">
        <f t="shared" si="92"/>
        <v>80</v>
      </c>
      <c r="I121" s="1">
        <f t="shared" ref="I121:I122" ca="1" si="99">SUMPRODUCT(J121:L121,$S$7:$U$7)</f>
        <v>14366.924284622844</v>
      </c>
      <c r="J121" s="6">
        <f t="shared" ca="1" si="94"/>
        <v>131419.07170616038</v>
      </c>
      <c r="K121" s="6">
        <f t="shared" ca="1" si="95"/>
        <v>6308.9658780748678</v>
      </c>
      <c r="L121" s="6">
        <f t="shared" ca="1" si="96"/>
        <v>2801.1955383015602</v>
      </c>
      <c r="M121" s="6">
        <f ca="1">OFFSET(D_马仔培养宝物!P$13,12*$D121,0)</f>
        <v>28807</v>
      </c>
      <c r="N121" s="6">
        <f ca="1">OFFSET(D_马仔培养宝物!Q$13,12*$D121,0)</f>
        <v>1097</v>
      </c>
      <c r="O121" s="6">
        <f ca="1">OFFSET(D_马仔培养宝物!R$13,12*$D121,0)</f>
        <v>549</v>
      </c>
      <c r="P121" s="6">
        <f t="shared" ca="1" si="98"/>
        <v>2798.2799999999997</v>
      </c>
    </row>
    <row r="122" spans="4:16">
      <c r="D122">
        <v>18</v>
      </c>
      <c r="E122" s="6" t="str">
        <f t="shared" si="91"/>
        <v>笑面虎</v>
      </c>
      <c r="F122" s="6">
        <v>10</v>
      </c>
      <c r="G122" s="6">
        <v>10</v>
      </c>
      <c r="H122" s="6">
        <f t="shared" si="92"/>
        <v>80</v>
      </c>
      <c r="I122" s="1">
        <f t="shared" ca="1" si="99"/>
        <v>14493.364284622843</v>
      </c>
      <c r="J122" s="6">
        <f t="shared" ca="1" si="94"/>
        <v>123805.07170616039</v>
      </c>
      <c r="K122" s="6">
        <f t="shared" ca="1" si="95"/>
        <v>6849.9658780748678</v>
      </c>
      <c r="L122" s="6">
        <f t="shared" ca="1" si="96"/>
        <v>2691.1955383015602</v>
      </c>
      <c r="M122" s="6">
        <f ca="1">OFFSET(D_马仔培养宝物!P$13,12*$D122,0)</f>
        <v>21193</v>
      </c>
      <c r="N122" s="6">
        <f ca="1">OFFSET(D_马仔培养宝物!Q$13,12*$D122,0)</f>
        <v>1638</v>
      </c>
      <c r="O122" s="6">
        <f ca="1">OFFSET(D_马仔培养宝物!R$13,12*$D122,0)</f>
        <v>439</v>
      </c>
      <c r="P122" s="6">
        <f t="shared" ca="1" si="98"/>
        <v>2924.7200000000003</v>
      </c>
    </row>
  </sheetData>
  <mergeCells count="7">
    <mergeCell ref="D78:F78"/>
    <mergeCell ref="C35:C50"/>
    <mergeCell ref="V32:X32"/>
    <mergeCell ref="Z32:AB32"/>
    <mergeCell ref="D10:F10"/>
    <mergeCell ref="D33:F33"/>
    <mergeCell ref="D56:F56"/>
  </mergeCells>
  <phoneticPr fontId="1" type="noConversion"/>
  <conditionalFormatting sqref="E12:I27">
    <cfRule type="expression" dxfId="849" priority="76">
      <formula>$G12=5</formula>
    </cfRule>
    <cfRule type="expression" dxfId="848" priority="77">
      <formula>$G12=4</formula>
    </cfRule>
    <cfRule type="expression" dxfId="847" priority="78">
      <formula>$G12=3</formula>
    </cfRule>
    <cfRule type="expression" dxfId="846" priority="79">
      <formula>$G12=2</formula>
    </cfRule>
    <cfRule type="expression" dxfId="845" priority="80">
      <formula>$G12=1</formula>
    </cfRule>
  </conditionalFormatting>
  <conditionalFormatting sqref="E3:K6">
    <cfRule type="expression" dxfId="844" priority="71">
      <formula>$E3=5</formula>
    </cfRule>
    <cfRule type="expression" dxfId="843" priority="72">
      <formula>$E3=4</formula>
    </cfRule>
    <cfRule type="expression" dxfId="842" priority="73">
      <formula>$E3=3</formula>
    </cfRule>
    <cfRule type="expression" dxfId="841" priority="74">
      <formula>$E3=2</formula>
    </cfRule>
    <cfRule type="expression" dxfId="840" priority="75">
      <formula>$E3=1</formula>
    </cfRule>
  </conditionalFormatting>
  <conditionalFormatting sqref="E35:H50">
    <cfRule type="expression" dxfId="839" priority="66">
      <formula>$G35=5</formula>
    </cfRule>
    <cfRule type="expression" dxfId="838" priority="67">
      <formula>$G35=4</formula>
    </cfRule>
    <cfRule type="expression" dxfId="837" priority="68">
      <formula>$G35=3</formula>
    </cfRule>
    <cfRule type="expression" dxfId="836" priority="69">
      <formula>$G35=2</formula>
    </cfRule>
    <cfRule type="expression" dxfId="835" priority="70">
      <formula>$G35=1</formula>
    </cfRule>
  </conditionalFormatting>
  <conditionalFormatting sqref="I35:I50">
    <cfRule type="expression" dxfId="834" priority="61">
      <formula>$G35=5</formula>
    </cfRule>
    <cfRule type="expression" dxfId="833" priority="62">
      <formula>$G35=4</formula>
    </cfRule>
    <cfRule type="expression" dxfId="832" priority="63">
      <formula>$G35=3</formula>
    </cfRule>
    <cfRule type="expression" dxfId="831" priority="64">
      <formula>$G35=2</formula>
    </cfRule>
    <cfRule type="expression" dxfId="830" priority="65">
      <formula>$G35=1</formula>
    </cfRule>
  </conditionalFormatting>
  <conditionalFormatting sqref="E58:G73">
    <cfRule type="expression" dxfId="829" priority="56">
      <formula>$G58=5</formula>
    </cfRule>
    <cfRule type="expression" dxfId="828" priority="57">
      <formula>$G58=4</formula>
    </cfRule>
    <cfRule type="expression" dxfId="827" priority="58">
      <formula>$G58=3</formula>
    </cfRule>
    <cfRule type="expression" dxfId="826" priority="59">
      <formula>$G58=2</formula>
    </cfRule>
    <cfRule type="expression" dxfId="825" priority="60">
      <formula>$G58=1</formula>
    </cfRule>
  </conditionalFormatting>
  <conditionalFormatting sqref="I58:I73">
    <cfRule type="expression" dxfId="824" priority="46">
      <formula>$G58=5</formula>
    </cfRule>
    <cfRule type="expression" dxfId="823" priority="47">
      <formula>$G58=4</formula>
    </cfRule>
    <cfRule type="expression" dxfId="822" priority="48">
      <formula>$G58=3</formula>
    </cfRule>
    <cfRule type="expression" dxfId="821" priority="49">
      <formula>$G58=2</formula>
    </cfRule>
    <cfRule type="expression" dxfId="820" priority="50">
      <formula>$G58=1</formula>
    </cfRule>
  </conditionalFormatting>
  <conditionalFormatting sqref="E80:I95">
    <cfRule type="expression" dxfId="819" priority="41">
      <formula>$G80=5</formula>
    </cfRule>
    <cfRule type="expression" dxfId="818" priority="42">
      <formula>$G80=4</formula>
    </cfRule>
    <cfRule type="expression" dxfId="817" priority="43">
      <formula>$G80=3</formula>
    </cfRule>
    <cfRule type="expression" dxfId="816" priority="44">
      <formula>$G80=2</formula>
    </cfRule>
    <cfRule type="expression" dxfId="815" priority="45">
      <formula>$G80=1</formula>
    </cfRule>
  </conditionalFormatting>
  <conditionalFormatting sqref="H58:H73">
    <cfRule type="expression" dxfId="814" priority="36">
      <formula>$G58=5</formula>
    </cfRule>
    <cfRule type="expression" dxfId="813" priority="37">
      <formula>$G58=4</formula>
    </cfRule>
    <cfRule type="expression" dxfId="812" priority="38">
      <formula>$G58=3</formula>
    </cfRule>
    <cfRule type="expression" dxfId="811" priority="39">
      <formula>$G58=2</formula>
    </cfRule>
    <cfRule type="expression" dxfId="810" priority="40">
      <formula>$G58=1</formula>
    </cfRule>
  </conditionalFormatting>
  <conditionalFormatting sqref="E28:I30">
    <cfRule type="expression" dxfId="809" priority="31">
      <formula>$G28=5</formula>
    </cfRule>
    <cfRule type="expression" dxfId="808" priority="32">
      <formula>$G28=4</formula>
    </cfRule>
    <cfRule type="expression" dxfId="807" priority="33">
      <formula>$G28=3</formula>
    </cfRule>
    <cfRule type="expression" dxfId="806" priority="34">
      <formula>$G28=2</formula>
    </cfRule>
    <cfRule type="expression" dxfId="805" priority="35">
      <formula>$G28=1</formula>
    </cfRule>
  </conditionalFormatting>
  <conditionalFormatting sqref="E51:H53">
    <cfRule type="expression" dxfId="804" priority="26">
      <formula>$G51=5</formula>
    </cfRule>
    <cfRule type="expression" dxfId="803" priority="27">
      <formula>$G51=4</formula>
    </cfRule>
    <cfRule type="expression" dxfId="802" priority="28">
      <formula>$G51=3</formula>
    </cfRule>
    <cfRule type="expression" dxfId="801" priority="29">
      <formula>$G51=2</formula>
    </cfRule>
    <cfRule type="expression" dxfId="800" priority="30">
      <formula>$G51=1</formula>
    </cfRule>
  </conditionalFormatting>
  <conditionalFormatting sqref="I51:I53">
    <cfRule type="expression" dxfId="799" priority="21">
      <formula>$G51=5</formula>
    </cfRule>
    <cfRule type="expression" dxfId="798" priority="22">
      <formula>$G51=4</formula>
    </cfRule>
    <cfRule type="expression" dxfId="797" priority="23">
      <formula>$G51=3</formula>
    </cfRule>
    <cfRule type="expression" dxfId="796" priority="24">
      <formula>$G51=2</formula>
    </cfRule>
    <cfRule type="expression" dxfId="795" priority="25">
      <formula>$G51=1</formula>
    </cfRule>
  </conditionalFormatting>
  <conditionalFormatting sqref="E74:G76">
    <cfRule type="expression" dxfId="794" priority="16">
      <formula>$G74=5</formula>
    </cfRule>
    <cfRule type="expression" dxfId="793" priority="17">
      <formula>$G74=4</formula>
    </cfRule>
    <cfRule type="expression" dxfId="792" priority="18">
      <formula>$G74=3</formula>
    </cfRule>
    <cfRule type="expression" dxfId="791" priority="19">
      <formula>$G74=2</formula>
    </cfRule>
    <cfRule type="expression" dxfId="790" priority="20">
      <formula>$G74=1</formula>
    </cfRule>
  </conditionalFormatting>
  <conditionalFormatting sqref="I74:I76">
    <cfRule type="expression" dxfId="789" priority="11">
      <formula>$G74=5</formula>
    </cfRule>
    <cfRule type="expression" dxfId="788" priority="12">
      <formula>$G74=4</formula>
    </cfRule>
    <cfRule type="expression" dxfId="787" priority="13">
      <formula>$G74=3</formula>
    </cfRule>
    <cfRule type="expression" dxfId="786" priority="14">
      <formula>$G74=2</formula>
    </cfRule>
    <cfRule type="expression" dxfId="785" priority="15">
      <formula>$G74=1</formula>
    </cfRule>
  </conditionalFormatting>
  <conditionalFormatting sqref="H74:H76">
    <cfRule type="expression" dxfId="784" priority="6">
      <formula>$G74=5</formula>
    </cfRule>
    <cfRule type="expression" dxfId="783" priority="7">
      <formula>$G74=4</formula>
    </cfRule>
    <cfRule type="expression" dxfId="782" priority="8">
      <formula>$G74=3</formula>
    </cfRule>
    <cfRule type="expression" dxfId="781" priority="9">
      <formula>$G74=2</formula>
    </cfRule>
    <cfRule type="expression" dxfId="780" priority="10">
      <formula>$G74=1</formula>
    </cfRule>
  </conditionalFormatting>
  <conditionalFormatting sqref="E96:I98">
    <cfRule type="expression" dxfId="779" priority="1">
      <formula>$G96=5</formula>
    </cfRule>
    <cfRule type="expression" dxfId="778" priority="2">
      <formula>$G96=4</formula>
    </cfRule>
    <cfRule type="expression" dxfId="777" priority="3">
      <formula>$G96=3</formula>
    </cfRule>
    <cfRule type="expression" dxfId="776" priority="4">
      <formula>$G96=2</formula>
    </cfRule>
    <cfRule type="expression" dxfId="775" priority="5">
      <formula>$G96=1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R193"/>
  <sheetViews>
    <sheetView workbookViewId="0">
      <selection activeCell="I199" sqref="I199"/>
    </sheetView>
  </sheetViews>
  <sheetFormatPr defaultRowHeight="13.5"/>
  <cols>
    <col min="4" max="4" width="16" customWidth="1"/>
    <col min="5" max="5" width="15" customWidth="1"/>
    <col min="6" max="6" width="13.5" customWidth="1"/>
    <col min="7" max="7" width="12.5" customWidth="1"/>
    <col min="8" max="8" width="15" bestFit="1" customWidth="1"/>
  </cols>
  <sheetData>
    <row r="1" spans="3:18" ht="14.25" thickBot="1">
      <c r="C1" s="1" t="s">
        <v>108</v>
      </c>
      <c r="D1" s="1" t="s">
        <v>109</v>
      </c>
      <c r="E1" s="1" t="s">
        <v>110</v>
      </c>
      <c r="F1" s="1" t="s">
        <v>111</v>
      </c>
      <c r="G1" s="1" t="s">
        <v>112</v>
      </c>
      <c r="H1" s="1" t="s">
        <v>113</v>
      </c>
      <c r="J1" s="138" t="s">
        <v>228</v>
      </c>
      <c r="K1" s="138"/>
      <c r="L1" s="138"/>
      <c r="M1" s="138"/>
      <c r="N1" s="138"/>
      <c r="O1" s="138"/>
    </row>
    <row r="2" spans="3:18">
      <c r="C2" s="19">
        <f t="array" aca="1" ref="C2" ca="1">OFFSET(D_马仔培养宝物!$W$1,SMALL(IF(D_马仔培养宝物!$Z$2:$Z$64=D_马仔培养宝物!$E2,ROW($C$2:$H$64),""),RANDBETWEEN(1,VLOOKUP(D_马仔培养宝物!$E2,D_马仔培养宝物!$T$3:$U$7,2,FALSE)))-1,0)</f>
        <v>92121</v>
      </c>
      <c r="D2" s="19">
        <f t="array" aca="1" ref="D2" ca="1">OFFSET(D_马仔培养宝物!$W$1,SMALL(IF(D_马仔培养宝物!$Z$2:$Z$64=D_马仔培养宝物!$E2,ROW($C$2:$H$64),""),RANDBETWEEN(1,VLOOKUP(D_马仔培养宝物!$E2,D_马仔培养宝物!$T$3:$U$7,2,FALSE)))-1,0)</f>
        <v>92243</v>
      </c>
      <c r="E2" s="19">
        <f t="array" aca="1" ref="E2" ca="1">OFFSET(D_马仔培养宝物!$W$1,SMALL(IF(D_马仔培养宝物!$Z$2:$Z$64=D_马仔培养宝物!$E2,ROW($C$2:$H$64),""),RANDBETWEEN(1,VLOOKUP(D_马仔培养宝物!$E2,D_马仔培养宝物!$T$3:$U$7,2,FALSE)))-1,0)</f>
        <v>92011</v>
      </c>
      <c r="F2" s="19">
        <f t="array" aca="1" ref="F2" ca="1">OFFSET(D_马仔培养宝物!$W$1,SMALL(IF(D_马仔培养宝物!$Z$2:$Z$64=D_马仔培养宝物!$E2,ROW($C$2:$H$64),""),RANDBETWEEN(1,VLOOKUP(D_马仔培养宝物!$E2,D_马仔培养宝物!$T$3:$U$7,2,FALSE)))-1,0)</f>
        <v>92263</v>
      </c>
      <c r="G2" s="19">
        <f t="array" aca="1" ref="G2" ca="1">OFFSET(D_马仔培养宝物!$W$1,SMALL(IF(D_马仔培养宝物!$Z$2:$Z$64=D_马仔培养宝物!$E2,ROW($C$2:$H$64),""),RANDBETWEEN(1,VLOOKUP(D_马仔培养宝物!$E2,D_马仔培养宝物!$T$3:$U$7,2,FALSE)))-1,0)</f>
        <v>92228</v>
      </c>
      <c r="H2" s="19">
        <f t="array" aca="1" ref="H2" ca="1">OFFSET(D_马仔培养宝物!$W$1,SMALL(IF(D_马仔培养宝物!$Z$2:$Z$64=D_马仔培养宝物!$E2,ROW($C$2:$H$64),""),RANDBETWEEN(1,VLOOKUP(D_马仔培养宝物!$E2,D_马仔培养宝物!$T$3:$U$7,2,FALSE)))-1,0)</f>
        <v>92243</v>
      </c>
      <c r="J2" s="19">
        <v>92012</v>
      </c>
      <c r="K2" s="19">
        <v>92124</v>
      </c>
      <c r="L2" s="19">
        <v>92122</v>
      </c>
      <c r="M2" s="19">
        <v>92014</v>
      </c>
      <c r="N2" s="19">
        <v>92125</v>
      </c>
      <c r="O2" s="19">
        <v>92227</v>
      </c>
      <c r="P2">
        <f>VLOOKUP(J2,D_马仔培养宝物!$W$2:$AC$64,5,FALSE)+VLOOKUP(K2,D_马仔培养宝物!$W$2:$AC$64,5,FALSE)+VLOOKUP(L2,D_马仔培养宝物!$W$2:$AC$64,5,FALSE)+VLOOKUP(M2,D_马仔培养宝物!$W$2:$AC$64,5,FALSE)+VLOOKUP(N2,D_马仔培养宝物!$W$2:$AC$64,5,FALSE)+VLOOKUP(O2,D_马仔培养宝物!$W$2:$AC$64,5,FALSE)</f>
        <v>4321</v>
      </c>
      <c r="Q2">
        <f>VLOOKUP(J2,D_马仔培养宝物!$W$2:$AC$64,6,FALSE)+VLOOKUP(K2,D_马仔培养宝物!$W$2:$AC$64,6,FALSE)+VLOOKUP(L2,D_马仔培养宝物!$W$2:$AC$64,6,FALSE)+VLOOKUP(M2,D_马仔培养宝物!$W$2:$AC$64,6,FALSE)+VLOOKUP(N2,D_马仔培养宝物!$W$2:$AC$64,6,FALSE)+VLOOKUP(O2,D_马仔培养宝物!$W$2:$AC$64,6,FALSE)</f>
        <v>31</v>
      </c>
      <c r="R2">
        <f>VLOOKUP(J2,D_马仔培养宝物!$W$2:$AC$64,7,FALSE)+VLOOKUP(K2,D_马仔培养宝物!$W$2:$AC$64,7,FALSE)+VLOOKUP(L2,D_马仔培养宝物!$W$2:$AC$64,7,FALSE)+VLOOKUP(M2,D_马仔培养宝物!$W$2:$AC$64,7,FALSE)+VLOOKUP(N2,D_马仔培养宝物!$W$2:$AC$64,7,FALSE)+VLOOKUP(O2,D_马仔培养宝物!$W$2:$AC$64,7,FALSE)</f>
        <v>53</v>
      </c>
    </row>
    <row r="3" spans="3:18">
      <c r="C3" s="5">
        <f t="array" aca="1" ref="C3" ca="1">OFFSET(D_马仔培养宝物!$W$1,SMALL(IF(D_马仔培养宝物!$Z$2:$Z$64=D_马仔培养宝物!$E3,ROW($C$2:$H$64),""),RANDBETWEEN(1,VLOOKUP(D_马仔培养宝物!$E3,D_马仔培养宝物!$T$3:$U$7,2,FALSE)))-1,0)</f>
        <v>92232</v>
      </c>
      <c r="D3" s="5">
        <f t="array" aca="1" ref="D3" ca="1">OFFSET(D_马仔培养宝物!$W$1,SMALL(IF(D_马仔培养宝物!$Z$2:$Z$64=D_马仔培养宝物!$E3,ROW($C$2:$H$64),""),RANDBETWEEN(1,VLOOKUP(D_马仔培养宝物!$E3,D_马仔培养宝物!$T$3:$U$7,2,FALSE)))-1,0)</f>
        <v>92243</v>
      </c>
      <c r="E3" s="5">
        <f t="array" aca="1" ref="E3" ca="1">OFFSET(D_马仔培养宝物!$W$1,SMALL(IF(D_马仔培养宝物!$Z$2:$Z$64=D_马仔培养宝物!$E3,ROW($C$2:$H$64),""),RANDBETWEEN(1,VLOOKUP(D_马仔培养宝物!$E3,D_马仔培养宝物!$T$3:$U$7,2,FALSE)))-1,0)</f>
        <v>92232</v>
      </c>
      <c r="F3" s="5">
        <f t="array" aca="1" ref="F3" ca="1">OFFSET(D_马仔培养宝物!$W$1,SMALL(IF(D_马仔培养宝物!$Z$2:$Z$64=D_马仔培养宝物!$E3,ROW($C$2:$H$64),""),RANDBETWEEN(1,VLOOKUP(D_马仔培养宝物!$E3,D_马仔培养宝物!$T$3:$U$7,2,FALSE)))-1,0)</f>
        <v>92121</v>
      </c>
      <c r="G3" s="5">
        <f t="array" aca="1" ref="G3" ca="1">OFFSET(D_马仔培养宝物!$W$1,SMALL(IF(D_马仔培养宝物!$Z$2:$Z$64=D_马仔培养宝物!$E3,ROW($C$2:$H$64),""),RANDBETWEEN(1,VLOOKUP(D_马仔培养宝物!$E3,D_马仔培养宝物!$T$3:$U$7,2,FALSE)))-1,0)</f>
        <v>92277</v>
      </c>
      <c r="H3" s="5">
        <f t="array" aca="1" ref="H3" ca="1">OFFSET(D_马仔培养宝物!$W$1,SMALL(IF(D_马仔培养宝物!$Z$2:$Z$64=D_马仔培养宝物!$E3,ROW($C$2:$H$64),""),RANDBETWEEN(1,VLOOKUP(D_马仔培养宝物!$E3,D_马仔培养宝物!$T$3:$U$7,2,FALSE)))-1,0)</f>
        <v>92263</v>
      </c>
      <c r="J3" s="5">
        <v>92013</v>
      </c>
      <c r="K3" s="5">
        <v>92014</v>
      </c>
      <c r="L3" s="5">
        <v>92223</v>
      </c>
      <c r="M3" s="5">
        <v>92012</v>
      </c>
      <c r="N3" s="5">
        <v>92011</v>
      </c>
      <c r="O3" s="5">
        <v>92227</v>
      </c>
      <c r="P3">
        <f>VLOOKUP(J3,D_马仔培养宝物!$W$2:$AC$64,5,FALSE)+VLOOKUP(K3,D_马仔培养宝物!$W$2:$AC$64,5,FALSE)+VLOOKUP(L3,D_马仔培养宝物!$W$2:$AC$64,5,FALSE)+VLOOKUP(M3,D_马仔培养宝物!$W$2:$AC$64,5,FALSE)+VLOOKUP(N3,D_马仔培养宝物!$W$2:$AC$64,5,FALSE)+VLOOKUP(O3,D_马仔培养宝物!$W$2:$AC$64,5,FALSE)</f>
        <v>4321</v>
      </c>
      <c r="Q3">
        <f>VLOOKUP(J3,D_马仔培养宝物!$W$2:$AC$64,6,FALSE)+VLOOKUP(K3,D_马仔培养宝物!$W$2:$AC$64,6,FALSE)+VLOOKUP(L3,D_马仔培养宝物!$W$2:$AC$64,6,FALSE)+VLOOKUP(M3,D_马仔培养宝物!$W$2:$AC$64,6,FALSE)+VLOOKUP(N3,D_马仔培养宝物!$W$2:$AC$64,6,FALSE)+VLOOKUP(O3,D_马仔培养宝物!$W$2:$AC$64,6,FALSE)</f>
        <v>10</v>
      </c>
      <c r="R3">
        <f>VLOOKUP(J3,D_马仔培养宝物!$W$2:$AC$64,7,FALSE)+VLOOKUP(K3,D_马仔培养宝物!$W$2:$AC$64,7,FALSE)+VLOOKUP(L3,D_马仔培养宝物!$W$2:$AC$64,7,FALSE)+VLOOKUP(M3,D_马仔培养宝物!$W$2:$AC$64,7,FALSE)+VLOOKUP(N3,D_马仔培养宝物!$W$2:$AC$64,7,FALSE)+VLOOKUP(O3,D_马仔培养宝物!$W$2:$AC$64,7,FALSE)</f>
        <v>62</v>
      </c>
    </row>
    <row r="4" spans="3:18">
      <c r="C4" s="5">
        <f t="array" aca="1" ref="C4" ca="1">OFFSET(D_马仔培养宝物!$W$1,SMALL(IF(D_马仔培养宝物!$Z$2:$Z$64=D_马仔培养宝物!$E4,ROW($C$2:$H$64),""),RANDBETWEEN(1,VLOOKUP(D_马仔培养宝物!$E4,D_马仔培养宝物!$T$3:$U$7,2,FALSE)))-1,0)</f>
        <v>92287</v>
      </c>
      <c r="D4" s="5">
        <f t="array" aca="1" ref="D4" ca="1">OFFSET(D_马仔培养宝物!$W$1,SMALL(IF(D_马仔培养宝物!$Z$2:$Z$64=D_马仔培养宝物!$E4,ROW($C$2:$H$64),""),RANDBETWEEN(1,VLOOKUP(D_马仔培养宝物!$E4,D_马仔培养宝物!$T$3:$U$7,2,FALSE)))-1,0)</f>
        <v>92233</v>
      </c>
      <c r="E4" s="5">
        <f t="array" aca="1" ref="E4" ca="1">OFFSET(D_马仔培养宝物!$W$1,SMALL(IF(D_马仔培养宝物!$Z$2:$Z$64=D_马仔培养宝物!$E4,ROW($C$2:$H$64),""),RANDBETWEEN(1,VLOOKUP(D_马仔培养宝物!$E4,D_马仔培养宝物!$T$3:$U$7,2,FALSE)))-1,0)</f>
        <v>92271</v>
      </c>
      <c r="F4" s="5">
        <f t="array" aca="1" ref="F4" ca="1">OFFSET(D_马仔培养宝物!$W$1,SMALL(IF(D_马仔培养宝物!$Z$2:$Z$64=D_马仔培养宝物!$E4,ROW($C$2:$H$64),""),RANDBETWEEN(1,VLOOKUP(D_马仔培养宝物!$E4,D_马仔培养宝物!$T$3:$U$7,2,FALSE)))-1,0)</f>
        <v>92287</v>
      </c>
      <c r="G4" s="5">
        <f t="array" aca="1" ref="G4" ca="1">OFFSET(D_马仔培养宝物!$W$1,SMALL(IF(D_马仔培养宝物!$Z$2:$Z$64=D_马仔培养宝物!$E4,ROW($C$2:$H$64),""),RANDBETWEEN(1,VLOOKUP(D_马仔培养宝物!$E4,D_马仔培养宝物!$T$3:$U$7,2,FALSE)))-1,0)</f>
        <v>92233</v>
      </c>
      <c r="H4" s="5">
        <f t="array" aca="1" ref="H4" ca="1">OFFSET(D_马仔培养宝物!$W$1,SMALL(IF(D_马仔培养宝物!$Z$2:$Z$64=D_马仔培养宝物!$E4,ROW($C$2:$H$64),""),RANDBETWEEN(1,VLOOKUP(D_马仔培养宝物!$E4,D_马仔培养宝物!$T$3:$U$7,2,FALSE)))-1,0)</f>
        <v>92122</v>
      </c>
      <c r="J4" s="5">
        <v>92236</v>
      </c>
      <c r="K4" s="5">
        <v>92121</v>
      </c>
      <c r="L4" s="5">
        <v>92232</v>
      </c>
      <c r="M4" s="5">
        <v>92287</v>
      </c>
      <c r="N4" s="5">
        <v>92228</v>
      </c>
      <c r="O4" s="5">
        <v>92286</v>
      </c>
      <c r="P4">
        <f>VLOOKUP(J4,D_马仔培养宝物!$W$2:$AC$64,5,FALSE)+VLOOKUP(K4,D_马仔培养宝物!$W$2:$AC$64,5,FALSE)+VLOOKUP(L4,D_马仔培养宝物!$W$2:$AC$64,5,FALSE)+VLOOKUP(M4,D_马仔培养宝物!$W$2:$AC$64,5,FALSE)+VLOOKUP(N4,D_马仔培养宝物!$W$2:$AC$64,5,FALSE)+VLOOKUP(O4,D_马仔培养宝物!$W$2:$AC$64,5,FALSE)</f>
        <v>823</v>
      </c>
      <c r="Q4">
        <f>VLOOKUP(J4,D_马仔培养宝物!$W$2:$AC$64,6,FALSE)+VLOOKUP(K4,D_马仔培养宝物!$W$2:$AC$64,6,FALSE)+VLOOKUP(L4,D_马仔培养宝物!$W$2:$AC$64,6,FALSE)+VLOOKUP(M4,D_马仔培养宝物!$W$2:$AC$64,6,FALSE)+VLOOKUP(N4,D_马仔培养宝物!$W$2:$AC$64,6,FALSE)+VLOOKUP(O4,D_马仔培养宝物!$W$2:$AC$64,6,FALSE)</f>
        <v>83</v>
      </c>
      <c r="R4">
        <f>VLOOKUP(J4,D_马仔培养宝物!$W$2:$AC$64,7,FALSE)+VLOOKUP(K4,D_马仔培养宝物!$W$2:$AC$64,7,FALSE)+VLOOKUP(L4,D_马仔培养宝物!$W$2:$AC$64,7,FALSE)+VLOOKUP(M4,D_马仔培养宝物!$W$2:$AC$64,7,FALSE)+VLOOKUP(N4,D_马仔培养宝物!$W$2:$AC$64,7,FALSE)+VLOOKUP(O4,D_马仔培养宝物!$W$2:$AC$64,7,FALSE)</f>
        <v>44</v>
      </c>
    </row>
    <row r="5" spans="3:18">
      <c r="C5" s="5">
        <f t="array" aca="1" ref="C5" ca="1">OFFSET(D_马仔培养宝物!$W$1,SMALL(IF(D_马仔培养宝物!$Z$2:$Z$64=D_马仔培养宝物!$E5,ROW($C$2:$H$64),""),RANDBETWEEN(1,VLOOKUP(D_马仔培养宝物!$E5,D_马仔培养宝物!$T$3:$U$7,2,FALSE)))-1,0)</f>
        <v>92271</v>
      </c>
      <c r="D5" s="5">
        <f t="array" aca="1" ref="D5" ca="1">OFFSET(D_马仔培养宝物!$W$1,SMALL(IF(D_马仔培养宝物!$Z$2:$Z$64=D_马仔培养宝物!$E5,ROW($C$2:$H$64),""),RANDBETWEEN(1,VLOOKUP(D_马仔培养宝物!$E5,D_马仔培养宝物!$T$3:$U$7,2,FALSE)))-1,0)</f>
        <v>92271</v>
      </c>
      <c r="E5" s="5">
        <f t="array" aca="1" ref="E5" ca="1">OFFSET(D_马仔培养宝物!$W$1,SMALL(IF(D_马仔培养宝物!$Z$2:$Z$64=D_马仔培养宝物!$E5,ROW($C$2:$H$64),""),RANDBETWEEN(1,VLOOKUP(D_马仔培养宝物!$E5,D_马仔培养宝物!$T$3:$U$7,2,FALSE)))-1,0)</f>
        <v>92233</v>
      </c>
      <c r="F5" s="5">
        <f t="array" aca="1" ref="F5" ca="1">OFFSET(D_马仔培养宝物!$W$1,SMALL(IF(D_马仔培养宝物!$Z$2:$Z$64=D_马仔培养宝物!$E5,ROW($C$2:$H$64),""),RANDBETWEEN(1,VLOOKUP(D_马仔培养宝物!$E5,D_马仔培养宝物!$T$3:$U$7,2,FALSE)))-1,0)</f>
        <v>92233</v>
      </c>
      <c r="G5" s="5">
        <f t="array" aca="1" ref="G5" ca="1">OFFSET(D_马仔培养宝物!$W$1,SMALL(IF(D_马仔培养宝物!$Z$2:$Z$64=D_马仔培养宝物!$E5,ROW($C$2:$H$64),""),RANDBETWEEN(1,VLOOKUP(D_马仔培养宝物!$E5,D_马仔培养宝物!$T$3:$U$7,2,FALSE)))-1,0)</f>
        <v>92271</v>
      </c>
      <c r="H5" s="5">
        <f t="array" aca="1" ref="H5" ca="1">OFFSET(D_马仔培养宝物!$W$1,SMALL(IF(D_马仔培养宝物!$Z$2:$Z$64=D_马仔培养宝物!$E5,ROW($C$2:$H$64),""),RANDBETWEEN(1,VLOOKUP(D_马仔培养宝物!$E5,D_马仔培养宝物!$T$3:$U$7,2,FALSE)))-1,0)</f>
        <v>92264</v>
      </c>
      <c r="J5" s="5">
        <v>92228</v>
      </c>
      <c r="K5" s="5">
        <v>92235</v>
      </c>
      <c r="L5" s="5">
        <v>92233</v>
      </c>
      <c r="M5" s="5">
        <v>92271</v>
      </c>
      <c r="N5" s="5">
        <v>92236</v>
      </c>
      <c r="O5" s="5">
        <v>92287</v>
      </c>
      <c r="P5">
        <f>VLOOKUP(J5,D_马仔培养宝物!$W$2:$AC$64,5,FALSE)+VLOOKUP(K5,D_马仔培养宝物!$W$2:$AC$64,5,FALSE)+VLOOKUP(L5,D_马仔培养宝物!$W$2:$AC$64,5,FALSE)+VLOOKUP(M5,D_马仔培养宝物!$W$2:$AC$64,5,FALSE)+VLOOKUP(N5,D_马仔培养宝物!$W$2:$AC$64,5,FALSE)+VLOOKUP(O5,D_马仔培养宝物!$W$2:$AC$64,5,FALSE)</f>
        <v>1851</v>
      </c>
      <c r="Q5">
        <f>VLOOKUP(J5,D_马仔培养宝物!$W$2:$AC$64,6,FALSE)+VLOOKUP(K5,D_马仔培养宝物!$W$2:$AC$64,6,FALSE)+VLOOKUP(L5,D_马仔培养宝物!$W$2:$AC$64,6,FALSE)+VLOOKUP(M5,D_马仔培养宝物!$W$2:$AC$64,6,FALSE)+VLOOKUP(N5,D_马仔培养宝物!$W$2:$AC$64,6,FALSE)+VLOOKUP(O5,D_马仔培养宝物!$W$2:$AC$64,6,FALSE)</f>
        <v>73</v>
      </c>
      <c r="R5">
        <f>VLOOKUP(J5,D_马仔培养宝物!$W$2:$AC$64,7,FALSE)+VLOOKUP(K5,D_马仔培养宝物!$W$2:$AC$64,7,FALSE)+VLOOKUP(L5,D_马仔培养宝物!$W$2:$AC$64,7,FALSE)+VLOOKUP(M5,D_马仔培养宝物!$W$2:$AC$64,7,FALSE)+VLOOKUP(N5,D_马仔培养宝物!$W$2:$AC$64,7,FALSE)+VLOOKUP(O5,D_马仔培养宝物!$W$2:$AC$64,7,FALSE)</f>
        <v>26</v>
      </c>
    </row>
    <row r="6" spans="3:18">
      <c r="C6" s="5">
        <f t="array" aca="1" ref="C6" ca="1">OFFSET(D_马仔培养宝物!$W$1,SMALL(IF(D_马仔培养宝物!$Z$2:$Z$64=D_马仔培养宝物!$E6,ROW($C$2:$H$64),""),RANDBETWEEN(1,VLOOKUP(D_马仔培养宝物!$E6,D_马仔培养宝物!$T$3:$U$7,2,FALSE)))-1,0)</f>
        <v>92273</v>
      </c>
      <c r="D6" s="5">
        <f t="array" aca="1" ref="D6" ca="1">OFFSET(D_马仔培养宝物!$W$1,SMALL(IF(D_马仔培养宝物!$Z$2:$Z$64=D_马仔培养宝物!$E6,ROW($C$2:$H$64),""),RANDBETWEEN(1,VLOOKUP(D_马仔培养宝物!$E6,D_马仔培养宝物!$T$3:$U$7,2,FALSE)))-1,0)</f>
        <v>92252</v>
      </c>
      <c r="E6" s="5">
        <f t="array" aca="1" ref="E6" ca="1">OFFSET(D_马仔培养宝物!$W$1,SMALL(IF(D_马仔培养宝物!$Z$2:$Z$64=D_马仔培养宝物!$E6,ROW($C$2:$H$64),""),RANDBETWEEN(1,VLOOKUP(D_马仔培养宝物!$E6,D_马仔培养宝物!$T$3:$U$7,2,FALSE)))-1,0)</f>
        <v>92012</v>
      </c>
      <c r="F6" s="5">
        <f t="array" aca="1" ref="F6" ca="1">OFFSET(D_马仔培养宝物!$W$1,SMALL(IF(D_马仔培养宝物!$Z$2:$Z$64=D_马仔培养宝物!$E6,ROW($C$2:$H$64),""),RANDBETWEEN(1,VLOOKUP(D_马仔培养宝物!$E6,D_马仔培养宝物!$T$3:$U$7,2,FALSE)))-1,0)</f>
        <v>92252</v>
      </c>
      <c r="G6" s="5">
        <f t="array" aca="1" ref="G6" ca="1">OFFSET(D_马仔培养宝物!$W$1,SMALL(IF(D_马仔培养宝物!$Z$2:$Z$64=D_马仔培养宝物!$E6,ROW($C$2:$H$64),""),RANDBETWEEN(1,VLOOKUP(D_马仔培养宝物!$E6,D_马仔培养宝物!$T$3:$U$7,2,FALSE)))-1,0)</f>
        <v>92252</v>
      </c>
      <c r="H6" s="5">
        <f t="array" aca="1" ref="H6" ca="1">OFFSET(D_马仔培养宝物!$W$1,SMALL(IF(D_马仔培养宝物!$Z$2:$Z$64=D_马仔培养宝物!$E6,ROW($C$2:$H$64),""),RANDBETWEEN(1,VLOOKUP(D_马仔培养宝物!$E6,D_马仔培养宝物!$T$3:$U$7,2,FALSE)))-1,0)</f>
        <v>92012</v>
      </c>
      <c r="J6" s="5">
        <v>92285</v>
      </c>
      <c r="K6" s="5">
        <v>92142</v>
      </c>
      <c r="L6" s="5">
        <v>92282</v>
      </c>
      <c r="M6" s="5">
        <v>92141</v>
      </c>
      <c r="N6" s="5">
        <v>92284</v>
      </c>
      <c r="O6" s="5">
        <v>92283</v>
      </c>
      <c r="P6">
        <f>VLOOKUP(J6,D_马仔培养宝物!$W$2:$AC$64,5,FALSE)+VLOOKUP(K6,D_马仔培养宝物!$W$2:$AC$64,5,FALSE)+VLOOKUP(L6,D_马仔培养宝物!$W$2:$AC$64,5,FALSE)+VLOOKUP(M6,D_马仔培养宝物!$W$2:$AC$64,5,FALSE)+VLOOKUP(N6,D_马仔培养宝物!$W$2:$AC$64,5,FALSE)+VLOOKUP(O6,D_马仔培养宝物!$W$2:$AC$64,5,FALSE)</f>
        <v>1029</v>
      </c>
      <c r="Q6">
        <f>VLOOKUP(J6,D_马仔培养宝物!$W$2:$AC$64,6,FALSE)+VLOOKUP(K6,D_马仔培养宝物!$W$2:$AC$64,6,FALSE)+VLOOKUP(L6,D_马仔培养宝物!$W$2:$AC$64,6,FALSE)+VLOOKUP(M6,D_马仔培养宝物!$W$2:$AC$64,6,FALSE)+VLOOKUP(N6,D_马仔培养宝物!$W$2:$AC$64,6,FALSE)+VLOOKUP(O6,D_马仔培养宝物!$W$2:$AC$64,6,FALSE)</f>
        <v>230</v>
      </c>
      <c r="R6">
        <f>VLOOKUP(J6,D_马仔培养宝物!$W$2:$AC$64,7,FALSE)+VLOOKUP(K6,D_马仔培养宝物!$W$2:$AC$64,7,FALSE)+VLOOKUP(L6,D_马仔培养宝物!$W$2:$AC$64,7,FALSE)+VLOOKUP(M6,D_马仔培养宝物!$W$2:$AC$64,7,FALSE)+VLOOKUP(N6,D_马仔培养宝物!$W$2:$AC$64,7,FALSE)+VLOOKUP(O6,D_马仔培养宝物!$W$2:$AC$64,7,FALSE)</f>
        <v>26</v>
      </c>
    </row>
    <row r="7" spans="3:18">
      <c r="C7" s="5">
        <f t="array" aca="1" ref="C7" ca="1">OFFSET(D_马仔培养宝物!$W$1,SMALL(IF(D_马仔培养宝物!$Z$2:$Z$64=D_马仔培养宝物!$E7,ROW($C$2:$H$64),""),RANDBETWEEN(1,VLOOKUP(D_马仔培养宝物!$E7,D_马仔培养宝物!$T$3:$U$7,2,FALSE)))-1,0)</f>
        <v>92288</v>
      </c>
      <c r="D7" s="5">
        <f t="array" aca="1" ref="D7" ca="1">OFFSET(D_马仔培养宝物!$W$1,SMALL(IF(D_马仔培养宝物!$Z$2:$Z$64=D_马仔培养宝物!$E7,ROW($C$2:$H$64),""),RANDBETWEEN(1,VLOOKUP(D_马仔培养宝物!$E7,D_马仔培养宝物!$T$3:$U$7,2,FALSE)))-1,0)</f>
        <v>92284</v>
      </c>
      <c r="E7" s="5">
        <f t="array" aca="1" ref="E7" ca="1">OFFSET(D_马仔培养宝物!$W$1,SMALL(IF(D_马仔培养宝物!$Z$2:$Z$64=D_马仔培养宝物!$E7,ROW($C$2:$H$64),""),RANDBETWEEN(1,VLOOKUP(D_马仔培养宝物!$E7,D_马仔培养宝物!$T$3:$U$7,2,FALSE)))-1,0)</f>
        <v>92235</v>
      </c>
      <c r="F7" s="5">
        <f t="array" aca="1" ref="F7" ca="1">OFFSET(D_马仔培养宝物!$W$1,SMALL(IF(D_马仔培养宝物!$Z$2:$Z$64=D_马仔培养宝物!$E7,ROW($C$2:$H$64),""),RANDBETWEEN(1,VLOOKUP(D_马仔培养宝物!$E7,D_马仔培养宝物!$T$3:$U$7,2,FALSE)))-1,0)</f>
        <v>92273</v>
      </c>
      <c r="G7" s="5">
        <f t="array" aca="1" ref="G7" ca="1">OFFSET(D_马仔培养宝物!$W$1,SMALL(IF(D_马仔培养宝物!$Z$2:$Z$64=D_马仔培养宝物!$E7,ROW($C$2:$H$64),""),RANDBETWEEN(1,VLOOKUP(D_马仔培养宝物!$E7,D_马仔培养宝物!$T$3:$U$7,2,FALSE)))-1,0)</f>
        <v>92124</v>
      </c>
      <c r="H7" s="5">
        <f t="array" aca="1" ref="H7" ca="1">OFFSET(D_马仔培养宝物!$W$1,SMALL(IF(D_马仔培养宝物!$Z$2:$Z$64=D_马仔培养宝物!$E7,ROW($C$2:$H$64),""),RANDBETWEEN(1,VLOOKUP(D_马仔培养宝物!$E7,D_马仔培养宝物!$T$3:$U$7,2,FALSE)))-1,0)</f>
        <v>92235</v>
      </c>
      <c r="J7" s="5">
        <v>92282</v>
      </c>
      <c r="K7" s="5">
        <v>92285</v>
      </c>
      <c r="L7" s="5">
        <v>92142</v>
      </c>
      <c r="M7" s="5">
        <v>92284</v>
      </c>
      <c r="N7" s="5">
        <v>92262</v>
      </c>
      <c r="O7" s="5">
        <v>92283</v>
      </c>
      <c r="P7">
        <f>VLOOKUP(J7,D_马仔培养宝物!$W$2:$AC$64,5,FALSE)+VLOOKUP(K7,D_马仔培养宝物!$W$2:$AC$64,5,FALSE)+VLOOKUP(L7,D_马仔培养宝物!$W$2:$AC$64,5,FALSE)+VLOOKUP(M7,D_马仔培养宝物!$W$2:$AC$64,5,FALSE)+VLOOKUP(N7,D_马仔培养宝物!$W$2:$AC$64,5,FALSE)+VLOOKUP(O7,D_马仔培养宝物!$W$2:$AC$64,5,FALSE)</f>
        <v>1029</v>
      </c>
      <c r="Q7">
        <f>VLOOKUP(J7,D_马仔培养宝物!$W$2:$AC$64,6,FALSE)+VLOOKUP(K7,D_马仔培养宝物!$W$2:$AC$64,6,FALSE)+VLOOKUP(L7,D_马仔培养宝物!$W$2:$AC$64,6,FALSE)+VLOOKUP(M7,D_马仔培养宝物!$W$2:$AC$64,6,FALSE)+VLOOKUP(N7,D_马仔培养宝物!$W$2:$AC$64,6,FALSE)+VLOOKUP(O7,D_马仔培养宝物!$W$2:$AC$64,6,FALSE)</f>
        <v>335</v>
      </c>
      <c r="R7">
        <f>VLOOKUP(J7,D_马仔培养宝物!$W$2:$AC$64,7,FALSE)+VLOOKUP(K7,D_马仔培养宝物!$W$2:$AC$64,7,FALSE)+VLOOKUP(L7,D_马仔培养宝物!$W$2:$AC$64,7,FALSE)+VLOOKUP(M7,D_马仔培养宝物!$W$2:$AC$64,7,FALSE)+VLOOKUP(N7,D_马仔培养宝物!$W$2:$AC$64,7,FALSE)+VLOOKUP(O7,D_马仔培养宝物!$W$2:$AC$64,7,FALSE)</f>
        <v>13</v>
      </c>
    </row>
    <row r="8" spans="3:18">
      <c r="C8" s="5">
        <f t="array" aca="1" ref="C8" ca="1">OFFSET(D_马仔培养宝物!$W$1,SMALL(IF(D_马仔培养宝物!$Z$2:$Z$64=D_马仔培养宝物!$E8,ROW($C$2:$H$64),""),RANDBETWEEN(1,VLOOKUP(D_马仔培养宝物!$E8,D_马仔培养宝物!$T$3:$U$7,2,FALSE)))-1,0)</f>
        <v>92227</v>
      </c>
      <c r="D8" s="5">
        <f t="array" aca="1" ref="D8" ca="1">OFFSET(D_马仔培养宝物!$W$1,SMALL(IF(D_马仔培养宝物!$Z$2:$Z$64=D_马仔培养宝物!$E8,ROW($C$2:$H$64),""),RANDBETWEEN(1,VLOOKUP(D_马仔培养宝物!$E8,D_马仔培养宝物!$T$3:$U$7,2,FALSE)))-1,0)</f>
        <v>92280</v>
      </c>
      <c r="E8" s="5">
        <f t="array" aca="1" ref="E8" ca="1">OFFSET(D_马仔培养宝物!$W$1,SMALL(IF(D_马仔培养宝物!$Z$2:$Z$64=D_马仔培养宝物!$E8,ROW($C$2:$H$64),""),RANDBETWEEN(1,VLOOKUP(D_马仔培养宝物!$E8,D_马仔培养宝物!$T$3:$U$7,2,FALSE)))-1,0)</f>
        <v>92223</v>
      </c>
      <c r="F8" s="5">
        <f t="array" aca="1" ref="F8" ca="1">OFFSET(D_马仔培养宝物!$W$1,SMALL(IF(D_马仔培养宝物!$Z$2:$Z$64=D_马仔培养宝物!$E8,ROW($C$2:$H$64),""),RANDBETWEEN(1,VLOOKUP(D_马仔培养宝物!$E8,D_马仔培养宝物!$T$3:$U$7,2,FALSE)))-1,0)</f>
        <v>92223</v>
      </c>
      <c r="G8" s="5">
        <f t="array" aca="1" ref="G8" ca="1">OFFSET(D_马仔培养宝物!$W$1,SMALL(IF(D_马仔培养宝物!$Z$2:$Z$64=D_马仔培养宝物!$E8,ROW($C$2:$H$64),""),RANDBETWEEN(1,VLOOKUP(D_马仔培养宝物!$E8,D_马仔培养宝物!$T$3:$U$7,2,FALSE)))-1,0)</f>
        <v>92274</v>
      </c>
      <c r="H8" s="5">
        <f t="array" aca="1" ref="H8" ca="1">OFFSET(D_马仔培养宝物!$W$1,SMALL(IF(D_马仔培养宝物!$Z$2:$Z$64=D_马仔培养宝物!$E8,ROW($C$2:$H$64),""),RANDBETWEEN(1,VLOOKUP(D_马仔培养宝物!$E8,D_马仔培养宝物!$T$3:$U$7,2,FALSE)))-1,0)</f>
        <v>92125</v>
      </c>
      <c r="J8" s="5">
        <v>92280</v>
      </c>
      <c r="K8" s="5">
        <v>92263</v>
      </c>
      <c r="L8" s="5">
        <v>92278</v>
      </c>
      <c r="M8" s="5">
        <v>92272</v>
      </c>
      <c r="N8" s="5">
        <v>92281</v>
      </c>
      <c r="O8" s="5">
        <v>92261</v>
      </c>
      <c r="P8">
        <f>VLOOKUP(J8,D_马仔培养宝物!$W$2:$AC$64,5,FALSE)+VLOOKUP(K8,D_马仔培养宝物!$W$2:$AC$64,5,FALSE)+VLOOKUP(L8,D_马仔培养宝物!$W$2:$AC$64,5,FALSE)+VLOOKUP(M8,D_马仔培养宝物!$W$2:$AC$64,5,FALSE)+VLOOKUP(N8,D_马仔培养宝物!$W$2:$AC$64,5,FALSE)+VLOOKUP(O8,D_马仔培养宝物!$W$2:$AC$64,5,FALSE)</f>
        <v>2469</v>
      </c>
      <c r="Q8">
        <f>VLOOKUP(J8,D_马仔培养宝物!$W$2:$AC$64,6,FALSE)+VLOOKUP(K8,D_马仔培养宝物!$W$2:$AC$64,6,FALSE)+VLOOKUP(L8,D_马仔培养宝物!$W$2:$AC$64,6,FALSE)+VLOOKUP(M8,D_马仔培养宝物!$W$2:$AC$64,6,FALSE)+VLOOKUP(N8,D_马仔培养宝物!$W$2:$AC$64,6,FALSE)+VLOOKUP(O8,D_马仔培养宝物!$W$2:$AC$64,6,FALSE)</f>
        <v>135</v>
      </c>
      <c r="R8">
        <f>VLOOKUP(J8,D_马仔培养宝物!$W$2:$AC$64,7,FALSE)+VLOOKUP(K8,D_马仔培养宝物!$W$2:$AC$64,7,FALSE)+VLOOKUP(L8,D_马仔培养宝物!$W$2:$AC$64,7,FALSE)+VLOOKUP(M8,D_马仔培养宝物!$W$2:$AC$64,7,FALSE)+VLOOKUP(N8,D_马仔培养宝物!$W$2:$AC$64,7,FALSE)+VLOOKUP(O8,D_马仔培养宝物!$W$2:$AC$64,7,FALSE)</f>
        <v>40</v>
      </c>
    </row>
    <row r="9" spans="3:18">
      <c r="C9" s="5">
        <f t="array" aca="1" ref="C9" ca="1">OFFSET(D_马仔培养宝物!$W$1,SMALL(IF(D_马仔培养宝物!$Z$2:$Z$64=D_马仔培养宝物!$E9,ROW($C$2:$H$64),""),RANDBETWEEN(1,VLOOKUP(D_马仔培养宝物!$E9,D_马仔培养宝物!$T$3:$U$7,2,FALSE)))-1,0)</f>
        <v>92236</v>
      </c>
      <c r="D9" s="5">
        <f t="array" aca="1" ref="D9" ca="1">OFFSET(D_马仔培养宝物!$W$1,SMALL(IF(D_马仔培养宝物!$Z$2:$Z$64=D_马仔培养宝物!$E9,ROW($C$2:$H$64),""),RANDBETWEEN(1,VLOOKUP(D_马仔培养宝物!$E9,D_马仔培养宝物!$T$3:$U$7,2,FALSE)))-1,0)</f>
        <v>92289</v>
      </c>
      <c r="E9" s="5">
        <f t="array" aca="1" ref="E9" ca="1">OFFSET(D_马仔培养宝物!$W$1,SMALL(IF(D_马仔培养宝物!$Z$2:$Z$64=D_马仔培养宝物!$E9,ROW($C$2:$H$64),""),RANDBETWEEN(1,VLOOKUP(D_马仔培养宝物!$E9,D_马仔培养宝物!$T$3:$U$7,2,FALSE)))-1,0)</f>
        <v>92285</v>
      </c>
      <c r="F9" s="5">
        <f t="array" aca="1" ref="F9" ca="1">OFFSET(D_马仔培养宝物!$W$1,SMALL(IF(D_马仔培养宝物!$Z$2:$Z$64=D_马仔培养宝物!$E9,ROW($C$2:$H$64),""),RANDBETWEEN(1,VLOOKUP(D_马仔培养宝物!$E9,D_马仔培养宝物!$T$3:$U$7,2,FALSE)))-1,0)</f>
        <v>92253</v>
      </c>
      <c r="G9" s="5">
        <f t="array" aca="1" ref="G9" ca="1">OFFSET(D_马仔培养宝物!$W$1,SMALL(IF(D_马仔培养宝物!$Z$2:$Z$64=D_马仔培养宝物!$E9,ROW($C$2:$H$64),""),RANDBETWEEN(1,VLOOKUP(D_马仔培养宝物!$E9,D_马仔培养宝物!$T$3:$U$7,2,FALSE)))-1,0)</f>
        <v>92254</v>
      </c>
      <c r="H9" s="5">
        <f t="array" aca="1" ref="H9" ca="1">OFFSET(D_马仔培养宝物!$W$1,SMALL(IF(D_马仔培养宝物!$Z$2:$Z$64=D_马仔培养宝物!$E9,ROW($C$2:$H$64),""),RANDBETWEEN(1,VLOOKUP(D_马仔培养宝物!$E9,D_马仔培养宝物!$T$3:$U$7,2,FALSE)))-1,0)</f>
        <v>92254</v>
      </c>
      <c r="J9" s="5">
        <v>92280</v>
      </c>
      <c r="K9" s="5">
        <v>92274</v>
      </c>
      <c r="L9" s="5">
        <v>92279</v>
      </c>
      <c r="M9" s="5">
        <v>92275</v>
      </c>
      <c r="N9" s="5">
        <v>92278</v>
      </c>
      <c r="O9" s="5">
        <v>92281</v>
      </c>
      <c r="P9">
        <f>VLOOKUP(J9,D_马仔培养宝物!$W$2:$AC$64,5,FALSE)+VLOOKUP(K9,D_马仔培养宝物!$W$2:$AC$64,5,FALSE)+VLOOKUP(L9,D_马仔培养宝物!$W$2:$AC$64,5,FALSE)+VLOOKUP(M9,D_马仔培养宝物!$W$2:$AC$64,5,FALSE)+VLOOKUP(N9,D_马仔培养宝物!$W$2:$AC$64,5,FALSE)+VLOOKUP(O9,D_马仔培养宝物!$W$2:$AC$64,5,FALSE)</f>
        <v>3292</v>
      </c>
      <c r="Q9">
        <f>VLOOKUP(J9,D_马仔培养宝物!$W$2:$AC$64,6,FALSE)+VLOOKUP(K9,D_马仔培养宝物!$W$2:$AC$64,6,FALSE)+VLOOKUP(L9,D_马仔培养宝物!$W$2:$AC$64,6,FALSE)+VLOOKUP(M9,D_马仔培养宝物!$W$2:$AC$64,6,FALSE)+VLOOKUP(N9,D_马仔培养宝物!$W$2:$AC$64,6,FALSE)+VLOOKUP(O9,D_马仔培养宝物!$W$2:$AC$64,6,FALSE)</f>
        <v>125</v>
      </c>
      <c r="R9">
        <f>VLOOKUP(J9,D_马仔培养宝物!$W$2:$AC$64,7,FALSE)+VLOOKUP(K9,D_马仔培养宝物!$W$2:$AC$64,7,FALSE)+VLOOKUP(L9,D_马仔培养宝物!$W$2:$AC$64,7,FALSE)+VLOOKUP(M9,D_马仔培养宝物!$W$2:$AC$64,7,FALSE)+VLOOKUP(N9,D_马仔培养宝物!$W$2:$AC$64,7,FALSE)+VLOOKUP(O9,D_马仔培养宝物!$W$2:$AC$64,7,FALSE)</f>
        <v>53</v>
      </c>
    </row>
    <row r="10" spans="3:18">
      <c r="C10" s="5">
        <f t="array" aca="1" ref="C10" ca="1">OFFSET(D_马仔培养宝物!$W$1,SMALL(IF(D_马仔培养宝物!$Z$2:$Z$64=D_马仔培养宝物!$E10,ROW($C$2:$H$64),""),RANDBETWEEN(1,VLOOKUP(D_马仔培养宝物!$E10,D_马仔培养宝物!$T$3:$U$7,2,FALSE)))-1,0)</f>
        <v>92293</v>
      </c>
      <c r="D10" s="5">
        <f t="array" aca="1" ref="D10" ca="1">OFFSET(D_马仔培养宝物!$W$1,SMALL(IF(D_马仔培养宝物!$Z$2:$Z$64=D_马仔培养宝物!$E10,ROW($C$2:$H$64),""),RANDBETWEEN(1,VLOOKUP(D_马仔培养宝物!$E10,D_马仔培养宝物!$T$3:$U$7,2,FALSE)))-1,0)</f>
        <v>92256</v>
      </c>
      <c r="E10" s="5">
        <f t="array" aca="1" ref="E10" ca="1">OFFSET(D_马仔培养宝物!$W$1,SMALL(IF(D_马仔培养宝物!$Z$2:$Z$64=D_马仔培养宝物!$E10,ROW($C$2:$H$64),""),RANDBETWEEN(1,VLOOKUP(D_马仔培养宝物!$E10,D_马仔培养宝物!$T$3:$U$7,2,FALSE)))-1,0)</f>
        <v>92293</v>
      </c>
      <c r="F10" s="5">
        <f t="array" aca="1" ref="F10" ca="1">OFFSET(D_马仔培养宝物!$W$1,SMALL(IF(D_马仔培养宝物!$Z$2:$Z$64=D_马仔培养宝物!$E10,ROW($C$2:$H$64),""),RANDBETWEEN(1,VLOOKUP(D_马仔培养宝物!$E10,D_马仔培养宝物!$T$3:$U$7,2,FALSE)))-1,0)</f>
        <v>92276</v>
      </c>
      <c r="G10" s="5">
        <f t="array" aca="1" ref="G10" ca="1">OFFSET(D_马仔培养宝物!$W$1,SMALL(IF(D_马仔培养宝物!$Z$2:$Z$64=D_马仔培养宝物!$E10,ROW($C$2:$H$64),""),RANDBETWEEN(1,VLOOKUP(D_马仔培养宝物!$E10,D_马仔培养宝物!$T$3:$U$7,2,FALSE)))-1,0)</f>
        <v>92286</v>
      </c>
      <c r="H10" s="5">
        <f t="array" aca="1" ref="H10" ca="1">OFFSET(D_马仔培养宝物!$W$1,SMALL(IF(D_马仔培养宝物!$Z$2:$Z$64=D_马仔培养宝物!$E10,ROW($C$2:$H$64),""),RANDBETWEEN(1,VLOOKUP(D_马仔培养宝物!$E10,D_马仔培养宝物!$T$3:$U$7,2,FALSE)))-1,0)</f>
        <v>92261</v>
      </c>
      <c r="J10" s="5">
        <v>92243</v>
      </c>
      <c r="K10" s="5">
        <v>92292</v>
      </c>
      <c r="L10" s="5">
        <v>92244</v>
      </c>
      <c r="M10" s="5">
        <v>92256</v>
      </c>
      <c r="N10" s="5">
        <v>92297</v>
      </c>
      <c r="O10" s="5">
        <v>92290</v>
      </c>
      <c r="P10">
        <f>VLOOKUP(J10,D_马仔培养宝物!$W$2:$AC$64,5,FALSE)+VLOOKUP(K10,D_马仔培养宝物!$W$2:$AC$64,5,FALSE)+VLOOKUP(L10,D_马仔培养宝物!$W$2:$AC$64,5,FALSE)+VLOOKUP(M10,D_马仔培养宝物!$W$2:$AC$64,5,FALSE)+VLOOKUP(N10,D_马仔培养宝物!$W$2:$AC$64,5,FALSE)+VLOOKUP(O10,D_马仔培养宝物!$W$2:$AC$64,5,FALSE)</f>
        <v>5968</v>
      </c>
      <c r="Q10">
        <f>VLOOKUP(J10,D_马仔培养宝物!$W$2:$AC$64,6,FALSE)+VLOOKUP(K10,D_马仔培养宝物!$W$2:$AC$64,6,FALSE)+VLOOKUP(L10,D_马仔培养宝物!$W$2:$AC$64,6,FALSE)+VLOOKUP(M10,D_马仔培养宝物!$W$2:$AC$64,6,FALSE)+VLOOKUP(N10,D_马仔培养宝物!$W$2:$AC$64,6,FALSE)+VLOOKUP(O10,D_马仔培养宝物!$W$2:$AC$64,6,FALSE)</f>
        <v>94</v>
      </c>
      <c r="R10">
        <f>VLOOKUP(J10,D_马仔培养宝物!$W$2:$AC$64,7,FALSE)+VLOOKUP(K10,D_马仔培养宝物!$W$2:$AC$64,7,FALSE)+VLOOKUP(L10,D_马仔培养宝物!$W$2:$AC$64,7,FALSE)+VLOOKUP(M10,D_马仔培养宝物!$W$2:$AC$64,7,FALSE)+VLOOKUP(N10,D_马仔培养宝物!$W$2:$AC$64,7,FALSE)+VLOOKUP(O10,D_马仔培养宝物!$W$2:$AC$64,7,FALSE)</f>
        <v>4</v>
      </c>
    </row>
    <row r="11" spans="3:18">
      <c r="C11" s="5">
        <f t="array" aca="1" ref="C11" ca="1">OFFSET(D_马仔培养宝物!$W$1,SMALL(IF(D_马仔培养宝物!$Z$2:$Z$64=D_马仔培养宝物!$E11,ROW($C$2:$H$64),""),RANDBETWEEN(1,VLOOKUP(D_马仔培养宝物!$E11,D_马仔培养宝物!$T$3:$U$7,2,FALSE)))-1,0)</f>
        <v>92282</v>
      </c>
      <c r="D11" s="5">
        <f t="array" aca="1" ref="D11" ca="1">OFFSET(D_马仔培养宝物!$W$1,SMALL(IF(D_马仔培养宝物!$Z$2:$Z$64=D_马仔培养宝物!$E11,ROW($C$2:$H$64),""),RANDBETWEEN(1,VLOOKUP(D_马仔培养宝物!$E11,D_马仔培养宝物!$T$3:$U$7,2,FALSE)))-1,0)</f>
        <v>92296</v>
      </c>
      <c r="E11" s="5">
        <f t="array" aca="1" ref="E11" ca="1">OFFSET(D_马仔培养宝物!$W$1,SMALL(IF(D_马仔培养宝物!$Z$2:$Z$64=D_马仔培养宝物!$E11,ROW($C$2:$H$64),""),RANDBETWEEN(1,VLOOKUP(D_马仔培养宝物!$E11,D_马仔培养宝物!$T$3:$U$7,2,FALSE)))-1,0)</f>
        <v>92240</v>
      </c>
      <c r="F11" s="5">
        <f t="array" aca="1" ref="F11" ca="1">OFFSET(D_马仔培养宝物!$W$1,SMALL(IF(D_马仔培养宝物!$Z$2:$Z$64=D_马仔培养宝物!$E11,ROW($C$2:$H$64),""),RANDBETWEEN(1,VLOOKUP(D_马仔培养宝物!$E11,D_马仔培养宝物!$T$3:$U$7,2,FALSE)))-1,0)</f>
        <v>92298</v>
      </c>
      <c r="G11" s="5">
        <f t="array" aca="1" ref="G11" ca="1">OFFSET(D_马仔培养宝物!$W$1,SMALL(IF(D_马仔培养宝物!$Z$2:$Z$64=D_马仔培养宝物!$E11,ROW($C$2:$H$64),""),RANDBETWEEN(1,VLOOKUP(D_马仔培养宝物!$E11,D_马仔培养宝物!$T$3:$U$7,2,FALSE)))-1,0)</f>
        <v>92014</v>
      </c>
      <c r="H11" s="5">
        <f t="array" aca="1" ref="H11" ca="1">OFFSET(D_马仔培养宝物!$W$1,SMALL(IF(D_马仔培养宝物!$Z$2:$Z$64=D_马仔培养宝物!$E11,ROW($C$2:$H$64),""),RANDBETWEEN(1,VLOOKUP(D_马仔培养宝物!$E11,D_马仔培养宝物!$T$3:$U$7,2,FALSE)))-1,0)</f>
        <v>92299</v>
      </c>
      <c r="J11" s="5">
        <v>92292</v>
      </c>
      <c r="K11" s="5">
        <v>92296</v>
      </c>
      <c r="L11" s="5">
        <v>92291</v>
      </c>
      <c r="M11" s="5">
        <v>92256</v>
      </c>
      <c r="N11" s="5">
        <v>92251</v>
      </c>
      <c r="O11" s="5">
        <v>92298</v>
      </c>
      <c r="P11">
        <f>VLOOKUP(J11,D_马仔培养宝物!$W$2:$AC$64,5,FALSE)+VLOOKUP(K11,D_马仔培养宝物!$W$2:$AC$64,5,FALSE)+VLOOKUP(L11,D_马仔培养宝物!$W$2:$AC$64,5,FALSE)+VLOOKUP(M11,D_马仔培养宝物!$W$2:$AC$64,5,FALSE)+VLOOKUP(N11,D_马仔培养宝物!$W$2:$AC$64,5,FALSE)+VLOOKUP(O11,D_马仔培养宝物!$W$2:$AC$64,5,FALSE)</f>
        <v>3910</v>
      </c>
      <c r="Q11">
        <f>VLOOKUP(J11,D_马仔培养宝物!$W$2:$AC$64,6,FALSE)+VLOOKUP(K11,D_马仔培养宝物!$W$2:$AC$64,6,FALSE)+VLOOKUP(L11,D_马仔培养宝物!$W$2:$AC$64,6,FALSE)+VLOOKUP(M11,D_马仔培养宝物!$W$2:$AC$64,6,FALSE)+VLOOKUP(N11,D_马仔培养宝物!$W$2:$AC$64,6,FALSE)+VLOOKUP(O11,D_马仔培养宝物!$W$2:$AC$64,6,FALSE)</f>
        <v>219</v>
      </c>
      <c r="R11">
        <f>VLOOKUP(J11,D_马仔培养宝物!$W$2:$AC$64,7,FALSE)+VLOOKUP(K11,D_马仔培养宝物!$W$2:$AC$64,7,FALSE)+VLOOKUP(L11,D_马仔培养宝物!$W$2:$AC$64,7,FALSE)+VLOOKUP(M11,D_马仔培养宝物!$W$2:$AC$64,7,FALSE)+VLOOKUP(N11,D_马仔培养宝物!$W$2:$AC$64,7,FALSE)+VLOOKUP(O11,D_马仔培养宝物!$W$2:$AC$64,7,FALSE)</f>
        <v>44</v>
      </c>
    </row>
    <row r="12" spans="3:18">
      <c r="C12" s="5">
        <f t="array" aca="1" ref="C12" ca="1">OFFSET(D_马仔培养宝物!$W$1,SMALL(IF(D_马仔培养宝物!$Z$2:$Z$64=D_马仔培养宝物!$E12,ROW($C$2:$H$64),""),RANDBETWEEN(1,VLOOKUP(D_马仔培养宝物!$E12,D_马仔培养宝物!$T$3:$U$7,2,FALSE)))-1,0)</f>
        <v>92262</v>
      </c>
      <c r="D12" s="5">
        <f t="array" aca="1" ref="D12" ca="1">OFFSET(D_马仔培养宝物!$W$1,SMALL(IF(D_马仔培养宝物!$Z$2:$Z$64=D_马仔培养宝物!$E12,ROW($C$2:$H$64),""),RANDBETWEEN(1,VLOOKUP(D_马仔培养宝物!$E12,D_马仔培养宝物!$T$3:$U$7,2,FALSE)))-1,0)</f>
        <v>92275</v>
      </c>
      <c r="E12" s="5">
        <f t="array" aca="1" ref="E12" ca="1">OFFSET(D_马仔培养宝物!$W$1,SMALL(IF(D_马仔培养宝物!$Z$2:$Z$64=D_马仔培养宝物!$E12,ROW($C$2:$H$64),""),RANDBETWEEN(1,VLOOKUP(D_马仔培养宝物!$E12,D_马仔培养宝物!$T$3:$U$7,2,FALSE)))-1,0)</f>
        <v>92299</v>
      </c>
      <c r="F12" s="5">
        <f t="array" aca="1" ref="F12" ca="1">OFFSET(D_马仔培养宝物!$W$1,SMALL(IF(D_马仔培养宝物!$Z$2:$Z$64=D_马仔培养宝物!$E12,ROW($C$2:$H$64),""),RANDBETWEEN(1,VLOOKUP(D_马仔培养宝物!$E12,D_马仔培养宝物!$T$3:$U$7,2,FALSE)))-1,0)</f>
        <v>92292</v>
      </c>
      <c r="G12" s="5">
        <f t="array" aca="1" ref="G12" ca="1">OFFSET(D_马仔培养宝物!$W$1,SMALL(IF(D_马仔培养宝物!$Z$2:$Z$64=D_马仔培养宝物!$E12,ROW($C$2:$H$64),""),RANDBETWEEN(1,VLOOKUP(D_马仔培养宝物!$E12,D_马仔培养宝物!$T$3:$U$7,2,FALSE)))-1,0)</f>
        <v>92299</v>
      </c>
      <c r="H12" s="5">
        <f t="array" aca="1" ref="H12" ca="1">OFFSET(D_马仔培养宝物!$W$1,SMALL(IF(D_马仔培养宝物!$Z$2:$Z$64=D_马仔培养宝物!$E12,ROW($C$2:$H$64),""),RANDBETWEEN(1,VLOOKUP(D_马仔培养宝物!$E12,D_马仔培养宝物!$T$3:$U$7,2,FALSE)))-1,0)</f>
        <v>92292</v>
      </c>
      <c r="J12" s="5">
        <v>92292</v>
      </c>
      <c r="K12" s="5">
        <v>92291</v>
      </c>
      <c r="L12" s="5">
        <v>92251</v>
      </c>
      <c r="M12" s="5">
        <v>92254</v>
      </c>
      <c r="N12" s="5">
        <v>92299</v>
      </c>
      <c r="O12" s="5">
        <v>92253</v>
      </c>
      <c r="P12">
        <f>VLOOKUP(J12,D_马仔培养宝物!$W$2:$AC$64,5,FALSE)+VLOOKUP(K12,D_马仔培养宝物!$W$2:$AC$64,5,FALSE)+VLOOKUP(L12,D_马仔培养宝物!$W$2:$AC$64,5,FALSE)+VLOOKUP(M12,D_马仔培养宝物!$W$2:$AC$64,5,FALSE)+VLOOKUP(N12,D_马仔培养宝物!$W$2:$AC$64,5,FALSE)+VLOOKUP(O12,D_马仔培养宝物!$W$2:$AC$64,5,FALSE)</f>
        <v>5350</v>
      </c>
      <c r="Q12">
        <f>VLOOKUP(J12,D_马仔培养宝物!$W$2:$AC$64,6,FALSE)+VLOOKUP(K12,D_马仔培养宝物!$W$2:$AC$64,6,FALSE)+VLOOKUP(L12,D_马仔培养宝物!$W$2:$AC$64,6,FALSE)+VLOOKUP(M12,D_马仔培养宝物!$W$2:$AC$64,6,FALSE)+VLOOKUP(N12,D_马仔培养宝物!$W$2:$AC$64,6,FALSE)+VLOOKUP(O12,D_马仔培养宝物!$W$2:$AC$64,6,FALSE)</f>
        <v>104</v>
      </c>
      <c r="R12">
        <f>VLOOKUP(J12,D_马仔培养宝物!$W$2:$AC$64,7,FALSE)+VLOOKUP(K12,D_马仔培养宝物!$W$2:$AC$64,7,FALSE)+VLOOKUP(L12,D_马仔培养宝物!$W$2:$AC$64,7,FALSE)+VLOOKUP(M12,D_马仔培养宝物!$W$2:$AC$64,7,FALSE)+VLOOKUP(N12,D_马仔培养宝物!$W$2:$AC$64,7,FALSE)+VLOOKUP(O12,D_马仔培养宝物!$W$2:$AC$64,7,FALSE)</f>
        <v>44</v>
      </c>
    </row>
    <row r="13" spans="3:18" ht="14.25" thickBot="1">
      <c r="C13" s="22">
        <f t="array" aca="1" ref="C13" ca="1">OFFSET(D_马仔培养宝物!$W$1,SMALL(IF(D_马仔培养宝物!$Z$2:$Z$64=D_马仔培养宝物!$E13,ROW($C$2:$H$64),""),RANDBETWEEN(1,VLOOKUP(D_马仔培养宝物!$E13,D_马仔培养宝物!$T$3:$U$7,2,FALSE)))-1,0)</f>
        <v>92275</v>
      </c>
      <c r="D13" s="22">
        <f t="array" aca="1" ref="D13" ca="1">OFFSET(D_马仔培养宝物!$W$1,SMALL(IF(D_马仔培养宝物!$Z$2:$Z$64=D_马仔培养宝物!$E13,ROW($C$2:$H$64),""),RANDBETWEEN(1,VLOOKUP(D_马仔培养宝物!$E13,D_马仔培养宝物!$T$3:$U$7,2,FALSE)))-1,0)</f>
        <v>92026</v>
      </c>
      <c r="E13" s="22">
        <f t="array" aca="1" ref="E13" ca="1">OFFSET(D_马仔培养宝物!$W$1,SMALL(IF(D_马仔培养宝物!$Z$2:$Z$64=D_马仔培养宝物!$E13,ROW($C$2:$H$64),""),RANDBETWEEN(1,VLOOKUP(D_马仔培养宝物!$E13,D_马仔培养宝物!$T$3:$U$7,2,FALSE)))-1,0)</f>
        <v>92240</v>
      </c>
      <c r="F13" s="22">
        <f t="array" aca="1" ref="F13" ca="1">OFFSET(D_马仔培养宝物!$W$1,SMALL(IF(D_马仔培养宝物!$Z$2:$Z$64=D_马仔培养宝物!$E13,ROW($C$2:$H$64),""),RANDBETWEEN(1,VLOOKUP(D_马仔培养宝物!$E13,D_马仔培养宝物!$T$3:$U$7,2,FALSE)))-1,0)</f>
        <v>92261</v>
      </c>
      <c r="G13" s="22">
        <f t="array" aca="1" ref="G13" ca="1">OFFSET(D_马仔培养宝物!$W$1,SMALL(IF(D_马仔培养宝物!$Z$2:$Z$64=D_马仔培养宝物!$E13,ROW($C$2:$H$64),""),RANDBETWEEN(1,VLOOKUP(D_马仔培养宝物!$E13,D_马仔培养宝物!$T$3:$U$7,2,FALSE)))-1,0)</f>
        <v>92282</v>
      </c>
      <c r="H13" s="22">
        <f t="array" aca="1" ref="H13" ca="1">OFFSET(D_马仔培养宝物!$W$1,SMALL(IF(D_马仔培养宝物!$Z$2:$Z$64=D_马仔培养宝物!$E13,ROW($C$2:$H$64),""),RANDBETWEEN(1,VLOOKUP(D_马仔培养宝物!$E13,D_马仔培养宝物!$T$3:$U$7,2,FALSE)))-1,0)</f>
        <v>92256</v>
      </c>
      <c r="J13" s="22">
        <v>92245</v>
      </c>
      <c r="K13" s="22">
        <v>92289</v>
      </c>
      <c r="L13" s="22">
        <v>92290</v>
      </c>
      <c r="M13" s="22">
        <v>92240</v>
      </c>
      <c r="N13" s="22">
        <v>92295</v>
      </c>
      <c r="O13" s="22">
        <v>92294</v>
      </c>
      <c r="P13">
        <f>VLOOKUP(J13,D_马仔培养宝物!$W$2:$AC$64,5,FALSE)+VLOOKUP(K13,D_马仔培养宝物!$W$2:$AC$64,5,FALSE)+VLOOKUP(L13,D_马仔培养宝物!$W$2:$AC$64,5,FALSE)+VLOOKUP(M13,D_马仔培养宝物!$W$2:$AC$64,5,FALSE)+VLOOKUP(N13,D_马仔培养宝物!$W$2:$AC$64,5,FALSE)+VLOOKUP(O13,D_马仔培养宝物!$W$2:$AC$64,5,FALSE)</f>
        <v>4527</v>
      </c>
      <c r="Q13">
        <f>VLOOKUP(J13,D_马仔培养宝物!$W$2:$AC$64,6,FALSE)+VLOOKUP(K13,D_马仔培养宝物!$W$2:$AC$64,6,FALSE)+VLOOKUP(L13,D_马仔培养宝物!$W$2:$AC$64,6,FALSE)+VLOOKUP(M13,D_马仔培养宝物!$W$2:$AC$64,6,FALSE)+VLOOKUP(N13,D_马仔培养宝物!$W$2:$AC$64,6,FALSE)+VLOOKUP(O13,D_马仔培养宝物!$W$2:$AC$64,6,FALSE)</f>
        <v>0</v>
      </c>
      <c r="R13">
        <f>VLOOKUP(J13,D_马仔培养宝物!$W$2:$AC$64,7,FALSE)+VLOOKUP(K13,D_马仔培养宝物!$W$2:$AC$64,7,FALSE)+VLOOKUP(L13,D_马仔培养宝物!$W$2:$AC$64,7,FALSE)+VLOOKUP(M13,D_马仔培养宝物!$W$2:$AC$64,7,FALSE)+VLOOKUP(N13,D_马仔培养宝物!$W$2:$AC$64,7,FALSE)+VLOOKUP(O13,D_马仔培养宝物!$W$2:$AC$64,7,FALSE)</f>
        <v>115</v>
      </c>
    </row>
    <row r="14" spans="3:18">
      <c r="C14" s="19">
        <f t="array" aca="1" ref="C14" ca="1">OFFSET(D_马仔培养宝物!$W$1,SMALL(IF(D_马仔培养宝物!$Z$2:$Z$64=D_马仔培养宝物!$E14,ROW($C$2:$H$64),""),RANDBETWEEN(1,VLOOKUP(D_马仔培养宝物!$E14,D_马仔培养宝物!$T$3:$U$7,2,FALSE)))-1,0)</f>
        <v>92228</v>
      </c>
      <c r="D14" s="19">
        <f t="array" aca="1" ref="D14" ca="1">OFFSET(D_马仔培养宝物!$W$1,SMALL(IF(D_马仔培养宝物!$Z$2:$Z$64=D_马仔培养宝物!$E14,ROW($C$2:$H$64),""),RANDBETWEEN(1,VLOOKUP(D_马仔培养宝物!$E14,D_马仔培养宝物!$T$3:$U$7,2,FALSE)))-1,0)</f>
        <v>92277</v>
      </c>
      <c r="E14" s="19">
        <f t="array" aca="1" ref="E14" ca="1">OFFSET(D_马仔培养宝物!$W$1,SMALL(IF(D_马仔培养宝物!$Z$2:$Z$64=D_马仔培养宝物!$E14,ROW($C$2:$H$64),""),RANDBETWEEN(1,VLOOKUP(D_马仔培养宝物!$E14,D_马仔培养宝物!$T$3:$U$7,2,FALSE)))-1,0)</f>
        <v>92232</v>
      </c>
      <c r="F14" s="19">
        <f t="array" aca="1" ref="F14" ca="1">OFFSET(D_马仔培养宝物!$W$1,SMALL(IF(D_马仔培养宝物!$Z$2:$Z$64=D_马仔培养宝物!$E14,ROW($C$2:$H$64),""),RANDBETWEEN(1,VLOOKUP(D_马仔培养宝物!$E14,D_马仔培养宝物!$T$3:$U$7,2,FALSE)))-1,0)</f>
        <v>92131</v>
      </c>
      <c r="G14" s="19">
        <f t="array" aca="1" ref="G14" ca="1">OFFSET(D_马仔培养宝物!$W$1,SMALL(IF(D_马仔培养宝物!$Z$2:$Z$64=D_马仔培养宝物!$E14,ROW($C$2:$H$64),""),RANDBETWEEN(1,VLOOKUP(D_马仔培养宝物!$E14,D_马仔培养宝物!$T$3:$U$7,2,FALSE)))-1,0)</f>
        <v>92232</v>
      </c>
      <c r="H14" s="19">
        <f t="array" aca="1" ref="H14" ca="1">OFFSET(D_马仔培养宝物!$W$1,SMALL(IF(D_马仔培养宝物!$Z$2:$Z$64=D_马仔培养宝物!$E14,ROW($C$2:$H$64),""),RANDBETWEEN(1,VLOOKUP(D_马仔培养宝物!$E14,D_马仔培养宝物!$T$3:$U$7,2,FALSE)))-1,0)</f>
        <v>92131</v>
      </c>
      <c r="J14" s="19">
        <v>92011</v>
      </c>
      <c r="K14" s="19">
        <v>92227</v>
      </c>
      <c r="L14" s="19">
        <v>92026</v>
      </c>
      <c r="M14" s="19">
        <v>92125</v>
      </c>
      <c r="N14" s="19">
        <v>92223</v>
      </c>
      <c r="O14" s="19">
        <v>92012</v>
      </c>
      <c r="P14">
        <f>VLOOKUP(J14,D_马仔培养宝物!$W$2:$AC$64,5,FALSE)+VLOOKUP(K14,D_马仔培养宝物!$W$2:$AC$64,5,FALSE)+VLOOKUP(L14,D_马仔培养宝物!$W$2:$AC$64,5,FALSE)+VLOOKUP(M14,D_马仔培养宝物!$W$2:$AC$64,5,FALSE)+VLOOKUP(N14,D_马仔培养宝物!$W$2:$AC$64,5,FALSE)+VLOOKUP(O14,D_马仔培养宝物!$W$2:$AC$64,5,FALSE)</f>
        <v>2469</v>
      </c>
      <c r="Q14">
        <f>VLOOKUP(J14,D_马仔培养宝物!$W$2:$AC$64,6,FALSE)+VLOOKUP(K14,D_马仔培养宝物!$W$2:$AC$64,6,FALSE)+VLOOKUP(L14,D_马仔培养宝物!$W$2:$AC$64,6,FALSE)+VLOOKUP(M14,D_马仔培养宝物!$W$2:$AC$64,6,FALSE)+VLOOKUP(N14,D_马仔培养宝物!$W$2:$AC$64,6,FALSE)+VLOOKUP(O14,D_马仔培养宝物!$W$2:$AC$64,6,FALSE)</f>
        <v>115</v>
      </c>
      <c r="R14">
        <f>VLOOKUP(J14,D_马仔培养宝物!$W$2:$AC$64,7,FALSE)+VLOOKUP(K14,D_马仔培养宝物!$W$2:$AC$64,7,FALSE)+VLOOKUP(L14,D_马仔培养宝物!$W$2:$AC$64,7,FALSE)+VLOOKUP(M14,D_马仔培养宝物!$W$2:$AC$64,7,FALSE)+VLOOKUP(N14,D_马仔培养宝物!$W$2:$AC$64,7,FALSE)+VLOOKUP(O14,D_马仔培养宝物!$W$2:$AC$64,7,FALSE)</f>
        <v>62</v>
      </c>
    </row>
    <row r="15" spans="3:18">
      <c r="C15" s="5">
        <f t="array" aca="1" ref="C15" ca="1">OFFSET(D_马仔培养宝物!$W$1,SMALL(IF(D_马仔培养宝物!$Z$2:$Z$64=D_马仔培养宝物!$E15,ROW($C$2:$H$64),""),RANDBETWEEN(1,VLOOKUP(D_马仔培养宝物!$E15,D_马仔培养宝物!$T$3:$U$7,2,FALSE)))-1,0)</f>
        <v>92277</v>
      </c>
      <c r="D15" s="5">
        <f t="array" aca="1" ref="D15" ca="1">OFFSET(D_马仔培养宝物!$W$1,SMALL(IF(D_马仔培养宝物!$Z$2:$Z$64=D_马仔培养宝物!$E15,ROW($C$2:$H$64),""),RANDBETWEEN(1,VLOOKUP(D_马仔培养宝物!$E15,D_马仔培养宝物!$T$3:$U$7,2,FALSE)))-1,0)</f>
        <v>92244</v>
      </c>
      <c r="E15" s="5">
        <f t="array" aca="1" ref="E15" ca="1">OFFSET(D_马仔培养宝物!$W$1,SMALL(IF(D_马仔培养宝物!$Z$2:$Z$64=D_马仔培养宝物!$E15,ROW($C$2:$H$64),""),RANDBETWEEN(1,VLOOKUP(D_马仔培养宝物!$E15,D_马仔培养宝物!$T$3:$U$7,2,FALSE)))-1,0)</f>
        <v>92244</v>
      </c>
      <c r="F15" s="5">
        <f t="array" aca="1" ref="F15" ca="1">OFFSET(D_马仔培养宝物!$W$1,SMALL(IF(D_马仔培养宝物!$Z$2:$Z$64=D_马仔培养宝物!$E15,ROW($C$2:$H$64),""),RANDBETWEEN(1,VLOOKUP(D_马仔培养宝物!$E15,D_马仔培养宝物!$T$3:$U$7,2,FALSE)))-1,0)</f>
        <v>92011</v>
      </c>
      <c r="G15" s="5">
        <f t="array" aca="1" ref="G15" ca="1">OFFSET(D_马仔培养宝物!$W$1,SMALL(IF(D_马仔培养宝物!$Z$2:$Z$64=D_马仔培养宝物!$E15,ROW($C$2:$H$64),""),RANDBETWEEN(1,VLOOKUP(D_马仔培养宝物!$E15,D_马仔培养宝物!$T$3:$U$7,2,FALSE)))-1,0)</f>
        <v>92228</v>
      </c>
      <c r="H15" s="5">
        <f t="array" aca="1" ref="H15" ca="1">OFFSET(D_马仔培养宝物!$W$1,SMALL(IF(D_马仔培养宝物!$Z$2:$Z$64=D_马仔培养宝物!$E15,ROW($C$2:$H$64),""),RANDBETWEEN(1,VLOOKUP(D_马仔培养宝物!$E15,D_马仔培养宝物!$T$3:$U$7,2,FALSE)))-1,0)</f>
        <v>92244</v>
      </c>
      <c r="J15" s="5">
        <v>92013</v>
      </c>
      <c r="K15" s="5">
        <v>92011</v>
      </c>
      <c r="L15" s="5">
        <v>92026</v>
      </c>
      <c r="M15" s="5">
        <v>92122</v>
      </c>
      <c r="N15" s="5">
        <v>92012</v>
      </c>
      <c r="O15" s="5">
        <v>92124</v>
      </c>
      <c r="P15">
        <f>VLOOKUP(J15,D_马仔培养宝物!$W$2:$AC$64,5,FALSE)+VLOOKUP(K15,D_马仔培养宝物!$W$2:$AC$64,5,FALSE)+VLOOKUP(L15,D_马仔培养宝物!$W$2:$AC$64,5,FALSE)+VLOOKUP(M15,D_马仔培养宝物!$W$2:$AC$64,5,FALSE)+VLOOKUP(N15,D_马仔培养宝物!$W$2:$AC$64,5,FALSE)+VLOOKUP(O15,D_马仔培养宝物!$W$2:$AC$64,5,FALSE)</f>
        <v>1029</v>
      </c>
      <c r="Q15">
        <f>VLOOKUP(J15,D_马仔培养宝物!$W$2:$AC$64,6,FALSE)+VLOOKUP(K15,D_马仔培养宝物!$W$2:$AC$64,6,FALSE)+VLOOKUP(L15,D_马仔培养宝物!$W$2:$AC$64,6,FALSE)+VLOOKUP(M15,D_马仔培养宝物!$W$2:$AC$64,6,FALSE)+VLOOKUP(N15,D_马仔培养宝物!$W$2:$AC$64,6,FALSE)+VLOOKUP(O15,D_马仔培养宝物!$W$2:$AC$64,6,FALSE)</f>
        <v>146</v>
      </c>
      <c r="R15">
        <f>VLOOKUP(J15,D_马仔培养宝物!$W$2:$AC$64,7,FALSE)+VLOOKUP(K15,D_马仔培养宝物!$W$2:$AC$64,7,FALSE)+VLOOKUP(L15,D_马仔培养宝物!$W$2:$AC$64,7,FALSE)+VLOOKUP(M15,D_马仔培养宝物!$W$2:$AC$64,7,FALSE)+VLOOKUP(N15,D_马仔培养宝物!$W$2:$AC$64,7,FALSE)+VLOOKUP(O15,D_马仔培养宝物!$W$2:$AC$64,7,FALSE)</f>
        <v>53</v>
      </c>
    </row>
    <row r="16" spans="3:18">
      <c r="C16" s="5">
        <f t="array" aca="1" ref="C16" ca="1">OFFSET(D_马仔培养宝物!$W$1,SMALL(IF(D_马仔培养宝物!$Z$2:$Z$64=D_马仔培养宝物!$E16,ROW($C$2:$H$64),""),RANDBETWEEN(1,VLOOKUP(D_马仔培养宝物!$E16,D_马仔培养宝物!$T$3:$U$7,2,FALSE)))-1,0)</f>
        <v>92283</v>
      </c>
      <c r="D16" s="5">
        <f t="array" aca="1" ref="D16" ca="1">OFFSET(D_马仔培养宝物!$W$1,SMALL(IF(D_马仔培养宝物!$Z$2:$Z$64=D_马仔培养宝物!$E16,ROW($C$2:$H$64),""),RANDBETWEEN(1,VLOOKUP(D_马仔培养宝物!$E16,D_马仔培养宝物!$T$3:$U$7,2,FALSE)))-1,0)</f>
        <v>92122</v>
      </c>
      <c r="E16" s="5">
        <f t="array" aca="1" ref="E16" ca="1">OFFSET(D_马仔培养宝物!$W$1,SMALL(IF(D_马仔培养宝物!$Z$2:$Z$64=D_马仔培养宝物!$E16,ROW($C$2:$H$64),""),RANDBETWEEN(1,VLOOKUP(D_马仔培养宝物!$E16,D_马仔培养宝物!$T$3:$U$7,2,FALSE)))-1,0)</f>
        <v>92271</v>
      </c>
      <c r="F16" s="5">
        <f t="array" aca="1" ref="F16" ca="1">OFFSET(D_马仔培养宝物!$W$1,SMALL(IF(D_马仔培养宝物!$Z$2:$Z$64=D_马仔培养宝物!$E16,ROW($C$2:$H$64),""),RANDBETWEEN(1,VLOOKUP(D_马仔培养宝物!$E16,D_马仔培养宝物!$T$3:$U$7,2,FALSE)))-1,0)</f>
        <v>92278</v>
      </c>
      <c r="G16" s="5">
        <f t="array" aca="1" ref="G16" ca="1">OFFSET(D_马仔培养宝物!$W$1,SMALL(IF(D_马仔培养宝物!$Z$2:$Z$64=D_马仔培养宝物!$E16,ROW($C$2:$H$64),""),RANDBETWEEN(1,VLOOKUP(D_马仔培养宝物!$E16,D_马仔培养宝物!$T$3:$U$7,2,FALSE)))-1,0)</f>
        <v>92251</v>
      </c>
      <c r="H16" s="5">
        <f t="array" aca="1" ref="H16" ca="1">OFFSET(D_马仔培养宝物!$W$1,SMALL(IF(D_马仔培养宝物!$Z$2:$Z$64=D_马仔培养宝物!$E16,ROW($C$2:$H$64),""),RANDBETWEEN(1,VLOOKUP(D_马仔培养宝物!$E16,D_马仔培养宝物!$T$3:$U$7,2,FALSE)))-1,0)</f>
        <v>92245</v>
      </c>
      <c r="J16" s="5">
        <v>92286</v>
      </c>
      <c r="K16" s="5">
        <v>92287</v>
      </c>
      <c r="L16" s="5">
        <v>92131</v>
      </c>
      <c r="M16" s="5">
        <v>92232</v>
      </c>
      <c r="N16" s="5">
        <v>92228</v>
      </c>
      <c r="O16" s="5">
        <v>92271</v>
      </c>
      <c r="P16">
        <f>VLOOKUP(J16,D_马仔培养宝物!$W$2:$AC$64,5,FALSE)+VLOOKUP(K16,D_马仔培养宝物!$W$2:$AC$64,5,FALSE)+VLOOKUP(L16,D_马仔培养宝物!$W$2:$AC$64,5,FALSE)+VLOOKUP(M16,D_马仔培养宝物!$W$2:$AC$64,5,FALSE)+VLOOKUP(N16,D_马仔培养宝物!$W$2:$AC$64,5,FALSE)+VLOOKUP(O16,D_马仔培养宝物!$W$2:$AC$64,5,FALSE)</f>
        <v>1646</v>
      </c>
      <c r="Q16">
        <f>VLOOKUP(J16,D_马仔培养宝物!$W$2:$AC$64,6,FALSE)+VLOOKUP(K16,D_马仔培养宝物!$W$2:$AC$64,6,FALSE)+VLOOKUP(L16,D_马仔培养宝物!$W$2:$AC$64,6,FALSE)+VLOOKUP(M16,D_马仔培养宝物!$W$2:$AC$64,6,FALSE)+VLOOKUP(N16,D_马仔培养宝物!$W$2:$AC$64,6,FALSE)+VLOOKUP(O16,D_马仔培养宝物!$W$2:$AC$64,6,FALSE)</f>
        <v>0</v>
      </c>
      <c r="R16">
        <f>VLOOKUP(J16,D_马仔培养宝物!$W$2:$AC$64,7,FALSE)+VLOOKUP(K16,D_马仔培养宝物!$W$2:$AC$64,7,FALSE)+VLOOKUP(L16,D_马仔培养宝物!$W$2:$AC$64,7,FALSE)+VLOOKUP(M16,D_马仔培养宝物!$W$2:$AC$64,7,FALSE)+VLOOKUP(N16,D_马仔培养宝物!$W$2:$AC$64,7,FALSE)+VLOOKUP(O16,D_马仔培养宝物!$W$2:$AC$64,7,FALSE)</f>
        <v>44</v>
      </c>
    </row>
    <row r="17" spans="3:18">
      <c r="C17" s="5">
        <f t="array" aca="1" ref="C17" ca="1">OFFSET(D_马仔培养宝物!$W$1,SMALL(IF(D_马仔培养宝物!$Z$2:$Z$64=D_马仔培养宝物!$E17,ROW($C$2:$H$64),""),RANDBETWEEN(1,VLOOKUP(D_马仔培养宝物!$E17,D_马仔培养宝物!$T$3:$U$7,2,FALSE)))-1,0)</f>
        <v>92141</v>
      </c>
      <c r="D17" s="5">
        <f t="array" aca="1" ref="D17" ca="1">OFFSET(D_马仔培养宝物!$W$1,SMALL(IF(D_马仔培养宝物!$Z$2:$Z$64=D_马仔培养宝物!$E17,ROW($C$2:$H$64),""),RANDBETWEEN(1,VLOOKUP(D_马仔培养宝物!$E17,D_马仔培养宝物!$T$3:$U$7,2,FALSE)))-1,0)</f>
        <v>92245</v>
      </c>
      <c r="E17" s="5">
        <f t="array" aca="1" ref="E17" ca="1">OFFSET(D_马仔培养宝物!$W$1,SMALL(IF(D_马仔培养宝物!$Z$2:$Z$64=D_马仔培养宝物!$E17,ROW($C$2:$H$64),""),RANDBETWEEN(1,VLOOKUP(D_马仔培养宝物!$E17,D_马仔培养宝物!$T$3:$U$7,2,FALSE)))-1,0)</f>
        <v>92283</v>
      </c>
      <c r="F17" s="5">
        <f t="array" aca="1" ref="F17" ca="1">OFFSET(D_马仔培养宝物!$W$1,SMALL(IF(D_马仔培养宝物!$Z$2:$Z$64=D_马仔培养宝物!$E17,ROW($C$2:$H$64),""),RANDBETWEEN(1,VLOOKUP(D_马仔培养宝物!$E17,D_马仔培养宝物!$T$3:$U$7,2,FALSE)))-1,0)</f>
        <v>92287</v>
      </c>
      <c r="G17" s="5">
        <f t="array" aca="1" ref="G17" ca="1">OFFSET(D_马仔培养宝物!$W$1,SMALL(IF(D_马仔培养宝物!$Z$2:$Z$64=D_马仔培养宝物!$E17,ROW($C$2:$H$64),""),RANDBETWEEN(1,VLOOKUP(D_马仔培养宝物!$E17,D_马仔培养宝物!$T$3:$U$7,2,FALSE)))-1,0)</f>
        <v>92122</v>
      </c>
      <c r="H17" s="5">
        <f t="array" aca="1" ref="H17" ca="1">OFFSET(D_马仔培养宝物!$W$1,SMALL(IF(D_马仔培养宝物!$Z$2:$Z$64=D_马仔培养宝物!$E17,ROW($C$2:$H$64),""),RANDBETWEEN(1,VLOOKUP(D_马仔培养宝物!$E17,D_马仔培养宝物!$T$3:$U$7,2,FALSE)))-1,0)</f>
        <v>92287</v>
      </c>
      <c r="J17" s="5">
        <v>92271</v>
      </c>
      <c r="K17" s="5">
        <v>92273</v>
      </c>
      <c r="L17" s="5">
        <v>92287</v>
      </c>
      <c r="M17" s="5">
        <v>92286</v>
      </c>
      <c r="N17" s="5">
        <v>92121</v>
      </c>
      <c r="O17" s="5">
        <v>92232</v>
      </c>
      <c r="P17">
        <f>VLOOKUP(J17,D_马仔培养宝物!$W$2:$AC$64,5,FALSE)+VLOOKUP(K17,D_马仔培养宝物!$W$2:$AC$64,5,FALSE)+VLOOKUP(L17,D_马仔培养宝物!$W$2:$AC$64,5,FALSE)+VLOOKUP(M17,D_马仔培养宝物!$W$2:$AC$64,5,FALSE)+VLOOKUP(N17,D_马仔培养宝物!$W$2:$AC$64,5,FALSE)+VLOOKUP(O17,D_马仔培养宝物!$W$2:$AC$64,5,FALSE)</f>
        <v>1440</v>
      </c>
      <c r="Q17">
        <f>VLOOKUP(J17,D_马仔培养宝物!$W$2:$AC$64,6,FALSE)+VLOOKUP(K17,D_马仔培养宝物!$W$2:$AC$64,6,FALSE)+VLOOKUP(L17,D_马仔培养宝物!$W$2:$AC$64,6,FALSE)+VLOOKUP(M17,D_马仔培养宝物!$W$2:$AC$64,6,FALSE)+VLOOKUP(N17,D_马仔培养宝物!$W$2:$AC$64,6,FALSE)+VLOOKUP(O17,D_马仔培养宝物!$W$2:$AC$64,6,FALSE)</f>
        <v>62</v>
      </c>
      <c r="R17">
        <f>VLOOKUP(J17,D_马仔培养宝物!$W$2:$AC$64,7,FALSE)+VLOOKUP(K17,D_马仔培养宝物!$W$2:$AC$64,7,FALSE)+VLOOKUP(L17,D_马仔培养宝物!$W$2:$AC$64,7,FALSE)+VLOOKUP(M17,D_马仔培养宝物!$W$2:$AC$64,7,FALSE)+VLOOKUP(N17,D_马仔培养宝物!$W$2:$AC$64,7,FALSE)+VLOOKUP(O17,D_马仔培养宝物!$W$2:$AC$64,7,FALSE)</f>
        <v>40</v>
      </c>
    </row>
    <row r="18" spans="3:18">
      <c r="C18" s="5">
        <f t="array" aca="1" ref="C18" ca="1">OFFSET(D_马仔培养宝物!$W$1,SMALL(IF(D_马仔培养宝物!$Z$2:$Z$64=D_马仔培养宝物!$E18,ROW($C$2:$H$64),""),RANDBETWEEN(1,VLOOKUP(D_马仔培养宝物!$E18,D_马仔培养宝物!$T$3:$U$7,2,FALSE)))-1,0)</f>
        <v>92272</v>
      </c>
      <c r="D18" s="5">
        <f t="array" aca="1" ref="D18" ca="1">OFFSET(D_马仔培养宝物!$W$1,SMALL(IF(D_马仔培养宝物!$Z$2:$Z$64=D_马仔培养宝物!$E18,ROW($C$2:$H$64),""),RANDBETWEEN(1,VLOOKUP(D_马仔培养宝物!$E18,D_马仔培养宝物!$T$3:$U$7,2,FALSE)))-1,0)</f>
        <v>92252</v>
      </c>
      <c r="E18" s="5">
        <f t="array" aca="1" ref="E18" ca="1">OFFSET(D_马仔培养宝物!$W$1,SMALL(IF(D_马仔培养宝物!$Z$2:$Z$64=D_马仔培养宝物!$E18,ROW($C$2:$H$64),""),RANDBETWEEN(1,VLOOKUP(D_马仔培养宝物!$E18,D_马仔培养宝物!$T$3:$U$7,2,FALSE)))-1,0)</f>
        <v>92273</v>
      </c>
      <c r="F18" s="5">
        <f t="array" aca="1" ref="F18" ca="1">OFFSET(D_马仔培养宝物!$W$1,SMALL(IF(D_马仔培养宝物!$Z$2:$Z$64=D_马仔培养宝物!$E18,ROW($C$2:$H$64),""),RANDBETWEEN(1,VLOOKUP(D_马仔培养宝物!$E18,D_马仔培养宝物!$T$3:$U$7,2,FALSE)))-1,0)</f>
        <v>92235</v>
      </c>
      <c r="G18" s="5">
        <f t="array" aca="1" ref="G18" ca="1">OFFSET(D_马仔培养宝物!$W$1,SMALL(IF(D_马仔培养宝物!$Z$2:$Z$64=D_马仔培养宝物!$E18,ROW($C$2:$H$64),""),RANDBETWEEN(1,VLOOKUP(D_马仔培养宝物!$E18,D_马仔培养宝物!$T$3:$U$7,2,FALSE)))-1,0)</f>
        <v>92012</v>
      </c>
      <c r="H18" s="5">
        <f t="array" aca="1" ref="H18" ca="1">OFFSET(D_马仔培养宝物!$W$1,SMALL(IF(D_马仔培养宝物!$Z$2:$Z$64=D_马仔培养宝物!$E18,ROW($C$2:$H$64),""),RANDBETWEEN(1,VLOOKUP(D_马仔培养宝物!$E18,D_马仔培养宝物!$T$3:$U$7,2,FALSE)))-1,0)</f>
        <v>92252</v>
      </c>
      <c r="J18" s="5">
        <v>92134</v>
      </c>
      <c r="K18" s="5">
        <v>92283</v>
      </c>
      <c r="L18" s="5">
        <v>92284</v>
      </c>
      <c r="M18" s="5">
        <v>92282</v>
      </c>
      <c r="N18" s="5">
        <v>92142</v>
      </c>
      <c r="O18" s="5">
        <v>92285</v>
      </c>
      <c r="P18">
        <f>VLOOKUP(J18,D_马仔培养宝物!$W$2:$AC$64,5,FALSE)+VLOOKUP(K18,D_马仔培养宝物!$W$2:$AC$64,5,FALSE)+VLOOKUP(L18,D_马仔培养宝物!$W$2:$AC$64,5,FALSE)+VLOOKUP(M18,D_马仔培养宝物!$W$2:$AC$64,5,FALSE)+VLOOKUP(N18,D_马仔培养宝物!$W$2:$AC$64,5,FALSE)+VLOOKUP(O18,D_马仔培养宝物!$W$2:$AC$64,5,FALSE)</f>
        <v>1029</v>
      </c>
      <c r="Q18">
        <f>VLOOKUP(J18,D_马仔培养宝物!$W$2:$AC$64,6,FALSE)+VLOOKUP(K18,D_马仔培养宝物!$W$2:$AC$64,6,FALSE)+VLOOKUP(L18,D_马仔培养宝物!$W$2:$AC$64,6,FALSE)+VLOOKUP(M18,D_马仔培养宝物!$W$2:$AC$64,6,FALSE)+VLOOKUP(N18,D_马仔培养宝物!$W$2:$AC$64,6,FALSE)+VLOOKUP(O18,D_马仔培养宝物!$W$2:$AC$64,6,FALSE)</f>
        <v>303</v>
      </c>
      <c r="R18">
        <f>VLOOKUP(J18,D_马仔培养宝物!$W$2:$AC$64,7,FALSE)+VLOOKUP(K18,D_马仔培养宝物!$W$2:$AC$64,7,FALSE)+VLOOKUP(L18,D_马仔培养宝物!$W$2:$AC$64,7,FALSE)+VLOOKUP(M18,D_马仔培养宝物!$W$2:$AC$64,7,FALSE)+VLOOKUP(N18,D_马仔培养宝物!$W$2:$AC$64,7,FALSE)+VLOOKUP(O18,D_马仔培养宝物!$W$2:$AC$64,7,FALSE)</f>
        <v>13</v>
      </c>
    </row>
    <row r="19" spans="3:18">
      <c r="C19" s="5">
        <f t="array" aca="1" ref="C19" ca="1">OFFSET(D_马仔培养宝物!$W$1,SMALL(IF(D_马仔培养宝物!$Z$2:$Z$64=D_马仔培养宝物!$E19,ROW($C$2:$H$64),""),RANDBETWEEN(1,VLOOKUP(D_马仔培养宝物!$E19,D_马仔培养宝物!$T$3:$U$7,2,FALSE)))-1,0)</f>
        <v>92273</v>
      </c>
      <c r="D19" s="5">
        <f t="array" aca="1" ref="D19" ca="1">OFFSET(D_马仔培养宝物!$W$1,SMALL(IF(D_马仔培养宝物!$Z$2:$Z$64=D_马仔培养宝物!$E19,ROW($C$2:$H$64),""),RANDBETWEEN(1,VLOOKUP(D_马仔培养宝物!$E19,D_马仔培养宝物!$T$3:$U$7,2,FALSE)))-1,0)</f>
        <v>92288</v>
      </c>
      <c r="E19" s="5">
        <f t="array" aca="1" ref="E19" ca="1">OFFSET(D_马仔培养宝物!$W$1,SMALL(IF(D_马仔培养宝物!$Z$2:$Z$64=D_马仔培养宝物!$E19,ROW($C$2:$H$64),""),RANDBETWEEN(1,VLOOKUP(D_马仔培养宝物!$E19,D_马仔培养宝物!$T$3:$U$7,2,FALSE)))-1,0)</f>
        <v>92235</v>
      </c>
      <c r="F19" s="5">
        <f t="array" aca="1" ref="F19" ca="1">OFFSET(D_马仔培养宝物!$W$1,SMALL(IF(D_马仔培养宝物!$Z$2:$Z$64=D_马仔培养宝物!$E19,ROW($C$2:$H$64),""),RANDBETWEEN(1,VLOOKUP(D_马仔培养宝物!$E19,D_马仔培养宝物!$T$3:$U$7,2,FALSE)))-1,0)</f>
        <v>92142</v>
      </c>
      <c r="G19" s="5">
        <f t="array" aca="1" ref="G19" ca="1">OFFSET(D_马仔培养宝物!$W$1,SMALL(IF(D_马仔培养宝物!$Z$2:$Z$64=D_马仔培养宝物!$E19,ROW($C$2:$H$64),""),RANDBETWEEN(1,VLOOKUP(D_马仔培养宝物!$E19,D_马仔培养宝物!$T$3:$U$7,2,FALSE)))-1,0)</f>
        <v>92142</v>
      </c>
      <c r="H19" s="5">
        <f t="array" aca="1" ref="H19" ca="1">OFFSET(D_马仔培养宝物!$W$1,SMALL(IF(D_马仔培养宝物!$Z$2:$Z$64=D_马仔培养宝物!$E19,ROW($C$2:$H$64),""),RANDBETWEEN(1,VLOOKUP(D_马仔培养宝物!$E19,D_马仔培养宝物!$T$3:$U$7,2,FALSE)))-1,0)</f>
        <v>92012</v>
      </c>
      <c r="J19" s="5">
        <v>92284</v>
      </c>
      <c r="K19" s="5">
        <v>92283</v>
      </c>
      <c r="L19" s="5">
        <v>92285</v>
      </c>
      <c r="M19" s="5">
        <v>92142</v>
      </c>
      <c r="N19" s="5">
        <v>92141</v>
      </c>
      <c r="O19" s="5">
        <v>92262</v>
      </c>
      <c r="P19">
        <f>VLOOKUP(J19,D_马仔培养宝物!$W$2:$AC$64,5,FALSE)+VLOOKUP(K19,D_马仔培养宝物!$W$2:$AC$64,5,FALSE)+VLOOKUP(L19,D_马仔培养宝物!$W$2:$AC$64,5,FALSE)+VLOOKUP(M19,D_马仔培养宝物!$W$2:$AC$64,5,FALSE)+VLOOKUP(N19,D_马仔培养宝物!$W$2:$AC$64,5,FALSE)+VLOOKUP(O19,D_马仔培养宝物!$W$2:$AC$64,5,FALSE)</f>
        <v>1029</v>
      </c>
      <c r="Q19">
        <f>VLOOKUP(J19,D_马仔培养宝物!$W$2:$AC$64,6,FALSE)+VLOOKUP(K19,D_马仔培养宝物!$W$2:$AC$64,6,FALSE)+VLOOKUP(L19,D_马仔培养宝物!$W$2:$AC$64,6,FALSE)+VLOOKUP(M19,D_马仔培养宝物!$W$2:$AC$64,6,FALSE)+VLOOKUP(N19,D_马仔培养宝物!$W$2:$AC$64,6,FALSE)+VLOOKUP(O19,D_马仔培养宝物!$W$2:$AC$64,6,FALSE)</f>
        <v>230</v>
      </c>
      <c r="R19">
        <f>VLOOKUP(J19,D_马仔培养宝物!$W$2:$AC$64,7,FALSE)+VLOOKUP(K19,D_马仔培养宝物!$W$2:$AC$64,7,FALSE)+VLOOKUP(L19,D_马仔培养宝物!$W$2:$AC$64,7,FALSE)+VLOOKUP(M19,D_马仔培养宝物!$W$2:$AC$64,7,FALSE)+VLOOKUP(N19,D_马仔培养宝物!$W$2:$AC$64,7,FALSE)+VLOOKUP(O19,D_马仔培养宝物!$W$2:$AC$64,7,FALSE)</f>
        <v>26</v>
      </c>
    </row>
    <row r="20" spans="3:18">
      <c r="C20" s="5">
        <f t="array" aca="1" ref="C20" ca="1">OFFSET(D_马仔培养宝物!$W$1,SMALL(IF(D_马仔培养宝物!$Z$2:$Z$64=D_马仔培养宝物!$E20,ROW($C$2:$H$64),""),RANDBETWEEN(1,VLOOKUP(D_马仔培养宝物!$E20,D_马仔培养宝物!$T$3:$U$7,2,FALSE)))-1,0)</f>
        <v>92223</v>
      </c>
      <c r="D20" s="5">
        <f t="array" aca="1" ref="D20" ca="1">OFFSET(D_马仔培养宝物!$W$1,SMALL(IF(D_马仔培养宝物!$Z$2:$Z$64=D_马仔培养宝物!$E20,ROW($C$2:$H$64),""),RANDBETWEEN(1,VLOOKUP(D_马仔培养宝物!$E20,D_马仔培养宝物!$T$3:$U$7,2,FALSE)))-1,0)</f>
        <v>92223</v>
      </c>
      <c r="E20" s="5">
        <f t="array" aca="1" ref="E20" ca="1">OFFSET(D_马仔培养宝物!$W$1,SMALL(IF(D_马仔培养宝物!$Z$2:$Z$64=D_马仔培养宝物!$E20,ROW($C$2:$H$64),""),RANDBETWEEN(1,VLOOKUP(D_马仔培养宝物!$E20,D_马仔培养宝物!$T$3:$U$7,2,FALSE)))-1,0)</f>
        <v>92285</v>
      </c>
      <c r="F20" s="5">
        <f t="array" aca="1" ref="F20" ca="1">OFFSET(D_马仔培养宝物!$W$1,SMALL(IF(D_马仔培养宝物!$Z$2:$Z$64=D_马仔培养宝物!$E20,ROW($C$2:$H$64),""),RANDBETWEEN(1,VLOOKUP(D_马仔培养宝物!$E20,D_马仔培养宝物!$T$3:$U$7,2,FALSE)))-1,0)</f>
        <v>92253</v>
      </c>
      <c r="G20" s="5">
        <f t="array" aca="1" ref="G20" ca="1">OFFSET(D_马仔培养宝物!$W$1,SMALL(IF(D_马仔培养宝物!$Z$2:$Z$64=D_马仔培养宝物!$E20,ROW($C$2:$H$64),""),RANDBETWEEN(1,VLOOKUP(D_马仔培养宝物!$E20,D_马仔培养宝物!$T$3:$U$7,2,FALSE)))-1,0)</f>
        <v>92236</v>
      </c>
      <c r="H20" s="5">
        <f t="array" aca="1" ref="H20" ca="1">OFFSET(D_马仔培养宝物!$W$1,SMALL(IF(D_马仔培养宝物!$Z$2:$Z$64=D_马仔培养宝物!$E20,ROW($C$2:$H$64),""),RANDBETWEEN(1,VLOOKUP(D_马仔培养宝物!$E20,D_马仔培养宝物!$T$3:$U$7,2,FALSE)))-1,0)</f>
        <v>92285</v>
      </c>
      <c r="J20" s="5">
        <v>92279</v>
      </c>
      <c r="K20" s="5">
        <v>92274</v>
      </c>
      <c r="L20" s="5">
        <v>92275</v>
      </c>
      <c r="M20" s="5">
        <v>92264</v>
      </c>
      <c r="N20" s="5">
        <v>92261</v>
      </c>
      <c r="O20" s="5">
        <v>92277</v>
      </c>
      <c r="P20">
        <f>VLOOKUP(J20,D_马仔培养宝物!$W$2:$AC$64,5,FALSE)+VLOOKUP(K20,D_马仔培养宝物!$W$2:$AC$64,5,FALSE)+VLOOKUP(L20,D_马仔培养宝物!$W$2:$AC$64,5,FALSE)+VLOOKUP(M20,D_马仔培养宝物!$W$2:$AC$64,5,FALSE)+VLOOKUP(N20,D_马仔培养宝物!$W$2:$AC$64,5,FALSE)+VLOOKUP(O20,D_马仔培养宝物!$W$2:$AC$64,5,FALSE)</f>
        <v>1852</v>
      </c>
      <c r="Q20">
        <f>VLOOKUP(J20,D_马仔培养宝物!$W$2:$AC$64,6,FALSE)+VLOOKUP(K20,D_马仔培养宝物!$W$2:$AC$64,6,FALSE)+VLOOKUP(L20,D_马仔培养宝物!$W$2:$AC$64,6,FALSE)+VLOOKUP(M20,D_马仔培养宝物!$W$2:$AC$64,6,FALSE)+VLOOKUP(N20,D_马仔培养宝物!$W$2:$AC$64,6,FALSE)+VLOOKUP(O20,D_马仔培养宝物!$W$2:$AC$64,6,FALSE)</f>
        <v>0</v>
      </c>
      <c r="R20">
        <f>VLOOKUP(J20,D_马仔培养宝物!$W$2:$AC$64,7,FALSE)+VLOOKUP(K20,D_马仔培养宝物!$W$2:$AC$64,7,FALSE)+VLOOKUP(L20,D_马仔培养宝物!$W$2:$AC$64,7,FALSE)+VLOOKUP(M20,D_马仔培养宝物!$W$2:$AC$64,7,FALSE)+VLOOKUP(N20,D_马仔培养宝物!$W$2:$AC$64,7,FALSE)+VLOOKUP(O20,D_马仔培养宝物!$W$2:$AC$64,7,FALSE)</f>
        <v>110</v>
      </c>
    </row>
    <row r="21" spans="3:18">
      <c r="C21" s="5">
        <f t="array" aca="1" ref="C21" ca="1">OFFSET(D_马仔培养宝物!$W$1,SMALL(IF(D_马仔培养宝物!$Z$2:$Z$64=D_马仔培养宝物!$E21,ROW($C$2:$H$64),""),RANDBETWEEN(1,VLOOKUP(D_马仔培养宝物!$E21,D_马仔培养宝物!$T$3:$U$7,2,FALSE)))-1,0)</f>
        <v>92227</v>
      </c>
      <c r="D21" s="5">
        <f t="array" aca="1" ref="D21" ca="1">OFFSET(D_马仔培养宝物!$W$1,SMALL(IF(D_马仔培养宝物!$Z$2:$Z$64=D_马仔培养宝物!$E21,ROW($C$2:$H$64),""),RANDBETWEEN(1,VLOOKUP(D_马仔培养宝物!$E21,D_马仔培养宝物!$T$3:$U$7,2,FALSE)))-1,0)</f>
        <v>92134</v>
      </c>
      <c r="E21" s="5">
        <f t="array" aca="1" ref="E21" ca="1">OFFSET(D_马仔培养宝物!$W$1,SMALL(IF(D_马仔培养宝物!$Z$2:$Z$64=D_马仔培养宝物!$E21,ROW($C$2:$H$64),""),RANDBETWEEN(1,VLOOKUP(D_马仔培养宝物!$E21,D_马仔培养宝物!$T$3:$U$7,2,FALSE)))-1,0)</f>
        <v>92253</v>
      </c>
      <c r="F21" s="5">
        <f t="array" aca="1" ref="F21" ca="1">OFFSET(D_马仔培养宝物!$W$1,SMALL(IF(D_马仔培养宝物!$Z$2:$Z$64=D_马仔培养宝物!$E21,ROW($C$2:$H$64),""),RANDBETWEEN(1,VLOOKUP(D_马仔培养宝物!$E21,D_马仔培养宝物!$T$3:$U$7,2,FALSE)))-1,0)</f>
        <v>92254</v>
      </c>
      <c r="G21" s="5">
        <f t="array" aca="1" ref="G21" ca="1">OFFSET(D_马仔培养宝物!$W$1,SMALL(IF(D_马仔培养宝物!$Z$2:$Z$64=D_马仔培养宝物!$E21,ROW($C$2:$H$64),""),RANDBETWEEN(1,VLOOKUP(D_马仔培养宝物!$E21,D_马仔培养宝物!$T$3:$U$7,2,FALSE)))-1,0)</f>
        <v>92280</v>
      </c>
      <c r="H21" s="5">
        <f t="array" aca="1" ref="H21" ca="1">OFFSET(D_马仔培养宝物!$W$1,SMALL(IF(D_马仔培养宝物!$Z$2:$Z$64=D_马仔培养宝物!$E21,ROW($C$2:$H$64),""),RANDBETWEEN(1,VLOOKUP(D_马仔培养宝物!$E21,D_马仔培养宝物!$T$3:$U$7,2,FALSE)))-1,0)</f>
        <v>92253</v>
      </c>
      <c r="J21" s="5">
        <v>92274</v>
      </c>
      <c r="K21" s="5">
        <v>92272</v>
      </c>
      <c r="L21" s="5">
        <v>92263</v>
      </c>
      <c r="M21" s="5">
        <v>92278</v>
      </c>
      <c r="N21" s="5">
        <v>92275</v>
      </c>
      <c r="O21" s="5">
        <v>92264</v>
      </c>
      <c r="P21">
        <f>VLOOKUP(J21,D_马仔培养宝物!$W$2:$AC$64,5,FALSE)+VLOOKUP(K21,D_马仔培养宝物!$W$2:$AC$64,5,FALSE)+VLOOKUP(L21,D_马仔培养宝物!$W$2:$AC$64,5,FALSE)+VLOOKUP(M21,D_马仔培养宝物!$W$2:$AC$64,5,FALSE)+VLOOKUP(N21,D_马仔培养宝物!$W$2:$AC$64,5,FALSE)+VLOOKUP(O21,D_马仔培养宝物!$W$2:$AC$64,5,FALSE)</f>
        <v>2881</v>
      </c>
      <c r="Q21">
        <f>VLOOKUP(J21,D_马仔培养宝物!$W$2:$AC$64,6,FALSE)+VLOOKUP(K21,D_马仔培养宝物!$W$2:$AC$64,6,FALSE)+VLOOKUP(L21,D_马仔培养宝物!$W$2:$AC$64,6,FALSE)+VLOOKUP(M21,D_马仔培养宝物!$W$2:$AC$64,6,FALSE)+VLOOKUP(N21,D_马仔培养宝物!$W$2:$AC$64,6,FALSE)+VLOOKUP(O21,D_马仔培养宝物!$W$2:$AC$64,6,FALSE)</f>
        <v>41</v>
      </c>
      <c r="R21">
        <f>VLOOKUP(J21,D_马仔培养宝物!$W$2:$AC$64,7,FALSE)+VLOOKUP(K21,D_马仔培养宝物!$W$2:$AC$64,7,FALSE)+VLOOKUP(L21,D_马仔培养宝物!$W$2:$AC$64,7,FALSE)+VLOOKUP(M21,D_马仔培养宝物!$W$2:$AC$64,7,FALSE)+VLOOKUP(N21,D_马仔培养宝物!$W$2:$AC$64,7,FALSE)+VLOOKUP(O21,D_马仔培养宝物!$W$2:$AC$64,7,FALSE)</f>
        <v>44</v>
      </c>
    </row>
    <row r="22" spans="3:18">
      <c r="C22" s="5">
        <f t="array" aca="1" ref="C22" ca="1">OFFSET(D_马仔培养宝物!$W$1,SMALL(IF(D_马仔培养宝物!$Z$2:$Z$64=D_马仔培养宝物!$E22,ROW($C$2:$H$64),""),RANDBETWEEN(1,VLOOKUP(D_马仔培养宝物!$E22,D_马仔培养宝物!$T$3:$U$7,2,FALSE)))-1,0)</f>
        <v>92262</v>
      </c>
      <c r="D22" s="5">
        <f t="array" aca="1" ref="D22" ca="1">OFFSET(D_马仔培养宝物!$W$1,SMALL(IF(D_马仔培养宝物!$Z$2:$Z$64=D_马仔培养宝物!$E22,ROW($C$2:$H$64),""),RANDBETWEEN(1,VLOOKUP(D_马仔培养宝物!$E22,D_马仔培养宝物!$T$3:$U$7,2,FALSE)))-1,0)</f>
        <v>92290</v>
      </c>
      <c r="E22" s="5">
        <f t="array" aca="1" ref="E22" ca="1">OFFSET(D_马仔培养宝物!$W$1,SMALL(IF(D_马仔培养宝物!$Z$2:$Z$64=D_马仔培养宝物!$E22,ROW($C$2:$H$64),""),RANDBETWEEN(1,VLOOKUP(D_马仔培养宝物!$E22,D_马仔培养宝物!$T$3:$U$7,2,FALSE)))-1,0)</f>
        <v>92298</v>
      </c>
      <c r="F22" s="5">
        <f t="array" aca="1" ref="F22" ca="1">OFFSET(D_马仔培养宝物!$W$1,SMALL(IF(D_马仔培养宝物!$Z$2:$Z$64=D_马仔培养宝物!$E22,ROW($C$2:$H$64),""),RANDBETWEEN(1,VLOOKUP(D_马仔培养宝物!$E22,D_马仔培养宝物!$T$3:$U$7,2,FALSE)))-1,0)</f>
        <v>92281</v>
      </c>
      <c r="G22" s="5">
        <f t="array" aca="1" ref="G22" ca="1">OFFSET(D_马仔培养宝物!$W$1,SMALL(IF(D_马仔培养宝物!$Z$2:$Z$64=D_马仔培养宝物!$E22,ROW($C$2:$H$64),""),RANDBETWEEN(1,VLOOKUP(D_马仔培养宝物!$E22,D_马仔培养宝物!$T$3:$U$7,2,FALSE)))-1,0)</f>
        <v>92262</v>
      </c>
      <c r="H22" s="5">
        <f t="array" aca="1" ref="H22" ca="1">OFFSET(D_马仔培养宝物!$W$1,SMALL(IF(D_马仔培养宝物!$Z$2:$Z$64=D_马仔培养宝物!$E22,ROW($C$2:$H$64),""),RANDBETWEEN(1,VLOOKUP(D_马仔培养宝物!$E22,D_马仔培养宝物!$T$3:$U$7,2,FALSE)))-1,0)</f>
        <v>92261</v>
      </c>
      <c r="J22" s="5">
        <v>92299</v>
      </c>
      <c r="K22" s="5">
        <v>92252</v>
      </c>
      <c r="L22" s="5">
        <v>92293</v>
      </c>
      <c r="M22" s="5">
        <v>92297</v>
      </c>
      <c r="N22" s="5">
        <v>92291</v>
      </c>
      <c r="O22" s="5">
        <v>92294</v>
      </c>
      <c r="P22">
        <f>VLOOKUP(J22,D_马仔培养宝物!$W$2:$AC$64,5,FALSE)+VLOOKUP(K22,D_马仔培养宝物!$W$2:$AC$64,5,FALSE)+VLOOKUP(L22,D_马仔培养宝物!$W$2:$AC$64,5,FALSE)+VLOOKUP(M22,D_马仔培养宝物!$W$2:$AC$64,5,FALSE)+VLOOKUP(N22,D_马仔培养宝物!$W$2:$AC$64,5,FALSE)+VLOOKUP(O22,D_马仔培养宝物!$W$2:$AC$64,5,FALSE)</f>
        <v>4116</v>
      </c>
      <c r="Q22">
        <f>VLOOKUP(J22,D_马仔培养宝物!$W$2:$AC$64,6,FALSE)+VLOOKUP(K22,D_马仔培养宝物!$W$2:$AC$64,6,FALSE)+VLOOKUP(L22,D_马仔培养宝物!$W$2:$AC$64,6,FALSE)+VLOOKUP(M22,D_马仔培养宝物!$W$2:$AC$64,6,FALSE)+VLOOKUP(N22,D_马仔培养宝物!$W$2:$AC$64,6,FALSE)+VLOOKUP(O22,D_马仔培养宝物!$W$2:$AC$64,6,FALSE)</f>
        <v>157</v>
      </c>
      <c r="R22">
        <f>VLOOKUP(J22,D_马仔培养宝物!$W$2:$AC$64,7,FALSE)+VLOOKUP(K22,D_马仔培养宝物!$W$2:$AC$64,7,FALSE)+VLOOKUP(L22,D_马仔培养宝物!$W$2:$AC$64,7,FALSE)+VLOOKUP(M22,D_马仔培养宝物!$W$2:$AC$64,7,FALSE)+VLOOKUP(N22,D_马仔培养宝物!$W$2:$AC$64,7,FALSE)+VLOOKUP(O22,D_马仔培养宝物!$W$2:$AC$64,7,FALSE)</f>
        <v>88</v>
      </c>
    </row>
    <row r="23" spans="3:18">
      <c r="C23" s="5">
        <f t="array" aca="1" ref="C23" ca="1">OFFSET(D_马仔培养宝物!$W$1,SMALL(IF(D_马仔培养宝物!$Z$2:$Z$64=D_马仔培养宝物!$E23,ROW($C$2:$H$64),""),RANDBETWEEN(1,VLOOKUP(D_马仔培养宝物!$E23,D_马仔培养宝物!$T$3:$U$7,2,FALSE)))-1,0)</f>
        <v>92296</v>
      </c>
      <c r="D23" s="5">
        <f t="array" aca="1" ref="D23" ca="1">OFFSET(D_马仔培养宝物!$W$1,SMALL(IF(D_马仔培养宝物!$Z$2:$Z$64=D_马仔培养宝物!$E23,ROW($C$2:$H$64),""),RANDBETWEEN(1,VLOOKUP(D_马仔培养宝物!$E23,D_马仔培养宝物!$T$3:$U$7,2,FALSE)))-1,0)</f>
        <v>92299</v>
      </c>
      <c r="E23" s="5">
        <f t="array" aca="1" ref="E23" ca="1">OFFSET(D_马仔培养宝物!$W$1,SMALL(IF(D_马仔培养宝物!$Z$2:$Z$64=D_马仔培养宝物!$E23,ROW($C$2:$H$64),""),RANDBETWEEN(1,VLOOKUP(D_马仔培养宝物!$E23,D_马仔培养宝物!$T$3:$U$7,2,FALSE)))-1,0)</f>
        <v>92298</v>
      </c>
      <c r="F23" s="5">
        <f t="array" aca="1" ref="F23" ca="1">OFFSET(D_马仔培养宝物!$W$1,SMALL(IF(D_马仔培养宝物!$Z$2:$Z$64=D_马仔培养宝物!$E23,ROW($C$2:$H$64),""),RANDBETWEEN(1,VLOOKUP(D_马仔培养宝物!$E23,D_马仔培养宝物!$T$3:$U$7,2,FALSE)))-1,0)</f>
        <v>92295</v>
      </c>
      <c r="G23" s="5">
        <f t="array" aca="1" ref="G23" ca="1">OFFSET(D_马仔培养宝物!$W$1,SMALL(IF(D_马仔培养宝物!$Z$2:$Z$64=D_马仔培养宝物!$E23,ROW($C$2:$H$64),""),RANDBETWEEN(1,VLOOKUP(D_马仔培养宝物!$E23,D_马仔培养宝物!$T$3:$U$7,2,FALSE)))-1,0)</f>
        <v>92255</v>
      </c>
      <c r="H23" s="5">
        <f t="array" aca="1" ref="H23" ca="1">OFFSET(D_马仔培养宝物!$W$1,SMALL(IF(D_马仔培养宝物!$Z$2:$Z$64=D_马仔培养宝物!$E23,ROW($C$2:$H$64),""),RANDBETWEEN(1,VLOOKUP(D_马仔培养宝物!$E23,D_马仔培养宝物!$T$3:$U$7,2,FALSE)))-1,0)</f>
        <v>92298</v>
      </c>
      <c r="J23" s="5">
        <v>92298</v>
      </c>
      <c r="K23" s="5">
        <v>92256</v>
      </c>
      <c r="L23" s="5">
        <v>92297</v>
      </c>
      <c r="M23" s="5">
        <v>92292</v>
      </c>
      <c r="N23" s="5">
        <v>92245</v>
      </c>
      <c r="O23" s="5">
        <v>92240</v>
      </c>
      <c r="P23">
        <f>VLOOKUP(J23,D_马仔培养宝物!$W$2:$AC$64,5,FALSE)+VLOOKUP(K23,D_马仔培养宝物!$W$2:$AC$64,5,FALSE)+VLOOKUP(L23,D_马仔培养宝物!$W$2:$AC$64,5,FALSE)+VLOOKUP(M23,D_马仔培养宝物!$W$2:$AC$64,5,FALSE)+VLOOKUP(N23,D_马仔培养宝物!$W$2:$AC$64,5,FALSE)+VLOOKUP(O23,D_马仔培养宝物!$W$2:$AC$64,5,FALSE)</f>
        <v>4527</v>
      </c>
      <c r="Q23">
        <f>VLOOKUP(J23,D_马仔培养宝物!$W$2:$AC$64,6,FALSE)+VLOOKUP(K23,D_马仔培养宝物!$W$2:$AC$64,6,FALSE)+VLOOKUP(L23,D_马仔培养宝物!$W$2:$AC$64,6,FALSE)+VLOOKUP(M23,D_马仔培养宝物!$W$2:$AC$64,6,FALSE)+VLOOKUP(N23,D_马仔培养宝物!$W$2:$AC$64,6,FALSE)+VLOOKUP(O23,D_马仔培养宝物!$W$2:$AC$64,6,FALSE)</f>
        <v>94</v>
      </c>
      <c r="R23">
        <f>VLOOKUP(J23,D_马仔培养宝物!$W$2:$AC$64,7,FALSE)+VLOOKUP(K23,D_马仔培养宝物!$W$2:$AC$64,7,FALSE)+VLOOKUP(L23,D_马仔培养宝物!$W$2:$AC$64,7,FALSE)+VLOOKUP(M23,D_马仔培养宝物!$W$2:$AC$64,7,FALSE)+VLOOKUP(N23,D_马仔培养宝物!$W$2:$AC$64,7,FALSE)+VLOOKUP(O23,D_马仔培养宝物!$W$2:$AC$64,7,FALSE)</f>
        <v>84</v>
      </c>
    </row>
    <row r="24" spans="3:18">
      <c r="C24" s="5">
        <f t="array" aca="1" ref="C24" ca="1">OFFSET(D_马仔培养宝物!$W$1,SMALL(IF(D_马仔培养宝物!$Z$2:$Z$64=D_马仔培养宝物!$E24,ROW($C$2:$H$64),""),RANDBETWEEN(1,VLOOKUP(D_马仔培养宝物!$E24,D_马仔培养宝物!$T$3:$U$7,2,FALSE)))-1,0)</f>
        <v>92282</v>
      </c>
      <c r="D24" s="5">
        <f t="array" aca="1" ref="D24" ca="1">OFFSET(D_马仔培养宝物!$W$1,SMALL(IF(D_马仔培养宝物!$Z$2:$Z$64=D_马仔培养宝物!$E24,ROW($C$2:$H$64),""),RANDBETWEEN(1,VLOOKUP(D_马仔培养宝物!$E24,D_马仔培养宝物!$T$3:$U$7,2,FALSE)))-1,0)</f>
        <v>92281</v>
      </c>
      <c r="E24" s="5">
        <f t="array" aca="1" ref="E24" ca="1">OFFSET(D_马仔培养宝物!$W$1,SMALL(IF(D_马仔培养宝物!$Z$2:$Z$64=D_马仔培养宝物!$E24,ROW($C$2:$H$64),""),RANDBETWEEN(1,VLOOKUP(D_马仔培养宝物!$E24,D_马仔培养宝物!$T$3:$U$7,2,FALSE)))-1,0)</f>
        <v>92026</v>
      </c>
      <c r="F24" s="5">
        <f t="array" aca="1" ref="F24" ca="1">OFFSET(D_马仔培养宝物!$W$1,SMALL(IF(D_马仔培养宝物!$Z$2:$Z$64=D_马仔培养宝物!$E24,ROW($C$2:$H$64),""),RANDBETWEEN(1,VLOOKUP(D_马仔培养宝物!$E24,D_马仔培养宝物!$T$3:$U$7,2,FALSE)))-1,0)</f>
        <v>92261</v>
      </c>
      <c r="G24" s="5">
        <f t="array" aca="1" ref="G24" ca="1">OFFSET(D_马仔培养宝物!$W$1,SMALL(IF(D_马仔培养宝物!$Z$2:$Z$64=D_马仔培养宝物!$E24,ROW($C$2:$H$64),""),RANDBETWEEN(1,VLOOKUP(D_马仔培养宝物!$E24,D_马仔培养宝物!$T$3:$U$7,2,FALSE)))-1,0)</f>
        <v>92297</v>
      </c>
      <c r="H24" s="5">
        <f t="array" aca="1" ref="H24" ca="1">OFFSET(D_马仔培养宝物!$W$1,SMALL(IF(D_马仔培养宝物!$Z$2:$Z$64=D_马仔培养宝物!$E24,ROW($C$2:$H$64),""),RANDBETWEEN(1,VLOOKUP(D_马仔培养宝物!$E24,D_马仔培养宝物!$T$3:$U$7,2,FALSE)))-1,0)</f>
        <v>92299</v>
      </c>
      <c r="J24" s="5">
        <v>92256</v>
      </c>
      <c r="K24" s="5">
        <v>92252</v>
      </c>
      <c r="L24" s="5">
        <v>92255</v>
      </c>
      <c r="M24" s="5">
        <v>92289</v>
      </c>
      <c r="N24" s="5">
        <v>92254</v>
      </c>
      <c r="O24" s="5">
        <v>92291</v>
      </c>
      <c r="P24">
        <f>VLOOKUP(J24,D_马仔培养宝物!$W$2:$AC$64,5,FALSE)+VLOOKUP(K24,D_马仔培养宝物!$W$2:$AC$64,5,FALSE)+VLOOKUP(L24,D_马仔培养宝物!$W$2:$AC$64,5,FALSE)+VLOOKUP(M24,D_马仔培养宝物!$W$2:$AC$64,5,FALSE)+VLOOKUP(N24,D_马仔培养宝物!$W$2:$AC$64,5,FALSE)+VLOOKUP(O24,D_马仔培养宝物!$W$2:$AC$64,5,FALSE)</f>
        <v>2058</v>
      </c>
      <c r="Q24">
        <f>VLOOKUP(J24,D_马仔培养宝物!$W$2:$AC$64,6,FALSE)+VLOOKUP(K24,D_马仔培养宝物!$W$2:$AC$64,6,FALSE)+VLOOKUP(L24,D_马仔培养宝物!$W$2:$AC$64,6,FALSE)+VLOOKUP(M24,D_马仔培养宝物!$W$2:$AC$64,6,FALSE)+VLOOKUP(N24,D_马仔培养宝物!$W$2:$AC$64,6,FALSE)+VLOOKUP(O24,D_马仔培养宝物!$W$2:$AC$64,6,FALSE)</f>
        <v>219</v>
      </c>
      <c r="R24">
        <f>VLOOKUP(J24,D_马仔培养宝物!$W$2:$AC$64,7,FALSE)+VLOOKUP(K24,D_马仔培养宝物!$W$2:$AC$64,7,FALSE)+VLOOKUP(L24,D_马仔培养宝物!$W$2:$AC$64,7,FALSE)+VLOOKUP(M24,D_马仔培养宝物!$W$2:$AC$64,7,FALSE)+VLOOKUP(N24,D_马仔培养宝物!$W$2:$AC$64,7,FALSE)+VLOOKUP(O24,D_马仔培养宝物!$W$2:$AC$64,7,FALSE)</f>
        <v>75</v>
      </c>
    </row>
    <row r="25" spans="3:18" ht="14.25" thickBot="1">
      <c r="C25" s="22">
        <f t="array" aca="1" ref="C25" ca="1">OFFSET(D_马仔培养宝物!$W$1,SMALL(IF(D_马仔培养宝物!$Z$2:$Z$64=D_马仔培养宝物!$E25,ROW($C$2:$H$64),""),RANDBETWEEN(1,VLOOKUP(D_马仔培养宝物!$E25,D_马仔培养宝物!$T$3:$U$7,2,FALSE)))-1,0)</f>
        <v>92299</v>
      </c>
      <c r="D25" s="22">
        <f t="array" aca="1" ref="D25" ca="1">OFFSET(D_马仔培养宝物!$W$1,SMALL(IF(D_马仔培养宝物!$Z$2:$Z$64=D_马仔培养宝物!$E25,ROW($C$2:$H$64),""),RANDBETWEEN(1,VLOOKUP(D_马仔培养宝物!$E25,D_马仔培养宝物!$T$3:$U$7,2,FALSE)))-1,0)</f>
        <v>92256</v>
      </c>
      <c r="E25" s="22">
        <f t="array" aca="1" ref="E25" ca="1">OFFSET(D_马仔培养宝物!$W$1,SMALL(IF(D_马仔培养宝物!$Z$2:$Z$64=D_马仔培养宝物!$E25,ROW($C$2:$H$64),""),RANDBETWEEN(1,VLOOKUP(D_马仔培养宝物!$E25,D_马仔培养宝物!$T$3:$U$7,2,FALSE)))-1,0)</f>
        <v>92262</v>
      </c>
      <c r="F25" s="22">
        <f t="array" aca="1" ref="F25" ca="1">OFFSET(D_马仔培养宝物!$W$1,SMALL(IF(D_马仔培养宝物!$Z$2:$Z$64=D_马仔培养宝物!$E25,ROW($C$2:$H$64),""),RANDBETWEEN(1,VLOOKUP(D_马仔培养宝物!$E25,D_马仔培养宝物!$T$3:$U$7,2,FALSE)))-1,0)</f>
        <v>92255</v>
      </c>
      <c r="G25" s="22">
        <f t="array" aca="1" ref="G25" ca="1">OFFSET(D_马仔培养宝物!$W$1,SMALL(IF(D_马仔培养宝物!$Z$2:$Z$64=D_马仔培养宝物!$E25,ROW($C$2:$H$64),""),RANDBETWEEN(1,VLOOKUP(D_马仔培养宝物!$E25,D_马仔培养宝物!$T$3:$U$7,2,FALSE)))-1,0)</f>
        <v>92295</v>
      </c>
      <c r="H25" s="22">
        <f t="array" aca="1" ref="H25" ca="1">OFFSET(D_马仔培养宝物!$W$1,SMALL(IF(D_马仔培养宝物!$Z$2:$Z$64=D_马仔培养宝物!$E25,ROW($C$2:$H$64),""),RANDBETWEEN(1,VLOOKUP(D_马仔培养宝物!$E25,D_马仔培养宝物!$T$3:$U$7,2,FALSE)))-1,0)</f>
        <v>92026</v>
      </c>
      <c r="J25" s="22">
        <v>92252</v>
      </c>
      <c r="K25" s="22">
        <v>92292</v>
      </c>
      <c r="L25" s="22">
        <v>92251</v>
      </c>
      <c r="M25" s="22">
        <v>92291</v>
      </c>
      <c r="N25" s="22">
        <v>92255</v>
      </c>
      <c r="O25" s="22">
        <v>92245</v>
      </c>
      <c r="P25">
        <f>VLOOKUP(J25,D_马仔培养宝物!$W$2:$AC$64,5,FALSE)+VLOOKUP(K25,D_马仔培养宝物!$W$2:$AC$64,5,FALSE)+VLOOKUP(L25,D_马仔培养宝物!$W$2:$AC$64,5,FALSE)+VLOOKUP(M25,D_马仔培养宝物!$W$2:$AC$64,5,FALSE)+VLOOKUP(N25,D_马仔培养宝物!$W$2:$AC$64,5,FALSE)+VLOOKUP(O25,D_马仔培养宝物!$W$2:$AC$64,5,FALSE)</f>
        <v>4527</v>
      </c>
      <c r="Q25">
        <f>VLOOKUP(J25,D_马仔培养宝物!$W$2:$AC$64,6,FALSE)+VLOOKUP(K25,D_马仔培养宝物!$W$2:$AC$64,6,FALSE)+VLOOKUP(L25,D_马仔培养宝物!$W$2:$AC$64,6,FALSE)+VLOOKUP(M25,D_马仔培养宝物!$W$2:$AC$64,6,FALSE)+VLOOKUP(N25,D_马仔培养宝物!$W$2:$AC$64,6,FALSE)+VLOOKUP(O25,D_马仔培养宝物!$W$2:$AC$64,6,FALSE)</f>
        <v>83</v>
      </c>
      <c r="R25">
        <f>VLOOKUP(J25,D_马仔培养宝物!$W$2:$AC$64,7,FALSE)+VLOOKUP(K25,D_马仔培养宝物!$W$2:$AC$64,7,FALSE)+VLOOKUP(L25,D_马仔培养宝物!$W$2:$AC$64,7,FALSE)+VLOOKUP(M25,D_马仔培养宝物!$W$2:$AC$64,7,FALSE)+VLOOKUP(N25,D_马仔培养宝物!$W$2:$AC$64,7,FALSE)+VLOOKUP(O25,D_马仔培养宝物!$W$2:$AC$64,7,FALSE)</f>
        <v>44</v>
      </c>
    </row>
    <row r="26" spans="3:18">
      <c r="C26" s="19">
        <f t="array" aca="1" ref="C26" ca="1">OFFSET(D_马仔培养宝物!$W$1,SMALL(IF(D_马仔培养宝物!$Z$2:$Z$64=D_马仔培养宝物!$E26,ROW($C$2:$H$64),""),RANDBETWEEN(1,VLOOKUP(D_马仔培养宝物!$E26,D_马仔培养宝物!$T$3:$U$7,2,FALSE)))-1,0)</f>
        <v>92277</v>
      </c>
      <c r="D26" s="19">
        <f t="array" aca="1" ref="D26" ca="1">OFFSET(D_马仔培养宝物!$W$1,SMALL(IF(D_马仔培养宝物!$Z$2:$Z$64=D_马仔培养宝物!$E26,ROW($C$2:$H$64),""),RANDBETWEEN(1,VLOOKUP(D_马仔培养宝物!$E26,D_马仔培养宝物!$T$3:$U$7,2,FALSE)))-1,0)</f>
        <v>92263</v>
      </c>
      <c r="E26" s="19">
        <f t="array" aca="1" ref="E26" ca="1">OFFSET(D_马仔培养宝物!$W$1,SMALL(IF(D_马仔培养宝物!$Z$2:$Z$64=D_马仔培养宝物!$E26,ROW($C$2:$H$64),""),RANDBETWEEN(1,VLOOKUP(D_马仔培养宝物!$E26,D_马仔培养宝物!$T$3:$U$7,2,FALSE)))-1,0)</f>
        <v>92244</v>
      </c>
      <c r="F26" s="19">
        <f t="array" aca="1" ref="F26" ca="1">OFFSET(D_马仔培养宝物!$W$1,SMALL(IF(D_马仔培养宝物!$Z$2:$Z$64=D_马仔培养宝物!$E26,ROW($C$2:$H$64),""),RANDBETWEEN(1,VLOOKUP(D_马仔培养宝物!$E26,D_马仔培养宝物!$T$3:$U$7,2,FALSE)))-1,0)</f>
        <v>92243</v>
      </c>
      <c r="G26" s="19">
        <f t="array" aca="1" ref="G26" ca="1">OFFSET(D_马仔培养宝物!$W$1,SMALL(IF(D_马仔培养宝物!$Z$2:$Z$64=D_马仔培养宝物!$E26,ROW($C$2:$H$64),""),RANDBETWEEN(1,VLOOKUP(D_马仔培养宝物!$E26,D_马仔培养宝物!$T$3:$U$7,2,FALSE)))-1,0)</f>
        <v>92121</v>
      </c>
      <c r="H26" s="19">
        <f t="array" aca="1" ref="H26" ca="1">OFFSET(D_马仔培养宝物!$W$1,SMALL(IF(D_马仔培养宝物!$Z$2:$Z$64=D_马仔培养宝物!$E26,ROW($C$2:$H$64),""),RANDBETWEEN(1,VLOOKUP(D_马仔培养宝物!$E26,D_马仔培养宝物!$T$3:$U$7,2,FALSE)))-1,0)</f>
        <v>92243</v>
      </c>
      <c r="J26" s="19">
        <v>92013</v>
      </c>
      <c r="K26" s="19">
        <v>92011</v>
      </c>
      <c r="L26" s="19">
        <v>92012</v>
      </c>
      <c r="M26" s="19">
        <v>92122</v>
      </c>
      <c r="N26" s="19">
        <v>92125</v>
      </c>
      <c r="O26" s="19">
        <v>92014</v>
      </c>
      <c r="P26">
        <f>VLOOKUP(J26,D_马仔培养宝物!$W$2:$AC$64,5,FALSE)+VLOOKUP(K26,D_马仔培养宝物!$W$2:$AC$64,5,FALSE)+VLOOKUP(L26,D_马仔培养宝物!$W$2:$AC$64,5,FALSE)+VLOOKUP(M26,D_马仔培养宝物!$W$2:$AC$64,5,FALSE)+VLOOKUP(N26,D_马仔培养宝物!$W$2:$AC$64,5,FALSE)+VLOOKUP(O26,D_马仔培养宝物!$W$2:$AC$64,5,FALSE)</f>
        <v>2881</v>
      </c>
      <c r="Q26">
        <f>VLOOKUP(J26,D_马仔培养宝物!$W$2:$AC$64,6,FALSE)+VLOOKUP(K26,D_马仔培养宝物!$W$2:$AC$64,6,FALSE)+VLOOKUP(L26,D_马仔培养宝物!$W$2:$AC$64,6,FALSE)+VLOOKUP(M26,D_马仔培养宝物!$W$2:$AC$64,6,FALSE)+VLOOKUP(N26,D_马仔培养宝物!$W$2:$AC$64,6,FALSE)+VLOOKUP(O26,D_马仔培养宝物!$W$2:$AC$64,6,FALSE)</f>
        <v>41</v>
      </c>
      <c r="R26">
        <f>VLOOKUP(J26,D_马仔培养宝物!$W$2:$AC$64,7,FALSE)+VLOOKUP(K26,D_马仔培养宝物!$W$2:$AC$64,7,FALSE)+VLOOKUP(L26,D_马仔培养宝物!$W$2:$AC$64,7,FALSE)+VLOOKUP(M26,D_马仔培养宝物!$W$2:$AC$64,7,FALSE)+VLOOKUP(N26,D_马仔培养宝物!$W$2:$AC$64,7,FALSE)+VLOOKUP(O26,D_马仔培养宝物!$W$2:$AC$64,7,FALSE)</f>
        <v>62</v>
      </c>
    </row>
    <row r="27" spans="3:18">
      <c r="C27" s="5">
        <f t="array" aca="1" ref="C27" ca="1">OFFSET(D_马仔培养宝物!$W$1,SMALL(IF(D_马仔培养宝物!$Z$2:$Z$64=D_马仔培养宝物!$E27,ROW($C$2:$H$64),""),RANDBETWEEN(1,VLOOKUP(D_马仔培养宝物!$E27,D_马仔培养宝物!$T$3:$U$7,2,FALSE)))-1,0)</f>
        <v>92228</v>
      </c>
      <c r="D27" s="5">
        <f t="array" aca="1" ref="D27" ca="1">OFFSET(D_马仔培养宝物!$W$1,SMALL(IF(D_马仔培养宝物!$Z$2:$Z$64=D_马仔培养宝物!$E27,ROW($C$2:$H$64),""),RANDBETWEEN(1,VLOOKUP(D_马仔培养宝物!$E27,D_马仔培养宝物!$T$3:$U$7,2,FALSE)))-1,0)</f>
        <v>92277</v>
      </c>
      <c r="E27" s="5">
        <f t="array" aca="1" ref="E27" ca="1">OFFSET(D_马仔培养宝物!$W$1,SMALL(IF(D_马仔培养宝物!$Z$2:$Z$64=D_马仔培养宝物!$E27,ROW($C$2:$H$64),""),RANDBETWEEN(1,VLOOKUP(D_马仔培养宝物!$E27,D_马仔培养宝物!$T$3:$U$7,2,FALSE)))-1,0)</f>
        <v>92232</v>
      </c>
      <c r="F27" s="5">
        <f t="array" aca="1" ref="F27" ca="1">OFFSET(D_马仔培养宝物!$W$1,SMALL(IF(D_马仔培养宝物!$Z$2:$Z$64=D_马仔培养宝物!$E27,ROW($C$2:$H$64),""),RANDBETWEEN(1,VLOOKUP(D_马仔培养宝物!$E27,D_马仔培养宝物!$T$3:$U$7,2,FALSE)))-1,0)</f>
        <v>92011</v>
      </c>
      <c r="G27" s="5">
        <f t="array" aca="1" ref="G27" ca="1">OFFSET(D_马仔培养宝物!$W$1,SMALL(IF(D_马仔培养宝物!$Z$2:$Z$64=D_马仔培养宝物!$E27,ROW($C$2:$H$64),""),RANDBETWEEN(1,VLOOKUP(D_马仔培养宝物!$E27,D_马仔培养宝物!$T$3:$U$7,2,FALSE)))-1,0)</f>
        <v>92131</v>
      </c>
      <c r="H27" s="5">
        <f t="array" aca="1" ref="H27" ca="1">OFFSET(D_马仔培养宝物!$W$1,SMALL(IF(D_马仔培养宝物!$Z$2:$Z$64=D_马仔培养宝物!$E27,ROW($C$2:$H$64),""),RANDBETWEEN(1,VLOOKUP(D_马仔培养宝物!$E27,D_马仔培养宝物!$T$3:$U$7,2,FALSE)))-1,0)</f>
        <v>92243</v>
      </c>
      <c r="J27" s="5">
        <v>92223</v>
      </c>
      <c r="K27" s="5">
        <v>92026</v>
      </c>
      <c r="L27" s="5">
        <v>92124</v>
      </c>
      <c r="M27" s="5">
        <v>92014</v>
      </c>
      <c r="N27" s="5">
        <v>92122</v>
      </c>
      <c r="O27" s="5">
        <v>92013</v>
      </c>
      <c r="P27">
        <f>VLOOKUP(J27,D_马仔培养宝物!$W$2:$AC$64,5,FALSE)+VLOOKUP(K27,D_马仔培养宝物!$W$2:$AC$64,5,FALSE)+VLOOKUP(L27,D_马仔培养宝物!$W$2:$AC$64,5,FALSE)+VLOOKUP(M27,D_马仔培养宝物!$W$2:$AC$64,5,FALSE)+VLOOKUP(N27,D_马仔培养宝物!$W$2:$AC$64,5,FALSE)+VLOOKUP(O27,D_马仔培养宝物!$W$2:$AC$64,5,FALSE)</f>
        <v>1852</v>
      </c>
      <c r="Q27">
        <f>VLOOKUP(J27,D_马仔培养宝物!$W$2:$AC$64,6,FALSE)+VLOOKUP(K27,D_马仔培养宝物!$W$2:$AC$64,6,FALSE)+VLOOKUP(L27,D_马仔培养宝物!$W$2:$AC$64,6,FALSE)+VLOOKUP(M27,D_马仔培养宝物!$W$2:$AC$64,6,FALSE)+VLOOKUP(N27,D_马仔培养宝物!$W$2:$AC$64,6,FALSE)+VLOOKUP(O27,D_马仔培养宝物!$W$2:$AC$64,6,FALSE)</f>
        <v>136</v>
      </c>
      <c r="R27">
        <f>VLOOKUP(J27,D_马仔培养宝物!$W$2:$AC$64,7,FALSE)+VLOOKUP(K27,D_马仔培养宝物!$W$2:$AC$64,7,FALSE)+VLOOKUP(L27,D_马仔培养宝物!$W$2:$AC$64,7,FALSE)+VLOOKUP(M27,D_马仔培养宝物!$W$2:$AC$64,7,FALSE)+VLOOKUP(N27,D_马仔培养宝物!$W$2:$AC$64,7,FALSE)+VLOOKUP(O27,D_马仔培养宝物!$W$2:$AC$64,7,FALSE)</f>
        <v>84</v>
      </c>
    </row>
    <row r="28" spans="3:18">
      <c r="C28" s="5">
        <f t="array" aca="1" ref="C28" ca="1">OFFSET(D_马仔培养宝物!$W$1,SMALL(IF(D_马仔培养宝物!$Z$2:$Z$64=D_马仔培养宝物!$E28,ROW($C$2:$H$64),""),RANDBETWEEN(1,VLOOKUP(D_马仔培养宝物!$E28,D_马仔培养宝物!$T$3:$U$7,2,FALSE)))-1,0)</f>
        <v>92287</v>
      </c>
      <c r="D28" s="5">
        <f t="array" aca="1" ref="D28" ca="1">OFFSET(D_马仔培养宝物!$W$1,SMALL(IF(D_马仔培养宝物!$Z$2:$Z$64=D_马仔培养宝物!$E28,ROW($C$2:$H$64),""),RANDBETWEEN(1,VLOOKUP(D_马仔培养宝物!$E28,D_马仔培养宝物!$T$3:$U$7,2,FALSE)))-1,0)</f>
        <v>92264</v>
      </c>
      <c r="E28" s="5">
        <f t="array" aca="1" ref="E28" ca="1">OFFSET(D_马仔培养宝物!$W$1,SMALL(IF(D_马仔培养宝物!$Z$2:$Z$64=D_马仔培养宝物!$E28,ROW($C$2:$H$64),""),RANDBETWEEN(1,VLOOKUP(D_马仔培养宝物!$E28,D_马仔培养宝物!$T$3:$U$7,2,FALSE)))-1,0)</f>
        <v>92233</v>
      </c>
      <c r="F28" s="5">
        <f t="array" aca="1" ref="F28" ca="1">OFFSET(D_马仔培养宝物!$W$1,SMALL(IF(D_马仔培养宝物!$Z$2:$Z$64=D_马仔培养宝物!$E28,ROW($C$2:$H$64),""),RANDBETWEEN(1,VLOOKUP(D_马仔培养宝物!$E28,D_马仔培养宝物!$T$3:$U$7,2,FALSE)))-1,0)</f>
        <v>92251</v>
      </c>
      <c r="G28" s="5">
        <f t="array" aca="1" ref="G28" ca="1">OFFSET(D_马仔培养宝物!$W$1,SMALL(IF(D_马仔培养宝物!$Z$2:$Z$64=D_马仔培养宝物!$E28,ROW($C$2:$H$64),""),RANDBETWEEN(1,VLOOKUP(D_马仔培养宝物!$E28,D_马仔培养宝物!$T$3:$U$7,2,FALSE)))-1,0)</f>
        <v>92233</v>
      </c>
      <c r="H28" s="5">
        <f t="array" aca="1" ref="H28" ca="1">OFFSET(D_马仔培养宝物!$W$1,SMALL(IF(D_马仔培养宝物!$Z$2:$Z$64=D_马仔培养宝物!$E28,ROW($C$2:$H$64),""),RANDBETWEEN(1,VLOOKUP(D_马仔培养宝物!$E28,D_马仔培养宝物!$T$3:$U$7,2,FALSE)))-1,0)</f>
        <v>92278</v>
      </c>
      <c r="J28" s="5">
        <v>92271</v>
      </c>
      <c r="K28" s="5">
        <v>92235</v>
      </c>
      <c r="L28" s="5">
        <v>92232</v>
      </c>
      <c r="M28" s="5">
        <v>92286</v>
      </c>
      <c r="N28" s="5">
        <v>92121</v>
      </c>
      <c r="O28" s="5">
        <v>92233</v>
      </c>
      <c r="P28">
        <f>VLOOKUP(J28,D_马仔培养宝物!$W$2:$AC$64,5,FALSE)+VLOOKUP(K28,D_马仔培养宝物!$W$2:$AC$64,5,FALSE)+VLOOKUP(L28,D_马仔培养宝物!$W$2:$AC$64,5,FALSE)+VLOOKUP(M28,D_马仔培养宝物!$W$2:$AC$64,5,FALSE)+VLOOKUP(N28,D_马仔培养宝物!$W$2:$AC$64,5,FALSE)+VLOOKUP(O28,D_马仔培养宝物!$W$2:$AC$64,5,FALSE)</f>
        <v>1440</v>
      </c>
      <c r="Q28">
        <f>VLOOKUP(J28,D_马仔培养宝物!$W$2:$AC$64,6,FALSE)+VLOOKUP(K28,D_马仔培养宝物!$W$2:$AC$64,6,FALSE)+VLOOKUP(L28,D_马仔培养宝物!$W$2:$AC$64,6,FALSE)+VLOOKUP(M28,D_马仔培养宝物!$W$2:$AC$64,6,FALSE)+VLOOKUP(N28,D_马仔培养宝物!$W$2:$AC$64,6,FALSE)+VLOOKUP(O28,D_马仔培养宝物!$W$2:$AC$64,6,FALSE)</f>
        <v>10</v>
      </c>
      <c r="R28">
        <f>VLOOKUP(J28,D_马仔培养宝物!$W$2:$AC$64,7,FALSE)+VLOOKUP(K28,D_马仔培养宝物!$W$2:$AC$64,7,FALSE)+VLOOKUP(L28,D_马仔培养宝物!$W$2:$AC$64,7,FALSE)+VLOOKUP(M28,D_马仔培养宝物!$W$2:$AC$64,7,FALSE)+VLOOKUP(N28,D_马仔培养宝物!$W$2:$AC$64,7,FALSE)+VLOOKUP(O28,D_马仔培养宝物!$W$2:$AC$64,7,FALSE)</f>
        <v>62</v>
      </c>
    </row>
    <row r="29" spans="3:18">
      <c r="C29" s="5">
        <f t="array" aca="1" ref="C29" ca="1">OFFSET(D_马仔培养宝物!$W$1,SMALL(IF(D_马仔培养宝物!$Z$2:$Z$64=D_马仔培养宝物!$E29,ROW($C$2:$H$64),""),RANDBETWEEN(1,VLOOKUP(D_马仔培养宝物!$E29,D_马仔培养宝物!$T$3:$U$7,2,FALSE)))-1,0)</f>
        <v>92233</v>
      </c>
      <c r="D29" s="5">
        <f t="array" aca="1" ref="D29" ca="1">OFFSET(D_马仔培养宝物!$W$1,SMALL(IF(D_马仔培养宝物!$Z$2:$Z$64=D_马仔培养宝物!$E29,ROW($C$2:$H$64),""),RANDBETWEEN(1,VLOOKUP(D_马仔培养宝物!$E29,D_马仔培养宝物!$T$3:$U$7,2,FALSE)))-1,0)</f>
        <v>92251</v>
      </c>
      <c r="E29" s="5">
        <f t="array" aca="1" ref="E29" ca="1">OFFSET(D_马仔培养宝物!$W$1,SMALL(IF(D_马仔培养宝物!$Z$2:$Z$64=D_马仔培养宝物!$E29,ROW($C$2:$H$64),""),RANDBETWEEN(1,VLOOKUP(D_马仔培养宝物!$E29,D_马仔培养宝物!$T$3:$U$7,2,FALSE)))-1,0)</f>
        <v>92122</v>
      </c>
      <c r="F29" s="5">
        <f t="array" aca="1" ref="F29" ca="1">OFFSET(D_马仔培养宝物!$W$1,SMALL(IF(D_马仔培养宝物!$Z$2:$Z$64=D_马仔培养宝物!$E29,ROW($C$2:$H$64),""),RANDBETWEEN(1,VLOOKUP(D_马仔培养宝物!$E29,D_马仔培养宝物!$T$3:$U$7,2,FALSE)))-1,0)</f>
        <v>92264</v>
      </c>
      <c r="G29" s="5">
        <f t="array" aca="1" ref="G29" ca="1">OFFSET(D_马仔培养宝物!$W$1,SMALL(IF(D_马仔培养宝物!$Z$2:$Z$64=D_马仔培养宝物!$E29,ROW($C$2:$H$64),""),RANDBETWEEN(1,VLOOKUP(D_马仔培养宝物!$E29,D_马仔培养宝物!$T$3:$U$7,2,FALSE)))-1,0)</f>
        <v>92122</v>
      </c>
      <c r="H29" s="5">
        <f t="array" aca="1" ref="H29" ca="1">OFFSET(D_马仔培养宝物!$W$1,SMALL(IF(D_马仔培养宝物!$Z$2:$Z$64=D_马仔培养宝物!$E29,ROW($C$2:$H$64),""),RANDBETWEEN(1,VLOOKUP(D_马仔培养宝物!$E29,D_马仔培养宝物!$T$3:$U$7,2,FALSE)))-1,0)</f>
        <v>92233</v>
      </c>
      <c r="J29" s="5">
        <v>92232</v>
      </c>
      <c r="K29" s="5">
        <v>92233</v>
      </c>
      <c r="L29" s="5">
        <v>92235</v>
      </c>
      <c r="M29" s="5">
        <v>92286</v>
      </c>
      <c r="N29" s="5">
        <v>92236</v>
      </c>
      <c r="O29" s="5">
        <v>92121</v>
      </c>
      <c r="P29">
        <f>VLOOKUP(J29,D_马仔培养宝物!$W$2:$AC$64,5,FALSE)+VLOOKUP(K29,D_马仔培养宝物!$W$2:$AC$64,5,FALSE)+VLOOKUP(L29,D_马仔培养宝物!$W$2:$AC$64,5,FALSE)+VLOOKUP(M29,D_马仔培养宝物!$W$2:$AC$64,5,FALSE)+VLOOKUP(N29,D_马仔培养宝物!$W$2:$AC$64,5,FALSE)+VLOOKUP(O29,D_马仔培养宝物!$W$2:$AC$64,5,FALSE)</f>
        <v>823</v>
      </c>
      <c r="Q29">
        <f>VLOOKUP(J29,D_马仔培养宝物!$W$2:$AC$64,6,FALSE)+VLOOKUP(K29,D_马仔培养宝物!$W$2:$AC$64,6,FALSE)+VLOOKUP(L29,D_马仔培养宝物!$W$2:$AC$64,6,FALSE)+VLOOKUP(M29,D_马仔培养宝物!$W$2:$AC$64,6,FALSE)+VLOOKUP(N29,D_马仔培养宝物!$W$2:$AC$64,6,FALSE)+VLOOKUP(O29,D_马仔培养宝物!$W$2:$AC$64,6,FALSE)</f>
        <v>83</v>
      </c>
      <c r="R29">
        <f>VLOOKUP(J29,D_马仔培养宝物!$W$2:$AC$64,7,FALSE)+VLOOKUP(K29,D_马仔培养宝物!$W$2:$AC$64,7,FALSE)+VLOOKUP(L29,D_马仔培养宝物!$W$2:$AC$64,7,FALSE)+VLOOKUP(M29,D_马仔培养宝物!$W$2:$AC$64,7,FALSE)+VLOOKUP(N29,D_马仔培养宝物!$W$2:$AC$64,7,FALSE)+VLOOKUP(O29,D_马仔培养宝物!$W$2:$AC$64,7,FALSE)</f>
        <v>62</v>
      </c>
    </row>
    <row r="30" spans="3:18">
      <c r="C30" s="5">
        <f t="array" aca="1" ref="C30" ca="1">OFFSET(D_马仔培养宝物!$W$1,SMALL(IF(D_马仔培养宝物!$Z$2:$Z$64=D_马仔培养宝物!$E30,ROW($C$2:$H$64),""),RANDBETWEEN(1,VLOOKUP(D_马仔培养宝物!$E30,D_马仔培养宝物!$T$3:$U$7,2,FALSE)))-1,0)</f>
        <v>92142</v>
      </c>
      <c r="D30" s="5">
        <f t="array" aca="1" ref="D30" ca="1">OFFSET(D_马仔培养宝物!$W$1,SMALL(IF(D_马仔培养宝物!$Z$2:$Z$64=D_马仔培养宝物!$E30,ROW($C$2:$H$64),""),RANDBETWEEN(1,VLOOKUP(D_马仔培养宝物!$E30,D_马仔培养宝物!$T$3:$U$7,2,FALSE)))-1,0)</f>
        <v>92273</v>
      </c>
      <c r="E30" s="5">
        <f t="array" aca="1" ref="E30" ca="1">OFFSET(D_马仔培养宝物!$W$1,SMALL(IF(D_马仔培养宝物!$Z$2:$Z$64=D_马仔培养宝物!$E30,ROW($C$2:$H$64),""),RANDBETWEEN(1,VLOOKUP(D_马仔培养宝物!$E30,D_马仔培养宝物!$T$3:$U$7,2,FALSE)))-1,0)</f>
        <v>92012</v>
      </c>
      <c r="F30" s="5">
        <f t="array" aca="1" ref="F30" ca="1">OFFSET(D_马仔培养宝物!$W$1,SMALL(IF(D_马仔培养宝物!$Z$2:$Z$64=D_马仔培养宝物!$E30,ROW($C$2:$H$64),""),RANDBETWEEN(1,VLOOKUP(D_马仔培养宝物!$E30,D_马仔培养宝物!$T$3:$U$7,2,FALSE)))-1,0)</f>
        <v>92142</v>
      </c>
      <c r="G30" s="5">
        <f t="array" aca="1" ref="G30" ca="1">OFFSET(D_马仔培养宝物!$W$1,SMALL(IF(D_马仔培养宝物!$Z$2:$Z$64=D_马仔培养宝物!$E30,ROW($C$2:$H$64),""),RANDBETWEEN(1,VLOOKUP(D_马仔培养宝物!$E30,D_马仔培养宝物!$T$3:$U$7,2,FALSE)))-1,0)</f>
        <v>92284</v>
      </c>
      <c r="H30" s="5">
        <f t="array" aca="1" ref="H30" ca="1">OFFSET(D_马仔培养宝物!$W$1,SMALL(IF(D_马仔培养宝物!$Z$2:$Z$64=D_马仔培养宝物!$E30,ROW($C$2:$H$64),""),RANDBETWEEN(1,VLOOKUP(D_马仔培养宝物!$E30,D_马仔培养宝物!$T$3:$U$7,2,FALSE)))-1,0)</f>
        <v>92235</v>
      </c>
      <c r="J30" s="5">
        <v>92285</v>
      </c>
      <c r="K30" s="5">
        <v>92142</v>
      </c>
      <c r="L30" s="5">
        <v>92283</v>
      </c>
      <c r="M30" s="5">
        <v>92262</v>
      </c>
      <c r="N30" s="5">
        <v>92134</v>
      </c>
      <c r="O30" s="5">
        <v>92141</v>
      </c>
      <c r="P30">
        <f>VLOOKUP(J30,D_马仔培养宝物!$W$2:$AC$64,5,FALSE)+VLOOKUP(K30,D_马仔培养宝物!$W$2:$AC$64,5,FALSE)+VLOOKUP(L30,D_马仔培养宝物!$W$2:$AC$64,5,FALSE)+VLOOKUP(M30,D_马仔培养宝物!$W$2:$AC$64,5,FALSE)+VLOOKUP(N30,D_马仔培养宝物!$W$2:$AC$64,5,FALSE)+VLOOKUP(O30,D_马仔培养宝物!$W$2:$AC$64,5,FALSE)</f>
        <v>0</v>
      </c>
      <c r="Q30">
        <f>VLOOKUP(J30,D_马仔培养宝物!$W$2:$AC$64,6,FALSE)+VLOOKUP(K30,D_马仔培养宝物!$W$2:$AC$64,6,FALSE)+VLOOKUP(L30,D_马仔培养宝物!$W$2:$AC$64,6,FALSE)+VLOOKUP(M30,D_马仔培养宝物!$W$2:$AC$64,6,FALSE)+VLOOKUP(N30,D_马仔培养宝物!$W$2:$AC$64,6,FALSE)+VLOOKUP(O30,D_马仔培养宝物!$W$2:$AC$64,6,FALSE)</f>
        <v>303</v>
      </c>
      <c r="R30">
        <f>VLOOKUP(J30,D_马仔培养宝物!$W$2:$AC$64,7,FALSE)+VLOOKUP(K30,D_马仔培养宝物!$W$2:$AC$64,7,FALSE)+VLOOKUP(L30,D_马仔培养宝物!$W$2:$AC$64,7,FALSE)+VLOOKUP(M30,D_马仔培养宝物!$W$2:$AC$64,7,FALSE)+VLOOKUP(N30,D_马仔培养宝物!$W$2:$AC$64,7,FALSE)+VLOOKUP(O30,D_马仔培养宝物!$W$2:$AC$64,7,FALSE)</f>
        <v>26</v>
      </c>
    </row>
    <row r="31" spans="3:18">
      <c r="C31" s="5">
        <f t="array" aca="1" ref="C31" ca="1">OFFSET(D_马仔培养宝物!$W$1,SMALL(IF(D_马仔培养宝物!$Z$2:$Z$64=D_马仔培养宝物!$E31,ROW($C$2:$H$64),""),RANDBETWEEN(1,VLOOKUP(D_马仔培养宝物!$E31,D_马仔培养宝物!$T$3:$U$7,2,FALSE)))-1,0)</f>
        <v>92012</v>
      </c>
      <c r="D31" s="5">
        <f t="array" aca="1" ref="D31" ca="1">OFFSET(D_马仔培养宝物!$W$1,SMALL(IF(D_马仔培养宝物!$Z$2:$Z$64=D_马仔培养宝物!$E31,ROW($C$2:$H$64),""),RANDBETWEEN(1,VLOOKUP(D_马仔培养宝物!$E31,D_马仔培养宝物!$T$3:$U$7,2,FALSE)))-1,0)</f>
        <v>92012</v>
      </c>
      <c r="E31" s="5">
        <f t="array" aca="1" ref="E31" ca="1">OFFSET(D_马仔培养宝物!$W$1,SMALL(IF(D_马仔培养宝物!$Z$2:$Z$64=D_马仔培养宝物!$E31,ROW($C$2:$H$64),""),RANDBETWEEN(1,VLOOKUP(D_马仔培养宝物!$E31,D_马仔培养宝物!$T$3:$U$7,2,FALSE)))-1,0)</f>
        <v>92252</v>
      </c>
      <c r="F31" s="5">
        <f t="array" aca="1" ref="F31" ca="1">OFFSET(D_马仔培养宝物!$W$1,SMALL(IF(D_马仔培养宝物!$Z$2:$Z$64=D_马仔培养宝物!$E31,ROW($C$2:$H$64),""),RANDBETWEEN(1,VLOOKUP(D_马仔培养宝物!$E31,D_马仔培养宝物!$T$3:$U$7,2,FALSE)))-1,0)</f>
        <v>92273</v>
      </c>
      <c r="G31" s="5">
        <f t="array" aca="1" ref="G31" ca="1">OFFSET(D_马仔培养宝物!$W$1,SMALL(IF(D_马仔培养宝物!$Z$2:$Z$64=D_马仔培养宝物!$E31,ROW($C$2:$H$64),""),RANDBETWEEN(1,VLOOKUP(D_马仔培养宝物!$E31,D_马仔培养宝物!$T$3:$U$7,2,FALSE)))-1,0)</f>
        <v>92252</v>
      </c>
      <c r="H31" s="5">
        <f t="array" aca="1" ref="H31" ca="1">OFFSET(D_马仔培养宝物!$W$1,SMALL(IF(D_马仔培养宝物!$Z$2:$Z$64=D_马仔培养宝物!$E31,ROW($C$2:$H$64),""),RANDBETWEEN(1,VLOOKUP(D_马仔培养宝物!$E31,D_马仔培养宝物!$T$3:$U$7,2,FALSE)))-1,0)</f>
        <v>92272</v>
      </c>
      <c r="J31" s="5">
        <v>92284</v>
      </c>
      <c r="K31" s="5">
        <v>92141</v>
      </c>
      <c r="L31" s="5">
        <v>92282</v>
      </c>
      <c r="M31" s="5">
        <v>92142</v>
      </c>
      <c r="N31" s="5">
        <v>92262</v>
      </c>
      <c r="O31" s="5">
        <v>92285</v>
      </c>
      <c r="P31">
        <f>VLOOKUP(J31,D_马仔培养宝物!$W$2:$AC$64,5,FALSE)+VLOOKUP(K31,D_马仔培养宝物!$W$2:$AC$64,5,FALSE)+VLOOKUP(L31,D_马仔培养宝物!$W$2:$AC$64,5,FALSE)+VLOOKUP(M31,D_马仔培养宝物!$W$2:$AC$64,5,FALSE)+VLOOKUP(N31,D_马仔培养宝物!$W$2:$AC$64,5,FALSE)+VLOOKUP(O31,D_马仔培养宝物!$W$2:$AC$64,5,FALSE)</f>
        <v>1029</v>
      </c>
      <c r="Q31">
        <f>VLOOKUP(J31,D_马仔培养宝物!$W$2:$AC$64,6,FALSE)+VLOOKUP(K31,D_马仔培养宝物!$W$2:$AC$64,6,FALSE)+VLOOKUP(L31,D_马仔培养宝物!$W$2:$AC$64,6,FALSE)+VLOOKUP(M31,D_马仔培养宝物!$W$2:$AC$64,6,FALSE)+VLOOKUP(N31,D_马仔培养宝物!$W$2:$AC$64,6,FALSE)+VLOOKUP(O31,D_马仔培养宝物!$W$2:$AC$64,6,FALSE)</f>
        <v>335</v>
      </c>
      <c r="R31">
        <f>VLOOKUP(J31,D_马仔培养宝物!$W$2:$AC$64,7,FALSE)+VLOOKUP(K31,D_马仔培养宝物!$W$2:$AC$64,7,FALSE)+VLOOKUP(L31,D_马仔培养宝物!$W$2:$AC$64,7,FALSE)+VLOOKUP(M31,D_马仔培养宝物!$W$2:$AC$64,7,FALSE)+VLOOKUP(N31,D_马仔培养宝物!$W$2:$AC$64,7,FALSE)+VLOOKUP(O31,D_马仔培养宝物!$W$2:$AC$64,7,FALSE)</f>
        <v>13</v>
      </c>
    </row>
    <row r="32" spans="3:18">
      <c r="C32" s="5">
        <f t="array" aca="1" ref="C32" ca="1">OFFSET(D_马仔培养宝物!$W$1,SMALL(IF(D_马仔培养宝物!$Z$2:$Z$64=D_马仔培养宝物!$E32,ROW($C$2:$H$64),""),RANDBETWEEN(1,VLOOKUP(D_马仔培养宝物!$E32,D_马仔培养宝物!$T$3:$U$7,2,FALSE)))-1,0)</f>
        <v>92253</v>
      </c>
      <c r="D32" s="5">
        <f t="array" aca="1" ref="D32" ca="1">OFFSET(D_马仔培养宝物!$W$1,SMALL(IF(D_马仔培养宝物!$Z$2:$Z$64=D_马仔培养宝物!$E32,ROW($C$2:$H$64),""),RANDBETWEEN(1,VLOOKUP(D_马仔培养宝物!$E32,D_马仔培养宝物!$T$3:$U$7,2,FALSE)))-1,0)</f>
        <v>92289</v>
      </c>
      <c r="E32" s="5">
        <f t="array" aca="1" ref="E32" ca="1">OFFSET(D_马仔培养宝物!$W$1,SMALL(IF(D_马仔培养宝物!$Z$2:$Z$64=D_马仔培养宝物!$E32,ROW($C$2:$H$64),""),RANDBETWEEN(1,VLOOKUP(D_马仔培养宝物!$E32,D_马仔培养宝物!$T$3:$U$7,2,FALSE)))-1,0)</f>
        <v>92125</v>
      </c>
      <c r="F32" s="5">
        <f t="array" aca="1" ref="F32" ca="1">OFFSET(D_马仔培养宝物!$W$1,SMALL(IF(D_马仔培养宝物!$Z$2:$Z$64=D_马仔培养宝物!$E32,ROW($C$2:$H$64),""),RANDBETWEEN(1,VLOOKUP(D_马仔培养宝物!$E32,D_马仔培养宝物!$T$3:$U$7,2,FALSE)))-1,0)</f>
        <v>92236</v>
      </c>
      <c r="G32" s="5">
        <f t="array" aca="1" ref="G32" ca="1">OFFSET(D_马仔培养宝物!$W$1,SMALL(IF(D_马仔培养宝物!$Z$2:$Z$64=D_马仔培养宝物!$E32,ROW($C$2:$H$64),""),RANDBETWEEN(1,VLOOKUP(D_马仔培养宝物!$E32,D_马仔培养宝物!$T$3:$U$7,2,FALSE)))-1,0)</f>
        <v>92013</v>
      </c>
      <c r="H32" s="5">
        <f t="array" aca="1" ref="H32" ca="1">OFFSET(D_马仔培养宝物!$W$1,SMALL(IF(D_马仔培养宝物!$Z$2:$Z$64=D_马仔培养宝物!$E32,ROW($C$2:$H$64),""),RANDBETWEEN(1,VLOOKUP(D_马仔培养宝物!$E32,D_马仔培养宝物!$T$3:$U$7,2,FALSE)))-1,0)</f>
        <v>92125</v>
      </c>
      <c r="J32" s="5">
        <v>92263</v>
      </c>
      <c r="K32" s="5">
        <v>92279</v>
      </c>
      <c r="L32" s="5">
        <v>92277</v>
      </c>
      <c r="M32" s="5">
        <v>92275</v>
      </c>
      <c r="N32" s="5">
        <v>92272</v>
      </c>
      <c r="O32" s="5">
        <v>92280</v>
      </c>
      <c r="P32">
        <f>VLOOKUP(J32,D_马仔培养宝物!$W$2:$AC$64,5,FALSE)+VLOOKUP(K32,D_马仔培养宝物!$W$2:$AC$64,5,FALSE)+VLOOKUP(L32,D_马仔培养宝物!$W$2:$AC$64,5,FALSE)+VLOOKUP(M32,D_马仔培养宝物!$W$2:$AC$64,5,FALSE)+VLOOKUP(N32,D_马仔培养宝物!$W$2:$AC$64,5,FALSE)+VLOOKUP(O32,D_马仔培养宝物!$W$2:$AC$64,5,FALSE)</f>
        <v>4321</v>
      </c>
      <c r="Q32">
        <f>VLOOKUP(J32,D_马仔培养宝物!$W$2:$AC$64,6,FALSE)+VLOOKUP(K32,D_马仔培养宝物!$W$2:$AC$64,6,FALSE)+VLOOKUP(L32,D_马仔培养宝物!$W$2:$AC$64,6,FALSE)+VLOOKUP(M32,D_马仔培养宝物!$W$2:$AC$64,6,FALSE)+VLOOKUP(N32,D_马仔培养宝物!$W$2:$AC$64,6,FALSE)+VLOOKUP(O32,D_马仔培养宝物!$W$2:$AC$64,6,FALSE)</f>
        <v>10</v>
      </c>
      <c r="R32">
        <f>VLOOKUP(J32,D_马仔培养宝物!$W$2:$AC$64,7,FALSE)+VLOOKUP(K32,D_马仔培养宝物!$W$2:$AC$64,7,FALSE)+VLOOKUP(L32,D_马仔培养宝物!$W$2:$AC$64,7,FALSE)+VLOOKUP(M32,D_马仔培养宝物!$W$2:$AC$64,7,FALSE)+VLOOKUP(N32,D_马仔培养宝物!$W$2:$AC$64,7,FALSE)+VLOOKUP(O32,D_马仔培养宝物!$W$2:$AC$64,7,FALSE)</f>
        <v>26</v>
      </c>
    </row>
    <row r="33" spans="3:18">
      <c r="C33" s="5">
        <f t="array" aca="1" ref="C33" ca="1">OFFSET(D_马仔培养宝物!$W$1,SMALL(IF(D_马仔培养宝物!$Z$2:$Z$64=D_马仔培养宝物!$E33,ROW($C$2:$H$64),""),RANDBETWEEN(1,VLOOKUP(D_马仔培养宝物!$E33,D_马仔培养宝物!$T$3:$U$7,2,FALSE)))-1,0)</f>
        <v>92223</v>
      </c>
      <c r="D33" s="5">
        <f t="array" aca="1" ref="D33" ca="1">OFFSET(D_马仔培养宝物!$W$1,SMALL(IF(D_马仔培养宝物!$Z$2:$Z$64=D_马仔培养宝物!$E33,ROW($C$2:$H$64),""),RANDBETWEEN(1,VLOOKUP(D_马仔培养宝物!$E33,D_马仔培养宝物!$T$3:$U$7,2,FALSE)))-1,0)</f>
        <v>92013</v>
      </c>
      <c r="E33" s="5">
        <f t="array" aca="1" ref="E33" ca="1">OFFSET(D_马仔培养宝物!$W$1,SMALL(IF(D_马仔培养宝物!$Z$2:$Z$64=D_马仔培养宝物!$E33,ROW($C$2:$H$64),""),RANDBETWEEN(1,VLOOKUP(D_马仔培养宝物!$E33,D_马仔培养宝物!$T$3:$U$7,2,FALSE)))-1,0)</f>
        <v>92227</v>
      </c>
      <c r="F33" s="5">
        <f t="array" aca="1" ref="F33" ca="1">OFFSET(D_马仔培养宝物!$W$1,SMALL(IF(D_马仔培养宝物!$Z$2:$Z$64=D_马仔培养宝物!$E33,ROW($C$2:$H$64),""),RANDBETWEEN(1,VLOOKUP(D_马仔培养宝物!$E33,D_马仔培养宝物!$T$3:$U$7,2,FALSE)))-1,0)</f>
        <v>92236</v>
      </c>
      <c r="G33" s="5">
        <f t="array" aca="1" ref="G33" ca="1">OFFSET(D_马仔培养宝物!$W$1,SMALL(IF(D_马仔培养宝物!$Z$2:$Z$64=D_马仔培养宝物!$E33,ROW($C$2:$H$64),""),RANDBETWEEN(1,VLOOKUP(D_马仔培养宝物!$E33,D_马仔培养宝物!$T$3:$U$7,2,FALSE)))-1,0)</f>
        <v>92274</v>
      </c>
      <c r="H33" s="5">
        <f t="array" aca="1" ref="H33" ca="1">OFFSET(D_马仔培养宝物!$W$1,SMALL(IF(D_马仔培养宝物!$Z$2:$Z$64=D_马仔培养宝物!$E33,ROW($C$2:$H$64),""),RANDBETWEEN(1,VLOOKUP(D_马仔培养宝物!$E33,D_马仔培养宝物!$T$3:$U$7,2,FALSE)))-1,0)</f>
        <v>92134</v>
      </c>
      <c r="J33" s="5">
        <v>92276</v>
      </c>
      <c r="K33" s="5">
        <v>92281</v>
      </c>
      <c r="L33" s="5">
        <v>92279</v>
      </c>
      <c r="M33" s="5">
        <v>92261</v>
      </c>
      <c r="N33" s="5">
        <v>92263</v>
      </c>
      <c r="O33" s="5">
        <v>92274</v>
      </c>
      <c r="P33">
        <f>VLOOKUP(J33,D_马仔培养宝物!$W$2:$AC$64,5,FALSE)+VLOOKUP(K33,D_马仔培养宝物!$W$2:$AC$64,5,FALSE)+VLOOKUP(L33,D_马仔培养宝物!$W$2:$AC$64,5,FALSE)+VLOOKUP(M33,D_马仔培养宝物!$W$2:$AC$64,5,FALSE)+VLOOKUP(N33,D_马仔培养宝物!$W$2:$AC$64,5,FALSE)+VLOOKUP(O33,D_马仔培养宝物!$W$2:$AC$64,5,FALSE)</f>
        <v>2058</v>
      </c>
      <c r="Q33">
        <f>VLOOKUP(J33,D_马仔培养宝物!$W$2:$AC$64,6,FALSE)+VLOOKUP(K33,D_马仔培养宝物!$W$2:$AC$64,6,FALSE)+VLOOKUP(L33,D_马仔培养宝物!$W$2:$AC$64,6,FALSE)+VLOOKUP(M33,D_马仔培养宝物!$W$2:$AC$64,6,FALSE)+VLOOKUP(N33,D_马仔培养宝物!$W$2:$AC$64,6,FALSE)+VLOOKUP(O33,D_马仔培养宝物!$W$2:$AC$64,6,FALSE)</f>
        <v>104</v>
      </c>
      <c r="R33">
        <f>VLOOKUP(J33,D_马仔培养宝物!$W$2:$AC$64,7,FALSE)+VLOOKUP(K33,D_马仔培养宝物!$W$2:$AC$64,7,FALSE)+VLOOKUP(L33,D_马仔培养宝物!$W$2:$AC$64,7,FALSE)+VLOOKUP(M33,D_马仔培养宝物!$W$2:$AC$64,7,FALSE)+VLOOKUP(N33,D_马仔培养宝物!$W$2:$AC$64,7,FALSE)+VLOOKUP(O33,D_马仔培养宝物!$W$2:$AC$64,7,FALSE)</f>
        <v>93</v>
      </c>
    </row>
    <row r="34" spans="3:18">
      <c r="C34" s="5">
        <f t="array" aca="1" ref="C34" ca="1">OFFSET(D_马仔培养宝物!$W$1,SMALL(IF(D_马仔培养宝物!$Z$2:$Z$64=D_马仔培养宝物!$E34,ROW($C$2:$H$64),""),RANDBETWEEN(1,VLOOKUP(D_马仔培养宝物!$E34,D_马仔培养宝物!$T$3:$U$7,2,FALSE)))-1,0)</f>
        <v>92281</v>
      </c>
      <c r="D34" s="5">
        <f t="array" aca="1" ref="D34" ca="1">OFFSET(D_马仔培养宝物!$W$1,SMALL(IF(D_马仔培养宝物!$Z$2:$Z$64=D_马仔培养宝物!$E34,ROW($C$2:$H$64),""),RANDBETWEEN(1,VLOOKUP(D_马仔培养宝物!$E34,D_马仔培养宝物!$T$3:$U$7,2,FALSE)))-1,0)</f>
        <v>92295</v>
      </c>
      <c r="E34" s="5">
        <f t="array" aca="1" ref="E34" ca="1">OFFSET(D_马仔培养宝物!$W$1,SMALL(IF(D_马仔培养宝物!$Z$2:$Z$64=D_马仔培养宝物!$E34,ROW($C$2:$H$64),""),RANDBETWEEN(1,VLOOKUP(D_马仔培养宝物!$E34,D_马仔培养宝物!$T$3:$U$7,2,FALSE)))-1,0)</f>
        <v>92240</v>
      </c>
      <c r="F34" s="5">
        <f t="array" aca="1" ref="F34" ca="1">OFFSET(D_马仔培养宝物!$W$1,SMALL(IF(D_马仔培养宝物!$Z$2:$Z$64=D_马仔培养宝物!$E34,ROW($C$2:$H$64),""),RANDBETWEEN(1,VLOOKUP(D_马仔培养宝物!$E34,D_马仔培养宝物!$T$3:$U$7,2,FALSE)))-1,0)</f>
        <v>92298</v>
      </c>
      <c r="G34" s="5">
        <f t="array" aca="1" ref="G34" ca="1">OFFSET(D_马仔培养宝物!$W$1,SMALL(IF(D_马仔培养宝物!$Z$2:$Z$64=D_马仔培养宝物!$E34,ROW($C$2:$H$64),""),RANDBETWEEN(1,VLOOKUP(D_马仔培养宝物!$E34,D_马仔培养宝物!$T$3:$U$7,2,FALSE)))-1,0)</f>
        <v>92294</v>
      </c>
      <c r="H34" s="5">
        <f t="array" aca="1" ref="H34" ca="1">OFFSET(D_马仔培养宝物!$W$1,SMALL(IF(D_马仔培养宝物!$Z$2:$Z$64=D_马仔培养宝物!$E34,ROW($C$2:$H$64),""),RANDBETWEEN(1,VLOOKUP(D_马仔培养宝物!$E34,D_马仔培养宝物!$T$3:$U$7,2,FALSE)))-1,0)</f>
        <v>92276</v>
      </c>
      <c r="J34" s="5">
        <v>92253</v>
      </c>
      <c r="K34" s="5">
        <v>92255</v>
      </c>
      <c r="L34" s="5">
        <v>92291</v>
      </c>
      <c r="M34" s="5">
        <v>92299</v>
      </c>
      <c r="N34" s="5">
        <v>92256</v>
      </c>
      <c r="O34" s="5">
        <v>92244</v>
      </c>
      <c r="P34">
        <f>VLOOKUP(J34,D_马仔培养宝物!$W$2:$AC$64,5,FALSE)+VLOOKUP(K34,D_马仔培养宝物!$W$2:$AC$64,5,FALSE)+VLOOKUP(L34,D_马仔培养宝物!$W$2:$AC$64,5,FALSE)+VLOOKUP(M34,D_马仔培养宝物!$W$2:$AC$64,5,FALSE)+VLOOKUP(N34,D_马仔培养宝物!$W$2:$AC$64,5,FALSE)+VLOOKUP(O34,D_马仔培养宝物!$W$2:$AC$64,5,FALSE)</f>
        <v>3704</v>
      </c>
      <c r="Q34">
        <f>VLOOKUP(J34,D_马仔培养宝物!$W$2:$AC$64,6,FALSE)+VLOOKUP(K34,D_马仔培养宝物!$W$2:$AC$64,6,FALSE)+VLOOKUP(L34,D_马仔培养宝物!$W$2:$AC$64,6,FALSE)+VLOOKUP(M34,D_马仔培养宝物!$W$2:$AC$64,6,FALSE)+VLOOKUP(N34,D_马仔培养宝物!$W$2:$AC$64,6,FALSE)+VLOOKUP(O34,D_马仔培养宝物!$W$2:$AC$64,6,FALSE)</f>
        <v>94</v>
      </c>
      <c r="R34">
        <f>VLOOKUP(J34,D_马仔培养宝物!$W$2:$AC$64,7,FALSE)+VLOOKUP(K34,D_马仔培养宝物!$W$2:$AC$64,7,FALSE)+VLOOKUP(L34,D_马仔培养宝物!$W$2:$AC$64,7,FALSE)+VLOOKUP(M34,D_马仔培养宝物!$W$2:$AC$64,7,FALSE)+VLOOKUP(N34,D_马仔培养宝物!$W$2:$AC$64,7,FALSE)+VLOOKUP(O34,D_马仔培养宝物!$W$2:$AC$64,7,FALSE)</f>
        <v>88</v>
      </c>
    </row>
    <row r="35" spans="3:18">
      <c r="C35" s="5">
        <f t="array" aca="1" ref="C35" ca="1">OFFSET(D_马仔培养宝物!$W$1,SMALL(IF(D_马仔培养宝物!$Z$2:$Z$64=D_马仔培养宝物!$E35,ROW($C$2:$H$64),""),RANDBETWEEN(1,VLOOKUP(D_马仔培养宝物!$E35,D_马仔培养宝物!$T$3:$U$7,2,FALSE)))-1,0)</f>
        <v>92262</v>
      </c>
      <c r="D35" s="5">
        <f t="array" aca="1" ref="D35" ca="1">OFFSET(D_马仔培养宝物!$W$1,SMALL(IF(D_马仔培养宝物!$Z$2:$Z$64=D_马仔培养宝物!$E35,ROW($C$2:$H$64),""),RANDBETWEEN(1,VLOOKUP(D_马仔培养宝物!$E35,D_马仔培养宝物!$T$3:$U$7,2,FALSE)))-1,0)</f>
        <v>92282</v>
      </c>
      <c r="E35" s="5">
        <f t="array" aca="1" ref="E35" ca="1">OFFSET(D_马仔培养宝物!$W$1,SMALL(IF(D_马仔培养宝物!$Z$2:$Z$64=D_马仔培养宝物!$E35,ROW($C$2:$H$64),""),RANDBETWEEN(1,VLOOKUP(D_马仔培养宝物!$E35,D_马仔培养宝物!$T$3:$U$7,2,FALSE)))-1,0)</f>
        <v>92295</v>
      </c>
      <c r="F35" s="5">
        <f t="array" aca="1" ref="F35" ca="1">OFFSET(D_马仔培养宝物!$W$1,SMALL(IF(D_马仔培养宝物!$Z$2:$Z$64=D_马仔培养宝物!$E35,ROW($C$2:$H$64),""),RANDBETWEEN(1,VLOOKUP(D_马仔培养宝物!$E35,D_马仔培养宝物!$T$3:$U$7,2,FALSE)))-1,0)</f>
        <v>92026</v>
      </c>
      <c r="G35" s="5">
        <f t="array" aca="1" ref="G35" ca="1">OFFSET(D_马仔培养宝物!$W$1,SMALL(IF(D_马仔培养宝物!$Z$2:$Z$64=D_马仔培养宝物!$E35,ROW($C$2:$H$64),""),RANDBETWEEN(1,VLOOKUP(D_马仔培养宝物!$E35,D_马仔培养宝物!$T$3:$U$7,2,FALSE)))-1,0)</f>
        <v>92297</v>
      </c>
      <c r="H35" s="5">
        <f t="array" aca="1" ref="H35" ca="1">OFFSET(D_马仔培养宝物!$W$1,SMALL(IF(D_马仔培养宝物!$Z$2:$Z$64=D_马仔培养宝物!$E35,ROW($C$2:$H$64),""),RANDBETWEEN(1,VLOOKUP(D_马仔培养宝物!$E35,D_马仔培养宝物!$T$3:$U$7,2,FALSE)))-1,0)</f>
        <v>92298</v>
      </c>
      <c r="J35" s="5">
        <v>92289</v>
      </c>
      <c r="K35" s="5">
        <v>92243</v>
      </c>
      <c r="L35" s="5">
        <v>92244</v>
      </c>
      <c r="M35" s="5">
        <v>92253</v>
      </c>
      <c r="N35" s="5">
        <v>92240</v>
      </c>
      <c r="O35" s="5">
        <v>92290</v>
      </c>
      <c r="P35">
        <f>VLOOKUP(J35,D_马仔培养宝物!$W$2:$AC$64,5,FALSE)+VLOOKUP(K35,D_马仔培养宝物!$W$2:$AC$64,5,FALSE)+VLOOKUP(L35,D_马仔培养宝物!$W$2:$AC$64,5,FALSE)+VLOOKUP(M35,D_马仔培养宝物!$W$2:$AC$64,5,FALSE)+VLOOKUP(N35,D_马仔培养宝物!$W$2:$AC$64,5,FALSE)+VLOOKUP(O35,D_马仔培养宝物!$W$2:$AC$64,5,FALSE)</f>
        <v>3498</v>
      </c>
      <c r="Q35">
        <f>VLOOKUP(J35,D_马仔培养宝物!$W$2:$AC$64,6,FALSE)+VLOOKUP(K35,D_马仔培养宝物!$W$2:$AC$64,6,FALSE)+VLOOKUP(L35,D_马仔培养宝物!$W$2:$AC$64,6,FALSE)+VLOOKUP(M35,D_马仔培养宝物!$W$2:$AC$64,6,FALSE)+VLOOKUP(N35,D_马仔培养宝物!$W$2:$AC$64,6,FALSE)+VLOOKUP(O35,D_马仔培养宝物!$W$2:$AC$64,6,FALSE)</f>
        <v>0</v>
      </c>
      <c r="R35">
        <f>VLOOKUP(J35,D_马仔培养宝物!$W$2:$AC$64,7,FALSE)+VLOOKUP(K35,D_马仔培养宝物!$W$2:$AC$64,7,FALSE)+VLOOKUP(L35,D_马仔培养宝物!$W$2:$AC$64,7,FALSE)+VLOOKUP(M35,D_马仔培养宝物!$W$2:$AC$64,7,FALSE)+VLOOKUP(N35,D_马仔培养宝物!$W$2:$AC$64,7,FALSE)+VLOOKUP(O35,D_马仔培养宝物!$W$2:$AC$64,7,FALSE)</f>
        <v>75</v>
      </c>
    </row>
    <row r="36" spans="3:18">
      <c r="C36" s="5">
        <f t="array" aca="1" ref="C36" ca="1">OFFSET(D_马仔培养宝物!$W$1,SMALL(IF(D_马仔培养宝物!$Z$2:$Z$64=D_马仔培养宝物!$E36,ROW($C$2:$H$64),""),RANDBETWEEN(1,VLOOKUP(D_马仔培养宝物!$E36,D_马仔培养宝物!$T$3:$U$7,2,FALSE)))-1,0)</f>
        <v>92286</v>
      </c>
      <c r="D36" s="5">
        <f t="array" aca="1" ref="D36" ca="1">OFFSET(D_马仔培养宝物!$W$1,SMALL(IF(D_马仔培养宝物!$Z$2:$Z$64=D_马仔培养宝物!$E36,ROW($C$2:$H$64),""),RANDBETWEEN(1,VLOOKUP(D_马仔培养宝物!$E36,D_马仔培养宝物!$T$3:$U$7,2,FALSE)))-1,0)</f>
        <v>92281</v>
      </c>
      <c r="E36" s="5">
        <f t="array" aca="1" ref="E36" ca="1">OFFSET(D_马仔培养宝物!$W$1,SMALL(IF(D_马仔培养宝物!$Z$2:$Z$64=D_马仔培养宝物!$E36,ROW($C$2:$H$64),""),RANDBETWEEN(1,VLOOKUP(D_马仔培养宝物!$E36,D_马仔培养宝物!$T$3:$U$7,2,FALSE)))-1,0)</f>
        <v>92026</v>
      </c>
      <c r="F36" s="5">
        <f t="array" aca="1" ref="F36" ca="1">OFFSET(D_马仔培养宝物!$W$1,SMALL(IF(D_马仔培养宝物!$Z$2:$Z$64=D_马仔培养宝物!$E36,ROW($C$2:$H$64),""),RANDBETWEEN(1,VLOOKUP(D_马仔培养宝物!$E36,D_马仔培养宝物!$T$3:$U$7,2,FALSE)))-1,0)</f>
        <v>92299</v>
      </c>
      <c r="G36" s="5">
        <f t="array" aca="1" ref="G36" ca="1">OFFSET(D_马仔培养宝物!$W$1,SMALL(IF(D_马仔培养宝物!$Z$2:$Z$64=D_马仔培养宝物!$E36,ROW($C$2:$H$64),""),RANDBETWEEN(1,VLOOKUP(D_马仔培养宝物!$E36,D_马仔培养宝物!$T$3:$U$7,2,FALSE)))-1,0)</f>
        <v>92299</v>
      </c>
      <c r="H36" s="5">
        <f t="array" aca="1" ref="H36" ca="1">OFFSET(D_马仔培养宝物!$W$1,SMALL(IF(D_马仔培养宝物!$Z$2:$Z$64=D_马仔培养宝物!$E36,ROW($C$2:$H$64),""),RANDBETWEEN(1,VLOOKUP(D_马仔培养宝物!$E36,D_马仔培养宝物!$T$3:$U$7,2,FALSE)))-1,0)</f>
        <v>92281</v>
      </c>
      <c r="J36" s="5">
        <v>92290</v>
      </c>
      <c r="K36" s="5">
        <v>92256</v>
      </c>
      <c r="L36" s="5">
        <v>92294</v>
      </c>
      <c r="M36" s="5">
        <v>92288</v>
      </c>
      <c r="N36" s="5">
        <v>92295</v>
      </c>
      <c r="O36" s="5">
        <v>92255</v>
      </c>
      <c r="P36">
        <f>VLOOKUP(J36,D_马仔培养宝物!$W$2:$AC$64,5,FALSE)+VLOOKUP(K36,D_马仔培养宝物!$W$2:$AC$64,5,FALSE)+VLOOKUP(L36,D_马仔培养宝物!$W$2:$AC$64,5,FALSE)+VLOOKUP(M36,D_马仔培养宝物!$W$2:$AC$64,5,FALSE)+VLOOKUP(N36,D_马仔培养宝物!$W$2:$AC$64,5,FALSE)+VLOOKUP(O36,D_马仔培养宝物!$W$2:$AC$64,5,FALSE)</f>
        <v>3910</v>
      </c>
      <c r="Q36">
        <f>VLOOKUP(J36,D_马仔培养宝物!$W$2:$AC$64,6,FALSE)+VLOOKUP(K36,D_马仔培养宝物!$W$2:$AC$64,6,FALSE)+VLOOKUP(L36,D_马仔培养宝物!$W$2:$AC$64,6,FALSE)+VLOOKUP(M36,D_马仔培养宝物!$W$2:$AC$64,6,FALSE)+VLOOKUP(N36,D_马仔培养宝物!$W$2:$AC$64,6,FALSE)+VLOOKUP(O36,D_马仔培养宝物!$W$2:$AC$64,6,FALSE)</f>
        <v>146</v>
      </c>
      <c r="R36">
        <f>VLOOKUP(J36,D_马仔培养宝物!$W$2:$AC$64,7,FALSE)+VLOOKUP(K36,D_马仔培养宝物!$W$2:$AC$64,7,FALSE)+VLOOKUP(L36,D_马仔培养宝物!$W$2:$AC$64,7,FALSE)+VLOOKUP(M36,D_马仔培养宝物!$W$2:$AC$64,7,FALSE)+VLOOKUP(N36,D_马仔培养宝物!$W$2:$AC$64,7,FALSE)+VLOOKUP(O36,D_马仔培养宝物!$W$2:$AC$64,7,FALSE)</f>
        <v>88</v>
      </c>
    </row>
    <row r="37" spans="3:18" ht="14.25" thickBot="1">
      <c r="C37" s="22">
        <f t="array" aca="1" ref="C37" ca="1">OFFSET(D_马仔培养宝物!$W$1,SMALL(IF(D_马仔培养宝物!$Z$2:$Z$64=D_马仔培养宝物!$E37,ROW($C$2:$H$64),""),RANDBETWEEN(1,VLOOKUP(D_马仔培养宝物!$E37,D_马仔培养宝物!$T$3:$U$7,2,FALSE)))-1,0)</f>
        <v>92296</v>
      </c>
      <c r="D37" s="22">
        <f t="array" aca="1" ref="D37" ca="1">OFFSET(D_马仔培养宝物!$W$1,SMALL(IF(D_马仔培养宝物!$Z$2:$Z$64=D_马仔培养宝物!$E37,ROW($C$2:$H$64),""),RANDBETWEEN(1,VLOOKUP(D_马仔培养宝物!$E37,D_马仔培养宝物!$T$3:$U$7,2,FALSE)))-1,0)</f>
        <v>92026</v>
      </c>
      <c r="E37" s="22">
        <f t="array" aca="1" ref="E37" ca="1">OFFSET(D_马仔培养宝物!$W$1,SMALL(IF(D_马仔培养宝物!$Z$2:$Z$64=D_马仔培养宝物!$E37,ROW($C$2:$H$64),""),RANDBETWEEN(1,VLOOKUP(D_马仔培养宝物!$E37,D_马仔培养宝物!$T$3:$U$7,2,FALSE)))-1,0)</f>
        <v>92293</v>
      </c>
      <c r="F37" s="22">
        <f t="array" aca="1" ref="F37" ca="1">OFFSET(D_马仔培养宝物!$W$1,SMALL(IF(D_马仔培养宝物!$Z$2:$Z$64=D_马仔培养宝物!$E37,ROW($C$2:$H$64),""),RANDBETWEEN(1,VLOOKUP(D_马仔培养宝物!$E37,D_马仔培养宝物!$T$3:$U$7,2,FALSE)))-1,0)</f>
        <v>92292</v>
      </c>
      <c r="G37" s="22">
        <f t="array" aca="1" ref="G37" ca="1">OFFSET(D_马仔培养宝物!$W$1,SMALL(IF(D_马仔培养宝物!$Z$2:$Z$64=D_马仔培养宝物!$E37,ROW($C$2:$H$64),""),RANDBETWEEN(1,VLOOKUP(D_马仔培养宝物!$E37,D_马仔培养宝物!$T$3:$U$7,2,FALSE)))-1,0)</f>
        <v>92297</v>
      </c>
      <c r="H37" s="22">
        <f t="array" aca="1" ref="H37" ca="1">OFFSET(D_马仔培养宝物!$W$1,SMALL(IF(D_马仔培养宝物!$Z$2:$Z$64=D_马仔培养宝物!$E37,ROW($C$2:$H$64),""),RANDBETWEEN(1,VLOOKUP(D_马仔培养宝物!$E37,D_马仔培养宝物!$T$3:$U$7,2,FALSE)))-1,0)</f>
        <v>92262</v>
      </c>
      <c r="J37" s="22">
        <v>92240</v>
      </c>
      <c r="K37" s="22">
        <v>92289</v>
      </c>
      <c r="L37" s="22">
        <v>92254</v>
      </c>
      <c r="M37" s="22">
        <v>92298</v>
      </c>
      <c r="N37" s="22">
        <v>92255</v>
      </c>
      <c r="O37" s="22">
        <v>92252</v>
      </c>
      <c r="P37">
        <f>VLOOKUP(J37,D_马仔培养宝物!$W$2:$AC$64,5,FALSE)+VLOOKUP(K37,D_马仔培养宝物!$W$2:$AC$64,5,FALSE)+VLOOKUP(L37,D_马仔培养宝物!$W$2:$AC$64,5,FALSE)+VLOOKUP(M37,D_马仔培养宝物!$W$2:$AC$64,5,FALSE)+VLOOKUP(N37,D_马仔培养宝物!$W$2:$AC$64,5,FALSE)+VLOOKUP(O37,D_马仔培养宝物!$W$2:$AC$64,5,FALSE)</f>
        <v>0</v>
      </c>
      <c r="Q37">
        <f>VLOOKUP(J37,D_马仔培养宝物!$W$2:$AC$64,6,FALSE)+VLOOKUP(K37,D_马仔培养宝物!$W$2:$AC$64,6,FALSE)+VLOOKUP(L37,D_马仔培养宝物!$W$2:$AC$64,6,FALSE)+VLOOKUP(M37,D_马仔培养宝物!$W$2:$AC$64,6,FALSE)+VLOOKUP(N37,D_马仔培养宝物!$W$2:$AC$64,6,FALSE)+VLOOKUP(O37,D_马仔培养宝物!$W$2:$AC$64,6,FALSE)</f>
        <v>125</v>
      </c>
      <c r="R37">
        <f>VLOOKUP(J37,D_马仔培养宝物!$W$2:$AC$64,7,FALSE)+VLOOKUP(K37,D_马仔培养宝物!$W$2:$AC$64,7,FALSE)+VLOOKUP(L37,D_马仔培养宝物!$W$2:$AC$64,7,FALSE)+VLOOKUP(M37,D_马仔培养宝物!$W$2:$AC$64,7,FALSE)+VLOOKUP(N37,D_马仔培养宝物!$W$2:$AC$64,7,FALSE)+VLOOKUP(O37,D_马仔培养宝物!$W$2:$AC$64,7,FALSE)</f>
        <v>159</v>
      </c>
    </row>
    <row r="38" spans="3:18">
      <c r="C38" s="19">
        <f t="array" aca="1" ref="C38" ca="1">OFFSET(D_马仔培养宝物!$W$1,SMALL(IF(D_马仔培养宝物!$Z$2:$Z$64=D_马仔培养宝物!$E38,ROW($C$2:$H$64),""),RANDBETWEEN(1,VLOOKUP(D_马仔培养宝物!$E38,D_马仔培养宝物!$T$3:$U$7,2,FALSE)))-1,0)</f>
        <v>92244</v>
      </c>
      <c r="D38" s="19">
        <f t="array" aca="1" ref="D38" ca="1">OFFSET(D_马仔培养宝物!$W$1,SMALL(IF(D_马仔培养宝物!$Z$2:$Z$64=D_马仔培养宝物!$E38,ROW($C$2:$H$64),""),RANDBETWEEN(1,VLOOKUP(D_马仔培养宝物!$E38,D_马仔培养宝物!$T$3:$U$7,2,FALSE)))-1,0)</f>
        <v>92228</v>
      </c>
      <c r="E38" s="19">
        <f t="array" aca="1" ref="E38" ca="1">OFFSET(D_马仔培养宝物!$W$1,SMALL(IF(D_马仔培养宝物!$Z$2:$Z$64=D_马仔培养宝物!$E38,ROW($C$2:$H$64),""),RANDBETWEEN(1,VLOOKUP(D_马仔培养宝物!$E38,D_马仔培养宝物!$T$3:$U$7,2,FALSE)))-1,0)</f>
        <v>92131</v>
      </c>
      <c r="F38" s="19">
        <f t="array" aca="1" ref="F38" ca="1">OFFSET(D_马仔培养宝物!$W$1,SMALL(IF(D_马仔培养宝物!$Z$2:$Z$64=D_马仔培养宝物!$E38,ROW($C$2:$H$64),""),RANDBETWEEN(1,VLOOKUP(D_马仔培养宝物!$E38,D_马仔培养宝物!$T$3:$U$7,2,FALSE)))-1,0)</f>
        <v>92244</v>
      </c>
      <c r="G38" s="19">
        <f t="array" aca="1" ref="G38" ca="1">OFFSET(D_马仔培养宝物!$W$1,SMALL(IF(D_马仔培养宝物!$Z$2:$Z$64=D_马仔培养宝物!$E38,ROW($C$2:$H$64),""),RANDBETWEEN(1,VLOOKUP(D_马仔培养宝物!$E38,D_马仔培养宝物!$T$3:$U$7,2,FALSE)))-1,0)</f>
        <v>92244</v>
      </c>
      <c r="H38" s="19">
        <f t="array" aca="1" ref="H38" ca="1">OFFSET(D_马仔培养宝物!$W$1,SMALL(IF(D_马仔培养宝物!$Z$2:$Z$64=D_马仔培养宝物!$E38,ROW($C$2:$H$64),""),RANDBETWEEN(1,VLOOKUP(D_马仔培养宝物!$E38,D_马仔培养宝物!$T$3:$U$7,2,FALSE)))-1,0)</f>
        <v>92228</v>
      </c>
      <c r="J38" s="19">
        <v>92012</v>
      </c>
      <c r="K38" s="19">
        <v>92013</v>
      </c>
      <c r="L38" s="19">
        <v>92122</v>
      </c>
      <c r="M38" s="19">
        <v>92125</v>
      </c>
      <c r="N38" s="19">
        <v>92124</v>
      </c>
      <c r="O38" s="19">
        <v>92026</v>
      </c>
      <c r="P38">
        <f>VLOOKUP(J38,D_马仔培养宝物!$W$2:$AC$64,5,FALSE)+VLOOKUP(K38,D_马仔培养宝物!$W$2:$AC$64,5,FALSE)+VLOOKUP(L38,D_马仔培养宝物!$W$2:$AC$64,5,FALSE)+VLOOKUP(M38,D_马仔培养宝物!$W$2:$AC$64,5,FALSE)+VLOOKUP(N38,D_马仔培养宝物!$W$2:$AC$64,5,FALSE)+VLOOKUP(O38,D_马仔培养宝物!$W$2:$AC$64,5,FALSE)</f>
        <v>1029</v>
      </c>
      <c r="Q38">
        <f>VLOOKUP(J38,D_马仔培养宝物!$W$2:$AC$64,6,FALSE)+VLOOKUP(K38,D_马仔培养宝物!$W$2:$AC$64,6,FALSE)+VLOOKUP(L38,D_马仔培养宝物!$W$2:$AC$64,6,FALSE)+VLOOKUP(M38,D_马仔培养宝物!$W$2:$AC$64,6,FALSE)+VLOOKUP(N38,D_马仔培养宝物!$W$2:$AC$64,6,FALSE)+VLOOKUP(O38,D_马仔培养宝物!$W$2:$AC$64,6,FALSE)</f>
        <v>136</v>
      </c>
      <c r="R38">
        <f>VLOOKUP(J38,D_马仔培养宝物!$W$2:$AC$64,7,FALSE)+VLOOKUP(K38,D_马仔培养宝物!$W$2:$AC$64,7,FALSE)+VLOOKUP(L38,D_马仔培养宝物!$W$2:$AC$64,7,FALSE)+VLOOKUP(M38,D_马仔培养宝物!$W$2:$AC$64,7,FALSE)+VLOOKUP(N38,D_马仔培养宝物!$W$2:$AC$64,7,FALSE)+VLOOKUP(O38,D_马仔培养宝物!$W$2:$AC$64,7,FALSE)</f>
        <v>84</v>
      </c>
    </row>
    <row r="39" spans="3:18">
      <c r="C39" s="5">
        <f t="array" aca="1" ref="C39" ca="1">OFFSET(D_马仔培养宝物!$W$1,SMALL(IF(D_马仔培养宝物!$Z$2:$Z$64=D_马仔培养宝物!$E39,ROW($C$2:$H$64),""),RANDBETWEEN(1,VLOOKUP(D_马仔培养宝物!$E39,D_马仔培养宝物!$T$3:$U$7,2,FALSE)))-1,0)</f>
        <v>92243</v>
      </c>
      <c r="D39" s="5">
        <f t="array" aca="1" ref="D39" ca="1">OFFSET(D_马仔培养宝物!$W$1,SMALL(IF(D_马仔培养宝物!$Z$2:$Z$64=D_马仔培养宝物!$E39,ROW($C$2:$H$64),""),RANDBETWEEN(1,VLOOKUP(D_马仔培养宝物!$E39,D_马仔培养宝物!$T$3:$U$7,2,FALSE)))-1,0)</f>
        <v>92243</v>
      </c>
      <c r="E39" s="5">
        <f t="array" aca="1" ref="E39" ca="1">OFFSET(D_马仔培养宝物!$W$1,SMALL(IF(D_马仔培养宝物!$Z$2:$Z$64=D_马仔培养宝物!$E39,ROW($C$2:$H$64),""),RANDBETWEEN(1,VLOOKUP(D_马仔培养宝物!$E39,D_马仔培养宝物!$T$3:$U$7,2,FALSE)))-1,0)</f>
        <v>92277</v>
      </c>
      <c r="F39" s="5">
        <f t="array" aca="1" ref="F39" ca="1">OFFSET(D_马仔培养宝物!$W$1,SMALL(IF(D_马仔培养宝物!$Z$2:$Z$64=D_马仔培养宝物!$E39,ROW($C$2:$H$64),""),RANDBETWEEN(1,VLOOKUP(D_马仔培养宝物!$E39,D_马仔培养宝物!$T$3:$U$7,2,FALSE)))-1,0)</f>
        <v>92228</v>
      </c>
      <c r="G39" s="5">
        <f t="array" aca="1" ref="G39" ca="1">OFFSET(D_马仔培养宝物!$W$1,SMALL(IF(D_马仔培养宝物!$Z$2:$Z$64=D_马仔培养宝物!$E39,ROW($C$2:$H$64),""),RANDBETWEEN(1,VLOOKUP(D_马仔培养宝物!$E39,D_马仔培养宝物!$T$3:$U$7,2,FALSE)))-1,0)</f>
        <v>92011</v>
      </c>
      <c r="H39" s="5">
        <f t="array" aca="1" ref="H39" ca="1">OFFSET(D_马仔培养宝物!$W$1,SMALL(IF(D_马仔培养宝物!$Z$2:$Z$64=D_马仔培养宝物!$E39,ROW($C$2:$H$64),""),RANDBETWEEN(1,VLOOKUP(D_马仔培养宝物!$E39,D_马仔培养宝物!$T$3:$U$7,2,FALSE)))-1,0)</f>
        <v>92263</v>
      </c>
      <c r="J39" s="5">
        <v>92223</v>
      </c>
      <c r="K39" s="5">
        <v>92125</v>
      </c>
      <c r="L39" s="5">
        <v>92227</v>
      </c>
      <c r="M39" s="5">
        <v>92011</v>
      </c>
      <c r="N39" s="5">
        <v>92012</v>
      </c>
      <c r="O39" s="5">
        <v>92124</v>
      </c>
      <c r="P39">
        <f>VLOOKUP(J39,D_马仔培养宝物!$W$2:$AC$64,5,FALSE)+VLOOKUP(K39,D_马仔培养宝物!$W$2:$AC$64,5,FALSE)+VLOOKUP(L39,D_马仔培养宝物!$W$2:$AC$64,5,FALSE)+VLOOKUP(M39,D_马仔培养宝物!$W$2:$AC$64,5,FALSE)+VLOOKUP(N39,D_马仔培养宝物!$W$2:$AC$64,5,FALSE)+VLOOKUP(O39,D_马仔培养宝物!$W$2:$AC$64,5,FALSE)</f>
        <v>2469</v>
      </c>
      <c r="Q39">
        <f>VLOOKUP(J39,D_马仔培养宝物!$W$2:$AC$64,6,FALSE)+VLOOKUP(K39,D_马仔培养宝物!$W$2:$AC$64,6,FALSE)+VLOOKUP(L39,D_马仔培养宝物!$W$2:$AC$64,6,FALSE)+VLOOKUP(M39,D_马仔培养宝物!$W$2:$AC$64,6,FALSE)+VLOOKUP(N39,D_马仔培养宝物!$W$2:$AC$64,6,FALSE)+VLOOKUP(O39,D_马仔培养宝物!$W$2:$AC$64,6,FALSE)</f>
        <v>10</v>
      </c>
      <c r="R39">
        <f>VLOOKUP(J39,D_马仔培养宝物!$W$2:$AC$64,7,FALSE)+VLOOKUP(K39,D_马仔培养宝物!$W$2:$AC$64,7,FALSE)+VLOOKUP(L39,D_马仔培养宝物!$W$2:$AC$64,7,FALSE)+VLOOKUP(M39,D_马仔培养宝物!$W$2:$AC$64,7,FALSE)+VLOOKUP(N39,D_马仔培养宝物!$W$2:$AC$64,7,FALSE)+VLOOKUP(O39,D_马仔培养宝物!$W$2:$AC$64,7,FALSE)</f>
        <v>84</v>
      </c>
    </row>
    <row r="40" spans="3:18">
      <c r="C40" s="5">
        <f t="array" aca="1" ref="C40" ca="1">OFFSET(D_马仔培养宝物!$W$1,SMALL(IF(D_马仔培养宝物!$Z$2:$Z$64=D_马仔培养宝物!$E40,ROW($C$2:$H$64),""),RANDBETWEEN(1,VLOOKUP(D_马仔培养宝物!$E40,D_马仔培养宝物!$T$3:$U$7,2,FALSE)))-1,0)</f>
        <v>92141</v>
      </c>
      <c r="D40" s="5">
        <f t="array" aca="1" ref="D40" ca="1">OFFSET(D_马仔培养宝物!$W$1,SMALL(IF(D_马仔培养宝物!$Z$2:$Z$64=D_马仔培养宝物!$E40,ROW($C$2:$H$64),""),RANDBETWEEN(1,VLOOKUP(D_马仔培养宝物!$E40,D_马仔培养宝物!$T$3:$U$7,2,FALSE)))-1,0)</f>
        <v>92245</v>
      </c>
      <c r="E40" s="5">
        <f t="array" aca="1" ref="E40" ca="1">OFFSET(D_马仔培养宝物!$W$1,SMALL(IF(D_马仔培养宝物!$Z$2:$Z$64=D_马仔培养宝物!$E40,ROW($C$2:$H$64),""),RANDBETWEEN(1,VLOOKUP(D_马仔培养宝物!$E40,D_马仔培养宝物!$T$3:$U$7,2,FALSE)))-1,0)</f>
        <v>92251</v>
      </c>
      <c r="F40" s="5">
        <f t="array" aca="1" ref="F40" ca="1">OFFSET(D_马仔培养宝物!$W$1,SMALL(IF(D_马仔培养宝物!$Z$2:$Z$64=D_马仔培养宝物!$E40,ROW($C$2:$H$64),""),RANDBETWEEN(1,VLOOKUP(D_马仔培养宝物!$E40,D_马仔培养宝物!$T$3:$U$7,2,FALSE)))-1,0)</f>
        <v>92271</v>
      </c>
      <c r="G40" s="5">
        <f t="array" aca="1" ref="G40" ca="1">OFFSET(D_马仔培养宝物!$W$1,SMALL(IF(D_马仔培养宝物!$Z$2:$Z$64=D_马仔培养宝物!$E40,ROW($C$2:$H$64),""),RANDBETWEEN(1,VLOOKUP(D_马仔培养宝物!$E40,D_马仔培养宝物!$T$3:$U$7,2,FALSE)))-1,0)</f>
        <v>92122</v>
      </c>
      <c r="H40" s="5">
        <f t="array" aca="1" ref="H40" ca="1">OFFSET(D_马仔培养宝物!$W$1,SMALL(IF(D_马仔培养宝物!$Z$2:$Z$64=D_马仔培养宝物!$E40,ROW($C$2:$H$64),""),RANDBETWEEN(1,VLOOKUP(D_马仔培养宝物!$E40,D_马仔培养宝物!$T$3:$U$7,2,FALSE)))-1,0)</f>
        <v>92122</v>
      </c>
      <c r="J40" s="5">
        <v>92273</v>
      </c>
      <c r="K40" s="5">
        <v>92131</v>
      </c>
      <c r="L40" s="5">
        <v>92287</v>
      </c>
      <c r="M40" s="5">
        <v>92232</v>
      </c>
      <c r="N40" s="5">
        <v>92235</v>
      </c>
      <c r="O40" s="5">
        <v>92121</v>
      </c>
      <c r="P40">
        <f>VLOOKUP(J40,D_马仔培养宝物!$W$2:$AC$64,5,FALSE)+VLOOKUP(K40,D_马仔培养宝物!$W$2:$AC$64,5,FALSE)+VLOOKUP(L40,D_马仔培养宝物!$W$2:$AC$64,5,FALSE)+VLOOKUP(M40,D_马仔培养宝物!$W$2:$AC$64,5,FALSE)+VLOOKUP(N40,D_马仔培养宝物!$W$2:$AC$64,5,FALSE)+VLOOKUP(O40,D_马仔培养宝物!$W$2:$AC$64,5,FALSE)</f>
        <v>1029</v>
      </c>
      <c r="Q40">
        <f>VLOOKUP(J40,D_马仔培养宝物!$W$2:$AC$64,6,FALSE)+VLOOKUP(K40,D_马仔培养宝物!$W$2:$AC$64,6,FALSE)+VLOOKUP(L40,D_马仔培养宝物!$W$2:$AC$64,6,FALSE)+VLOOKUP(M40,D_马仔培养宝物!$W$2:$AC$64,6,FALSE)+VLOOKUP(N40,D_马仔培养宝物!$W$2:$AC$64,6,FALSE)+VLOOKUP(O40,D_马仔培养宝物!$W$2:$AC$64,6,FALSE)</f>
        <v>62</v>
      </c>
      <c r="R40">
        <f>VLOOKUP(J40,D_马仔培养宝物!$W$2:$AC$64,7,FALSE)+VLOOKUP(K40,D_马仔培养宝物!$W$2:$AC$64,7,FALSE)+VLOOKUP(L40,D_马仔培养宝物!$W$2:$AC$64,7,FALSE)+VLOOKUP(M40,D_马仔培养宝物!$W$2:$AC$64,7,FALSE)+VLOOKUP(N40,D_马仔培养宝物!$W$2:$AC$64,7,FALSE)+VLOOKUP(O40,D_马仔培养宝物!$W$2:$AC$64,7,FALSE)</f>
        <v>22</v>
      </c>
    </row>
    <row r="41" spans="3:18">
      <c r="C41" s="5">
        <f t="array" aca="1" ref="C41" ca="1">OFFSET(D_马仔培养宝物!$W$1,SMALL(IF(D_马仔培养宝物!$Z$2:$Z$64=D_马仔培养宝物!$E41,ROW($C$2:$H$64),""),RANDBETWEEN(1,VLOOKUP(D_马仔培养宝物!$E41,D_马仔培养宝物!$T$3:$U$7,2,FALSE)))-1,0)</f>
        <v>92271</v>
      </c>
      <c r="D41" s="5">
        <f t="array" aca="1" ref="D41" ca="1">OFFSET(D_马仔培养宝物!$W$1,SMALL(IF(D_马仔培养宝物!$Z$2:$Z$64=D_马仔培养宝物!$E41,ROW($C$2:$H$64),""),RANDBETWEEN(1,VLOOKUP(D_马仔培养宝物!$E41,D_马仔培养宝物!$T$3:$U$7,2,FALSE)))-1,0)</f>
        <v>92245</v>
      </c>
      <c r="E41" s="5">
        <f t="array" aca="1" ref="E41" ca="1">OFFSET(D_马仔培养宝物!$W$1,SMALL(IF(D_马仔培养宝物!$Z$2:$Z$64=D_马仔培养宝物!$E41,ROW($C$2:$H$64),""),RANDBETWEEN(1,VLOOKUP(D_马仔培养宝物!$E41,D_马仔培养宝物!$T$3:$U$7,2,FALSE)))-1,0)</f>
        <v>92271</v>
      </c>
      <c r="F41" s="5">
        <f t="array" aca="1" ref="F41" ca="1">OFFSET(D_马仔培养宝物!$W$1,SMALL(IF(D_马仔培养宝物!$Z$2:$Z$64=D_马仔培养宝物!$E41,ROW($C$2:$H$64),""),RANDBETWEEN(1,VLOOKUP(D_马仔培养宝物!$E41,D_马仔培养宝物!$T$3:$U$7,2,FALSE)))-1,0)</f>
        <v>92233</v>
      </c>
      <c r="G41" s="5">
        <f t="array" aca="1" ref="G41" ca="1">OFFSET(D_马仔培养宝物!$W$1,SMALL(IF(D_马仔培养宝物!$Z$2:$Z$64=D_马仔培养宝物!$E41,ROW($C$2:$H$64),""),RANDBETWEEN(1,VLOOKUP(D_马仔培养宝物!$E41,D_马仔培养宝物!$T$3:$U$7,2,FALSE)))-1,0)</f>
        <v>92271</v>
      </c>
      <c r="H41" s="5">
        <f t="array" aca="1" ref="H41" ca="1">OFFSET(D_马仔培养宝物!$W$1,SMALL(IF(D_马仔培养宝物!$Z$2:$Z$64=D_马仔培养宝物!$E41,ROW($C$2:$H$64),""),RANDBETWEEN(1,VLOOKUP(D_马仔培养宝物!$E41,D_马仔培养宝物!$T$3:$U$7,2,FALSE)))-1,0)</f>
        <v>92251</v>
      </c>
      <c r="J41" s="5">
        <v>92121</v>
      </c>
      <c r="K41" s="5">
        <v>92232</v>
      </c>
      <c r="L41" s="5">
        <v>92235</v>
      </c>
      <c r="M41" s="5">
        <v>92271</v>
      </c>
      <c r="N41" s="5">
        <v>92286</v>
      </c>
      <c r="O41" s="5">
        <v>92236</v>
      </c>
      <c r="P41">
        <f>VLOOKUP(J41,D_马仔培养宝物!$W$2:$AC$64,5,FALSE)+VLOOKUP(K41,D_马仔培养宝物!$W$2:$AC$64,5,FALSE)+VLOOKUP(L41,D_马仔培养宝物!$W$2:$AC$64,5,FALSE)+VLOOKUP(M41,D_马仔培养宝物!$W$2:$AC$64,5,FALSE)+VLOOKUP(N41,D_马仔培养宝物!$W$2:$AC$64,5,FALSE)+VLOOKUP(O41,D_马仔培养宝物!$W$2:$AC$64,5,FALSE)</f>
        <v>823</v>
      </c>
      <c r="Q41">
        <f>VLOOKUP(J41,D_马仔培养宝物!$W$2:$AC$64,6,FALSE)+VLOOKUP(K41,D_马仔培养宝物!$W$2:$AC$64,6,FALSE)+VLOOKUP(L41,D_马仔培养宝物!$W$2:$AC$64,6,FALSE)+VLOOKUP(M41,D_马仔培养宝物!$W$2:$AC$64,6,FALSE)+VLOOKUP(N41,D_马仔培养宝物!$W$2:$AC$64,6,FALSE)+VLOOKUP(O41,D_马仔培养宝物!$W$2:$AC$64,6,FALSE)</f>
        <v>83</v>
      </c>
      <c r="R41">
        <f>VLOOKUP(J41,D_马仔培养宝物!$W$2:$AC$64,7,FALSE)+VLOOKUP(K41,D_马仔培养宝物!$W$2:$AC$64,7,FALSE)+VLOOKUP(L41,D_马仔培养宝物!$W$2:$AC$64,7,FALSE)+VLOOKUP(M41,D_马仔培养宝物!$W$2:$AC$64,7,FALSE)+VLOOKUP(N41,D_马仔培养宝物!$W$2:$AC$64,7,FALSE)+VLOOKUP(O41,D_马仔培养宝物!$W$2:$AC$64,7,FALSE)</f>
        <v>62</v>
      </c>
    </row>
    <row r="42" spans="3:18">
      <c r="C42" s="5">
        <f t="array" aca="1" ref="C42" ca="1">OFFSET(D_马仔培养宝物!$W$1,SMALL(IF(D_马仔培养宝物!$Z$2:$Z$64=D_马仔培养宝物!$E42,ROW($C$2:$H$64),""),RANDBETWEEN(1,VLOOKUP(D_马仔培养宝物!$E42,D_马仔培养宝物!$T$3:$U$7,2,FALSE)))-1,0)</f>
        <v>92279</v>
      </c>
      <c r="D42" s="5">
        <f t="array" aca="1" ref="D42" ca="1">OFFSET(D_马仔培养宝物!$W$1,SMALL(IF(D_马仔培养宝物!$Z$2:$Z$64=D_马仔培养宝物!$E42,ROW($C$2:$H$64),""),RANDBETWEEN(1,VLOOKUP(D_马仔培养宝物!$E42,D_马仔培养宝物!$T$3:$U$7,2,FALSE)))-1,0)</f>
        <v>92279</v>
      </c>
      <c r="E42" s="5">
        <f t="array" aca="1" ref="E42" ca="1">OFFSET(D_马仔培养宝物!$W$1,SMALL(IF(D_马仔培养宝物!$Z$2:$Z$64=D_马仔培养宝物!$E42,ROW($C$2:$H$64),""),RANDBETWEEN(1,VLOOKUP(D_马仔培养宝物!$E42,D_马仔培养宝物!$T$3:$U$7,2,FALSE)))-1,0)</f>
        <v>92279</v>
      </c>
      <c r="F42" s="5">
        <f t="array" aca="1" ref="F42" ca="1">OFFSET(D_马仔培养宝物!$W$1,SMALL(IF(D_马仔培养宝物!$Z$2:$Z$64=D_马仔培养宝物!$E42,ROW($C$2:$H$64),""),RANDBETWEEN(1,VLOOKUP(D_马仔培养宝物!$E42,D_马仔培养宝物!$T$3:$U$7,2,FALSE)))-1,0)</f>
        <v>92288</v>
      </c>
      <c r="G42" s="5">
        <f t="array" aca="1" ref="G42" ca="1">OFFSET(D_马仔培养宝物!$W$1,SMALL(IF(D_马仔培养宝物!$Z$2:$Z$64=D_马仔培养宝物!$E42,ROW($C$2:$H$64),""),RANDBETWEEN(1,VLOOKUP(D_马仔培养宝物!$E42,D_马仔培养宝物!$T$3:$U$7,2,FALSE)))-1,0)</f>
        <v>92288</v>
      </c>
      <c r="H42" s="5">
        <f t="array" aca="1" ref="H42" ca="1">OFFSET(D_马仔培养宝物!$W$1,SMALL(IF(D_马仔培养宝物!$Z$2:$Z$64=D_马仔培养宝物!$E42,ROW($C$2:$H$64),""),RANDBETWEEN(1,VLOOKUP(D_马仔培养宝物!$E42,D_马仔培养宝物!$T$3:$U$7,2,FALSE)))-1,0)</f>
        <v>92124</v>
      </c>
      <c r="J42" s="5">
        <v>92262</v>
      </c>
      <c r="K42" s="5">
        <v>92285</v>
      </c>
      <c r="L42" s="5">
        <v>92134</v>
      </c>
      <c r="M42" s="5">
        <v>92142</v>
      </c>
      <c r="N42" s="5">
        <v>92283</v>
      </c>
      <c r="O42" s="5">
        <v>92282</v>
      </c>
      <c r="P42">
        <f>VLOOKUP(J42,D_马仔培养宝物!$W$2:$AC$64,5,FALSE)+VLOOKUP(K42,D_马仔培养宝物!$W$2:$AC$64,5,FALSE)+VLOOKUP(L42,D_马仔培养宝物!$W$2:$AC$64,5,FALSE)+VLOOKUP(M42,D_马仔培养宝物!$W$2:$AC$64,5,FALSE)+VLOOKUP(N42,D_马仔培养宝物!$W$2:$AC$64,5,FALSE)+VLOOKUP(O42,D_马仔培养宝物!$W$2:$AC$64,5,FALSE)</f>
        <v>0</v>
      </c>
      <c r="Q42">
        <f>VLOOKUP(J42,D_马仔培养宝物!$W$2:$AC$64,6,FALSE)+VLOOKUP(K42,D_马仔培养宝物!$W$2:$AC$64,6,FALSE)+VLOOKUP(L42,D_马仔培养宝物!$W$2:$AC$64,6,FALSE)+VLOOKUP(M42,D_马仔培养宝物!$W$2:$AC$64,6,FALSE)+VLOOKUP(N42,D_马仔培养宝物!$W$2:$AC$64,6,FALSE)+VLOOKUP(O42,D_马仔培养宝物!$W$2:$AC$64,6,FALSE)</f>
        <v>408</v>
      </c>
      <c r="R42">
        <f>VLOOKUP(J42,D_马仔培养宝物!$W$2:$AC$64,7,FALSE)+VLOOKUP(K42,D_马仔培养宝物!$W$2:$AC$64,7,FALSE)+VLOOKUP(L42,D_马仔培养宝物!$W$2:$AC$64,7,FALSE)+VLOOKUP(M42,D_马仔培养宝物!$W$2:$AC$64,7,FALSE)+VLOOKUP(N42,D_马仔培养宝物!$W$2:$AC$64,7,FALSE)+VLOOKUP(O42,D_马仔培养宝物!$W$2:$AC$64,7,FALSE)</f>
        <v>13</v>
      </c>
    </row>
    <row r="43" spans="3:18">
      <c r="C43" s="5">
        <f t="array" aca="1" ref="C43" ca="1">OFFSET(D_马仔培养宝物!$W$1,SMALL(IF(D_马仔培养宝物!$Z$2:$Z$64=D_马仔培养宝物!$E43,ROW($C$2:$H$64),""),RANDBETWEEN(1,VLOOKUP(D_马仔培养宝物!$E43,D_马仔培养宝物!$T$3:$U$7,2,FALSE)))-1,0)</f>
        <v>92284</v>
      </c>
      <c r="D43" s="5">
        <f t="array" aca="1" ref="D43" ca="1">OFFSET(D_马仔培养宝物!$W$1,SMALL(IF(D_马仔培养宝物!$Z$2:$Z$64=D_马仔培养宝物!$E43,ROW($C$2:$H$64),""),RANDBETWEEN(1,VLOOKUP(D_马仔培养宝物!$E43,D_马仔培养宝物!$T$3:$U$7,2,FALSE)))-1,0)</f>
        <v>92284</v>
      </c>
      <c r="E43" s="5">
        <f t="array" aca="1" ref="E43" ca="1">OFFSET(D_马仔培养宝物!$W$1,SMALL(IF(D_马仔培养宝物!$Z$2:$Z$64=D_马仔培养宝物!$E43,ROW($C$2:$H$64),""),RANDBETWEEN(1,VLOOKUP(D_马仔培养宝物!$E43,D_马仔培养宝物!$T$3:$U$7,2,FALSE)))-1,0)</f>
        <v>92012</v>
      </c>
      <c r="F43" s="5">
        <f t="array" aca="1" ref="F43" ca="1">OFFSET(D_马仔培养宝物!$W$1,SMALL(IF(D_马仔培养宝物!$Z$2:$Z$64=D_马仔培养宝物!$E43,ROW($C$2:$H$64),""),RANDBETWEEN(1,VLOOKUP(D_马仔培养宝物!$E43,D_马仔培养宝物!$T$3:$U$7,2,FALSE)))-1,0)</f>
        <v>92284</v>
      </c>
      <c r="G43" s="5">
        <f t="array" aca="1" ref="G43" ca="1">OFFSET(D_马仔培养宝物!$W$1,SMALL(IF(D_马仔培养宝物!$Z$2:$Z$64=D_马仔培养宝物!$E43,ROW($C$2:$H$64),""),RANDBETWEEN(1,VLOOKUP(D_马仔培养宝物!$E43,D_马仔培养宝物!$T$3:$U$7,2,FALSE)))-1,0)</f>
        <v>92279</v>
      </c>
      <c r="H43" s="5">
        <f t="array" aca="1" ref="H43" ca="1">OFFSET(D_马仔培养宝物!$W$1,SMALL(IF(D_马仔培养宝物!$Z$2:$Z$64=D_马仔培养宝物!$E43,ROW($C$2:$H$64),""),RANDBETWEEN(1,VLOOKUP(D_马仔培养宝物!$E43,D_马仔培养宝物!$T$3:$U$7,2,FALSE)))-1,0)</f>
        <v>92288</v>
      </c>
      <c r="J43" s="5">
        <v>92134</v>
      </c>
      <c r="K43" s="5">
        <v>92284</v>
      </c>
      <c r="L43" s="5">
        <v>92262</v>
      </c>
      <c r="M43" s="5">
        <v>92285</v>
      </c>
      <c r="N43" s="5">
        <v>92142</v>
      </c>
      <c r="O43" s="5">
        <v>92141</v>
      </c>
      <c r="P43">
        <f>VLOOKUP(J43,D_马仔培养宝物!$W$2:$AC$64,5,FALSE)+VLOOKUP(K43,D_马仔培养宝物!$W$2:$AC$64,5,FALSE)+VLOOKUP(L43,D_马仔培养宝物!$W$2:$AC$64,5,FALSE)+VLOOKUP(M43,D_马仔培养宝物!$W$2:$AC$64,5,FALSE)+VLOOKUP(N43,D_马仔培养宝物!$W$2:$AC$64,5,FALSE)+VLOOKUP(O43,D_马仔培养宝物!$W$2:$AC$64,5,FALSE)</f>
        <v>1029</v>
      </c>
      <c r="Q43">
        <f>VLOOKUP(J43,D_马仔培养宝物!$W$2:$AC$64,6,FALSE)+VLOOKUP(K43,D_马仔培养宝物!$W$2:$AC$64,6,FALSE)+VLOOKUP(L43,D_马仔培养宝物!$W$2:$AC$64,6,FALSE)+VLOOKUP(M43,D_马仔培养宝物!$W$2:$AC$64,6,FALSE)+VLOOKUP(N43,D_马仔培养宝物!$W$2:$AC$64,6,FALSE)+VLOOKUP(O43,D_马仔培养宝物!$W$2:$AC$64,6,FALSE)</f>
        <v>303</v>
      </c>
      <c r="R43">
        <f>VLOOKUP(J43,D_马仔培养宝物!$W$2:$AC$64,7,FALSE)+VLOOKUP(K43,D_马仔培养宝物!$W$2:$AC$64,7,FALSE)+VLOOKUP(L43,D_马仔培养宝物!$W$2:$AC$64,7,FALSE)+VLOOKUP(M43,D_马仔培养宝物!$W$2:$AC$64,7,FALSE)+VLOOKUP(N43,D_马仔培养宝物!$W$2:$AC$64,7,FALSE)+VLOOKUP(O43,D_马仔培养宝物!$W$2:$AC$64,7,FALSE)</f>
        <v>13</v>
      </c>
    </row>
    <row r="44" spans="3:18">
      <c r="C44" s="5">
        <f t="array" aca="1" ref="C44" ca="1">OFFSET(D_马仔培养宝物!$W$1,SMALL(IF(D_马仔培养宝物!$Z$2:$Z$64=D_马仔培养宝物!$E44,ROW($C$2:$H$64),""),RANDBETWEEN(1,VLOOKUP(D_马仔培养宝物!$E44,D_马仔培养宝物!$T$3:$U$7,2,FALSE)))-1,0)</f>
        <v>92285</v>
      </c>
      <c r="D44" s="5">
        <f t="array" aca="1" ref="D44" ca="1">OFFSET(D_马仔培养宝物!$W$1,SMALL(IF(D_马仔培养宝物!$Z$2:$Z$64=D_马仔培养宝物!$E44,ROW($C$2:$H$64),""),RANDBETWEEN(1,VLOOKUP(D_马仔培养宝物!$E44,D_马仔培养宝物!$T$3:$U$7,2,FALSE)))-1,0)</f>
        <v>92274</v>
      </c>
      <c r="E44" s="5">
        <f t="array" aca="1" ref="E44" ca="1">OFFSET(D_马仔培养宝物!$W$1,SMALL(IF(D_马仔培养宝物!$Z$2:$Z$64=D_马仔培养宝物!$E44,ROW($C$2:$H$64),""),RANDBETWEEN(1,VLOOKUP(D_马仔培养宝物!$E44,D_马仔培养宝物!$T$3:$U$7,2,FALSE)))-1,0)</f>
        <v>92013</v>
      </c>
      <c r="F44" s="5">
        <f t="array" aca="1" ref="F44" ca="1">OFFSET(D_马仔培养宝物!$W$1,SMALL(IF(D_马仔培养宝物!$Z$2:$Z$64=D_马仔培养宝物!$E44,ROW($C$2:$H$64),""),RANDBETWEEN(1,VLOOKUP(D_马仔培养宝物!$E44,D_马仔培养宝物!$T$3:$U$7,2,FALSE)))-1,0)</f>
        <v>92280</v>
      </c>
      <c r="G44" s="5">
        <f t="array" aca="1" ref="G44" ca="1">OFFSET(D_马仔培养宝物!$W$1,SMALL(IF(D_马仔培养宝物!$Z$2:$Z$64=D_马仔培养宝物!$E44,ROW($C$2:$H$64),""),RANDBETWEEN(1,VLOOKUP(D_马仔培养宝物!$E44,D_马仔培养宝物!$T$3:$U$7,2,FALSE)))-1,0)</f>
        <v>92285</v>
      </c>
      <c r="H44" s="5">
        <f t="array" aca="1" ref="H44" ca="1">OFFSET(D_马仔培养宝物!$W$1,SMALL(IF(D_马仔培养宝物!$Z$2:$Z$64=D_马仔培养宝物!$E44,ROW($C$2:$H$64),""),RANDBETWEEN(1,VLOOKUP(D_马仔培养宝物!$E44,D_马仔培养宝物!$T$3:$U$7,2,FALSE)))-1,0)</f>
        <v>92236</v>
      </c>
      <c r="J44" s="5">
        <v>92280</v>
      </c>
      <c r="K44" s="5">
        <v>92263</v>
      </c>
      <c r="L44" s="5">
        <v>92276</v>
      </c>
      <c r="M44" s="5">
        <v>92277</v>
      </c>
      <c r="N44" s="5">
        <v>92274</v>
      </c>
      <c r="O44" s="5">
        <v>92275</v>
      </c>
      <c r="P44">
        <f>VLOOKUP(J44,D_马仔培养宝物!$W$2:$AC$64,5,FALSE)+VLOOKUP(K44,D_马仔培养宝物!$W$2:$AC$64,5,FALSE)+VLOOKUP(L44,D_马仔培养宝物!$W$2:$AC$64,5,FALSE)+VLOOKUP(M44,D_马仔培养宝物!$W$2:$AC$64,5,FALSE)+VLOOKUP(N44,D_马仔培养宝物!$W$2:$AC$64,5,FALSE)+VLOOKUP(O44,D_马仔培养宝物!$W$2:$AC$64,5,FALSE)</f>
        <v>5350</v>
      </c>
      <c r="Q44">
        <f>VLOOKUP(J44,D_马仔培养宝物!$W$2:$AC$64,6,FALSE)+VLOOKUP(K44,D_马仔培养宝物!$W$2:$AC$64,6,FALSE)+VLOOKUP(L44,D_马仔培养宝物!$W$2:$AC$64,6,FALSE)+VLOOKUP(M44,D_马仔培养宝物!$W$2:$AC$64,6,FALSE)+VLOOKUP(N44,D_马仔培养宝物!$W$2:$AC$64,6,FALSE)+VLOOKUP(O44,D_马仔培养宝物!$W$2:$AC$64,6,FALSE)</f>
        <v>10</v>
      </c>
      <c r="R44">
        <f>VLOOKUP(J44,D_马仔培养宝物!$W$2:$AC$64,7,FALSE)+VLOOKUP(K44,D_马仔培养宝物!$W$2:$AC$64,7,FALSE)+VLOOKUP(L44,D_马仔培养宝物!$W$2:$AC$64,7,FALSE)+VLOOKUP(M44,D_马仔培养宝物!$W$2:$AC$64,7,FALSE)+VLOOKUP(N44,D_马仔培养宝物!$W$2:$AC$64,7,FALSE)+VLOOKUP(O44,D_马仔培养宝物!$W$2:$AC$64,7,FALSE)</f>
        <v>35</v>
      </c>
    </row>
    <row r="45" spans="3:18">
      <c r="C45" s="5">
        <f t="array" aca="1" ref="C45" ca="1">OFFSET(D_马仔培养宝物!$W$1,SMALL(IF(D_马仔培养宝物!$Z$2:$Z$64=D_马仔培养宝物!$E45,ROW($C$2:$H$64),""),RANDBETWEEN(1,VLOOKUP(D_马仔培养宝物!$E45,D_马仔培养宝物!$T$3:$U$7,2,FALSE)))-1,0)</f>
        <v>92236</v>
      </c>
      <c r="D45" s="5">
        <f t="array" aca="1" ref="D45" ca="1">OFFSET(D_马仔培养宝物!$W$1,SMALL(IF(D_马仔培养宝物!$Z$2:$Z$64=D_马仔培养宝物!$E45,ROW($C$2:$H$64),""),RANDBETWEEN(1,VLOOKUP(D_马仔培养宝物!$E45,D_马仔培养宝物!$T$3:$U$7,2,FALSE)))-1,0)</f>
        <v>92013</v>
      </c>
      <c r="E45" s="5">
        <f t="array" aca="1" ref="E45" ca="1">OFFSET(D_马仔培养宝物!$W$1,SMALL(IF(D_马仔培养宝物!$Z$2:$Z$64=D_马仔培养宝物!$E45,ROW($C$2:$H$64),""),RANDBETWEEN(1,VLOOKUP(D_马仔培养宝物!$E45,D_马仔培养宝物!$T$3:$U$7,2,FALSE)))-1,0)</f>
        <v>92227</v>
      </c>
      <c r="F45" s="5">
        <f t="array" aca="1" ref="F45" ca="1">OFFSET(D_马仔培养宝物!$W$1,SMALL(IF(D_马仔培养宝物!$Z$2:$Z$64=D_马仔培养宝物!$E45,ROW($C$2:$H$64),""),RANDBETWEEN(1,VLOOKUP(D_马仔培养宝物!$E45,D_马仔培养宝物!$T$3:$U$7,2,FALSE)))-1,0)</f>
        <v>92285</v>
      </c>
      <c r="G45" s="5">
        <f t="array" aca="1" ref="G45" ca="1">OFFSET(D_马仔培养宝物!$W$1,SMALL(IF(D_马仔培养宝物!$Z$2:$Z$64=D_马仔培养宝物!$E45,ROW($C$2:$H$64),""),RANDBETWEEN(1,VLOOKUP(D_马仔培养宝物!$E45,D_马仔培养宝物!$T$3:$U$7,2,FALSE)))-1,0)</f>
        <v>92254</v>
      </c>
      <c r="H45" s="5">
        <f t="array" aca="1" ref="H45" ca="1">OFFSET(D_马仔培养宝物!$W$1,SMALL(IF(D_马仔培养宝物!$Z$2:$Z$64=D_马仔培养宝物!$E45,ROW($C$2:$H$64),""),RANDBETWEEN(1,VLOOKUP(D_马仔培养宝物!$E45,D_马仔培养宝物!$T$3:$U$7,2,FALSE)))-1,0)</f>
        <v>92253</v>
      </c>
      <c r="J45" s="5">
        <v>92276</v>
      </c>
      <c r="K45" s="5">
        <v>92278</v>
      </c>
      <c r="L45" s="5">
        <v>92277</v>
      </c>
      <c r="M45" s="5">
        <v>92280</v>
      </c>
      <c r="N45" s="5">
        <v>92274</v>
      </c>
      <c r="O45" s="5">
        <v>92281</v>
      </c>
      <c r="P45">
        <f>VLOOKUP(J45,D_马仔培养宝物!$W$2:$AC$64,5,FALSE)+VLOOKUP(K45,D_马仔培养宝物!$W$2:$AC$64,5,FALSE)+VLOOKUP(L45,D_马仔培养宝物!$W$2:$AC$64,5,FALSE)+VLOOKUP(M45,D_马仔培养宝物!$W$2:$AC$64,5,FALSE)+VLOOKUP(N45,D_马仔培养宝物!$W$2:$AC$64,5,FALSE)+VLOOKUP(O45,D_马仔培养宝物!$W$2:$AC$64,5,FALSE)</f>
        <v>3498</v>
      </c>
      <c r="Q45">
        <f>VLOOKUP(J45,D_马仔培养宝物!$W$2:$AC$64,6,FALSE)+VLOOKUP(K45,D_马仔培养宝物!$W$2:$AC$64,6,FALSE)+VLOOKUP(L45,D_马仔培养宝物!$W$2:$AC$64,6,FALSE)+VLOOKUP(M45,D_马仔培养宝物!$W$2:$AC$64,6,FALSE)+VLOOKUP(N45,D_马仔培养宝物!$W$2:$AC$64,6,FALSE)+VLOOKUP(O45,D_马仔培养宝物!$W$2:$AC$64,6,FALSE)</f>
        <v>125</v>
      </c>
      <c r="R45">
        <f>VLOOKUP(J45,D_马仔培养宝物!$W$2:$AC$64,7,FALSE)+VLOOKUP(K45,D_马仔培养宝物!$W$2:$AC$64,7,FALSE)+VLOOKUP(L45,D_马仔培养宝物!$W$2:$AC$64,7,FALSE)+VLOOKUP(M45,D_马仔培养宝物!$W$2:$AC$64,7,FALSE)+VLOOKUP(N45,D_马仔培养宝物!$W$2:$AC$64,7,FALSE)+VLOOKUP(O45,D_马仔培养宝物!$W$2:$AC$64,7,FALSE)</f>
        <v>35</v>
      </c>
    </row>
    <row r="46" spans="3:18">
      <c r="C46" s="5">
        <f t="array" aca="1" ref="C46" ca="1">OFFSET(D_马仔培养宝物!$W$1,SMALL(IF(D_马仔培养宝物!$Z$2:$Z$64=D_马仔培养宝物!$E46,ROW($C$2:$H$64),""),RANDBETWEEN(1,VLOOKUP(D_马仔培养宝物!$E46,D_马仔培养宝物!$T$3:$U$7,2,FALSE)))-1,0)</f>
        <v>92299</v>
      </c>
      <c r="D46" s="5">
        <f t="array" aca="1" ref="D46" ca="1">OFFSET(D_马仔培养宝物!$W$1,SMALL(IF(D_马仔培养宝物!$Z$2:$Z$64=D_马仔培养宝物!$E46,ROW($C$2:$H$64),""),RANDBETWEEN(1,VLOOKUP(D_马仔培养宝物!$E46,D_马仔培养宝物!$T$3:$U$7,2,FALSE)))-1,0)</f>
        <v>92293</v>
      </c>
      <c r="E46" s="5">
        <f t="array" aca="1" ref="E46" ca="1">OFFSET(D_马仔培养宝物!$W$1,SMALL(IF(D_马仔培养宝物!$Z$2:$Z$64=D_马仔培养宝物!$E46,ROW($C$2:$H$64),""),RANDBETWEEN(1,VLOOKUP(D_马仔培养宝物!$E46,D_马仔培养宝物!$T$3:$U$7,2,FALSE)))-1,0)</f>
        <v>92275</v>
      </c>
      <c r="F46" s="5">
        <f t="array" aca="1" ref="F46" ca="1">OFFSET(D_马仔培养宝物!$W$1,SMALL(IF(D_马仔培养宝物!$Z$2:$Z$64=D_马仔培养宝物!$E46,ROW($C$2:$H$64),""),RANDBETWEEN(1,VLOOKUP(D_马仔培养宝物!$E46,D_马仔培养宝物!$T$3:$U$7,2,FALSE)))-1,0)</f>
        <v>92292</v>
      </c>
      <c r="G46" s="5">
        <f t="array" aca="1" ref="G46" ca="1">OFFSET(D_马仔培养宝物!$W$1,SMALL(IF(D_马仔培养宝物!$Z$2:$Z$64=D_马仔培养宝物!$E46,ROW($C$2:$H$64),""),RANDBETWEEN(1,VLOOKUP(D_马仔培养宝物!$E46,D_马仔培养宝物!$T$3:$U$7,2,FALSE)))-1,0)</f>
        <v>92291</v>
      </c>
      <c r="H46" s="5">
        <f t="array" aca="1" ref="H46" ca="1">OFFSET(D_马仔培养宝物!$W$1,SMALL(IF(D_马仔培养宝物!$Z$2:$Z$64=D_马仔培养宝物!$E46,ROW($C$2:$H$64),""),RANDBETWEEN(1,VLOOKUP(D_马仔培养宝物!$E46,D_马仔培养宝物!$T$3:$U$7,2,FALSE)))-1,0)</f>
        <v>92286</v>
      </c>
      <c r="J46" s="5">
        <v>92254</v>
      </c>
      <c r="K46" s="5">
        <v>92298</v>
      </c>
      <c r="L46" s="5">
        <v>92244</v>
      </c>
      <c r="M46" s="5">
        <v>92297</v>
      </c>
      <c r="N46" s="5">
        <v>92245</v>
      </c>
      <c r="O46" s="5">
        <v>92292</v>
      </c>
      <c r="P46">
        <f>VLOOKUP(J46,D_马仔培养宝物!$W$2:$AC$64,5,FALSE)+VLOOKUP(K46,D_马仔培养宝物!$W$2:$AC$64,5,FALSE)+VLOOKUP(L46,D_马仔培养宝物!$W$2:$AC$64,5,FALSE)+VLOOKUP(M46,D_马仔培养宝物!$W$2:$AC$64,5,FALSE)+VLOOKUP(N46,D_马仔培养宝物!$W$2:$AC$64,5,FALSE)+VLOOKUP(O46,D_马仔培养宝物!$W$2:$AC$64,5,FALSE)</f>
        <v>4733</v>
      </c>
      <c r="Q46">
        <f>VLOOKUP(J46,D_马仔培养宝物!$W$2:$AC$64,6,FALSE)+VLOOKUP(K46,D_马仔培养宝物!$W$2:$AC$64,6,FALSE)+VLOOKUP(L46,D_马仔培养宝物!$W$2:$AC$64,6,FALSE)+VLOOKUP(M46,D_马仔培养宝物!$W$2:$AC$64,6,FALSE)+VLOOKUP(N46,D_马仔培养宝物!$W$2:$AC$64,6,FALSE)+VLOOKUP(O46,D_马仔培养宝物!$W$2:$AC$64,6,FALSE)</f>
        <v>73</v>
      </c>
      <c r="R46">
        <f>VLOOKUP(J46,D_马仔培养宝物!$W$2:$AC$64,7,FALSE)+VLOOKUP(K46,D_马仔培养宝物!$W$2:$AC$64,7,FALSE)+VLOOKUP(L46,D_马仔培养宝物!$W$2:$AC$64,7,FALSE)+VLOOKUP(M46,D_马仔培养宝物!$W$2:$AC$64,7,FALSE)+VLOOKUP(N46,D_马仔培养宝物!$W$2:$AC$64,7,FALSE)+VLOOKUP(O46,D_马仔培养宝物!$W$2:$AC$64,7,FALSE)</f>
        <v>44</v>
      </c>
    </row>
    <row r="47" spans="3:18">
      <c r="C47" s="5">
        <f t="array" aca="1" ref="C47" ca="1">OFFSET(D_马仔培养宝物!$W$1,SMALL(IF(D_马仔培养宝物!$Z$2:$Z$64=D_马仔培养宝物!$E47,ROW($C$2:$H$64),""),RANDBETWEEN(1,VLOOKUP(D_马仔培养宝物!$E47,D_马仔培养宝物!$T$3:$U$7,2,FALSE)))-1,0)</f>
        <v>92240</v>
      </c>
      <c r="D47" s="5">
        <f t="array" aca="1" ref="D47" ca="1">OFFSET(D_马仔培养宝物!$W$1,SMALL(IF(D_马仔培养宝物!$Z$2:$Z$64=D_马仔培养宝物!$E47,ROW($C$2:$H$64),""),RANDBETWEEN(1,VLOOKUP(D_马仔培养宝物!$E47,D_马仔培养宝物!$T$3:$U$7,2,FALSE)))-1,0)</f>
        <v>92293</v>
      </c>
      <c r="E47" s="5">
        <f t="array" aca="1" ref="E47" ca="1">OFFSET(D_马仔培养宝物!$W$1,SMALL(IF(D_马仔培养宝物!$Z$2:$Z$64=D_马仔培养宝物!$E47,ROW($C$2:$H$64),""),RANDBETWEEN(1,VLOOKUP(D_马仔培养宝物!$E47,D_马仔培养宝物!$T$3:$U$7,2,FALSE)))-1,0)</f>
        <v>92262</v>
      </c>
      <c r="F47" s="5">
        <f t="array" aca="1" ref="F47" ca="1">OFFSET(D_马仔培养宝物!$W$1,SMALL(IF(D_马仔培养宝物!$Z$2:$Z$64=D_马仔培养宝物!$E47,ROW($C$2:$H$64),""),RANDBETWEEN(1,VLOOKUP(D_马仔培养宝物!$E47,D_马仔培养宝物!$T$3:$U$7,2,FALSE)))-1,0)</f>
        <v>92286</v>
      </c>
      <c r="G47" s="5">
        <f t="array" aca="1" ref="G47" ca="1">OFFSET(D_马仔培养宝物!$W$1,SMALL(IF(D_马仔培养宝物!$Z$2:$Z$64=D_马仔培养宝物!$E47,ROW($C$2:$H$64),""),RANDBETWEEN(1,VLOOKUP(D_马仔培养宝物!$E47,D_马仔培养宝物!$T$3:$U$7,2,FALSE)))-1,0)</f>
        <v>92295</v>
      </c>
      <c r="H47" s="5">
        <f t="array" aca="1" ref="H47" ca="1">OFFSET(D_马仔培养宝物!$W$1,SMALL(IF(D_马仔培养宝物!$Z$2:$Z$64=D_马仔培养宝物!$E47,ROW($C$2:$H$64),""),RANDBETWEEN(1,VLOOKUP(D_马仔培养宝物!$E47,D_马仔培养宝物!$T$3:$U$7,2,FALSE)))-1,0)</f>
        <v>92293</v>
      </c>
      <c r="J47" s="5">
        <v>92252</v>
      </c>
      <c r="K47" s="5">
        <v>92291</v>
      </c>
      <c r="L47" s="5">
        <v>92290</v>
      </c>
      <c r="M47" s="5">
        <v>92254</v>
      </c>
      <c r="N47" s="5">
        <v>92289</v>
      </c>
      <c r="O47" s="5">
        <v>92298</v>
      </c>
      <c r="P47">
        <f>VLOOKUP(J47,D_马仔培养宝物!$W$2:$AC$64,5,FALSE)+VLOOKUP(K47,D_马仔培养宝物!$W$2:$AC$64,5,FALSE)+VLOOKUP(L47,D_马仔培养宝物!$W$2:$AC$64,5,FALSE)+VLOOKUP(M47,D_马仔培养宝物!$W$2:$AC$64,5,FALSE)+VLOOKUP(N47,D_马仔培养宝物!$W$2:$AC$64,5,FALSE)+VLOOKUP(O47,D_马仔培养宝物!$W$2:$AC$64,5,FALSE)</f>
        <v>3910</v>
      </c>
      <c r="Q47">
        <f>VLOOKUP(J47,D_马仔培养宝物!$W$2:$AC$64,6,FALSE)+VLOOKUP(K47,D_马仔培养宝物!$W$2:$AC$64,6,FALSE)+VLOOKUP(L47,D_马仔培养宝物!$W$2:$AC$64,6,FALSE)+VLOOKUP(M47,D_马仔培养宝物!$W$2:$AC$64,6,FALSE)+VLOOKUP(N47,D_马仔培养宝物!$W$2:$AC$64,6,FALSE)+VLOOKUP(O47,D_马仔培养宝物!$W$2:$AC$64,6,FALSE)</f>
        <v>125</v>
      </c>
      <c r="R47">
        <f>VLOOKUP(J47,D_马仔培养宝物!$W$2:$AC$64,7,FALSE)+VLOOKUP(K47,D_马仔培养宝物!$W$2:$AC$64,7,FALSE)+VLOOKUP(L47,D_马仔培养宝物!$W$2:$AC$64,7,FALSE)+VLOOKUP(M47,D_马仔培养宝物!$W$2:$AC$64,7,FALSE)+VLOOKUP(N47,D_马仔培养宝物!$W$2:$AC$64,7,FALSE)+VLOOKUP(O47,D_马仔培养宝物!$W$2:$AC$64,7,FALSE)</f>
        <v>75</v>
      </c>
    </row>
    <row r="48" spans="3:18">
      <c r="C48" s="5">
        <f t="array" aca="1" ref="C48" ca="1">OFFSET(D_马仔培养宝物!$W$1,SMALL(IF(D_马仔培养宝物!$Z$2:$Z$64=D_马仔培养宝物!$E48,ROW($C$2:$H$64),""),RANDBETWEEN(1,VLOOKUP(D_马仔培养宝物!$E48,D_马仔培养宝物!$T$3:$U$7,2,FALSE)))-1,0)</f>
        <v>92014</v>
      </c>
      <c r="D48" s="5">
        <f t="array" aca="1" ref="D48" ca="1">OFFSET(D_马仔培养宝物!$W$1,SMALL(IF(D_马仔培养宝物!$Z$2:$Z$64=D_马仔培养宝物!$E48,ROW($C$2:$H$64),""),RANDBETWEEN(1,VLOOKUP(D_马仔培养宝物!$E48,D_马仔培养宝物!$T$3:$U$7,2,FALSE)))-1,0)</f>
        <v>92261</v>
      </c>
      <c r="E48" s="5">
        <f t="array" aca="1" ref="E48" ca="1">OFFSET(D_马仔培养宝物!$W$1,SMALL(IF(D_马仔培养宝物!$Z$2:$Z$64=D_马仔培养宝物!$E48,ROW($C$2:$H$64),""),RANDBETWEEN(1,VLOOKUP(D_马仔培养宝物!$E48,D_马仔培养宝物!$T$3:$U$7,2,FALSE)))-1,0)</f>
        <v>92291</v>
      </c>
      <c r="F48" s="5">
        <f t="array" aca="1" ref="F48" ca="1">OFFSET(D_马仔培养宝物!$W$1,SMALL(IF(D_马仔培养宝物!$Z$2:$Z$64=D_马仔培养宝物!$E48,ROW($C$2:$H$64),""),RANDBETWEEN(1,VLOOKUP(D_马仔培养宝物!$E48,D_马仔培养宝物!$T$3:$U$7,2,FALSE)))-1,0)</f>
        <v>92240</v>
      </c>
      <c r="G48" s="5">
        <f t="array" aca="1" ref="G48" ca="1">OFFSET(D_马仔培养宝物!$W$1,SMALL(IF(D_马仔培养宝物!$Z$2:$Z$64=D_马仔培养宝物!$E48,ROW($C$2:$H$64),""),RANDBETWEEN(1,VLOOKUP(D_马仔培养宝物!$E48,D_马仔培养宝物!$T$3:$U$7,2,FALSE)))-1,0)</f>
        <v>92275</v>
      </c>
      <c r="H48" s="5">
        <f t="array" aca="1" ref="H48" ca="1">OFFSET(D_马仔培养宝物!$W$1,SMALL(IF(D_马仔培养宝物!$Z$2:$Z$64=D_马仔培养宝物!$E48,ROW($C$2:$H$64),""),RANDBETWEEN(1,VLOOKUP(D_马仔培养宝物!$E48,D_马仔培养宝物!$T$3:$U$7,2,FALSE)))-1,0)</f>
        <v>92292</v>
      </c>
      <c r="J48" s="5">
        <v>92297</v>
      </c>
      <c r="K48" s="5">
        <v>92240</v>
      </c>
      <c r="L48" s="5">
        <v>92255</v>
      </c>
      <c r="M48" s="5">
        <v>92298</v>
      </c>
      <c r="N48" s="5">
        <v>92243</v>
      </c>
      <c r="O48" s="5">
        <v>92299</v>
      </c>
      <c r="P48">
        <f>VLOOKUP(J48,D_马仔培养宝物!$W$2:$AC$64,5,FALSE)+VLOOKUP(K48,D_马仔培养宝物!$W$2:$AC$64,5,FALSE)+VLOOKUP(L48,D_马仔培养宝物!$W$2:$AC$64,5,FALSE)+VLOOKUP(M48,D_马仔培养宝物!$W$2:$AC$64,5,FALSE)+VLOOKUP(N48,D_马仔培养宝物!$W$2:$AC$64,5,FALSE)+VLOOKUP(O48,D_马仔培养宝物!$W$2:$AC$64,5,FALSE)</f>
        <v>2058</v>
      </c>
      <c r="Q48">
        <f>VLOOKUP(J48,D_马仔培养宝物!$W$2:$AC$64,6,FALSE)+VLOOKUP(K48,D_马仔培养宝物!$W$2:$AC$64,6,FALSE)+VLOOKUP(L48,D_马仔培养宝物!$W$2:$AC$64,6,FALSE)+VLOOKUP(M48,D_马仔培养宝物!$W$2:$AC$64,6,FALSE)+VLOOKUP(N48,D_马仔培养宝物!$W$2:$AC$64,6,FALSE)+VLOOKUP(O48,D_马仔培养宝物!$W$2:$AC$64,6,FALSE)</f>
        <v>0</v>
      </c>
      <c r="R48">
        <f>VLOOKUP(J48,D_马仔培养宝物!$W$2:$AC$64,7,FALSE)+VLOOKUP(K48,D_马仔培养宝物!$W$2:$AC$64,7,FALSE)+VLOOKUP(L48,D_马仔培养宝物!$W$2:$AC$64,7,FALSE)+VLOOKUP(M48,D_马仔培养宝物!$W$2:$AC$64,7,FALSE)+VLOOKUP(N48,D_马仔培养宝物!$W$2:$AC$64,7,FALSE)+VLOOKUP(O48,D_马仔培养宝物!$W$2:$AC$64,7,FALSE)</f>
        <v>176</v>
      </c>
    </row>
    <row r="49" spans="3:18" ht="14.25" thickBot="1">
      <c r="C49" s="22">
        <f t="array" aca="1" ref="C49" ca="1">OFFSET(D_马仔培养宝物!$W$1,SMALL(IF(D_马仔培养宝物!$Z$2:$Z$64=D_马仔培养宝物!$E49,ROW($C$2:$H$64),""),RANDBETWEEN(1,VLOOKUP(D_马仔培养宝物!$E49,D_马仔培养宝物!$T$3:$U$7,2,FALSE)))-1,0)</f>
        <v>92299</v>
      </c>
      <c r="D49" s="22">
        <f t="array" aca="1" ref="D49" ca="1">OFFSET(D_马仔培养宝物!$W$1,SMALL(IF(D_马仔培养宝物!$Z$2:$Z$64=D_马仔培养宝物!$E49,ROW($C$2:$H$64),""),RANDBETWEEN(1,VLOOKUP(D_马仔培养宝物!$E49,D_马仔培养宝物!$T$3:$U$7,2,FALSE)))-1,0)</f>
        <v>92256</v>
      </c>
      <c r="E49" s="22">
        <f t="array" aca="1" ref="E49" ca="1">OFFSET(D_马仔培养宝物!$W$1,SMALL(IF(D_马仔培养宝物!$Z$2:$Z$64=D_马仔培养宝物!$E49,ROW($C$2:$H$64),""),RANDBETWEEN(1,VLOOKUP(D_马仔培养宝物!$E49,D_马仔培养宝物!$T$3:$U$7,2,FALSE)))-1,0)</f>
        <v>92014</v>
      </c>
      <c r="F49" s="22">
        <f t="array" aca="1" ref="F49" ca="1">OFFSET(D_马仔培养宝物!$W$1,SMALL(IF(D_马仔培养宝物!$Z$2:$Z$64=D_马仔培养宝物!$E49,ROW($C$2:$H$64),""),RANDBETWEEN(1,VLOOKUP(D_马仔培养宝物!$E49,D_马仔培养宝物!$T$3:$U$7,2,FALSE)))-1,0)</f>
        <v>92276</v>
      </c>
      <c r="G49" s="22">
        <f t="array" aca="1" ref="G49" ca="1">OFFSET(D_马仔培养宝物!$W$1,SMALL(IF(D_马仔培养宝物!$Z$2:$Z$64=D_马仔培养宝物!$E49,ROW($C$2:$H$64),""),RANDBETWEEN(1,VLOOKUP(D_马仔培养宝物!$E49,D_马仔培养宝物!$T$3:$U$7,2,FALSE)))-1,0)</f>
        <v>92262</v>
      </c>
      <c r="H49" s="22">
        <f t="array" aca="1" ref="H49" ca="1">OFFSET(D_马仔培养宝物!$W$1,SMALL(IF(D_马仔培养宝物!$Z$2:$Z$64=D_马仔培养宝物!$E49,ROW($C$2:$H$64),""),RANDBETWEEN(1,VLOOKUP(D_马仔培养宝物!$E49,D_马仔培养宝物!$T$3:$U$7,2,FALSE)))-1,0)</f>
        <v>92261</v>
      </c>
      <c r="J49" s="22">
        <v>92288</v>
      </c>
      <c r="K49" s="22">
        <v>92253</v>
      </c>
      <c r="L49" s="22">
        <v>92254</v>
      </c>
      <c r="M49" s="22">
        <v>92295</v>
      </c>
      <c r="N49" s="22">
        <v>92293</v>
      </c>
      <c r="O49" s="22">
        <v>92292</v>
      </c>
      <c r="P49">
        <f>VLOOKUP(J49,D_马仔培养宝物!$W$2:$AC$64,5,FALSE)+VLOOKUP(K49,D_马仔培养宝物!$W$2:$AC$64,5,FALSE)+VLOOKUP(L49,D_马仔培养宝物!$W$2:$AC$64,5,FALSE)+VLOOKUP(M49,D_马仔培养宝物!$W$2:$AC$64,5,FALSE)+VLOOKUP(N49,D_马仔培养宝物!$W$2:$AC$64,5,FALSE)+VLOOKUP(O49,D_马仔培养宝物!$W$2:$AC$64,5,FALSE)</f>
        <v>5350</v>
      </c>
      <c r="Q49">
        <f>VLOOKUP(J49,D_马仔培养宝物!$W$2:$AC$64,6,FALSE)+VLOOKUP(K49,D_马仔培养宝物!$W$2:$AC$64,6,FALSE)+VLOOKUP(L49,D_马仔培养宝物!$W$2:$AC$64,6,FALSE)+VLOOKUP(M49,D_马仔培养宝物!$W$2:$AC$64,6,FALSE)+VLOOKUP(N49,D_马仔培养宝物!$W$2:$AC$64,6,FALSE)+VLOOKUP(O49,D_马仔培养宝物!$W$2:$AC$64,6,FALSE)</f>
        <v>230</v>
      </c>
      <c r="R49">
        <f>VLOOKUP(J49,D_马仔培养宝物!$W$2:$AC$64,7,FALSE)+VLOOKUP(K49,D_马仔培养宝物!$W$2:$AC$64,7,FALSE)+VLOOKUP(L49,D_马仔培养宝物!$W$2:$AC$64,7,FALSE)+VLOOKUP(M49,D_马仔培养宝物!$W$2:$AC$64,7,FALSE)+VLOOKUP(N49,D_马仔培养宝物!$W$2:$AC$64,7,FALSE)+VLOOKUP(O49,D_马仔培养宝物!$W$2:$AC$64,7,FALSE)</f>
        <v>0</v>
      </c>
    </row>
    <row r="50" spans="3:18">
      <c r="C50" s="19">
        <f t="array" aca="1" ref="C50" ca="1">OFFSET(D_马仔培养宝物!$W$1,SMALL(IF(D_马仔培养宝物!$Z$2:$Z$64=D_马仔培养宝物!$E50,ROW($C$2:$H$64),""),RANDBETWEEN(1,VLOOKUP(D_马仔培养宝物!$E50,D_马仔培养宝物!$T$3:$U$7,2,FALSE)))-1,0)</f>
        <v>92243</v>
      </c>
      <c r="D50" s="19">
        <f t="array" aca="1" ref="D50" ca="1">OFFSET(D_马仔培养宝物!$W$1,SMALL(IF(D_马仔培养宝物!$Z$2:$Z$64=D_马仔培养宝物!$E50,ROW($C$2:$H$64),""),RANDBETWEEN(1,VLOOKUP(D_马仔培养宝物!$E50,D_马仔培养宝物!$T$3:$U$7,2,FALSE)))-1,0)</f>
        <v>92263</v>
      </c>
      <c r="E50" s="19">
        <f t="array" aca="1" ref="E50" ca="1">OFFSET(D_马仔培养宝物!$W$1,SMALL(IF(D_马仔培养宝物!$Z$2:$Z$64=D_马仔培养宝物!$E50,ROW($C$2:$H$64),""),RANDBETWEEN(1,VLOOKUP(D_马仔培养宝物!$E50,D_马仔培养宝物!$T$3:$U$7,2,FALSE)))-1,0)</f>
        <v>92243</v>
      </c>
      <c r="F50" s="19">
        <f t="array" aca="1" ref="F50" ca="1">OFFSET(D_马仔培养宝物!$W$1,SMALL(IF(D_马仔培养宝物!$Z$2:$Z$64=D_马仔培养宝物!$E50,ROW($C$2:$H$64),""),RANDBETWEEN(1,VLOOKUP(D_马仔培养宝物!$E50,D_马仔培养宝物!$T$3:$U$7,2,FALSE)))-1,0)</f>
        <v>92277</v>
      </c>
      <c r="G50" s="19">
        <f t="array" aca="1" ref="G50" ca="1">OFFSET(D_马仔培养宝物!$W$1,SMALL(IF(D_马仔培养宝物!$Z$2:$Z$64=D_马仔培养宝物!$E50,ROW($C$2:$H$64),""),RANDBETWEEN(1,VLOOKUP(D_马仔培养宝物!$E50,D_马仔培养宝物!$T$3:$U$7,2,FALSE)))-1,0)</f>
        <v>92244</v>
      </c>
      <c r="H50" s="19">
        <f t="array" aca="1" ref="H50" ca="1">OFFSET(D_马仔培养宝物!$W$1,SMALL(IF(D_马仔培养宝物!$Z$2:$Z$64=D_马仔培养宝物!$E50,ROW($C$2:$H$64),""),RANDBETWEEN(1,VLOOKUP(D_马仔培养宝物!$E50,D_马仔培养宝物!$T$3:$U$7,2,FALSE)))-1,0)</f>
        <v>92121</v>
      </c>
      <c r="J50" s="19">
        <v>92227</v>
      </c>
      <c r="K50" s="19">
        <v>92013</v>
      </c>
      <c r="L50" s="19">
        <v>92011</v>
      </c>
      <c r="M50" s="19">
        <v>92026</v>
      </c>
      <c r="N50" s="19">
        <v>92014</v>
      </c>
      <c r="O50" s="19">
        <v>92124</v>
      </c>
      <c r="P50">
        <f>VLOOKUP(J50,D_马仔培养宝物!$W$2:$AC$64,5,FALSE)+VLOOKUP(K50,D_马仔培养宝物!$W$2:$AC$64,5,FALSE)+VLOOKUP(L50,D_马仔培养宝物!$W$2:$AC$64,5,FALSE)+VLOOKUP(M50,D_马仔培养宝物!$W$2:$AC$64,5,FALSE)+VLOOKUP(N50,D_马仔培养宝物!$W$2:$AC$64,5,FALSE)+VLOOKUP(O50,D_马仔培养宝物!$W$2:$AC$64,5,FALSE)</f>
        <v>3292</v>
      </c>
      <c r="Q50">
        <f>VLOOKUP(J50,D_马仔培养宝物!$W$2:$AC$64,6,FALSE)+VLOOKUP(K50,D_马仔培养宝物!$W$2:$AC$64,6,FALSE)+VLOOKUP(L50,D_马仔培养宝物!$W$2:$AC$64,6,FALSE)+VLOOKUP(M50,D_马仔培养宝物!$W$2:$AC$64,6,FALSE)+VLOOKUP(N50,D_马仔培养宝物!$W$2:$AC$64,6,FALSE)+VLOOKUP(O50,D_马仔培养宝物!$W$2:$AC$64,6,FALSE)</f>
        <v>115</v>
      </c>
      <c r="R50">
        <f>VLOOKUP(J50,D_马仔培养宝物!$W$2:$AC$64,7,FALSE)+VLOOKUP(K50,D_马仔培养宝物!$W$2:$AC$64,7,FALSE)+VLOOKUP(L50,D_马仔培养宝物!$W$2:$AC$64,7,FALSE)+VLOOKUP(M50,D_马仔培养宝物!$W$2:$AC$64,7,FALSE)+VLOOKUP(N50,D_马仔培养宝物!$W$2:$AC$64,7,FALSE)+VLOOKUP(O50,D_马仔培养宝物!$W$2:$AC$64,7,FALSE)</f>
        <v>53</v>
      </c>
    </row>
    <row r="51" spans="3:18">
      <c r="C51" s="5">
        <f t="array" aca="1" ref="C51" ca="1">OFFSET(D_马仔培养宝物!$W$1,SMALL(IF(D_马仔培养宝物!$Z$2:$Z$64=D_马仔培养宝物!$E51,ROW($C$2:$H$64),""),RANDBETWEEN(1,VLOOKUP(D_马仔培养宝物!$E51,D_马仔培养宝物!$T$3:$U$7,2,FALSE)))-1,0)</f>
        <v>92011</v>
      </c>
      <c r="D51" s="5">
        <f t="array" aca="1" ref="D51" ca="1">OFFSET(D_马仔培养宝物!$W$1,SMALL(IF(D_马仔培养宝物!$Z$2:$Z$64=D_马仔培养宝物!$E51,ROW($C$2:$H$64),""),RANDBETWEEN(1,VLOOKUP(D_马仔培养宝物!$E51,D_马仔培养宝物!$T$3:$U$7,2,FALSE)))-1,0)</f>
        <v>92121</v>
      </c>
      <c r="E51" s="5">
        <f t="array" aca="1" ref="E51" ca="1">OFFSET(D_马仔培养宝物!$W$1,SMALL(IF(D_马仔培养宝物!$Z$2:$Z$64=D_马仔培养宝物!$E51,ROW($C$2:$H$64),""),RANDBETWEEN(1,VLOOKUP(D_马仔培养宝物!$E51,D_马仔培养宝物!$T$3:$U$7,2,FALSE)))-1,0)</f>
        <v>92243</v>
      </c>
      <c r="F51" s="5">
        <f t="array" aca="1" ref="F51" ca="1">OFFSET(D_马仔培养宝物!$W$1,SMALL(IF(D_马仔培养宝物!$Z$2:$Z$64=D_马仔培养宝物!$E51,ROW($C$2:$H$64),""),RANDBETWEEN(1,VLOOKUP(D_马仔培养宝物!$E51,D_马仔培养宝物!$T$3:$U$7,2,FALSE)))-1,0)</f>
        <v>92131</v>
      </c>
      <c r="G51" s="5">
        <f t="array" aca="1" ref="G51" ca="1">OFFSET(D_马仔培养宝物!$W$1,SMALL(IF(D_马仔培养宝物!$Z$2:$Z$64=D_马仔培养宝物!$E51,ROW($C$2:$H$64),""),RANDBETWEEN(1,VLOOKUP(D_马仔培养宝物!$E51,D_马仔培养宝物!$T$3:$U$7,2,FALSE)))-1,0)</f>
        <v>92277</v>
      </c>
      <c r="H51" s="5">
        <f t="array" aca="1" ref="H51" ca="1">OFFSET(D_马仔培养宝物!$W$1,SMALL(IF(D_马仔培养宝物!$Z$2:$Z$64=D_马仔培养宝物!$E51,ROW($C$2:$H$64),""),RANDBETWEEN(1,VLOOKUP(D_马仔培养宝物!$E51,D_马仔培养宝物!$T$3:$U$7,2,FALSE)))-1,0)</f>
        <v>92131</v>
      </c>
      <c r="J51" s="5">
        <v>92122</v>
      </c>
      <c r="K51" s="5">
        <v>92011</v>
      </c>
      <c r="L51" s="5">
        <v>92012</v>
      </c>
      <c r="M51" s="5">
        <v>92227</v>
      </c>
      <c r="N51" s="5">
        <v>92026</v>
      </c>
      <c r="O51" s="5">
        <v>92125</v>
      </c>
      <c r="P51">
        <f>VLOOKUP(J51,D_马仔培养宝物!$W$2:$AC$64,5,FALSE)+VLOOKUP(K51,D_马仔培养宝物!$W$2:$AC$64,5,FALSE)+VLOOKUP(L51,D_马仔培养宝物!$W$2:$AC$64,5,FALSE)+VLOOKUP(M51,D_马仔培养宝物!$W$2:$AC$64,5,FALSE)+VLOOKUP(N51,D_马仔培养宝物!$W$2:$AC$64,5,FALSE)+VLOOKUP(O51,D_马仔培养宝物!$W$2:$AC$64,5,FALSE)</f>
        <v>2469</v>
      </c>
      <c r="Q51">
        <f>VLOOKUP(J51,D_马仔培养宝物!$W$2:$AC$64,6,FALSE)+VLOOKUP(K51,D_马仔培养宝物!$W$2:$AC$64,6,FALSE)+VLOOKUP(L51,D_马仔培养宝物!$W$2:$AC$64,6,FALSE)+VLOOKUP(M51,D_马仔培养宝物!$W$2:$AC$64,6,FALSE)+VLOOKUP(N51,D_马仔培养宝物!$W$2:$AC$64,6,FALSE)+VLOOKUP(O51,D_马仔培养宝物!$W$2:$AC$64,6,FALSE)</f>
        <v>146</v>
      </c>
      <c r="R51">
        <f>VLOOKUP(J51,D_马仔培养宝物!$W$2:$AC$64,7,FALSE)+VLOOKUP(K51,D_马仔培养宝物!$W$2:$AC$64,7,FALSE)+VLOOKUP(L51,D_马仔培养宝物!$W$2:$AC$64,7,FALSE)+VLOOKUP(M51,D_马仔培养宝物!$W$2:$AC$64,7,FALSE)+VLOOKUP(N51,D_马仔培养宝物!$W$2:$AC$64,7,FALSE)+VLOOKUP(O51,D_马仔培养宝物!$W$2:$AC$64,7,FALSE)</f>
        <v>31</v>
      </c>
    </row>
    <row r="52" spans="3:18">
      <c r="C52" s="5">
        <f t="array" aca="1" ref="C52" ca="1">OFFSET(D_马仔培养宝物!$W$1,SMALL(IF(D_马仔培养宝物!$Z$2:$Z$64=D_马仔培养宝物!$E52,ROW($C$2:$H$64),""),RANDBETWEEN(1,VLOOKUP(D_马仔培养宝物!$E52,D_马仔培养宝物!$T$3:$U$7,2,FALSE)))-1,0)</f>
        <v>92245</v>
      </c>
      <c r="D52" s="5">
        <f t="array" aca="1" ref="D52" ca="1">OFFSET(D_马仔培养宝物!$W$1,SMALL(IF(D_马仔培养宝物!$Z$2:$Z$64=D_马仔培养宝物!$E52,ROW($C$2:$H$64),""),RANDBETWEEN(1,VLOOKUP(D_马仔培养宝物!$E52,D_马仔培养宝物!$T$3:$U$7,2,FALSE)))-1,0)</f>
        <v>92141</v>
      </c>
      <c r="E52" s="5">
        <f t="array" aca="1" ref="E52" ca="1">OFFSET(D_马仔培养宝物!$W$1,SMALL(IF(D_马仔培养宝物!$Z$2:$Z$64=D_马仔培养宝物!$E52,ROW($C$2:$H$64),""),RANDBETWEEN(1,VLOOKUP(D_马仔培养宝物!$E52,D_马仔培养宝物!$T$3:$U$7,2,FALSE)))-1,0)</f>
        <v>92245</v>
      </c>
      <c r="F52" s="5">
        <f t="array" aca="1" ref="F52" ca="1">OFFSET(D_马仔培养宝物!$W$1,SMALL(IF(D_马仔培养宝物!$Z$2:$Z$64=D_马仔培养宝物!$E52,ROW($C$2:$H$64),""),RANDBETWEEN(1,VLOOKUP(D_马仔培养宝物!$E52,D_马仔培养宝物!$T$3:$U$7,2,FALSE)))-1,0)</f>
        <v>92245</v>
      </c>
      <c r="G52" s="5">
        <f t="array" aca="1" ref="G52" ca="1">OFFSET(D_马仔培养宝物!$W$1,SMALL(IF(D_马仔培养宝物!$Z$2:$Z$64=D_马仔培养宝物!$E52,ROW($C$2:$H$64),""),RANDBETWEEN(1,VLOOKUP(D_马仔培养宝物!$E52,D_马仔培养宝物!$T$3:$U$7,2,FALSE)))-1,0)</f>
        <v>92271</v>
      </c>
      <c r="H52" s="5">
        <f t="array" aca="1" ref="H52" ca="1">OFFSET(D_马仔培养宝物!$W$1,SMALL(IF(D_马仔培养宝物!$Z$2:$Z$64=D_马仔培养宝物!$E52,ROW($C$2:$H$64),""),RANDBETWEEN(1,VLOOKUP(D_马仔培养宝物!$E52,D_马仔培养宝物!$T$3:$U$7,2,FALSE)))-1,0)</f>
        <v>92271</v>
      </c>
      <c r="J52" s="5">
        <v>92233</v>
      </c>
      <c r="K52" s="5">
        <v>92286</v>
      </c>
      <c r="L52" s="5">
        <v>92271</v>
      </c>
      <c r="M52" s="5">
        <v>92228</v>
      </c>
      <c r="N52" s="5">
        <v>92232</v>
      </c>
      <c r="O52" s="5">
        <v>92121</v>
      </c>
      <c r="P52">
        <f>VLOOKUP(J52,D_马仔培养宝物!$W$2:$AC$64,5,FALSE)+VLOOKUP(K52,D_马仔培养宝物!$W$2:$AC$64,5,FALSE)+VLOOKUP(L52,D_马仔培养宝物!$W$2:$AC$64,5,FALSE)+VLOOKUP(M52,D_马仔培养宝物!$W$2:$AC$64,5,FALSE)+VLOOKUP(N52,D_马仔培养宝物!$W$2:$AC$64,5,FALSE)+VLOOKUP(O52,D_马仔培养宝物!$W$2:$AC$64,5,FALSE)</f>
        <v>1440</v>
      </c>
      <c r="Q52">
        <f>VLOOKUP(J52,D_马仔培养宝物!$W$2:$AC$64,6,FALSE)+VLOOKUP(K52,D_马仔培养宝物!$W$2:$AC$64,6,FALSE)+VLOOKUP(L52,D_马仔培养宝物!$W$2:$AC$64,6,FALSE)+VLOOKUP(M52,D_马仔培养宝物!$W$2:$AC$64,6,FALSE)+VLOOKUP(N52,D_马仔培养宝物!$W$2:$AC$64,6,FALSE)+VLOOKUP(O52,D_马仔培养宝物!$W$2:$AC$64,6,FALSE)</f>
        <v>10</v>
      </c>
      <c r="R52">
        <f>VLOOKUP(J52,D_马仔培养宝物!$W$2:$AC$64,7,FALSE)+VLOOKUP(K52,D_马仔培养宝物!$W$2:$AC$64,7,FALSE)+VLOOKUP(L52,D_马仔培养宝物!$W$2:$AC$64,7,FALSE)+VLOOKUP(M52,D_马仔培养宝物!$W$2:$AC$64,7,FALSE)+VLOOKUP(N52,D_马仔培养宝物!$W$2:$AC$64,7,FALSE)+VLOOKUP(O52,D_马仔培养宝物!$W$2:$AC$64,7,FALSE)</f>
        <v>44</v>
      </c>
    </row>
    <row r="53" spans="3:18">
      <c r="C53" s="5">
        <f t="array" aca="1" ref="C53" ca="1">OFFSET(D_马仔培养宝物!$W$1,SMALL(IF(D_马仔培养宝物!$Z$2:$Z$64=D_马仔培养宝物!$E53,ROW($C$2:$H$64),""),RANDBETWEEN(1,VLOOKUP(D_马仔培养宝物!$E53,D_马仔培养宝物!$T$3:$U$7,2,FALSE)))-1,0)</f>
        <v>92245</v>
      </c>
      <c r="D53" s="5">
        <f t="array" aca="1" ref="D53" ca="1">OFFSET(D_马仔培养宝物!$W$1,SMALL(IF(D_马仔培养宝物!$Z$2:$Z$64=D_马仔培养宝物!$E53,ROW($C$2:$H$64),""),RANDBETWEEN(1,VLOOKUP(D_马仔培养宝物!$E53,D_马仔培养宝物!$T$3:$U$7,2,FALSE)))-1,0)</f>
        <v>92251</v>
      </c>
      <c r="E53" s="5">
        <f t="array" aca="1" ref="E53" ca="1">OFFSET(D_马仔培养宝物!$W$1,SMALL(IF(D_马仔培养宝物!$Z$2:$Z$64=D_马仔培养宝物!$E53,ROW($C$2:$H$64),""),RANDBETWEEN(1,VLOOKUP(D_马仔培养宝物!$E53,D_马仔培养宝物!$T$3:$U$7,2,FALSE)))-1,0)</f>
        <v>92271</v>
      </c>
      <c r="F53" s="5">
        <f t="array" aca="1" ref="F53" ca="1">OFFSET(D_马仔培养宝物!$W$1,SMALL(IF(D_马仔培养宝物!$Z$2:$Z$64=D_马仔培养宝物!$E53,ROW($C$2:$H$64),""),RANDBETWEEN(1,VLOOKUP(D_马仔培养宝物!$E53,D_马仔培养宝物!$T$3:$U$7,2,FALSE)))-1,0)</f>
        <v>92278</v>
      </c>
      <c r="G53" s="5">
        <f t="array" aca="1" ref="G53" ca="1">OFFSET(D_马仔培养宝物!$W$1,SMALL(IF(D_马仔培养宝物!$Z$2:$Z$64=D_马仔培养宝物!$E53,ROW($C$2:$H$64),""),RANDBETWEEN(1,VLOOKUP(D_马仔培养宝物!$E53,D_马仔培养宝物!$T$3:$U$7,2,FALSE)))-1,0)</f>
        <v>92245</v>
      </c>
      <c r="H53" s="5">
        <f t="array" aca="1" ref="H53" ca="1">OFFSET(D_马仔培养宝物!$W$1,SMALL(IF(D_马仔培养宝物!$Z$2:$Z$64=D_马仔培养宝物!$E53,ROW($C$2:$H$64),""),RANDBETWEEN(1,VLOOKUP(D_马仔培养宝物!$E53,D_马仔培养宝物!$T$3:$U$7,2,FALSE)))-1,0)</f>
        <v>92233</v>
      </c>
      <c r="J53" s="5">
        <v>92121</v>
      </c>
      <c r="K53" s="5">
        <v>92287</v>
      </c>
      <c r="L53" s="5">
        <v>92235</v>
      </c>
      <c r="M53" s="5">
        <v>92273</v>
      </c>
      <c r="N53" s="5">
        <v>92271</v>
      </c>
      <c r="O53" s="5">
        <v>92228</v>
      </c>
      <c r="P53">
        <f>VLOOKUP(J53,D_马仔培养宝物!$W$2:$AC$64,5,FALSE)+VLOOKUP(K53,D_马仔培养宝物!$W$2:$AC$64,5,FALSE)+VLOOKUP(L53,D_马仔培养宝物!$W$2:$AC$64,5,FALSE)+VLOOKUP(M53,D_马仔培养宝物!$W$2:$AC$64,5,FALSE)+VLOOKUP(N53,D_马仔培养宝物!$W$2:$AC$64,5,FALSE)+VLOOKUP(O53,D_马仔培养宝物!$W$2:$AC$64,5,FALSE)</f>
        <v>1234</v>
      </c>
      <c r="Q53">
        <f>VLOOKUP(J53,D_马仔培养宝物!$W$2:$AC$64,6,FALSE)+VLOOKUP(K53,D_马仔培养宝物!$W$2:$AC$64,6,FALSE)+VLOOKUP(L53,D_马仔培养宝物!$W$2:$AC$64,6,FALSE)+VLOOKUP(M53,D_马仔培养宝物!$W$2:$AC$64,6,FALSE)+VLOOKUP(N53,D_马仔培养宝物!$W$2:$AC$64,6,FALSE)+VLOOKUP(O53,D_马仔培养宝物!$W$2:$AC$64,6,FALSE)</f>
        <v>62</v>
      </c>
      <c r="R53">
        <f>VLOOKUP(J53,D_马仔培养宝物!$W$2:$AC$64,7,FALSE)+VLOOKUP(K53,D_马仔培养宝物!$W$2:$AC$64,7,FALSE)+VLOOKUP(L53,D_马仔培养宝物!$W$2:$AC$64,7,FALSE)+VLOOKUP(M53,D_马仔培养宝物!$W$2:$AC$64,7,FALSE)+VLOOKUP(N53,D_马仔培养宝物!$W$2:$AC$64,7,FALSE)+VLOOKUP(O53,D_马仔培养宝物!$W$2:$AC$64,7,FALSE)</f>
        <v>26</v>
      </c>
    </row>
    <row r="54" spans="3:18">
      <c r="C54" s="5">
        <f t="array" aca="1" ref="C54" ca="1">OFFSET(D_马仔培养宝物!$W$1,SMALL(IF(D_马仔培养宝物!$Z$2:$Z$64=D_马仔培养宝物!$E54,ROW($C$2:$H$64),""),RANDBETWEEN(1,VLOOKUP(D_马仔培养宝物!$E54,D_马仔培养宝物!$T$3:$U$7,2,FALSE)))-1,0)</f>
        <v>92279</v>
      </c>
      <c r="D54" s="5">
        <f t="array" aca="1" ref="D54" ca="1">OFFSET(D_马仔培养宝物!$W$1,SMALL(IF(D_马仔培养宝物!$Z$2:$Z$64=D_马仔培养宝物!$E54,ROW($C$2:$H$64),""),RANDBETWEEN(1,VLOOKUP(D_马仔培养宝物!$E54,D_马仔培养宝物!$T$3:$U$7,2,FALSE)))-1,0)</f>
        <v>92012</v>
      </c>
      <c r="E54" s="5">
        <f t="array" aca="1" ref="E54" ca="1">OFFSET(D_马仔培养宝物!$W$1,SMALL(IF(D_马仔培养宝物!$Z$2:$Z$64=D_马仔培养宝物!$E54,ROW($C$2:$H$64),""),RANDBETWEEN(1,VLOOKUP(D_马仔培养宝物!$E54,D_马仔培养宝物!$T$3:$U$7,2,FALSE)))-1,0)</f>
        <v>92273</v>
      </c>
      <c r="F54" s="5">
        <f t="array" aca="1" ref="F54" ca="1">OFFSET(D_马仔培养宝物!$W$1,SMALL(IF(D_马仔培养宝物!$Z$2:$Z$64=D_马仔培养宝物!$E54,ROW($C$2:$H$64),""),RANDBETWEEN(1,VLOOKUP(D_马仔培养宝物!$E54,D_马仔培养宝物!$T$3:$U$7,2,FALSE)))-1,0)</f>
        <v>92124</v>
      </c>
      <c r="G54" s="5">
        <f t="array" aca="1" ref="G54" ca="1">OFFSET(D_马仔培养宝物!$W$1,SMALL(IF(D_马仔培养宝物!$Z$2:$Z$64=D_马仔培养宝物!$E54,ROW($C$2:$H$64),""),RANDBETWEEN(1,VLOOKUP(D_马仔培养宝物!$E54,D_马仔培养宝物!$T$3:$U$7,2,FALSE)))-1,0)</f>
        <v>92124</v>
      </c>
      <c r="H54" s="5">
        <f t="array" aca="1" ref="H54" ca="1">OFFSET(D_马仔培养宝物!$W$1,SMALL(IF(D_马仔培养宝物!$Z$2:$Z$64=D_马仔培养宝物!$E54,ROW($C$2:$H$64),""),RANDBETWEEN(1,VLOOKUP(D_马仔培养宝物!$E54,D_马仔培养宝物!$T$3:$U$7,2,FALSE)))-1,0)</f>
        <v>92124</v>
      </c>
      <c r="J54" s="5">
        <v>92134</v>
      </c>
      <c r="K54" s="5">
        <v>92282</v>
      </c>
      <c r="L54" s="5">
        <v>92262</v>
      </c>
      <c r="M54" s="5">
        <v>92141</v>
      </c>
      <c r="N54" s="5">
        <v>92284</v>
      </c>
      <c r="O54" s="5">
        <v>92142</v>
      </c>
      <c r="P54">
        <f>VLOOKUP(J54,D_马仔培养宝物!$W$2:$AC$64,5,FALSE)+VLOOKUP(K54,D_马仔培养宝物!$W$2:$AC$64,5,FALSE)+VLOOKUP(L54,D_马仔培养宝物!$W$2:$AC$64,5,FALSE)+VLOOKUP(M54,D_马仔培养宝物!$W$2:$AC$64,5,FALSE)+VLOOKUP(N54,D_马仔培养宝物!$W$2:$AC$64,5,FALSE)+VLOOKUP(O54,D_马仔培养宝物!$W$2:$AC$64,5,FALSE)</f>
        <v>1029</v>
      </c>
      <c r="Q54">
        <f>VLOOKUP(J54,D_马仔培养宝物!$W$2:$AC$64,6,FALSE)+VLOOKUP(K54,D_马仔培养宝物!$W$2:$AC$64,6,FALSE)+VLOOKUP(L54,D_马仔培养宝物!$W$2:$AC$64,6,FALSE)+VLOOKUP(M54,D_马仔培养宝物!$W$2:$AC$64,6,FALSE)+VLOOKUP(N54,D_马仔培养宝物!$W$2:$AC$64,6,FALSE)+VLOOKUP(O54,D_马仔培养宝物!$W$2:$AC$64,6,FALSE)</f>
        <v>335</v>
      </c>
      <c r="R54">
        <f>VLOOKUP(J54,D_马仔培养宝物!$W$2:$AC$64,7,FALSE)+VLOOKUP(K54,D_马仔培养宝物!$W$2:$AC$64,7,FALSE)+VLOOKUP(L54,D_马仔培养宝物!$W$2:$AC$64,7,FALSE)+VLOOKUP(M54,D_马仔培养宝物!$W$2:$AC$64,7,FALSE)+VLOOKUP(N54,D_马仔培养宝物!$W$2:$AC$64,7,FALSE)+VLOOKUP(O54,D_马仔培养宝物!$W$2:$AC$64,7,FALSE)</f>
        <v>13</v>
      </c>
    </row>
    <row r="55" spans="3:18">
      <c r="C55" s="5">
        <f t="array" aca="1" ref="C55" ca="1">OFFSET(D_马仔培养宝物!$W$1,SMALL(IF(D_马仔培养宝物!$Z$2:$Z$64=D_马仔培养宝物!$E55,ROW($C$2:$H$64),""),RANDBETWEEN(1,VLOOKUP(D_马仔培养宝物!$E55,D_马仔培养宝物!$T$3:$U$7,2,FALSE)))-1,0)</f>
        <v>92279</v>
      </c>
      <c r="D55" s="5">
        <f t="array" aca="1" ref="D55" ca="1">OFFSET(D_马仔培养宝物!$W$1,SMALL(IF(D_马仔培养宝物!$Z$2:$Z$64=D_马仔培养宝物!$E55,ROW($C$2:$H$64),""),RANDBETWEEN(1,VLOOKUP(D_马仔培养宝物!$E55,D_马仔培养宝物!$T$3:$U$7,2,FALSE)))-1,0)</f>
        <v>92279</v>
      </c>
      <c r="E55" s="5">
        <f t="array" aca="1" ref="E55" ca="1">OFFSET(D_马仔培养宝物!$W$1,SMALL(IF(D_马仔培养宝物!$Z$2:$Z$64=D_马仔培养宝物!$E55,ROW($C$2:$H$64),""),RANDBETWEEN(1,VLOOKUP(D_马仔培养宝物!$E55,D_马仔培养宝物!$T$3:$U$7,2,FALSE)))-1,0)</f>
        <v>92235</v>
      </c>
      <c r="F55" s="5">
        <f t="array" aca="1" ref="F55" ca="1">OFFSET(D_马仔培养宝物!$W$1,SMALL(IF(D_马仔培养宝物!$Z$2:$Z$64=D_马仔培养宝物!$E55,ROW($C$2:$H$64),""),RANDBETWEEN(1,VLOOKUP(D_马仔培养宝物!$E55,D_马仔培养宝物!$T$3:$U$7,2,FALSE)))-1,0)</f>
        <v>92288</v>
      </c>
      <c r="G55" s="5">
        <f t="array" aca="1" ref="G55" ca="1">OFFSET(D_马仔培养宝物!$W$1,SMALL(IF(D_马仔培养宝物!$Z$2:$Z$64=D_马仔培养宝物!$E55,ROW($C$2:$H$64),""),RANDBETWEEN(1,VLOOKUP(D_马仔培养宝物!$E55,D_马仔培养宝物!$T$3:$U$7,2,FALSE)))-1,0)</f>
        <v>92142</v>
      </c>
      <c r="H55" s="5">
        <f t="array" aca="1" ref="H55" ca="1">OFFSET(D_马仔培养宝物!$W$1,SMALL(IF(D_马仔培养宝物!$Z$2:$Z$64=D_马仔培养宝物!$E55,ROW($C$2:$H$64),""),RANDBETWEEN(1,VLOOKUP(D_马仔培养宝物!$E55,D_马仔培养宝物!$T$3:$U$7,2,FALSE)))-1,0)</f>
        <v>92279</v>
      </c>
      <c r="J55" s="5">
        <v>92142</v>
      </c>
      <c r="K55" s="5">
        <v>92141</v>
      </c>
      <c r="L55" s="5">
        <v>92282</v>
      </c>
      <c r="M55" s="5">
        <v>92284</v>
      </c>
      <c r="N55" s="5">
        <v>92283</v>
      </c>
      <c r="O55" s="5">
        <v>92134</v>
      </c>
      <c r="P55">
        <f>VLOOKUP(J55,D_马仔培养宝物!$W$2:$AC$64,5,FALSE)+VLOOKUP(K55,D_马仔培养宝物!$W$2:$AC$64,5,FALSE)+VLOOKUP(L55,D_马仔培养宝物!$W$2:$AC$64,5,FALSE)+VLOOKUP(M55,D_马仔培养宝物!$W$2:$AC$64,5,FALSE)+VLOOKUP(N55,D_马仔培养宝物!$W$2:$AC$64,5,FALSE)+VLOOKUP(O55,D_马仔培养宝物!$W$2:$AC$64,5,FALSE)</f>
        <v>1029</v>
      </c>
      <c r="Q55">
        <f>VLOOKUP(J55,D_马仔培养宝物!$W$2:$AC$64,6,FALSE)+VLOOKUP(K55,D_马仔培养宝物!$W$2:$AC$64,6,FALSE)+VLOOKUP(L55,D_马仔培养宝物!$W$2:$AC$64,6,FALSE)+VLOOKUP(M55,D_马仔培养宝物!$W$2:$AC$64,6,FALSE)+VLOOKUP(N55,D_马仔培养宝物!$W$2:$AC$64,6,FALSE)+VLOOKUP(O55,D_马仔培养宝物!$W$2:$AC$64,6,FALSE)</f>
        <v>230</v>
      </c>
      <c r="R55">
        <f>VLOOKUP(J55,D_马仔培养宝物!$W$2:$AC$64,7,FALSE)+VLOOKUP(K55,D_马仔培养宝物!$W$2:$AC$64,7,FALSE)+VLOOKUP(L55,D_马仔培养宝物!$W$2:$AC$64,7,FALSE)+VLOOKUP(M55,D_马仔培养宝物!$W$2:$AC$64,7,FALSE)+VLOOKUP(N55,D_马仔培养宝物!$W$2:$AC$64,7,FALSE)+VLOOKUP(O55,D_马仔培养宝物!$W$2:$AC$64,7,FALSE)</f>
        <v>26</v>
      </c>
    </row>
    <row r="56" spans="3:18">
      <c r="C56" s="5">
        <f t="array" aca="1" ref="C56" ca="1">OFFSET(D_马仔培养宝物!$W$1,SMALL(IF(D_马仔培养宝物!$Z$2:$Z$64=D_马仔培养宝物!$E56,ROW($C$2:$H$64),""),RANDBETWEEN(1,VLOOKUP(D_马仔培养宝物!$E56,D_马仔培养宝物!$T$3:$U$7,2,FALSE)))-1,0)</f>
        <v>92236</v>
      </c>
      <c r="D56" s="5">
        <f t="array" aca="1" ref="D56" ca="1">OFFSET(D_马仔培养宝物!$W$1,SMALL(IF(D_马仔培养宝物!$Z$2:$Z$64=D_马仔培养宝物!$E56,ROW($C$2:$H$64),""),RANDBETWEEN(1,VLOOKUP(D_马仔培养宝物!$E56,D_马仔培养宝物!$T$3:$U$7,2,FALSE)))-1,0)</f>
        <v>92227</v>
      </c>
      <c r="E56" s="5">
        <f t="array" aca="1" ref="E56" ca="1">OFFSET(D_马仔培养宝物!$W$1,SMALL(IF(D_马仔培养宝物!$Z$2:$Z$64=D_马仔培养宝物!$E56,ROW($C$2:$H$64),""),RANDBETWEEN(1,VLOOKUP(D_马仔培养宝物!$E56,D_马仔培养宝物!$T$3:$U$7,2,FALSE)))-1,0)</f>
        <v>92253</v>
      </c>
      <c r="F56" s="5">
        <f t="array" aca="1" ref="F56" ca="1">OFFSET(D_马仔培养宝物!$W$1,SMALL(IF(D_马仔培养宝物!$Z$2:$Z$64=D_马仔培养宝物!$E56,ROW($C$2:$H$64),""),RANDBETWEEN(1,VLOOKUP(D_马仔培养宝物!$E56,D_马仔培养宝物!$T$3:$U$7,2,FALSE)))-1,0)</f>
        <v>92134</v>
      </c>
      <c r="G56" s="5">
        <f t="array" aca="1" ref="G56" ca="1">OFFSET(D_马仔培养宝物!$W$1,SMALL(IF(D_马仔培养宝物!$Z$2:$Z$64=D_马仔培养宝物!$E56,ROW($C$2:$H$64),""),RANDBETWEEN(1,VLOOKUP(D_马仔培养宝物!$E56,D_马仔培养宝物!$T$3:$U$7,2,FALSE)))-1,0)</f>
        <v>92274</v>
      </c>
      <c r="H56" s="5">
        <f t="array" aca="1" ref="H56" ca="1">OFFSET(D_马仔培养宝物!$W$1,SMALL(IF(D_马仔培养宝物!$Z$2:$Z$64=D_马仔培养宝物!$E56,ROW($C$2:$H$64),""),RANDBETWEEN(1,VLOOKUP(D_马仔培养宝物!$E56,D_马仔培养宝物!$T$3:$U$7,2,FALSE)))-1,0)</f>
        <v>92236</v>
      </c>
      <c r="J56" s="5">
        <v>92281</v>
      </c>
      <c r="K56" s="5">
        <v>92263</v>
      </c>
      <c r="L56" s="5">
        <v>92261</v>
      </c>
      <c r="M56" s="5">
        <v>92280</v>
      </c>
      <c r="N56" s="5">
        <v>92279</v>
      </c>
      <c r="O56" s="5">
        <v>92275</v>
      </c>
      <c r="P56">
        <f>VLOOKUP(J56,D_马仔培养宝物!$W$2:$AC$64,5,FALSE)+VLOOKUP(K56,D_马仔培养宝物!$W$2:$AC$64,5,FALSE)+VLOOKUP(L56,D_马仔培养宝物!$W$2:$AC$64,5,FALSE)+VLOOKUP(M56,D_马仔培养宝物!$W$2:$AC$64,5,FALSE)+VLOOKUP(N56,D_马仔培养宝物!$W$2:$AC$64,5,FALSE)+VLOOKUP(O56,D_马仔培养宝物!$W$2:$AC$64,5,FALSE)</f>
        <v>3292</v>
      </c>
      <c r="Q56">
        <f>VLOOKUP(J56,D_马仔培养宝物!$W$2:$AC$64,6,FALSE)+VLOOKUP(K56,D_马仔培养宝物!$W$2:$AC$64,6,FALSE)+VLOOKUP(L56,D_马仔培养宝物!$W$2:$AC$64,6,FALSE)+VLOOKUP(M56,D_马仔培养宝物!$W$2:$AC$64,6,FALSE)+VLOOKUP(N56,D_马仔培养宝物!$W$2:$AC$64,6,FALSE)+VLOOKUP(O56,D_马仔培养宝物!$W$2:$AC$64,6,FALSE)</f>
        <v>104</v>
      </c>
      <c r="R56">
        <f>VLOOKUP(J56,D_马仔培养宝物!$W$2:$AC$64,7,FALSE)+VLOOKUP(K56,D_马仔培养宝物!$W$2:$AC$64,7,FALSE)+VLOOKUP(L56,D_马仔培养宝物!$W$2:$AC$64,7,FALSE)+VLOOKUP(M56,D_马仔培养宝物!$W$2:$AC$64,7,FALSE)+VLOOKUP(N56,D_马仔培养宝物!$W$2:$AC$64,7,FALSE)+VLOOKUP(O56,D_马仔培养宝物!$W$2:$AC$64,7,FALSE)</f>
        <v>62</v>
      </c>
    </row>
    <row r="57" spans="3:18">
      <c r="C57" s="5">
        <f t="array" aca="1" ref="C57" ca="1">OFFSET(D_马仔培养宝物!$W$1,SMALL(IF(D_马仔培养宝物!$Z$2:$Z$64=D_马仔培养宝物!$E57,ROW($C$2:$H$64),""),RANDBETWEEN(1,VLOOKUP(D_马仔培养宝物!$E57,D_马仔培养宝物!$T$3:$U$7,2,FALSE)))-1,0)</f>
        <v>92289</v>
      </c>
      <c r="D57" s="5">
        <f t="array" aca="1" ref="D57" ca="1">OFFSET(D_马仔培养宝物!$W$1,SMALL(IF(D_马仔培养宝物!$Z$2:$Z$64=D_马仔培养宝物!$E57,ROW($C$2:$H$64),""),RANDBETWEEN(1,VLOOKUP(D_马仔培养宝物!$E57,D_马仔培养宝物!$T$3:$U$7,2,FALSE)))-1,0)</f>
        <v>92134</v>
      </c>
      <c r="E57" s="5">
        <f t="array" aca="1" ref="E57" ca="1">OFFSET(D_马仔培养宝物!$W$1,SMALL(IF(D_马仔培养宝物!$Z$2:$Z$64=D_马仔培养宝物!$E57,ROW($C$2:$H$64),""),RANDBETWEEN(1,VLOOKUP(D_马仔培养宝物!$E57,D_马仔培养宝物!$T$3:$U$7,2,FALSE)))-1,0)</f>
        <v>92280</v>
      </c>
      <c r="F57" s="5">
        <f t="array" aca="1" ref="F57" ca="1">OFFSET(D_马仔培养宝物!$W$1,SMALL(IF(D_马仔培养宝物!$Z$2:$Z$64=D_马仔培养宝物!$E57,ROW($C$2:$H$64),""),RANDBETWEEN(1,VLOOKUP(D_马仔培养宝物!$E57,D_马仔培养宝物!$T$3:$U$7,2,FALSE)))-1,0)</f>
        <v>92125</v>
      </c>
      <c r="G57" s="5">
        <f t="array" aca="1" ref="G57" ca="1">OFFSET(D_马仔培养宝物!$W$1,SMALL(IF(D_马仔培养宝物!$Z$2:$Z$64=D_马仔培养宝物!$E57,ROW($C$2:$H$64),""),RANDBETWEEN(1,VLOOKUP(D_马仔培养宝物!$E57,D_马仔培养宝物!$T$3:$U$7,2,FALSE)))-1,0)</f>
        <v>92253</v>
      </c>
      <c r="H57" s="5">
        <f t="array" aca="1" ref="H57" ca="1">OFFSET(D_马仔培养宝物!$W$1,SMALL(IF(D_马仔培养宝物!$Z$2:$Z$64=D_马仔培养宝物!$E57,ROW($C$2:$H$64),""),RANDBETWEEN(1,VLOOKUP(D_马仔培养宝物!$E57,D_马仔培养宝物!$T$3:$U$7,2,FALSE)))-1,0)</f>
        <v>92280</v>
      </c>
      <c r="J57" s="5">
        <v>92277</v>
      </c>
      <c r="K57" s="5">
        <v>92263</v>
      </c>
      <c r="L57" s="5">
        <v>92264</v>
      </c>
      <c r="M57" s="5">
        <v>92276</v>
      </c>
      <c r="N57" s="5">
        <v>92281</v>
      </c>
      <c r="O57" s="5">
        <v>92261</v>
      </c>
      <c r="P57">
        <f>VLOOKUP(J57,D_马仔培养宝物!$W$2:$AC$64,5,FALSE)+VLOOKUP(K57,D_马仔培养宝物!$W$2:$AC$64,5,FALSE)+VLOOKUP(L57,D_马仔培养宝物!$W$2:$AC$64,5,FALSE)+VLOOKUP(M57,D_马仔培养宝物!$W$2:$AC$64,5,FALSE)+VLOOKUP(N57,D_马仔培养宝物!$W$2:$AC$64,5,FALSE)+VLOOKUP(O57,D_马仔培养宝物!$W$2:$AC$64,5,FALSE)</f>
        <v>2058</v>
      </c>
      <c r="Q57">
        <f>VLOOKUP(J57,D_马仔培养宝物!$W$2:$AC$64,6,FALSE)+VLOOKUP(K57,D_马仔培养宝物!$W$2:$AC$64,6,FALSE)+VLOOKUP(L57,D_马仔培养宝物!$W$2:$AC$64,6,FALSE)+VLOOKUP(M57,D_马仔培养宝物!$W$2:$AC$64,6,FALSE)+VLOOKUP(N57,D_马仔培养宝物!$W$2:$AC$64,6,FALSE)+VLOOKUP(O57,D_马仔培养宝物!$W$2:$AC$64,6,FALSE)</f>
        <v>104</v>
      </c>
      <c r="R57">
        <f>VLOOKUP(J57,D_马仔培养宝物!$W$2:$AC$64,7,FALSE)+VLOOKUP(K57,D_马仔培养宝物!$W$2:$AC$64,7,FALSE)+VLOOKUP(L57,D_马仔培养宝物!$W$2:$AC$64,7,FALSE)+VLOOKUP(M57,D_马仔培养宝物!$W$2:$AC$64,7,FALSE)+VLOOKUP(N57,D_马仔培养宝物!$W$2:$AC$64,7,FALSE)+VLOOKUP(O57,D_马仔培养宝物!$W$2:$AC$64,7,FALSE)</f>
        <v>57</v>
      </c>
    </row>
    <row r="58" spans="3:18">
      <c r="C58" s="5">
        <f t="array" aca="1" ref="C58" ca="1">OFFSET(D_马仔培养宝物!$W$1,SMALL(IF(D_马仔培养宝物!$Z$2:$Z$64=D_马仔培养宝物!$E58,ROW($C$2:$H$64),""),RANDBETWEEN(1,VLOOKUP(D_马仔培养宝物!$E58,D_马仔培养宝物!$T$3:$U$7,2,FALSE)))-1,0)</f>
        <v>92261</v>
      </c>
      <c r="D58" s="5">
        <f t="array" aca="1" ref="D58" ca="1">OFFSET(D_马仔培养宝物!$W$1,SMALL(IF(D_马仔培养宝物!$Z$2:$Z$64=D_马仔培养宝物!$E58,ROW($C$2:$H$64),""),RANDBETWEEN(1,VLOOKUP(D_马仔培养宝物!$E58,D_马仔培养宝物!$T$3:$U$7,2,FALSE)))-1,0)</f>
        <v>92240</v>
      </c>
      <c r="E58" s="5">
        <f t="array" aca="1" ref="E58" ca="1">OFFSET(D_马仔培养宝物!$W$1,SMALL(IF(D_马仔培养宝物!$Z$2:$Z$64=D_马仔培养宝物!$E58,ROW($C$2:$H$64),""),RANDBETWEEN(1,VLOOKUP(D_马仔培养宝物!$E58,D_马仔培养宝物!$T$3:$U$7,2,FALSE)))-1,0)</f>
        <v>92293</v>
      </c>
      <c r="F58" s="5">
        <f t="array" aca="1" ref="F58" ca="1">OFFSET(D_马仔培养宝物!$W$1,SMALL(IF(D_马仔培养宝物!$Z$2:$Z$64=D_马仔培养宝物!$E58,ROW($C$2:$H$64),""),RANDBETWEEN(1,VLOOKUP(D_马仔培养宝物!$E58,D_马仔培养宝物!$T$3:$U$7,2,FALSE)))-1,0)</f>
        <v>92294</v>
      </c>
      <c r="G58" s="5">
        <f t="array" aca="1" ref="G58" ca="1">OFFSET(D_马仔培养宝物!$W$1,SMALL(IF(D_马仔培养宝物!$Z$2:$Z$64=D_马仔培养宝物!$E58,ROW($C$2:$H$64),""),RANDBETWEEN(1,VLOOKUP(D_马仔培养宝物!$E58,D_马仔培养宝物!$T$3:$U$7,2,FALSE)))-1,0)</f>
        <v>92290</v>
      </c>
      <c r="H58" s="5">
        <f t="array" aca="1" ref="H58" ca="1">OFFSET(D_马仔培养宝物!$W$1,SMALL(IF(D_马仔培养宝物!$Z$2:$Z$64=D_马仔培养宝物!$E58,ROW($C$2:$H$64),""),RANDBETWEEN(1,VLOOKUP(D_马仔培养宝物!$E58,D_马仔培养宝物!$T$3:$U$7,2,FALSE)))-1,0)</f>
        <v>92276</v>
      </c>
      <c r="J58" s="5">
        <v>92297</v>
      </c>
      <c r="K58" s="5">
        <v>92296</v>
      </c>
      <c r="L58" s="5">
        <v>92295</v>
      </c>
      <c r="M58" s="5">
        <v>92293</v>
      </c>
      <c r="N58" s="5">
        <v>92299</v>
      </c>
      <c r="O58" s="5">
        <v>92245</v>
      </c>
      <c r="P58">
        <f>VLOOKUP(J58,D_马仔培养宝物!$W$2:$AC$64,5,FALSE)+VLOOKUP(K58,D_马仔培养宝物!$W$2:$AC$64,5,FALSE)+VLOOKUP(L58,D_马仔培养宝物!$W$2:$AC$64,5,FALSE)+VLOOKUP(M58,D_马仔培养宝物!$W$2:$AC$64,5,FALSE)+VLOOKUP(N58,D_马仔培养宝物!$W$2:$AC$64,5,FALSE)+VLOOKUP(O58,D_马仔培养宝物!$W$2:$AC$64,5,FALSE)</f>
        <v>4733</v>
      </c>
      <c r="Q58">
        <f>VLOOKUP(J58,D_马仔培养宝物!$W$2:$AC$64,6,FALSE)+VLOOKUP(K58,D_马仔培养宝物!$W$2:$AC$64,6,FALSE)+VLOOKUP(L58,D_马仔培养宝物!$W$2:$AC$64,6,FALSE)+VLOOKUP(M58,D_马仔培养宝物!$W$2:$AC$64,6,FALSE)+VLOOKUP(N58,D_马仔培养宝物!$W$2:$AC$64,6,FALSE)+VLOOKUP(O58,D_马仔培养宝物!$W$2:$AC$64,6,FALSE)</f>
        <v>199</v>
      </c>
      <c r="R58">
        <f>VLOOKUP(J58,D_马仔培养宝物!$W$2:$AC$64,7,FALSE)+VLOOKUP(K58,D_马仔培养宝物!$W$2:$AC$64,7,FALSE)+VLOOKUP(L58,D_马仔培养宝物!$W$2:$AC$64,7,FALSE)+VLOOKUP(M58,D_马仔培养宝物!$W$2:$AC$64,7,FALSE)+VLOOKUP(N58,D_马仔培养宝物!$W$2:$AC$64,7,FALSE)+VLOOKUP(O58,D_马仔培养宝物!$W$2:$AC$64,7,FALSE)</f>
        <v>44</v>
      </c>
    </row>
    <row r="59" spans="3:18">
      <c r="C59" s="5">
        <f t="array" aca="1" ref="C59" ca="1">OFFSET(D_马仔培养宝物!$W$1,SMALL(IF(D_马仔培养宝物!$Z$2:$Z$64=D_马仔培养宝物!$E59,ROW($C$2:$H$64),""),RANDBETWEEN(1,VLOOKUP(D_马仔培养宝物!$E59,D_马仔培养宝物!$T$3:$U$7,2,FALSE)))-1,0)</f>
        <v>92292</v>
      </c>
      <c r="D59" s="5">
        <f t="array" aca="1" ref="D59" ca="1">OFFSET(D_马仔培养宝物!$W$1,SMALL(IF(D_马仔培养宝物!$Z$2:$Z$64=D_马仔培养宝物!$E59,ROW($C$2:$H$64),""),RANDBETWEEN(1,VLOOKUP(D_马仔培养宝物!$E59,D_马仔培养宝物!$T$3:$U$7,2,FALSE)))-1,0)</f>
        <v>92240</v>
      </c>
      <c r="E59" s="5">
        <f t="array" aca="1" ref="E59" ca="1">OFFSET(D_马仔培养宝物!$W$1,SMALL(IF(D_马仔培养宝物!$Z$2:$Z$64=D_马仔培养宝物!$E59,ROW($C$2:$H$64),""),RANDBETWEEN(1,VLOOKUP(D_马仔培养宝物!$E59,D_马仔培养宝物!$T$3:$U$7,2,FALSE)))-1,0)</f>
        <v>92276</v>
      </c>
      <c r="F59" s="5">
        <f t="array" aca="1" ref="F59" ca="1">OFFSET(D_马仔培养宝物!$W$1,SMALL(IF(D_马仔培养宝物!$Z$2:$Z$64=D_马仔培养宝物!$E59,ROW($C$2:$H$64),""),RANDBETWEEN(1,VLOOKUP(D_马仔培养宝物!$E59,D_马仔培养宝物!$T$3:$U$7,2,FALSE)))-1,0)</f>
        <v>92296</v>
      </c>
      <c r="G59" s="5">
        <f t="array" aca="1" ref="G59" ca="1">OFFSET(D_马仔培养宝物!$W$1,SMALL(IF(D_马仔培养宝物!$Z$2:$Z$64=D_马仔培养宝物!$E59,ROW($C$2:$H$64),""),RANDBETWEEN(1,VLOOKUP(D_马仔培养宝物!$E59,D_马仔培养宝物!$T$3:$U$7,2,FALSE)))-1,0)</f>
        <v>92292</v>
      </c>
      <c r="H59" s="5">
        <f t="array" aca="1" ref="H59" ca="1">OFFSET(D_马仔培养宝物!$W$1,SMALL(IF(D_马仔培养宝物!$Z$2:$Z$64=D_马仔培养宝物!$E59,ROW($C$2:$H$64),""),RANDBETWEEN(1,VLOOKUP(D_马仔培养宝物!$E59,D_马仔培养宝物!$T$3:$U$7,2,FALSE)))-1,0)</f>
        <v>92282</v>
      </c>
      <c r="J59" s="5">
        <v>92254</v>
      </c>
      <c r="K59" s="5">
        <v>92245</v>
      </c>
      <c r="L59" s="5">
        <v>92244</v>
      </c>
      <c r="M59" s="5">
        <v>92252</v>
      </c>
      <c r="N59" s="5">
        <v>92294</v>
      </c>
      <c r="O59" s="5">
        <v>92251</v>
      </c>
      <c r="P59">
        <f>VLOOKUP(J59,D_马仔培养宝物!$W$2:$AC$64,5,FALSE)+VLOOKUP(K59,D_马仔培养宝物!$W$2:$AC$64,5,FALSE)+VLOOKUP(L59,D_马仔培养宝物!$W$2:$AC$64,5,FALSE)+VLOOKUP(M59,D_马仔培养宝物!$W$2:$AC$64,5,FALSE)+VLOOKUP(N59,D_马仔培养宝物!$W$2:$AC$64,5,FALSE)+VLOOKUP(O59,D_马仔培养宝物!$W$2:$AC$64,5,FALSE)</f>
        <v>823</v>
      </c>
      <c r="Q59">
        <f>VLOOKUP(J59,D_马仔培养宝物!$W$2:$AC$64,6,FALSE)+VLOOKUP(K59,D_马仔培养宝物!$W$2:$AC$64,6,FALSE)+VLOOKUP(L59,D_马仔培养宝物!$W$2:$AC$64,6,FALSE)+VLOOKUP(M59,D_马仔培养宝物!$W$2:$AC$64,6,FALSE)+VLOOKUP(N59,D_马仔培养宝物!$W$2:$AC$64,6,FALSE)+VLOOKUP(O59,D_马仔培养宝物!$W$2:$AC$64,6,FALSE)</f>
        <v>156</v>
      </c>
      <c r="R59">
        <f>VLOOKUP(J59,D_马仔培养宝物!$W$2:$AC$64,7,FALSE)+VLOOKUP(K59,D_马仔培养宝物!$W$2:$AC$64,7,FALSE)+VLOOKUP(L59,D_马仔培养宝物!$W$2:$AC$64,7,FALSE)+VLOOKUP(M59,D_马仔培养宝物!$W$2:$AC$64,7,FALSE)+VLOOKUP(N59,D_马仔培养宝物!$W$2:$AC$64,7,FALSE)+VLOOKUP(O59,D_马仔培养宝物!$W$2:$AC$64,7,FALSE)</f>
        <v>44</v>
      </c>
    </row>
    <row r="60" spans="3:18">
      <c r="C60" s="5">
        <f t="array" aca="1" ref="C60" ca="1">OFFSET(D_马仔培养宝物!$W$1,SMALL(IF(D_马仔培养宝物!$Z$2:$Z$64=D_马仔培养宝物!$E60,ROW($C$2:$H$64),""),RANDBETWEEN(1,VLOOKUP(D_马仔培养宝物!$E60,D_马仔培养宝物!$T$3:$U$7,2,FALSE)))-1,0)</f>
        <v>92255</v>
      </c>
      <c r="D60" s="5">
        <f t="array" aca="1" ref="D60" ca="1">OFFSET(D_马仔培养宝物!$W$1,SMALL(IF(D_马仔培养宝物!$Z$2:$Z$64=D_马仔培养宝物!$E60,ROW($C$2:$H$64),""),RANDBETWEEN(1,VLOOKUP(D_马仔培养宝物!$E60,D_马仔培养宝物!$T$3:$U$7,2,FALSE)))-1,0)</f>
        <v>92290</v>
      </c>
      <c r="E60" s="5">
        <f t="array" aca="1" ref="E60" ca="1">OFFSET(D_马仔培养宝物!$W$1,SMALL(IF(D_马仔培养宝物!$Z$2:$Z$64=D_马仔培养宝物!$E60,ROW($C$2:$H$64),""),RANDBETWEEN(1,VLOOKUP(D_马仔培养宝物!$E60,D_马仔培养宝物!$T$3:$U$7,2,FALSE)))-1,0)</f>
        <v>92296</v>
      </c>
      <c r="F60" s="5">
        <f t="array" aca="1" ref="F60" ca="1">OFFSET(D_马仔培养宝物!$W$1,SMALL(IF(D_马仔培养宝物!$Z$2:$Z$64=D_马仔培养宝物!$E60,ROW($C$2:$H$64),""),RANDBETWEEN(1,VLOOKUP(D_马仔培养宝物!$E60,D_马仔培养宝物!$T$3:$U$7,2,FALSE)))-1,0)</f>
        <v>92281</v>
      </c>
      <c r="G60" s="5">
        <f t="array" aca="1" ref="G60" ca="1">OFFSET(D_马仔培养宝物!$W$1,SMALL(IF(D_马仔培养宝物!$Z$2:$Z$64=D_马仔培养宝物!$E60,ROW($C$2:$H$64),""),RANDBETWEEN(1,VLOOKUP(D_马仔培养宝物!$E60,D_马仔培养宝物!$T$3:$U$7,2,FALSE)))-1,0)</f>
        <v>92297</v>
      </c>
      <c r="H60" s="5">
        <f t="array" aca="1" ref="H60" ca="1">OFFSET(D_马仔培养宝物!$W$1,SMALL(IF(D_马仔培养宝物!$Z$2:$Z$64=D_马仔培养宝物!$E60,ROW($C$2:$H$64),""),RANDBETWEEN(1,VLOOKUP(D_马仔培养宝物!$E60,D_马仔培养宝物!$T$3:$U$7,2,FALSE)))-1,0)</f>
        <v>92299</v>
      </c>
      <c r="J60" s="5">
        <v>92292</v>
      </c>
      <c r="K60" s="5">
        <v>92288</v>
      </c>
      <c r="L60" s="5">
        <v>92240</v>
      </c>
      <c r="M60" s="5">
        <v>92294</v>
      </c>
      <c r="N60" s="5">
        <v>92290</v>
      </c>
      <c r="O60" s="5">
        <v>92291</v>
      </c>
      <c r="P60">
        <f>VLOOKUP(J60,D_马仔培养宝物!$W$2:$AC$64,5,FALSE)+VLOOKUP(K60,D_马仔培养宝物!$W$2:$AC$64,5,FALSE)+VLOOKUP(L60,D_马仔培养宝物!$W$2:$AC$64,5,FALSE)+VLOOKUP(M60,D_马仔培养宝物!$W$2:$AC$64,5,FALSE)+VLOOKUP(N60,D_马仔培养宝物!$W$2:$AC$64,5,FALSE)+VLOOKUP(O60,D_马仔培养宝物!$W$2:$AC$64,5,FALSE)</f>
        <v>5762</v>
      </c>
      <c r="Q60">
        <f>VLOOKUP(J60,D_马仔培养宝物!$W$2:$AC$64,6,FALSE)+VLOOKUP(K60,D_马仔培养宝物!$W$2:$AC$64,6,FALSE)+VLOOKUP(L60,D_马仔培养宝物!$W$2:$AC$64,6,FALSE)+VLOOKUP(M60,D_马仔培养宝物!$W$2:$AC$64,6,FALSE)+VLOOKUP(N60,D_马仔培养宝物!$W$2:$AC$64,6,FALSE)+VLOOKUP(O60,D_马仔培养宝物!$W$2:$AC$64,6,FALSE)</f>
        <v>52</v>
      </c>
      <c r="R60">
        <f>VLOOKUP(J60,D_马仔培养宝物!$W$2:$AC$64,7,FALSE)+VLOOKUP(K60,D_马仔培养宝物!$W$2:$AC$64,7,FALSE)+VLOOKUP(L60,D_马仔培养宝物!$W$2:$AC$64,7,FALSE)+VLOOKUP(M60,D_马仔培养宝物!$W$2:$AC$64,7,FALSE)+VLOOKUP(N60,D_马仔培养宝物!$W$2:$AC$64,7,FALSE)+VLOOKUP(O60,D_马仔培养宝物!$W$2:$AC$64,7,FALSE)</f>
        <v>84</v>
      </c>
    </row>
    <row r="61" spans="3:18" ht="14.25" thickBot="1">
      <c r="C61" s="22">
        <f t="array" aca="1" ref="C61" ca="1">OFFSET(D_马仔培养宝物!$W$1,SMALL(IF(D_马仔培养宝物!$Z$2:$Z$64=D_马仔培养宝物!$E61,ROW($C$2:$H$64),""),RANDBETWEEN(1,VLOOKUP(D_马仔培养宝物!$E61,D_马仔培养宝物!$T$3:$U$7,2,FALSE)))-1,0)</f>
        <v>92299</v>
      </c>
      <c r="D61" s="22">
        <f t="array" aca="1" ref="D61" ca="1">OFFSET(D_马仔培养宝物!$W$1,SMALL(IF(D_马仔培养宝物!$Z$2:$Z$64=D_马仔培养宝物!$E61,ROW($C$2:$H$64),""),RANDBETWEEN(1,VLOOKUP(D_马仔培养宝物!$E61,D_马仔培养宝物!$T$3:$U$7,2,FALSE)))-1,0)</f>
        <v>92294</v>
      </c>
      <c r="E61" s="22">
        <f t="array" aca="1" ref="E61" ca="1">OFFSET(D_马仔培养宝物!$W$1,SMALL(IF(D_马仔培养宝物!$Z$2:$Z$64=D_马仔培养宝物!$E61,ROW($C$2:$H$64),""),RANDBETWEEN(1,VLOOKUP(D_马仔培养宝物!$E61,D_马仔培养宝物!$T$3:$U$7,2,FALSE)))-1,0)</f>
        <v>92296</v>
      </c>
      <c r="F61" s="22">
        <f t="array" aca="1" ref="F61" ca="1">OFFSET(D_马仔培养宝物!$W$1,SMALL(IF(D_马仔培养宝物!$Z$2:$Z$64=D_马仔培养宝物!$E61,ROW($C$2:$H$64),""),RANDBETWEEN(1,VLOOKUP(D_马仔培养宝物!$E61,D_马仔培养宝物!$T$3:$U$7,2,FALSE)))-1,0)</f>
        <v>92298</v>
      </c>
      <c r="G61" s="22">
        <f t="array" aca="1" ref="G61" ca="1">OFFSET(D_马仔培养宝物!$W$1,SMALL(IF(D_马仔培养宝物!$Z$2:$Z$64=D_马仔培养宝物!$E61,ROW($C$2:$H$64),""),RANDBETWEEN(1,VLOOKUP(D_马仔培养宝物!$E61,D_马仔培养宝物!$T$3:$U$7,2,FALSE)))-1,0)</f>
        <v>92262</v>
      </c>
      <c r="H61" s="22">
        <f t="array" aca="1" ref="H61" ca="1">OFFSET(D_马仔培养宝物!$W$1,SMALL(IF(D_马仔培养宝物!$Z$2:$Z$64=D_马仔培养宝物!$E61,ROW($C$2:$H$64),""),RANDBETWEEN(1,VLOOKUP(D_马仔培养宝物!$E61,D_马仔培养宝物!$T$3:$U$7,2,FALSE)))-1,0)</f>
        <v>92026</v>
      </c>
      <c r="J61" s="22">
        <v>92253</v>
      </c>
      <c r="K61" s="22">
        <v>92244</v>
      </c>
      <c r="L61" s="22">
        <v>92296</v>
      </c>
      <c r="M61" s="22">
        <v>92288</v>
      </c>
      <c r="N61" s="22">
        <v>92292</v>
      </c>
      <c r="O61" s="22">
        <v>92255</v>
      </c>
      <c r="P61">
        <f>VLOOKUP(J61,D_马仔培养宝物!$W$2:$AC$64,5,FALSE)+VLOOKUP(K61,D_马仔培养宝物!$W$2:$AC$64,5,FALSE)+VLOOKUP(L61,D_马仔培养宝物!$W$2:$AC$64,5,FALSE)+VLOOKUP(M61,D_马仔培养宝物!$W$2:$AC$64,5,FALSE)+VLOOKUP(N61,D_马仔培养宝物!$W$2:$AC$64,5,FALSE)+VLOOKUP(O61,D_马仔培养宝物!$W$2:$AC$64,5,FALSE)</f>
        <v>3498</v>
      </c>
      <c r="Q61">
        <f>VLOOKUP(J61,D_马仔培养宝物!$W$2:$AC$64,6,FALSE)+VLOOKUP(K61,D_马仔培养宝物!$W$2:$AC$64,6,FALSE)+VLOOKUP(L61,D_马仔培养宝物!$W$2:$AC$64,6,FALSE)+VLOOKUP(M61,D_马仔培养宝物!$W$2:$AC$64,6,FALSE)+VLOOKUP(N61,D_马仔培养宝物!$W$2:$AC$64,6,FALSE)+VLOOKUP(O61,D_马仔培养宝物!$W$2:$AC$64,6,FALSE)</f>
        <v>146</v>
      </c>
      <c r="R61">
        <f>VLOOKUP(J61,D_马仔培养宝物!$W$2:$AC$64,7,FALSE)+VLOOKUP(K61,D_马仔培养宝物!$W$2:$AC$64,7,FALSE)+VLOOKUP(L61,D_马仔培养宝物!$W$2:$AC$64,7,FALSE)+VLOOKUP(M61,D_马仔培养宝物!$W$2:$AC$64,7,FALSE)+VLOOKUP(N61,D_马仔培养宝物!$W$2:$AC$64,7,FALSE)+VLOOKUP(O61,D_马仔培养宝物!$W$2:$AC$64,7,FALSE)</f>
        <v>44</v>
      </c>
    </row>
    <row r="62" spans="3:18">
      <c r="C62" s="19">
        <f t="array" aca="1" ref="C62" ca="1">OFFSET(D_马仔培养宝物!$W$1,SMALL(IF(D_马仔培养宝物!$Z$2:$Z$64=D_马仔培养宝物!$E62,ROW($C$2:$H$64),""),RANDBETWEEN(1,VLOOKUP(D_马仔培养宝物!$E62,D_马仔培养宝物!$T$3:$U$7,2,FALSE)))-1,0)</f>
        <v>92228</v>
      </c>
      <c r="D62" s="19">
        <f t="array" aca="1" ref="D62" ca="1">OFFSET(D_马仔培养宝物!$W$1,SMALL(IF(D_马仔培养宝物!$Z$2:$Z$64=D_马仔培养宝物!$E62,ROW($C$2:$H$64),""),RANDBETWEEN(1,VLOOKUP(D_马仔培养宝物!$E62,D_马仔培养宝物!$T$3:$U$7,2,FALSE)))-1,0)</f>
        <v>92263</v>
      </c>
      <c r="E62" s="19">
        <f t="array" aca="1" ref="E62" ca="1">OFFSET(D_马仔培养宝物!$W$1,SMALL(IF(D_马仔培养宝物!$Z$2:$Z$64=D_马仔培养宝物!$E62,ROW($C$2:$H$64),""),RANDBETWEEN(1,VLOOKUP(D_马仔培养宝物!$E62,D_马仔培养宝物!$T$3:$U$7,2,FALSE)))-1,0)</f>
        <v>92243</v>
      </c>
      <c r="F62" s="19">
        <f t="array" aca="1" ref="F62" ca="1">OFFSET(D_马仔培养宝物!$W$1,SMALL(IF(D_马仔培养宝物!$Z$2:$Z$64=D_马仔培养宝物!$E62,ROW($C$2:$H$64),""),RANDBETWEEN(1,VLOOKUP(D_马仔培养宝物!$E62,D_马仔培养宝物!$T$3:$U$7,2,FALSE)))-1,0)</f>
        <v>92131</v>
      </c>
      <c r="G62" s="19">
        <f t="array" aca="1" ref="G62" ca="1">OFFSET(D_马仔培养宝物!$W$1,SMALL(IF(D_马仔培养宝物!$Z$2:$Z$64=D_马仔培养宝物!$E62,ROW($C$2:$H$64),""),RANDBETWEEN(1,VLOOKUP(D_马仔培养宝物!$E62,D_马仔培养宝物!$T$3:$U$7,2,FALSE)))-1,0)</f>
        <v>92131</v>
      </c>
      <c r="H62" s="19">
        <f t="array" aca="1" ref="H62" ca="1">OFFSET(D_马仔培养宝物!$W$1,SMALL(IF(D_马仔培养宝物!$Z$2:$Z$64=D_马仔培养宝物!$E62,ROW($C$2:$H$64),""),RANDBETWEEN(1,VLOOKUP(D_马仔培养宝物!$E62,D_马仔培养宝物!$T$3:$U$7,2,FALSE)))-1,0)</f>
        <v>92121</v>
      </c>
      <c r="J62" s="19">
        <v>92014</v>
      </c>
      <c r="K62" s="19">
        <v>92013</v>
      </c>
      <c r="L62" s="19">
        <v>92012</v>
      </c>
      <c r="M62" s="19">
        <v>92227</v>
      </c>
      <c r="N62" s="19">
        <v>92124</v>
      </c>
      <c r="O62" s="19">
        <v>92122</v>
      </c>
      <c r="P62">
        <f>VLOOKUP(J62,D_马仔培养宝物!$W$2:$AC$64,5,FALSE)+VLOOKUP(K62,D_马仔培养宝物!$W$2:$AC$64,5,FALSE)+VLOOKUP(L62,D_马仔培养宝物!$W$2:$AC$64,5,FALSE)+VLOOKUP(M62,D_马仔培养宝物!$W$2:$AC$64,5,FALSE)+VLOOKUP(N62,D_马仔培养宝物!$W$2:$AC$64,5,FALSE)+VLOOKUP(O62,D_马仔培养宝物!$W$2:$AC$64,5,FALSE)</f>
        <v>4321</v>
      </c>
      <c r="Q62">
        <f>VLOOKUP(J62,D_马仔培养宝物!$W$2:$AC$64,6,FALSE)+VLOOKUP(K62,D_马仔培养宝物!$W$2:$AC$64,6,FALSE)+VLOOKUP(L62,D_马仔培养宝物!$W$2:$AC$64,6,FALSE)+VLOOKUP(M62,D_马仔培养宝物!$W$2:$AC$64,6,FALSE)+VLOOKUP(N62,D_马仔培养宝物!$W$2:$AC$64,6,FALSE)+VLOOKUP(O62,D_马仔培养宝物!$W$2:$AC$64,6,FALSE)</f>
        <v>31</v>
      </c>
      <c r="R62">
        <f>VLOOKUP(J62,D_马仔培养宝物!$W$2:$AC$64,7,FALSE)+VLOOKUP(K62,D_马仔培养宝物!$W$2:$AC$64,7,FALSE)+VLOOKUP(L62,D_马仔培养宝物!$W$2:$AC$64,7,FALSE)+VLOOKUP(M62,D_马仔培养宝物!$W$2:$AC$64,7,FALSE)+VLOOKUP(N62,D_马仔培养宝物!$W$2:$AC$64,7,FALSE)+VLOOKUP(O62,D_马仔培养宝物!$W$2:$AC$64,7,FALSE)</f>
        <v>53</v>
      </c>
    </row>
    <row r="63" spans="3:18">
      <c r="C63" s="5">
        <f t="array" aca="1" ref="C63" ca="1">OFFSET(D_马仔培养宝物!$W$1,SMALL(IF(D_马仔培养宝物!$Z$2:$Z$64=D_马仔培养宝物!$E63,ROW($C$2:$H$64),""),RANDBETWEEN(1,VLOOKUP(D_马仔培养宝物!$E63,D_马仔培养宝物!$T$3:$U$7,2,FALSE)))-1,0)</f>
        <v>92243</v>
      </c>
      <c r="D63" s="5">
        <f t="array" aca="1" ref="D63" ca="1">OFFSET(D_马仔培养宝物!$W$1,SMALL(IF(D_马仔培养宝物!$Z$2:$Z$64=D_马仔培养宝物!$E63,ROW($C$2:$H$64),""),RANDBETWEEN(1,VLOOKUP(D_马仔培养宝物!$E63,D_马仔培养宝物!$T$3:$U$7,2,FALSE)))-1,0)</f>
        <v>92232</v>
      </c>
      <c r="E63" s="5">
        <f t="array" aca="1" ref="E63" ca="1">OFFSET(D_马仔培养宝物!$W$1,SMALL(IF(D_马仔培养宝物!$Z$2:$Z$64=D_马仔培养宝物!$E63,ROW($C$2:$H$64),""),RANDBETWEEN(1,VLOOKUP(D_马仔培养宝物!$E63,D_马仔培养宝物!$T$3:$U$7,2,FALSE)))-1,0)</f>
        <v>92228</v>
      </c>
      <c r="F63" s="5">
        <f t="array" aca="1" ref="F63" ca="1">OFFSET(D_马仔培养宝物!$W$1,SMALL(IF(D_马仔培养宝物!$Z$2:$Z$64=D_马仔培养宝物!$E63,ROW($C$2:$H$64),""),RANDBETWEEN(1,VLOOKUP(D_马仔培养宝物!$E63,D_马仔培养宝物!$T$3:$U$7,2,FALSE)))-1,0)</f>
        <v>92232</v>
      </c>
      <c r="G63" s="5">
        <f t="array" aca="1" ref="G63" ca="1">OFFSET(D_马仔培养宝物!$W$1,SMALL(IF(D_马仔培养宝物!$Z$2:$Z$64=D_马仔培养宝物!$E63,ROW($C$2:$H$64),""),RANDBETWEEN(1,VLOOKUP(D_马仔培养宝物!$E63,D_马仔培养宝物!$T$3:$U$7,2,FALSE)))-1,0)</f>
        <v>92011</v>
      </c>
      <c r="H63" s="5">
        <f t="array" aca="1" ref="H63" ca="1">OFFSET(D_马仔培养宝物!$W$1,SMALL(IF(D_马仔培养宝物!$Z$2:$Z$64=D_马仔培养宝物!$E63,ROW($C$2:$H$64),""),RANDBETWEEN(1,VLOOKUP(D_马仔培养宝物!$E63,D_马仔培养宝物!$T$3:$U$7,2,FALSE)))-1,0)</f>
        <v>92244</v>
      </c>
      <c r="J63" s="5">
        <v>92223</v>
      </c>
      <c r="K63" s="5">
        <v>92014</v>
      </c>
      <c r="L63" s="5">
        <v>92124</v>
      </c>
      <c r="M63" s="5">
        <v>92026</v>
      </c>
      <c r="N63" s="5">
        <v>92122</v>
      </c>
      <c r="O63" s="5">
        <v>92227</v>
      </c>
      <c r="P63">
        <f>VLOOKUP(J63,D_马仔培养宝物!$W$2:$AC$64,5,FALSE)+VLOOKUP(K63,D_马仔培养宝物!$W$2:$AC$64,5,FALSE)+VLOOKUP(L63,D_马仔培养宝物!$W$2:$AC$64,5,FALSE)+VLOOKUP(M63,D_马仔培养宝物!$W$2:$AC$64,5,FALSE)+VLOOKUP(N63,D_马仔培养宝物!$W$2:$AC$64,5,FALSE)+VLOOKUP(O63,D_马仔培养宝物!$W$2:$AC$64,5,FALSE)</f>
        <v>3292</v>
      </c>
      <c r="Q63">
        <f>VLOOKUP(J63,D_马仔培养宝物!$W$2:$AC$64,6,FALSE)+VLOOKUP(K63,D_马仔培养宝物!$W$2:$AC$64,6,FALSE)+VLOOKUP(L63,D_马仔培养宝物!$W$2:$AC$64,6,FALSE)+VLOOKUP(M63,D_马仔培养宝物!$W$2:$AC$64,6,FALSE)+VLOOKUP(N63,D_马仔培养宝物!$W$2:$AC$64,6,FALSE)+VLOOKUP(O63,D_马仔培养宝物!$W$2:$AC$64,6,FALSE)</f>
        <v>136</v>
      </c>
      <c r="R63">
        <f>VLOOKUP(J63,D_马仔培养宝物!$W$2:$AC$64,7,FALSE)+VLOOKUP(K63,D_马仔培养宝物!$W$2:$AC$64,7,FALSE)+VLOOKUP(L63,D_马仔培养宝物!$W$2:$AC$64,7,FALSE)+VLOOKUP(M63,D_马仔培养宝物!$W$2:$AC$64,7,FALSE)+VLOOKUP(N63,D_马仔培养宝物!$W$2:$AC$64,7,FALSE)+VLOOKUP(O63,D_马仔培养宝物!$W$2:$AC$64,7,FALSE)</f>
        <v>53</v>
      </c>
    </row>
    <row r="64" spans="3:18">
      <c r="C64" s="5">
        <f t="array" aca="1" ref="C64" ca="1">OFFSET(D_马仔培养宝物!$W$1,SMALL(IF(D_马仔培养宝物!$Z$2:$Z$64=D_马仔培养宝物!$E64,ROW($C$2:$H$64),""),RANDBETWEEN(1,VLOOKUP(D_马仔培养宝物!$E64,D_马仔培养宝物!$T$3:$U$7,2,FALSE)))-1,0)</f>
        <v>92122</v>
      </c>
      <c r="D64" s="5">
        <f t="array" aca="1" ref="D64" ca="1">OFFSET(D_马仔培养宝物!$W$1,SMALL(IF(D_马仔培养宝物!$Z$2:$Z$64=D_马仔培养宝物!$E64,ROW($C$2:$H$64),""),RANDBETWEEN(1,VLOOKUP(D_马仔培养宝物!$E64,D_马仔培养宝物!$T$3:$U$7,2,FALSE)))-1,0)</f>
        <v>92264</v>
      </c>
      <c r="E64" s="5">
        <f t="array" aca="1" ref="E64" ca="1">OFFSET(D_马仔培养宝物!$W$1,SMALL(IF(D_马仔培养宝物!$Z$2:$Z$64=D_马仔培养宝物!$E64,ROW($C$2:$H$64),""),RANDBETWEEN(1,VLOOKUP(D_马仔培养宝物!$E64,D_马仔培养宝物!$T$3:$U$7,2,FALSE)))-1,0)</f>
        <v>92278</v>
      </c>
      <c r="F64" s="5">
        <f t="array" aca="1" ref="F64" ca="1">OFFSET(D_马仔培养宝物!$W$1,SMALL(IF(D_马仔培养宝物!$Z$2:$Z$64=D_马仔培养宝物!$E64,ROW($C$2:$H$64),""),RANDBETWEEN(1,VLOOKUP(D_马仔培养宝物!$E64,D_马仔培养宝物!$T$3:$U$7,2,FALSE)))-1,0)</f>
        <v>92287</v>
      </c>
      <c r="G64" s="5">
        <f t="array" aca="1" ref="G64" ca="1">OFFSET(D_马仔培养宝物!$W$1,SMALL(IF(D_马仔培养宝物!$Z$2:$Z$64=D_马仔培养宝物!$E64,ROW($C$2:$H$64),""),RANDBETWEEN(1,VLOOKUP(D_马仔培养宝物!$E64,D_马仔培养宝物!$T$3:$U$7,2,FALSE)))-1,0)</f>
        <v>92264</v>
      </c>
      <c r="H64" s="5">
        <f t="array" aca="1" ref="H64" ca="1">OFFSET(D_马仔培养宝物!$W$1,SMALL(IF(D_马仔培养宝物!$Z$2:$Z$64=D_马仔培养宝物!$E64,ROW($C$2:$H$64),""),RANDBETWEEN(1,VLOOKUP(D_马仔培养宝物!$E64,D_马仔培养宝物!$T$3:$U$7,2,FALSE)))-1,0)</f>
        <v>92287</v>
      </c>
      <c r="J64" s="5">
        <v>92286</v>
      </c>
      <c r="K64" s="5">
        <v>92233</v>
      </c>
      <c r="L64" s="5">
        <v>92232</v>
      </c>
      <c r="M64" s="5">
        <v>92271</v>
      </c>
      <c r="N64" s="5">
        <v>92236</v>
      </c>
      <c r="O64" s="5">
        <v>92235</v>
      </c>
      <c r="P64">
        <f>VLOOKUP(J64,D_马仔培养宝物!$W$2:$AC$64,5,FALSE)+VLOOKUP(K64,D_马仔培养宝物!$W$2:$AC$64,5,FALSE)+VLOOKUP(L64,D_马仔培养宝物!$W$2:$AC$64,5,FALSE)+VLOOKUP(M64,D_马仔培养宝物!$W$2:$AC$64,5,FALSE)+VLOOKUP(N64,D_马仔培养宝物!$W$2:$AC$64,5,FALSE)+VLOOKUP(O64,D_马仔培养宝物!$W$2:$AC$64,5,FALSE)</f>
        <v>1440</v>
      </c>
      <c r="Q64">
        <f>VLOOKUP(J64,D_马仔培养宝物!$W$2:$AC$64,6,FALSE)+VLOOKUP(K64,D_马仔培养宝物!$W$2:$AC$64,6,FALSE)+VLOOKUP(L64,D_马仔培养宝物!$W$2:$AC$64,6,FALSE)+VLOOKUP(M64,D_马仔培养宝物!$W$2:$AC$64,6,FALSE)+VLOOKUP(N64,D_马仔培养宝物!$W$2:$AC$64,6,FALSE)+VLOOKUP(O64,D_马仔培养宝物!$W$2:$AC$64,6,FALSE)</f>
        <v>73</v>
      </c>
      <c r="R64">
        <f>VLOOKUP(J64,D_马仔培养宝物!$W$2:$AC$64,7,FALSE)+VLOOKUP(K64,D_马仔培养宝物!$W$2:$AC$64,7,FALSE)+VLOOKUP(L64,D_马仔培养宝物!$W$2:$AC$64,7,FALSE)+VLOOKUP(M64,D_马仔培养宝物!$W$2:$AC$64,7,FALSE)+VLOOKUP(N64,D_马仔培养宝物!$W$2:$AC$64,7,FALSE)+VLOOKUP(O64,D_马仔培养宝物!$W$2:$AC$64,7,FALSE)</f>
        <v>62</v>
      </c>
    </row>
    <row r="65" spans="3:18">
      <c r="C65" s="5">
        <f t="array" aca="1" ref="C65" ca="1">OFFSET(D_马仔培养宝物!$W$1,SMALL(IF(D_马仔培养宝物!$Z$2:$Z$64=D_马仔培养宝物!$E65,ROW($C$2:$H$64),""),RANDBETWEEN(1,VLOOKUP(D_马仔培养宝物!$E65,D_马仔培养宝物!$T$3:$U$7,2,FALSE)))-1,0)</f>
        <v>92271</v>
      </c>
      <c r="D65" s="5">
        <f t="array" aca="1" ref="D65" ca="1">OFFSET(D_马仔培养宝物!$W$1,SMALL(IF(D_马仔培养宝物!$Z$2:$Z$64=D_马仔培养宝物!$E65,ROW($C$2:$H$64),""),RANDBETWEEN(1,VLOOKUP(D_马仔培养宝物!$E65,D_马仔培养宝物!$T$3:$U$7,2,FALSE)))-1,0)</f>
        <v>92264</v>
      </c>
      <c r="E65" s="5">
        <f t="array" aca="1" ref="E65" ca="1">OFFSET(D_马仔培养宝物!$W$1,SMALL(IF(D_马仔培养宝物!$Z$2:$Z$64=D_马仔培养宝物!$E65,ROW($C$2:$H$64),""),RANDBETWEEN(1,VLOOKUP(D_马仔培养宝物!$E65,D_马仔培养宝物!$T$3:$U$7,2,FALSE)))-1,0)</f>
        <v>92283</v>
      </c>
      <c r="F65" s="5">
        <f t="array" aca="1" ref="F65" ca="1">OFFSET(D_马仔培养宝物!$W$1,SMALL(IF(D_马仔培养宝物!$Z$2:$Z$64=D_马仔培养宝物!$E65,ROW($C$2:$H$64),""),RANDBETWEEN(1,VLOOKUP(D_马仔培养宝物!$E65,D_马仔培养宝物!$T$3:$U$7,2,FALSE)))-1,0)</f>
        <v>92245</v>
      </c>
      <c r="G65" s="5">
        <f t="array" aca="1" ref="G65" ca="1">OFFSET(D_马仔培养宝物!$W$1,SMALL(IF(D_马仔培养宝物!$Z$2:$Z$64=D_马仔培养宝物!$E65,ROW($C$2:$H$64),""),RANDBETWEEN(1,VLOOKUP(D_马仔培养宝物!$E65,D_马仔培养宝物!$T$3:$U$7,2,FALSE)))-1,0)</f>
        <v>92287</v>
      </c>
      <c r="H65" s="5">
        <f t="array" aca="1" ref="H65" ca="1">OFFSET(D_马仔培养宝物!$W$1,SMALL(IF(D_马仔培养宝物!$Z$2:$Z$64=D_马仔培养宝物!$E65,ROW($C$2:$H$64),""),RANDBETWEEN(1,VLOOKUP(D_马仔培养宝物!$E65,D_马仔培养宝物!$T$3:$U$7,2,FALSE)))-1,0)</f>
        <v>92287</v>
      </c>
      <c r="J65" s="5">
        <v>92121</v>
      </c>
      <c r="K65" s="5">
        <v>92236</v>
      </c>
      <c r="L65" s="5">
        <v>92273</v>
      </c>
      <c r="M65" s="5">
        <v>92286</v>
      </c>
      <c r="N65" s="5">
        <v>92131</v>
      </c>
      <c r="O65" s="5">
        <v>92235</v>
      </c>
      <c r="P65">
        <f>VLOOKUP(J65,D_马仔培养宝物!$W$2:$AC$64,5,FALSE)+VLOOKUP(K65,D_马仔培养宝物!$W$2:$AC$64,5,FALSE)+VLOOKUP(L65,D_马仔培养宝物!$W$2:$AC$64,5,FALSE)+VLOOKUP(M65,D_马仔培养宝物!$W$2:$AC$64,5,FALSE)+VLOOKUP(N65,D_马仔培养宝物!$W$2:$AC$64,5,FALSE)+VLOOKUP(O65,D_马仔培养宝物!$W$2:$AC$64,5,FALSE)</f>
        <v>206</v>
      </c>
      <c r="Q65">
        <f>VLOOKUP(J65,D_马仔培养宝物!$W$2:$AC$64,6,FALSE)+VLOOKUP(K65,D_马仔培养宝物!$W$2:$AC$64,6,FALSE)+VLOOKUP(L65,D_马仔培养宝物!$W$2:$AC$64,6,FALSE)+VLOOKUP(M65,D_马仔培养宝物!$W$2:$AC$64,6,FALSE)+VLOOKUP(N65,D_马仔培养宝物!$W$2:$AC$64,6,FALSE)+VLOOKUP(O65,D_马仔培养宝物!$W$2:$AC$64,6,FALSE)</f>
        <v>135</v>
      </c>
      <c r="R65">
        <f>VLOOKUP(J65,D_马仔培养宝物!$W$2:$AC$64,7,FALSE)+VLOOKUP(K65,D_马仔培养宝物!$W$2:$AC$64,7,FALSE)+VLOOKUP(L65,D_马仔培养宝物!$W$2:$AC$64,7,FALSE)+VLOOKUP(M65,D_马仔培养宝物!$W$2:$AC$64,7,FALSE)+VLOOKUP(N65,D_马仔培养宝物!$W$2:$AC$64,7,FALSE)+VLOOKUP(O65,D_马仔培养宝物!$W$2:$AC$64,7,FALSE)</f>
        <v>62</v>
      </c>
    </row>
    <row r="66" spans="3:18">
      <c r="C66" s="5">
        <f t="array" aca="1" ref="C66" ca="1">OFFSET(D_马仔培养宝物!$W$1,SMALL(IF(D_马仔培养宝物!$Z$2:$Z$64=D_马仔培养宝物!$E66,ROW($C$2:$H$64),""),RANDBETWEEN(1,VLOOKUP(D_马仔培养宝物!$E66,D_马仔培养宝物!$T$3:$U$7,2,FALSE)))-1,0)</f>
        <v>92272</v>
      </c>
      <c r="D66" s="5">
        <f t="array" aca="1" ref="D66" ca="1">OFFSET(D_马仔培养宝物!$W$1,SMALL(IF(D_马仔培养宝物!$Z$2:$Z$64=D_马仔培养宝物!$E66,ROW($C$2:$H$64),""),RANDBETWEEN(1,VLOOKUP(D_马仔培养宝物!$E66,D_马仔培养宝物!$T$3:$U$7,2,FALSE)))-1,0)</f>
        <v>92272</v>
      </c>
      <c r="E66" s="5">
        <f t="array" aca="1" ref="E66" ca="1">OFFSET(D_马仔培养宝物!$W$1,SMALL(IF(D_马仔培养宝物!$Z$2:$Z$64=D_马仔培养宝物!$E66,ROW($C$2:$H$64),""),RANDBETWEEN(1,VLOOKUP(D_马仔培养宝物!$E66,D_马仔培养宝物!$T$3:$U$7,2,FALSE)))-1,0)</f>
        <v>92252</v>
      </c>
      <c r="F66" s="5">
        <f t="array" aca="1" ref="F66" ca="1">OFFSET(D_马仔培养宝物!$W$1,SMALL(IF(D_马仔培养宝物!$Z$2:$Z$64=D_马仔培养宝物!$E66,ROW($C$2:$H$64),""),RANDBETWEEN(1,VLOOKUP(D_马仔培养宝物!$E66,D_马仔培养宝物!$T$3:$U$7,2,FALSE)))-1,0)</f>
        <v>92288</v>
      </c>
      <c r="G66" s="5">
        <f t="array" aca="1" ref="G66" ca="1">OFFSET(D_马仔培养宝物!$W$1,SMALL(IF(D_马仔培养宝物!$Z$2:$Z$64=D_马仔培养宝物!$E66,ROW($C$2:$H$64),""),RANDBETWEEN(1,VLOOKUP(D_马仔培养宝物!$E66,D_马仔培养宝物!$T$3:$U$7,2,FALSE)))-1,0)</f>
        <v>92284</v>
      </c>
      <c r="H66" s="5">
        <f t="array" aca="1" ref="H66" ca="1">OFFSET(D_马仔培养宝物!$W$1,SMALL(IF(D_马仔培养宝物!$Z$2:$Z$64=D_马仔培养宝物!$E66,ROW($C$2:$H$64),""),RANDBETWEEN(1,VLOOKUP(D_马仔培养宝物!$E66,D_马仔培养宝物!$T$3:$U$7,2,FALSE)))-1,0)</f>
        <v>92284</v>
      </c>
      <c r="J66" s="5">
        <v>92283</v>
      </c>
      <c r="K66" s="5">
        <v>92284</v>
      </c>
      <c r="L66" s="5">
        <v>92285</v>
      </c>
      <c r="M66" s="5">
        <v>92262</v>
      </c>
      <c r="N66" s="5">
        <v>92141</v>
      </c>
      <c r="O66" s="5">
        <v>92134</v>
      </c>
      <c r="P66">
        <f>VLOOKUP(J66,D_马仔培养宝物!$W$2:$AC$64,5,FALSE)+VLOOKUP(K66,D_马仔培养宝物!$W$2:$AC$64,5,FALSE)+VLOOKUP(L66,D_马仔培养宝物!$W$2:$AC$64,5,FALSE)+VLOOKUP(M66,D_马仔培养宝物!$W$2:$AC$64,5,FALSE)+VLOOKUP(N66,D_马仔培养宝物!$W$2:$AC$64,5,FALSE)+VLOOKUP(O66,D_马仔培养宝物!$W$2:$AC$64,5,FALSE)</f>
        <v>1029</v>
      </c>
      <c r="Q66">
        <f>VLOOKUP(J66,D_马仔培养宝物!$W$2:$AC$64,6,FALSE)+VLOOKUP(K66,D_马仔培养宝物!$W$2:$AC$64,6,FALSE)+VLOOKUP(L66,D_马仔培养宝物!$W$2:$AC$64,6,FALSE)+VLOOKUP(M66,D_马仔培养宝物!$W$2:$AC$64,6,FALSE)+VLOOKUP(N66,D_马仔培养宝物!$W$2:$AC$64,6,FALSE)+VLOOKUP(O66,D_马仔培养宝物!$W$2:$AC$64,6,FALSE)</f>
        <v>251</v>
      </c>
      <c r="R66">
        <f>VLOOKUP(J66,D_马仔培养宝物!$W$2:$AC$64,7,FALSE)+VLOOKUP(K66,D_马仔培养宝物!$W$2:$AC$64,7,FALSE)+VLOOKUP(L66,D_马仔培养宝物!$W$2:$AC$64,7,FALSE)+VLOOKUP(M66,D_马仔培养宝物!$W$2:$AC$64,7,FALSE)+VLOOKUP(N66,D_马仔培养宝物!$W$2:$AC$64,7,FALSE)+VLOOKUP(O66,D_马仔培养宝物!$W$2:$AC$64,7,FALSE)</f>
        <v>26</v>
      </c>
    </row>
    <row r="67" spans="3:18">
      <c r="C67" s="5">
        <f t="array" aca="1" ref="C67" ca="1">OFFSET(D_马仔培养宝物!$W$1,SMALL(IF(D_马仔培养宝物!$Z$2:$Z$64=D_马仔培养宝物!$E67,ROW($C$2:$H$64),""),RANDBETWEEN(1,VLOOKUP(D_马仔培养宝物!$E67,D_马仔培养宝物!$T$3:$U$7,2,FALSE)))-1,0)</f>
        <v>92235</v>
      </c>
      <c r="D67" s="5">
        <f t="array" aca="1" ref="D67" ca="1">OFFSET(D_马仔培养宝物!$W$1,SMALL(IF(D_马仔培养宝物!$Z$2:$Z$64=D_马仔培养宝物!$E67,ROW($C$2:$H$64),""),RANDBETWEEN(1,VLOOKUP(D_马仔培养宝物!$E67,D_马仔培养宝物!$T$3:$U$7,2,FALSE)))-1,0)</f>
        <v>92284</v>
      </c>
      <c r="E67" s="5">
        <f t="array" aca="1" ref="E67" ca="1">OFFSET(D_马仔培养宝物!$W$1,SMALL(IF(D_马仔培养宝物!$Z$2:$Z$64=D_马仔培养宝物!$E67,ROW($C$2:$H$64),""),RANDBETWEEN(1,VLOOKUP(D_马仔培养宝物!$E67,D_马仔培养宝物!$T$3:$U$7,2,FALSE)))-1,0)</f>
        <v>92124</v>
      </c>
      <c r="F67" s="5">
        <f t="array" aca="1" ref="F67" ca="1">OFFSET(D_马仔培养宝物!$W$1,SMALL(IF(D_马仔培养宝物!$Z$2:$Z$64=D_马仔培养宝物!$E67,ROW($C$2:$H$64),""),RANDBETWEEN(1,VLOOKUP(D_马仔培养宝物!$E67,D_马仔培养宝物!$T$3:$U$7,2,FALSE)))-1,0)</f>
        <v>92012</v>
      </c>
      <c r="G67" s="5">
        <f t="array" aca="1" ref="G67" ca="1">OFFSET(D_马仔培养宝物!$W$1,SMALL(IF(D_马仔培养宝物!$Z$2:$Z$64=D_马仔培养宝物!$E67,ROW($C$2:$H$64),""),RANDBETWEEN(1,VLOOKUP(D_马仔培养宝物!$E67,D_马仔培养宝物!$T$3:$U$7,2,FALSE)))-1,0)</f>
        <v>92288</v>
      </c>
      <c r="H67" s="5">
        <f t="array" aca="1" ref="H67" ca="1">OFFSET(D_马仔培养宝物!$W$1,SMALL(IF(D_马仔培养宝物!$Z$2:$Z$64=D_马仔培养宝物!$E67,ROW($C$2:$H$64),""),RANDBETWEEN(1,VLOOKUP(D_马仔培养宝物!$E67,D_马仔培养宝物!$T$3:$U$7,2,FALSE)))-1,0)</f>
        <v>92288</v>
      </c>
      <c r="J67" s="5">
        <v>92283</v>
      </c>
      <c r="K67" s="5">
        <v>92282</v>
      </c>
      <c r="L67" s="5">
        <v>92285</v>
      </c>
      <c r="M67" s="5">
        <v>92142</v>
      </c>
      <c r="N67" s="5">
        <v>92134</v>
      </c>
      <c r="O67" s="5">
        <v>92262</v>
      </c>
      <c r="P67">
        <f>VLOOKUP(J67,D_马仔培养宝物!$W$2:$AC$64,5,FALSE)+VLOOKUP(K67,D_马仔培养宝物!$W$2:$AC$64,5,FALSE)+VLOOKUP(L67,D_马仔培养宝物!$W$2:$AC$64,5,FALSE)+VLOOKUP(M67,D_马仔培养宝物!$W$2:$AC$64,5,FALSE)+VLOOKUP(N67,D_马仔培养宝物!$W$2:$AC$64,5,FALSE)+VLOOKUP(O67,D_马仔培养宝物!$W$2:$AC$64,5,FALSE)</f>
        <v>0</v>
      </c>
      <c r="Q67">
        <f>VLOOKUP(J67,D_马仔培养宝物!$W$2:$AC$64,6,FALSE)+VLOOKUP(K67,D_马仔培养宝物!$W$2:$AC$64,6,FALSE)+VLOOKUP(L67,D_马仔培养宝物!$W$2:$AC$64,6,FALSE)+VLOOKUP(M67,D_马仔培养宝物!$W$2:$AC$64,6,FALSE)+VLOOKUP(N67,D_马仔培养宝物!$W$2:$AC$64,6,FALSE)+VLOOKUP(O67,D_马仔培养宝物!$W$2:$AC$64,6,FALSE)</f>
        <v>408</v>
      </c>
      <c r="R67">
        <f>VLOOKUP(J67,D_马仔培养宝物!$W$2:$AC$64,7,FALSE)+VLOOKUP(K67,D_马仔培养宝物!$W$2:$AC$64,7,FALSE)+VLOOKUP(L67,D_马仔培养宝物!$W$2:$AC$64,7,FALSE)+VLOOKUP(M67,D_马仔培养宝物!$W$2:$AC$64,7,FALSE)+VLOOKUP(N67,D_马仔培养宝物!$W$2:$AC$64,7,FALSE)+VLOOKUP(O67,D_马仔培养宝物!$W$2:$AC$64,7,FALSE)</f>
        <v>13</v>
      </c>
    </row>
    <row r="68" spans="3:18">
      <c r="C68" s="5">
        <f t="array" aca="1" ref="C68" ca="1">OFFSET(D_马仔培养宝物!$W$1,SMALL(IF(D_马仔培养宝物!$Z$2:$Z$64=D_马仔培养宝物!$E68,ROW($C$2:$H$64),""),RANDBETWEEN(1,VLOOKUP(D_马仔培养宝物!$E68,D_马仔培养宝物!$T$3:$U$7,2,FALSE)))-1,0)</f>
        <v>92227</v>
      </c>
      <c r="D68" s="5">
        <f t="array" aca="1" ref="D68" ca="1">OFFSET(D_马仔培养宝物!$W$1,SMALL(IF(D_马仔培养宝物!$Z$2:$Z$64=D_马仔培养宝物!$E68,ROW($C$2:$H$64),""),RANDBETWEEN(1,VLOOKUP(D_马仔培养宝物!$E68,D_马仔培养宝物!$T$3:$U$7,2,FALSE)))-1,0)</f>
        <v>92134</v>
      </c>
      <c r="E68" s="5">
        <f t="array" aca="1" ref="E68" ca="1">OFFSET(D_马仔培养宝物!$W$1,SMALL(IF(D_马仔培养宝物!$Z$2:$Z$64=D_马仔培养宝物!$E68,ROW($C$2:$H$64),""),RANDBETWEEN(1,VLOOKUP(D_马仔培养宝物!$E68,D_马仔培养宝物!$T$3:$U$7,2,FALSE)))-1,0)</f>
        <v>92125</v>
      </c>
      <c r="F68" s="5">
        <f t="array" aca="1" ref="F68" ca="1">OFFSET(D_马仔培养宝物!$W$1,SMALL(IF(D_马仔培养宝物!$Z$2:$Z$64=D_马仔培养宝物!$E68,ROW($C$2:$H$64),""),RANDBETWEEN(1,VLOOKUP(D_马仔培养宝物!$E68,D_马仔培养宝物!$T$3:$U$7,2,FALSE)))-1,0)</f>
        <v>92013</v>
      </c>
      <c r="G68" s="5">
        <f t="array" aca="1" ref="G68" ca="1">OFFSET(D_马仔培养宝物!$W$1,SMALL(IF(D_马仔培养宝物!$Z$2:$Z$64=D_马仔培养宝物!$E68,ROW($C$2:$H$64),""),RANDBETWEEN(1,VLOOKUP(D_马仔培养宝物!$E68,D_马仔培养宝物!$T$3:$U$7,2,FALSE)))-1,0)</f>
        <v>92289</v>
      </c>
      <c r="H68" s="5">
        <f t="array" aca="1" ref="H68" ca="1">OFFSET(D_马仔培养宝物!$W$1,SMALL(IF(D_马仔培养宝物!$Z$2:$Z$64=D_马仔培养宝物!$E68,ROW($C$2:$H$64),""),RANDBETWEEN(1,VLOOKUP(D_马仔培养宝物!$E68,D_马仔培养宝物!$T$3:$U$7,2,FALSE)))-1,0)</f>
        <v>92289</v>
      </c>
      <c r="J68" s="5">
        <v>92272</v>
      </c>
      <c r="K68" s="5">
        <v>92281</v>
      </c>
      <c r="L68" s="5">
        <v>92274</v>
      </c>
      <c r="M68" s="5">
        <v>92275</v>
      </c>
      <c r="N68" s="5">
        <v>92276</v>
      </c>
      <c r="O68" s="5">
        <v>92277</v>
      </c>
      <c r="P68">
        <f>VLOOKUP(J68,D_马仔培养宝物!$W$2:$AC$64,5,FALSE)+VLOOKUP(K68,D_马仔培养宝物!$W$2:$AC$64,5,FALSE)+VLOOKUP(L68,D_马仔培养宝物!$W$2:$AC$64,5,FALSE)+VLOOKUP(M68,D_马仔培养宝物!$W$2:$AC$64,5,FALSE)+VLOOKUP(N68,D_马仔培养宝物!$W$2:$AC$64,5,FALSE)+VLOOKUP(O68,D_马仔培养宝物!$W$2:$AC$64,5,FALSE)</f>
        <v>4939</v>
      </c>
      <c r="Q68">
        <f>VLOOKUP(J68,D_马仔培养宝物!$W$2:$AC$64,6,FALSE)+VLOOKUP(K68,D_马仔培养宝物!$W$2:$AC$64,6,FALSE)+VLOOKUP(L68,D_马仔培养宝物!$W$2:$AC$64,6,FALSE)+VLOOKUP(M68,D_马仔培养宝物!$W$2:$AC$64,6,FALSE)+VLOOKUP(N68,D_马仔培养宝物!$W$2:$AC$64,6,FALSE)+VLOOKUP(O68,D_马仔培养宝物!$W$2:$AC$64,6,FALSE)</f>
        <v>94</v>
      </c>
      <c r="R68">
        <f>VLOOKUP(J68,D_马仔培养宝物!$W$2:$AC$64,7,FALSE)+VLOOKUP(K68,D_马仔培养宝物!$W$2:$AC$64,7,FALSE)+VLOOKUP(L68,D_马仔培养宝物!$W$2:$AC$64,7,FALSE)+VLOOKUP(M68,D_马仔培养宝物!$W$2:$AC$64,7,FALSE)+VLOOKUP(N68,D_马仔培养宝物!$W$2:$AC$64,7,FALSE)+VLOOKUP(O68,D_马仔培养宝物!$W$2:$AC$64,7,FALSE)</f>
        <v>35</v>
      </c>
    </row>
    <row r="69" spans="3:18">
      <c r="C69" s="5">
        <f t="array" aca="1" ref="C69" ca="1">OFFSET(D_马仔培养宝物!$W$1,SMALL(IF(D_马仔培养宝物!$Z$2:$Z$64=D_马仔培养宝物!$E69,ROW($C$2:$H$64),""),RANDBETWEEN(1,VLOOKUP(D_马仔培养宝物!$E69,D_马仔培养宝物!$T$3:$U$7,2,FALSE)))-1,0)</f>
        <v>92013</v>
      </c>
      <c r="D69" s="5">
        <f t="array" aca="1" ref="D69" ca="1">OFFSET(D_马仔培养宝物!$W$1,SMALL(IF(D_马仔培养宝物!$Z$2:$Z$64=D_马仔培养宝物!$E69,ROW($C$2:$H$64),""),RANDBETWEEN(1,VLOOKUP(D_马仔培养宝物!$E69,D_马仔培养宝物!$T$3:$U$7,2,FALSE)))-1,0)</f>
        <v>92285</v>
      </c>
      <c r="E69" s="5">
        <f t="array" aca="1" ref="E69" ca="1">OFFSET(D_马仔培养宝物!$W$1,SMALL(IF(D_马仔培养宝物!$Z$2:$Z$64=D_马仔培养宝物!$E69,ROW($C$2:$H$64),""),RANDBETWEEN(1,VLOOKUP(D_马仔培养宝物!$E69,D_马仔培养宝物!$T$3:$U$7,2,FALSE)))-1,0)</f>
        <v>92125</v>
      </c>
      <c r="F69" s="5">
        <f t="array" aca="1" ref="F69" ca="1">OFFSET(D_马仔培养宝物!$W$1,SMALL(IF(D_马仔培养宝物!$Z$2:$Z$64=D_马仔培养宝物!$E69,ROW($C$2:$H$64),""),RANDBETWEEN(1,VLOOKUP(D_马仔培养宝物!$E69,D_马仔培养宝物!$T$3:$U$7,2,FALSE)))-1,0)</f>
        <v>92227</v>
      </c>
      <c r="G69" s="5">
        <f t="array" aca="1" ref="G69" ca="1">OFFSET(D_马仔培养宝物!$W$1,SMALL(IF(D_马仔培养宝物!$Z$2:$Z$64=D_马仔培养宝物!$E69,ROW($C$2:$H$64),""),RANDBETWEEN(1,VLOOKUP(D_马仔培养宝物!$E69,D_马仔培养宝物!$T$3:$U$7,2,FALSE)))-1,0)</f>
        <v>92285</v>
      </c>
      <c r="H69" s="5">
        <f t="array" aca="1" ref="H69" ca="1">OFFSET(D_马仔培养宝物!$W$1,SMALL(IF(D_马仔培养宝物!$Z$2:$Z$64=D_马仔培养宝物!$E69,ROW($C$2:$H$64),""),RANDBETWEEN(1,VLOOKUP(D_马仔培养宝物!$E69,D_马仔培养宝物!$T$3:$U$7,2,FALSE)))-1,0)</f>
        <v>92253</v>
      </c>
      <c r="J69" s="5">
        <v>92264</v>
      </c>
      <c r="K69" s="5">
        <v>92276</v>
      </c>
      <c r="L69" s="5">
        <v>92281</v>
      </c>
      <c r="M69" s="5">
        <v>92279</v>
      </c>
      <c r="N69" s="5">
        <v>92280</v>
      </c>
      <c r="O69" s="5">
        <v>92278</v>
      </c>
      <c r="P69">
        <f>VLOOKUP(J69,D_马仔培养宝物!$W$2:$AC$64,5,FALSE)+VLOOKUP(K69,D_马仔培养宝物!$W$2:$AC$64,5,FALSE)+VLOOKUP(L69,D_马仔培养宝物!$W$2:$AC$64,5,FALSE)+VLOOKUP(M69,D_马仔培养宝物!$W$2:$AC$64,5,FALSE)+VLOOKUP(N69,D_马仔培养宝物!$W$2:$AC$64,5,FALSE)+VLOOKUP(O69,D_马仔培养宝物!$W$2:$AC$64,5,FALSE)</f>
        <v>3498</v>
      </c>
      <c r="Q69">
        <f>VLOOKUP(J69,D_马仔培养宝物!$W$2:$AC$64,6,FALSE)+VLOOKUP(K69,D_马仔培养宝物!$W$2:$AC$64,6,FALSE)+VLOOKUP(L69,D_马仔培养宝物!$W$2:$AC$64,6,FALSE)+VLOOKUP(M69,D_马仔培养宝物!$W$2:$AC$64,6,FALSE)+VLOOKUP(N69,D_马仔培养宝物!$W$2:$AC$64,6,FALSE)+VLOOKUP(O69,D_马仔培养宝物!$W$2:$AC$64,6,FALSE)</f>
        <v>125</v>
      </c>
      <c r="R69">
        <f>VLOOKUP(J69,D_马仔培养宝物!$W$2:$AC$64,7,FALSE)+VLOOKUP(K69,D_马仔培养宝物!$W$2:$AC$64,7,FALSE)+VLOOKUP(L69,D_马仔培养宝物!$W$2:$AC$64,7,FALSE)+VLOOKUP(M69,D_马仔培养宝物!$W$2:$AC$64,7,FALSE)+VLOOKUP(N69,D_马仔培养宝物!$W$2:$AC$64,7,FALSE)+VLOOKUP(O69,D_马仔培养宝物!$W$2:$AC$64,7,FALSE)</f>
        <v>35</v>
      </c>
    </row>
    <row r="70" spans="3:18">
      <c r="C70" s="5">
        <f t="array" aca="1" ref="C70" ca="1">OFFSET(D_马仔培养宝物!$W$1,SMALL(IF(D_马仔培养宝物!$Z$2:$Z$64=D_马仔培养宝物!$E70,ROW($C$2:$H$64),""),RANDBETWEEN(1,VLOOKUP(D_马仔培养宝物!$E70,D_马仔培养宝物!$T$3:$U$7,2,FALSE)))-1,0)</f>
        <v>92275</v>
      </c>
      <c r="D70" s="5">
        <f t="array" aca="1" ref="D70" ca="1">OFFSET(D_马仔培养宝物!$W$1,SMALL(IF(D_马仔培养宝物!$Z$2:$Z$64=D_马仔培养宝物!$E70,ROW($C$2:$H$64),""),RANDBETWEEN(1,VLOOKUP(D_马仔培养宝物!$E70,D_马仔培养宝物!$T$3:$U$7,2,FALSE)))-1,0)</f>
        <v>92290</v>
      </c>
      <c r="E70" s="5">
        <f t="array" aca="1" ref="E70" ca="1">OFFSET(D_马仔培养宝物!$W$1,SMALL(IF(D_马仔培养宝物!$Z$2:$Z$64=D_马仔培养宝物!$E70,ROW($C$2:$H$64),""),RANDBETWEEN(1,VLOOKUP(D_马仔培养宝物!$E70,D_马仔培养宝物!$T$3:$U$7,2,FALSE)))-1,0)</f>
        <v>92294</v>
      </c>
      <c r="F70" s="5">
        <f t="array" aca="1" ref="F70" ca="1">OFFSET(D_马仔培养宝物!$W$1,SMALL(IF(D_马仔培养宝物!$Z$2:$Z$64=D_马仔培养宝物!$E70,ROW($C$2:$H$64),""),RANDBETWEEN(1,VLOOKUP(D_马仔培养宝物!$E70,D_马仔培养宝物!$T$3:$U$7,2,FALSE)))-1,0)</f>
        <v>92290</v>
      </c>
      <c r="G70" s="5">
        <f t="array" aca="1" ref="G70" ca="1">OFFSET(D_马仔培养宝物!$W$1,SMALL(IF(D_马仔培养宝物!$Z$2:$Z$64=D_马仔培养宝物!$E70,ROW($C$2:$H$64),""),RANDBETWEEN(1,VLOOKUP(D_马仔培养宝物!$E70,D_马仔培养宝物!$T$3:$U$7,2,FALSE)))-1,0)</f>
        <v>92026</v>
      </c>
      <c r="H70" s="5">
        <f t="array" aca="1" ref="H70" ca="1">OFFSET(D_马仔培养宝物!$W$1,SMALL(IF(D_马仔培养宝物!$Z$2:$Z$64=D_马仔培养宝物!$E70,ROW($C$2:$H$64),""),RANDBETWEEN(1,VLOOKUP(D_马仔培养宝物!$E70,D_马仔培养宝物!$T$3:$U$7,2,FALSE)))-1,0)</f>
        <v>92014</v>
      </c>
      <c r="J70" s="5">
        <v>92297</v>
      </c>
      <c r="K70" s="5">
        <v>92294</v>
      </c>
      <c r="L70" s="5">
        <v>92245</v>
      </c>
      <c r="M70" s="5">
        <v>92256</v>
      </c>
      <c r="N70" s="5">
        <v>92289</v>
      </c>
      <c r="O70" s="5">
        <v>92251</v>
      </c>
      <c r="P70">
        <f>VLOOKUP(J70,D_马仔培养宝物!$W$2:$AC$64,5,FALSE)+VLOOKUP(K70,D_马仔培养宝物!$W$2:$AC$64,5,FALSE)+VLOOKUP(L70,D_马仔培养宝物!$W$2:$AC$64,5,FALSE)+VLOOKUP(M70,D_马仔培养宝物!$W$2:$AC$64,5,FALSE)+VLOOKUP(N70,D_马仔培养宝物!$W$2:$AC$64,5,FALSE)+VLOOKUP(O70,D_马仔培养宝物!$W$2:$AC$64,5,FALSE)</f>
        <v>2675</v>
      </c>
      <c r="Q70">
        <f>VLOOKUP(J70,D_马仔培养宝物!$W$2:$AC$64,6,FALSE)+VLOOKUP(K70,D_马仔培养宝物!$W$2:$AC$64,6,FALSE)+VLOOKUP(L70,D_马仔培养宝物!$W$2:$AC$64,6,FALSE)+VLOOKUP(M70,D_马仔培养宝物!$W$2:$AC$64,6,FALSE)+VLOOKUP(N70,D_马仔培养宝物!$W$2:$AC$64,6,FALSE)+VLOOKUP(O70,D_马仔培养宝物!$W$2:$AC$64,6,FALSE)</f>
        <v>125</v>
      </c>
      <c r="R70">
        <f>VLOOKUP(J70,D_马仔培养宝物!$W$2:$AC$64,7,FALSE)+VLOOKUP(K70,D_马仔培养宝物!$W$2:$AC$64,7,FALSE)+VLOOKUP(L70,D_马仔培养宝物!$W$2:$AC$64,7,FALSE)+VLOOKUP(M70,D_马仔培养宝物!$W$2:$AC$64,7,FALSE)+VLOOKUP(N70,D_马仔培养宝物!$W$2:$AC$64,7,FALSE)+VLOOKUP(O70,D_马仔培养宝物!$W$2:$AC$64,7,FALSE)</f>
        <v>75</v>
      </c>
    </row>
    <row r="71" spans="3:18">
      <c r="C71" s="5">
        <f t="array" aca="1" ref="C71" ca="1">OFFSET(D_马仔培养宝物!$W$1,SMALL(IF(D_马仔培养宝物!$Z$2:$Z$64=D_马仔培养宝物!$E71,ROW($C$2:$H$64),""),RANDBETWEEN(1,VLOOKUP(D_马仔培养宝物!$E71,D_马仔培养宝物!$T$3:$U$7,2,FALSE)))-1,0)</f>
        <v>92026</v>
      </c>
      <c r="D71" s="5">
        <f t="array" aca="1" ref="D71" ca="1">OFFSET(D_马仔培养宝物!$W$1,SMALL(IF(D_马仔培养宝物!$Z$2:$Z$64=D_马仔培养宝物!$E71,ROW($C$2:$H$64),""),RANDBETWEEN(1,VLOOKUP(D_马仔培养宝物!$E71,D_马仔培养宝物!$T$3:$U$7,2,FALSE)))-1,0)</f>
        <v>92297</v>
      </c>
      <c r="E71" s="5">
        <f t="array" aca="1" ref="E71" ca="1">OFFSET(D_马仔培养宝物!$W$1,SMALL(IF(D_马仔培养宝物!$Z$2:$Z$64=D_马仔培养宝物!$E71,ROW($C$2:$H$64),""),RANDBETWEEN(1,VLOOKUP(D_马仔培养宝物!$E71,D_马仔培养宝物!$T$3:$U$7,2,FALSE)))-1,0)</f>
        <v>92293</v>
      </c>
      <c r="F71" s="5">
        <f t="array" aca="1" ref="F71" ca="1">OFFSET(D_马仔培养宝物!$W$1,SMALL(IF(D_马仔培养宝物!$Z$2:$Z$64=D_马仔培养宝物!$E71,ROW($C$2:$H$64),""),RANDBETWEEN(1,VLOOKUP(D_马仔培养宝物!$E71,D_马仔培养宝物!$T$3:$U$7,2,FALSE)))-1,0)</f>
        <v>92293</v>
      </c>
      <c r="G71" s="5">
        <f t="array" aca="1" ref="G71" ca="1">OFFSET(D_马仔培养宝物!$W$1,SMALL(IF(D_马仔培养宝物!$Z$2:$Z$64=D_马仔培养宝物!$E71,ROW($C$2:$H$64),""),RANDBETWEEN(1,VLOOKUP(D_马仔培养宝物!$E71,D_马仔培养宝物!$T$3:$U$7,2,FALSE)))-1,0)</f>
        <v>92014</v>
      </c>
      <c r="H71" s="5">
        <f t="array" aca="1" ref="H71" ca="1">OFFSET(D_马仔培养宝物!$W$1,SMALL(IF(D_马仔培养宝物!$Z$2:$Z$64=D_马仔培养宝物!$E71,ROW($C$2:$H$64),""),RANDBETWEEN(1,VLOOKUP(D_马仔培养宝物!$E71,D_马仔培养宝物!$T$3:$U$7,2,FALSE)))-1,0)</f>
        <v>92256</v>
      </c>
      <c r="J71" s="5">
        <v>92251</v>
      </c>
      <c r="K71" s="5">
        <v>92294</v>
      </c>
      <c r="L71" s="5">
        <v>92296</v>
      </c>
      <c r="M71" s="5">
        <v>92253</v>
      </c>
      <c r="N71" s="5">
        <v>92295</v>
      </c>
      <c r="O71" s="5">
        <v>92299</v>
      </c>
      <c r="P71">
        <f>VLOOKUP(J71,D_马仔培养宝物!$W$2:$AC$64,5,FALSE)+VLOOKUP(K71,D_马仔培养宝物!$W$2:$AC$64,5,FALSE)+VLOOKUP(L71,D_马仔培养宝物!$W$2:$AC$64,5,FALSE)+VLOOKUP(M71,D_马仔培养宝物!$W$2:$AC$64,5,FALSE)+VLOOKUP(N71,D_马仔培养宝物!$W$2:$AC$64,5,FALSE)+VLOOKUP(O71,D_马仔培养宝物!$W$2:$AC$64,5,FALSE)</f>
        <v>3498</v>
      </c>
      <c r="Q71">
        <f>VLOOKUP(J71,D_马仔培养宝物!$W$2:$AC$64,6,FALSE)+VLOOKUP(K71,D_马仔培养宝物!$W$2:$AC$64,6,FALSE)+VLOOKUP(L71,D_马仔培养宝物!$W$2:$AC$64,6,FALSE)+VLOOKUP(M71,D_马仔培养宝物!$W$2:$AC$64,6,FALSE)+VLOOKUP(N71,D_马仔培养宝物!$W$2:$AC$64,6,FALSE)+VLOOKUP(O71,D_马仔培养宝物!$W$2:$AC$64,6,FALSE)</f>
        <v>125</v>
      </c>
      <c r="R71">
        <f>VLOOKUP(J71,D_马仔培养宝物!$W$2:$AC$64,7,FALSE)+VLOOKUP(K71,D_马仔培养宝物!$W$2:$AC$64,7,FALSE)+VLOOKUP(L71,D_马仔培养宝物!$W$2:$AC$64,7,FALSE)+VLOOKUP(M71,D_马仔培养宝物!$W$2:$AC$64,7,FALSE)+VLOOKUP(N71,D_马仔培养宝物!$W$2:$AC$64,7,FALSE)+VLOOKUP(O71,D_马仔培养宝物!$W$2:$AC$64,7,FALSE)</f>
        <v>88</v>
      </c>
    </row>
    <row r="72" spans="3:18">
      <c r="C72" s="5">
        <f t="array" aca="1" ref="C72" ca="1">OFFSET(D_马仔培养宝物!$W$1,SMALL(IF(D_马仔培养宝物!$Z$2:$Z$64=D_马仔培养宝物!$E72,ROW($C$2:$H$64),""),RANDBETWEEN(1,VLOOKUP(D_马仔培养宝物!$E72,D_马仔培养宝物!$T$3:$U$7,2,FALSE)))-1,0)</f>
        <v>92296</v>
      </c>
      <c r="D72" s="5">
        <f t="array" aca="1" ref="D72" ca="1">OFFSET(D_马仔培养宝物!$W$1,SMALL(IF(D_马仔培养宝物!$Z$2:$Z$64=D_马仔培养宝物!$E72,ROW($C$2:$H$64),""),RANDBETWEEN(1,VLOOKUP(D_马仔培养宝物!$E72,D_马仔培养宝物!$T$3:$U$7,2,FALSE)))-1,0)</f>
        <v>92298</v>
      </c>
      <c r="E72" s="5">
        <f t="array" aca="1" ref="E72" ca="1">OFFSET(D_马仔培养宝物!$W$1,SMALL(IF(D_马仔培养宝物!$Z$2:$Z$64=D_马仔培养宝物!$E72,ROW($C$2:$H$64),""),RANDBETWEEN(1,VLOOKUP(D_马仔培养宝物!$E72,D_马仔培养宝物!$T$3:$U$7,2,FALSE)))-1,0)</f>
        <v>92026</v>
      </c>
      <c r="F72" s="5">
        <f t="array" aca="1" ref="F72" ca="1">OFFSET(D_马仔培养宝物!$W$1,SMALL(IF(D_马仔培养宝物!$Z$2:$Z$64=D_马仔培养宝物!$E72,ROW($C$2:$H$64),""),RANDBETWEEN(1,VLOOKUP(D_马仔培养宝物!$E72,D_马仔培养宝物!$T$3:$U$7,2,FALSE)))-1,0)</f>
        <v>92286</v>
      </c>
      <c r="G72" s="5">
        <f t="array" aca="1" ref="G72" ca="1">OFFSET(D_马仔培养宝物!$W$1,SMALL(IF(D_马仔培养宝物!$Z$2:$Z$64=D_马仔培养宝物!$E72,ROW($C$2:$H$64),""),RANDBETWEEN(1,VLOOKUP(D_马仔培养宝物!$E72,D_马仔培养宝物!$T$3:$U$7,2,FALSE)))-1,0)</f>
        <v>92297</v>
      </c>
      <c r="H72" s="5">
        <f t="array" aca="1" ref="H72" ca="1">OFFSET(D_马仔培养宝物!$W$1,SMALL(IF(D_马仔培养宝物!$Z$2:$Z$64=D_马仔培养宝物!$E72,ROW($C$2:$H$64),""),RANDBETWEEN(1,VLOOKUP(D_马仔培养宝物!$E72,D_马仔培养宝物!$T$3:$U$7,2,FALSE)))-1,0)</f>
        <v>92298</v>
      </c>
      <c r="J72" s="5">
        <v>92252</v>
      </c>
      <c r="K72" s="5">
        <v>92292</v>
      </c>
      <c r="L72" s="5">
        <v>92289</v>
      </c>
      <c r="M72" s="5">
        <v>92254</v>
      </c>
      <c r="N72" s="5">
        <v>92290</v>
      </c>
      <c r="O72" s="5">
        <v>92244</v>
      </c>
      <c r="P72">
        <f>VLOOKUP(J72,D_马仔培养宝物!$W$2:$AC$64,5,FALSE)+VLOOKUP(K72,D_马仔培养宝物!$W$2:$AC$64,5,FALSE)+VLOOKUP(L72,D_马仔培养宝物!$W$2:$AC$64,5,FALSE)+VLOOKUP(M72,D_马仔培养宝物!$W$2:$AC$64,5,FALSE)+VLOOKUP(N72,D_马仔培养宝物!$W$2:$AC$64,5,FALSE)+VLOOKUP(O72,D_马仔培养宝物!$W$2:$AC$64,5,FALSE)</f>
        <v>3910</v>
      </c>
      <c r="Q72">
        <f>VLOOKUP(J72,D_马仔培养宝物!$W$2:$AC$64,6,FALSE)+VLOOKUP(K72,D_马仔培养宝物!$W$2:$AC$64,6,FALSE)+VLOOKUP(L72,D_马仔培养宝物!$W$2:$AC$64,6,FALSE)+VLOOKUP(M72,D_马仔培养宝物!$W$2:$AC$64,6,FALSE)+VLOOKUP(N72,D_马仔培养宝物!$W$2:$AC$64,6,FALSE)+VLOOKUP(O72,D_马仔培养宝物!$W$2:$AC$64,6,FALSE)</f>
        <v>125</v>
      </c>
      <c r="R72">
        <f>VLOOKUP(J72,D_马仔培养宝物!$W$2:$AC$64,7,FALSE)+VLOOKUP(K72,D_马仔培养宝物!$W$2:$AC$64,7,FALSE)+VLOOKUP(L72,D_马仔培养宝物!$W$2:$AC$64,7,FALSE)+VLOOKUP(M72,D_马仔培养宝物!$W$2:$AC$64,7,FALSE)+VLOOKUP(N72,D_马仔培养宝物!$W$2:$AC$64,7,FALSE)+VLOOKUP(O72,D_马仔培养宝物!$W$2:$AC$64,7,FALSE)</f>
        <v>31</v>
      </c>
    </row>
    <row r="73" spans="3:18" ht="14.25" thickBot="1">
      <c r="C73" s="22">
        <f t="array" aca="1" ref="C73" ca="1">OFFSET(D_马仔培养宝物!$W$1,SMALL(IF(D_马仔培养宝物!$Z$2:$Z$64=D_马仔培养宝物!$E73,ROW($C$2:$H$64),""),RANDBETWEEN(1,VLOOKUP(D_马仔培养宝物!$E73,D_马仔培养宝物!$T$3:$U$7,2,FALSE)))-1,0)</f>
        <v>92282</v>
      </c>
      <c r="D73" s="22">
        <f t="array" aca="1" ref="D73" ca="1">OFFSET(D_马仔培养宝物!$W$1,SMALL(IF(D_马仔培养宝物!$Z$2:$Z$64=D_马仔培养宝物!$E73,ROW($C$2:$H$64),""),RANDBETWEEN(1,VLOOKUP(D_马仔培养宝物!$E73,D_马仔培养宝物!$T$3:$U$7,2,FALSE)))-1,0)</f>
        <v>92296</v>
      </c>
      <c r="E73" s="22">
        <f t="array" aca="1" ref="E73" ca="1">OFFSET(D_马仔培养宝物!$W$1,SMALL(IF(D_马仔培养宝物!$Z$2:$Z$64=D_马仔培养宝物!$E73,ROW($C$2:$H$64),""),RANDBETWEEN(1,VLOOKUP(D_马仔培养宝物!$E73,D_马仔培养宝物!$T$3:$U$7,2,FALSE)))-1,0)</f>
        <v>92290</v>
      </c>
      <c r="F73" s="22">
        <f t="array" aca="1" ref="F73" ca="1">OFFSET(D_马仔培养宝物!$W$1,SMALL(IF(D_马仔培养宝物!$Z$2:$Z$64=D_马仔培养宝物!$E73,ROW($C$2:$H$64),""),RANDBETWEEN(1,VLOOKUP(D_马仔培养宝物!$E73,D_马仔培养宝物!$T$3:$U$7,2,FALSE)))-1,0)</f>
        <v>92262</v>
      </c>
      <c r="G73" s="22">
        <f t="array" aca="1" ref="G73" ca="1">OFFSET(D_马仔培养宝物!$W$1,SMALL(IF(D_马仔培养宝物!$Z$2:$Z$64=D_马仔培养宝物!$E73,ROW($C$2:$H$64),""),RANDBETWEEN(1,VLOOKUP(D_马仔培养宝物!$E73,D_马仔培养宝物!$T$3:$U$7,2,FALSE)))-1,0)</f>
        <v>92262</v>
      </c>
      <c r="H73" s="22">
        <f t="array" aca="1" ref="H73" ca="1">OFFSET(D_马仔培养宝物!$W$1,SMALL(IF(D_马仔培养宝物!$Z$2:$Z$64=D_马仔培养宝物!$E73,ROW($C$2:$H$64),""),RANDBETWEEN(1,VLOOKUP(D_马仔培养宝物!$E73,D_马仔培养宝物!$T$3:$U$7,2,FALSE)))-1,0)</f>
        <v>92255</v>
      </c>
      <c r="J73" s="22">
        <v>92254</v>
      </c>
      <c r="K73" s="22">
        <v>92243</v>
      </c>
      <c r="L73" s="22">
        <v>92252</v>
      </c>
      <c r="M73" s="22">
        <v>92296</v>
      </c>
      <c r="N73" s="22">
        <v>92299</v>
      </c>
      <c r="O73" s="22">
        <v>92294</v>
      </c>
      <c r="P73">
        <f>VLOOKUP(J73,D_马仔培养宝物!$W$2:$AC$64,5,FALSE)+VLOOKUP(K73,D_马仔培养宝物!$W$2:$AC$64,5,FALSE)+VLOOKUP(L73,D_马仔培养宝物!$W$2:$AC$64,5,FALSE)+VLOOKUP(M73,D_马仔培养宝物!$W$2:$AC$64,5,FALSE)+VLOOKUP(N73,D_马仔培养宝物!$W$2:$AC$64,5,FALSE)+VLOOKUP(O73,D_马仔培养宝物!$W$2:$AC$64,5,FALSE)</f>
        <v>0</v>
      </c>
      <c r="Q73">
        <f>VLOOKUP(J73,D_马仔培养宝物!$W$2:$AC$64,6,FALSE)+VLOOKUP(K73,D_马仔培养宝物!$W$2:$AC$64,6,FALSE)+VLOOKUP(L73,D_马仔培养宝物!$W$2:$AC$64,6,FALSE)+VLOOKUP(M73,D_马仔培养宝物!$W$2:$AC$64,6,FALSE)+VLOOKUP(N73,D_马仔培养宝物!$W$2:$AC$64,6,FALSE)+VLOOKUP(O73,D_马仔培养宝物!$W$2:$AC$64,6,FALSE)</f>
        <v>219</v>
      </c>
      <c r="R73">
        <f>VLOOKUP(J73,D_马仔培养宝物!$W$2:$AC$64,7,FALSE)+VLOOKUP(K73,D_马仔培养宝物!$W$2:$AC$64,7,FALSE)+VLOOKUP(L73,D_马仔培养宝物!$W$2:$AC$64,7,FALSE)+VLOOKUP(M73,D_马仔培养宝物!$W$2:$AC$64,7,FALSE)+VLOOKUP(N73,D_马仔培养宝物!$W$2:$AC$64,7,FALSE)+VLOOKUP(O73,D_马仔培养宝物!$W$2:$AC$64,7,FALSE)</f>
        <v>92</v>
      </c>
    </row>
    <row r="74" spans="3:18">
      <c r="C74" s="19">
        <f t="array" aca="1" ref="C74" ca="1">OFFSET(D_马仔培养宝物!$W$1,SMALL(IF(D_马仔培养宝物!$Z$2:$Z$64=D_马仔培养宝物!$E74,ROW($C$2:$H$64),""),RANDBETWEEN(1,VLOOKUP(D_马仔培养宝物!$E74,D_马仔培养宝物!$T$3:$U$7,2,FALSE)))-1,0)</f>
        <v>92244</v>
      </c>
      <c r="D74" s="19">
        <f t="array" aca="1" ref="D74" ca="1">OFFSET(D_马仔培养宝物!$W$1,SMALL(IF(D_马仔培养宝物!$Z$2:$Z$64=D_马仔培养宝物!$E74,ROW($C$2:$H$64),""),RANDBETWEEN(1,VLOOKUP(D_马仔培养宝物!$E74,D_马仔培养宝物!$T$3:$U$7,2,FALSE)))-1,0)</f>
        <v>92277</v>
      </c>
      <c r="E74" s="19">
        <f t="array" aca="1" ref="E74" ca="1">OFFSET(D_马仔培养宝物!$W$1,SMALL(IF(D_马仔培养宝物!$Z$2:$Z$64=D_马仔培养宝物!$E74,ROW($C$2:$H$64),""),RANDBETWEEN(1,VLOOKUP(D_马仔培养宝物!$E74,D_马仔培养宝物!$T$3:$U$7,2,FALSE)))-1,0)</f>
        <v>92121</v>
      </c>
      <c r="F74" s="19">
        <f t="array" aca="1" ref="F74" ca="1">OFFSET(D_马仔培养宝物!$W$1,SMALL(IF(D_马仔培养宝物!$Z$2:$Z$64=D_马仔培养宝物!$E74,ROW($C$2:$H$64),""),RANDBETWEEN(1,VLOOKUP(D_马仔培养宝物!$E74,D_马仔培养宝物!$T$3:$U$7,2,FALSE)))-1,0)</f>
        <v>92243</v>
      </c>
      <c r="G74" s="19">
        <f t="array" aca="1" ref="G74" ca="1">OFFSET(D_马仔培养宝物!$W$1,SMALL(IF(D_马仔培养宝物!$Z$2:$Z$64=D_马仔培养宝物!$E74,ROW($C$2:$H$64),""),RANDBETWEEN(1,VLOOKUP(D_马仔培养宝物!$E74,D_马仔培养宝物!$T$3:$U$7,2,FALSE)))-1,0)</f>
        <v>92131</v>
      </c>
      <c r="H74" s="19">
        <f t="array" aca="1" ref="H74" ca="1">OFFSET(D_马仔培养宝物!$W$1,SMALL(IF(D_马仔培养宝物!$Z$2:$Z$64=D_马仔培养宝物!$E74,ROW($C$2:$H$64),""),RANDBETWEEN(1,VLOOKUP(D_马仔培养宝物!$E74,D_马仔培养宝物!$T$3:$U$7,2,FALSE)))-1,0)</f>
        <v>92131</v>
      </c>
      <c r="J74" s="19">
        <v>92227</v>
      </c>
      <c r="K74" s="19">
        <v>92012</v>
      </c>
      <c r="L74" s="19">
        <v>92013</v>
      </c>
      <c r="M74" s="19">
        <v>92125</v>
      </c>
      <c r="N74" s="19">
        <v>92011</v>
      </c>
      <c r="O74" s="19">
        <v>92122</v>
      </c>
      <c r="P74">
        <f>VLOOKUP(J74,D_马仔培养宝物!$W$2:$AC$64,5,FALSE)+VLOOKUP(K74,D_马仔培养宝物!$W$2:$AC$64,5,FALSE)+VLOOKUP(L74,D_马仔培养宝物!$W$2:$AC$64,5,FALSE)+VLOOKUP(M74,D_马仔培养宝物!$W$2:$AC$64,5,FALSE)+VLOOKUP(N74,D_马仔培养宝物!$W$2:$AC$64,5,FALSE)+VLOOKUP(O74,D_马仔培养宝物!$W$2:$AC$64,5,FALSE)</f>
        <v>2469</v>
      </c>
      <c r="Q74">
        <f>VLOOKUP(J74,D_马仔培养宝物!$W$2:$AC$64,6,FALSE)+VLOOKUP(K74,D_马仔培养宝物!$W$2:$AC$64,6,FALSE)+VLOOKUP(L74,D_马仔培养宝物!$W$2:$AC$64,6,FALSE)+VLOOKUP(M74,D_马仔培养宝物!$W$2:$AC$64,6,FALSE)+VLOOKUP(N74,D_马仔培养宝物!$W$2:$AC$64,6,FALSE)+VLOOKUP(O74,D_马仔培养宝物!$W$2:$AC$64,6,FALSE)</f>
        <v>41</v>
      </c>
      <c r="R74">
        <f>VLOOKUP(J74,D_马仔培养宝物!$W$2:$AC$64,7,FALSE)+VLOOKUP(K74,D_马仔培养宝物!$W$2:$AC$64,7,FALSE)+VLOOKUP(L74,D_马仔培养宝物!$W$2:$AC$64,7,FALSE)+VLOOKUP(M74,D_马仔培养宝物!$W$2:$AC$64,7,FALSE)+VLOOKUP(N74,D_马仔培养宝物!$W$2:$AC$64,7,FALSE)+VLOOKUP(O74,D_马仔培养宝物!$W$2:$AC$64,7,FALSE)</f>
        <v>62</v>
      </c>
    </row>
    <row r="75" spans="3:18">
      <c r="C75" s="5">
        <f t="array" aca="1" ref="C75" ca="1">OFFSET(D_马仔培养宝物!$W$1,SMALL(IF(D_马仔培养宝物!$Z$2:$Z$64=D_马仔培养宝物!$E75,ROW($C$2:$H$64),""),RANDBETWEEN(1,VLOOKUP(D_马仔培养宝物!$E75,D_马仔培养宝物!$T$3:$U$7,2,FALSE)))-1,0)</f>
        <v>92263</v>
      </c>
      <c r="D75" s="5">
        <f t="array" aca="1" ref="D75" ca="1">OFFSET(D_马仔培养宝物!$W$1,SMALL(IF(D_马仔培养宝物!$Z$2:$Z$64=D_马仔培养宝物!$E75,ROW($C$2:$H$64),""),RANDBETWEEN(1,VLOOKUP(D_马仔培养宝物!$E75,D_马仔培养宝物!$T$3:$U$7,2,FALSE)))-1,0)</f>
        <v>92131</v>
      </c>
      <c r="E75" s="5">
        <f t="array" aca="1" ref="E75" ca="1">OFFSET(D_马仔培养宝物!$W$1,SMALL(IF(D_马仔培养宝物!$Z$2:$Z$64=D_马仔培养宝物!$E75,ROW($C$2:$H$64),""),RANDBETWEEN(1,VLOOKUP(D_马仔培养宝物!$E75,D_马仔培养宝物!$T$3:$U$7,2,FALSE)))-1,0)</f>
        <v>92131</v>
      </c>
      <c r="F75" s="5">
        <f t="array" aca="1" ref="F75" ca="1">OFFSET(D_马仔培养宝物!$W$1,SMALL(IF(D_马仔培养宝物!$Z$2:$Z$64=D_马仔培养宝物!$E75,ROW($C$2:$H$64),""),RANDBETWEEN(1,VLOOKUP(D_马仔培养宝物!$E75,D_马仔培养宝物!$T$3:$U$7,2,FALSE)))-1,0)</f>
        <v>92011</v>
      </c>
      <c r="G75" s="5">
        <f t="array" aca="1" ref="G75" ca="1">OFFSET(D_马仔培养宝物!$W$1,SMALL(IF(D_马仔培养宝物!$Z$2:$Z$64=D_马仔培养宝物!$E75,ROW($C$2:$H$64),""),RANDBETWEEN(1,VLOOKUP(D_马仔培养宝物!$E75,D_马仔培养宝物!$T$3:$U$7,2,FALSE)))-1,0)</f>
        <v>92263</v>
      </c>
      <c r="H75" s="5">
        <f t="array" aca="1" ref="H75" ca="1">OFFSET(D_马仔培养宝物!$W$1,SMALL(IF(D_马仔培养宝物!$Z$2:$Z$64=D_马仔培养宝物!$E75,ROW($C$2:$H$64),""),RANDBETWEEN(1,VLOOKUP(D_马仔培养宝物!$E75,D_马仔培养宝物!$T$3:$U$7,2,FALSE)))-1,0)</f>
        <v>92263</v>
      </c>
      <c r="J75" s="5">
        <v>92223</v>
      </c>
      <c r="K75" s="5">
        <v>92012</v>
      </c>
      <c r="L75" s="5">
        <v>92013</v>
      </c>
      <c r="M75" s="5">
        <v>92011</v>
      </c>
      <c r="N75" s="5">
        <v>92014</v>
      </c>
      <c r="O75" s="5">
        <v>92227</v>
      </c>
      <c r="P75">
        <f>VLOOKUP(J75,D_马仔培养宝物!$W$2:$AC$64,5,FALSE)+VLOOKUP(K75,D_马仔培养宝物!$W$2:$AC$64,5,FALSE)+VLOOKUP(L75,D_马仔培养宝物!$W$2:$AC$64,5,FALSE)+VLOOKUP(M75,D_马仔培养宝物!$W$2:$AC$64,5,FALSE)+VLOOKUP(N75,D_马仔培养宝物!$W$2:$AC$64,5,FALSE)+VLOOKUP(O75,D_马仔培养宝物!$W$2:$AC$64,5,FALSE)</f>
        <v>4321</v>
      </c>
      <c r="Q75">
        <f>VLOOKUP(J75,D_马仔培养宝物!$W$2:$AC$64,6,FALSE)+VLOOKUP(K75,D_马仔培养宝物!$W$2:$AC$64,6,FALSE)+VLOOKUP(L75,D_马仔培养宝物!$W$2:$AC$64,6,FALSE)+VLOOKUP(M75,D_马仔培养宝物!$W$2:$AC$64,6,FALSE)+VLOOKUP(N75,D_马仔培养宝物!$W$2:$AC$64,6,FALSE)+VLOOKUP(O75,D_马仔培养宝物!$W$2:$AC$64,6,FALSE)</f>
        <v>10</v>
      </c>
      <c r="R75">
        <f>VLOOKUP(J75,D_马仔培养宝物!$W$2:$AC$64,7,FALSE)+VLOOKUP(K75,D_马仔培养宝物!$W$2:$AC$64,7,FALSE)+VLOOKUP(L75,D_马仔培养宝物!$W$2:$AC$64,7,FALSE)+VLOOKUP(M75,D_马仔培养宝物!$W$2:$AC$64,7,FALSE)+VLOOKUP(N75,D_马仔培养宝物!$W$2:$AC$64,7,FALSE)+VLOOKUP(O75,D_马仔培养宝物!$W$2:$AC$64,7,FALSE)</f>
        <v>62</v>
      </c>
    </row>
    <row r="76" spans="3:18">
      <c r="C76" s="5">
        <f t="array" aca="1" ref="C76" ca="1">OFFSET(D_马仔培养宝物!$W$1,SMALL(IF(D_马仔培养宝物!$Z$2:$Z$64=D_马仔培养宝物!$E76,ROW($C$2:$H$64),""),RANDBETWEEN(1,VLOOKUP(D_马仔培养宝物!$E76,D_马仔培养宝物!$T$3:$U$7,2,FALSE)))-1,0)</f>
        <v>92122</v>
      </c>
      <c r="D76" s="5">
        <f t="array" aca="1" ref="D76" ca="1">OFFSET(D_马仔培养宝物!$W$1,SMALL(IF(D_马仔培养宝物!$Z$2:$Z$64=D_马仔培养宝物!$E76,ROW($C$2:$H$64),""),RANDBETWEEN(1,VLOOKUP(D_马仔培养宝物!$E76,D_马仔培养宝物!$T$3:$U$7,2,FALSE)))-1,0)</f>
        <v>92287</v>
      </c>
      <c r="E76" s="5">
        <f t="array" aca="1" ref="E76" ca="1">OFFSET(D_马仔培养宝物!$W$1,SMALL(IF(D_马仔培养宝物!$Z$2:$Z$64=D_马仔培养宝物!$E76,ROW($C$2:$H$64),""),RANDBETWEEN(1,VLOOKUP(D_马仔培养宝物!$E76,D_马仔培养宝物!$T$3:$U$7,2,FALSE)))-1,0)</f>
        <v>92278</v>
      </c>
      <c r="F76" s="5">
        <f t="array" aca="1" ref="F76" ca="1">OFFSET(D_马仔培养宝物!$W$1,SMALL(IF(D_马仔培养宝物!$Z$2:$Z$64=D_马仔培养宝物!$E76,ROW($C$2:$H$64),""),RANDBETWEEN(1,VLOOKUP(D_马仔培养宝物!$E76,D_马仔培养宝物!$T$3:$U$7,2,FALSE)))-1,0)</f>
        <v>92283</v>
      </c>
      <c r="G76" s="5">
        <f t="array" aca="1" ref="G76" ca="1">OFFSET(D_马仔培养宝物!$W$1,SMALL(IF(D_马仔培养宝物!$Z$2:$Z$64=D_马仔培养宝物!$E76,ROW($C$2:$H$64),""),RANDBETWEEN(1,VLOOKUP(D_马仔培养宝物!$E76,D_马仔培养宝物!$T$3:$U$7,2,FALSE)))-1,0)</f>
        <v>92278</v>
      </c>
      <c r="H76" s="5">
        <f t="array" aca="1" ref="H76" ca="1">OFFSET(D_马仔培养宝物!$W$1,SMALL(IF(D_马仔培养宝物!$Z$2:$Z$64=D_马仔培养宝物!$E76,ROW($C$2:$H$64),""),RANDBETWEEN(1,VLOOKUP(D_马仔培养宝物!$E76,D_马仔培养宝物!$T$3:$U$7,2,FALSE)))-1,0)</f>
        <v>92287</v>
      </c>
      <c r="J76" s="5">
        <v>92287</v>
      </c>
      <c r="K76" s="5">
        <v>92121</v>
      </c>
      <c r="L76" s="5">
        <v>92232</v>
      </c>
      <c r="M76" s="5">
        <v>92235</v>
      </c>
      <c r="N76" s="5">
        <v>92131</v>
      </c>
      <c r="O76" s="5">
        <v>92273</v>
      </c>
      <c r="P76">
        <f>VLOOKUP(J76,D_马仔培养宝物!$W$2:$AC$64,5,FALSE)+VLOOKUP(K76,D_马仔培养宝物!$W$2:$AC$64,5,FALSE)+VLOOKUP(L76,D_马仔培养宝物!$W$2:$AC$64,5,FALSE)+VLOOKUP(M76,D_马仔培养宝物!$W$2:$AC$64,5,FALSE)+VLOOKUP(N76,D_马仔培养宝物!$W$2:$AC$64,5,FALSE)+VLOOKUP(O76,D_马仔培养宝物!$W$2:$AC$64,5,FALSE)</f>
        <v>1029</v>
      </c>
      <c r="Q76">
        <f>VLOOKUP(J76,D_马仔培养宝物!$W$2:$AC$64,6,FALSE)+VLOOKUP(K76,D_马仔培养宝物!$W$2:$AC$64,6,FALSE)+VLOOKUP(L76,D_马仔培养宝物!$W$2:$AC$64,6,FALSE)+VLOOKUP(M76,D_马仔培养宝物!$W$2:$AC$64,6,FALSE)+VLOOKUP(N76,D_马仔培养宝物!$W$2:$AC$64,6,FALSE)+VLOOKUP(O76,D_马仔培养宝物!$W$2:$AC$64,6,FALSE)</f>
        <v>62</v>
      </c>
      <c r="R76">
        <f>VLOOKUP(J76,D_马仔培养宝物!$W$2:$AC$64,7,FALSE)+VLOOKUP(K76,D_马仔培养宝物!$W$2:$AC$64,7,FALSE)+VLOOKUP(L76,D_马仔培养宝物!$W$2:$AC$64,7,FALSE)+VLOOKUP(M76,D_马仔培养宝物!$W$2:$AC$64,7,FALSE)+VLOOKUP(N76,D_马仔培养宝物!$W$2:$AC$64,7,FALSE)+VLOOKUP(O76,D_马仔培养宝物!$W$2:$AC$64,7,FALSE)</f>
        <v>22</v>
      </c>
    </row>
    <row r="77" spans="3:18">
      <c r="C77" s="5">
        <f t="array" aca="1" ref="C77" ca="1">OFFSET(D_马仔培养宝物!$W$1,SMALL(IF(D_马仔培养宝物!$Z$2:$Z$64=D_马仔培养宝物!$E77,ROW($C$2:$H$64),""),RANDBETWEEN(1,VLOOKUP(D_马仔培养宝物!$E77,D_马仔培养宝物!$T$3:$U$7,2,FALSE)))-1,0)</f>
        <v>92141</v>
      </c>
      <c r="D77" s="5">
        <f t="array" aca="1" ref="D77" ca="1">OFFSET(D_马仔培养宝物!$W$1,SMALL(IF(D_马仔培养宝物!$Z$2:$Z$64=D_马仔培养宝物!$E77,ROW($C$2:$H$64),""),RANDBETWEEN(1,VLOOKUP(D_马仔培养宝物!$E77,D_马仔培养宝物!$T$3:$U$7,2,FALSE)))-1,0)</f>
        <v>92278</v>
      </c>
      <c r="E77" s="5">
        <f t="array" aca="1" ref="E77" ca="1">OFFSET(D_马仔培养宝物!$W$1,SMALL(IF(D_马仔培养宝物!$Z$2:$Z$64=D_马仔培养宝物!$E77,ROW($C$2:$H$64),""),RANDBETWEEN(1,VLOOKUP(D_马仔培养宝物!$E77,D_马仔培养宝物!$T$3:$U$7,2,FALSE)))-1,0)</f>
        <v>92141</v>
      </c>
      <c r="F77" s="5">
        <f t="array" aca="1" ref="F77" ca="1">OFFSET(D_马仔培养宝物!$W$1,SMALL(IF(D_马仔培养宝物!$Z$2:$Z$64=D_马仔培养宝物!$E77,ROW($C$2:$H$64),""),RANDBETWEEN(1,VLOOKUP(D_马仔培养宝物!$E77,D_马仔培养宝物!$T$3:$U$7,2,FALSE)))-1,0)</f>
        <v>92287</v>
      </c>
      <c r="G77" s="5">
        <f t="array" aca="1" ref="G77" ca="1">OFFSET(D_马仔培养宝物!$W$1,SMALL(IF(D_马仔培养宝物!$Z$2:$Z$64=D_马仔培养宝物!$E77,ROW($C$2:$H$64),""),RANDBETWEEN(1,VLOOKUP(D_马仔培养宝物!$E77,D_马仔培养宝物!$T$3:$U$7,2,FALSE)))-1,0)</f>
        <v>92233</v>
      </c>
      <c r="H77" s="5">
        <f t="array" aca="1" ref="H77" ca="1">OFFSET(D_马仔培养宝物!$W$1,SMALL(IF(D_马仔培养宝物!$Z$2:$Z$64=D_马仔培养宝物!$E77,ROW($C$2:$H$64),""),RANDBETWEEN(1,VLOOKUP(D_马仔培养宝物!$E77,D_马仔培养宝物!$T$3:$U$7,2,FALSE)))-1,0)</f>
        <v>92278</v>
      </c>
      <c r="J77" s="5">
        <v>92233</v>
      </c>
      <c r="K77" s="5">
        <v>92232</v>
      </c>
      <c r="L77" s="5">
        <v>92271</v>
      </c>
      <c r="M77" s="5">
        <v>92287</v>
      </c>
      <c r="N77" s="5">
        <v>92235</v>
      </c>
      <c r="O77" s="5">
        <v>92121</v>
      </c>
      <c r="P77">
        <f>VLOOKUP(J77,D_马仔培养宝物!$W$2:$AC$64,5,FALSE)+VLOOKUP(K77,D_马仔培养宝物!$W$2:$AC$64,5,FALSE)+VLOOKUP(L77,D_马仔培养宝物!$W$2:$AC$64,5,FALSE)+VLOOKUP(M77,D_马仔培养宝物!$W$2:$AC$64,5,FALSE)+VLOOKUP(N77,D_马仔培养宝物!$W$2:$AC$64,5,FALSE)+VLOOKUP(O77,D_马仔培养宝物!$W$2:$AC$64,5,FALSE)</f>
        <v>2057</v>
      </c>
      <c r="Q77">
        <f>VLOOKUP(J77,D_马仔培养宝物!$W$2:$AC$64,6,FALSE)+VLOOKUP(K77,D_马仔培养宝物!$W$2:$AC$64,6,FALSE)+VLOOKUP(L77,D_马仔培养宝物!$W$2:$AC$64,6,FALSE)+VLOOKUP(M77,D_马仔培养宝物!$W$2:$AC$64,6,FALSE)+VLOOKUP(N77,D_马仔培养宝物!$W$2:$AC$64,6,FALSE)+VLOOKUP(O77,D_马仔培养宝物!$W$2:$AC$64,6,FALSE)</f>
        <v>10</v>
      </c>
      <c r="R77">
        <f>VLOOKUP(J77,D_马仔培养宝物!$W$2:$AC$64,7,FALSE)+VLOOKUP(K77,D_马仔培养宝物!$W$2:$AC$64,7,FALSE)+VLOOKUP(L77,D_马仔培养宝物!$W$2:$AC$64,7,FALSE)+VLOOKUP(M77,D_马仔培养宝物!$W$2:$AC$64,7,FALSE)+VLOOKUP(N77,D_马仔培养宝物!$W$2:$AC$64,7,FALSE)+VLOOKUP(O77,D_马仔培养宝物!$W$2:$AC$64,7,FALSE)</f>
        <v>22</v>
      </c>
    </row>
    <row r="78" spans="3:18">
      <c r="C78" s="5">
        <f t="array" aca="1" ref="C78" ca="1">OFFSET(D_马仔培养宝物!$W$1,SMALL(IF(D_马仔培养宝物!$Z$2:$Z$64=D_马仔培养宝物!$E78,ROW($C$2:$H$64),""),RANDBETWEEN(1,VLOOKUP(D_马仔培养宝物!$E78,D_马仔培养宝物!$T$3:$U$7,2,FALSE)))-1,0)</f>
        <v>92273</v>
      </c>
      <c r="D78" s="5">
        <f t="array" aca="1" ref="D78" ca="1">OFFSET(D_马仔培养宝物!$W$1,SMALL(IF(D_马仔培养宝物!$Z$2:$Z$64=D_马仔培养宝物!$E78,ROW($C$2:$H$64),""),RANDBETWEEN(1,VLOOKUP(D_马仔培养宝物!$E78,D_马仔培养宝物!$T$3:$U$7,2,FALSE)))-1,0)</f>
        <v>92284</v>
      </c>
      <c r="E78" s="5">
        <f t="array" aca="1" ref="E78" ca="1">OFFSET(D_马仔培养宝物!$W$1,SMALL(IF(D_马仔培养宝物!$Z$2:$Z$64=D_马仔培养宝物!$E78,ROW($C$2:$H$64),""),RANDBETWEEN(1,VLOOKUP(D_马仔培养宝物!$E78,D_马仔培养宝物!$T$3:$U$7,2,FALSE)))-1,0)</f>
        <v>92235</v>
      </c>
      <c r="F78" s="5">
        <f t="array" aca="1" ref="F78" ca="1">OFFSET(D_马仔培养宝物!$W$1,SMALL(IF(D_马仔培养宝物!$Z$2:$Z$64=D_马仔培养宝物!$E78,ROW($C$2:$H$64),""),RANDBETWEEN(1,VLOOKUP(D_马仔培养宝物!$E78,D_马仔培养宝物!$T$3:$U$7,2,FALSE)))-1,0)</f>
        <v>92284</v>
      </c>
      <c r="G78" s="5">
        <f t="array" aca="1" ref="G78" ca="1">OFFSET(D_马仔培养宝物!$W$1,SMALL(IF(D_马仔培养宝物!$Z$2:$Z$64=D_马仔培养宝物!$E78,ROW($C$2:$H$64),""),RANDBETWEEN(1,VLOOKUP(D_马仔培养宝物!$E78,D_马仔培养宝物!$T$3:$U$7,2,FALSE)))-1,0)</f>
        <v>92273</v>
      </c>
      <c r="H78" s="5">
        <f t="array" aca="1" ref="H78" ca="1">OFFSET(D_马仔培养宝物!$W$1,SMALL(IF(D_马仔培养宝物!$Z$2:$Z$64=D_马仔培养宝物!$E78,ROW($C$2:$H$64),""),RANDBETWEEN(1,VLOOKUP(D_马仔培养宝物!$E78,D_马仔培养宝物!$T$3:$U$7,2,FALSE)))-1,0)</f>
        <v>92124</v>
      </c>
      <c r="J78" s="5">
        <v>92285</v>
      </c>
      <c r="K78" s="5">
        <v>92284</v>
      </c>
      <c r="L78" s="5">
        <v>92282</v>
      </c>
      <c r="M78" s="5">
        <v>92141</v>
      </c>
      <c r="N78" s="5">
        <v>92142</v>
      </c>
      <c r="O78" s="5">
        <v>92262</v>
      </c>
      <c r="P78">
        <f>VLOOKUP(J78,D_马仔培养宝物!$W$2:$AC$64,5,FALSE)+VLOOKUP(K78,D_马仔培养宝物!$W$2:$AC$64,5,FALSE)+VLOOKUP(L78,D_马仔培养宝物!$W$2:$AC$64,5,FALSE)+VLOOKUP(M78,D_马仔培养宝物!$W$2:$AC$64,5,FALSE)+VLOOKUP(N78,D_马仔培养宝物!$W$2:$AC$64,5,FALSE)+VLOOKUP(O78,D_马仔培养宝物!$W$2:$AC$64,5,FALSE)</f>
        <v>1029</v>
      </c>
      <c r="Q78">
        <f>VLOOKUP(J78,D_马仔培养宝物!$W$2:$AC$64,6,FALSE)+VLOOKUP(K78,D_马仔培养宝物!$W$2:$AC$64,6,FALSE)+VLOOKUP(L78,D_马仔培养宝物!$W$2:$AC$64,6,FALSE)+VLOOKUP(M78,D_马仔培养宝物!$W$2:$AC$64,6,FALSE)+VLOOKUP(N78,D_马仔培养宝物!$W$2:$AC$64,6,FALSE)+VLOOKUP(O78,D_马仔培养宝物!$W$2:$AC$64,6,FALSE)</f>
        <v>335</v>
      </c>
      <c r="R78">
        <f>VLOOKUP(J78,D_马仔培养宝物!$W$2:$AC$64,7,FALSE)+VLOOKUP(K78,D_马仔培养宝物!$W$2:$AC$64,7,FALSE)+VLOOKUP(L78,D_马仔培养宝物!$W$2:$AC$64,7,FALSE)+VLOOKUP(M78,D_马仔培养宝物!$W$2:$AC$64,7,FALSE)+VLOOKUP(N78,D_马仔培养宝物!$W$2:$AC$64,7,FALSE)+VLOOKUP(O78,D_马仔培养宝物!$W$2:$AC$64,7,FALSE)</f>
        <v>13</v>
      </c>
    </row>
    <row r="79" spans="3:18">
      <c r="C79" s="5">
        <f t="array" aca="1" ref="C79" ca="1">OFFSET(D_马仔培养宝物!$W$1,SMALL(IF(D_马仔培养宝物!$Z$2:$Z$64=D_马仔培养宝物!$E79,ROW($C$2:$H$64),""),RANDBETWEEN(1,VLOOKUP(D_马仔培养宝物!$E79,D_马仔培养宝物!$T$3:$U$7,2,FALSE)))-1,0)</f>
        <v>92235</v>
      </c>
      <c r="D79" s="5">
        <f t="array" aca="1" ref="D79" ca="1">OFFSET(D_马仔培养宝物!$W$1,SMALL(IF(D_马仔培养宝物!$Z$2:$Z$64=D_马仔培养宝物!$E79,ROW($C$2:$H$64),""),RANDBETWEEN(1,VLOOKUP(D_马仔培养宝物!$E79,D_马仔培养宝物!$T$3:$U$7,2,FALSE)))-1,0)</f>
        <v>92124</v>
      </c>
      <c r="E79" s="5">
        <f t="array" aca="1" ref="E79" ca="1">OFFSET(D_马仔培养宝物!$W$1,SMALL(IF(D_马仔培养宝物!$Z$2:$Z$64=D_马仔培养宝物!$E79,ROW($C$2:$H$64),""),RANDBETWEEN(1,VLOOKUP(D_马仔培养宝物!$E79,D_马仔培养宝物!$T$3:$U$7,2,FALSE)))-1,0)</f>
        <v>92272</v>
      </c>
      <c r="F79" s="5">
        <f t="array" aca="1" ref="F79" ca="1">OFFSET(D_马仔培养宝物!$W$1,SMALL(IF(D_马仔培养宝物!$Z$2:$Z$64=D_马仔培养宝物!$E79,ROW($C$2:$H$64),""),RANDBETWEEN(1,VLOOKUP(D_马仔培养宝物!$E79,D_马仔培养宝物!$T$3:$U$7,2,FALSE)))-1,0)</f>
        <v>92272</v>
      </c>
      <c r="G79" s="5">
        <f t="array" aca="1" ref="G79" ca="1">OFFSET(D_马仔培养宝物!$W$1,SMALL(IF(D_马仔培养宝物!$Z$2:$Z$64=D_马仔培养宝物!$E79,ROW($C$2:$H$64),""),RANDBETWEEN(1,VLOOKUP(D_马仔培养宝物!$E79,D_马仔培养宝物!$T$3:$U$7,2,FALSE)))-1,0)</f>
        <v>92273</v>
      </c>
      <c r="H79" s="5">
        <f t="array" aca="1" ref="H79" ca="1">OFFSET(D_马仔培养宝物!$W$1,SMALL(IF(D_马仔培养宝物!$Z$2:$Z$64=D_马仔培养宝物!$E79,ROW($C$2:$H$64),""),RANDBETWEEN(1,VLOOKUP(D_马仔培养宝物!$E79,D_马仔培养宝物!$T$3:$U$7,2,FALSE)))-1,0)</f>
        <v>92142</v>
      </c>
      <c r="J79" s="5">
        <v>92285</v>
      </c>
      <c r="K79" s="5">
        <v>92262</v>
      </c>
      <c r="L79" s="5">
        <v>92283</v>
      </c>
      <c r="M79" s="5">
        <v>92282</v>
      </c>
      <c r="N79" s="5">
        <v>92284</v>
      </c>
      <c r="O79" s="5">
        <v>92142</v>
      </c>
      <c r="P79">
        <f>VLOOKUP(J79,D_马仔培养宝物!$W$2:$AC$64,5,FALSE)+VLOOKUP(K79,D_马仔培养宝物!$W$2:$AC$64,5,FALSE)+VLOOKUP(L79,D_马仔培养宝物!$W$2:$AC$64,5,FALSE)+VLOOKUP(M79,D_马仔培养宝物!$W$2:$AC$64,5,FALSE)+VLOOKUP(N79,D_马仔培养宝物!$W$2:$AC$64,5,FALSE)+VLOOKUP(O79,D_马仔培养宝物!$W$2:$AC$64,5,FALSE)</f>
        <v>1029</v>
      </c>
      <c r="Q79">
        <f>VLOOKUP(J79,D_马仔培养宝物!$W$2:$AC$64,6,FALSE)+VLOOKUP(K79,D_马仔培养宝物!$W$2:$AC$64,6,FALSE)+VLOOKUP(L79,D_马仔培养宝物!$W$2:$AC$64,6,FALSE)+VLOOKUP(M79,D_马仔培养宝物!$W$2:$AC$64,6,FALSE)+VLOOKUP(N79,D_马仔培养宝物!$W$2:$AC$64,6,FALSE)+VLOOKUP(O79,D_马仔培养宝物!$W$2:$AC$64,6,FALSE)</f>
        <v>335</v>
      </c>
      <c r="R79">
        <f>VLOOKUP(J79,D_马仔培养宝物!$W$2:$AC$64,7,FALSE)+VLOOKUP(K79,D_马仔培养宝物!$W$2:$AC$64,7,FALSE)+VLOOKUP(L79,D_马仔培养宝物!$W$2:$AC$64,7,FALSE)+VLOOKUP(M79,D_马仔培养宝物!$W$2:$AC$64,7,FALSE)+VLOOKUP(N79,D_马仔培养宝物!$W$2:$AC$64,7,FALSE)+VLOOKUP(O79,D_马仔培养宝物!$W$2:$AC$64,7,FALSE)</f>
        <v>13</v>
      </c>
    </row>
    <row r="80" spans="3:18">
      <c r="C80" s="5">
        <f t="array" aca="1" ref="C80" ca="1">OFFSET(D_马仔培养宝物!$W$1,SMALL(IF(D_马仔培养宝物!$Z$2:$Z$64=D_马仔培养宝物!$E80,ROW($C$2:$H$64),""),RANDBETWEEN(1,VLOOKUP(D_马仔培养宝物!$E80,D_马仔培养宝物!$T$3:$U$7,2,FALSE)))-1,0)</f>
        <v>92289</v>
      </c>
      <c r="D80" s="5">
        <f t="array" aca="1" ref="D80" ca="1">OFFSET(D_马仔培养宝物!$W$1,SMALL(IF(D_马仔培养宝物!$Z$2:$Z$64=D_马仔培养宝物!$E80,ROW($C$2:$H$64),""),RANDBETWEEN(1,VLOOKUP(D_马仔培养宝物!$E80,D_马仔培养宝物!$T$3:$U$7,2,FALSE)))-1,0)</f>
        <v>92227</v>
      </c>
      <c r="E80" s="5">
        <f t="array" aca="1" ref="E80" ca="1">OFFSET(D_马仔培养宝物!$W$1,SMALL(IF(D_马仔培养宝物!$Z$2:$Z$64=D_马仔培养宝物!$E80,ROW($C$2:$H$64),""),RANDBETWEEN(1,VLOOKUP(D_马仔培养宝物!$E80,D_马仔培养宝物!$T$3:$U$7,2,FALSE)))-1,0)</f>
        <v>92289</v>
      </c>
      <c r="F80" s="5">
        <f t="array" aca="1" ref="F80" ca="1">OFFSET(D_马仔培养宝物!$W$1,SMALL(IF(D_马仔培养宝物!$Z$2:$Z$64=D_马仔培养宝物!$E80,ROW($C$2:$H$64),""),RANDBETWEEN(1,VLOOKUP(D_马仔培养宝物!$E80,D_马仔培养宝物!$T$3:$U$7,2,FALSE)))-1,0)</f>
        <v>92253</v>
      </c>
      <c r="G80" s="5">
        <f t="array" aca="1" ref="G80" ca="1">OFFSET(D_马仔培养宝物!$W$1,SMALL(IF(D_马仔培养宝物!$Z$2:$Z$64=D_马仔培养宝物!$E80,ROW($C$2:$H$64),""),RANDBETWEEN(1,VLOOKUP(D_马仔培养宝物!$E80,D_马仔培养宝物!$T$3:$U$7,2,FALSE)))-1,0)</f>
        <v>92236</v>
      </c>
      <c r="H80" s="5">
        <f t="array" aca="1" ref="H80" ca="1">OFFSET(D_马仔培养宝物!$W$1,SMALL(IF(D_马仔培养宝物!$Z$2:$Z$64=D_马仔培养宝物!$E80,ROW($C$2:$H$64),""),RANDBETWEEN(1,VLOOKUP(D_马仔培养宝物!$E80,D_马仔培养宝物!$T$3:$U$7,2,FALSE)))-1,0)</f>
        <v>92285</v>
      </c>
      <c r="J80" s="5">
        <v>92279</v>
      </c>
      <c r="K80" s="5">
        <v>92261</v>
      </c>
      <c r="L80" s="5">
        <v>92277</v>
      </c>
      <c r="M80" s="5">
        <v>92278</v>
      </c>
      <c r="N80" s="5">
        <v>92275</v>
      </c>
      <c r="O80" s="5">
        <v>92263</v>
      </c>
      <c r="P80">
        <f>VLOOKUP(J80,D_马仔培养宝物!$W$2:$AC$64,5,FALSE)+VLOOKUP(K80,D_马仔培养宝物!$W$2:$AC$64,5,FALSE)+VLOOKUP(L80,D_马仔培养宝物!$W$2:$AC$64,5,FALSE)+VLOOKUP(M80,D_马仔培养宝物!$W$2:$AC$64,5,FALSE)+VLOOKUP(N80,D_马仔培养宝物!$W$2:$AC$64,5,FALSE)+VLOOKUP(O80,D_马仔培养宝物!$W$2:$AC$64,5,FALSE)</f>
        <v>1852</v>
      </c>
      <c r="Q80">
        <f>VLOOKUP(J80,D_马仔培养宝物!$W$2:$AC$64,6,FALSE)+VLOOKUP(K80,D_马仔培养宝物!$W$2:$AC$64,6,FALSE)+VLOOKUP(L80,D_马仔培养宝物!$W$2:$AC$64,6,FALSE)+VLOOKUP(M80,D_马仔培养宝物!$W$2:$AC$64,6,FALSE)+VLOOKUP(N80,D_马仔培养宝物!$W$2:$AC$64,6,FALSE)+VLOOKUP(O80,D_马仔培养宝物!$W$2:$AC$64,6,FALSE)</f>
        <v>41</v>
      </c>
      <c r="R80">
        <f>VLOOKUP(J80,D_马仔培养宝物!$W$2:$AC$64,7,FALSE)+VLOOKUP(K80,D_马仔培养宝物!$W$2:$AC$64,7,FALSE)+VLOOKUP(L80,D_马仔培养宝物!$W$2:$AC$64,7,FALSE)+VLOOKUP(M80,D_马仔培养宝物!$W$2:$AC$64,7,FALSE)+VLOOKUP(N80,D_马仔培养宝物!$W$2:$AC$64,7,FALSE)+VLOOKUP(O80,D_马仔培养宝物!$W$2:$AC$64,7,FALSE)</f>
        <v>66</v>
      </c>
    </row>
    <row r="81" spans="3:18">
      <c r="C81" s="5">
        <f t="array" aca="1" ref="C81" ca="1">OFFSET(D_马仔培养宝物!$W$1,SMALL(IF(D_马仔培养宝物!$Z$2:$Z$64=D_马仔培养宝物!$E81,ROW($C$2:$H$64),""),RANDBETWEEN(1,VLOOKUP(D_马仔培养宝物!$E81,D_马仔培养宝物!$T$3:$U$7,2,FALSE)))-1,0)</f>
        <v>92285</v>
      </c>
      <c r="D81" s="5">
        <f t="array" aca="1" ref="D81" ca="1">OFFSET(D_马仔培养宝物!$W$1,SMALL(IF(D_马仔培养宝物!$Z$2:$Z$64=D_马仔培养宝物!$E81,ROW($C$2:$H$64),""),RANDBETWEEN(1,VLOOKUP(D_马仔培养宝物!$E81,D_马仔培养宝物!$T$3:$U$7,2,FALSE)))-1,0)</f>
        <v>92254</v>
      </c>
      <c r="E81" s="5">
        <f t="array" aca="1" ref="E81" ca="1">OFFSET(D_马仔培养宝物!$W$1,SMALL(IF(D_马仔培养宝物!$Z$2:$Z$64=D_马仔培养宝物!$E81,ROW($C$2:$H$64),""),RANDBETWEEN(1,VLOOKUP(D_马仔培养宝物!$E81,D_马仔培养宝物!$T$3:$U$7,2,FALSE)))-1,0)</f>
        <v>92134</v>
      </c>
      <c r="F81" s="5">
        <f t="array" aca="1" ref="F81" ca="1">OFFSET(D_马仔培养宝物!$W$1,SMALL(IF(D_马仔培养宝物!$Z$2:$Z$64=D_马仔培养宝物!$E81,ROW($C$2:$H$64),""),RANDBETWEEN(1,VLOOKUP(D_马仔培养宝物!$E81,D_马仔培养宝物!$T$3:$U$7,2,FALSE)))-1,0)</f>
        <v>92274</v>
      </c>
      <c r="G81" s="5">
        <f t="array" aca="1" ref="G81" ca="1">OFFSET(D_马仔培养宝物!$W$1,SMALL(IF(D_马仔培养宝物!$Z$2:$Z$64=D_马仔培养宝物!$E81,ROW($C$2:$H$64),""),RANDBETWEEN(1,VLOOKUP(D_马仔培养宝物!$E81,D_马仔培养宝物!$T$3:$U$7,2,FALSE)))-1,0)</f>
        <v>92285</v>
      </c>
      <c r="H81" s="5">
        <f t="array" aca="1" ref="H81" ca="1">OFFSET(D_马仔培养宝物!$W$1,SMALL(IF(D_马仔培养宝物!$Z$2:$Z$64=D_马仔培养宝物!$E81,ROW($C$2:$H$64),""),RANDBETWEEN(1,VLOOKUP(D_马仔培养宝物!$E81,D_马仔培养宝物!$T$3:$U$7,2,FALSE)))-1,0)</f>
        <v>92013</v>
      </c>
      <c r="J81" s="5">
        <v>92275</v>
      </c>
      <c r="K81" s="5">
        <v>92276</v>
      </c>
      <c r="L81" s="5">
        <v>92277</v>
      </c>
      <c r="M81" s="5">
        <v>92280</v>
      </c>
      <c r="N81" s="5">
        <v>92272</v>
      </c>
      <c r="O81" s="5">
        <v>92263</v>
      </c>
      <c r="P81">
        <f>VLOOKUP(J81,D_马仔培养宝物!$W$2:$AC$64,5,FALSE)+VLOOKUP(K81,D_马仔培养宝物!$W$2:$AC$64,5,FALSE)+VLOOKUP(L81,D_马仔培养宝物!$W$2:$AC$64,5,FALSE)+VLOOKUP(M81,D_马仔培养宝物!$W$2:$AC$64,5,FALSE)+VLOOKUP(N81,D_马仔培养宝物!$W$2:$AC$64,5,FALSE)+VLOOKUP(O81,D_马仔培养宝物!$W$2:$AC$64,5,FALSE)</f>
        <v>6379</v>
      </c>
      <c r="Q81">
        <f>VLOOKUP(J81,D_马仔培养宝物!$W$2:$AC$64,6,FALSE)+VLOOKUP(K81,D_马仔培养宝物!$W$2:$AC$64,6,FALSE)+VLOOKUP(L81,D_马仔培养宝物!$W$2:$AC$64,6,FALSE)+VLOOKUP(M81,D_马仔培养宝物!$W$2:$AC$64,6,FALSE)+VLOOKUP(N81,D_马仔培养宝物!$W$2:$AC$64,6,FALSE)+VLOOKUP(O81,D_马仔培养宝物!$W$2:$AC$64,6,FALSE)</f>
        <v>10</v>
      </c>
      <c r="R81">
        <f>VLOOKUP(J81,D_马仔培养宝物!$W$2:$AC$64,7,FALSE)+VLOOKUP(K81,D_马仔培养宝物!$W$2:$AC$64,7,FALSE)+VLOOKUP(L81,D_马仔培养宝物!$W$2:$AC$64,7,FALSE)+VLOOKUP(M81,D_马仔培养宝物!$W$2:$AC$64,7,FALSE)+VLOOKUP(N81,D_马仔培养宝物!$W$2:$AC$64,7,FALSE)+VLOOKUP(O81,D_马仔培养宝物!$W$2:$AC$64,7,FALSE)</f>
        <v>4</v>
      </c>
    </row>
    <row r="82" spans="3:18">
      <c r="C82" s="5">
        <f t="array" aca="1" ref="C82" ca="1">OFFSET(D_马仔培养宝物!$W$1,SMALL(IF(D_马仔培养宝物!$Z$2:$Z$64=D_马仔培养宝物!$E82,ROW($C$2:$H$64),""),RANDBETWEEN(1,VLOOKUP(D_马仔培养宝物!$E82,D_马仔培养宝物!$T$3:$U$7,2,FALSE)))-1,0)</f>
        <v>92014</v>
      </c>
      <c r="D82" s="5">
        <f t="array" aca="1" ref="D82" ca="1">OFFSET(D_马仔培养宝物!$W$1,SMALL(IF(D_马仔培养宝物!$Z$2:$Z$64=D_马仔培养宝物!$E82,ROW($C$2:$H$64),""),RANDBETWEEN(1,VLOOKUP(D_马仔培养宝物!$E82,D_马仔培养宝物!$T$3:$U$7,2,FALSE)))-1,0)</f>
        <v>92256</v>
      </c>
      <c r="E82" s="5">
        <f t="array" aca="1" ref="E82" ca="1">OFFSET(D_马仔培养宝物!$W$1,SMALL(IF(D_马仔培养宝物!$Z$2:$Z$64=D_马仔培养宝物!$E82,ROW($C$2:$H$64),""),RANDBETWEEN(1,VLOOKUP(D_马仔培养宝物!$E82,D_马仔培养宝物!$T$3:$U$7,2,FALSE)))-1,0)</f>
        <v>92255</v>
      </c>
      <c r="F82" s="5">
        <f t="array" aca="1" ref="F82" ca="1">OFFSET(D_马仔培养宝物!$W$1,SMALL(IF(D_马仔培养宝物!$Z$2:$Z$64=D_马仔培养宝物!$E82,ROW($C$2:$H$64),""),RANDBETWEEN(1,VLOOKUP(D_马仔培养宝物!$E82,D_马仔培养宝物!$T$3:$U$7,2,FALSE)))-1,0)</f>
        <v>92281</v>
      </c>
      <c r="G82" s="5">
        <f t="array" aca="1" ref="G82" ca="1">OFFSET(D_马仔培养宝物!$W$1,SMALL(IF(D_马仔培养宝物!$Z$2:$Z$64=D_马仔培养宝物!$E82,ROW($C$2:$H$64),""),RANDBETWEEN(1,VLOOKUP(D_马仔培养宝物!$E82,D_马仔培养宝物!$T$3:$U$7,2,FALSE)))-1,0)</f>
        <v>92255</v>
      </c>
      <c r="H82" s="5">
        <f t="array" aca="1" ref="H82" ca="1">OFFSET(D_马仔培养宝物!$W$1,SMALL(IF(D_马仔培养宝物!$Z$2:$Z$64=D_马仔培养宝物!$E82,ROW($C$2:$H$64),""),RANDBETWEEN(1,VLOOKUP(D_马仔培养宝物!$E82,D_马仔培养宝物!$T$3:$U$7,2,FALSE)))-1,0)</f>
        <v>92026</v>
      </c>
      <c r="J82" s="5">
        <v>92243</v>
      </c>
      <c r="K82" s="5">
        <v>92289</v>
      </c>
      <c r="L82" s="5">
        <v>92245</v>
      </c>
      <c r="M82" s="5">
        <v>92291</v>
      </c>
      <c r="N82" s="5">
        <v>92255</v>
      </c>
      <c r="O82" s="5">
        <v>92244</v>
      </c>
      <c r="P82">
        <f>VLOOKUP(J82,D_马仔培养宝物!$W$2:$AC$64,5,FALSE)+VLOOKUP(K82,D_马仔培养宝物!$W$2:$AC$64,5,FALSE)+VLOOKUP(L82,D_马仔培养宝物!$W$2:$AC$64,5,FALSE)+VLOOKUP(M82,D_马仔培养宝物!$W$2:$AC$64,5,FALSE)+VLOOKUP(N82,D_马仔培养宝物!$W$2:$AC$64,5,FALSE)+VLOOKUP(O82,D_马仔培养宝物!$W$2:$AC$64,5,FALSE)</f>
        <v>2881</v>
      </c>
      <c r="Q82">
        <f>VLOOKUP(J82,D_马仔培养宝物!$W$2:$AC$64,6,FALSE)+VLOOKUP(K82,D_马仔培养宝物!$W$2:$AC$64,6,FALSE)+VLOOKUP(L82,D_马仔培养宝物!$W$2:$AC$64,6,FALSE)+VLOOKUP(M82,D_马仔培养宝物!$W$2:$AC$64,6,FALSE)+VLOOKUP(N82,D_马仔培养宝物!$W$2:$AC$64,6,FALSE)+VLOOKUP(O82,D_马仔培养宝物!$W$2:$AC$64,6,FALSE)</f>
        <v>0</v>
      </c>
      <c r="R82">
        <f>VLOOKUP(J82,D_马仔培养宝物!$W$2:$AC$64,7,FALSE)+VLOOKUP(K82,D_马仔培养宝物!$W$2:$AC$64,7,FALSE)+VLOOKUP(L82,D_马仔培养宝物!$W$2:$AC$64,7,FALSE)+VLOOKUP(M82,D_马仔培养宝物!$W$2:$AC$64,7,FALSE)+VLOOKUP(N82,D_马仔培养宝物!$W$2:$AC$64,7,FALSE)+VLOOKUP(O82,D_马仔培养宝物!$W$2:$AC$64,7,FALSE)</f>
        <v>79</v>
      </c>
    </row>
    <row r="83" spans="3:18">
      <c r="C83" s="5">
        <f t="array" aca="1" ref="C83" ca="1">OFFSET(D_马仔培养宝物!$W$1,SMALL(IF(D_马仔培养宝物!$Z$2:$Z$64=D_马仔培养宝物!$E83,ROW($C$2:$H$64),""),RANDBETWEEN(1,VLOOKUP(D_马仔培养宝物!$E83,D_马仔培养宝物!$T$3:$U$7,2,FALSE)))-1,0)</f>
        <v>92297</v>
      </c>
      <c r="D83" s="5">
        <f t="array" aca="1" ref="D83" ca="1">OFFSET(D_马仔培养宝物!$W$1,SMALL(IF(D_马仔培养宝物!$Z$2:$Z$64=D_马仔培养宝物!$E83,ROW($C$2:$H$64),""),RANDBETWEEN(1,VLOOKUP(D_马仔培养宝物!$E83,D_马仔培养宝物!$T$3:$U$7,2,FALSE)))-1,0)</f>
        <v>92295</v>
      </c>
      <c r="E83" s="5">
        <f t="array" aca="1" ref="E83" ca="1">OFFSET(D_马仔培养宝物!$W$1,SMALL(IF(D_马仔培养宝物!$Z$2:$Z$64=D_马仔培养宝物!$E83,ROW($C$2:$H$64),""),RANDBETWEEN(1,VLOOKUP(D_马仔培养宝物!$E83,D_马仔培养宝物!$T$3:$U$7,2,FALSE)))-1,0)</f>
        <v>92291</v>
      </c>
      <c r="F83" s="5">
        <f t="array" aca="1" ref="F83" ca="1">OFFSET(D_马仔培养宝物!$W$1,SMALL(IF(D_马仔培养宝物!$Z$2:$Z$64=D_马仔培养宝物!$E83,ROW($C$2:$H$64),""),RANDBETWEEN(1,VLOOKUP(D_马仔培养宝物!$E83,D_马仔培养宝物!$T$3:$U$7,2,FALSE)))-1,0)</f>
        <v>92261</v>
      </c>
      <c r="G83" s="5">
        <f t="array" aca="1" ref="G83" ca="1">OFFSET(D_马仔培养宝物!$W$1,SMALL(IF(D_马仔培养宝物!$Z$2:$Z$64=D_马仔培养宝物!$E83,ROW($C$2:$H$64),""),RANDBETWEEN(1,VLOOKUP(D_马仔培养宝物!$E83,D_马仔培养宝物!$T$3:$U$7,2,FALSE)))-1,0)</f>
        <v>92014</v>
      </c>
      <c r="H83" s="5">
        <f t="array" aca="1" ref="H83" ca="1">OFFSET(D_马仔培养宝物!$W$1,SMALL(IF(D_马仔培养宝物!$Z$2:$Z$64=D_马仔培养宝物!$E83,ROW($C$2:$H$64),""),RANDBETWEEN(1,VLOOKUP(D_马仔培养宝物!$E83,D_马仔培养宝物!$T$3:$U$7,2,FALSE)))-1,0)</f>
        <v>92290</v>
      </c>
      <c r="J83" s="5">
        <v>92293</v>
      </c>
      <c r="K83" s="5">
        <v>92289</v>
      </c>
      <c r="L83" s="5">
        <v>92291</v>
      </c>
      <c r="M83" s="5">
        <v>92255</v>
      </c>
      <c r="N83" s="5">
        <v>92295</v>
      </c>
      <c r="O83" s="5">
        <v>92251</v>
      </c>
      <c r="P83">
        <f>VLOOKUP(J83,D_马仔培养宝物!$W$2:$AC$64,5,FALSE)+VLOOKUP(K83,D_马仔培养宝物!$W$2:$AC$64,5,FALSE)+VLOOKUP(L83,D_马仔培养宝物!$W$2:$AC$64,5,FALSE)+VLOOKUP(M83,D_马仔培养宝物!$W$2:$AC$64,5,FALSE)+VLOOKUP(N83,D_马仔培养宝物!$W$2:$AC$64,5,FALSE)+VLOOKUP(O83,D_马仔培养宝物!$W$2:$AC$64,5,FALSE)</f>
        <v>4116</v>
      </c>
      <c r="Q83">
        <f>VLOOKUP(J83,D_马仔培养宝物!$W$2:$AC$64,6,FALSE)+VLOOKUP(K83,D_马仔培养宝物!$W$2:$AC$64,6,FALSE)+VLOOKUP(L83,D_马仔培养宝物!$W$2:$AC$64,6,FALSE)+VLOOKUP(M83,D_马仔培养宝物!$W$2:$AC$64,6,FALSE)+VLOOKUP(N83,D_马仔培养宝物!$W$2:$AC$64,6,FALSE)+VLOOKUP(O83,D_马仔培养宝物!$W$2:$AC$64,6,FALSE)</f>
        <v>136</v>
      </c>
      <c r="R83">
        <f>VLOOKUP(J83,D_马仔培养宝物!$W$2:$AC$64,7,FALSE)+VLOOKUP(K83,D_马仔培养宝物!$W$2:$AC$64,7,FALSE)+VLOOKUP(L83,D_马仔培养宝物!$W$2:$AC$64,7,FALSE)+VLOOKUP(M83,D_马仔培养宝物!$W$2:$AC$64,7,FALSE)+VLOOKUP(N83,D_马仔培养宝物!$W$2:$AC$64,7,FALSE)+VLOOKUP(O83,D_马仔培养宝物!$W$2:$AC$64,7,FALSE)</f>
        <v>75</v>
      </c>
    </row>
    <row r="84" spans="3:18">
      <c r="C84" s="5">
        <f t="array" aca="1" ref="C84" ca="1">OFFSET(D_马仔培养宝物!$W$1,SMALL(IF(D_马仔培养宝物!$Z$2:$Z$64=D_马仔培养宝物!$E84,ROW($C$2:$H$64),""),RANDBETWEEN(1,VLOOKUP(D_马仔培养宝物!$E84,D_马仔培养宝物!$T$3:$U$7,2,FALSE)))-1,0)</f>
        <v>92282</v>
      </c>
      <c r="D84" s="5">
        <f t="array" aca="1" ref="D84" ca="1">OFFSET(D_马仔培养宝物!$W$1,SMALL(IF(D_马仔培养宝物!$Z$2:$Z$64=D_马仔培养宝物!$E84,ROW($C$2:$H$64),""),RANDBETWEEN(1,VLOOKUP(D_马仔培养宝物!$E84,D_马仔培养宝物!$T$3:$U$7,2,FALSE)))-1,0)</f>
        <v>92298</v>
      </c>
      <c r="E84" s="5">
        <f t="array" aca="1" ref="E84" ca="1">OFFSET(D_马仔培养宝物!$W$1,SMALL(IF(D_马仔培养宝物!$Z$2:$Z$64=D_马仔培养宝物!$E84,ROW($C$2:$H$64),""),RANDBETWEEN(1,VLOOKUP(D_马仔培养宝物!$E84,D_马仔培养宝物!$T$3:$U$7,2,FALSE)))-1,0)</f>
        <v>92275</v>
      </c>
      <c r="F84" s="5">
        <f t="array" aca="1" ref="F84" ca="1">OFFSET(D_马仔培养宝物!$W$1,SMALL(IF(D_马仔培养宝物!$Z$2:$Z$64=D_马仔培养宝物!$E84,ROW($C$2:$H$64),""),RANDBETWEEN(1,VLOOKUP(D_马仔培养宝物!$E84,D_马仔培养宝物!$T$3:$U$7,2,FALSE)))-1,0)</f>
        <v>92256</v>
      </c>
      <c r="G84" s="5">
        <f t="array" aca="1" ref="G84" ca="1">OFFSET(D_马仔培养宝物!$W$1,SMALL(IF(D_马仔培养宝物!$Z$2:$Z$64=D_马仔培养宝物!$E84,ROW($C$2:$H$64),""),RANDBETWEEN(1,VLOOKUP(D_马仔培养宝物!$E84,D_马仔培养宝物!$T$3:$U$7,2,FALSE)))-1,0)</f>
        <v>92281</v>
      </c>
      <c r="H84" s="5">
        <f t="array" aca="1" ref="H84" ca="1">OFFSET(D_马仔培养宝物!$W$1,SMALL(IF(D_马仔培养宝物!$Z$2:$Z$64=D_马仔培养宝物!$E84,ROW($C$2:$H$64),""),RANDBETWEEN(1,VLOOKUP(D_马仔培养宝物!$E84,D_马仔培养宝物!$T$3:$U$7,2,FALSE)))-1,0)</f>
        <v>92286</v>
      </c>
      <c r="J84" s="5">
        <v>92256</v>
      </c>
      <c r="K84" s="5">
        <v>92291</v>
      </c>
      <c r="L84" s="5">
        <v>92244</v>
      </c>
      <c r="M84" s="5">
        <v>92297</v>
      </c>
      <c r="N84" s="5">
        <v>92290</v>
      </c>
      <c r="O84" s="5">
        <v>92296</v>
      </c>
      <c r="P84">
        <f>VLOOKUP(J84,D_马仔培养宝物!$W$2:$AC$64,5,FALSE)+VLOOKUP(K84,D_马仔培养宝物!$W$2:$AC$64,5,FALSE)+VLOOKUP(L84,D_马仔培养宝物!$W$2:$AC$64,5,FALSE)+VLOOKUP(M84,D_马仔培养宝物!$W$2:$AC$64,5,FALSE)+VLOOKUP(N84,D_马仔培养宝物!$W$2:$AC$64,5,FALSE)+VLOOKUP(O84,D_马仔培养宝物!$W$2:$AC$64,5,FALSE)</f>
        <v>6174</v>
      </c>
      <c r="Q84">
        <f>VLOOKUP(J84,D_马仔培养宝物!$W$2:$AC$64,6,FALSE)+VLOOKUP(K84,D_马仔培养宝物!$W$2:$AC$64,6,FALSE)+VLOOKUP(L84,D_马仔培养宝物!$W$2:$AC$64,6,FALSE)+VLOOKUP(M84,D_马仔培养宝物!$W$2:$AC$64,6,FALSE)+VLOOKUP(N84,D_马仔培养宝物!$W$2:$AC$64,6,FALSE)+VLOOKUP(O84,D_马仔培养宝物!$W$2:$AC$64,6,FALSE)</f>
        <v>188</v>
      </c>
      <c r="R84">
        <f>VLOOKUP(J84,D_马仔培养宝物!$W$2:$AC$64,7,FALSE)+VLOOKUP(K84,D_马仔培养宝物!$W$2:$AC$64,7,FALSE)+VLOOKUP(L84,D_马仔培养宝物!$W$2:$AC$64,7,FALSE)+VLOOKUP(M84,D_马仔培养宝物!$W$2:$AC$64,7,FALSE)+VLOOKUP(N84,D_马仔培养宝物!$W$2:$AC$64,7,FALSE)+VLOOKUP(O84,D_马仔培养宝物!$W$2:$AC$64,7,FALSE)</f>
        <v>0</v>
      </c>
    </row>
    <row r="85" spans="3:18" ht="14.25" thickBot="1">
      <c r="C85" s="22">
        <f t="array" aca="1" ref="C85" ca="1">OFFSET(D_马仔培养宝物!$W$1,SMALL(IF(D_马仔培养宝物!$Z$2:$Z$64=D_马仔培养宝物!$E85,ROW($C$2:$H$64),""),RANDBETWEEN(1,VLOOKUP(D_马仔培养宝物!$E85,D_马仔培养宝物!$T$3:$U$7,2,FALSE)))-1,0)</f>
        <v>92255</v>
      </c>
      <c r="D85" s="22">
        <f t="array" aca="1" ref="D85" ca="1">OFFSET(D_马仔培养宝物!$W$1,SMALL(IF(D_马仔培养宝物!$Z$2:$Z$64=D_马仔培养宝物!$E85,ROW($C$2:$H$64),""),RANDBETWEEN(1,VLOOKUP(D_马仔培养宝物!$E85,D_马仔培养宝物!$T$3:$U$7,2,FALSE)))-1,0)</f>
        <v>92255</v>
      </c>
      <c r="E85" s="22">
        <f t="array" aca="1" ref="E85" ca="1">OFFSET(D_马仔培养宝物!$W$1,SMALL(IF(D_马仔培养宝物!$Z$2:$Z$64=D_马仔培养宝物!$E85,ROW($C$2:$H$64),""),RANDBETWEEN(1,VLOOKUP(D_马仔培养宝物!$E85,D_马仔培养宝物!$T$3:$U$7,2,FALSE)))-1,0)</f>
        <v>92282</v>
      </c>
      <c r="F85" s="22">
        <f t="array" aca="1" ref="F85" ca="1">OFFSET(D_马仔培养宝物!$W$1,SMALL(IF(D_马仔培养宝物!$Z$2:$Z$64=D_马仔培养宝物!$E85,ROW($C$2:$H$64),""),RANDBETWEEN(1,VLOOKUP(D_马仔培养宝物!$E85,D_马仔培养宝物!$T$3:$U$7,2,FALSE)))-1,0)</f>
        <v>92275</v>
      </c>
      <c r="G85" s="22">
        <f t="array" aca="1" ref="G85" ca="1">OFFSET(D_马仔培养宝物!$W$1,SMALL(IF(D_马仔培养宝物!$Z$2:$Z$64=D_马仔培养宝物!$E85,ROW($C$2:$H$64),""),RANDBETWEEN(1,VLOOKUP(D_马仔培养宝物!$E85,D_马仔培养宝物!$T$3:$U$7,2,FALSE)))-1,0)</f>
        <v>92298</v>
      </c>
      <c r="H85" s="22">
        <f t="array" aca="1" ref="H85" ca="1">OFFSET(D_马仔培养宝物!$W$1,SMALL(IF(D_马仔培养宝物!$Z$2:$Z$64=D_马仔培养宝物!$E85,ROW($C$2:$H$64),""),RANDBETWEEN(1,VLOOKUP(D_马仔培养宝物!$E85,D_马仔培养宝物!$T$3:$U$7,2,FALSE)))-1,0)</f>
        <v>92026</v>
      </c>
      <c r="J85" s="22">
        <v>92297</v>
      </c>
      <c r="K85" s="22">
        <v>92293</v>
      </c>
      <c r="L85" s="22">
        <v>92244</v>
      </c>
      <c r="M85" s="22">
        <v>92294</v>
      </c>
      <c r="N85" s="22">
        <v>92295</v>
      </c>
      <c r="O85" s="22">
        <v>92254</v>
      </c>
      <c r="P85">
        <f>VLOOKUP(J85,D_马仔培养宝物!$W$2:$AC$64,5,FALSE)+VLOOKUP(K85,D_马仔培养宝物!$W$2:$AC$64,5,FALSE)+VLOOKUP(L85,D_马仔培养宝物!$W$2:$AC$64,5,FALSE)+VLOOKUP(M85,D_马仔培养宝物!$W$2:$AC$64,5,FALSE)+VLOOKUP(N85,D_马仔培养宝物!$W$2:$AC$64,5,FALSE)+VLOOKUP(O85,D_马仔培养宝物!$W$2:$AC$64,5,FALSE)</f>
        <v>4322</v>
      </c>
      <c r="Q85">
        <f>VLOOKUP(J85,D_马仔培养宝物!$W$2:$AC$64,6,FALSE)+VLOOKUP(K85,D_马仔培养宝物!$W$2:$AC$64,6,FALSE)+VLOOKUP(L85,D_马仔培养宝物!$W$2:$AC$64,6,FALSE)+VLOOKUP(M85,D_马仔培养宝物!$W$2:$AC$64,6,FALSE)+VLOOKUP(N85,D_马仔培养宝物!$W$2:$AC$64,6,FALSE)+VLOOKUP(O85,D_马仔培养宝物!$W$2:$AC$64,6,FALSE)</f>
        <v>178</v>
      </c>
      <c r="R85">
        <f>VLOOKUP(J85,D_马仔培养宝物!$W$2:$AC$64,7,FALSE)+VLOOKUP(K85,D_马仔培养宝物!$W$2:$AC$64,7,FALSE)+VLOOKUP(L85,D_马仔培养宝物!$W$2:$AC$64,7,FALSE)+VLOOKUP(M85,D_马仔培养宝物!$W$2:$AC$64,7,FALSE)+VLOOKUP(N85,D_马仔培养宝物!$W$2:$AC$64,7,FALSE)+VLOOKUP(O85,D_马仔培养宝物!$W$2:$AC$64,7,FALSE)</f>
        <v>44</v>
      </c>
    </row>
    <row r="86" spans="3:18">
      <c r="C86" s="19">
        <f t="array" aca="1" ref="C86" ca="1">OFFSET(D_马仔培养宝物!$W$1,SMALL(IF(D_马仔培养宝物!$Z$2:$Z$64=D_马仔培养宝物!$E86,ROW($C$2:$H$64),""),RANDBETWEEN(1,VLOOKUP(D_马仔培养宝物!$E86,D_马仔培养宝物!$T$3:$U$7,2,FALSE)))-1,0)</f>
        <v>92131</v>
      </c>
      <c r="D86" s="19">
        <f t="array" aca="1" ref="D86" ca="1">OFFSET(D_马仔培养宝物!$W$1,SMALL(IF(D_马仔培养宝物!$Z$2:$Z$64=D_马仔培养宝物!$E86,ROW($C$2:$H$64),""),RANDBETWEEN(1,VLOOKUP(D_马仔培养宝物!$E86,D_马仔培养宝物!$T$3:$U$7,2,FALSE)))-1,0)</f>
        <v>92228</v>
      </c>
      <c r="E86" s="19">
        <f t="array" aca="1" ref="E86" ca="1">OFFSET(D_马仔培养宝物!$W$1,SMALL(IF(D_马仔培养宝物!$Z$2:$Z$64=D_马仔培养宝物!$E86,ROW($C$2:$H$64),""),RANDBETWEEN(1,VLOOKUP(D_马仔培养宝物!$E86,D_马仔培养宝物!$T$3:$U$7,2,FALSE)))-1,0)</f>
        <v>92263</v>
      </c>
      <c r="F86" s="19">
        <f t="array" aca="1" ref="F86" ca="1">OFFSET(D_马仔培养宝物!$W$1,SMALL(IF(D_马仔培养宝物!$Z$2:$Z$64=D_马仔培养宝物!$E86,ROW($C$2:$H$64),""),RANDBETWEEN(1,VLOOKUP(D_马仔培养宝物!$E86,D_马仔培养宝物!$T$3:$U$7,2,FALSE)))-1,0)</f>
        <v>92244</v>
      </c>
      <c r="G86" s="19">
        <f t="array" aca="1" ref="G86" ca="1">OFFSET(D_马仔培养宝物!$W$1,SMALL(IF(D_马仔培养宝物!$Z$2:$Z$64=D_马仔培养宝物!$E86,ROW($C$2:$H$64),""),RANDBETWEEN(1,VLOOKUP(D_马仔培养宝物!$E86,D_马仔培养宝物!$T$3:$U$7,2,FALSE)))-1,0)</f>
        <v>92244</v>
      </c>
      <c r="H86" s="19">
        <f t="array" aca="1" ref="H86" ca="1">OFFSET(D_马仔培养宝物!$W$1,SMALL(IF(D_马仔培养宝物!$Z$2:$Z$64=D_马仔培养宝物!$E86,ROW($C$2:$H$64),""),RANDBETWEEN(1,VLOOKUP(D_马仔培养宝物!$E86,D_马仔培养宝物!$T$3:$U$7,2,FALSE)))-1,0)</f>
        <v>92131</v>
      </c>
      <c r="J86" s="19">
        <v>92125</v>
      </c>
      <c r="K86" s="19">
        <v>92012</v>
      </c>
      <c r="L86" s="19">
        <v>92011</v>
      </c>
      <c r="M86" s="19">
        <v>92122</v>
      </c>
      <c r="N86" s="19">
        <v>92014</v>
      </c>
      <c r="O86" s="19">
        <v>92026</v>
      </c>
      <c r="P86">
        <f>VLOOKUP(J86,D_马仔培养宝物!$W$2:$AC$64,5,FALSE)+VLOOKUP(K86,D_马仔培养宝物!$W$2:$AC$64,5,FALSE)+VLOOKUP(L86,D_马仔培养宝物!$W$2:$AC$64,5,FALSE)+VLOOKUP(M86,D_马仔培养宝物!$W$2:$AC$64,5,FALSE)+VLOOKUP(N86,D_马仔培养宝物!$W$2:$AC$64,5,FALSE)+VLOOKUP(O86,D_马仔培养宝物!$W$2:$AC$64,5,FALSE)</f>
        <v>2881</v>
      </c>
      <c r="Q86">
        <f>VLOOKUP(J86,D_马仔培养宝物!$W$2:$AC$64,6,FALSE)+VLOOKUP(K86,D_马仔培养宝物!$W$2:$AC$64,6,FALSE)+VLOOKUP(L86,D_马仔培养宝物!$W$2:$AC$64,6,FALSE)+VLOOKUP(M86,D_马仔培养宝物!$W$2:$AC$64,6,FALSE)+VLOOKUP(N86,D_马仔培养宝物!$W$2:$AC$64,6,FALSE)+VLOOKUP(O86,D_马仔培养宝物!$W$2:$AC$64,6,FALSE)</f>
        <v>146</v>
      </c>
      <c r="R86">
        <f>VLOOKUP(J86,D_马仔培养宝物!$W$2:$AC$64,7,FALSE)+VLOOKUP(K86,D_马仔培养宝物!$W$2:$AC$64,7,FALSE)+VLOOKUP(L86,D_马仔培养宝物!$W$2:$AC$64,7,FALSE)+VLOOKUP(M86,D_马仔培养宝物!$W$2:$AC$64,7,FALSE)+VLOOKUP(N86,D_马仔培养宝物!$W$2:$AC$64,7,FALSE)+VLOOKUP(O86,D_马仔培养宝物!$W$2:$AC$64,7,FALSE)</f>
        <v>31</v>
      </c>
    </row>
    <row r="87" spans="3:18">
      <c r="C87" s="5">
        <f t="array" aca="1" ref="C87" ca="1">OFFSET(D_马仔培养宝物!$W$1,SMALL(IF(D_马仔培养宝物!$Z$2:$Z$64=D_马仔培养宝物!$E87,ROW($C$2:$H$64),""),RANDBETWEEN(1,VLOOKUP(D_马仔培养宝物!$E87,D_马仔培养宝物!$T$3:$U$7,2,FALSE)))-1,0)</f>
        <v>92243</v>
      </c>
      <c r="D87" s="5">
        <f t="array" aca="1" ref="D87" ca="1">OFFSET(D_马仔培养宝物!$W$1,SMALL(IF(D_马仔培养宝物!$Z$2:$Z$64=D_马仔培养宝物!$E87,ROW($C$2:$H$64),""),RANDBETWEEN(1,VLOOKUP(D_马仔培养宝物!$E87,D_马仔培养宝物!$T$3:$U$7,2,FALSE)))-1,0)</f>
        <v>92228</v>
      </c>
      <c r="E87" s="5">
        <f t="array" aca="1" ref="E87" ca="1">OFFSET(D_马仔培养宝物!$W$1,SMALL(IF(D_马仔培养宝物!$Z$2:$Z$64=D_马仔培养宝物!$E87,ROW($C$2:$H$64),""),RANDBETWEEN(1,VLOOKUP(D_马仔培养宝物!$E87,D_马仔培养宝物!$T$3:$U$7,2,FALSE)))-1,0)</f>
        <v>92011</v>
      </c>
      <c r="F87" s="5">
        <f t="array" aca="1" ref="F87" ca="1">OFFSET(D_马仔培养宝物!$W$1,SMALL(IF(D_马仔培养宝物!$Z$2:$Z$64=D_马仔培养宝物!$E87,ROW($C$2:$H$64),""),RANDBETWEEN(1,VLOOKUP(D_马仔培养宝物!$E87,D_马仔培养宝物!$T$3:$U$7,2,FALSE)))-1,0)</f>
        <v>92263</v>
      </c>
      <c r="G87" s="5">
        <f t="array" aca="1" ref="G87" ca="1">OFFSET(D_马仔培养宝物!$W$1,SMALL(IF(D_马仔培养宝物!$Z$2:$Z$64=D_马仔培养宝物!$E87,ROW($C$2:$H$64),""),RANDBETWEEN(1,VLOOKUP(D_马仔培养宝物!$E87,D_马仔培养宝物!$T$3:$U$7,2,FALSE)))-1,0)</f>
        <v>92263</v>
      </c>
      <c r="H87" s="5">
        <f t="array" aca="1" ref="H87" ca="1">OFFSET(D_马仔培养宝物!$W$1,SMALL(IF(D_马仔培养宝物!$Z$2:$Z$64=D_马仔培养宝物!$E87,ROW($C$2:$H$64),""),RANDBETWEEN(1,VLOOKUP(D_马仔培养宝物!$E87,D_马仔培养宝物!$T$3:$U$7,2,FALSE)))-1,0)</f>
        <v>92228</v>
      </c>
      <c r="J87" s="5">
        <v>92011</v>
      </c>
      <c r="K87" s="5">
        <v>92223</v>
      </c>
      <c r="L87" s="5">
        <v>92124</v>
      </c>
      <c r="M87" s="5">
        <v>92227</v>
      </c>
      <c r="N87" s="5">
        <v>92012</v>
      </c>
      <c r="O87" s="5">
        <v>92013</v>
      </c>
      <c r="P87">
        <f>VLOOKUP(J87,D_马仔培养宝物!$W$2:$AC$64,5,FALSE)+VLOOKUP(K87,D_马仔培养宝物!$W$2:$AC$64,5,FALSE)+VLOOKUP(L87,D_马仔培养宝物!$W$2:$AC$64,5,FALSE)+VLOOKUP(M87,D_马仔培养宝物!$W$2:$AC$64,5,FALSE)+VLOOKUP(N87,D_马仔培养宝物!$W$2:$AC$64,5,FALSE)+VLOOKUP(O87,D_马仔培养宝物!$W$2:$AC$64,5,FALSE)</f>
        <v>2469</v>
      </c>
      <c r="Q87">
        <f>VLOOKUP(J87,D_马仔培养宝物!$W$2:$AC$64,6,FALSE)+VLOOKUP(K87,D_马仔培养宝物!$W$2:$AC$64,6,FALSE)+VLOOKUP(L87,D_马仔培养宝物!$W$2:$AC$64,6,FALSE)+VLOOKUP(M87,D_马仔培养宝物!$W$2:$AC$64,6,FALSE)+VLOOKUP(N87,D_马仔培养宝物!$W$2:$AC$64,6,FALSE)+VLOOKUP(O87,D_马仔培养宝物!$W$2:$AC$64,6,FALSE)</f>
        <v>10</v>
      </c>
      <c r="R87">
        <f>VLOOKUP(J87,D_马仔培养宝物!$W$2:$AC$64,7,FALSE)+VLOOKUP(K87,D_马仔培养宝物!$W$2:$AC$64,7,FALSE)+VLOOKUP(L87,D_马仔培养宝物!$W$2:$AC$64,7,FALSE)+VLOOKUP(M87,D_马仔培养宝物!$W$2:$AC$64,7,FALSE)+VLOOKUP(N87,D_马仔培养宝物!$W$2:$AC$64,7,FALSE)+VLOOKUP(O87,D_马仔培养宝物!$W$2:$AC$64,7,FALSE)</f>
        <v>84</v>
      </c>
    </row>
    <row r="88" spans="3:18">
      <c r="C88" s="5">
        <f t="array" aca="1" ref="C88" ca="1">OFFSET(D_马仔培养宝物!$W$1,SMALL(IF(D_马仔培养宝物!$Z$2:$Z$64=D_马仔培养宝物!$E88,ROW($C$2:$H$64),""),RANDBETWEEN(1,VLOOKUP(D_马仔培养宝物!$E88,D_马仔培养宝物!$T$3:$U$7,2,FALSE)))-1,0)</f>
        <v>92283</v>
      </c>
      <c r="D88" s="5">
        <f t="array" aca="1" ref="D88" ca="1">OFFSET(D_马仔培养宝物!$W$1,SMALL(IF(D_马仔培养宝物!$Z$2:$Z$64=D_马仔培养宝物!$E88,ROW($C$2:$H$64),""),RANDBETWEEN(1,VLOOKUP(D_马仔培养宝物!$E88,D_马仔培养宝物!$T$3:$U$7,2,FALSE)))-1,0)</f>
        <v>92122</v>
      </c>
      <c r="E88" s="5">
        <f t="array" aca="1" ref="E88" ca="1">OFFSET(D_马仔培养宝物!$W$1,SMALL(IF(D_马仔培养宝物!$Z$2:$Z$64=D_马仔培养宝物!$E88,ROW($C$2:$H$64),""),RANDBETWEEN(1,VLOOKUP(D_马仔培养宝物!$E88,D_马仔培养宝物!$T$3:$U$7,2,FALSE)))-1,0)</f>
        <v>92122</v>
      </c>
      <c r="F88" s="5">
        <f t="array" aca="1" ref="F88" ca="1">OFFSET(D_马仔培养宝物!$W$1,SMALL(IF(D_马仔培养宝物!$Z$2:$Z$64=D_马仔培养宝物!$E88,ROW($C$2:$H$64),""),RANDBETWEEN(1,VLOOKUP(D_马仔培养宝物!$E88,D_马仔培养宝物!$T$3:$U$7,2,FALSE)))-1,0)</f>
        <v>92122</v>
      </c>
      <c r="G88" s="5">
        <f t="array" aca="1" ref="G88" ca="1">OFFSET(D_马仔培养宝物!$W$1,SMALL(IF(D_马仔培养宝物!$Z$2:$Z$64=D_马仔培养宝物!$E88,ROW($C$2:$H$64),""),RANDBETWEEN(1,VLOOKUP(D_马仔培养宝物!$E88,D_马仔培养宝物!$T$3:$U$7,2,FALSE)))-1,0)</f>
        <v>92141</v>
      </c>
      <c r="H88" s="5">
        <f t="array" aca="1" ref="H88" ca="1">OFFSET(D_马仔培养宝物!$W$1,SMALL(IF(D_马仔培养宝物!$Z$2:$Z$64=D_马仔培养宝物!$E88,ROW($C$2:$H$64),""),RANDBETWEEN(1,VLOOKUP(D_马仔培养宝物!$E88,D_马仔培养宝物!$T$3:$U$7,2,FALSE)))-1,0)</f>
        <v>92264</v>
      </c>
      <c r="J88" s="5">
        <v>92286</v>
      </c>
      <c r="K88" s="5">
        <v>92232</v>
      </c>
      <c r="L88" s="5">
        <v>92131</v>
      </c>
      <c r="M88" s="5">
        <v>92273</v>
      </c>
      <c r="N88" s="5">
        <v>92236</v>
      </c>
      <c r="O88" s="5">
        <v>92287</v>
      </c>
      <c r="P88">
        <f>VLOOKUP(J88,D_马仔培养宝物!$W$2:$AC$64,5,FALSE)+VLOOKUP(K88,D_马仔培养宝物!$W$2:$AC$64,5,FALSE)+VLOOKUP(L88,D_马仔培养宝物!$W$2:$AC$64,5,FALSE)+VLOOKUP(M88,D_马仔培养宝物!$W$2:$AC$64,5,FALSE)+VLOOKUP(N88,D_马仔培养宝物!$W$2:$AC$64,5,FALSE)+VLOOKUP(O88,D_马仔培养宝物!$W$2:$AC$64,5,FALSE)</f>
        <v>1029</v>
      </c>
      <c r="Q88">
        <f>VLOOKUP(J88,D_马仔培养宝物!$W$2:$AC$64,6,FALSE)+VLOOKUP(K88,D_马仔培养宝物!$W$2:$AC$64,6,FALSE)+VLOOKUP(L88,D_马仔培养宝物!$W$2:$AC$64,6,FALSE)+VLOOKUP(M88,D_马仔培养宝物!$W$2:$AC$64,6,FALSE)+VLOOKUP(N88,D_马仔培养宝物!$W$2:$AC$64,6,FALSE)+VLOOKUP(O88,D_马仔培养宝物!$W$2:$AC$64,6,FALSE)</f>
        <v>125</v>
      </c>
      <c r="R88">
        <f>VLOOKUP(J88,D_马仔培养宝物!$W$2:$AC$64,7,FALSE)+VLOOKUP(K88,D_马仔培养宝物!$W$2:$AC$64,7,FALSE)+VLOOKUP(L88,D_马仔培养宝物!$W$2:$AC$64,7,FALSE)+VLOOKUP(M88,D_马仔培养宝物!$W$2:$AC$64,7,FALSE)+VLOOKUP(N88,D_马仔培养宝物!$W$2:$AC$64,7,FALSE)+VLOOKUP(O88,D_马仔培养宝物!$W$2:$AC$64,7,FALSE)</f>
        <v>40</v>
      </c>
    </row>
    <row r="89" spans="3:18">
      <c r="C89" s="5">
        <f t="array" aca="1" ref="C89" ca="1">OFFSET(D_马仔培养宝物!$W$1,SMALL(IF(D_马仔培养宝物!$Z$2:$Z$64=D_马仔培养宝物!$E89,ROW($C$2:$H$64),""),RANDBETWEEN(1,VLOOKUP(D_马仔培养宝物!$E89,D_马仔培养宝物!$T$3:$U$7,2,FALSE)))-1,0)</f>
        <v>92283</v>
      </c>
      <c r="D89" s="5">
        <f t="array" aca="1" ref="D89" ca="1">OFFSET(D_马仔培养宝物!$W$1,SMALL(IF(D_马仔培养宝物!$Z$2:$Z$64=D_马仔培养宝物!$E89,ROW($C$2:$H$64),""),RANDBETWEEN(1,VLOOKUP(D_马仔培养宝物!$E89,D_马仔培养宝物!$T$3:$U$7,2,FALSE)))-1,0)</f>
        <v>92122</v>
      </c>
      <c r="E89" s="5">
        <f t="array" aca="1" ref="E89" ca="1">OFFSET(D_马仔培养宝物!$W$1,SMALL(IF(D_马仔培养宝物!$Z$2:$Z$64=D_马仔培养宝物!$E89,ROW($C$2:$H$64),""),RANDBETWEEN(1,VLOOKUP(D_马仔培养宝物!$E89,D_马仔培养宝物!$T$3:$U$7,2,FALSE)))-1,0)</f>
        <v>92283</v>
      </c>
      <c r="F89" s="5">
        <f t="array" aca="1" ref="F89" ca="1">OFFSET(D_马仔培养宝物!$W$1,SMALL(IF(D_马仔培养宝物!$Z$2:$Z$64=D_马仔培养宝物!$E89,ROW($C$2:$H$64),""),RANDBETWEEN(1,VLOOKUP(D_马仔培养宝物!$E89,D_马仔培养宝物!$T$3:$U$7,2,FALSE)))-1,0)</f>
        <v>92141</v>
      </c>
      <c r="G89" s="5">
        <f t="array" aca="1" ref="G89" ca="1">OFFSET(D_马仔培养宝物!$W$1,SMALL(IF(D_马仔培养宝物!$Z$2:$Z$64=D_马仔培养宝物!$E89,ROW($C$2:$H$64),""),RANDBETWEEN(1,VLOOKUP(D_马仔培养宝物!$E89,D_马仔培养宝物!$T$3:$U$7,2,FALSE)))-1,0)</f>
        <v>92283</v>
      </c>
      <c r="H89" s="5">
        <f t="array" aca="1" ref="H89" ca="1">OFFSET(D_马仔培养宝物!$W$1,SMALL(IF(D_马仔培养宝物!$Z$2:$Z$64=D_马仔培养宝物!$E89,ROW($C$2:$H$64),""),RANDBETWEEN(1,VLOOKUP(D_马仔培养宝物!$E89,D_马仔培养宝物!$T$3:$U$7,2,FALSE)))-1,0)</f>
        <v>92264</v>
      </c>
      <c r="J89" s="5">
        <v>92286</v>
      </c>
      <c r="K89" s="5">
        <v>92233</v>
      </c>
      <c r="L89" s="5">
        <v>92273</v>
      </c>
      <c r="M89" s="5">
        <v>92232</v>
      </c>
      <c r="N89" s="5">
        <v>92235</v>
      </c>
      <c r="O89" s="5">
        <v>92131</v>
      </c>
      <c r="P89">
        <f>VLOOKUP(J89,D_马仔培养宝物!$W$2:$AC$64,5,FALSE)+VLOOKUP(K89,D_马仔培养宝物!$W$2:$AC$64,5,FALSE)+VLOOKUP(L89,D_马仔培养宝物!$W$2:$AC$64,5,FALSE)+VLOOKUP(M89,D_马仔培养宝物!$W$2:$AC$64,5,FALSE)+VLOOKUP(N89,D_马仔培养宝物!$W$2:$AC$64,5,FALSE)+VLOOKUP(O89,D_马仔培养宝物!$W$2:$AC$64,5,FALSE)</f>
        <v>1029</v>
      </c>
      <c r="Q89">
        <f>VLOOKUP(J89,D_马仔培养宝物!$W$2:$AC$64,6,FALSE)+VLOOKUP(K89,D_马仔培养宝物!$W$2:$AC$64,6,FALSE)+VLOOKUP(L89,D_马仔培养宝物!$W$2:$AC$64,6,FALSE)+VLOOKUP(M89,D_马仔培养宝物!$W$2:$AC$64,6,FALSE)+VLOOKUP(N89,D_马仔培养宝物!$W$2:$AC$64,6,FALSE)+VLOOKUP(O89,D_马仔培养宝物!$W$2:$AC$64,6,FALSE)</f>
        <v>52</v>
      </c>
      <c r="R89">
        <f>VLOOKUP(J89,D_马仔培养宝物!$W$2:$AC$64,7,FALSE)+VLOOKUP(K89,D_马仔培养宝物!$W$2:$AC$64,7,FALSE)+VLOOKUP(L89,D_马仔培养宝物!$W$2:$AC$64,7,FALSE)+VLOOKUP(M89,D_马仔培养宝物!$W$2:$AC$64,7,FALSE)+VLOOKUP(N89,D_马仔培养宝物!$W$2:$AC$64,7,FALSE)+VLOOKUP(O89,D_马仔培养宝物!$W$2:$AC$64,7,FALSE)</f>
        <v>62</v>
      </c>
    </row>
    <row r="90" spans="3:18">
      <c r="C90" s="5">
        <f t="array" aca="1" ref="C90" ca="1">OFFSET(D_马仔培养宝物!$W$1,SMALL(IF(D_马仔培养宝物!$Z$2:$Z$64=D_马仔培养宝物!$E90,ROW($C$2:$H$64),""),RANDBETWEEN(1,VLOOKUP(D_马仔培养宝物!$E90,D_马仔培养宝物!$T$3:$U$7,2,FALSE)))-1,0)</f>
        <v>92288</v>
      </c>
      <c r="D90" s="5">
        <f t="array" aca="1" ref="D90" ca="1">OFFSET(D_马仔培养宝物!$W$1,SMALL(IF(D_马仔培养宝物!$Z$2:$Z$64=D_马仔培养宝物!$E90,ROW($C$2:$H$64),""),RANDBETWEEN(1,VLOOKUP(D_马仔培养宝物!$E90,D_马仔培养宝物!$T$3:$U$7,2,FALSE)))-1,0)</f>
        <v>92142</v>
      </c>
      <c r="E90" s="5">
        <f t="array" aca="1" ref="E90" ca="1">OFFSET(D_马仔培养宝物!$W$1,SMALL(IF(D_马仔培养宝物!$Z$2:$Z$64=D_马仔培养宝物!$E90,ROW($C$2:$H$64),""),RANDBETWEEN(1,VLOOKUP(D_马仔培养宝物!$E90,D_马仔培养宝物!$T$3:$U$7,2,FALSE)))-1,0)</f>
        <v>92124</v>
      </c>
      <c r="F90" s="5">
        <f t="array" aca="1" ref="F90" ca="1">OFFSET(D_马仔培养宝物!$W$1,SMALL(IF(D_马仔培养宝物!$Z$2:$Z$64=D_马仔培养宝物!$E90,ROW($C$2:$H$64),""),RANDBETWEEN(1,VLOOKUP(D_马仔培养宝物!$E90,D_马仔培养宝物!$T$3:$U$7,2,FALSE)))-1,0)</f>
        <v>92273</v>
      </c>
      <c r="G90" s="5">
        <f t="array" aca="1" ref="G90" ca="1">OFFSET(D_马仔培养宝物!$W$1,SMALL(IF(D_马仔培养宝物!$Z$2:$Z$64=D_马仔培养宝物!$E90,ROW($C$2:$H$64),""),RANDBETWEEN(1,VLOOKUP(D_马仔培养宝物!$E90,D_马仔培养宝物!$T$3:$U$7,2,FALSE)))-1,0)</f>
        <v>92279</v>
      </c>
      <c r="H90" s="5">
        <f t="array" aca="1" ref="H90" ca="1">OFFSET(D_马仔培养宝物!$W$1,SMALL(IF(D_马仔培养宝物!$Z$2:$Z$64=D_马仔培养宝物!$E90,ROW($C$2:$H$64),""),RANDBETWEEN(1,VLOOKUP(D_马仔培养宝物!$E90,D_马仔培养宝物!$T$3:$U$7,2,FALSE)))-1,0)</f>
        <v>92142</v>
      </c>
      <c r="J90" s="5">
        <v>92284</v>
      </c>
      <c r="K90" s="5">
        <v>92283</v>
      </c>
      <c r="L90" s="5">
        <v>92262</v>
      </c>
      <c r="M90" s="5">
        <v>92285</v>
      </c>
      <c r="N90" s="5">
        <v>92134</v>
      </c>
      <c r="O90" s="5">
        <v>92142</v>
      </c>
      <c r="P90">
        <f>VLOOKUP(J90,D_马仔培养宝物!$W$2:$AC$64,5,FALSE)+VLOOKUP(K90,D_马仔培养宝物!$W$2:$AC$64,5,FALSE)+VLOOKUP(L90,D_马仔培养宝物!$W$2:$AC$64,5,FALSE)+VLOOKUP(M90,D_马仔培养宝物!$W$2:$AC$64,5,FALSE)+VLOOKUP(N90,D_马仔培养宝物!$W$2:$AC$64,5,FALSE)+VLOOKUP(O90,D_马仔培养宝物!$W$2:$AC$64,5,FALSE)</f>
        <v>1029</v>
      </c>
      <c r="Q90">
        <f>VLOOKUP(J90,D_马仔培养宝物!$W$2:$AC$64,6,FALSE)+VLOOKUP(K90,D_马仔培养宝物!$W$2:$AC$64,6,FALSE)+VLOOKUP(L90,D_马仔培养宝物!$W$2:$AC$64,6,FALSE)+VLOOKUP(M90,D_马仔培养宝物!$W$2:$AC$64,6,FALSE)+VLOOKUP(N90,D_马仔培养宝物!$W$2:$AC$64,6,FALSE)+VLOOKUP(O90,D_马仔培养宝物!$W$2:$AC$64,6,FALSE)</f>
        <v>303</v>
      </c>
      <c r="R90">
        <f>VLOOKUP(J90,D_马仔培养宝物!$W$2:$AC$64,7,FALSE)+VLOOKUP(K90,D_马仔培养宝物!$W$2:$AC$64,7,FALSE)+VLOOKUP(L90,D_马仔培养宝物!$W$2:$AC$64,7,FALSE)+VLOOKUP(M90,D_马仔培养宝物!$W$2:$AC$64,7,FALSE)+VLOOKUP(N90,D_马仔培养宝物!$W$2:$AC$64,7,FALSE)+VLOOKUP(O90,D_马仔培养宝物!$W$2:$AC$64,7,FALSE)</f>
        <v>13</v>
      </c>
    </row>
    <row r="91" spans="3:18">
      <c r="C91" s="5">
        <f t="array" aca="1" ref="C91" ca="1">OFFSET(D_马仔培养宝物!$W$1,SMALL(IF(D_马仔培养宝物!$Z$2:$Z$64=D_马仔培养宝物!$E91,ROW($C$2:$H$64),""),RANDBETWEEN(1,VLOOKUP(D_马仔培养宝物!$E91,D_马仔培养宝物!$T$3:$U$7,2,FALSE)))-1,0)</f>
        <v>92124</v>
      </c>
      <c r="D91" s="5">
        <f t="array" aca="1" ref="D91" ca="1">OFFSET(D_马仔培养宝物!$W$1,SMALL(IF(D_马仔培养宝物!$Z$2:$Z$64=D_马仔培养宝物!$E91,ROW($C$2:$H$64),""),RANDBETWEEN(1,VLOOKUP(D_马仔培养宝物!$E91,D_马仔培养宝物!$T$3:$U$7,2,FALSE)))-1,0)</f>
        <v>92288</v>
      </c>
      <c r="E91" s="5">
        <f t="array" aca="1" ref="E91" ca="1">OFFSET(D_马仔培养宝物!$W$1,SMALL(IF(D_马仔培养宝物!$Z$2:$Z$64=D_马仔培养宝物!$E91,ROW($C$2:$H$64),""),RANDBETWEEN(1,VLOOKUP(D_马仔培养宝物!$E91,D_马仔培养宝物!$T$3:$U$7,2,FALSE)))-1,0)</f>
        <v>92272</v>
      </c>
      <c r="F91" s="5">
        <f t="array" aca="1" ref="F91" ca="1">OFFSET(D_马仔培养宝物!$W$1,SMALL(IF(D_马仔培养宝物!$Z$2:$Z$64=D_马仔培养宝物!$E91,ROW($C$2:$H$64),""),RANDBETWEEN(1,VLOOKUP(D_马仔培养宝物!$E91,D_马仔培养宝物!$T$3:$U$7,2,FALSE)))-1,0)</f>
        <v>92235</v>
      </c>
      <c r="G91" s="5">
        <f t="array" aca="1" ref="G91" ca="1">OFFSET(D_马仔培养宝物!$W$1,SMALL(IF(D_马仔培养宝物!$Z$2:$Z$64=D_马仔培养宝物!$E91,ROW($C$2:$H$64),""),RANDBETWEEN(1,VLOOKUP(D_马仔培养宝物!$E91,D_马仔培养宝物!$T$3:$U$7,2,FALSE)))-1,0)</f>
        <v>92142</v>
      </c>
      <c r="H91" s="5">
        <f t="array" aca="1" ref="H91" ca="1">OFFSET(D_马仔培养宝物!$W$1,SMALL(IF(D_马仔培养宝物!$Z$2:$Z$64=D_马仔培养宝物!$E91,ROW($C$2:$H$64),""),RANDBETWEEN(1,VLOOKUP(D_马仔培养宝物!$E91,D_马仔培养宝物!$T$3:$U$7,2,FALSE)))-1,0)</f>
        <v>92252</v>
      </c>
      <c r="J91" s="5">
        <v>92134</v>
      </c>
      <c r="K91" s="5">
        <v>92285</v>
      </c>
      <c r="L91" s="5">
        <v>92283</v>
      </c>
      <c r="M91" s="5">
        <v>92284</v>
      </c>
      <c r="N91" s="5">
        <v>92262</v>
      </c>
      <c r="O91" s="5">
        <v>92142</v>
      </c>
      <c r="P91">
        <f>VLOOKUP(J91,D_马仔培养宝物!$W$2:$AC$64,5,FALSE)+VLOOKUP(K91,D_马仔培养宝物!$W$2:$AC$64,5,FALSE)+VLOOKUP(L91,D_马仔培养宝物!$W$2:$AC$64,5,FALSE)+VLOOKUP(M91,D_马仔培养宝物!$W$2:$AC$64,5,FALSE)+VLOOKUP(N91,D_马仔培养宝物!$W$2:$AC$64,5,FALSE)+VLOOKUP(O91,D_马仔培养宝物!$W$2:$AC$64,5,FALSE)</f>
        <v>1029</v>
      </c>
      <c r="Q91">
        <f>VLOOKUP(J91,D_马仔培养宝物!$W$2:$AC$64,6,FALSE)+VLOOKUP(K91,D_马仔培养宝物!$W$2:$AC$64,6,FALSE)+VLOOKUP(L91,D_马仔培养宝物!$W$2:$AC$64,6,FALSE)+VLOOKUP(M91,D_马仔培养宝物!$W$2:$AC$64,6,FALSE)+VLOOKUP(N91,D_马仔培养宝物!$W$2:$AC$64,6,FALSE)+VLOOKUP(O91,D_马仔培养宝物!$W$2:$AC$64,6,FALSE)</f>
        <v>303</v>
      </c>
      <c r="R91">
        <f>VLOOKUP(J91,D_马仔培养宝物!$W$2:$AC$64,7,FALSE)+VLOOKUP(K91,D_马仔培养宝物!$W$2:$AC$64,7,FALSE)+VLOOKUP(L91,D_马仔培养宝物!$W$2:$AC$64,7,FALSE)+VLOOKUP(M91,D_马仔培养宝物!$W$2:$AC$64,7,FALSE)+VLOOKUP(N91,D_马仔培养宝物!$W$2:$AC$64,7,FALSE)+VLOOKUP(O91,D_马仔培养宝物!$W$2:$AC$64,7,FALSE)</f>
        <v>13</v>
      </c>
    </row>
    <row r="92" spans="3:18">
      <c r="C92" s="5">
        <f t="array" aca="1" ref="C92" ca="1">OFFSET(D_马仔培养宝物!$W$1,SMALL(IF(D_马仔培养宝物!$Z$2:$Z$64=D_马仔培养宝物!$E92,ROW($C$2:$H$64),""),RANDBETWEEN(1,VLOOKUP(D_马仔培养宝物!$E92,D_马仔培养宝物!$T$3:$U$7,2,FALSE)))-1,0)</f>
        <v>92280</v>
      </c>
      <c r="D92" s="5">
        <f t="array" aca="1" ref="D92" ca="1">OFFSET(D_马仔培养宝物!$W$1,SMALL(IF(D_马仔培养宝物!$Z$2:$Z$64=D_马仔培养宝物!$E92,ROW($C$2:$H$64),""),RANDBETWEEN(1,VLOOKUP(D_马仔培养宝物!$E92,D_马仔培养宝物!$T$3:$U$7,2,FALSE)))-1,0)</f>
        <v>92125</v>
      </c>
      <c r="E92" s="5">
        <f t="array" aca="1" ref="E92" ca="1">OFFSET(D_马仔培养宝物!$W$1,SMALL(IF(D_马仔培养宝物!$Z$2:$Z$64=D_马仔培养宝物!$E92,ROW($C$2:$H$64),""),RANDBETWEEN(1,VLOOKUP(D_马仔培养宝物!$E92,D_马仔培养宝物!$T$3:$U$7,2,FALSE)))-1,0)</f>
        <v>92285</v>
      </c>
      <c r="F92" s="5">
        <f t="array" aca="1" ref="F92" ca="1">OFFSET(D_马仔培养宝物!$W$1,SMALL(IF(D_马仔培养宝物!$Z$2:$Z$64=D_马仔培养宝物!$E92,ROW($C$2:$H$64),""),RANDBETWEEN(1,VLOOKUP(D_马仔培养宝物!$E92,D_马仔培养宝物!$T$3:$U$7,2,FALSE)))-1,0)</f>
        <v>92280</v>
      </c>
      <c r="G92" s="5">
        <f t="array" aca="1" ref="G92" ca="1">OFFSET(D_马仔培养宝物!$W$1,SMALL(IF(D_马仔培养宝物!$Z$2:$Z$64=D_马仔培养宝物!$E92,ROW($C$2:$H$64),""),RANDBETWEEN(1,VLOOKUP(D_马仔培养宝物!$E92,D_马仔培养宝物!$T$3:$U$7,2,FALSE)))-1,0)</f>
        <v>92285</v>
      </c>
      <c r="H92" s="5">
        <f t="array" aca="1" ref="H92" ca="1">OFFSET(D_马仔培养宝物!$W$1,SMALL(IF(D_马仔培养宝物!$Z$2:$Z$64=D_马仔培养宝物!$E92,ROW($C$2:$H$64),""),RANDBETWEEN(1,VLOOKUP(D_马仔培养宝物!$E92,D_马仔培养宝物!$T$3:$U$7,2,FALSE)))-1,0)</f>
        <v>92289</v>
      </c>
      <c r="J92" s="5">
        <v>92264</v>
      </c>
      <c r="K92" s="5">
        <v>92274</v>
      </c>
      <c r="L92" s="5">
        <v>92281</v>
      </c>
      <c r="M92" s="5">
        <v>92275</v>
      </c>
      <c r="N92" s="5">
        <v>92279</v>
      </c>
      <c r="O92" s="5">
        <v>92280</v>
      </c>
      <c r="P92">
        <f>VLOOKUP(J92,D_马仔培养宝物!$W$2:$AC$64,5,FALSE)+VLOOKUP(K92,D_马仔培养宝物!$W$2:$AC$64,5,FALSE)+VLOOKUP(L92,D_马仔培养宝物!$W$2:$AC$64,5,FALSE)+VLOOKUP(M92,D_马仔培养宝物!$W$2:$AC$64,5,FALSE)+VLOOKUP(N92,D_马仔培养宝物!$W$2:$AC$64,5,FALSE)+VLOOKUP(O92,D_马仔培养宝物!$W$2:$AC$64,5,FALSE)</f>
        <v>3292</v>
      </c>
      <c r="Q92">
        <f>VLOOKUP(J92,D_马仔培养宝物!$W$2:$AC$64,6,FALSE)+VLOOKUP(K92,D_马仔培养宝物!$W$2:$AC$64,6,FALSE)+VLOOKUP(L92,D_马仔培养宝物!$W$2:$AC$64,6,FALSE)+VLOOKUP(M92,D_马仔培养宝物!$W$2:$AC$64,6,FALSE)+VLOOKUP(N92,D_马仔培养宝物!$W$2:$AC$64,6,FALSE)+VLOOKUP(O92,D_马仔培养宝物!$W$2:$AC$64,6,FALSE)</f>
        <v>94</v>
      </c>
      <c r="R92">
        <f>VLOOKUP(J92,D_马仔培养宝物!$W$2:$AC$64,7,FALSE)+VLOOKUP(K92,D_马仔培养宝物!$W$2:$AC$64,7,FALSE)+VLOOKUP(L92,D_马仔培养宝物!$W$2:$AC$64,7,FALSE)+VLOOKUP(M92,D_马仔培养宝物!$W$2:$AC$64,7,FALSE)+VLOOKUP(N92,D_马仔培养宝物!$W$2:$AC$64,7,FALSE)+VLOOKUP(O92,D_马仔培养宝物!$W$2:$AC$64,7,FALSE)</f>
        <v>66</v>
      </c>
    </row>
    <row r="93" spans="3:18">
      <c r="C93" s="5">
        <f t="array" aca="1" ref="C93" ca="1">OFFSET(D_马仔培养宝物!$W$1,SMALL(IF(D_马仔培养宝物!$Z$2:$Z$64=D_马仔培养宝物!$E93,ROW($C$2:$H$64),""),RANDBETWEEN(1,VLOOKUP(D_马仔培养宝物!$E93,D_马仔培养宝物!$T$3:$U$7,2,FALSE)))-1,0)</f>
        <v>92223</v>
      </c>
      <c r="D93" s="5">
        <f t="array" aca="1" ref="D93" ca="1">OFFSET(D_马仔培养宝物!$W$1,SMALL(IF(D_马仔培养宝物!$Z$2:$Z$64=D_马仔培养宝物!$E93,ROW($C$2:$H$64),""),RANDBETWEEN(1,VLOOKUP(D_马仔培养宝物!$E93,D_马仔培养宝物!$T$3:$U$7,2,FALSE)))-1,0)</f>
        <v>92125</v>
      </c>
      <c r="E93" s="5">
        <f t="array" aca="1" ref="E93" ca="1">OFFSET(D_马仔培养宝物!$W$1,SMALL(IF(D_马仔培养宝物!$Z$2:$Z$64=D_马仔培养宝物!$E93,ROW($C$2:$H$64),""),RANDBETWEEN(1,VLOOKUP(D_马仔培养宝物!$E93,D_马仔培养宝物!$T$3:$U$7,2,FALSE)))-1,0)</f>
        <v>92227</v>
      </c>
      <c r="F93" s="5">
        <f t="array" aca="1" ref="F93" ca="1">OFFSET(D_马仔培养宝物!$W$1,SMALL(IF(D_马仔培养宝物!$Z$2:$Z$64=D_马仔培养宝物!$E93,ROW($C$2:$H$64),""),RANDBETWEEN(1,VLOOKUP(D_马仔培养宝物!$E93,D_马仔培养宝物!$T$3:$U$7,2,FALSE)))-1,0)</f>
        <v>92254</v>
      </c>
      <c r="G93" s="5">
        <f t="array" aca="1" ref="G93" ca="1">OFFSET(D_马仔培养宝物!$W$1,SMALL(IF(D_马仔培养宝物!$Z$2:$Z$64=D_马仔培养宝物!$E93,ROW($C$2:$H$64),""),RANDBETWEEN(1,VLOOKUP(D_马仔培养宝物!$E93,D_马仔培养宝物!$T$3:$U$7,2,FALSE)))-1,0)</f>
        <v>92253</v>
      </c>
      <c r="H93" s="5">
        <f t="array" aca="1" ref="H93" ca="1">OFFSET(D_马仔培养宝物!$W$1,SMALL(IF(D_马仔培养宝物!$Z$2:$Z$64=D_马仔培养宝物!$E93,ROW($C$2:$H$64),""),RANDBETWEEN(1,VLOOKUP(D_马仔培养宝物!$E93,D_马仔培养宝物!$T$3:$U$7,2,FALSE)))-1,0)</f>
        <v>92254</v>
      </c>
      <c r="J93" s="5">
        <v>92276</v>
      </c>
      <c r="K93" s="5">
        <v>92263</v>
      </c>
      <c r="L93" s="5">
        <v>92264</v>
      </c>
      <c r="M93" s="5">
        <v>92275</v>
      </c>
      <c r="N93" s="5">
        <v>92280</v>
      </c>
      <c r="O93" s="5">
        <v>92272</v>
      </c>
      <c r="P93">
        <f>VLOOKUP(J93,D_马仔培养宝物!$W$2:$AC$64,5,FALSE)+VLOOKUP(K93,D_马仔培养宝物!$W$2:$AC$64,5,FALSE)+VLOOKUP(L93,D_马仔培养宝物!$W$2:$AC$64,5,FALSE)+VLOOKUP(M93,D_马仔培养宝物!$W$2:$AC$64,5,FALSE)+VLOOKUP(N93,D_马仔培养宝物!$W$2:$AC$64,5,FALSE)+VLOOKUP(O93,D_马仔培养宝物!$W$2:$AC$64,5,FALSE)</f>
        <v>6379</v>
      </c>
      <c r="Q93">
        <f>VLOOKUP(J93,D_马仔培养宝物!$W$2:$AC$64,6,FALSE)+VLOOKUP(K93,D_马仔培养宝物!$W$2:$AC$64,6,FALSE)+VLOOKUP(L93,D_马仔培养宝物!$W$2:$AC$64,6,FALSE)+VLOOKUP(M93,D_马仔培养宝物!$W$2:$AC$64,6,FALSE)+VLOOKUP(N93,D_马仔培养宝物!$W$2:$AC$64,6,FALSE)+VLOOKUP(O93,D_马仔培养宝物!$W$2:$AC$64,6,FALSE)</f>
        <v>10</v>
      </c>
      <c r="R93">
        <f>VLOOKUP(J93,D_马仔培养宝物!$W$2:$AC$64,7,FALSE)+VLOOKUP(K93,D_马仔培养宝物!$W$2:$AC$64,7,FALSE)+VLOOKUP(L93,D_马仔培养宝物!$W$2:$AC$64,7,FALSE)+VLOOKUP(M93,D_马仔培养宝物!$W$2:$AC$64,7,FALSE)+VLOOKUP(N93,D_马仔培养宝物!$W$2:$AC$64,7,FALSE)+VLOOKUP(O93,D_马仔培养宝物!$W$2:$AC$64,7,FALSE)</f>
        <v>13</v>
      </c>
    </row>
    <row r="94" spans="3:18">
      <c r="C94" s="5">
        <f t="array" aca="1" ref="C94" ca="1">OFFSET(D_马仔培养宝物!$W$1,SMALL(IF(D_马仔培养宝物!$Z$2:$Z$64=D_马仔培养宝物!$E94,ROW($C$2:$H$64),""),RANDBETWEEN(1,VLOOKUP(D_马仔培养宝物!$E94,D_马仔培养宝物!$T$3:$U$7,2,FALSE)))-1,0)</f>
        <v>92026</v>
      </c>
      <c r="D94" s="5">
        <f t="array" aca="1" ref="D94" ca="1">OFFSET(D_马仔培养宝物!$W$1,SMALL(IF(D_马仔培养宝物!$Z$2:$Z$64=D_马仔培养宝物!$E94,ROW($C$2:$H$64),""),RANDBETWEEN(1,VLOOKUP(D_马仔培养宝物!$E94,D_马仔培养宝物!$T$3:$U$7,2,FALSE)))-1,0)</f>
        <v>92298</v>
      </c>
      <c r="E94" s="5">
        <f t="array" aca="1" ref="E94" ca="1">OFFSET(D_马仔培养宝物!$W$1,SMALL(IF(D_马仔培养宝物!$Z$2:$Z$64=D_马仔培养宝物!$E94,ROW($C$2:$H$64),""),RANDBETWEEN(1,VLOOKUP(D_马仔培养宝物!$E94,D_马仔培养宝物!$T$3:$U$7,2,FALSE)))-1,0)</f>
        <v>92240</v>
      </c>
      <c r="F94" s="5">
        <f t="array" aca="1" ref="F94" ca="1">OFFSET(D_马仔培养宝物!$W$1,SMALL(IF(D_马仔培养宝物!$Z$2:$Z$64=D_马仔培养宝物!$E94,ROW($C$2:$H$64),""),RANDBETWEEN(1,VLOOKUP(D_马仔培养宝物!$E94,D_马仔培养宝物!$T$3:$U$7,2,FALSE)))-1,0)</f>
        <v>92290</v>
      </c>
      <c r="G94" s="5">
        <f t="array" aca="1" ref="G94" ca="1">OFFSET(D_马仔培养宝物!$W$1,SMALL(IF(D_马仔培养宝物!$Z$2:$Z$64=D_马仔培养宝物!$E94,ROW($C$2:$H$64),""),RANDBETWEEN(1,VLOOKUP(D_马仔培养宝物!$E94,D_马仔培养宝物!$T$3:$U$7,2,FALSE)))-1,0)</f>
        <v>92281</v>
      </c>
      <c r="H94" s="5">
        <f t="array" aca="1" ref="H94" ca="1">OFFSET(D_马仔培养宝物!$W$1,SMALL(IF(D_马仔培养宝物!$Z$2:$Z$64=D_马仔培养宝物!$E94,ROW($C$2:$H$64),""),RANDBETWEEN(1,VLOOKUP(D_马仔培养宝物!$E94,D_马仔培养宝物!$T$3:$U$7,2,FALSE)))-1,0)</f>
        <v>92299</v>
      </c>
      <c r="J94" s="5">
        <v>92293</v>
      </c>
      <c r="K94" s="5">
        <v>92255</v>
      </c>
      <c r="L94" s="5">
        <v>92289</v>
      </c>
      <c r="M94" s="5">
        <v>92291</v>
      </c>
      <c r="N94" s="5">
        <v>92297</v>
      </c>
      <c r="O94" s="5">
        <v>92254</v>
      </c>
      <c r="P94">
        <f>VLOOKUP(J94,D_马仔培养宝物!$W$2:$AC$64,5,FALSE)+VLOOKUP(K94,D_马仔培养宝物!$W$2:$AC$64,5,FALSE)+VLOOKUP(L94,D_马仔培养宝物!$W$2:$AC$64,5,FALSE)+VLOOKUP(M94,D_马仔培养宝物!$W$2:$AC$64,5,FALSE)+VLOOKUP(N94,D_马仔培养宝物!$W$2:$AC$64,5,FALSE)+VLOOKUP(O94,D_马仔培养宝物!$W$2:$AC$64,5,FALSE)</f>
        <v>4116</v>
      </c>
      <c r="Q94">
        <f>VLOOKUP(J94,D_马仔培养宝物!$W$2:$AC$64,6,FALSE)+VLOOKUP(K94,D_马仔培养宝物!$W$2:$AC$64,6,FALSE)+VLOOKUP(L94,D_马仔培养宝物!$W$2:$AC$64,6,FALSE)+VLOOKUP(M94,D_马仔培养宝物!$W$2:$AC$64,6,FALSE)+VLOOKUP(N94,D_马仔培养宝物!$W$2:$AC$64,6,FALSE)+VLOOKUP(O94,D_马仔培养宝物!$W$2:$AC$64,6,FALSE)</f>
        <v>178</v>
      </c>
      <c r="R94">
        <f>VLOOKUP(J94,D_马仔培养宝物!$W$2:$AC$64,7,FALSE)+VLOOKUP(K94,D_马仔培养宝物!$W$2:$AC$64,7,FALSE)+VLOOKUP(L94,D_马仔培养宝物!$W$2:$AC$64,7,FALSE)+VLOOKUP(M94,D_马仔培养宝物!$W$2:$AC$64,7,FALSE)+VLOOKUP(N94,D_马仔培养宝物!$W$2:$AC$64,7,FALSE)+VLOOKUP(O94,D_马仔培养宝物!$W$2:$AC$64,7,FALSE)</f>
        <v>75</v>
      </c>
    </row>
    <row r="95" spans="3:18">
      <c r="C95" s="5">
        <f t="array" aca="1" ref="C95" ca="1">OFFSET(D_马仔培养宝物!$W$1,SMALL(IF(D_马仔培养宝物!$Z$2:$Z$64=D_马仔培养宝物!$E95,ROW($C$2:$H$64),""),RANDBETWEEN(1,VLOOKUP(D_马仔培养宝物!$E95,D_马仔培养宝物!$T$3:$U$7,2,FALSE)))-1,0)</f>
        <v>92290</v>
      </c>
      <c r="D95" s="5">
        <f t="array" aca="1" ref="D95" ca="1">OFFSET(D_马仔培养宝物!$W$1,SMALL(IF(D_马仔培养宝物!$Z$2:$Z$64=D_马仔培养宝物!$E95,ROW($C$2:$H$64),""),RANDBETWEEN(1,VLOOKUP(D_马仔培养宝物!$E95,D_马仔培养宝物!$T$3:$U$7,2,FALSE)))-1,0)</f>
        <v>92290</v>
      </c>
      <c r="E95" s="5">
        <f t="array" aca="1" ref="E95" ca="1">OFFSET(D_马仔培养宝物!$W$1,SMALL(IF(D_马仔培养宝物!$Z$2:$Z$64=D_马仔培养宝物!$E95,ROW($C$2:$H$64),""),RANDBETWEEN(1,VLOOKUP(D_马仔培养宝物!$E95,D_马仔培养宝物!$T$3:$U$7,2,FALSE)))-1,0)</f>
        <v>92275</v>
      </c>
      <c r="F95" s="5">
        <f t="array" aca="1" ref="F95" ca="1">OFFSET(D_马仔培养宝物!$W$1,SMALL(IF(D_马仔培养宝物!$Z$2:$Z$64=D_马仔培养宝物!$E95,ROW($C$2:$H$64),""),RANDBETWEEN(1,VLOOKUP(D_马仔培养宝物!$E95,D_马仔培养宝物!$T$3:$U$7,2,FALSE)))-1,0)</f>
        <v>92282</v>
      </c>
      <c r="G95" s="5">
        <f t="array" aca="1" ref="G95" ca="1">OFFSET(D_马仔培养宝物!$W$1,SMALL(IF(D_马仔培养宝物!$Z$2:$Z$64=D_马仔培养宝物!$E95,ROW($C$2:$H$64),""),RANDBETWEEN(1,VLOOKUP(D_马仔培养宝物!$E95,D_马仔培养宝物!$T$3:$U$7,2,FALSE)))-1,0)</f>
        <v>92276</v>
      </c>
      <c r="H95" s="5">
        <f t="array" aca="1" ref="H95" ca="1">OFFSET(D_马仔培养宝物!$W$1,SMALL(IF(D_马仔培养宝物!$Z$2:$Z$64=D_马仔培养宝物!$E95,ROW($C$2:$H$64),""),RANDBETWEEN(1,VLOOKUP(D_马仔培养宝物!$E95,D_马仔培养宝物!$T$3:$U$7,2,FALSE)))-1,0)</f>
        <v>92286</v>
      </c>
      <c r="J95" s="5">
        <v>92298</v>
      </c>
      <c r="K95" s="5">
        <v>92244</v>
      </c>
      <c r="L95" s="5">
        <v>92295</v>
      </c>
      <c r="M95" s="5">
        <v>92292</v>
      </c>
      <c r="N95" s="5">
        <v>92291</v>
      </c>
      <c r="O95" s="5">
        <v>92245</v>
      </c>
      <c r="P95">
        <f>VLOOKUP(J95,D_马仔培养宝物!$W$2:$AC$64,5,FALSE)+VLOOKUP(K95,D_马仔培养宝物!$W$2:$AC$64,5,FALSE)+VLOOKUP(L95,D_马仔培养宝物!$W$2:$AC$64,5,FALSE)+VLOOKUP(M95,D_马仔培养宝物!$W$2:$AC$64,5,FALSE)+VLOOKUP(N95,D_马仔培养宝物!$W$2:$AC$64,5,FALSE)+VLOOKUP(O95,D_马仔培养宝物!$W$2:$AC$64,5,FALSE)</f>
        <v>6791</v>
      </c>
      <c r="Q95">
        <f>VLOOKUP(J95,D_马仔培养宝物!$W$2:$AC$64,6,FALSE)+VLOOKUP(K95,D_马仔培养宝物!$W$2:$AC$64,6,FALSE)+VLOOKUP(L95,D_马仔培养宝物!$W$2:$AC$64,6,FALSE)+VLOOKUP(M95,D_马仔培养宝物!$W$2:$AC$64,6,FALSE)+VLOOKUP(N95,D_马仔培养宝物!$W$2:$AC$64,6,FALSE)+VLOOKUP(O95,D_马仔培养宝物!$W$2:$AC$64,6,FALSE)</f>
        <v>0</v>
      </c>
      <c r="R95">
        <f>VLOOKUP(J95,D_马仔培养宝物!$W$2:$AC$64,7,FALSE)+VLOOKUP(K95,D_马仔培养宝物!$W$2:$AC$64,7,FALSE)+VLOOKUP(L95,D_马仔培养宝物!$W$2:$AC$64,7,FALSE)+VLOOKUP(M95,D_马仔培养宝物!$W$2:$AC$64,7,FALSE)+VLOOKUP(N95,D_马仔培养宝物!$W$2:$AC$64,7,FALSE)+VLOOKUP(O95,D_马仔培养宝物!$W$2:$AC$64,7,FALSE)</f>
        <v>44</v>
      </c>
    </row>
    <row r="96" spans="3:18">
      <c r="C96" s="5">
        <f t="array" aca="1" ref="C96" ca="1">OFFSET(D_马仔培养宝物!$W$1,SMALL(IF(D_马仔培养宝物!$Z$2:$Z$64=D_马仔培养宝物!$E96,ROW($C$2:$H$64),""),RANDBETWEEN(1,VLOOKUP(D_马仔培养宝物!$E96,D_马仔培养宝物!$T$3:$U$7,2,FALSE)))-1,0)</f>
        <v>92286</v>
      </c>
      <c r="D96" s="5">
        <f t="array" aca="1" ref="D96" ca="1">OFFSET(D_马仔培养宝物!$W$1,SMALL(IF(D_马仔培养宝物!$Z$2:$Z$64=D_马仔培养宝物!$E96,ROW($C$2:$H$64),""),RANDBETWEEN(1,VLOOKUP(D_马仔培养宝物!$E96,D_马仔培养宝物!$T$3:$U$7,2,FALSE)))-1,0)</f>
        <v>92293</v>
      </c>
      <c r="E96" s="5">
        <f t="array" aca="1" ref="E96" ca="1">OFFSET(D_马仔培养宝物!$W$1,SMALL(IF(D_马仔培养宝物!$Z$2:$Z$64=D_马仔培养宝物!$E96,ROW($C$2:$H$64),""),RANDBETWEEN(1,VLOOKUP(D_马仔培养宝物!$E96,D_马仔培养宝物!$T$3:$U$7,2,FALSE)))-1,0)</f>
        <v>92275</v>
      </c>
      <c r="F96" s="5">
        <f t="array" aca="1" ref="F96" ca="1">OFFSET(D_马仔培养宝物!$W$1,SMALL(IF(D_马仔培养宝物!$Z$2:$Z$64=D_马仔培养宝物!$E96,ROW($C$2:$H$64),""),RANDBETWEEN(1,VLOOKUP(D_马仔培养宝物!$E96,D_马仔培养宝物!$T$3:$U$7,2,FALSE)))-1,0)</f>
        <v>92295</v>
      </c>
      <c r="G96" s="5">
        <f t="array" aca="1" ref="G96" ca="1">OFFSET(D_马仔培养宝物!$W$1,SMALL(IF(D_马仔培养宝物!$Z$2:$Z$64=D_马仔培养宝物!$E96,ROW($C$2:$H$64),""),RANDBETWEEN(1,VLOOKUP(D_马仔培养宝物!$E96,D_马仔培养宝物!$T$3:$U$7,2,FALSE)))-1,0)</f>
        <v>92299</v>
      </c>
      <c r="H96" s="5">
        <f t="array" aca="1" ref="H96" ca="1">OFFSET(D_马仔培养宝物!$W$1,SMALL(IF(D_马仔培养宝物!$Z$2:$Z$64=D_马仔培养宝物!$E96,ROW($C$2:$H$64),""),RANDBETWEEN(1,VLOOKUP(D_马仔培养宝物!$E96,D_马仔培养宝物!$T$3:$U$7,2,FALSE)))-1,0)</f>
        <v>92299</v>
      </c>
      <c r="J96" s="5">
        <v>92255</v>
      </c>
      <c r="K96" s="5">
        <v>92251</v>
      </c>
      <c r="L96" s="5">
        <v>92292</v>
      </c>
      <c r="M96" s="5">
        <v>92288</v>
      </c>
      <c r="N96" s="5">
        <v>92299</v>
      </c>
      <c r="O96" s="5">
        <v>92296</v>
      </c>
      <c r="P96">
        <f>VLOOKUP(J96,D_马仔培养宝物!$W$2:$AC$64,5,FALSE)+VLOOKUP(K96,D_马仔培养宝物!$W$2:$AC$64,5,FALSE)+VLOOKUP(L96,D_马仔培养宝物!$W$2:$AC$64,5,FALSE)+VLOOKUP(M96,D_马仔培养宝物!$W$2:$AC$64,5,FALSE)+VLOOKUP(N96,D_马仔培养宝物!$W$2:$AC$64,5,FALSE)+VLOOKUP(O96,D_马仔培养宝物!$W$2:$AC$64,5,FALSE)</f>
        <v>1852</v>
      </c>
      <c r="Q96">
        <f>VLOOKUP(J96,D_马仔培养宝物!$W$2:$AC$64,6,FALSE)+VLOOKUP(K96,D_马仔培养宝物!$W$2:$AC$64,6,FALSE)+VLOOKUP(L96,D_马仔培养宝物!$W$2:$AC$64,6,FALSE)+VLOOKUP(M96,D_马仔培养宝物!$W$2:$AC$64,6,FALSE)+VLOOKUP(N96,D_马仔培养宝物!$W$2:$AC$64,6,FALSE)+VLOOKUP(O96,D_马仔培养宝物!$W$2:$AC$64,6,FALSE)</f>
        <v>177</v>
      </c>
      <c r="R96">
        <f>VLOOKUP(J96,D_马仔培养宝物!$W$2:$AC$64,7,FALSE)+VLOOKUP(K96,D_马仔培养宝物!$W$2:$AC$64,7,FALSE)+VLOOKUP(L96,D_马仔培养宝物!$W$2:$AC$64,7,FALSE)+VLOOKUP(M96,D_马仔培养宝物!$W$2:$AC$64,7,FALSE)+VLOOKUP(N96,D_马仔培养宝物!$W$2:$AC$64,7,FALSE)+VLOOKUP(O96,D_马仔培养宝物!$W$2:$AC$64,7,FALSE)</f>
        <v>88</v>
      </c>
    </row>
    <row r="97" spans="3:18" ht="14.25" thickBot="1">
      <c r="C97" s="22">
        <f t="array" aca="1" ref="C97" ca="1">OFFSET(D_马仔培养宝物!$W$1,SMALL(IF(D_马仔培养宝物!$Z$2:$Z$64=D_马仔培养宝物!$E97,ROW($C$2:$H$64),""),RANDBETWEEN(1,VLOOKUP(D_马仔培养宝物!$E97,D_马仔培养宝物!$T$3:$U$7,2,FALSE)))-1,0)</f>
        <v>92281</v>
      </c>
      <c r="D97" s="22">
        <f t="array" aca="1" ref="D97" ca="1">OFFSET(D_马仔培养宝物!$W$1,SMALL(IF(D_马仔培养宝物!$Z$2:$Z$64=D_马仔培养宝物!$E97,ROW($C$2:$H$64),""),RANDBETWEEN(1,VLOOKUP(D_马仔培养宝物!$E97,D_马仔培养宝物!$T$3:$U$7,2,FALSE)))-1,0)</f>
        <v>92282</v>
      </c>
      <c r="E97" s="22">
        <f t="array" aca="1" ref="E97" ca="1">OFFSET(D_马仔培养宝物!$W$1,SMALL(IF(D_马仔培养宝物!$Z$2:$Z$64=D_马仔培养宝物!$E97,ROW($C$2:$H$64),""),RANDBETWEEN(1,VLOOKUP(D_马仔培养宝物!$E97,D_马仔培养宝物!$T$3:$U$7,2,FALSE)))-1,0)</f>
        <v>92282</v>
      </c>
      <c r="F97" s="22">
        <f t="array" aca="1" ref="F97" ca="1">OFFSET(D_马仔培养宝物!$W$1,SMALL(IF(D_马仔培养宝物!$Z$2:$Z$64=D_马仔培养宝物!$E97,ROW($C$2:$H$64),""),RANDBETWEEN(1,VLOOKUP(D_马仔培养宝物!$E97,D_马仔培养宝物!$T$3:$U$7,2,FALSE)))-1,0)</f>
        <v>92256</v>
      </c>
      <c r="G97" s="22">
        <f t="array" aca="1" ref="G97" ca="1">OFFSET(D_马仔培养宝物!$W$1,SMALL(IF(D_马仔培养宝物!$Z$2:$Z$64=D_马仔培养宝物!$E97,ROW($C$2:$H$64),""),RANDBETWEEN(1,VLOOKUP(D_马仔培养宝物!$E97,D_马仔培养宝物!$T$3:$U$7,2,FALSE)))-1,0)</f>
        <v>92292</v>
      </c>
      <c r="H97" s="22">
        <f t="array" aca="1" ref="H97" ca="1">OFFSET(D_马仔培养宝物!$W$1,SMALL(IF(D_马仔培养宝物!$Z$2:$Z$64=D_马仔培养宝物!$E97,ROW($C$2:$H$64),""),RANDBETWEEN(1,VLOOKUP(D_马仔培养宝物!$E97,D_马仔培养宝物!$T$3:$U$7,2,FALSE)))-1,0)</f>
        <v>92276</v>
      </c>
      <c r="J97" s="22">
        <v>92291</v>
      </c>
      <c r="K97" s="22">
        <v>92299</v>
      </c>
      <c r="L97" s="22">
        <v>92296</v>
      </c>
      <c r="M97" s="22">
        <v>92243</v>
      </c>
      <c r="N97" s="22">
        <v>92255</v>
      </c>
      <c r="O97" s="22">
        <v>92294</v>
      </c>
      <c r="P97">
        <f>VLOOKUP(J97,D_马仔培养宝物!$W$2:$AC$64,5,FALSE)+VLOOKUP(K97,D_马仔培养宝物!$W$2:$AC$64,5,FALSE)+VLOOKUP(L97,D_马仔培养宝物!$W$2:$AC$64,5,FALSE)+VLOOKUP(M97,D_马仔培养宝物!$W$2:$AC$64,5,FALSE)+VLOOKUP(N97,D_马仔培养宝物!$W$2:$AC$64,5,FALSE)+VLOOKUP(O97,D_马仔培养宝物!$W$2:$AC$64,5,FALSE)</f>
        <v>2058</v>
      </c>
      <c r="Q97">
        <f>VLOOKUP(J97,D_马仔培养宝物!$W$2:$AC$64,6,FALSE)+VLOOKUP(K97,D_马仔培养宝物!$W$2:$AC$64,6,FALSE)+VLOOKUP(L97,D_马仔培养宝物!$W$2:$AC$64,6,FALSE)+VLOOKUP(M97,D_马仔培养宝物!$W$2:$AC$64,6,FALSE)+VLOOKUP(N97,D_马仔培养宝物!$W$2:$AC$64,6,FALSE)+VLOOKUP(O97,D_马仔培养宝物!$W$2:$AC$64,6,FALSE)</f>
        <v>94</v>
      </c>
      <c r="R97">
        <f>VLOOKUP(J97,D_马仔培养宝物!$W$2:$AC$64,7,FALSE)+VLOOKUP(K97,D_马仔培养宝物!$W$2:$AC$64,7,FALSE)+VLOOKUP(L97,D_马仔培养宝物!$W$2:$AC$64,7,FALSE)+VLOOKUP(M97,D_马仔培养宝物!$W$2:$AC$64,7,FALSE)+VLOOKUP(N97,D_马仔培养宝物!$W$2:$AC$64,7,FALSE)+VLOOKUP(O97,D_马仔培养宝物!$W$2:$AC$64,7,FALSE)</f>
        <v>136</v>
      </c>
    </row>
    <row r="98" spans="3:18">
      <c r="C98" s="19">
        <f t="array" aca="1" ref="C98" ca="1">OFFSET(D_马仔培养宝物!$W$1,SMALL(IF(D_马仔培养宝物!$Z$2:$Z$64=D_马仔培养宝物!$E98,ROW($C$2:$H$64),""),RANDBETWEEN(1,VLOOKUP(D_马仔培养宝物!$E98,D_马仔培养宝物!$T$3:$U$7,2,FALSE)))-1,0)</f>
        <v>92244</v>
      </c>
      <c r="D98" s="19">
        <f t="array" aca="1" ref="D98" ca="1">OFFSET(D_马仔培养宝物!$W$1,SMALL(IF(D_马仔培养宝物!$Z$2:$Z$64=D_马仔培养宝物!$E98,ROW($C$2:$H$64),""),RANDBETWEEN(1,VLOOKUP(D_马仔培养宝物!$E98,D_马仔培养宝物!$T$3:$U$7,2,FALSE)))-1,0)</f>
        <v>92131</v>
      </c>
      <c r="E98" s="19">
        <f t="array" aca="1" ref="E98" ca="1">OFFSET(D_马仔培养宝物!$W$1,SMALL(IF(D_马仔培养宝物!$Z$2:$Z$64=D_马仔培养宝物!$E98,ROW($C$2:$H$64),""),RANDBETWEEN(1,VLOOKUP(D_马仔培养宝物!$E98,D_马仔培养宝物!$T$3:$U$7,2,FALSE)))-1,0)</f>
        <v>92228</v>
      </c>
      <c r="F98" s="19">
        <f t="array" aca="1" ref="F98" ca="1">OFFSET(D_马仔培养宝物!$W$1,SMALL(IF(D_马仔培养宝物!$Z$2:$Z$64=D_马仔培养宝物!$E98,ROW($C$2:$H$64),""),RANDBETWEEN(1,VLOOKUP(D_马仔培养宝物!$E98,D_马仔培养宝物!$T$3:$U$7,2,FALSE)))-1,0)</f>
        <v>92244</v>
      </c>
      <c r="G98" s="19">
        <f t="array" aca="1" ref="G98" ca="1">OFFSET(D_马仔培养宝物!$W$1,SMALL(IF(D_马仔培养宝物!$Z$2:$Z$64=D_马仔培养宝物!$E98,ROW($C$2:$H$64),""),RANDBETWEEN(1,VLOOKUP(D_马仔培养宝物!$E98,D_马仔培养宝物!$T$3:$U$7,2,FALSE)))-1,0)</f>
        <v>92232</v>
      </c>
      <c r="H98" s="19">
        <f t="array" aca="1" ref="H98" ca="1">OFFSET(D_马仔培养宝物!$W$1,SMALL(IF(D_马仔培养宝物!$Z$2:$Z$64=D_马仔培养宝物!$E98,ROW($C$2:$H$64),""),RANDBETWEEN(1,VLOOKUP(D_马仔培养宝物!$E98,D_马仔培养宝物!$T$3:$U$7,2,FALSE)))-1,0)</f>
        <v>92232</v>
      </c>
      <c r="J98" s="19">
        <v>92012</v>
      </c>
      <c r="K98" s="19">
        <v>92013</v>
      </c>
      <c r="L98" s="19">
        <v>92227</v>
      </c>
      <c r="M98" s="19">
        <v>92011</v>
      </c>
      <c r="N98" s="19">
        <v>92124</v>
      </c>
      <c r="O98" s="19">
        <v>92223</v>
      </c>
      <c r="P98">
        <f>VLOOKUP(J98,D_马仔培养宝物!$W$2:$AC$64,5,FALSE)+VLOOKUP(K98,D_马仔培养宝物!$W$2:$AC$64,5,FALSE)+VLOOKUP(L98,D_马仔培养宝物!$W$2:$AC$64,5,FALSE)+VLOOKUP(M98,D_马仔培养宝物!$W$2:$AC$64,5,FALSE)+VLOOKUP(N98,D_马仔培养宝物!$W$2:$AC$64,5,FALSE)+VLOOKUP(O98,D_马仔培养宝物!$W$2:$AC$64,5,FALSE)</f>
        <v>2469</v>
      </c>
      <c r="Q98">
        <f>VLOOKUP(J98,D_马仔培养宝物!$W$2:$AC$64,6,FALSE)+VLOOKUP(K98,D_马仔培养宝物!$W$2:$AC$64,6,FALSE)+VLOOKUP(L98,D_马仔培养宝物!$W$2:$AC$64,6,FALSE)+VLOOKUP(M98,D_马仔培养宝物!$W$2:$AC$64,6,FALSE)+VLOOKUP(N98,D_马仔培养宝物!$W$2:$AC$64,6,FALSE)+VLOOKUP(O98,D_马仔培养宝物!$W$2:$AC$64,6,FALSE)</f>
        <v>10</v>
      </c>
      <c r="R98">
        <f>VLOOKUP(J98,D_马仔培养宝物!$W$2:$AC$64,7,FALSE)+VLOOKUP(K98,D_马仔培养宝物!$W$2:$AC$64,7,FALSE)+VLOOKUP(L98,D_马仔培养宝物!$W$2:$AC$64,7,FALSE)+VLOOKUP(M98,D_马仔培养宝物!$W$2:$AC$64,7,FALSE)+VLOOKUP(N98,D_马仔培养宝物!$W$2:$AC$64,7,FALSE)+VLOOKUP(O98,D_马仔培养宝物!$W$2:$AC$64,7,FALSE)</f>
        <v>84</v>
      </c>
    </row>
    <row r="99" spans="3:18">
      <c r="C99" s="5">
        <f t="array" aca="1" ref="C99" ca="1">OFFSET(D_马仔培养宝物!$W$1,SMALL(IF(D_马仔培养宝物!$Z$2:$Z$64=D_马仔培养宝物!$E99,ROW($C$2:$H$64),""),RANDBETWEEN(1,VLOOKUP(D_马仔培养宝物!$E99,D_马仔培养宝物!$T$3:$U$7,2,FALSE)))-1,0)</f>
        <v>92232</v>
      </c>
      <c r="D99" s="5">
        <f t="array" aca="1" ref="D99" ca="1">OFFSET(D_马仔培养宝物!$W$1,SMALL(IF(D_马仔培养宝物!$Z$2:$Z$64=D_马仔培养宝物!$E99,ROW($C$2:$H$64),""),RANDBETWEEN(1,VLOOKUP(D_马仔培养宝物!$E99,D_马仔培养宝物!$T$3:$U$7,2,FALSE)))-1,0)</f>
        <v>92121</v>
      </c>
      <c r="E99" s="5">
        <f t="array" aca="1" ref="E99" ca="1">OFFSET(D_马仔培养宝物!$W$1,SMALL(IF(D_马仔培养宝物!$Z$2:$Z$64=D_马仔培养宝物!$E99,ROW($C$2:$H$64),""),RANDBETWEEN(1,VLOOKUP(D_马仔培养宝物!$E99,D_马仔培养宝物!$T$3:$U$7,2,FALSE)))-1,0)</f>
        <v>92232</v>
      </c>
      <c r="F99" s="5">
        <f t="array" aca="1" ref="F99" ca="1">OFFSET(D_马仔培养宝物!$W$1,SMALL(IF(D_马仔培养宝物!$Z$2:$Z$64=D_马仔培养宝物!$E99,ROW($C$2:$H$64),""),RANDBETWEEN(1,VLOOKUP(D_马仔培养宝物!$E99,D_马仔培养宝物!$T$3:$U$7,2,FALSE)))-1,0)</f>
        <v>92121</v>
      </c>
      <c r="G99" s="5">
        <f t="array" aca="1" ref="G99" ca="1">OFFSET(D_马仔培养宝物!$W$1,SMALL(IF(D_马仔培养宝物!$Z$2:$Z$64=D_马仔培养宝物!$E99,ROW($C$2:$H$64),""),RANDBETWEEN(1,VLOOKUP(D_马仔培养宝物!$E99,D_马仔培养宝物!$T$3:$U$7,2,FALSE)))-1,0)</f>
        <v>92263</v>
      </c>
      <c r="H99" s="5">
        <f t="array" aca="1" ref="H99" ca="1">OFFSET(D_马仔培养宝物!$W$1,SMALL(IF(D_马仔培养宝物!$Z$2:$Z$64=D_马仔培养宝物!$E99,ROW($C$2:$H$64),""),RANDBETWEEN(1,VLOOKUP(D_马仔培养宝物!$E99,D_马仔培养宝物!$T$3:$U$7,2,FALSE)))-1,0)</f>
        <v>92263</v>
      </c>
      <c r="J99" s="5">
        <v>92012</v>
      </c>
      <c r="K99" s="5">
        <v>92223</v>
      </c>
      <c r="L99" s="5">
        <v>92011</v>
      </c>
      <c r="M99" s="5">
        <v>92014</v>
      </c>
      <c r="N99" s="5">
        <v>92026</v>
      </c>
      <c r="O99" s="5">
        <v>92124</v>
      </c>
      <c r="P99">
        <f>VLOOKUP(J99,D_马仔培养宝物!$W$2:$AC$64,5,FALSE)+VLOOKUP(K99,D_马仔培养宝物!$W$2:$AC$64,5,FALSE)+VLOOKUP(L99,D_马仔培养宝物!$W$2:$AC$64,5,FALSE)+VLOOKUP(M99,D_马仔培养宝物!$W$2:$AC$64,5,FALSE)+VLOOKUP(N99,D_马仔培养宝物!$W$2:$AC$64,5,FALSE)+VLOOKUP(O99,D_马仔培养宝物!$W$2:$AC$64,5,FALSE)</f>
        <v>2881</v>
      </c>
      <c r="Q99">
        <f>VLOOKUP(J99,D_马仔培养宝物!$W$2:$AC$64,6,FALSE)+VLOOKUP(K99,D_马仔培养宝物!$W$2:$AC$64,6,FALSE)+VLOOKUP(L99,D_马仔培养宝物!$W$2:$AC$64,6,FALSE)+VLOOKUP(M99,D_马仔培养宝物!$W$2:$AC$64,6,FALSE)+VLOOKUP(N99,D_马仔培养宝物!$W$2:$AC$64,6,FALSE)+VLOOKUP(O99,D_马仔培养宝物!$W$2:$AC$64,6,FALSE)</f>
        <v>115</v>
      </c>
      <c r="R99">
        <f>VLOOKUP(J99,D_马仔培养宝物!$W$2:$AC$64,7,FALSE)+VLOOKUP(K99,D_马仔培养宝物!$W$2:$AC$64,7,FALSE)+VLOOKUP(L99,D_马仔培养宝物!$W$2:$AC$64,7,FALSE)+VLOOKUP(M99,D_马仔培养宝物!$W$2:$AC$64,7,FALSE)+VLOOKUP(N99,D_马仔培养宝物!$W$2:$AC$64,7,FALSE)+VLOOKUP(O99,D_马仔培养宝物!$W$2:$AC$64,7,FALSE)</f>
        <v>53</v>
      </c>
    </row>
    <row r="100" spans="3:18">
      <c r="C100" s="5">
        <f t="array" aca="1" ref="C100" ca="1">OFFSET(D_马仔培养宝物!$W$1,SMALL(IF(D_马仔培养宝物!$Z$2:$Z$64=D_马仔培养宝物!$E100,ROW($C$2:$H$64),""),RANDBETWEEN(1,VLOOKUP(D_马仔培养宝物!$E100,D_马仔培养宝物!$T$3:$U$7,2,FALSE)))-1,0)</f>
        <v>92271</v>
      </c>
      <c r="D100" s="5">
        <f t="array" aca="1" ref="D100" ca="1">OFFSET(D_马仔培养宝物!$W$1,SMALL(IF(D_马仔培养宝物!$Z$2:$Z$64=D_马仔培养宝物!$E100,ROW($C$2:$H$64),""),RANDBETWEEN(1,VLOOKUP(D_马仔培养宝物!$E100,D_马仔培养宝物!$T$3:$U$7,2,FALSE)))-1,0)</f>
        <v>92271</v>
      </c>
      <c r="E100" s="5">
        <f t="array" aca="1" ref="E100" ca="1">OFFSET(D_马仔培养宝物!$W$1,SMALL(IF(D_马仔培养宝物!$Z$2:$Z$64=D_马仔培养宝物!$E100,ROW($C$2:$H$64),""),RANDBETWEEN(1,VLOOKUP(D_马仔培养宝物!$E100,D_马仔培养宝物!$T$3:$U$7,2,FALSE)))-1,0)</f>
        <v>92122</v>
      </c>
      <c r="F100" s="5">
        <f t="array" aca="1" ref="F100" ca="1">OFFSET(D_马仔培养宝物!$W$1,SMALL(IF(D_马仔培养宝物!$Z$2:$Z$64=D_马仔培养宝物!$E100,ROW($C$2:$H$64),""),RANDBETWEEN(1,VLOOKUP(D_马仔培养宝物!$E100,D_马仔培养宝物!$T$3:$U$7,2,FALSE)))-1,0)</f>
        <v>92271</v>
      </c>
      <c r="G100" s="5">
        <f t="array" aca="1" ref="G100" ca="1">OFFSET(D_马仔培养宝物!$W$1,SMALL(IF(D_马仔培养宝物!$Z$2:$Z$64=D_马仔培养宝物!$E100,ROW($C$2:$H$64),""),RANDBETWEEN(1,VLOOKUP(D_马仔培养宝物!$E100,D_马仔培养宝物!$T$3:$U$7,2,FALSE)))-1,0)</f>
        <v>92264</v>
      </c>
      <c r="H100" s="5">
        <f t="array" aca="1" ref="H100" ca="1">OFFSET(D_马仔培养宝物!$W$1,SMALL(IF(D_马仔培养宝物!$Z$2:$Z$64=D_马仔培养宝物!$E100,ROW($C$2:$H$64),""),RANDBETWEEN(1,VLOOKUP(D_马仔培养宝物!$E100,D_马仔培养宝物!$T$3:$U$7,2,FALSE)))-1,0)</f>
        <v>92122</v>
      </c>
      <c r="J100" s="5">
        <v>92232</v>
      </c>
      <c r="K100" s="5">
        <v>92271</v>
      </c>
      <c r="L100" s="5">
        <v>92236</v>
      </c>
      <c r="M100" s="5">
        <v>92235</v>
      </c>
      <c r="N100" s="5">
        <v>92286</v>
      </c>
      <c r="O100" s="5">
        <v>92273</v>
      </c>
      <c r="P100">
        <f>VLOOKUP(J100,D_马仔培养宝物!$W$2:$AC$64,5,FALSE)+VLOOKUP(K100,D_马仔培养宝物!$W$2:$AC$64,5,FALSE)+VLOOKUP(L100,D_马仔培养宝物!$W$2:$AC$64,5,FALSE)+VLOOKUP(M100,D_马仔培养宝物!$W$2:$AC$64,5,FALSE)+VLOOKUP(N100,D_马仔培养宝物!$W$2:$AC$64,5,FALSE)+VLOOKUP(O100,D_马仔培养宝物!$W$2:$AC$64,5,FALSE)</f>
        <v>823</v>
      </c>
      <c r="Q100">
        <f>VLOOKUP(J100,D_马仔培养宝物!$W$2:$AC$64,6,FALSE)+VLOOKUP(K100,D_马仔培养宝物!$W$2:$AC$64,6,FALSE)+VLOOKUP(L100,D_马仔培养宝物!$W$2:$AC$64,6,FALSE)+VLOOKUP(M100,D_马仔培养宝物!$W$2:$AC$64,6,FALSE)+VLOOKUP(N100,D_马仔培养宝物!$W$2:$AC$64,6,FALSE)+VLOOKUP(O100,D_马仔培养宝物!$W$2:$AC$64,6,FALSE)</f>
        <v>125</v>
      </c>
      <c r="R100">
        <f>VLOOKUP(J100,D_马仔培养宝物!$W$2:$AC$64,7,FALSE)+VLOOKUP(K100,D_马仔培养宝物!$W$2:$AC$64,7,FALSE)+VLOOKUP(L100,D_马仔培养宝物!$W$2:$AC$64,7,FALSE)+VLOOKUP(M100,D_马仔培养宝物!$W$2:$AC$64,7,FALSE)+VLOOKUP(N100,D_马仔培养宝物!$W$2:$AC$64,7,FALSE)+VLOOKUP(O100,D_马仔培养宝物!$W$2:$AC$64,7,FALSE)</f>
        <v>62</v>
      </c>
    </row>
    <row r="101" spans="3:18">
      <c r="C101" s="5">
        <f t="array" aca="1" ref="C101" ca="1">OFFSET(D_马仔培养宝物!$W$1,SMALL(IF(D_马仔培养宝物!$Z$2:$Z$64=D_马仔培养宝物!$E101,ROW($C$2:$H$64),""),RANDBETWEEN(1,VLOOKUP(D_马仔培养宝物!$E101,D_马仔培养宝物!$T$3:$U$7,2,FALSE)))-1,0)</f>
        <v>92141</v>
      </c>
      <c r="D101" s="5">
        <f t="array" aca="1" ref="D101" ca="1">OFFSET(D_马仔培养宝物!$W$1,SMALL(IF(D_马仔培养宝物!$Z$2:$Z$64=D_马仔培养宝物!$E101,ROW($C$2:$H$64),""),RANDBETWEEN(1,VLOOKUP(D_马仔培养宝物!$E101,D_马仔培养宝物!$T$3:$U$7,2,FALSE)))-1,0)</f>
        <v>92122</v>
      </c>
      <c r="E101" s="5">
        <f t="array" aca="1" ref="E101" ca="1">OFFSET(D_马仔培养宝物!$W$1,SMALL(IF(D_马仔培养宝物!$Z$2:$Z$64=D_马仔培养宝物!$E101,ROW($C$2:$H$64),""),RANDBETWEEN(1,VLOOKUP(D_马仔培养宝物!$E101,D_马仔培养宝物!$T$3:$U$7,2,FALSE)))-1,0)</f>
        <v>92264</v>
      </c>
      <c r="F101" s="5">
        <f t="array" aca="1" ref="F101" ca="1">OFFSET(D_马仔培养宝物!$W$1,SMALL(IF(D_马仔培养宝物!$Z$2:$Z$64=D_马仔培养宝物!$E101,ROW($C$2:$H$64),""),RANDBETWEEN(1,VLOOKUP(D_马仔培养宝物!$E101,D_马仔培养宝物!$T$3:$U$7,2,FALSE)))-1,0)</f>
        <v>92278</v>
      </c>
      <c r="G101" s="5">
        <f t="array" aca="1" ref="G101" ca="1">OFFSET(D_马仔培养宝物!$W$1,SMALL(IF(D_马仔培养宝物!$Z$2:$Z$64=D_马仔培养宝物!$E101,ROW($C$2:$H$64),""),RANDBETWEEN(1,VLOOKUP(D_马仔培养宝物!$E101,D_马仔培养宝物!$T$3:$U$7,2,FALSE)))-1,0)</f>
        <v>92233</v>
      </c>
      <c r="H101" s="5">
        <f t="array" aca="1" ref="H101" ca="1">OFFSET(D_马仔培养宝物!$W$1,SMALL(IF(D_马仔培养宝物!$Z$2:$Z$64=D_马仔培养宝物!$E101,ROW($C$2:$H$64),""),RANDBETWEEN(1,VLOOKUP(D_马仔培养宝物!$E101,D_马仔培养宝物!$T$3:$U$7,2,FALSE)))-1,0)</f>
        <v>92251</v>
      </c>
      <c r="J101" s="5">
        <v>92287</v>
      </c>
      <c r="K101" s="5">
        <v>92232</v>
      </c>
      <c r="L101" s="5">
        <v>92273</v>
      </c>
      <c r="M101" s="5">
        <v>92286</v>
      </c>
      <c r="N101" s="5">
        <v>92236</v>
      </c>
      <c r="O101" s="5">
        <v>92131</v>
      </c>
      <c r="P101">
        <f>VLOOKUP(J101,D_马仔培养宝物!$W$2:$AC$64,5,FALSE)+VLOOKUP(K101,D_马仔培养宝物!$W$2:$AC$64,5,FALSE)+VLOOKUP(L101,D_马仔培养宝物!$W$2:$AC$64,5,FALSE)+VLOOKUP(M101,D_马仔培养宝物!$W$2:$AC$64,5,FALSE)+VLOOKUP(N101,D_马仔培养宝物!$W$2:$AC$64,5,FALSE)+VLOOKUP(O101,D_马仔培养宝物!$W$2:$AC$64,5,FALSE)</f>
        <v>1029</v>
      </c>
      <c r="Q101">
        <f>VLOOKUP(J101,D_马仔培养宝物!$W$2:$AC$64,6,FALSE)+VLOOKUP(K101,D_马仔培养宝物!$W$2:$AC$64,6,FALSE)+VLOOKUP(L101,D_马仔培养宝物!$W$2:$AC$64,6,FALSE)+VLOOKUP(M101,D_马仔培养宝物!$W$2:$AC$64,6,FALSE)+VLOOKUP(N101,D_马仔培养宝物!$W$2:$AC$64,6,FALSE)+VLOOKUP(O101,D_马仔培养宝物!$W$2:$AC$64,6,FALSE)</f>
        <v>125</v>
      </c>
      <c r="R101">
        <f>VLOOKUP(J101,D_马仔培养宝物!$W$2:$AC$64,7,FALSE)+VLOOKUP(K101,D_马仔培养宝物!$W$2:$AC$64,7,FALSE)+VLOOKUP(L101,D_马仔培养宝物!$W$2:$AC$64,7,FALSE)+VLOOKUP(M101,D_马仔培养宝物!$W$2:$AC$64,7,FALSE)+VLOOKUP(N101,D_马仔培养宝物!$W$2:$AC$64,7,FALSE)+VLOOKUP(O101,D_马仔培养宝物!$W$2:$AC$64,7,FALSE)</f>
        <v>40</v>
      </c>
    </row>
    <row r="102" spans="3:18">
      <c r="C102" s="5">
        <f t="array" aca="1" ref="C102" ca="1">OFFSET(D_马仔培养宝物!$W$1,SMALL(IF(D_马仔培养宝物!$Z$2:$Z$64=D_马仔培养宝物!$E102,ROW($C$2:$H$64),""),RANDBETWEEN(1,VLOOKUP(D_马仔培养宝物!$E102,D_马仔培养宝物!$T$3:$U$7,2,FALSE)))-1,0)</f>
        <v>92273</v>
      </c>
      <c r="D102" s="5">
        <f t="array" aca="1" ref="D102" ca="1">OFFSET(D_马仔培养宝物!$W$1,SMALL(IF(D_马仔培养宝物!$Z$2:$Z$64=D_马仔培养宝物!$E102,ROW($C$2:$H$64),""),RANDBETWEEN(1,VLOOKUP(D_马仔培养宝物!$E102,D_马仔培养宝物!$T$3:$U$7,2,FALSE)))-1,0)</f>
        <v>92284</v>
      </c>
      <c r="E102" s="5">
        <f t="array" aca="1" ref="E102" ca="1">OFFSET(D_马仔培养宝物!$W$1,SMALL(IF(D_马仔培养宝物!$Z$2:$Z$64=D_马仔培养宝物!$E102,ROW($C$2:$H$64),""),RANDBETWEEN(1,VLOOKUP(D_马仔培养宝物!$E102,D_马仔培养宝物!$T$3:$U$7,2,FALSE)))-1,0)</f>
        <v>92142</v>
      </c>
      <c r="F102" s="5">
        <f t="array" aca="1" ref="F102" ca="1">OFFSET(D_马仔培养宝物!$W$1,SMALL(IF(D_马仔培养宝物!$Z$2:$Z$64=D_马仔培养宝物!$E102,ROW($C$2:$H$64),""),RANDBETWEEN(1,VLOOKUP(D_马仔培养宝物!$E102,D_马仔培养宝物!$T$3:$U$7,2,FALSE)))-1,0)</f>
        <v>92252</v>
      </c>
      <c r="G102" s="5">
        <f t="array" aca="1" ref="G102" ca="1">OFFSET(D_马仔培养宝物!$W$1,SMALL(IF(D_马仔培养宝物!$Z$2:$Z$64=D_马仔培养宝物!$E102,ROW($C$2:$H$64),""),RANDBETWEEN(1,VLOOKUP(D_马仔培养宝物!$E102,D_马仔培养宝物!$T$3:$U$7,2,FALSE)))-1,0)</f>
        <v>92272</v>
      </c>
      <c r="H102" s="5">
        <f t="array" aca="1" ref="H102" ca="1">OFFSET(D_马仔培养宝物!$W$1,SMALL(IF(D_马仔培养宝物!$Z$2:$Z$64=D_马仔培养宝物!$E102,ROW($C$2:$H$64),""),RANDBETWEEN(1,VLOOKUP(D_马仔培养宝物!$E102,D_马仔培养宝物!$T$3:$U$7,2,FALSE)))-1,0)</f>
        <v>92252</v>
      </c>
      <c r="J102" s="5">
        <v>92141</v>
      </c>
      <c r="K102" s="5">
        <v>92283</v>
      </c>
      <c r="L102" s="5">
        <v>92285</v>
      </c>
      <c r="M102" s="5">
        <v>92282</v>
      </c>
      <c r="N102" s="5">
        <v>92142</v>
      </c>
      <c r="O102" s="5">
        <v>92262</v>
      </c>
      <c r="P102">
        <f>VLOOKUP(J102,D_马仔培养宝物!$W$2:$AC$64,5,FALSE)+VLOOKUP(K102,D_马仔培养宝物!$W$2:$AC$64,5,FALSE)+VLOOKUP(L102,D_马仔培养宝物!$W$2:$AC$64,5,FALSE)+VLOOKUP(M102,D_马仔培养宝物!$W$2:$AC$64,5,FALSE)+VLOOKUP(N102,D_马仔培养宝物!$W$2:$AC$64,5,FALSE)+VLOOKUP(O102,D_马仔培养宝物!$W$2:$AC$64,5,FALSE)</f>
        <v>0</v>
      </c>
      <c r="Q102">
        <f>VLOOKUP(J102,D_马仔培养宝物!$W$2:$AC$64,6,FALSE)+VLOOKUP(K102,D_马仔培养宝物!$W$2:$AC$64,6,FALSE)+VLOOKUP(L102,D_马仔培养宝物!$W$2:$AC$64,6,FALSE)+VLOOKUP(M102,D_马仔培养宝物!$W$2:$AC$64,6,FALSE)+VLOOKUP(N102,D_马仔培养宝物!$W$2:$AC$64,6,FALSE)+VLOOKUP(O102,D_马仔培养宝物!$W$2:$AC$64,6,FALSE)</f>
        <v>335</v>
      </c>
      <c r="R102">
        <f>VLOOKUP(J102,D_马仔培养宝物!$W$2:$AC$64,7,FALSE)+VLOOKUP(K102,D_马仔培养宝物!$W$2:$AC$64,7,FALSE)+VLOOKUP(L102,D_马仔培养宝物!$W$2:$AC$64,7,FALSE)+VLOOKUP(M102,D_马仔培养宝物!$W$2:$AC$64,7,FALSE)+VLOOKUP(N102,D_马仔培养宝物!$W$2:$AC$64,7,FALSE)+VLOOKUP(O102,D_马仔培养宝物!$W$2:$AC$64,7,FALSE)</f>
        <v>26</v>
      </c>
    </row>
    <row r="103" spans="3:18">
      <c r="C103" s="5">
        <f t="array" aca="1" ref="C103" ca="1">OFFSET(D_马仔培养宝物!$W$1,SMALL(IF(D_马仔培养宝物!$Z$2:$Z$64=D_马仔培养宝物!$E103,ROW($C$2:$H$64),""),RANDBETWEEN(1,VLOOKUP(D_马仔培养宝物!$E103,D_马仔培养宝物!$T$3:$U$7,2,FALSE)))-1,0)</f>
        <v>92252</v>
      </c>
      <c r="D103" s="5">
        <f t="array" aca="1" ref="D103" ca="1">OFFSET(D_马仔培养宝物!$W$1,SMALL(IF(D_马仔培养宝物!$Z$2:$Z$64=D_马仔培养宝物!$E103,ROW($C$2:$H$64),""),RANDBETWEEN(1,VLOOKUP(D_马仔培养宝物!$E103,D_马仔培养宝物!$T$3:$U$7,2,FALSE)))-1,0)</f>
        <v>92284</v>
      </c>
      <c r="E103" s="5">
        <f t="array" aca="1" ref="E103" ca="1">OFFSET(D_马仔培养宝物!$W$1,SMALL(IF(D_马仔培养宝物!$Z$2:$Z$64=D_马仔培养宝物!$E103,ROW($C$2:$H$64),""),RANDBETWEEN(1,VLOOKUP(D_马仔培养宝物!$E103,D_马仔培养宝物!$T$3:$U$7,2,FALSE)))-1,0)</f>
        <v>92012</v>
      </c>
      <c r="F103" s="5">
        <f t="array" aca="1" ref="F103" ca="1">OFFSET(D_马仔培养宝物!$W$1,SMALL(IF(D_马仔培养宝物!$Z$2:$Z$64=D_马仔培养宝物!$E103,ROW($C$2:$H$64),""),RANDBETWEEN(1,VLOOKUP(D_马仔培养宝物!$E103,D_马仔培养宝物!$T$3:$U$7,2,FALSE)))-1,0)</f>
        <v>92284</v>
      </c>
      <c r="G103" s="5">
        <f t="array" aca="1" ref="G103" ca="1">OFFSET(D_马仔培养宝物!$W$1,SMALL(IF(D_马仔培养宝物!$Z$2:$Z$64=D_马仔培养宝物!$E103,ROW($C$2:$H$64),""),RANDBETWEEN(1,VLOOKUP(D_马仔培养宝物!$E103,D_马仔培养宝物!$T$3:$U$7,2,FALSE)))-1,0)</f>
        <v>92235</v>
      </c>
      <c r="H103" s="5">
        <f t="array" aca="1" ref="H103" ca="1">OFFSET(D_马仔培养宝物!$W$1,SMALL(IF(D_马仔培养宝物!$Z$2:$Z$64=D_马仔培养宝物!$E103,ROW($C$2:$H$64),""),RANDBETWEEN(1,VLOOKUP(D_马仔培养宝物!$E103,D_马仔培养宝物!$T$3:$U$7,2,FALSE)))-1,0)</f>
        <v>92235</v>
      </c>
      <c r="J103" s="5">
        <v>92134</v>
      </c>
      <c r="K103" s="5">
        <v>92262</v>
      </c>
      <c r="L103" s="5">
        <v>92142</v>
      </c>
      <c r="M103" s="5">
        <v>92141</v>
      </c>
      <c r="N103" s="5">
        <v>92284</v>
      </c>
      <c r="O103" s="5">
        <v>92282</v>
      </c>
      <c r="P103">
        <f>VLOOKUP(J103,D_马仔培养宝物!$W$2:$AC$64,5,FALSE)+VLOOKUP(K103,D_马仔培养宝物!$W$2:$AC$64,5,FALSE)+VLOOKUP(L103,D_马仔培养宝物!$W$2:$AC$64,5,FALSE)+VLOOKUP(M103,D_马仔培养宝物!$W$2:$AC$64,5,FALSE)+VLOOKUP(N103,D_马仔培养宝物!$W$2:$AC$64,5,FALSE)+VLOOKUP(O103,D_马仔培养宝物!$W$2:$AC$64,5,FALSE)</f>
        <v>1029</v>
      </c>
      <c r="Q103">
        <f>VLOOKUP(J103,D_马仔培养宝物!$W$2:$AC$64,6,FALSE)+VLOOKUP(K103,D_马仔培养宝物!$W$2:$AC$64,6,FALSE)+VLOOKUP(L103,D_马仔培养宝物!$W$2:$AC$64,6,FALSE)+VLOOKUP(M103,D_马仔培养宝物!$W$2:$AC$64,6,FALSE)+VLOOKUP(N103,D_马仔培养宝物!$W$2:$AC$64,6,FALSE)+VLOOKUP(O103,D_马仔培养宝物!$W$2:$AC$64,6,FALSE)</f>
        <v>335</v>
      </c>
      <c r="R103">
        <f>VLOOKUP(J103,D_马仔培养宝物!$W$2:$AC$64,7,FALSE)+VLOOKUP(K103,D_马仔培养宝物!$W$2:$AC$64,7,FALSE)+VLOOKUP(L103,D_马仔培养宝物!$W$2:$AC$64,7,FALSE)+VLOOKUP(M103,D_马仔培养宝物!$W$2:$AC$64,7,FALSE)+VLOOKUP(N103,D_马仔培养宝物!$W$2:$AC$64,7,FALSE)+VLOOKUP(O103,D_马仔培养宝物!$W$2:$AC$64,7,FALSE)</f>
        <v>13</v>
      </c>
    </row>
    <row r="104" spans="3:18">
      <c r="C104" s="5">
        <f t="array" aca="1" ref="C104" ca="1">OFFSET(D_马仔培养宝物!$W$1,SMALL(IF(D_马仔培养宝物!$Z$2:$Z$64=D_马仔培养宝物!$E104,ROW($C$2:$H$64),""),RANDBETWEEN(1,VLOOKUP(D_马仔培养宝物!$E104,D_马仔培养宝物!$T$3:$U$7,2,FALSE)))-1,0)</f>
        <v>92289</v>
      </c>
      <c r="D104" s="5">
        <f t="array" aca="1" ref="D104" ca="1">OFFSET(D_马仔培养宝物!$W$1,SMALL(IF(D_马仔培养宝物!$Z$2:$Z$64=D_马仔培养宝物!$E104,ROW($C$2:$H$64),""),RANDBETWEEN(1,VLOOKUP(D_马仔培养宝物!$E104,D_马仔培养宝物!$T$3:$U$7,2,FALSE)))-1,0)</f>
        <v>92274</v>
      </c>
      <c r="E104" s="5">
        <f t="array" aca="1" ref="E104" ca="1">OFFSET(D_马仔培养宝物!$W$1,SMALL(IF(D_马仔培养宝物!$Z$2:$Z$64=D_马仔培养宝物!$E104,ROW($C$2:$H$64),""),RANDBETWEEN(1,VLOOKUP(D_马仔培养宝物!$E104,D_马仔培养宝物!$T$3:$U$7,2,FALSE)))-1,0)</f>
        <v>92285</v>
      </c>
      <c r="F104" s="5">
        <f t="array" aca="1" ref="F104" ca="1">OFFSET(D_马仔培养宝物!$W$1,SMALL(IF(D_马仔培养宝物!$Z$2:$Z$64=D_马仔培养宝物!$E104,ROW($C$2:$H$64),""),RANDBETWEEN(1,VLOOKUP(D_马仔培养宝物!$E104,D_马仔培养宝物!$T$3:$U$7,2,FALSE)))-1,0)</f>
        <v>92125</v>
      </c>
      <c r="G104" s="5">
        <f t="array" aca="1" ref="G104" ca="1">OFFSET(D_马仔培养宝物!$W$1,SMALL(IF(D_马仔培养宝物!$Z$2:$Z$64=D_马仔培养宝物!$E104,ROW($C$2:$H$64),""),RANDBETWEEN(1,VLOOKUP(D_马仔培养宝物!$E104,D_马仔培养宝物!$T$3:$U$7,2,FALSE)))-1,0)</f>
        <v>92013</v>
      </c>
      <c r="H104" s="5">
        <f t="array" aca="1" ref="H104" ca="1">OFFSET(D_马仔培养宝物!$W$1,SMALL(IF(D_马仔培养宝物!$Z$2:$Z$64=D_马仔培养宝物!$E104,ROW($C$2:$H$64),""),RANDBETWEEN(1,VLOOKUP(D_马仔培养宝物!$E104,D_马仔培养宝物!$T$3:$U$7,2,FALSE)))-1,0)</f>
        <v>92125</v>
      </c>
      <c r="J104" s="5">
        <v>92281</v>
      </c>
      <c r="K104" s="5">
        <v>92272</v>
      </c>
      <c r="L104" s="5">
        <v>92263</v>
      </c>
      <c r="M104" s="5">
        <v>92277</v>
      </c>
      <c r="N104" s="5">
        <v>92264</v>
      </c>
      <c r="O104" s="5">
        <v>92276</v>
      </c>
      <c r="P104">
        <f>VLOOKUP(J104,D_马仔培养宝物!$W$2:$AC$64,5,FALSE)+VLOOKUP(K104,D_马仔培养宝物!$W$2:$AC$64,5,FALSE)+VLOOKUP(L104,D_马仔培养宝物!$W$2:$AC$64,5,FALSE)+VLOOKUP(M104,D_马仔培养宝物!$W$2:$AC$64,5,FALSE)+VLOOKUP(N104,D_马仔培养宝物!$W$2:$AC$64,5,FALSE)+VLOOKUP(O104,D_马仔培养宝物!$W$2:$AC$64,5,FALSE)</f>
        <v>3087</v>
      </c>
      <c r="Q104">
        <f>VLOOKUP(J104,D_马仔培养宝物!$W$2:$AC$64,6,FALSE)+VLOOKUP(K104,D_马仔培养宝物!$W$2:$AC$64,6,FALSE)+VLOOKUP(L104,D_马仔培养宝物!$W$2:$AC$64,6,FALSE)+VLOOKUP(M104,D_马仔培养宝物!$W$2:$AC$64,6,FALSE)+VLOOKUP(N104,D_马仔培养宝物!$W$2:$AC$64,6,FALSE)+VLOOKUP(O104,D_马仔培养宝物!$W$2:$AC$64,6,FALSE)</f>
        <v>104</v>
      </c>
      <c r="R104">
        <f>VLOOKUP(J104,D_马仔培养宝物!$W$2:$AC$64,7,FALSE)+VLOOKUP(K104,D_马仔培养宝物!$W$2:$AC$64,7,FALSE)+VLOOKUP(L104,D_马仔培养宝物!$W$2:$AC$64,7,FALSE)+VLOOKUP(M104,D_马仔培养宝物!$W$2:$AC$64,7,FALSE)+VLOOKUP(N104,D_马仔培养宝物!$W$2:$AC$64,7,FALSE)+VLOOKUP(O104,D_马仔培养宝物!$W$2:$AC$64,7,FALSE)</f>
        <v>17</v>
      </c>
    </row>
    <row r="105" spans="3:18">
      <c r="C105" s="5">
        <f t="array" aca="1" ref="C105" ca="1">OFFSET(D_马仔培养宝物!$W$1,SMALL(IF(D_马仔培养宝物!$Z$2:$Z$64=D_马仔培养宝物!$E105,ROW($C$2:$H$64),""),RANDBETWEEN(1,VLOOKUP(D_马仔培养宝物!$E105,D_马仔培养宝物!$T$3:$U$7,2,FALSE)))-1,0)</f>
        <v>92236</v>
      </c>
      <c r="D105" s="5">
        <f t="array" aca="1" ref="D105" ca="1">OFFSET(D_马仔培养宝物!$W$1,SMALL(IF(D_马仔培养宝物!$Z$2:$Z$64=D_马仔培养宝物!$E105,ROW($C$2:$H$64),""),RANDBETWEEN(1,VLOOKUP(D_马仔培养宝物!$E105,D_马仔培养宝物!$T$3:$U$7,2,FALSE)))-1,0)</f>
        <v>92125</v>
      </c>
      <c r="E105" s="5">
        <f t="array" aca="1" ref="E105" ca="1">OFFSET(D_马仔培养宝物!$W$1,SMALL(IF(D_马仔培养宝物!$Z$2:$Z$64=D_马仔培养宝物!$E105,ROW($C$2:$H$64),""),RANDBETWEEN(1,VLOOKUP(D_马仔培养宝物!$E105,D_马仔培养宝物!$T$3:$U$7,2,FALSE)))-1,0)</f>
        <v>92280</v>
      </c>
      <c r="F105" s="5">
        <f t="array" aca="1" ref="F105" ca="1">OFFSET(D_马仔培养宝物!$W$1,SMALL(IF(D_马仔培养宝物!$Z$2:$Z$64=D_马仔培养宝物!$E105,ROW($C$2:$H$64),""),RANDBETWEEN(1,VLOOKUP(D_马仔培养宝物!$E105,D_马仔培养宝物!$T$3:$U$7,2,FALSE)))-1,0)</f>
        <v>92254</v>
      </c>
      <c r="G105" s="5">
        <f t="array" aca="1" ref="G105" ca="1">OFFSET(D_马仔培养宝物!$W$1,SMALL(IF(D_马仔培养宝物!$Z$2:$Z$64=D_马仔培养宝物!$E105,ROW($C$2:$H$64),""),RANDBETWEEN(1,VLOOKUP(D_马仔培养宝物!$E105,D_马仔培养宝物!$T$3:$U$7,2,FALSE)))-1,0)</f>
        <v>92289</v>
      </c>
      <c r="H105" s="5">
        <f t="array" aca="1" ref="H105" ca="1">OFFSET(D_马仔培养宝物!$W$1,SMALL(IF(D_马仔培养宝物!$Z$2:$Z$64=D_马仔培养宝物!$E105,ROW($C$2:$H$64),""),RANDBETWEEN(1,VLOOKUP(D_马仔培养宝物!$E105,D_马仔培养宝物!$T$3:$U$7,2,FALSE)))-1,0)</f>
        <v>92253</v>
      </c>
      <c r="J105" s="5">
        <v>92276</v>
      </c>
      <c r="K105" s="5">
        <v>92274</v>
      </c>
      <c r="L105" s="5">
        <v>92279</v>
      </c>
      <c r="M105" s="5">
        <v>92278</v>
      </c>
      <c r="N105" s="5">
        <v>92277</v>
      </c>
      <c r="O105" s="5">
        <v>92275</v>
      </c>
      <c r="P105">
        <f>VLOOKUP(J105,D_马仔培养宝物!$W$2:$AC$64,5,FALSE)+VLOOKUP(K105,D_马仔培养宝物!$W$2:$AC$64,5,FALSE)+VLOOKUP(L105,D_马仔培养宝物!$W$2:$AC$64,5,FALSE)+VLOOKUP(M105,D_马仔培养宝物!$W$2:$AC$64,5,FALSE)+VLOOKUP(N105,D_马仔培养宝物!$W$2:$AC$64,5,FALSE)+VLOOKUP(O105,D_马仔培养宝物!$W$2:$AC$64,5,FALSE)</f>
        <v>3910</v>
      </c>
      <c r="Q105">
        <f>VLOOKUP(J105,D_马仔培养宝物!$W$2:$AC$64,6,FALSE)+VLOOKUP(K105,D_马仔培养宝物!$W$2:$AC$64,6,FALSE)+VLOOKUP(L105,D_马仔培养宝物!$W$2:$AC$64,6,FALSE)+VLOOKUP(M105,D_马仔培养宝物!$W$2:$AC$64,6,FALSE)+VLOOKUP(N105,D_马仔培养宝物!$W$2:$AC$64,6,FALSE)+VLOOKUP(O105,D_马仔培养宝物!$W$2:$AC$64,6,FALSE)</f>
        <v>31</v>
      </c>
      <c r="R105">
        <f>VLOOKUP(J105,D_马仔培养宝物!$W$2:$AC$64,7,FALSE)+VLOOKUP(K105,D_马仔培养宝物!$W$2:$AC$64,7,FALSE)+VLOOKUP(L105,D_马仔培养宝物!$W$2:$AC$64,7,FALSE)+VLOOKUP(M105,D_马仔培养宝物!$W$2:$AC$64,7,FALSE)+VLOOKUP(N105,D_马仔培养宝物!$W$2:$AC$64,7,FALSE)+VLOOKUP(O105,D_马仔培养宝物!$W$2:$AC$64,7,FALSE)</f>
        <v>57</v>
      </c>
    </row>
    <row r="106" spans="3:18">
      <c r="C106" s="5">
        <f t="array" aca="1" ref="C106" ca="1">OFFSET(D_马仔培养宝物!$W$1,SMALL(IF(D_马仔培养宝物!$Z$2:$Z$64=D_马仔培养宝物!$E106,ROW($C$2:$H$64),""),RANDBETWEEN(1,VLOOKUP(D_马仔培养宝物!$E106,D_马仔培养宝物!$T$3:$U$7,2,FALSE)))-1,0)</f>
        <v>92262</v>
      </c>
      <c r="D106" s="5">
        <f t="array" aca="1" ref="D106" ca="1">OFFSET(D_马仔培养宝物!$W$1,SMALL(IF(D_马仔培养宝物!$Z$2:$Z$64=D_马仔培养宝物!$E106,ROW($C$2:$H$64),""),RANDBETWEEN(1,VLOOKUP(D_马仔培养宝物!$E106,D_马仔培养宝物!$T$3:$U$7,2,FALSE)))-1,0)</f>
        <v>92262</v>
      </c>
      <c r="E106" s="5">
        <f t="array" aca="1" ref="E106" ca="1">OFFSET(D_马仔培养宝物!$W$1,SMALL(IF(D_马仔培养宝物!$Z$2:$Z$64=D_马仔培养宝物!$E106,ROW($C$2:$H$64),""),RANDBETWEEN(1,VLOOKUP(D_马仔培养宝物!$E106,D_马仔培养宝物!$T$3:$U$7,2,FALSE)))-1,0)</f>
        <v>92281</v>
      </c>
      <c r="F106" s="5">
        <f t="array" aca="1" ref="F106" ca="1">OFFSET(D_马仔培养宝物!$W$1,SMALL(IF(D_马仔培养宝物!$Z$2:$Z$64=D_马仔培养宝物!$E106,ROW($C$2:$H$64),""),RANDBETWEEN(1,VLOOKUP(D_马仔培养宝物!$E106,D_马仔培养宝物!$T$3:$U$7,2,FALSE)))-1,0)</f>
        <v>92281</v>
      </c>
      <c r="G106" s="5">
        <f t="array" aca="1" ref="G106" ca="1">OFFSET(D_马仔培养宝物!$W$1,SMALL(IF(D_马仔培养宝物!$Z$2:$Z$64=D_马仔培养宝物!$E106,ROW($C$2:$H$64),""),RANDBETWEEN(1,VLOOKUP(D_马仔培养宝物!$E106,D_马仔培养宝物!$T$3:$U$7,2,FALSE)))-1,0)</f>
        <v>92293</v>
      </c>
      <c r="H106" s="5">
        <f t="array" aca="1" ref="H106" ca="1">OFFSET(D_马仔培养宝物!$W$1,SMALL(IF(D_马仔培养宝物!$Z$2:$Z$64=D_马仔培养宝物!$E106,ROW($C$2:$H$64),""),RANDBETWEEN(1,VLOOKUP(D_马仔培养宝物!$E106,D_马仔培养宝物!$T$3:$U$7,2,FALSE)))-1,0)</f>
        <v>92286</v>
      </c>
      <c r="J106" s="5">
        <v>92295</v>
      </c>
      <c r="K106" s="5">
        <v>92243</v>
      </c>
      <c r="L106" s="5">
        <v>92244</v>
      </c>
      <c r="M106" s="5">
        <v>92296</v>
      </c>
      <c r="N106" s="5">
        <v>92294</v>
      </c>
      <c r="O106" s="5">
        <v>92251</v>
      </c>
      <c r="P106">
        <f>VLOOKUP(J106,D_马仔培养宝物!$W$2:$AC$64,5,FALSE)+VLOOKUP(K106,D_马仔培养宝物!$W$2:$AC$64,5,FALSE)+VLOOKUP(L106,D_马仔培养宝物!$W$2:$AC$64,5,FALSE)+VLOOKUP(M106,D_马仔培养宝物!$W$2:$AC$64,5,FALSE)+VLOOKUP(N106,D_马仔培养宝物!$W$2:$AC$64,5,FALSE)+VLOOKUP(O106,D_马仔培养宝物!$W$2:$AC$64,5,FALSE)</f>
        <v>2264</v>
      </c>
      <c r="Q106">
        <f>VLOOKUP(J106,D_马仔培养宝物!$W$2:$AC$64,6,FALSE)+VLOOKUP(K106,D_马仔培养宝物!$W$2:$AC$64,6,FALSE)+VLOOKUP(L106,D_马仔培养宝物!$W$2:$AC$64,6,FALSE)+VLOOKUP(M106,D_马仔培养宝物!$W$2:$AC$64,6,FALSE)+VLOOKUP(N106,D_马仔培养宝物!$W$2:$AC$64,6,FALSE)+VLOOKUP(O106,D_马仔培养宝物!$W$2:$AC$64,6,FALSE)</f>
        <v>125</v>
      </c>
      <c r="R106">
        <f>VLOOKUP(J106,D_马仔培养宝物!$W$2:$AC$64,7,FALSE)+VLOOKUP(K106,D_马仔培养宝物!$W$2:$AC$64,7,FALSE)+VLOOKUP(L106,D_马仔培养宝物!$W$2:$AC$64,7,FALSE)+VLOOKUP(M106,D_马仔培养宝物!$W$2:$AC$64,7,FALSE)+VLOOKUP(N106,D_马仔培养宝物!$W$2:$AC$64,7,FALSE)+VLOOKUP(O106,D_马仔培养宝物!$W$2:$AC$64,7,FALSE)</f>
        <v>48</v>
      </c>
    </row>
    <row r="107" spans="3:18">
      <c r="C107" s="5">
        <f t="array" aca="1" ref="C107" ca="1">OFFSET(D_马仔培养宝物!$W$1,SMALL(IF(D_马仔培养宝物!$Z$2:$Z$64=D_马仔培养宝物!$E107,ROW($C$2:$H$64),""),RANDBETWEEN(1,VLOOKUP(D_马仔培养宝物!$E107,D_马仔培养宝物!$T$3:$U$7,2,FALSE)))-1,0)</f>
        <v>92294</v>
      </c>
      <c r="D107" s="5">
        <f t="array" aca="1" ref="D107" ca="1">OFFSET(D_马仔培养宝物!$W$1,SMALL(IF(D_马仔培养宝物!$Z$2:$Z$64=D_马仔培养宝物!$E107,ROW($C$2:$H$64),""),RANDBETWEEN(1,VLOOKUP(D_马仔培养宝物!$E107,D_马仔培养宝物!$T$3:$U$7,2,FALSE)))-1,0)</f>
        <v>92290</v>
      </c>
      <c r="E107" s="5">
        <f t="array" aca="1" ref="E107" ca="1">OFFSET(D_马仔培养宝物!$W$1,SMALL(IF(D_马仔培养宝物!$Z$2:$Z$64=D_马仔培养宝物!$E107,ROW($C$2:$H$64),""),RANDBETWEEN(1,VLOOKUP(D_马仔培养宝物!$E107,D_马仔培养宝物!$T$3:$U$7,2,FALSE)))-1,0)</f>
        <v>92276</v>
      </c>
      <c r="F107" s="5">
        <f t="array" aca="1" ref="F107" ca="1">OFFSET(D_马仔培养宝物!$W$1,SMALL(IF(D_马仔培养宝物!$Z$2:$Z$64=D_马仔培养宝物!$E107,ROW($C$2:$H$64),""),RANDBETWEEN(1,VLOOKUP(D_马仔培养宝物!$E107,D_马仔培养宝物!$T$3:$U$7,2,FALSE)))-1,0)</f>
        <v>92261</v>
      </c>
      <c r="G107" s="5">
        <f t="array" aca="1" ref="G107" ca="1">OFFSET(D_马仔培养宝物!$W$1,SMALL(IF(D_马仔培养宝物!$Z$2:$Z$64=D_马仔培养宝物!$E107,ROW($C$2:$H$64),""),RANDBETWEEN(1,VLOOKUP(D_马仔培养宝物!$E107,D_马仔培养宝物!$T$3:$U$7,2,FALSE)))-1,0)</f>
        <v>92299</v>
      </c>
      <c r="H107" s="5">
        <f t="array" aca="1" ref="H107" ca="1">OFFSET(D_马仔培养宝物!$W$1,SMALL(IF(D_马仔培养宝物!$Z$2:$Z$64=D_马仔培养宝物!$E107,ROW($C$2:$H$64),""),RANDBETWEEN(1,VLOOKUP(D_马仔培养宝物!$E107,D_马仔培养宝物!$T$3:$U$7,2,FALSE)))-1,0)</f>
        <v>92299</v>
      </c>
      <c r="J107" s="5">
        <v>92294</v>
      </c>
      <c r="K107" s="5">
        <v>92253</v>
      </c>
      <c r="L107" s="5">
        <v>92290</v>
      </c>
      <c r="M107" s="5">
        <v>92299</v>
      </c>
      <c r="N107" s="5">
        <v>92251</v>
      </c>
      <c r="O107" s="5">
        <v>92244</v>
      </c>
      <c r="P107">
        <f>VLOOKUP(J107,D_马仔培养宝物!$W$2:$AC$64,5,FALSE)+VLOOKUP(K107,D_马仔培养宝物!$W$2:$AC$64,5,FALSE)+VLOOKUP(L107,D_马仔培养宝物!$W$2:$AC$64,5,FALSE)+VLOOKUP(M107,D_马仔培养宝物!$W$2:$AC$64,5,FALSE)+VLOOKUP(N107,D_马仔培养宝物!$W$2:$AC$64,5,FALSE)+VLOOKUP(O107,D_马仔培养宝物!$W$2:$AC$64,5,FALSE)</f>
        <v>3498</v>
      </c>
      <c r="Q107">
        <f>VLOOKUP(J107,D_马仔培养宝物!$W$2:$AC$64,6,FALSE)+VLOOKUP(K107,D_马仔培养宝物!$W$2:$AC$64,6,FALSE)+VLOOKUP(L107,D_马仔培养宝物!$W$2:$AC$64,6,FALSE)+VLOOKUP(M107,D_马仔培养宝物!$W$2:$AC$64,6,FALSE)+VLOOKUP(N107,D_马仔培养宝物!$W$2:$AC$64,6,FALSE)+VLOOKUP(O107,D_马仔培养宝物!$W$2:$AC$64,6,FALSE)</f>
        <v>31</v>
      </c>
      <c r="R107">
        <f>VLOOKUP(J107,D_马仔培养宝物!$W$2:$AC$64,7,FALSE)+VLOOKUP(K107,D_马仔培养宝物!$W$2:$AC$64,7,FALSE)+VLOOKUP(L107,D_马仔培养宝物!$W$2:$AC$64,7,FALSE)+VLOOKUP(M107,D_马仔培养宝物!$W$2:$AC$64,7,FALSE)+VLOOKUP(N107,D_马仔培养宝物!$W$2:$AC$64,7,FALSE)+VLOOKUP(O107,D_马仔培养宝物!$W$2:$AC$64,7,FALSE)</f>
        <v>88</v>
      </c>
    </row>
    <row r="108" spans="3:18">
      <c r="C108" s="5">
        <f t="array" aca="1" ref="C108" ca="1">OFFSET(D_马仔培养宝物!$W$1,SMALL(IF(D_马仔培养宝物!$Z$2:$Z$64=D_马仔培养宝物!$E108,ROW($C$2:$H$64),""),RANDBETWEEN(1,VLOOKUP(D_马仔培养宝物!$E108,D_马仔培养宝物!$T$3:$U$7,2,FALSE)))-1,0)</f>
        <v>92275</v>
      </c>
      <c r="D108" s="5">
        <f t="array" aca="1" ref="D108" ca="1">OFFSET(D_马仔培养宝物!$W$1,SMALL(IF(D_马仔培养宝物!$Z$2:$Z$64=D_马仔培养宝物!$E108,ROW($C$2:$H$64),""),RANDBETWEEN(1,VLOOKUP(D_马仔培养宝物!$E108,D_马仔培养宝物!$T$3:$U$7,2,FALSE)))-1,0)</f>
        <v>92014</v>
      </c>
      <c r="E108" s="5">
        <f t="array" aca="1" ref="E108" ca="1">OFFSET(D_马仔培养宝物!$W$1,SMALL(IF(D_马仔培养宝物!$Z$2:$Z$64=D_马仔培养宝物!$E108,ROW($C$2:$H$64),""),RANDBETWEEN(1,VLOOKUP(D_马仔培养宝物!$E108,D_马仔培养宝物!$T$3:$U$7,2,FALSE)))-1,0)</f>
        <v>92255</v>
      </c>
      <c r="F108" s="5">
        <f t="array" aca="1" ref="F108" ca="1">OFFSET(D_马仔培养宝物!$W$1,SMALL(IF(D_马仔培养宝物!$Z$2:$Z$64=D_马仔培养宝物!$E108,ROW($C$2:$H$64),""),RANDBETWEEN(1,VLOOKUP(D_马仔培养宝物!$E108,D_马仔培养宝物!$T$3:$U$7,2,FALSE)))-1,0)</f>
        <v>92286</v>
      </c>
      <c r="G108" s="5">
        <f t="array" aca="1" ref="G108" ca="1">OFFSET(D_马仔培养宝物!$W$1,SMALL(IF(D_马仔培养宝物!$Z$2:$Z$64=D_马仔培养宝物!$E108,ROW($C$2:$H$64),""),RANDBETWEEN(1,VLOOKUP(D_马仔培养宝物!$E108,D_马仔培养宝物!$T$3:$U$7,2,FALSE)))-1,0)</f>
        <v>92240</v>
      </c>
      <c r="H108" s="5">
        <f t="array" aca="1" ref="H108" ca="1">OFFSET(D_马仔培养宝物!$W$1,SMALL(IF(D_马仔培养宝物!$Z$2:$Z$64=D_马仔培养宝物!$E108,ROW($C$2:$H$64),""),RANDBETWEEN(1,VLOOKUP(D_马仔培养宝物!$E108,D_马仔培养宝物!$T$3:$U$7,2,FALSE)))-1,0)</f>
        <v>92282</v>
      </c>
      <c r="J108" s="5">
        <v>92288</v>
      </c>
      <c r="K108" s="5">
        <v>92291</v>
      </c>
      <c r="L108" s="5">
        <v>92292</v>
      </c>
      <c r="M108" s="5">
        <v>92297</v>
      </c>
      <c r="N108" s="5">
        <v>92289</v>
      </c>
      <c r="O108" s="5">
        <v>92256</v>
      </c>
      <c r="P108">
        <f>VLOOKUP(J108,D_马仔培养宝物!$W$2:$AC$64,5,FALSE)+VLOOKUP(K108,D_马仔培养宝物!$W$2:$AC$64,5,FALSE)+VLOOKUP(L108,D_马仔培养宝物!$W$2:$AC$64,5,FALSE)+VLOOKUP(M108,D_马仔培养宝物!$W$2:$AC$64,5,FALSE)+VLOOKUP(N108,D_马仔培养宝物!$W$2:$AC$64,5,FALSE)+VLOOKUP(O108,D_马仔培养宝物!$W$2:$AC$64,5,FALSE)</f>
        <v>5968</v>
      </c>
      <c r="Q108">
        <f>VLOOKUP(J108,D_马仔培养宝物!$W$2:$AC$64,6,FALSE)+VLOOKUP(K108,D_马仔培养宝物!$W$2:$AC$64,6,FALSE)+VLOOKUP(L108,D_马仔培养宝物!$W$2:$AC$64,6,FALSE)+VLOOKUP(M108,D_马仔培养宝物!$W$2:$AC$64,6,FALSE)+VLOOKUP(N108,D_马仔培养宝物!$W$2:$AC$64,6,FALSE)+VLOOKUP(O108,D_马仔培养宝物!$W$2:$AC$64,6,FALSE)</f>
        <v>146</v>
      </c>
      <c r="R108">
        <f>VLOOKUP(J108,D_马仔培养宝物!$W$2:$AC$64,7,FALSE)+VLOOKUP(K108,D_马仔培养宝物!$W$2:$AC$64,7,FALSE)+VLOOKUP(L108,D_马仔培养宝物!$W$2:$AC$64,7,FALSE)+VLOOKUP(M108,D_马仔培养宝物!$W$2:$AC$64,7,FALSE)+VLOOKUP(N108,D_马仔培养宝物!$W$2:$AC$64,7,FALSE)+VLOOKUP(O108,D_马仔培养宝物!$W$2:$AC$64,7,FALSE)</f>
        <v>31</v>
      </c>
    </row>
    <row r="109" spans="3:18" ht="14.25" thickBot="1">
      <c r="C109" s="22">
        <f t="array" aca="1" ref="C109" ca="1">OFFSET(D_马仔培养宝物!$W$1,SMALL(IF(D_马仔培养宝物!$Z$2:$Z$64=D_马仔培养宝物!$E109,ROW($C$2:$H$64),""),RANDBETWEEN(1,VLOOKUP(D_马仔培养宝物!$E109,D_马仔培养宝物!$T$3:$U$7,2,FALSE)))-1,0)</f>
        <v>92256</v>
      </c>
      <c r="D109" s="22">
        <f t="array" aca="1" ref="D109" ca="1">OFFSET(D_马仔培养宝物!$W$1,SMALL(IF(D_马仔培养宝物!$Z$2:$Z$64=D_马仔培养宝物!$E109,ROW($C$2:$H$64),""),RANDBETWEEN(1,VLOOKUP(D_马仔培养宝物!$E109,D_马仔培养宝物!$T$3:$U$7,2,FALSE)))-1,0)</f>
        <v>92298</v>
      </c>
      <c r="E109" s="22">
        <f t="array" aca="1" ref="E109" ca="1">OFFSET(D_马仔培养宝物!$W$1,SMALL(IF(D_马仔培养宝物!$Z$2:$Z$64=D_马仔培养宝物!$E109,ROW($C$2:$H$64),""),RANDBETWEEN(1,VLOOKUP(D_马仔培养宝物!$E109,D_马仔培养宝物!$T$3:$U$7,2,FALSE)))-1,0)</f>
        <v>92298</v>
      </c>
      <c r="F109" s="22">
        <f t="array" aca="1" ref="F109" ca="1">OFFSET(D_马仔培养宝物!$W$1,SMALL(IF(D_马仔培养宝物!$Z$2:$Z$64=D_马仔培养宝物!$E109,ROW($C$2:$H$64),""),RANDBETWEEN(1,VLOOKUP(D_马仔培养宝物!$E109,D_马仔培养宝物!$T$3:$U$7,2,FALSE)))-1,0)</f>
        <v>92296</v>
      </c>
      <c r="G109" s="22">
        <f t="array" aca="1" ref="G109" ca="1">OFFSET(D_马仔培养宝物!$W$1,SMALL(IF(D_马仔培养宝物!$Z$2:$Z$64=D_马仔培养宝物!$E109,ROW($C$2:$H$64),""),RANDBETWEEN(1,VLOOKUP(D_马仔培养宝物!$E109,D_马仔培养宝物!$T$3:$U$7,2,FALSE)))-1,0)</f>
        <v>92297</v>
      </c>
      <c r="H109" s="22">
        <f t="array" aca="1" ref="H109" ca="1">OFFSET(D_马仔培养宝物!$W$1,SMALL(IF(D_马仔培养宝物!$Z$2:$Z$64=D_马仔培养宝物!$E109,ROW($C$2:$H$64),""),RANDBETWEEN(1,VLOOKUP(D_马仔培养宝物!$E109,D_马仔培养宝物!$T$3:$U$7,2,FALSE)))-1,0)</f>
        <v>92297</v>
      </c>
      <c r="J109" s="22">
        <v>92289</v>
      </c>
      <c r="K109" s="22">
        <v>92244</v>
      </c>
      <c r="L109" s="22">
        <v>92256</v>
      </c>
      <c r="M109" s="22">
        <v>92240</v>
      </c>
      <c r="N109" s="22">
        <v>92243</v>
      </c>
      <c r="O109" s="22">
        <v>92252</v>
      </c>
      <c r="P109">
        <f>VLOOKUP(J109,D_马仔培养宝物!$W$2:$AC$64,5,FALSE)+VLOOKUP(K109,D_马仔培养宝物!$W$2:$AC$64,5,FALSE)+VLOOKUP(L109,D_马仔培养宝物!$W$2:$AC$64,5,FALSE)+VLOOKUP(M109,D_马仔培养宝物!$W$2:$AC$64,5,FALSE)+VLOOKUP(N109,D_马仔培养宝物!$W$2:$AC$64,5,FALSE)+VLOOKUP(O109,D_马仔培养宝物!$W$2:$AC$64,5,FALSE)</f>
        <v>206</v>
      </c>
      <c r="Q109">
        <f>VLOOKUP(J109,D_马仔培养宝物!$W$2:$AC$64,6,FALSE)+VLOOKUP(K109,D_马仔培养宝物!$W$2:$AC$64,6,FALSE)+VLOOKUP(L109,D_马仔培养宝物!$W$2:$AC$64,6,FALSE)+VLOOKUP(M109,D_马仔培养宝物!$W$2:$AC$64,6,FALSE)+VLOOKUP(N109,D_马仔培养宝物!$W$2:$AC$64,6,FALSE)+VLOOKUP(O109,D_马仔培养宝物!$W$2:$AC$64,6,FALSE)</f>
        <v>146</v>
      </c>
      <c r="R109">
        <f>VLOOKUP(J109,D_马仔培养宝物!$W$2:$AC$64,7,FALSE)+VLOOKUP(K109,D_马仔培养宝物!$W$2:$AC$64,7,FALSE)+VLOOKUP(L109,D_马仔培养宝物!$W$2:$AC$64,7,FALSE)+VLOOKUP(M109,D_马仔培养宝物!$W$2:$AC$64,7,FALSE)+VLOOKUP(N109,D_马仔培养宝物!$W$2:$AC$64,7,FALSE)+VLOOKUP(O109,D_马仔培养宝物!$W$2:$AC$64,7,FALSE)</f>
        <v>75</v>
      </c>
    </row>
    <row r="110" spans="3:18">
      <c r="C110" s="19">
        <f t="array" aca="1" ref="C110" ca="1">OFFSET(D_马仔培养宝物!$W$1,SMALL(IF(D_马仔培养宝物!$Z$2:$Z$64=D_马仔培养宝物!$E110,ROW($C$2:$H$64),""),RANDBETWEEN(1,VLOOKUP(D_马仔培养宝物!$E110,D_马仔培养宝物!$T$3:$U$7,2,FALSE)))-1,0)</f>
        <v>92232</v>
      </c>
      <c r="D110" s="19">
        <f t="array" aca="1" ref="D110" ca="1">OFFSET(D_马仔培养宝物!$W$1,SMALL(IF(D_马仔培养宝物!$Z$2:$Z$64=D_马仔培养宝物!$E110,ROW($C$2:$H$64),""),RANDBETWEEN(1,VLOOKUP(D_马仔培养宝物!$E110,D_马仔培养宝物!$T$3:$U$7,2,FALSE)))-1,0)</f>
        <v>92277</v>
      </c>
      <c r="E110" s="19">
        <f t="array" aca="1" ref="E110" ca="1">OFFSET(D_马仔培养宝物!$W$1,SMALL(IF(D_马仔培养宝物!$Z$2:$Z$64=D_马仔培养宝物!$E110,ROW($C$2:$H$64),""),RANDBETWEEN(1,VLOOKUP(D_马仔培养宝物!$E110,D_马仔培养宝物!$T$3:$U$7,2,FALSE)))-1,0)</f>
        <v>92232</v>
      </c>
      <c r="F110" s="19">
        <f t="array" aca="1" ref="F110" ca="1">OFFSET(D_马仔培养宝物!$W$1,SMALL(IF(D_马仔培养宝物!$Z$2:$Z$64=D_马仔培养宝物!$E110,ROW($C$2:$H$64),""),RANDBETWEEN(1,VLOOKUP(D_马仔培养宝物!$E110,D_马仔培养宝物!$T$3:$U$7,2,FALSE)))-1,0)</f>
        <v>92011</v>
      </c>
      <c r="G110" s="19">
        <f t="array" aca="1" ref="G110" ca="1">OFFSET(D_马仔培养宝物!$W$1,SMALL(IF(D_马仔培养宝物!$Z$2:$Z$64=D_马仔培养宝物!$E110,ROW($C$2:$H$64),""),RANDBETWEEN(1,VLOOKUP(D_马仔培养宝物!$E110,D_马仔培养宝物!$T$3:$U$7,2,FALSE)))-1,0)</f>
        <v>92232</v>
      </c>
      <c r="H110" s="19">
        <f t="array" aca="1" ref="H110" ca="1">OFFSET(D_马仔培养宝物!$W$1,SMALL(IF(D_马仔培养宝物!$Z$2:$Z$64=D_马仔培养宝物!$E110,ROW($C$2:$H$64),""),RANDBETWEEN(1,VLOOKUP(D_马仔培养宝物!$E110,D_马仔培养宝物!$T$3:$U$7,2,FALSE)))-1,0)</f>
        <v>92011</v>
      </c>
      <c r="J110" s="19">
        <v>92223</v>
      </c>
      <c r="K110" s="19">
        <v>92014</v>
      </c>
      <c r="L110" s="19">
        <v>92012</v>
      </c>
      <c r="M110" s="19">
        <v>92122</v>
      </c>
      <c r="N110" s="19">
        <v>92227</v>
      </c>
      <c r="O110" s="19">
        <v>92124</v>
      </c>
      <c r="P110">
        <f>VLOOKUP(J110,D_马仔培养宝物!$W$2:$AC$64,5,FALSE)+VLOOKUP(K110,D_马仔培养宝物!$W$2:$AC$64,5,FALSE)+VLOOKUP(L110,D_马仔培养宝物!$W$2:$AC$64,5,FALSE)+VLOOKUP(M110,D_马仔培养宝物!$W$2:$AC$64,5,FALSE)+VLOOKUP(N110,D_马仔培养宝物!$W$2:$AC$64,5,FALSE)+VLOOKUP(O110,D_马仔培养宝物!$W$2:$AC$64,5,FALSE)</f>
        <v>4321</v>
      </c>
      <c r="Q110">
        <f>VLOOKUP(J110,D_马仔培养宝物!$W$2:$AC$64,6,FALSE)+VLOOKUP(K110,D_马仔培养宝物!$W$2:$AC$64,6,FALSE)+VLOOKUP(L110,D_马仔培养宝物!$W$2:$AC$64,6,FALSE)+VLOOKUP(M110,D_马仔培养宝物!$W$2:$AC$64,6,FALSE)+VLOOKUP(N110,D_马仔培养宝物!$W$2:$AC$64,6,FALSE)+VLOOKUP(O110,D_马仔培养宝物!$W$2:$AC$64,6,FALSE)</f>
        <v>31</v>
      </c>
      <c r="R110">
        <f>VLOOKUP(J110,D_马仔培养宝物!$W$2:$AC$64,7,FALSE)+VLOOKUP(K110,D_马仔培养宝物!$W$2:$AC$64,7,FALSE)+VLOOKUP(L110,D_马仔培养宝物!$W$2:$AC$64,7,FALSE)+VLOOKUP(M110,D_马仔培养宝物!$W$2:$AC$64,7,FALSE)+VLOOKUP(N110,D_马仔培养宝物!$W$2:$AC$64,7,FALSE)+VLOOKUP(O110,D_马仔培养宝物!$W$2:$AC$64,7,FALSE)</f>
        <v>53</v>
      </c>
    </row>
    <row r="111" spans="3:18">
      <c r="C111" s="5">
        <f t="array" aca="1" ref="C111" ca="1">OFFSET(D_马仔培养宝物!$W$1,SMALL(IF(D_马仔培养宝物!$Z$2:$Z$64=D_马仔培养宝物!$E111,ROW($C$2:$H$64),""),RANDBETWEEN(1,VLOOKUP(D_马仔培养宝物!$E111,D_马仔培养宝物!$T$3:$U$7,2,FALSE)))-1,0)</f>
        <v>92228</v>
      </c>
      <c r="D111" s="5">
        <f t="array" aca="1" ref="D111" ca="1">OFFSET(D_马仔培养宝物!$W$1,SMALL(IF(D_马仔培养宝物!$Z$2:$Z$64=D_马仔培养宝物!$E111,ROW($C$2:$H$64),""),RANDBETWEEN(1,VLOOKUP(D_马仔培养宝物!$E111,D_马仔培养宝物!$T$3:$U$7,2,FALSE)))-1,0)</f>
        <v>92244</v>
      </c>
      <c r="E111" s="5">
        <f t="array" aca="1" ref="E111" ca="1">OFFSET(D_马仔培养宝物!$W$1,SMALL(IF(D_马仔培养宝物!$Z$2:$Z$64=D_马仔培养宝物!$E111,ROW($C$2:$H$64),""),RANDBETWEEN(1,VLOOKUP(D_马仔培养宝物!$E111,D_马仔培养宝物!$T$3:$U$7,2,FALSE)))-1,0)</f>
        <v>92232</v>
      </c>
      <c r="F111" s="5">
        <f t="array" aca="1" ref="F111" ca="1">OFFSET(D_马仔培养宝物!$W$1,SMALL(IF(D_马仔培养宝物!$Z$2:$Z$64=D_马仔培养宝物!$E111,ROW($C$2:$H$64),""),RANDBETWEEN(1,VLOOKUP(D_马仔培养宝物!$E111,D_马仔培养宝物!$T$3:$U$7,2,FALSE)))-1,0)</f>
        <v>92121</v>
      </c>
      <c r="G111" s="5">
        <f t="array" aca="1" ref="G111" ca="1">OFFSET(D_马仔培养宝物!$W$1,SMALL(IF(D_马仔培养宝物!$Z$2:$Z$64=D_马仔培养宝物!$E111,ROW($C$2:$H$64),""),RANDBETWEEN(1,VLOOKUP(D_马仔培养宝物!$E111,D_马仔培养宝物!$T$3:$U$7,2,FALSE)))-1,0)</f>
        <v>92243</v>
      </c>
      <c r="H111" s="5">
        <f t="array" aca="1" ref="H111" ca="1">OFFSET(D_马仔培养宝物!$W$1,SMALL(IF(D_马仔培养宝物!$Z$2:$Z$64=D_马仔培养宝物!$E111,ROW($C$2:$H$64),""),RANDBETWEEN(1,VLOOKUP(D_马仔培养宝物!$E111,D_马仔培养宝物!$T$3:$U$7,2,FALSE)))-1,0)</f>
        <v>92243</v>
      </c>
      <c r="J111" s="5">
        <v>92026</v>
      </c>
      <c r="K111" s="5">
        <v>92011</v>
      </c>
      <c r="L111" s="5">
        <v>92014</v>
      </c>
      <c r="M111" s="5">
        <v>92223</v>
      </c>
      <c r="N111" s="5">
        <v>92013</v>
      </c>
      <c r="O111" s="5">
        <v>92227</v>
      </c>
      <c r="P111">
        <f>VLOOKUP(J111,D_马仔培养宝物!$W$2:$AC$64,5,FALSE)+VLOOKUP(K111,D_马仔培养宝物!$W$2:$AC$64,5,FALSE)+VLOOKUP(L111,D_马仔培养宝物!$W$2:$AC$64,5,FALSE)+VLOOKUP(M111,D_马仔培养宝物!$W$2:$AC$64,5,FALSE)+VLOOKUP(N111,D_马仔培养宝物!$W$2:$AC$64,5,FALSE)+VLOOKUP(O111,D_马仔培养宝物!$W$2:$AC$64,5,FALSE)</f>
        <v>3292</v>
      </c>
      <c r="Q111">
        <f>VLOOKUP(J111,D_马仔培养宝物!$W$2:$AC$64,6,FALSE)+VLOOKUP(K111,D_马仔培养宝物!$W$2:$AC$64,6,FALSE)+VLOOKUP(L111,D_马仔培养宝物!$W$2:$AC$64,6,FALSE)+VLOOKUP(M111,D_马仔培养宝物!$W$2:$AC$64,6,FALSE)+VLOOKUP(N111,D_马仔培养宝物!$W$2:$AC$64,6,FALSE)+VLOOKUP(O111,D_马仔培养宝物!$W$2:$AC$64,6,FALSE)</f>
        <v>115</v>
      </c>
      <c r="R111">
        <f>VLOOKUP(J111,D_马仔培养宝物!$W$2:$AC$64,7,FALSE)+VLOOKUP(K111,D_马仔培养宝物!$W$2:$AC$64,7,FALSE)+VLOOKUP(L111,D_马仔培养宝物!$W$2:$AC$64,7,FALSE)+VLOOKUP(M111,D_马仔培养宝物!$W$2:$AC$64,7,FALSE)+VLOOKUP(N111,D_马仔培养宝物!$W$2:$AC$64,7,FALSE)+VLOOKUP(O111,D_马仔培养宝物!$W$2:$AC$64,7,FALSE)</f>
        <v>62</v>
      </c>
    </row>
    <row r="112" spans="3:18">
      <c r="C112" s="5">
        <f t="array" aca="1" ref="C112" ca="1">OFFSET(D_马仔培养宝物!$W$1,SMALL(IF(D_马仔培养宝物!$Z$2:$Z$64=D_马仔培养宝物!$E112,ROW($C$2:$H$64),""),RANDBETWEEN(1,VLOOKUP(D_马仔培养宝物!$E112,D_马仔培养宝物!$T$3:$U$7,2,FALSE)))-1,0)</f>
        <v>92271</v>
      </c>
      <c r="D112" s="5">
        <f t="array" aca="1" ref="D112" ca="1">OFFSET(D_马仔培养宝物!$W$1,SMALL(IF(D_马仔培养宝物!$Z$2:$Z$64=D_马仔培养宝物!$E112,ROW($C$2:$H$64),""),RANDBETWEEN(1,VLOOKUP(D_马仔培养宝物!$E112,D_马仔培养宝物!$T$3:$U$7,2,FALSE)))-1,0)</f>
        <v>92245</v>
      </c>
      <c r="E112" s="5">
        <f t="array" aca="1" ref="E112" ca="1">OFFSET(D_马仔培养宝物!$W$1,SMALL(IF(D_马仔培养宝物!$Z$2:$Z$64=D_马仔培养宝物!$E112,ROW($C$2:$H$64),""),RANDBETWEEN(1,VLOOKUP(D_马仔培养宝物!$E112,D_马仔培养宝物!$T$3:$U$7,2,FALSE)))-1,0)</f>
        <v>92233</v>
      </c>
      <c r="F112" s="5">
        <f t="array" aca="1" ref="F112" ca="1">OFFSET(D_马仔培养宝物!$W$1,SMALL(IF(D_马仔培养宝物!$Z$2:$Z$64=D_马仔培养宝物!$E112,ROW($C$2:$H$64),""),RANDBETWEEN(1,VLOOKUP(D_马仔培养宝物!$E112,D_马仔培养宝物!$T$3:$U$7,2,FALSE)))-1,0)</f>
        <v>92122</v>
      </c>
      <c r="G112" s="5">
        <f t="array" aca="1" ref="G112" ca="1">OFFSET(D_马仔培养宝物!$W$1,SMALL(IF(D_马仔培养宝物!$Z$2:$Z$64=D_马仔培养宝物!$E112,ROW($C$2:$H$64),""),RANDBETWEEN(1,VLOOKUP(D_马仔培养宝物!$E112,D_马仔培养宝物!$T$3:$U$7,2,FALSE)))-1,0)</f>
        <v>92264</v>
      </c>
      <c r="H112" s="5">
        <f t="array" aca="1" ref="H112" ca="1">OFFSET(D_马仔培养宝物!$W$1,SMALL(IF(D_马仔培养宝物!$Z$2:$Z$64=D_马仔培养宝物!$E112,ROW($C$2:$H$64),""),RANDBETWEEN(1,VLOOKUP(D_马仔培养宝物!$E112,D_马仔培养宝物!$T$3:$U$7,2,FALSE)))-1,0)</f>
        <v>92287</v>
      </c>
      <c r="J112" s="5">
        <v>92228</v>
      </c>
      <c r="K112" s="5">
        <v>92273</v>
      </c>
      <c r="L112" s="5">
        <v>92271</v>
      </c>
      <c r="M112" s="5">
        <v>92131</v>
      </c>
      <c r="N112" s="5">
        <v>92236</v>
      </c>
      <c r="O112" s="5">
        <v>92286</v>
      </c>
      <c r="P112">
        <f>VLOOKUP(J112,D_马仔培养宝物!$W$2:$AC$64,5,FALSE)+VLOOKUP(K112,D_马仔培养宝物!$W$2:$AC$64,5,FALSE)+VLOOKUP(L112,D_马仔培养宝物!$W$2:$AC$64,5,FALSE)+VLOOKUP(M112,D_马仔培养宝物!$W$2:$AC$64,5,FALSE)+VLOOKUP(N112,D_马仔培养宝物!$W$2:$AC$64,5,FALSE)+VLOOKUP(O112,D_马仔培养宝物!$W$2:$AC$64,5,FALSE)</f>
        <v>823</v>
      </c>
      <c r="Q112">
        <f>VLOOKUP(J112,D_马仔培养宝物!$W$2:$AC$64,6,FALSE)+VLOOKUP(K112,D_马仔培养宝物!$W$2:$AC$64,6,FALSE)+VLOOKUP(L112,D_马仔培养宝物!$W$2:$AC$64,6,FALSE)+VLOOKUP(M112,D_马仔培养宝物!$W$2:$AC$64,6,FALSE)+VLOOKUP(N112,D_马仔培养宝物!$W$2:$AC$64,6,FALSE)+VLOOKUP(O112,D_马仔培养宝物!$W$2:$AC$64,6,FALSE)</f>
        <v>125</v>
      </c>
      <c r="R112">
        <f>VLOOKUP(J112,D_马仔培养宝物!$W$2:$AC$64,7,FALSE)+VLOOKUP(K112,D_马仔培养宝物!$W$2:$AC$64,7,FALSE)+VLOOKUP(L112,D_马仔培养宝物!$W$2:$AC$64,7,FALSE)+VLOOKUP(M112,D_马仔培养宝物!$W$2:$AC$64,7,FALSE)+VLOOKUP(N112,D_马仔培养宝物!$W$2:$AC$64,7,FALSE)+VLOOKUP(O112,D_马仔培养宝物!$W$2:$AC$64,7,FALSE)</f>
        <v>44</v>
      </c>
    </row>
    <row r="113" spans="3:18">
      <c r="C113" s="5">
        <f t="array" aca="1" ref="C113" ca="1">OFFSET(D_马仔培养宝物!$W$1,SMALL(IF(D_马仔培养宝物!$Z$2:$Z$64=D_马仔培养宝物!$E113,ROW($C$2:$H$64),""),RANDBETWEEN(1,VLOOKUP(D_马仔培养宝物!$E113,D_马仔培养宝物!$T$3:$U$7,2,FALSE)))-1,0)</f>
        <v>92141</v>
      </c>
      <c r="D113" s="5">
        <f t="array" aca="1" ref="D113" ca="1">OFFSET(D_马仔培养宝物!$W$1,SMALL(IF(D_马仔培养宝物!$Z$2:$Z$64=D_马仔培养宝物!$E113,ROW($C$2:$H$64),""),RANDBETWEEN(1,VLOOKUP(D_马仔培养宝物!$E113,D_马仔培养宝物!$T$3:$U$7,2,FALSE)))-1,0)</f>
        <v>92245</v>
      </c>
      <c r="E113" s="5">
        <f t="array" aca="1" ref="E113" ca="1">OFFSET(D_马仔培养宝物!$W$1,SMALL(IF(D_马仔培养宝物!$Z$2:$Z$64=D_马仔培养宝物!$E113,ROW($C$2:$H$64),""),RANDBETWEEN(1,VLOOKUP(D_马仔培养宝物!$E113,D_马仔培养宝物!$T$3:$U$7,2,FALSE)))-1,0)</f>
        <v>92122</v>
      </c>
      <c r="F113" s="5">
        <f t="array" aca="1" ref="F113" ca="1">OFFSET(D_马仔培养宝物!$W$1,SMALL(IF(D_马仔培养宝物!$Z$2:$Z$64=D_马仔培养宝物!$E113,ROW($C$2:$H$64),""),RANDBETWEEN(1,VLOOKUP(D_马仔培养宝物!$E113,D_马仔培养宝物!$T$3:$U$7,2,FALSE)))-1,0)</f>
        <v>92264</v>
      </c>
      <c r="G113" s="5">
        <f t="array" aca="1" ref="G113" ca="1">OFFSET(D_马仔培养宝物!$W$1,SMALL(IF(D_马仔培养宝物!$Z$2:$Z$64=D_马仔培养宝物!$E113,ROW($C$2:$H$64),""),RANDBETWEEN(1,VLOOKUP(D_马仔培养宝物!$E113,D_马仔培养宝物!$T$3:$U$7,2,FALSE)))-1,0)</f>
        <v>92233</v>
      </c>
      <c r="H113" s="5">
        <f t="array" aca="1" ref="H113" ca="1">OFFSET(D_马仔培养宝物!$W$1,SMALL(IF(D_马仔培养宝物!$Z$2:$Z$64=D_马仔培养宝物!$E113,ROW($C$2:$H$64),""),RANDBETWEEN(1,VLOOKUP(D_马仔培养宝物!$E113,D_马仔培养宝物!$T$3:$U$7,2,FALSE)))-1,0)</f>
        <v>92287</v>
      </c>
      <c r="J113" s="5">
        <v>92235</v>
      </c>
      <c r="K113" s="5">
        <v>92131</v>
      </c>
      <c r="L113" s="5">
        <v>92233</v>
      </c>
      <c r="M113" s="5">
        <v>92232</v>
      </c>
      <c r="N113" s="5">
        <v>92271</v>
      </c>
      <c r="O113" s="5">
        <v>92228</v>
      </c>
      <c r="P113">
        <f>VLOOKUP(J113,D_马仔培养宝物!$W$2:$AC$64,5,FALSE)+VLOOKUP(K113,D_马仔培养宝物!$W$2:$AC$64,5,FALSE)+VLOOKUP(L113,D_马仔培养宝物!$W$2:$AC$64,5,FALSE)+VLOOKUP(M113,D_马仔培养宝物!$W$2:$AC$64,5,FALSE)+VLOOKUP(N113,D_马仔培养宝物!$W$2:$AC$64,5,FALSE)+VLOOKUP(O113,D_马仔培养宝物!$W$2:$AC$64,5,FALSE)</f>
        <v>1646</v>
      </c>
      <c r="Q113">
        <f>VLOOKUP(J113,D_马仔培养宝物!$W$2:$AC$64,6,FALSE)+VLOOKUP(K113,D_马仔培养宝物!$W$2:$AC$64,6,FALSE)+VLOOKUP(L113,D_马仔培养宝物!$W$2:$AC$64,6,FALSE)+VLOOKUP(M113,D_马仔培养宝物!$W$2:$AC$64,6,FALSE)+VLOOKUP(N113,D_马仔培养宝物!$W$2:$AC$64,6,FALSE)+VLOOKUP(O113,D_马仔培养宝物!$W$2:$AC$64,6,FALSE)</f>
        <v>0</v>
      </c>
      <c r="R113">
        <f>VLOOKUP(J113,D_马仔培养宝物!$W$2:$AC$64,7,FALSE)+VLOOKUP(K113,D_马仔培养宝物!$W$2:$AC$64,7,FALSE)+VLOOKUP(L113,D_马仔培养宝物!$W$2:$AC$64,7,FALSE)+VLOOKUP(M113,D_马仔培养宝物!$W$2:$AC$64,7,FALSE)+VLOOKUP(N113,D_马仔培养宝物!$W$2:$AC$64,7,FALSE)+VLOOKUP(O113,D_马仔培养宝物!$W$2:$AC$64,7,FALSE)</f>
        <v>26</v>
      </c>
    </row>
    <row r="114" spans="3:18">
      <c r="C114" s="5">
        <f t="array" aca="1" ref="C114" ca="1">OFFSET(D_马仔培养宝物!$W$1,SMALL(IF(D_马仔培养宝物!$Z$2:$Z$64=D_马仔培养宝物!$E114,ROW($C$2:$H$64),""),RANDBETWEEN(1,VLOOKUP(D_马仔培养宝物!$E114,D_马仔培养宝物!$T$3:$U$7,2,FALSE)))-1,0)</f>
        <v>92273</v>
      </c>
      <c r="D114" s="5">
        <f t="array" aca="1" ref="D114" ca="1">OFFSET(D_马仔培养宝物!$W$1,SMALL(IF(D_马仔培养宝物!$Z$2:$Z$64=D_马仔培养宝物!$E114,ROW($C$2:$H$64),""),RANDBETWEEN(1,VLOOKUP(D_马仔培养宝物!$E114,D_马仔培养宝物!$T$3:$U$7,2,FALSE)))-1,0)</f>
        <v>92124</v>
      </c>
      <c r="E114" s="5">
        <f t="array" aca="1" ref="E114" ca="1">OFFSET(D_马仔培养宝物!$W$1,SMALL(IF(D_马仔培养宝物!$Z$2:$Z$64=D_马仔培养宝物!$E114,ROW($C$2:$H$64),""),RANDBETWEEN(1,VLOOKUP(D_马仔培养宝物!$E114,D_马仔培养宝物!$T$3:$U$7,2,FALSE)))-1,0)</f>
        <v>92288</v>
      </c>
      <c r="F114" s="5">
        <f t="array" aca="1" ref="F114" ca="1">OFFSET(D_马仔培养宝物!$W$1,SMALL(IF(D_马仔培养宝物!$Z$2:$Z$64=D_马仔培养宝物!$E114,ROW($C$2:$H$64),""),RANDBETWEEN(1,VLOOKUP(D_马仔培养宝物!$E114,D_马仔培养宝物!$T$3:$U$7,2,FALSE)))-1,0)</f>
        <v>92124</v>
      </c>
      <c r="G114" s="5">
        <f t="array" aca="1" ref="G114" ca="1">OFFSET(D_马仔培养宝物!$W$1,SMALL(IF(D_马仔培养宝物!$Z$2:$Z$64=D_马仔培养宝物!$E114,ROW($C$2:$H$64),""),RANDBETWEEN(1,VLOOKUP(D_马仔培养宝物!$E114,D_马仔培养宝物!$T$3:$U$7,2,FALSE)))-1,0)</f>
        <v>92279</v>
      </c>
      <c r="H114" s="5">
        <f t="array" aca="1" ref="H114" ca="1">OFFSET(D_马仔培养宝物!$W$1,SMALL(IF(D_马仔培养宝物!$Z$2:$Z$64=D_马仔培养宝物!$E114,ROW($C$2:$H$64),""),RANDBETWEEN(1,VLOOKUP(D_马仔培养宝物!$E114,D_马仔培养宝物!$T$3:$U$7,2,FALSE)))-1,0)</f>
        <v>92124</v>
      </c>
      <c r="J114" s="5">
        <v>92282</v>
      </c>
      <c r="K114" s="5">
        <v>92134</v>
      </c>
      <c r="L114" s="5">
        <v>92284</v>
      </c>
      <c r="M114" s="5">
        <v>92262</v>
      </c>
      <c r="N114" s="5">
        <v>92283</v>
      </c>
      <c r="O114" s="5">
        <v>92142</v>
      </c>
      <c r="P114">
        <f>VLOOKUP(J114,D_马仔培养宝物!$W$2:$AC$64,5,FALSE)+VLOOKUP(K114,D_马仔培养宝物!$W$2:$AC$64,5,FALSE)+VLOOKUP(L114,D_马仔培养宝物!$W$2:$AC$64,5,FALSE)+VLOOKUP(M114,D_马仔培养宝物!$W$2:$AC$64,5,FALSE)+VLOOKUP(N114,D_马仔培养宝物!$W$2:$AC$64,5,FALSE)+VLOOKUP(O114,D_马仔培养宝物!$W$2:$AC$64,5,FALSE)</f>
        <v>1029</v>
      </c>
      <c r="Q114">
        <f>VLOOKUP(J114,D_马仔培养宝物!$W$2:$AC$64,6,FALSE)+VLOOKUP(K114,D_马仔培养宝物!$W$2:$AC$64,6,FALSE)+VLOOKUP(L114,D_马仔培养宝物!$W$2:$AC$64,6,FALSE)+VLOOKUP(M114,D_马仔培养宝物!$W$2:$AC$64,6,FALSE)+VLOOKUP(N114,D_马仔培养宝物!$W$2:$AC$64,6,FALSE)+VLOOKUP(O114,D_马仔培养宝物!$W$2:$AC$64,6,FALSE)</f>
        <v>335</v>
      </c>
      <c r="R114">
        <f>VLOOKUP(J114,D_马仔培养宝物!$W$2:$AC$64,7,FALSE)+VLOOKUP(K114,D_马仔培养宝物!$W$2:$AC$64,7,FALSE)+VLOOKUP(L114,D_马仔培养宝物!$W$2:$AC$64,7,FALSE)+VLOOKUP(M114,D_马仔培养宝物!$W$2:$AC$64,7,FALSE)+VLOOKUP(N114,D_马仔培养宝物!$W$2:$AC$64,7,FALSE)+VLOOKUP(O114,D_马仔培养宝物!$W$2:$AC$64,7,FALSE)</f>
        <v>13</v>
      </c>
    </row>
    <row r="115" spans="3:18">
      <c r="C115" s="5">
        <f t="array" aca="1" ref="C115" ca="1">OFFSET(D_马仔培养宝物!$W$1,SMALL(IF(D_马仔培养宝物!$Z$2:$Z$64=D_马仔培养宝物!$E115,ROW($C$2:$H$64),""),RANDBETWEEN(1,VLOOKUP(D_马仔培养宝物!$E115,D_马仔培养宝物!$T$3:$U$7,2,FALSE)))-1,0)</f>
        <v>92142</v>
      </c>
      <c r="D115" s="5">
        <f t="array" aca="1" ref="D115" ca="1">OFFSET(D_马仔培养宝物!$W$1,SMALL(IF(D_马仔培养宝物!$Z$2:$Z$64=D_马仔培养宝物!$E115,ROW($C$2:$H$64),""),RANDBETWEEN(1,VLOOKUP(D_马仔培养宝物!$E115,D_马仔培养宝物!$T$3:$U$7,2,FALSE)))-1,0)</f>
        <v>92288</v>
      </c>
      <c r="E115" s="5">
        <f t="array" aca="1" ref="E115" ca="1">OFFSET(D_马仔培养宝物!$W$1,SMALL(IF(D_马仔培养宝物!$Z$2:$Z$64=D_马仔培养宝物!$E115,ROW($C$2:$H$64),""),RANDBETWEEN(1,VLOOKUP(D_马仔培养宝物!$E115,D_马仔培养宝物!$T$3:$U$7,2,FALSE)))-1,0)</f>
        <v>92124</v>
      </c>
      <c r="F115" s="5">
        <f t="array" aca="1" ref="F115" ca="1">OFFSET(D_马仔培养宝物!$W$1,SMALL(IF(D_马仔培养宝物!$Z$2:$Z$64=D_马仔培养宝物!$E115,ROW($C$2:$H$64),""),RANDBETWEEN(1,VLOOKUP(D_马仔培养宝物!$E115,D_马仔培养宝物!$T$3:$U$7,2,FALSE)))-1,0)</f>
        <v>92279</v>
      </c>
      <c r="G115" s="5">
        <f t="array" aca="1" ref="G115" ca="1">OFFSET(D_马仔培养宝物!$W$1,SMALL(IF(D_马仔培养宝物!$Z$2:$Z$64=D_马仔培养宝物!$E115,ROW($C$2:$H$64),""),RANDBETWEEN(1,VLOOKUP(D_马仔培养宝物!$E115,D_马仔培养宝物!$T$3:$U$7,2,FALSE)))-1,0)</f>
        <v>92272</v>
      </c>
      <c r="H115" s="5">
        <f t="array" aca="1" ref="H115" ca="1">OFFSET(D_马仔培养宝物!$W$1,SMALL(IF(D_马仔培养宝物!$Z$2:$Z$64=D_马仔培养宝物!$E115,ROW($C$2:$H$64),""),RANDBETWEEN(1,VLOOKUP(D_马仔培养宝物!$E115,D_马仔培养宝物!$T$3:$U$7,2,FALSE)))-1,0)</f>
        <v>92142</v>
      </c>
      <c r="J115" s="5">
        <v>92134</v>
      </c>
      <c r="K115" s="5">
        <v>92283</v>
      </c>
      <c r="L115" s="5">
        <v>92282</v>
      </c>
      <c r="M115" s="5">
        <v>92284</v>
      </c>
      <c r="N115" s="5">
        <v>92285</v>
      </c>
      <c r="O115" s="5">
        <v>92262</v>
      </c>
      <c r="P115">
        <f>VLOOKUP(J115,D_马仔培养宝物!$W$2:$AC$64,5,FALSE)+VLOOKUP(K115,D_马仔培养宝物!$W$2:$AC$64,5,FALSE)+VLOOKUP(L115,D_马仔培养宝物!$W$2:$AC$64,5,FALSE)+VLOOKUP(M115,D_马仔培养宝物!$W$2:$AC$64,5,FALSE)+VLOOKUP(N115,D_马仔培养宝物!$W$2:$AC$64,5,FALSE)+VLOOKUP(O115,D_马仔培养宝物!$W$2:$AC$64,5,FALSE)</f>
        <v>1029</v>
      </c>
      <c r="Q115">
        <f>VLOOKUP(J115,D_马仔培养宝物!$W$2:$AC$64,6,FALSE)+VLOOKUP(K115,D_马仔培养宝物!$W$2:$AC$64,6,FALSE)+VLOOKUP(L115,D_马仔培养宝物!$W$2:$AC$64,6,FALSE)+VLOOKUP(M115,D_马仔培养宝物!$W$2:$AC$64,6,FALSE)+VLOOKUP(N115,D_马仔培养宝物!$W$2:$AC$64,6,FALSE)+VLOOKUP(O115,D_马仔培养宝物!$W$2:$AC$64,6,FALSE)</f>
        <v>356</v>
      </c>
      <c r="R115">
        <f>VLOOKUP(J115,D_马仔培养宝物!$W$2:$AC$64,7,FALSE)+VLOOKUP(K115,D_马仔培养宝物!$W$2:$AC$64,7,FALSE)+VLOOKUP(L115,D_马仔培养宝物!$W$2:$AC$64,7,FALSE)+VLOOKUP(M115,D_马仔培养宝物!$W$2:$AC$64,7,FALSE)+VLOOKUP(N115,D_马仔培养宝物!$W$2:$AC$64,7,FALSE)+VLOOKUP(O115,D_马仔培养宝物!$W$2:$AC$64,7,FALSE)</f>
        <v>13</v>
      </c>
    </row>
    <row r="116" spans="3:18">
      <c r="C116" s="5">
        <f t="array" aca="1" ref="C116" ca="1">OFFSET(D_马仔培养宝物!$W$1,SMALL(IF(D_马仔培养宝物!$Z$2:$Z$64=D_马仔培养宝物!$E116,ROW($C$2:$H$64),""),RANDBETWEEN(1,VLOOKUP(D_马仔培养宝物!$E116,D_马仔培养宝物!$T$3:$U$7,2,FALSE)))-1,0)</f>
        <v>92254</v>
      </c>
      <c r="D116" s="5">
        <f t="array" aca="1" ref="D116" ca="1">OFFSET(D_马仔培养宝物!$W$1,SMALL(IF(D_马仔培养宝物!$Z$2:$Z$64=D_马仔培养宝物!$E116,ROW($C$2:$H$64),""),RANDBETWEEN(1,VLOOKUP(D_马仔培养宝物!$E116,D_马仔培养宝物!$T$3:$U$7,2,FALSE)))-1,0)</f>
        <v>92013</v>
      </c>
      <c r="E116" s="5">
        <f t="array" aca="1" ref="E116" ca="1">OFFSET(D_马仔培养宝物!$W$1,SMALL(IF(D_马仔培养宝物!$Z$2:$Z$64=D_马仔培养宝物!$E116,ROW($C$2:$H$64),""),RANDBETWEEN(1,VLOOKUP(D_马仔培养宝物!$E116,D_马仔培养宝物!$T$3:$U$7,2,FALSE)))-1,0)</f>
        <v>92236</v>
      </c>
      <c r="F116" s="5">
        <f t="array" aca="1" ref="F116" ca="1">OFFSET(D_马仔培养宝物!$W$1,SMALL(IF(D_马仔培养宝物!$Z$2:$Z$64=D_马仔培养宝物!$E116,ROW($C$2:$H$64),""),RANDBETWEEN(1,VLOOKUP(D_马仔培养宝物!$E116,D_马仔培养宝物!$T$3:$U$7,2,FALSE)))-1,0)</f>
        <v>92227</v>
      </c>
      <c r="G116" s="5">
        <f t="array" aca="1" ref="G116" ca="1">OFFSET(D_马仔培养宝物!$W$1,SMALL(IF(D_马仔培养宝物!$Z$2:$Z$64=D_马仔培养宝物!$E116,ROW($C$2:$H$64),""),RANDBETWEEN(1,VLOOKUP(D_马仔培养宝物!$E116,D_马仔培养宝物!$T$3:$U$7,2,FALSE)))-1,0)</f>
        <v>92134</v>
      </c>
      <c r="H116" s="5">
        <f t="array" aca="1" ref="H116" ca="1">OFFSET(D_马仔培养宝物!$W$1,SMALL(IF(D_马仔培养宝物!$Z$2:$Z$64=D_马仔培养宝物!$E116,ROW($C$2:$H$64),""),RANDBETWEEN(1,VLOOKUP(D_马仔培养宝物!$E116,D_马仔培养宝物!$T$3:$U$7,2,FALSE)))-1,0)</f>
        <v>92236</v>
      </c>
      <c r="J116" s="5">
        <v>92278</v>
      </c>
      <c r="K116" s="5">
        <v>92275</v>
      </c>
      <c r="L116" s="5">
        <v>92279</v>
      </c>
      <c r="M116" s="5">
        <v>92272</v>
      </c>
      <c r="N116" s="5">
        <v>92276</v>
      </c>
      <c r="O116" s="5">
        <v>92280</v>
      </c>
      <c r="P116">
        <f>VLOOKUP(J116,D_马仔培养宝物!$W$2:$AC$64,5,FALSE)+VLOOKUP(K116,D_马仔培养宝物!$W$2:$AC$64,5,FALSE)+VLOOKUP(L116,D_马仔培养宝物!$W$2:$AC$64,5,FALSE)+VLOOKUP(M116,D_马仔培养宝物!$W$2:$AC$64,5,FALSE)+VLOOKUP(N116,D_马仔培养宝物!$W$2:$AC$64,5,FALSE)+VLOOKUP(O116,D_马仔培养宝物!$W$2:$AC$64,5,FALSE)</f>
        <v>6379</v>
      </c>
      <c r="Q116">
        <f>VLOOKUP(J116,D_马仔培养宝物!$W$2:$AC$64,6,FALSE)+VLOOKUP(K116,D_马仔培养宝物!$W$2:$AC$64,6,FALSE)+VLOOKUP(L116,D_马仔培养宝物!$W$2:$AC$64,6,FALSE)+VLOOKUP(M116,D_马仔培养宝物!$W$2:$AC$64,6,FALSE)+VLOOKUP(N116,D_马仔培养宝物!$W$2:$AC$64,6,FALSE)+VLOOKUP(O116,D_马仔培养宝物!$W$2:$AC$64,6,FALSE)</f>
        <v>31</v>
      </c>
      <c r="R116">
        <f>VLOOKUP(J116,D_马仔培养宝物!$W$2:$AC$64,7,FALSE)+VLOOKUP(K116,D_马仔培养宝物!$W$2:$AC$64,7,FALSE)+VLOOKUP(L116,D_马仔培养宝物!$W$2:$AC$64,7,FALSE)+VLOOKUP(M116,D_马仔培养宝物!$W$2:$AC$64,7,FALSE)+VLOOKUP(N116,D_马仔培养宝物!$W$2:$AC$64,7,FALSE)+VLOOKUP(O116,D_马仔培养宝物!$W$2:$AC$64,7,FALSE)</f>
        <v>22</v>
      </c>
    </row>
    <row r="117" spans="3:18">
      <c r="C117" s="5">
        <f t="array" aca="1" ref="C117" ca="1">OFFSET(D_马仔培养宝物!$W$1,SMALL(IF(D_马仔培养宝物!$Z$2:$Z$64=D_马仔培养宝物!$E117,ROW($C$2:$H$64),""),RANDBETWEEN(1,VLOOKUP(D_马仔培养宝物!$E117,D_马仔培养宝物!$T$3:$U$7,2,FALSE)))-1,0)</f>
        <v>92134</v>
      </c>
      <c r="D117" s="5">
        <f t="array" aca="1" ref="D117" ca="1">OFFSET(D_马仔培养宝物!$W$1,SMALL(IF(D_马仔培养宝物!$Z$2:$Z$64=D_马仔培养宝物!$E117,ROW($C$2:$H$64),""),RANDBETWEEN(1,VLOOKUP(D_马仔培养宝物!$E117,D_马仔培养宝物!$T$3:$U$7,2,FALSE)))-1,0)</f>
        <v>92274</v>
      </c>
      <c r="E117" s="5">
        <f t="array" aca="1" ref="E117" ca="1">OFFSET(D_马仔培养宝物!$W$1,SMALL(IF(D_马仔培养宝物!$Z$2:$Z$64=D_马仔培养宝物!$E117,ROW($C$2:$H$64),""),RANDBETWEEN(1,VLOOKUP(D_马仔培养宝物!$E117,D_马仔培养宝物!$T$3:$U$7,2,FALSE)))-1,0)</f>
        <v>92125</v>
      </c>
      <c r="F117" s="5">
        <f t="array" aca="1" ref="F117" ca="1">OFFSET(D_马仔培养宝物!$W$1,SMALL(IF(D_马仔培养宝物!$Z$2:$Z$64=D_马仔培养宝物!$E117,ROW($C$2:$H$64),""),RANDBETWEEN(1,VLOOKUP(D_马仔培养宝物!$E117,D_马仔培养宝物!$T$3:$U$7,2,FALSE)))-1,0)</f>
        <v>92285</v>
      </c>
      <c r="G117" s="5">
        <f t="array" aca="1" ref="G117" ca="1">OFFSET(D_马仔培养宝物!$W$1,SMALL(IF(D_马仔培养宝物!$Z$2:$Z$64=D_马仔培养宝物!$E117,ROW($C$2:$H$64),""),RANDBETWEEN(1,VLOOKUP(D_马仔培养宝物!$E117,D_马仔培养宝物!$T$3:$U$7,2,FALSE)))-1,0)</f>
        <v>92280</v>
      </c>
      <c r="H117" s="5">
        <f t="array" aca="1" ref="H117" ca="1">OFFSET(D_马仔培养宝物!$W$1,SMALL(IF(D_马仔培养宝物!$Z$2:$Z$64=D_马仔培养宝物!$E117,ROW($C$2:$H$64),""),RANDBETWEEN(1,VLOOKUP(D_马仔培养宝物!$E117,D_马仔培养宝物!$T$3:$U$7,2,FALSE)))-1,0)</f>
        <v>92254</v>
      </c>
      <c r="J117" s="5">
        <v>92275</v>
      </c>
      <c r="K117" s="5">
        <v>92272</v>
      </c>
      <c r="L117" s="5">
        <v>92274</v>
      </c>
      <c r="M117" s="5">
        <v>92279</v>
      </c>
      <c r="N117" s="5">
        <v>92281</v>
      </c>
      <c r="O117" s="5">
        <v>92264</v>
      </c>
      <c r="P117">
        <f>VLOOKUP(J117,D_马仔培养宝物!$W$2:$AC$64,5,FALSE)+VLOOKUP(K117,D_马仔培养宝物!$W$2:$AC$64,5,FALSE)+VLOOKUP(L117,D_马仔培养宝物!$W$2:$AC$64,5,FALSE)+VLOOKUP(M117,D_马仔培养宝物!$W$2:$AC$64,5,FALSE)+VLOOKUP(N117,D_马仔培养宝物!$W$2:$AC$64,5,FALSE)+VLOOKUP(O117,D_马仔培养宝物!$W$2:$AC$64,5,FALSE)</f>
        <v>2881</v>
      </c>
      <c r="Q117">
        <f>VLOOKUP(J117,D_马仔培养宝物!$W$2:$AC$64,6,FALSE)+VLOOKUP(K117,D_马仔培养宝物!$W$2:$AC$64,6,FALSE)+VLOOKUP(L117,D_马仔培养宝物!$W$2:$AC$64,6,FALSE)+VLOOKUP(M117,D_马仔培养宝物!$W$2:$AC$64,6,FALSE)+VLOOKUP(N117,D_马仔培养宝物!$W$2:$AC$64,6,FALSE)+VLOOKUP(O117,D_马仔培养宝物!$W$2:$AC$64,6,FALSE)</f>
        <v>94</v>
      </c>
      <c r="R117">
        <f>VLOOKUP(J117,D_马仔培养宝物!$W$2:$AC$64,7,FALSE)+VLOOKUP(K117,D_马仔培养宝物!$W$2:$AC$64,7,FALSE)+VLOOKUP(L117,D_马仔培养宝物!$W$2:$AC$64,7,FALSE)+VLOOKUP(M117,D_马仔培养宝物!$W$2:$AC$64,7,FALSE)+VLOOKUP(N117,D_马仔培养宝物!$W$2:$AC$64,7,FALSE)+VLOOKUP(O117,D_马仔培养宝物!$W$2:$AC$64,7,FALSE)</f>
        <v>66</v>
      </c>
    </row>
    <row r="118" spans="3:18">
      <c r="C118" s="5">
        <f t="array" aca="1" ref="C118" ca="1">OFFSET(D_马仔培养宝物!$W$1,SMALL(IF(D_马仔培养宝物!$Z$2:$Z$64=D_马仔培养宝物!$E118,ROW($C$2:$H$64),""),RANDBETWEEN(1,VLOOKUP(D_马仔培养宝物!$E118,D_马仔培养宝物!$T$3:$U$7,2,FALSE)))-1,0)</f>
        <v>92014</v>
      </c>
      <c r="D118" s="5">
        <f t="array" aca="1" ref="D118" ca="1">OFFSET(D_马仔培养宝物!$W$1,SMALL(IF(D_马仔培养宝物!$Z$2:$Z$64=D_马仔培养宝物!$E118,ROW($C$2:$H$64),""),RANDBETWEEN(1,VLOOKUP(D_马仔培养宝物!$E118,D_马仔培养宝物!$T$3:$U$7,2,FALSE)))-1,0)</f>
        <v>92292</v>
      </c>
      <c r="E118" s="5">
        <f t="array" aca="1" ref="E118" ca="1">OFFSET(D_马仔培养宝物!$W$1,SMALL(IF(D_马仔培养宝物!$Z$2:$Z$64=D_马仔培养宝物!$E118,ROW($C$2:$H$64),""),RANDBETWEEN(1,VLOOKUP(D_马仔培养宝物!$E118,D_马仔培养宝物!$T$3:$U$7,2,FALSE)))-1,0)</f>
        <v>92240</v>
      </c>
      <c r="F118" s="5">
        <f t="array" aca="1" ref="F118" ca="1">OFFSET(D_马仔培养宝物!$W$1,SMALL(IF(D_马仔培养宝物!$Z$2:$Z$64=D_马仔培养宝物!$E118,ROW($C$2:$H$64),""),RANDBETWEEN(1,VLOOKUP(D_马仔培养宝物!$E118,D_马仔培养宝物!$T$3:$U$7,2,FALSE)))-1,0)</f>
        <v>92294</v>
      </c>
      <c r="G118" s="5">
        <f t="array" aca="1" ref="G118" ca="1">OFFSET(D_马仔培养宝物!$W$1,SMALL(IF(D_马仔培养宝物!$Z$2:$Z$64=D_马仔培养宝物!$E118,ROW($C$2:$H$64),""),RANDBETWEEN(1,VLOOKUP(D_马仔培养宝物!$E118,D_马仔培养宝物!$T$3:$U$7,2,FALSE)))-1,0)</f>
        <v>92291</v>
      </c>
      <c r="H118" s="5">
        <f t="array" aca="1" ref="H118" ca="1">OFFSET(D_马仔培养宝物!$W$1,SMALL(IF(D_马仔培养宝物!$Z$2:$Z$64=D_马仔培养宝物!$E118,ROW($C$2:$H$64),""),RANDBETWEEN(1,VLOOKUP(D_马仔培养宝物!$E118,D_马仔培养宝物!$T$3:$U$7,2,FALSE)))-1,0)</f>
        <v>92295</v>
      </c>
      <c r="J118" s="5">
        <v>92299</v>
      </c>
      <c r="K118" s="5">
        <v>92240</v>
      </c>
      <c r="L118" s="5">
        <v>92294</v>
      </c>
      <c r="M118" s="5">
        <v>92295</v>
      </c>
      <c r="N118" s="5">
        <v>92254</v>
      </c>
      <c r="O118" s="5">
        <v>92292</v>
      </c>
      <c r="P118">
        <f>VLOOKUP(J118,D_马仔培养宝物!$W$2:$AC$64,5,FALSE)+VLOOKUP(K118,D_马仔培养宝物!$W$2:$AC$64,5,FALSE)+VLOOKUP(L118,D_马仔培养宝物!$W$2:$AC$64,5,FALSE)+VLOOKUP(M118,D_马仔培养宝物!$W$2:$AC$64,5,FALSE)+VLOOKUP(N118,D_马仔培养宝物!$W$2:$AC$64,5,FALSE)+VLOOKUP(O118,D_马仔培养宝物!$W$2:$AC$64,5,FALSE)</f>
        <v>3910</v>
      </c>
      <c r="Q118">
        <f>VLOOKUP(J118,D_马仔培养宝物!$W$2:$AC$64,6,FALSE)+VLOOKUP(K118,D_马仔培养宝物!$W$2:$AC$64,6,FALSE)+VLOOKUP(L118,D_马仔培养宝物!$W$2:$AC$64,6,FALSE)+VLOOKUP(M118,D_马仔培养宝物!$W$2:$AC$64,6,FALSE)+VLOOKUP(N118,D_马仔培养宝物!$W$2:$AC$64,6,FALSE)+VLOOKUP(O118,D_马仔培养宝物!$W$2:$AC$64,6,FALSE)</f>
        <v>73</v>
      </c>
      <c r="R118">
        <f>VLOOKUP(J118,D_马仔培养宝物!$W$2:$AC$64,7,FALSE)+VLOOKUP(K118,D_马仔培养宝物!$W$2:$AC$64,7,FALSE)+VLOOKUP(L118,D_马仔培养宝物!$W$2:$AC$64,7,FALSE)+VLOOKUP(M118,D_马仔培养宝物!$W$2:$AC$64,7,FALSE)+VLOOKUP(N118,D_马仔培养宝物!$W$2:$AC$64,7,FALSE)+VLOOKUP(O118,D_马仔培养宝物!$W$2:$AC$64,7,FALSE)</f>
        <v>128</v>
      </c>
    </row>
    <row r="119" spans="3:18">
      <c r="C119" s="5">
        <f t="array" aca="1" ref="C119" ca="1">OFFSET(D_马仔培养宝物!$W$1,SMALL(IF(D_马仔培养宝物!$Z$2:$Z$64=D_马仔培养宝物!$E119,ROW($C$2:$H$64),""),RANDBETWEEN(1,VLOOKUP(D_马仔培养宝物!$E119,D_马仔培养宝物!$T$3:$U$7,2,FALSE)))-1,0)</f>
        <v>92261</v>
      </c>
      <c r="D119" s="5">
        <f t="array" aca="1" ref="D119" ca="1">OFFSET(D_马仔培养宝物!$W$1,SMALL(IF(D_马仔培养宝物!$Z$2:$Z$64=D_马仔培养宝物!$E119,ROW($C$2:$H$64),""),RANDBETWEEN(1,VLOOKUP(D_马仔培养宝物!$E119,D_马仔培养宝物!$T$3:$U$7,2,FALSE)))-1,0)</f>
        <v>92291</v>
      </c>
      <c r="E119" s="5">
        <f t="array" aca="1" ref="E119" ca="1">OFFSET(D_马仔培养宝物!$W$1,SMALL(IF(D_马仔培养宝物!$Z$2:$Z$64=D_马仔培养宝物!$E119,ROW($C$2:$H$64),""),RANDBETWEEN(1,VLOOKUP(D_马仔培养宝物!$E119,D_马仔培养宝物!$T$3:$U$7,2,FALSE)))-1,0)</f>
        <v>92014</v>
      </c>
      <c r="F119" s="5">
        <f t="array" aca="1" ref="F119" ca="1">OFFSET(D_马仔培养宝物!$W$1,SMALL(IF(D_马仔培养宝物!$Z$2:$Z$64=D_马仔培养宝物!$E119,ROW($C$2:$H$64),""),RANDBETWEEN(1,VLOOKUP(D_马仔培养宝物!$E119,D_马仔培养宝物!$T$3:$U$7,2,FALSE)))-1,0)</f>
        <v>92290</v>
      </c>
      <c r="G119" s="5">
        <f t="array" aca="1" ref="G119" ca="1">OFFSET(D_马仔培养宝物!$W$1,SMALL(IF(D_马仔培养宝物!$Z$2:$Z$64=D_马仔培养宝物!$E119,ROW($C$2:$H$64),""),RANDBETWEEN(1,VLOOKUP(D_马仔培养宝物!$E119,D_马仔培养宝物!$T$3:$U$7,2,FALSE)))-1,0)</f>
        <v>92014</v>
      </c>
      <c r="H119" s="5">
        <f t="array" aca="1" ref="H119" ca="1">OFFSET(D_马仔培养宝物!$W$1,SMALL(IF(D_马仔培养宝物!$Z$2:$Z$64=D_马仔培养宝物!$E119,ROW($C$2:$H$64),""),RANDBETWEEN(1,VLOOKUP(D_马仔培养宝物!$E119,D_马仔培养宝物!$T$3:$U$7,2,FALSE)))-1,0)</f>
        <v>92256</v>
      </c>
      <c r="J119" s="5">
        <v>92291</v>
      </c>
      <c r="K119" s="5">
        <v>92244</v>
      </c>
      <c r="L119" s="5">
        <v>92292</v>
      </c>
      <c r="M119" s="5">
        <v>92290</v>
      </c>
      <c r="N119" s="5">
        <v>92253</v>
      </c>
      <c r="O119" s="5">
        <v>92299</v>
      </c>
      <c r="P119">
        <f>VLOOKUP(J119,D_马仔培养宝物!$W$2:$AC$64,5,FALSE)+VLOOKUP(K119,D_马仔培养宝物!$W$2:$AC$64,5,FALSE)+VLOOKUP(L119,D_马仔培养宝物!$W$2:$AC$64,5,FALSE)+VLOOKUP(M119,D_马仔培养宝物!$W$2:$AC$64,5,FALSE)+VLOOKUP(N119,D_马仔培养宝物!$W$2:$AC$64,5,FALSE)+VLOOKUP(O119,D_马仔培养宝物!$W$2:$AC$64,5,FALSE)</f>
        <v>7408</v>
      </c>
      <c r="Q119">
        <f>VLOOKUP(J119,D_马仔培养宝物!$W$2:$AC$64,6,FALSE)+VLOOKUP(K119,D_马仔培养宝物!$W$2:$AC$64,6,FALSE)+VLOOKUP(L119,D_马仔培养宝物!$W$2:$AC$64,6,FALSE)+VLOOKUP(M119,D_马仔培养宝物!$W$2:$AC$64,6,FALSE)+VLOOKUP(N119,D_马仔培养宝物!$W$2:$AC$64,6,FALSE)+VLOOKUP(O119,D_马仔培养宝物!$W$2:$AC$64,6,FALSE)</f>
        <v>0</v>
      </c>
      <c r="R119">
        <f>VLOOKUP(J119,D_马仔培养宝物!$W$2:$AC$64,7,FALSE)+VLOOKUP(K119,D_马仔培养宝物!$W$2:$AC$64,7,FALSE)+VLOOKUP(L119,D_马仔培养宝物!$W$2:$AC$64,7,FALSE)+VLOOKUP(M119,D_马仔培养宝物!$W$2:$AC$64,7,FALSE)+VLOOKUP(N119,D_马仔培养宝物!$W$2:$AC$64,7,FALSE)+VLOOKUP(O119,D_马仔培养宝物!$W$2:$AC$64,7,FALSE)</f>
        <v>44</v>
      </c>
    </row>
    <row r="120" spans="3:18">
      <c r="C120" s="5">
        <f t="array" aca="1" ref="C120" ca="1">OFFSET(D_马仔培养宝物!$W$1,SMALL(IF(D_马仔培养宝物!$Z$2:$Z$64=D_马仔培养宝物!$E120,ROW($C$2:$H$64),""),RANDBETWEEN(1,VLOOKUP(D_马仔培养宝物!$E120,D_马仔培养宝物!$T$3:$U$7,2,FALSE)))-1,0)</f>
        <v>92240</v>
      </c>
      <c r="D120" s="5">
        <f t="array" aca="1" ref="D120" ca="1">OFFSET(D_马仔培养宝物!$W$1,SMALL(IF(D_马仔培养宝物!$Z$2:$Z$64=D_马仔培养宝物!$E120,ROW($C$2:$H$64),""),RANDBETWEEN(1,VLOOKUP(D_马仔培养宝物!$E120,D_马仔培养宝物!$T$3:$U$7,2,FALSE)))-1,0)</f>
        <v>92276</v>
      </c>
      <c r="E120" s="5">
        <f t="array" aca="1" ref="E120" ca="1">OFFSET(D_马仔培养宝物!$W$1,SMALL(IF(D_马仔培养宝物!$Z$2:$Z$64=D_马仔培养宝物!$E120,ROW($C$2:$H$64),""),RANDBETWEEN(1,VLOOKUP(D_马仔培养宝物!$E120,D_马仔培养宝物!$T$3:$U$7,2,FALSE)))-1,0)</f>
        <v>92299</v>
      </c>
      <c r="F120" s="5">
        <f t="array" aca="1" ref="F120" ca="1">OFFSET(D_马仔培养宝物!$W$1,SMALL(IF(D_马仔培养宝物!$Z$2:$Z$64=D_马仔培养宝物!$E120,ROW($C$2:$H$64),""),RANDBETWEEN(1,VLOOKUP(D_马仔培养宝物!$E120,D_马仔培养宝物!$T$3:$U$7,2,FALSE)))-1,0)</f>
        <v>92262</v>
      </c>
      <c r="G120" s="5">
        <f t="array" aca="1" ref="G120" ca="1">OFFSET(D_马仔培养宝物!$W$1,SMALL(IF(D_马仔培养宝物!$Z$2:$Z$64=D_马仔培养宝物!$E120,ROW($C$2:$H$64),""),RANDBETWEEN(1,VLOOKUP(D_马仔培养宝物!$E120,D_马仔培养宝物!$T$3:$U$7,2,FALSE)))-1,0)</f>
        <v>92299</v>
      </c>
      <c r="H120" s="5">
        <f t="array" aca="1" ref="H120" ca="1">OFFSET(D_马仔培养宝物!$W$1,SMALL(IF(D_马仔培养宝物!$Z$2:$Z$64=D_马仔培养宝物!$E120,ROW($C$2:$H$64),""),RANDBETWEEN(1,VLOOKUP(D_马仔培养宝物!$E120,D_马仔培养宝物!$T$3:$U$7,2,FALSE)))-1,0)</f>
        <v>92290</v>
      </c>
      <c r="J120" s="5">
        <v>92297</v>
      </c>
      <c r="K120" s="5">
        <v>92243</v>
      </c>
      <c r="L120" s="5">
        <v>92289</v>
      </c>
      <c r="M120" s="5">
        <v>92252</v>
      </c>
      <c r="N120" s="5">
        <v>92294</v>
      </c>
      <c r="O120" s="5">
        <v>92253</v>
      </c>
      <c r="P120">
        <f>VLOOKUP(J120,D_马仔培养宝物!$W$2:$AC$64,5,FALSE)+VLOOKUP(K120,D_马仔培养宝物!$W$2:$AC$64,5,FALSE)+VLOOKUP(L120,D_马仔培养宝物!$W$2:$AC$64,5,FALSE)+VLOOKUP(M120,D_马仔培养宝物!$W$2:$AC$64,5,FALSE)+VLOOKUP(N120,D_马仔培养宝物!$W$2:$AC$64,5,FALSE)+VLOOKUP(O120,D_马仔培养宝物!$W$2:$AC$64,5,FALSE)</f>
        <v>3498</v>
      </c>
      <c r="Q120">
        <f>VLOOKUP(J120,D_马仔培养宝物!$W$2:$AC$64,6,FALSE)+VLOOKUP(K120,D_马仔培养宝物!$W$2:$AC$64,6,FALSE)+VLOOKUP(L120,D_马仔培养宝物!$W$2:$AC$64,6,FALSE)+VLOOKUP(M120,D_马仔培养宝物!$W$2:$AC$64,6,FALSE)+VLOOKUP(N120,D_马仔培养宝物!$W$2:$AC$64,6,FALSE)+VLOOKUP(O120,D_马仔培养宝物!$W$2:$AC$64,6,FALSE)</f>
        <v>52</v>
      </c>
      <c r="R120">
        <f>VLOOKUP(J120,D_马仔培养宝物!$W$2:$AC$64,7,FALSE)+VLOOKUP(K120,D_马仔培养宝物!$W$2:$AC$64,7,FALSE)+VLOOKUP(L120,D_马仔培养宝物!$W$2:$AC$64,7,FALSE)+VLOOKUP(M120,D_马仔培养宝物!$W$2:$AC$64,7,FALSE)+VLOOKUP(N120,D_马仔培养宝物!$W$2:$AC$64,7,FALSE)+VLOOKUP(O120,D_马仔培养宝物!$W$2:$AC$64,7,FALSE)</f>
        <v>79</v>
      </c>
    </row>
    <row r="121" spans="3:18" ht="14.25" thickBot="1">
      <c r="C121" s="22">
        <f t="array" aca="1" ref="C121" ca="1">OFFSET(D_马仔培养宝物!$W$1,SMALL(IF(D_马仔培养宝物!$Z$2:$Z$64=D_马仔培养宝物!$E121,ROW($C$2:$H$64),""),RANDBETWEEN(1,VLOOKUP(D_马仔培养宝物!$E121,D_马仔培养宝物!$T$3:$U$7,2,FALSE)))-1,0)</f>
        <v>92240</v>
      </c>
      <c r="D121" s="22">
        <f t="array" aca="1" ref="D121" ca="1">OFFSET(D_马仔培养宝物!$W$1,SMALL(IF(D_马仔培养宝物!$Z$2:$Z$64=D_马仔培养宝物!$E121,ROW($C$2:$H$64),""),RANDBETWEEN(1,VLOOKUP(D_马仔培养宝物!$E121,D_马仔培养宝物!$T$3:$U$7,2,FALSE)))-1,0)</f>
        <v>92294</v>
      </c>
      <c r="E121" s="22">
        <f t="array" aca="1" ref="E121" ca="1">OFFSET(D_马仔培养宝物!$W$1,SMALL(IF(D_马仔培养宝物!$Z$2:$Z$64=D_马仔培养宝物!$E121,ROW($C$2:$H$64),""),RANDBETWEEN(1,VLOOKUP(D_马仔培养宝物!$E121,D_马仔培养宝物!$T$3:$U$7,2,FALSE)))-1,0)</f>
        <v>92026</v>
      </c>
      <c r="F121" s="22">
        <f t="array" aca="1" ref="F121" ca="1">OFFSET(D_马仔培养宝物!$W$1,SMALL(IF(D_马仔培养宝物!$Z$2:$Z$64=D_马仔培养宝物!$E121,ROW($C$2:$H$64),""),RANDBETWEEN(1,VLOOKUP(D_马仔培养宝物!$E121,D_马仔培养宝物!$T$3:$U$7,2,FALSE)))-1,0)</f>
        <v>92291</v>
      </c>
      <c r="G121" s="22">
        <f t="array" aca="1" ref="G121" ca="1">OFFSET(D_马仔培养宝物!$W$1,SMALL(IF(D_马仔培养宝物!$Z$2:$Z$64=D_马仔培养宝物!$E121,ROW($C$2:$H$64),""),RANDBETWEEN(1,VLOOKUP(D_马仔培养宝物!$E121,D_马仔培养宝物!$T$3:$U$7,2,FALSE)))-1,0)</f>
        <v>92281</v>
      </c>
      <c r="H121" s="22">
        <f t="array" aca="1" ref="H121" ca="1">OFFSET(D_马仔培养宝物!$W$1,SMALL(IF(D_马仔培养宝物!$Z$2:$Z$64=D_马仔培养宝物!$E121,ROW($C$2:$H$64),""),RANDBETWEEN(1,VLOOKUP(D_马仔培养宝物!$E121,D_马仔培养宝物!$T$3:$U$7,2,FALSE)))-1,0)</f>
        <v>92293</v>
      </c>
      <c r="J121" s="22">
        <v>92240</v>
      </c>
      <c r="K121" s="22">
        <v>92293</v>
      </c>
      <c r="L121" s="22">
        <v>92244</v>
      </c>
      <c r="M121" s="22">
        <v>92289</v>
      </c>
      <c r="N121" s="22">
        <v>92243</v>
      </c>
      <c r="O121" s="22">
        <v>92252</v>
      </c>
      <c r="P121">
        <f>VLOOKUP(J121,D_马仔培养宝物!$W$2:$AC$64,5,FALSE)+VLOOKUP(K121,D_马仔培养宝物!$W$2:$AC$64,5,FALSE)+VLOOKUP(L121,D_马仔培养宝物!$W$2:$AC$64,5,FALSE)+VLOOKUP(M121,D_马仔培养宝物!$W$2:$AC$64,5,FALSE)+VLOOKUP(N121,D_马仔培养宝物!$W$2:$AC$64,5,FALSE)+VLOOKUP(O121,D_马仔培养宝物!$W$2:$AC$64,5,FALSE)</f>
        <v>206</v>
      </c>
      <c r="Q121">
        <f>VLOOKUP(J121,D_马仔培养宝物!$W$2:$AC$64,6,FALSE)+VLOOKUP(K121,D_马仔培养宝物!$W$2:$AC$64,6,FALSE)+VLOOKUP(L121,D_马仔培养宝物!$W$2:$AC$64,6,FALSE)+VLOOKUP(M121,D_马仔培养宝物!$W$2:$AC$64,6,FALSE)+VLOOKUP(N121,D_马仔培养宝物!$W$2:$AC$64,6,FALSE)+VLOOKUP(O121,D_马仔培养宝物!$W$2:$AC$64,6,FALSE)</f>
        <v>157</v>
      </c>
      <c r="R121">
        <f>VLOOKUP(J121,D_马仔培养宝物!$W$2:$AC$64,7,FALSE)+VLOOKUP(K121,D_马仔培养宝物!$W$2:$AC$64,7,FALSE)+VLOOKUP(L121,D_马仔培养宝物!$W$2:$AC$64,7,FALSE)+VLOOKUP(M121,D_马仔培养宝物!$W$2:$AC$64,7,FALSE)+VLOOKUP(N121,D_马仔培养宝物!$W$2:$AC$64,7,FALSE)+VLOOKUP(O121,D_马仔培养宝物!$W$2:$AC$64,7,FALSE)</f>
        <v>75</v>
      </c>
    </row>
    <row r="122" spans="3:18">
      <c r="C122" s="19">
        <f t="array" aca="1" ref="C122" ca="1">OFFSET(D_马仔培养宝物!$W$1,SMALL(IF(D_马仔培养宝物!$Z$2:$Z$64=D_马仔培养宝物!$E122,ROW($C$2:$H$64),""),RANDBETWEEN(1,VLOOKUP(D_马仔培养宝物!$E122,D_马仔培养宝物!$T$3:$U$7,2,FALSE)))-1,0)</f>
        <v>92121</v>
      </c>
      <c r="D122" s="19">
        <f t="array" aca="1" ref="D122" ca="1">OFFSET(D_马仔培养宝物!$W$1,SMALL(IF(D_马仔培养宝物!$Z$2:$Z$64=D_马仔培养宝物!$E122,ROW($C$2:$H$64),""),RANDBETWEEN(1,VLOOKUP(D_马仔培养宝物!$E122,D_马仔培养宝物!$T$3:$U$7,2,FALSE)))-1,0)</f>
        <v>92011</v>
      </c>
      <c r="E122" s="19">
        <f t="array" aca="1" ref="E122" ca="1">OFFSET(D_马仔培养宝物!$W$1,SMALL(IF(D_马仔培养宝物!$Z$2:$Z$64=D_马仔培养宝物!$E122,ROW($C$2:$H$64),""),RANDBETWEEN(1,VLOOKUP(D_马仔培养宝物!$E122,D_马仔培养宝物!$T$3:$U$7,2,FALSE)))-1,0)</f>
        <v>92011</v>
      </c>
      <c r="F122" s="19">
        <f t="array" aca="1" ref="F122" ca="1">OFFSET(D_马仔培养宝物!$W$1,SMALL(IF(D_马仔培养宝物!$Z$2:$Z$64=D_马仔培养宝物!$E122,ROW($C$2:$H$64),""),RANDBETWEEN(1,VLOOKUP(D_马仔培养宝物!$E122,D_马仔培养宝物!$T$3:$U$7,2,FALSE)))-1,0)</f>
        <v>92244</v>
      </c>
      <c r="G122" s="19">
        <f t="array" aca="1" ref="G122" ca="1">OFFSET(D_马仔培养宝物!$W$1,SMALL(IF(D_马仔培养宝物!$Z$2:$Z$64=D_马仔培养宝物!$E122,ROW($C$2:$H$64),""),RANDBETWEEN(1,VLOOKUP(D_马仔培养宝物!$E122,D_马仔培养宝物!$T$3:$U$7,2,FALSE)))-1,0)</f>
        <v>92277</v>
      </c>
      <c r="H122" s="19">
        <f t="array" aca="1" ref="H122" ca="1">OFFSET(D_马仔培养宝物!$W$1,SMALL(IF(D_马仔培养宝物!$Z$2:$Z$64=D_马仔培养宝物!$E122,ROW($C$2:$H$64),""),RANDBETWEEN(1,VLOOKUP(D_马仔培养宝物!$E122,D_马仔培养宝物!$T$3:$U$7,2,FALSE)))-1,0)</f>
        <v>92263</v>
      </c>
      <c r="J122" s="19">
        <v>92227</v>
      </c>
      <c r="K122" s="19">
        <v>92011</v>
      </c>
      <c r="L122" s="19">
        <v>92124</v>
      </c>
      <c r="M122" s="19">
        <v>92014</v>
      </c>
      <c r="N122" s="19">
        <v>92012</v>
      </c>
      <c r="O122" s="19">
        <v>92122</v>
      </c>
      <c r="P122">
        <f>VLOOKUP(J122,D_马仔培养宝物!$W$2:$AC$64,5,FALSE)+VLOOKUP(K122,D_马仔培养宝物!$W$2:$AC$64,5,FALSE)+VLOOKUP(L122,D_马仔培养宝物!$W$2:$AC$64,5,FALSE)+VLOOKUP(M122,D_马仔培养宝物!$W$2:$AC$64,5,FALSE)+VLOOKUP(N122,D_马仔培养宝物!$W$2:$AC$64,5,FALSE)+VLOOKUP(O122,D_马仔培养宝物!$W$2:$AC$64,5,FALSE)</f>
        <v>4321</v>
      </c>
      <c r="Q122">
        <f>VLOOKUP(J122,D_马仔培养宝物!$W$2:$AC$64,6,FALSE)+VLOOKUP(K122,D_马仔培养宝物!$W$2:$AC$64,6,FALSE)+VLOOKUP(L122,D_马仔培养宝物!$W$2:$AC$64,6,FALSE)+VLOOKUP(M122,D_马仔培养宝物!$W$2:$AC$64,6,FALSE)+VLOOKUP(N122,D_马仔培养宝物!$W$2:$AC$64,6,FALSE)+VLOOKUP(O122,D_马仔培养宝物!$W$2:$AC$64,6,FALSE)</f>
        <v>41</v>
      </c>
      <c r="R122">
        <f>VLOOKUP(J122,D_马仔培养宝物!$W$2:$AC$64,7,FALSE)+VLOOKUP(K122,D_马仔培养宝物!$W$2:$AC$64,7,FALSE)+VLOOKUP(L122,D_马仔培养宝物!$W$2:$AC$64,7,FALSE)+VLOOKUP(M122,D_马仔培养宝物!$W$2:$AC$64,7,FALSE)+VLOOKUP(N122,D_马仔培养宝物!$W$2:$AC$64,7,FALSE)+VLOOKUP(O122,D_马仔培养宝物!$W$2:$AC$64,7,FALSE)</f>
        <v>22</v>
      </c>
    </row>
    <row r="123" spans="3:18">
      <c r="C123" s="5">
        <f t="array" aca="1" ref="C123" ca="1">OFFSET(D_马仔培养宝物!$W$1,SMALL(IF(D_马仔培养宝物!$Z$2:$Z$64=D_马仔培养宝物!$E123,ROW($C$2:$H$64),""),RANDBETWEEN(1,VLOOKUP(D_马仔培养宝物!$E123,D_马仔培养宝物!$T$3:$U$7,2,FALSE)))-1,0)</f>
        <v>92244</v>
      </c>
      <c r="D123" s="5">
        <f t="array" aca="1" ref="D123" ca="1">OFFSET(D_马仔培养宝物!$W$1,SMALL(IF(D_马仔培养宝物!$Z$2:$Z$64=D_马仔培养宝物!$E123,ROW($C$2:$H$64),""),RANDBETWEEN(1,VLOOKUP(D_马仔培养宝物!$E123,D_马仔培养宝物!$T$3:$U$7,2,FALSE)))-1,0)</f>
        <v>92277</v>
      </c>
      <c r="E123" s="5">
        <f t="array" aca="1" ref="E123" ca="1">OFFSET(D_马仔培养宝物!$W$1,SMALL(IF(D_马仔培养宝物!$Z$2:$Z$64=D_马仔培养宝物!$E123,ROW($C$2:$H$64),""),RANDBETWEEN(1,VLOOKUP(D_马仔培养宝物!$E123,D_马仔培养宝物!$T$3:$U$7,2,FALSE)))-1,0)</f>
        <v>92277</v>
      </c>
      <c r="F123" s="5">
        <f t="array" aca="1" ref="F123" ca="1">OFFSET(D_马仔培养宝物!$W$1,SMALL(IF(D_马仔培养宝物!$Z$2:$Z$64=D_马仔培养宝物!$E123,ROW($C$2:$H$64),""),RANDBETWEEN(1,VLOOKUP(D_马仔培养宝物!$E123,D_马仔培养宝物!$T$3:$U$7,2,FALSE)))-1,0)</f>
        <v>92244</v>
      </c>
      <c r="G123" s="5">
        <f t="array" aca="1" ref="G123" ca="1">OFFSET(D_马仔培养宝物!$W$1,SMALL(IF(D_马仔培养宝物!$Z$2:$Z$64=D_马仔培养宝物!$E123,ROW($C$2:$H$64),""),RANDBETWEEN(1,VLOOKUP(D_马仔培养宝物!$E123,D_马仔培养宝物!$T$3:$U$7,2,FALSE)))-1,0)</f>
        <v>92243</v>
      </c>
      <c r="H123" s="5">
        <f t="array" aca="1" ref="H123" ca="1">OFFSET(D_马仔培养宝物!$W$1,SMALL(IF(D_马仔培养宝物!$Z$2:$Z$64=D_马仔培养宝物!$E123,ROW($C$2:$H$64),""),RANDBETWEEN(1,VLOOKUP(D_马仔培养宝物!$E123,D_马仔培养宝物!$T$3:$U$7,2,FALSE)))-1,0)</f>
        <v>92131</v>
      </c>
      <c r="J123" s="5">
        <v>92012</v>
      </c>
      <c r="K123" s="5">
        <v>92227</v>
      </c>
      <c r="L123" s="5">
        <v>92124</v>
      </c>
      <c r="M123" s="5">
        <v>92122</v>
      </c>
      <c r="N123" s="5">
        <v>92223</v>
      </c>
      <c r="O123" s="5">
        <v>92026</v>
      </c>
      <c r="P123">
        <f>VLOOKUP(J123,D_马仔培养宝物!$W$2:$AC$64,5,FALSE)+VLOOKUP(K123,D_马仔培养宝物!$W$2:$AC$64,5,FALSE)+VLOOKUP(L123,D_马仔培养宝物!$W$2:$AC$64,5,FALSE)+VLOOKUP(M123,D_马仔培养宝物!$W$2:$AC$64,5,FALSE)+VLOOKUP(N123,D_马仔培养宝物!$W$2:$AC$64,5,FALSE)+VLOOKUP(O123,D_马仔培养宝物!$W$2:$AC$64,5,FALSE)</f>
        <v>2469</v>
      </c>
      <c r="Q123">
        <f>VLOOKUP(J123,D_马仔培养宝物!$W$2:$AC$64,6,FALSE)+VLOOKUP(K123,D_马仔培养宝物!$W$2:$AC$64,6,FALSE)+VLOOKUP(L123,D_马仔培养宝物!$W$2:$AC$64,6,FALSE)+VLOOKUP(M123,D_马仔培养宝物!$W$2:$AC$64,6,FALSE)+VLOOKUP(N123,D_马仔培养宝物!$W$2:$AC$64,6,FALSE)+VLOOKUP(O123,D_马仔培养宝物!$W$2:$AC$64,6,FALSE)</f>
        <v>136</v>
      </c>
      <c r="R123">
        <f>VLOOKUP(J123,D_马仔培养宝物!$W$2:$AC$64,7,FALSE)+VLOOKUP(K123,D_马仔培养宝物!$W$2:$AC$64,7,FALSE)+VLOOKUP(L123,D_马仔培养宝物!$W$2:$AC$64,7,FALSE)+VLOOKUP(M123,D_马仔培养宝物!$W$2:$AC$64,7,FALSE)+VLOOKUP(N123,D_马仔培养宝物!$W$2:$AC$64,7,FALSE)+VLOOKUP(O123,D_马仔培养宝物!$W$2:$AC$64,7,FALSE)</f>
        <v>53</v>
      </c>
    </row>
    <row r="124" spans="3:18">
      <c r="C124" s="5">
        <f t="array" aca="1" ref="C124" ca="1">OFFSET(D_马仔培养宝物!$W$1,SMALL(IF(D_马仔培养宝物!$Z$2:$Z$64=D_马仔培养宝物!$E124,ROW($C$2:$H$64),""),RANDBETWEEN(1,VLOOKUP(D_马仔培养宝物!$E124,D_马仔培养宝物!$T$3:$U$7,2,FALSE)))-1,0)</f>
        <v>92251</v>
      </c>
      <c r="D124" s="5">
        <f t="array" aca="1" ref="D124" ca="1">OFFSET(D_马仔培养宝物!$W$1,SMALL(IF(D_马仔培养宝物!$Z$2:$Z$64=D_马仔培养宝物!$E124,ROW($C$2:$H$64),""),RANDBETWEEN(1,VLOOKUP(D_马仔培养宝物!$E124,D_马仔培养宝物!$T$3:$U$7,2,FALSE)))-1,0)</f>
        <v>92141</v>
      </c>
      <c r="E124" s="5">
        <f t="array" aca="1" ref="E124" ca="1">OFFSET(D_马仔培养宝物!$W$1,SMALL(IF(D_马仔培养宝物!$Z$2:$Z$64=D_马仔培养宝物!$E124,ROW($C$2:$H$64),""),RANDBETWEEN(1,VLOOKUP(D_马仔培养宝物!$E124,D_马仔培养宝物!$T$3:$U$7,2,FALSE)))-1,0)</f>
        <v>92251</v>
      </c>
      <c r="F124" s="5">
        <f t="array" aca="1" ref="F124" ca="1">OFFSET(D_马仔培养宝物!$W$1,SMALL(IF(D_马仔培养宝物!$Z$2:$Z$64=D_马仔培养宝物!$E124,ROW($C$2:$H$64),""),RANDBETWEEN(1,VLOOKUP(D_马仔培养宝物!$E124,D_马仔培养宝物!$T$3:$U$7,2,FALSE)))-1,0)</f>
        <v>92141</v>
      </c>
      <c r="G124" s="5">
        <f t="array" aca="1" ref="G124" ca="1">OFFSET(D_马仔培养宝物!$W$1,SMALL(IF(D_马仔培养宝物!$Z$2:$Z$64=D_马仔培养宝物!$E124,ROW($C$2:$H$64),""),RANDBETWEEN(1,VLOOKUP(D_马仔培养宝物!$E124,D_马仔培养宝物!$T$3:$U$7,2,FALSE)))-1,0)</f>
        <v>92141</v>
      </c>
      <c r="H124" s="5">
        <f t="array" aca="1" ref="H124" ca="1">OFFSET(D_马仔培养宝物!$W$1,SMALL(IF(D_马仔培养宝物!$Z$2:$Z$64=D_马仔培养宝物!$E124,ROW($C$2:$H$64),""),RANDBETWEEN(1,VLOOKUP(D_马仔培养宝物!$E124,D_马仔培养宝物!$T$3:$U$7,2,FALSE)))-1,0)</f>
        <v>92141</v>
      </c>
      <c r="J124" s="5">
        <v>92271</v>
      </c>
      <c r="K124" s="5">
        <v>92287</v>
      </c>
      <c r="L124" s="5">
        <v>92121</v>
      </c>
      <c r="M124" s="5">
        <v>92236</v>
      </c>
      <c r="N124" s="5">
        <v>92273</v>
      </c>
      <c r="O124" s="5">
        <v>92235</v>
      </c>
      <c r="P124">
        <f>VLOOKUP(J124,D_马仔培养宝物!$W$2:$AC$64,5,FALSE)+VLOOKUP(K124,D_马仔培养宝物!$W$2:$AC$64,5,FALSE)+VLOOKUP(L124,D_马仔培养宝物!$W$2:$AC$64,5,FALSE)+VLOOKUP(M124,D_马仔培养宝物!$W$2:$AC$64,5,FALSE)+VLOOKUP(N124,D_马仔培养宝物!$W$2:$AC$64,5,FALSE)+VLOOKUP(O124,D_马仔培养宝物!$W$2:$AC$64,5,FALSE)</f>
        <v>1234</v>
      </c>
      <c r="Q124">
        <f>VLOOKUP(J124,D_马仔培养宝物!$W$2:$AC$64,6,FALSE)+VLOOKUP(K124,D_马仔培养宝物!$W$2:$AC$64,6,FALSE)+VLOOKUP(L124,D_马仔培养宝物!$W$2:$AC$64,6,FALSE)+VLOOKUP(M124,D_马仔培养宝物!$W$2:$AC$64,6,FALSE)+VLOOKUP(N124,D_马仔培养宝物!$W$2:$AC$64,6,FALSE)+VLOOKUP(O124,D_马仔培养宝物!$W$2:$AC$64,6,FALSE)</f>
        <v>135</v>
      </c>
      <c r="R124">
        <f>VLOOKUP(J124,D_马仔培养宝物!$W$2:$AC$64,7,FALSE)+VLOOKUP(K124,D_马仔培养宝物!$W$2:$AC$64,7,FALSE)+VLOOKUP(L124,D_马仔培养宝物!$W$2:$AC$64,7,FALSE)+VLOOKUP(M124,D_马仔培养宝物!$W$2:$AC$64,7,FALSE)+VLOOKUP(N124,D_马仔培养宝物!$W$2:$AC$64,7,FALSE)+VLOOKUP(O124,D_马仔培养宝物!$W$2:$AC$64,7,FALSE)</f>
        <v>22</v>
      </c>
    </row>
    <row r="125" spans="3:18">
      <c r="C125" s="5">
        <f t="array" aca="1" ref="C125" ca="1">OFFSET(D_马仔培养宝物!$W$1,SMALL(IF(D_马仔培养宝物!$Z$2:$Z$64=D_马仔培养宝物!$E125,ROW($C$2:$H$64),""),RANDBETWEEN(1,VLOOKUP(D_马仔培养宝物!$E125,D_马仔培养宝物!$T$3:$U$7,2,FALSE)))-1,0)</f>
        <v>92141</v>
      </c>
      <c r="D125" s="5">
        <f t="array" aca="1" ref="D125" ca="1">OFFSET(D_马仔培养宝物!$W$1,SMALL(IF(D_马仔培养宝物!$Z$2:$Z$64=D_马仔培养宝物!$E125,ROW($C$2:$H$64),""),RANDBETWEEN(1,VLOOKUP(D_马仔培养宝物!$E125,D_马仔培养宝物!$T$3:$U$7,2,FALSE)))-1,0)</f>
        <v>92287</v>
      </c>
      <c r="E125" s="5">
        <f t="array" aca="1" ref="E125" ca="1">OFFSET(D_马仔培养宝物!$W$1,SMALL(IF(D_马仔培养宝物!$Z$2:$Z$64=D_马仔培养宝物!$E125,ROW($C$2:$H$64),""),RANDBETWEEN(1,VLOOKUP(D_马仔培养宝物!$E125,D_马仔培养宝物!$T$3:$U$7,2,FALSE)))-1,0)</f>
        <v>92251</v>
      </c>
      <c r="F125" s="5">
        <f t="array" aca="1" ref="F125" ca="1">OFFSET(D_马仔培养宝物!$W$1,SMALL(IF(D_马仔培养宝物!$Z$2:$Z$64=D_马仔培养宝物!$E125,ROW($C$2:$H$64),""),RANDBETWEEN(1,VLOOKUP(D_马仔培养宝物!$E125,D_马仔培养宝物!$T$3:$U$7,2,FALSE)))-1,0)</f>
        <v>92283</v>
      </c>
      <c r="G125" s="5">
        <f t="array" aca="1" ref="G125" ca="1">OFFSET(D_马仔培养宝物!$W$1,SMALL(IF(D_马仔培养宝物!$Z$2:$Z$64=D_马仔培养宝物!$E125,ROW($C$2:$H$64),""),RANDBETWEEN(1,VLOOKUP(D_马仔培养宝物!$E125,D_马仔培养宝物!$T$3:$U$7,2,FALSE)))-1,0)</f>
        <v>92264</v>
      </c>
      <c r="H125" s="5">
        <f t="array" aca="1" ref="H125" ca="1">OFFSET(D_马仔培养宝物!$W$1,SMALL(IF(D_马仔培养宝物!$Z$2:$Z$64=D_马仔培养宝物!$E125,ROW($C$2:$H$64),""),RANDBETWEEN(1,VLOOKUP(D_马仔培养宝物!$E125,D_马仔培养宝物!$T$3:$U$7,2,FALSE)))-1,0)</f>
        <v>92233</v>
      </c>
      <c r="J125" s="5">
        <v>92235</v>
      </c>
      <c r="K125" s="5">
        <v>92287</v>
      </c>
      <c r="L125" s="5">
        <v>92236</v>
      </c>
      <c r="M125" s="5">
        <v>92232</v>
      </c>
      <c r="N125" s="5">
        <v>92233</v>
      </c>
      <c r="O125" s="5">
        <v>92131</v>
      </c>
      <c r="P125">
        <f>VLOOKUP(J125,D_马仔培养宝物!$W$2:$AC$64,5,FALSE)+VLOOKUP(K125,D_马仔培养宝物!$W$2:$AC$64,5,FALSE)+VLOOKUP(L125,D_马仔培养宝物!$W$2:$AC$64,5,FALSE)+VLOOKUP(M125,D_马仔培养宝物!$W$2:$AC$64,5,FALSE)+VLOOKUP(N125,D_马仔培养宝物!$W$2:$AC$64,5,FALSE)+VLOOKUP(O125,D_马仔培养宝物!$W$2:$AC$64,5,FALSE)</f>
        <v>1646</v>
      </c>
      <c r="Q125">
        <f>VLOOKUP(J125,D_马仔培养宝物!$W$2:$AC$64,6,FALSE)+VLOOKUP(K125,D_马仔培养宝物!$W$2:$AC$64,6,FALSE)+VLOOKUP(L125,D_马仔培养宝物!$W$2:$AC$64,6,FALSE)+VLOOKUP(M125,D_马仔培养宝物!$W$2:$AC$64,6,FALSE)+VLOOKUP(N125,D_马仔培养宝物!$W$2:$AC$64,6,FALSE)+VLOOKUP(O125,D_马仔培养宝物!$W$2:$AC$64,6,FALSE)</f>
        <v>73</v>
      </c>
      <c r="R125">
        <f>VLOOKUP(J125,D_马仔培养宝物!$W$2:$AC$64,7,FALSE)+VLOOKUP(K125,D_马仔培养宝物!$W$2:$AC$64,7,FALSE)+VLOOKUP(L125,D_马仔培养宝物!$W$2:$AC$64,7,FALSE)+VLOOKUP(M125,D_马仔培养宝物!$W$2:$AC$64,7,FALSE)+VLOOKUP(N125,D_马仔培养宝物!$W$2:$AC$64,7,FALSE)+VLOOKUP(O125,D_马仔培养宝物!$W$2:$AC$64,7,FALSE)</f>
        <v>22</v>
      </c>
    </row>
    <row r="126" spans="3:18">
      <c r="C126" s="5">
        <f t="array" aca="1" ref="C126" ca="1">OFFSET(D_马仔培养宝物!$W$1,SMALL(IF(D_马仔培养宝物!$Z$2:$Z$64=D_马仔培养宝物!$E126,ROW($C$2:$H$64),""),RANDBETWEEN(1,VLOOKUP(D_马仔培养宝物!$E126,D_马仔培养宝物!$T$3:$U$7,2,FALSE)))-1,0)</f>
        <v>92142</v>
      </c>
      <c r="D126" s="5">
        <f t="array" aca="1" ref="D126" ca="1">OFFSET(D_马仔培养宝物!$W$1,SMALL(IF(D_马仔培养宝物!$Z$2:$Z$64=D_马仔培养宝物!$E126,ROW($C$2:$H$64),""),RANDBETWEEN(1,VLOOKUP(D_马仔培养宝物!$E126,D_马仔培养宝物!$T$3:$U$7,2,FALSE)))-1,0)</f>
        <v>92235</v>
      </c>
      <c r="E126" s="5">
        <f t="array" aca="1" ref="E126" ca="1">OFFSET(D_马仔培养宝物!$W$1,SMALL(IF(D_马仔培养宝物!$Z$2:$Z$64=D_马仔培养宝物!$E126,ROW($C$2:$H$64),""),RANDBETWEEN(1,VLOOKUP(D_马仔培养宝物!$E126,D_马仔培养宝物!$T$3:$U$7,2,FALSE)))-1,0)</f>
        <v>92272</v>
      </c>
      <c r="F126" s="5">
        <f t="array" aca="1" ref="F126" ca="1">OFFSET(D_马仔培养宝物!$W$1,SMALL(IF(D_马仔培养宝物!$Z$2:$Z$64=D_马仔培养宝物!$E126,ROW($C$2:$H$64),""),RANDBETWEEN(1,VLOOKUP(D_马仔培养宝物!$E126,D_马仔培养宝物!$T$3:$U$7,2,FALSE)))-1,0)</f>
        <v>92273</v>
      </c>
      <c r="G126" s="5">
        <f t="array" aca="1" ref="G126" ca="1">OFFSET(D_马仔培养宝物!$W$1,SMALL(IF(D_马仔培养宝物!$Z$2:$Z$64=D_马仔培养宝物!$E126,ROW($C$2:$H$64),""),RANDBETWEEN(1,VLOOKUP(D_马仔培养宝物!$E126,D_马仔培养宝物!$T$3:$U$7,2,FALSE)))-1,0)</f>
        <v>92273</v>
      </c>
      <c r="H126" s="5">
        <f t="array" aca="1" ref="H126" ca="1">OFFSET(D_马仔培养宝物!$W$1,SMALL(IF(D_马仔培养宝物!$Z$2:$Z$64=D_马仔培养宝物!$E126,ROW($C$2:$H$64),""),RANDBETWEEN(1,VLOOKUP(D_马仔培养宝物!$E126,D_马仔培养宝物!$T$3:$U$7,2,FALSE)))-1,0)</f>
        <v>92124</v>
      </c>
      <c r="J126" s="5">
        <v>92262</v>
      </c>
      <c r="K126" s="5">
        <v>92142</v>
      </c>
      <c r="L126" s="5">
        <v>92283</v>
      </c>
      <c r="M126" s="5">
        <v>92285</v>
      </c>
      <c r="N126" s="5">
        <v>92134</v>
      </c>
      <c r="O126" s="5">
        <v>92284</v>
      </c>
      <c r="P126">
        <f>VLOOKUP(J126,D_马仔培养宝物!$W$2:$AC$64,5,FALSE)+VLOOKUP(K126,D_马仔培养宝物!$W$2:$AC$64,5,FALSE)+VLOOKUP(L126,D_马仔培养宝物!$W$2:$AC$64,5,FALSE)+VLOOKUP(M126,D_马仔培养宝物!$W$2:$AC$64,5,FALSE)+VLOOKUP(N126,D_马仔培养宝物!$W$2:$AC$64,5,FALSE)+VLOOKUP(O126,D_马仔培养宝物!$W$2:$AC$64,5,FALSE)</f>
        <v>1029</v>
      </c>
      <c r="Q126">
        <f>VLOOKUP(J126,D_马仔培养宝物!$W$2:$AC$64,6,FALSE)+VLOOKUP(K126,D_马仔培养宝物!$W$2:$AC$64,6,FALSE)+VLOOKUP(L126,D_马仔培养宝物!$W$2:$AC$64,6,FALSE)+VLOOKUP(M126,D_马仔培养宝物!$W$2:$AC$64,6,FALSE)+VLOOKUP(N126,D_马仔培养宝物!$W$2:$AC$64,6,FALSE)+VLOOKUP(O126,D_马仔培养宝物!$W$2:$AC$64,6,FALSE)</f>
        <v>303</v>
      </c>
      <c r="R126">
        <f>VLOOKUP(J126,D_马仔培养宝物!$W$2:$AC$64,7,FALSE)+VLOOKUP(K126,D_马仔培养宝物!$W$2:$AC$64,7,FALSE)+VLOOKUP(L126,D_马仔培养宝物!$W$2:$AC$64,7,FALSE)+VLOOKUP(M126,D_马仔培养宝物!$W$2:$AC$64,7,FALSE)+VLOOKUP(N126,D_马仔培养宝物!$W$2:$AC$64,7,FALSE)+VLOOKUP(O126,D_马仔培养宝物!$W$2:$AC$64,7,FALSE)</f>
        <v>13</v>
      </c>
    </row>
    <row r="127" spans="3:18">
      <c r="C127" s="5">
        <f t="array" aca="1" ref="C127" ca="1">OFFSET(D_马仔培养宝物!$W$1,SMALL(IF(D_马仔培养宝物!$Z$2:$Z$64=D_马仔培养宝物!$E127,ROW($C$2:$H$64),""),RANDBETWEEN(1,VLOOKUP(D_马仔培养宝物!$E127,D_马仔培养宝物!$T$3:$U$7,2,FALSE)))-1,0)</f>
        <v>92284</v>
      </c>
      <c r="D127" s="5">
        <f t="array" aca="1" ref="D127" ca="1">OFFSET(D_马仔培养宝物!$W$1,SMALL(IF(D_马仔培养宝物!$Z$2:$Z$64=D_马仔培养宝物!$E127,ROW($C$2:$H$64),""),RANDBETWEEN(1,VLOOKUP(D_马仔培养宝物!$E127,D_马仔培养宝物!$T$3:$U$7,2,FALSE)))-1,0)</f>
        <v>92273</v>
      </c>
      <c r="E127" s="5">
        <f t="array" aca="1" ref="E127" ca="1">OFFSET(D_马仔培养宝物!$W$1,SMALL(IF(D_马仔培养宝物!$Z$2:$Z$64=D_马仔培养宝物!$E127,ROW($C$2:$H$64),""),RANDBETWEEN(1,VLOOKUP(D_马仔培养宝物!$E127,D_马仔培养宝物!$T$3:$U$7,2,FALSE)))-1,0)</f>
        <v>92012</v>
      </c>
      <c r="F127" s="5">
        <f t="array" aca="1" ref="F127" ca="1">OFFSET(D_马仔培养宝物!$W$1,SMALL(IF(D_马仔培养宝物!$Z$2:$Z$64=D_马仔培养宝物!$E127,ROW($C$2:$H$64),""),RANDBETWEEN(1,VLOOKUP(D_马仔培养宝物!$E127,D_马仔培养宝物!$T$3:$U$7,2,FALSE)))-1,0)</f>
        <v>92288</v>
      </c>
      <c r="G127" s="5">
        <f t="array" aca="1" ref="G127" ca="1">OFFSET(D_马仔培养宝物!$W$1,SMALL(IF(D_马仔培养宝物!$Z$2:$Z$64=D_马仔培养宝物!$E127,ROW($C$2:$H$64),""),RANDBETWEEN(1,VLOOKUP(D_马仔培养宝物!$E127,D_马仔培养宝物!$T$3:$U$7,2,FALSE)))-1,0)</f>
        <v>92272</v>
      </c>
      <c r="H127" s="5">
        <f t="array" aca="1" ref="H127" ca="1">OFFSET(D_马仔培养宝物!$W$1,SMALL(IF(D_马仔培养宝物!$Z$2:$Z$64=D_马仔培养宝物!$E127,ROW($C$2:$H$64),""),RANDBETWEEN(1,VLOOKUP(D_马仔培养宝物!$E127,D_马仔培养宝物!$T$3:$U$7,2,FALSE)))-1,0)</f>
        <v>92252</v>
      </c>
      <c r="J127" s="5">
        <v>92141</v>
      </c>
      <c r="K127" s="5">
        <v>92283</v>
      </c>
      <c r="L127" s="5">
        <v>92282</v>
      </c>
      <c r="M127" s="5">
        <v>92134</v>
      </c>
      <c r="N127" s="5">
        <v>92284</v>
      </c>
      <c r="O127" s="5">
        <v>92142</v>
      </c>
      <c r="P127">
        <f>VLOOKUP(J127,D_马仔培养宝物!$W$2:$AC$64,5,FALSE)+VLOOKUP(K127,D_马仔培养宝物!$W$2:$AC$64,5,FALSE)+VLOOKUP(L127,D_马仔培养宝物!$W$2:$AC$64,5,FALSE)+VLOOKUP(M127,D_马仔培养宝物!$W$2:$AC$64,5,FALSE)+VLOOKUP(N127,D_马仔培养宝物!$W$2:$AC$64,5,FALSE)+VLOOKUP(O127,D_马仔培养宝物!$W$2:$AC$64,5,FALSE)</f>
        <v>1029</v>
      </c>
      <c r="Q127">
        <f>VLOOKUP(J127,D_马仔培养宝物!$W$2:$AC$64,6,FALSE)+VLOOKUP(K127,D_马仔培养宝物!$W$2:$AC$64,6,FALSE)+VLOOKUP(L127,D_马仔培养宝物!$W$2:$AC$64,6,FALSE)+VLOOKUP(M127,D_马仔培养宝物!$W$2:$AC$64,6,FALSE)+VLOOKUP(N127,D_马仔培养宝物!$W$2:$AC$64,6,FALSE)+VLOOKUP(O127,D_马仔培养宝物!$W$2:$AC$64,6,FALSE)</f>
        <v>230</v>
      </c>
      <c r="R127">
        <f>VLOOKUP(J127,D_马仔培养宝物!$W$2:$AC$64,7,FALSE)+VLOOKUP(K127,D_马仔培养宝物!$W$2:$AC$64,7,FALSE)+VLOOKUP(L127,D_马仔培养宝物!$W$2:$AC$64,7,FALSE)+VLOOKUP(M127,D_马仔培养宝物!$W$2:$AC$64,7,FALSE)+VLOOKUP(N127,D_马仔培养宝物!$W$2:$AC$64,7,FALSE)+VLOOKUP(O127,D_马仔培养宝物!$W$2:$AC$64,7,FALSE)</f>
        <v>26</v>
      </c>
    </row>
    <row r="128" spans="3:18">
      <c r="C128" s="5">
        <f t="array" aca="1" ref="C128" ca="1">OFFSET(D_马仔培养宝物!$W$1,SMALL(IF(D_马仔培养宝物!$Z$2:$Z$64=D_马仔培养宝物!$E128,ROW($C$2:$H$64),""),RANDBETWEEN(1,VLOOKUP(D_马仔培养宝物!$E128,D_马仔培养宝物!$T$3:$U$7,2,FALSE)))-1,0)</f>
        <v>92253</v>
      </c>
      <c r="D128" s="5">
        <f t="array" aca="1" ref="D128" ca="1">OFFSET(D_马仔培养宝物!$W$1,SMALL(IF(D_马仔培养宝物!$Z$2:$Z$64=D_马仔培养宝物!$E128,ROW($C$2:$H$64),""),RANDBETWEEN(1,VLOOKUP(D_马仔培养宝物!$E128,D_马仔培养宝物!$T$3:$U$7,2,FALSE)))-1,0)</f>
        <v>92013</v>
      </c>
      <c r="E128" s="5">
        <f t="array" aca="1" ref="E128" ca="1">OFFSET(D_马仔培养宝物!$W$1,SMALL(IF(D_马仔培养宝物!$Z$2:$Z$64=D_马仔培养宝物!$E128,ROW($C$2:$H$64),""),RANDBETWEEN(1,VLOOKUP(D_马仔培养宝物!$E128,D_马仔培养宝物!$T$3:$U$7,2,FALSE)))-1,0)</f>
        <v>92125</v>
      </c>
      <c r="F128" s="5">
        <f t="array" aca="1" ref="F128" ca="1">OFFSET(D_马仔培养宝物!$W$1,SMALL(IF(D_马仔培养宝物!$Z$2:$Z$64=D_马仔培养宝物!$E128,ROW($C$2:$H$64),""),RANDBETWEEN(1,VLOOKUP(D_马仔培养宝物!$E128,D_马仔培养宝物!$T$3:$U$7,2,FALSE)))-1,0)</f>
        <v>92289</v>
      </c>
      <c r="G128" s="5">
        <f t="array" aca="1" ref="G128" ca="1">OFFSET(D_马仔培养宝物!$W$1,SMALL(IF(D_马仔培养宝物!$Z$2:$Z$64=D_马仔培养宝物!$E128,ROW($C$2:$H$64),""),RANDBETWEEN(1,VLOOKUP(D_马仔培养宝物!$E128,D_马仔培养宝物!$T$3:$U$7,2,FALSE)))-1,0)</f>
        <v>92236</v>
      </c>
      <c r="H128" s="5">
        <f t="array" aca="1" ref="H128" ca="1">OFFSET(D_马仔培养宝物!$W$1,SMALL(IF(D_马仔培养宝物!$Z$2:$Z$64=D_马仔培养宝物!$E128,ROW($C$2:$H$64),""),RANDBETWEEN(1,VLOOKUP(D_马仔培养宝物!$E128,D_马仔培养宝物!$T$3:$U$7,2,FALSE)))-1,0)</f>
        <v>92285</v>
      </c>
      <c r="J128" s="5">
        <v>92275</v>
      </c>
      <c r="K128" s="5">
        <v>92279</v>
      </c>
      <c r="L128" s="5">
        <v>92261</v>
      </c>
      <c r="M128" s="5">
        <v>92276</v>
      </c>
      <c r="N128" s="5">
        <v>92277</v>
      </c>
      <c r="O128" s="5">
        <v>92278</v>
      </c>
      <c r="P128">
        <f>VLOOKUP(J128,D_马仔培养宝物!$W$2:$AC$64,5,FALSE)+VLOOKUP(K128,D_马仔培养宝物!$W$2:$AC$64,5,FALSE)+VLOOKUP(L128,D_马仔培养宝物!$W$2:$AC$64,5,FALSE)+VLOOKUP(M128,D_马仔培养宝物!$W$2:$AC$64,5,FALSE)+VLOOKUP(N128,D_马仔培养宝物!$W$2:$AC$64,5,FALSE)+VLOOKUP(O128,D_马仔培养宝物!$W$2:$AC$64,5,FALSE)</f>
        <v>3910</v>
      </c>
      <c r="Q128">
        <f>VLOOKUP(J128,D_马仔培养宝物!$W$2:$AC$64,6,FALSE)+VLOOKUP(K128,D_马仔培养宝物!$W$2:$AC$64,6,FALSE)+VLOOKUP(L128,D_马仔培养宝物!$W$2:$AC$64,6,FALSE)+VLOOKUP(M128,D_马仔培养宝物!$W$2:$AC$64,6,FALSE)+VLOOKUP(N128,D_马仔培养宝物!$W$2:$AC$64,6,FALSE)+VLOOKUP(O128,D_马仔培养宝物!$W$2:$AC$64,6,FALSE)</f>
        <v>31</v>
      </c>
      <c r="R128">
        <f>VLOOKUP(J128,D_马仔培养宝物!$W$2:$AC$64,7,FALSE)+VLOOKUP(K128,D_马仔培养宝物!$W$2:$AC$64,7,FALSE)+VLOOKUP(L128,D_马仔培养宝物!$W$2:$AC$64,7,FALSE)+VLOOKUP(M128,D_马仔培养宝物!$W$2:$AC$64,7,FALSE)+VLOOKUP(N128,D_马仔培养宝物!$W$2:$AC$64,7,FALSE)+VLOOKUP(O128,D_马仔培养宝物!$W$2:$AC$64,7,FALSE)</f>
        <v>66</v>
      </c>
    </row>
    <row r="129" spans="3:18">
      <c r="C129" s="5">
        <f t="array" aca="1" ref="C129" ca="1">OFFSET(D_马仔培养宝物!$W$1,SMALL(IF(D_马仔培养宝物!$Z$2:$Z$64=D_马仔培养宝物!$E129,ROW($C$2:$H$64),""),RANDBETWEEN(1,VLOOKUP(D_马仔培养宝物!$E129,D_马仔培养宝物!$T$3:$U$7,2,FALSE)))-1,0)</f>
        <v>92236</v>
      </c>
      <c r="D129" s="5">
        <f t="array" aca="1" ref="D129" ca="1">OFFSET(D_马仔培养宝物!$W$1,SMALL(IF(D_马仔培养宝物!$Z$2:$Z$64=D_马仔培养宝物!$E129,ROW($C$2:$H$64),""),RANDBETWEEN(1,VLOOKUP(D_马仔培养宝物!$E129,D_马仔培养宝物!$T$3:$U$7,2,FALSE)))-1,0)</f>
        <v>92274</v>
      </c>
      <c r="E129" s="5">
        <f t="array" aca="1" ref="E129" ca="1">OFFSET(D_马仔培养宝物!$W$1,SMALL(IF(D_马仔培养宝物!$Z$2:$Z$64=D_马仔培养宝物!$E129,ROW($C$2:$H$64),""),RANDBETWEEN(1,VLOOKUP(D_马仔培养宝物!$E129,D_马仔培养宝物!$T$3:$U$7,2,FALSE)))-1,0)</f>
        <v>92254</v>
      </c>
      <c r="F129" s="5">
        <f t="array" aca="1" ref="F129" ca="1">OFFSET(D_马仔培养宝物!$W$1,SMALL(IF(D_马仔培养宝物!$Z$2:$Z$64=D_马仔培养宝物!$E129,ROW($C$2:$H$64),""),RANDBETWEEN(1,VLOOKUP(D_马仔培养宝物!$E129,D_马仔培养宝物!$T$3:$U$7,2,FALSE)))-1,0)</f>
        <v>92125</v>
      </c>
      <c r="G129" s="5">
        <f t="array" aca="1" ref="G129" ca="1">OFFSET(D_马仔培养宝物!$W$1,SMALL(IF(D_马仔培养宝物!$Z$2:$Z$64=D_马仔培养宝物!$E129,ROW($C$2:$H$64),""),RANDBETWEEN(1,VLOOKUP(D_马仔培养宝物!$E129,D_马仔培养宝物!$T$3:$U$7,2,FALSE)))-1,0)</f>
        <v>92013</v>
      </c>
      <c r="H129" s="5">
        <f t="array" aca="1" ref="H129" ca="1">OFFSET(D_马仔培养宝物!$W$1,SMALL(IF(D_马仔培养宝物!$Z$2:$Z$64=D_马仔培养宝物!$E129,ROW($C$2:$H$64),""),RANDBETWEEN(1,VLOOKUP(D_马仔培养宝物!$E129,D_马仔培养宝物!$T$3:$U$7,2,FALSE)))-1,0)</f>
        <v>92227</v>
      </c>
      <c r="J129" s="5">
        <v>92276</v>
      </c>
      <c r="K129" s="5">
        <v>92263</v>
      </c>
      <c r="L129" s="5">
        <v>92261</v>
      </c>
      <c r="M129" s="5">
        <v>92264</v>
      </c>
      <c r="N129" s="5">
        <v>92274</v>
      </c>
      <c r="O129" s="5">
        <v>92281</v>
      </c>
      <c r="P129">
        <f>VLOOKUP(J129,D_马仔培养宝物!$W$2:$AC$64,5,FALSE)+VLOOKUP(K129,D_马仔培养宝物!$W$2:$AC$64,5,FALSE)+VLOOKUP(L129,D_马仔培养宝物!$W$2:$AC$64,5,FALSE)+VLOOKUP(M129,D_马仔培养宝物!$W$2:$AC$64,5,FALSE)+VLOOKUP(N129,D_马仔培养宝物!$W$2:$AC$64,5,FALSE)+VLOOKUP(O129,D_马仔培养宝物!$W$2:$AC$64,5,FALSE)</f>
        <v>2058</v>
      </c>
      <c r="Q129">
        <f>VLOOKUP(J129,D_马仔培养宝物!$W$2:$AC$64,6,FALSE)+VLOOKUP(K129,D_马仔培养宝物!$W$2:$AC$64,6,FALSE)+VLOOKUP(L129,D_马仔培养宝物!$W$2:$AC$64,6,FALSE)+VLOOKUP(M129,D_马仔培养宝物!$W$2:$AC$64,6,FALSE)+VLOOKUP(N129,D_马仔培养宝物!$W$2:$AC$64,6,FALSE)+VLOOKUP(O129,D_马仔培养宝物!$W$2:$AC$64,6,FALSE)</f>
        <v>104</v>
      </c>
      <c r="R129">
        <f>VLOOKUP(J129,D_马仔培养宝物!$W$2:$AC$64,7,FALSE)+VLOOKUP(K129,D_马仔培养宝物!$W$2:$AC$64,7,FALSE)+VLOOKUP(L129,D_马仔培养宝物!$W$2:$AC$64,7,FALSE)+VLOOKUP(M129,D_马仔培养宝物!$W$2:$AC$64,7,FALSE)+VLOOKUP(N129,D_马仔培养宝物!$W$2:$AC$64,7,FALSE)+VLOOKUP(O129,D_马仔培养宝物!$W$2:$AC$64,7,FALSE)</f>
        <v>84</v>
      </c>
    </row>
    <row r="130" spans="3:18">
      <c r="C130" s="5">
        <f t="array" aca="1" ref="C130" ca="1">OFFSET(D_马仔培养宝物!$W$1,SMALL(IF(D_马仔培养宝物!$Z$2:$Z$64=D_马仔培养宝物!$E130,ROW($C$2:$H$64),""),RANDBETWEEN(1,VLOOKUP(D_马仔培养宝物!$E130,D_马仔培养宝物!$T$3:$U$7,2,FALSE)))-1,0)</f>
        <v>92261</v>
      </c>
      <c r="D130" s="5">
        <f t="array" aca="1" ref="D130" ca="1">OFFSET(D_马仔培养宝物!$W$1,SMALL(IF(D_马仔培养宝物!$Z$2:$Z$64=D_马仔培养宝物!$E130,ROW($C$2:$H$64),""),RANDBETWEEN(1,VLOOKUP(D_马仔培养宝物!$E130,D_马仔培养宝物!$T$3:$U$7,2,FALSE)))-1,0)</f>
        <v>92298</v>
      </c>
      <c r="E130" s="5">
        <f t="array" aca="1" ref="E130" ca="1">OFFSET(D_马仔培养宝物!$W$1,SMALL(IF(D_马仔培养宝物!$Z$2:$Z$64=D_马仔培养宝物!$E130,ROW($C$2:$H$64),""),RANDBETWEEN(1,VLOOKUP(D_马仔培养宝物!$E130,D_马仔培养宝物!$T$3:$U$7,2,FALSE)))-1,0)</f>
        <v>92293</v>
      </c>
      <c r="F130" s="5">
        <f t="array" aca="1" ref="F130" ca="1">OFFSET(D_马仔培养宝物!$W$1,SMALL(IF(D_马仔培养宝物!$Z$2:$Z$64=D_马仔培养宝物!$E130,ROW($C$2:$H$64),""),RANDBETWEEN(1,VLOOKUP(D_马仔培养宝物!$E130,D_马仔培养宝物!$T$3:$U$7,2,FALSE)))-1,0)</f>
        <v>92296</v>
      </c>
      <c r="G130" s="5">
        <f t="array" aca="1" ref="G130" ca="1">OFFSET(D_马仔培养宝物!$W$1,SMALL(IF(D_马仔培养宝物!$Z$2:$Z$64=D_马仔培养宝物!$E130,ROW($C$2:$H$64),""),RANDBETWEEN(1,VLOOKUP(D_马仔培养宝物!$E130,D_马仔培养宝物!$T$3:$U$7,2,FALSE)))-1,0)</f>
        <v>92290</v>
      </c>
      <c r="H130" s="5">
        <f t="array" aca="1" ref="H130" ca="1">OFFSET(D_马仔培养宝物!$W$1,SMALL(IF(D_马仔培养宝物!$Z$2:$Z$64=D_马仔培养宝物!$E130,ROW($C$2:$H$64),""),RANDBETWEEN(1,VLOOKUP(D_马仔培养宝物!$E130,D_马仔培养宝物!$T$3:$U$7,2,FALSE)))-1,0)</f>
        <v>92281</v>
      </c>
      <c r="J130" s="5">
        <v>92299</v>
      </c>
      <c r="K130" s="5">
        <v>92290</v>
      </c>
      <c r="L130" s="5">
        <v>92293</v>
      </c>
      <c r="M130" s="5">
        <v>92298</v>
      </c>
      <c r="N130" s="5">
        <v>92243</v>
      </c>
      <c r="O130" s="5">
        <v>92295</v>
      </c>
      <c r="P130">
        <f>VLOOKUP(J130,D_马仔培养宝物!$W$2:$AC$64,5,FALSE)+VLOOKUP(K130,D_马仔培养宝物!$W$2:$AC$64,5,FALSE)+VLOOKUP(L130,D_马仔培养宝物!$W$2:$AC$64,5,FALSE)+VLOOKUP(M130,D_马仔培养宝物!$W$2:$AC$64,5,FALSE)+VLOOKUP(N130,D_马仔培养宝物!$W$2:$AC$64,5,FALSE)+VLOOKUP(O130,D_马仔培养宝物!$W$2:$AC$64,5,FALSE)</f>
        <v>3910</v>
      </c>
      <c r="Q130">
        <f>VLOOKUP(J130,D_马仔培养宝物!$W$2:$AC$64,6,FALSE)+VLOOKUP(K130,D_马仔培养宝物!$W$2:$AC$64,6,FALSE)+VLOOKUP(L130,D_马仔培养宝物!$W$2:$AC$64,6,FALSE)+VLOOKUP(M130,D_马仔培养宝物!$W$2:$AC$64,6,FALSE)+VLOOKUP(N130,D_马仔培养宝物!$W$2:$AC$64,6,FALSE)+VLOOKUP(O130,D_马仔培养宝物!$W$2:$AC$64,6,FALSE)</f>
        <v>105</v>
      </c>
      <c r="R130">
        <f>VLOOKUP(J130,D_马仔培养宝物!$W$2:$AC$64,7,FALSE)+VLOOKUP(K130,D_马仔培养宝物!$W$2:$AC$64,7,FALSE)+VLOOKUP(L130,D_马仔培养宝物!$W$2:$AC$64,7,FALSE)+VLOOKUP(M130,D_马仔培养宝物!$W$2:$AC$64,7,FALSE)+VLOOKUP(N130,D_马仔培养宝物!$W$2:$AC$64,7,FALSE)+VLOOKUP(O130,D_马仔培养宝物!$W$2:$AC$64,7,FALSE)</f>
        <v>92</v>
      </c>
    </row>
    <row r="131" spans="3:18">
      <c r="C131" s="5">
        <f t="array" aca="1" ref="C131" ca="1">OFFSET(D_马仔培养宝物!$W$1,SMALL(IF(D_马仔培养宝物!$Z$2:$Z$64=D_马仔培养宝物!$E131,ROW($C$2:$H$64),""),RANDBETWEEN(1,VLOOKUP(D_马仔培养宝物!$E131,D_马仔培养宝物!$T$3:$U$7,2,FALSE)))-1,0)</f>
        <v>92293</v>
      </c>
      <c r="D131" s="5">
        <f t="array" aca="1" ref="D131" ca="1">OFFSET(D_马仔培养宝物!$W$1,SMALL(IF(D_马仔培养宝物!$Z$2:$Z$64=D_马仔培养宝物!$E131,ROW($C$2:$H$64),""),RANDBETWEEN(1,VLOOKUP(D_马仔培养宝物!$E131,D_马仔培养宝物!$T$3:$U$7,2,FALSE)))-1,0)</f>
        <v>92275</v>
      </c>
      <c r="E131" s="5">
        <f t="array" aca="1" ref="E131" ca="1">OFFSET(D_马仔培养宝物!$W$1,SMALL(IF(D_马仔培养宝物!$Z$2:$Z$64=D_马仔培养宝物!$E131,ROW($C$2:$H$64),""),RANDBETWEEN(1,VLOOKUP(D_马仔培养宝物!$E131,D_马仔培养宝物!$T$3:$U$7,2,FALSE)))-1,0)</f>
        <v>92299</v>
      </c>
      <c r="F131" s="5">
        <f t="array" aca="1" ref="F131" ca="1">OFFSET(D_马仔培养宝物!$W$1,SMALL(IF(D_马仔培养宝物!$Z$2:$Z$64=D_马仔培养宝物!$E131,ROW($C$2:$H$64),""),RANDBETWEEN(1,VLOOKUP(D_马仔培养宝物!$E131,D_马仔培养宝物!$T$3:$U$7,2,FALSE)))-1,0)</f>
        <v>92290</v>
      </c>
      <c r="G131" s="5">
        <f t="array" aca="1" ref="G131" ca="1">OFFSET(D_马仔培养宝物!$W$1,SMALL(IF(D_马仔培养宝物!$Z$2:$Z$64=D_马仔培养宝物!$E131,ROW($C$2:$H$64),""),RANDBETWEEN(1,VLOOKUP(D_马仔培养宝物!$E131,D_马仔培养宝物!$T$3:$U$7,2,FALSE)))-1,0)</f>
        <v>92255</v>
      </c>
      <c r="H131" s="5">
        <f t="array" aca="1" ref="H131" ca="1">OFFSET(D_马仔培养宝物!$W$1,SMALL(IF(D_马仔培养宝物!$Z$2:$Z$64=D_马仔培养宝物!$E131,ROW($C$2:$H$64),""),RANDBETWEEN(1,VLOOKUP(D_马仔培养宝物!$E131,D_马仔培养宝物!$T$3:$U$7,2,FALSE)))-1,0)</f>
        <v>92275</v>
      </c>
      <c r="J131" s="5">
        <v>92240</v>
      </c>
      <c r="K131" s="5">
        <v>92298</v>
      </c>
      <c r="L131" s="5">
        <v>92256</v>
      </c>
      <c r="M131" s="5">
        <v>92290</v>
      </c>
      <c r="N131" s="5">
        <v>92289</v>
      </c>
      <c r="O131" s="5">
        <v>92294</v>
      </c>
      <c r="P131">
        <f>VLOOKUP(J131,D_马仔培养宝物!$W$2:$AC$64,5,FALSE)+VLOOKUP(K131,D_马仔培养宝物!$W$2:$AC$64,5,FALSE)+VLOOKUP(L131,D_马仔培养宝物!$W$2:$AC$64,5,FALSE)+VLOOKUP(M131,D_马仔培养宝物!$W$2:$AC$64,5,FALSE)+VLOOKUP(N131,D_马仔培养宝物!$W$2:$AC$64,5,FALSE)+VLOOKUP(O131,D_马仔培养宝物!$W$2:$AC$64,5,FALSE)</f>
        <v>1852</v>
      </c>
      <c r="Q131">
        <f>VLOOKUP(J131,D_马仔培养宝物!$W$2:$AC$64,6,FALSE)+VLOOKUP(K131,D_马仔培养宝物!$W$2:$AC$64,6,FALSE)+VLOOKUP(L131,D_马仔培养宝物!$W$2:$AC$64,6,FALSE)+VLOOKUP(M131,D_马仔培养宝物!$W$2:$AC$64,6,FALSE)+VLOOKUP(N131,D_马仔培养宝物!$W$2:$AC$64,6,FALSE)+VLOOKUP(O131,D_马仔培养宝物!$W$2:$AC$64,6,FALSE)</f>
        <v>94</v>
      </c>
      <c r="R131">
        <f>VLOOKUP(J131,D_马仔培养宝物!$W$2:$AC$64,7,FALSE)+VLOOKUP(K131,D_马仔培养宝物!$W$2:$AC$64,7,FALSE)+VLOOKUP(L131,D_马仔培养宝物!$W$2:$AC$64,7,FALSE)+VLOOKUP(M131,D_马仔培养宝物!$W$2:$AC$64,7,FALSE)+VLOOKUP(N131,D_马仔培养宝物!$W$2:$AC$64,7,FALSE)+VLOOKUP(O131,D_马仔培养宝物!$W$2:$AC$64,7,FALSE)</f>
        <v>159</v>
      </c>
    </row>
    <row r="132" spans="3:18">
      <c r="C132" s="5">
        <f t="array" aca="1" ref="C132" ca="1">OFFSET(D_马仔培养宝物!$W$1,SMALL(IF(D_马仔培养宝物!$Z$2:$Z$64=D_马仔培养宝物!$E132,ROW($C$2:$H$64),""),RANDBETWEEN(1,VLOOKUP(D_马仔培养宝物!$E132,D_马仔培养宝物!$T$3:$U$7,2,FALSE)))-1,0)</f>
        <v>92292</v>
      </c>
      <c r="D132" s="5">
        <f t="array" aca="1" ref="D132" ca="1">OFFSET(D_马仔培养宝物!$W$1,SMALL(IF(D_马仔培养宝物!$Z$2:$Z$64=D_马仔培养宝物!$E132,ROW($C$2:$H$64),""),RANDBETWEEN(1,VLOOKUP(D_马仔培养宝物!$E132,D_马仔培养宝物!$T$3:$U$7,2,FALSE)))-1,0)</f>
        <v>92026</v>
      </c>
      <c r="E132" s="5">
        <f t="array" aca="1" ref="E132" ca="1">OFFSET(D_马仔培养宝物!$W$1,SMALL(IF(D_马仔培养宝物!$Z$2:$Z$64=D_马仔培养宝物!$E132,ROW($C$2:$H$64),""),RANDBETWEEN(1,VLOOKUP(D_马仔培养宝物!$E132,D_马仔培养宝物!$T$3:$U$7,2,FALSE)))-1,0)</f>
        <v>92294</v>
      </c>
      <c r="F132" s="5">
        <f t="array" aca="1" ref="F132" ca="1">OFFSET(D_马仔培养宝物!$W$1,SMALL(IF(D_马仔培养宝物!$Z$2:$Z$64=D_马仔培养宝物!$E132,ROW($C$2:$H$64),""),RANDBETWEEN(1,VLOOKUP(D_马仔培养宝物!$E132,D_马仔培养宝物!$T$3:$U$7,2,FALSE)))-1,0)</f>
        <v>92292</v>
      </c>
      <c r="G132" s="5">
        <f t="array" aca="1" ref="G132" ca="1">OFFSET(D_马仔培养宝物!$W$1,SMALL(IF(D_马仔培养宝物!$Z$2:$Z$64=D_马仔培养宝物!$E132,ROW($C$2:$H$64),""),RANDBETWEEN(1,VLOOKUP(D_马仔培养宝物!$E132,D_马仔培养宝物!$T$3:$U$7,2,FALSE)))-1,0)</f>
        <v>92281</v>
      </c>
      <c r="H132" s="5">
        <f t="array" aca="1" ref="H132" ca="1">OFFSET(D_马仔培养宝物!$W$1,SMALL(IF(D_马仔培养宝物!$Z$2:$Z$64=D_马仔培养宝物!$E132,ROW($C$2:$H$64),""),RANDBETWEEN(1,VLOOKUP(D_马仔培养宝物!$E132,D_马仔培养宝物!$T$3:$U$7,2,FALSE)))-1,0)</f>
        <v>92292</v>
      </c>
      <c r="J132" s="5">
        <v>92288</v>
      </c>
      <c r="K132" s="5">
        <v>92294</v>
      </c>
      <c r="L132" s="5">
        <v>92291</v>
      </c>
      <c r="M132" s="5">
        <v>92295</v>
      </c>
      <c r="N132" s="5">
        <v>92240</v>
      </c>
      <c r="O132" s="5">
        <v>92244</v>
      </c>
      <c r="P132">
        <f>VLOOKUP(J132,D_马仔培养宝物!$W$2:$AC$64,5,FALSE)+VLOOKUP(K132,D_马仔培养宝物!$W$2:$AC$64,5,FALSE)+VLOOKUP(L132,D_马仔培养宝物!$W$2:$AC$64,5,FALSE)+VLOOKUP(M132,D_马仔培养宝物!$W$2:$AC$64,5,FALSE)+VLOOKUP(N132,D_马仔培养宝物!$W$2:$AC$64,5,FALSE)+VLOOKUP(O132,D_马仔培养宝物!$W$2:$AC$64,5,FALSE)</f>
        <v>4322</v>
      </c>
      <c r="Q132">
        <f>VLOOKUP(J132,D_马仔培养宝物!$W$2:$AC$64,6,FALSE)+VLOOKUP(K132,D_马仔培养宝物!$W$2:$AC$64,6,FALSE)+VLOOKUP(L132,D_马仔培养宝物!$W$2:$AC$64,6,FALSE)+VLOOKUP(M132,D_马仔培养宝物!$W$2:$AC$64,6,FALSE)+VLOOKUP(N132,D_马仔培养宝物!$W$2:$AC$64,6,FALSE)+VLOOKUP(O132,D_马仔培养宝物!$W$2:$AC$64,6,FALSE)</f>
        <v>52</v>
      </c>
      <c r="R132">
        <f>VLOOKUP(J132,D_马仔培养宝物!$W$2:$AC$64,7,FALSE)+VLOOKUP(K132,D_马仔培养宝物!$W$2:$AC$64,7,FALSE)+VLOOKUP(L132,D_马仔培养宝物!$W$2:$AC$64,7,FALSE)+VLOOKUP(M132,D_马仔培养宝物!$W$2:$AC$64,7,FALSE)+VLOOKUP(N132,D_马仔培养宝物!$W$2:$AC$64,7,FALSE)+VLOOKUP(O132,D_马仔培养宝物!$W$2:$AC$64,7,FALSE)</f>
        <v>84</v>
      </c>
    </row>
    <row r="133" spans="3:18" ht="14.25" thickBot="1">
      <c r="C133" s="22">
        <f t="array" aca="1" ref="C133" ca="1">OFFSET(D_马仔培养宝物!$W$1,SMALL(IF(D_马仔培养宝物!$Z$2:$Z$64=D_马仔培养宝物!$E133,ROW($C$2:$H$64),""),RANDBETWEEN(1,VLOOKUP(D_马仔培养宝物!$E133,D_马仔培养宝物!$T$3:$U$7,2,FALSE)))-1,0)</f>
        <v>92296</v>
      </c>
      <c r="D133" s="22">
        <f t="array" aca="1" ref="D133" ca="1">OFFSET(D_马仔培养宝物!$W$1,SMALL(IF(D_马仔培养宝物!$Z$2:$Z$64=D_马仔培养宝物!$E133,ROW($C$2:$H$64),""),RANDBETWEEN(1,VLOOKUP(D_马仔培养宝物!$E133,D_马仔培养宝物!$T$3:$U$7,2,FALSE)))-1,0)</f>
        <v>92275</v>
      </c>
      <c r="E133" s="22">
        <f t="array" aca="1" ref="E133" ca="1">OFFSET(D_马仔培养宝物!$W$1,SMALL(IF(D_马仔培养宝物!$Z$2:$Z$64=D_马仔培养宝物!$E133,ROW($C$2:$H$64),""),RANDBETWEEN(1,VLOOKUP(D_马仔培养宝物!$E133,D_马仔培养宝物!$T$3:$U$7,2,FALSE)))-1,0)</f>
        <v>92297</v>
      </c>
      <c r="F133" s="22">
        <f t="array" aca="1" ref="F133" ca="1">OFFSET(D_马仔培养宝物!$W$1,SMALL(IF(D_马仔培养宝物!$Z$2:$Z$64=D_马仔培养宝物!$E133,ROW($C$2:$H$64),""),RANDBETWEEN(1,VLOOKUP(D_马仔培养宝物!$E133,D_马仔培养宝物!$T$3:$U$7,2,FALSE)))-1,0)</f>
        <v>92294</v>
      </c>
      <c r="G133" s="22">
        <f t="array" aca="1" ref="G133" ca="1">OFFSET(D_马仔培养宝物!$W$1,SMALL(IF(D_马仔培养宝物!$Z$2:$Z$64=D_马仔培养宝物!$E133,ROW($C$2:$H$64),""),RANDBETWEEN(1,VLOOKUP(D_马仔培养宝物!$E133,D_马仔培养宝物!$T$3:$U$7,2,FALSE)))-1,0)</f>
        <v>92293</v>
      </c>
      <c r="H133" s="22">
        <f t="array" aca="1" ref="H133" ca="1">OFFSET(D_马仔培养宝物!$W$1,SMALL(IF(D_马仔培养宝物!$Z$2:$Z$64=D_马仔培养宝物!$E133,ROW($C$2:$H$64),""),RANDBETWEEN(1,VLOOKUP(D_马仔培养宝物!$E133,D_马仔培养宝物!$T$3:$U$7,2,FALSE)))-1,0)</f>
        <v>92293</v>
      </c>
      <c r="J133" s="22">
        <v>92292</v>
      </c>
      <c r="K133" s="22">
        <v>92297</v>
      </c>
      <c r="L133" s="22">
        <v>92296</v>
      </c>
      <c r="M133" s="22">
        <v>92243</v>
      </c>
      <c r="N133" s="22">
        <v>92288</v>
      </c>
      <c r="O133" s="22">
        <v>92298</v>
      </c>
      <c r="P133">
        <f>VLOOKUP(J133,D_马仔培养宝物!$W$2:$AC$64,5,FALSE)+VLOOKUP(K133,D_马仔培养宝物!$W$2:$AC$64,5,FALSE)+VLOOKUP(L133,D_马仔培养宝物!$W$2:$AC$64,5,FALSE)+VLOOKUP(M133,D_马仔培养宝物!$W$2:$AC$64,5,FALSE)+VLOOKUP(N133,D_马仔培养宝物!$W$2:$AC$64,5,FALSE)+VLOOKUP(O133,D_马仔培养宝物!$W$2:$AC$64,5,FALSE)</f>
        <v>3910</v>
      </c>
      <c r="Q133">
        <f>VLOOKUP(J133,D_马仔培养宝物!$W$2:$AC$64,6,FALSE)+VLOOKUP(K133,D_马仔培养宝物!$W$2:$AC$64,6,FALSE)+VLOOKUP(L133,D_马仔培养宝物!$W$2:$AC$64,6,FALSE)+VLOOKUP(M133,D_马仔培养宝物!$W$2:$AC$64,6,FALSE)+VLOOKUP(N133,D_马仔培养宝物!$W$2:$AC$64,6,FALSE)+VLOOKUP(O133,D_马仔培养宝物!$W$2:$AC$64,6,FALSE)</f>
        <v>146</v>
      </c>
      <c r="R133">
        <f>VLOOKUP(J133,D_马仔培养宝物!$W$2:$AC$64,7,FALSE)+VLOOKUP(K133,D_马仔培养宝物!$W$2:$AC$64,7,FALSE)+VLOOKUP(L133,D_马仔培养宝物!$W$2:$AC$64,7,FALSE)+VLOOKUP(M133,D_马仔培养宝物!$W$2:$AC$64,7,FALSE)+VLOOKUP(N133,D_马仔培养宝物!$W$2:$AC$64,7,FALSE)+VLOOKUP(O133,D_马仔培养宝物!$W$2:$AC$64,7,FALSE)</f>
        <v>48</v>
      </c>
    </row>
    <row r="134" spans="3:18">
      <c r="C134" s="19">
        <f t="array" aca="1" ref="C134" ca="1">OFFSET(D_马仔培养宝物!$W$1,SMALL(IF(D_马仔培养宝物!$Z$2:$Z$64=D_马仔培养宝物!$E134,ROW($C$2:$H$64),""),RANDBETWEEN(1,VLOOKUP(D_马仔培养宝物!$E134,D_马仔培养宝物!$T$3:$U$7,2,FALSE)))-1,0)</f>
        <v>92121</v>
      </c>
      <c r="D134" s="19">
        <f t="array" aca="1" ref="D134" ca="1">OFFSET(D_马仔培养宝物!$W$1,SMALL(IF(D_马仔培养宝物!$Z$2:$Z$64=D_马仔培养宝物!$E134,ROW($C$2:$H$64),""),RANDBETWEEN(1,VLOOKUP(D_马仔培养宝物!$E134,D_马仔培养宝物!$T$3:$U$7,2,FALSE)))-1,0)</f>
        <v>92131</v>
      </c>
      <c r="E134" s="19">
        <f t="array" aca="1" ref="E134" ca="1">OFFSET(D_马仔培养宝物!$W$1,SMALL(IF(D_马仔培养宝物!$Z$2:$Z$64=D_马仔培养宝物!$E134,ROW($C$2:$H$64),""),RANDBETWEEN(1,VLOOKUP(D_马仔培养宝物!$E134,D_马仔培养宝物!$T$3:$U$7,2,FALSE)))-1,0)</f>
        <v>92232</v>
      </c>
      <c r="F134" s="19">
        <f t="array" aca="1" ref="F134" ca="1">OFFSET(D_马仔培养宝物!$W$1,SMALL(IF(D_马仔培养宝物!$Z$2:$Z$64=D_马仔培养宝物!$E134,ROW($C$2:$H$64),""),RANDBETWEEN(1,VLOOKUP(D_马仔培养宝物!$E134,D_马仔培养宝物!$T$3:$U$7,2,FALSE)))-1,0)</f>
        <v>92277</v>
      </c>
      <c r="G134" s="19">
        <f t="array" aca="1" ref="G134" ca="1">OFFSET(D_马仔培养宝物!$W$1,SMALL(IF(D_马仔培养宝物!$Z$2:$Z$64=D_马仔培养宝物!$E134,ROW($C$2:$H$64),""),RANDBETWEEN(1,VLOOKUP(D_马仔培养宝物!$E134,D_马仔培养宝物!$T$3:$U$7,2,FALSE)))-1,0)</f>
        <v>92121</v>
      </c>
      <c r="H134" s="19">
        <f t="array" aca="1" ref="H134" ca="1">OFFSET(D_马仔培养宝物!$W$1,SMALL(IF(D_马仔培养宝物!$Z$2:$Z$64=D_马仔培养宝物!$E134,ROW($C$2:$H$64),""),RANDBETWEEN(1,VLOOKUP(D_马仔培养宝物!$E134,D_马仔培养宝物!$T$3:$U$7,2,FALSE)))-1,0)</f>
        <v>92243</v>
      </c>
      <c r="J134" s="19">
        <v>92227</v>
      </c>
      <c r="K134" s="19">
        <v>92223</v>
      </c>
      <c r="L134" s="19">
        <v>92125</v>
      </c>
      <c r="M134" s="19">
        <v>92026</v>
      </c>
      <c r="N134" s="19">
        <v>92124</v>
      </c>
      <c r="O134" s="19">
        <v>92122</v>
      </c>
      <c r="P134">
        <f>VLOOKUP(J134,D_马仔培养宝物!$W$2:$AC$64,5,FALSE)+VLOOKUP(K134,D_马仔培养宝物!$W$2:$AC$64,5,FALSE)+VLOOKUP(L134,D_马仔培养宝物!$W$2:$AC$64,5,FALSE)+VLOOKUP(M134,D_马仔培养宝物!$W$2:$AC$64,5,FALSE)+VLOOKUP(N134,D_马仔培养宝物!$W$2:$AC$64,5,FALSE)+VLOOKUP(O134,D_马仔培养宝物!$W$2:$AC$64,5,FALSE)</f>
        <v>1440</v>
      </c>
      <c r="Q134">
        <f>VLOOKUP(J134,D_马仔培养宝物!$W$2:$AC$64,6,FALSE)+VLOOKUP(K134,D_马仔培养宝物!$W$2:$AC$64,6,FALSE)+VLOOKUP(L134,D_马仔培养宝物!$W$2:$AC$64,6,FALSE)+VLOOKUP(M134,D_马仔培养宝物!$W$2:$AC$64,6,FALSE)+VLOOKUP(N134,D_马仔培养宝物!$W$2:$AC$64,6,FALSE)+VLOOKUP(O134,D_马仔培养宝物!$W$2:$AC$64,6,FALSE)</f>
        <v>136</v>
      </c>
      <c r="R134">
        <f>VLOOKUP(J134,D_马仔培养宝物!$W$2:$AC$64,7,FALSE)+VLOOKUP(K134,D_马仔培养宝物!$W$2:$AC$64,7,FALSE)+VLOOKUP(L134,D_马仔培养宝物!$W$2:$AC$64,7,FALSE)+VLOOKUP(M134,D_马仔培养宝物!$W$2:$AC$64,7,FALSE)+VLOOKUP(N134,D_马仔培养宝物!$W$2:$AC$64,7,FALSE)+VLOOKUP(O134,D_马仔培养宝物!$W$2:$AC$64,7,FALSE)</f>
        <v>84</v>
      </c>
    </row>
    <row r="135" spans="3:18">
      <c r="C135" s="5">
        <f t="array" aca="1" ref="C135" ca="1">OFFSET(D_马仔培养宝物!$W$1,SMALL(IF(D_马仔培养宝物!$Z$2:$Z$64=D_马仔培养宝物!$E135,ROW($C$2:$H$64),""),RANDBETWEEN(1,VLOOKUP(D_马仔培养宝物!$E135,D_马仔培养宝物!$T$3:$U$7,2,FALSE)))-1,0)</f>
        <v>92244</v>
      </c>
      <c r="D135" s="5">
        <f t="array" aca="1" ref="D135" ca="1">OFFSET(D_马仔培养宝物!$W$1,SMALL(IF(D_马仔培养宝物!$Z$2:$Z$64=D_马仔培养宝物!$E135,ROW($C$2:$H$64),""),RANDBETWEEN(1,VLOOKUP(D_马仔培养宝物!$E135,D_马仔培养宝物!$T$3:$U$7,2,FALSE)))-1,0)</f>
        <v>92131</v>
      </c>
      <c r="E135" s="5">
        <f t="array" aca="1" ref="E135" ca="1">OFFSET(D_马仔培养宝物!$W$1,SMALL(IF(D_马仔培养宝物!$Z$2:$Z$64=D_马仔培养宝物!$E135,ROW($C$2:$H$64),""),RANDBETWEEN(1,VLOOKUP(D_马仔培养宝物!$E135,D_马仔培养宝物!$T$3:$U$7,2,FALSE)))-1,0)</f>
        <v>92243</v>
      </c>
      <c r="F135" s="5">
        <f t="array" aca="1" ref="F135" ca="1">OFFSET(D_马仔培养宝物!$W$1,SMALL(IF(D_马仔培养宝物!$Z$2:$Z$64=D_马仔培养宝物!$E135,ROW($C$2:$H$64),""),RANDBETWEEN(1,VLOOKUP(D_马仔培养宝物!$E135,D_马仔培养宝物!$T$3:$U$7,2,FALSE)))-1,0)</f>
        <v>92263</v>
      </c>
      <c r="G135" s="5">
        <f t="array" aca="1" ref="G135" ca="1">OFFSET(D_马仔培养宝物!$W$1,SMALL(IF(D_马仔培养宝物!$Z$2:$Z$64=D_马仔培养宝物!$E135,ROW($C$2:$H$64),""),RANDBETWEEN(1,VLOOKUP(D_马仔培养宝物!$E135,D_马仔培养宝物!$T$3:$U$7,2,FALSE)))-1,0)</f>
        <v>92228</v>
      </c>
      <c r="H135" s="5">
        <f t="array" aca="1" ref="H135" ca="1">OFFSET(D_马仔培养宝物!$W$1,SMALL(IF(D_马仔培养宝物!$Z$2:$Z$64=D_马仔培养宝物!$E135,ROW($C$2:$H$64),""),RANDBETWEEN(1,VLOOKUP(D_马仔培养宝物!$E135,D_马仔培养宝物!$T$3:$U$7,2,FALSE)))-1,0)</f>
        <v>92244</v>
      </c>
      <c r="J135" s="5">
        <v>92011</v>
      </c>
      <c r="K135" s="5">
        <v>92012</v>
      </c>
      <c r="L135" s="5">
        <v>92014</v>
      </c>
      <c r="M135" s="5">
        <v>92125</v>
      </c>
      <c r="N135" s="5">
        <v>92122</v>
      </c>
      <c r="O135" s="5">
        <v>92227</v>
      </c>
      <c r="P135">
        <f>VLOOKUP(J135,D_马仔培养宝物!$W$2:$AC$64,5,FALSE)+VLOOKUP(K135,D_马仔培养宝物!$W$2:$AC$64,5,FALSE)+VLOOKUP(L135,D_马仔培养宝物!$W$2:$AC$64,5,FALSE)+VLOOKUP(M135,D_马仔培养宝物!$W$2:$AC$64,5,FALSE)+VLOOKUP(N135,D_马仔培养宝物!$W$2:$AC$64,5,FALSE)+VLOOKUP(O135,D_马仔培养宝物!$W$2:$AC$64,5,FALSE)</f>
        <v>4321</v>
      </c>
      <c r="Q135">
        <f>VLOOKUP(J135,D_马仔培养宝物!$W$2:$AC$64,6,FALSE)+VLOOKUP(K135,D_马仔培养宝物!$W$2:$AC$64,6,FALSE)+VLOOKUP(L135,D_马仔培养宝物!$W$2:$AC$64,6,FALSE)+VLOOKUP(M135,D_马仔培养宝物!$W$2:$AC$64,6,FALSE)+VLOOKUP(N135,D_马仔培养宝物!$W$2:$AC$64,6,FALSE)+VLOOKUP(O135,D_马仔培养宝物!$W$2:$AC$64,6,FALSE)</f>
        <v>41</v>
      </c>
      <c r="R135">
        <f>VLOOKUP(J135,D_马仔培养宝物!$W$2:$AC$64,7,FALSE)+VLOOKUP(K135,D_马仔培养宝物!$W$2:$AC$64,7,FALSE)+VLOOKUP(L135,D_马仔培养宝物!$W$2:$AC$64,7,FALSE)+VLOOKUP(M135,D_马仔培养宝物!$W$2:$AC$64,7,FALSE)+VLOOKUP(N135,D_马仔培养宝物!$W$2:$AC$64,7,FALSE)+VLOOKUP(O135,D_马仔培养宝物!$W$2:$AC$64,7,FALSE)</f>
        <v>31</v>
      </c>
    </row>
    <row r="136" spans="3:18">
      <c r="C136" s="5">
        <f t="array" aca="1" ref="C136" ca="1">OFFSET(D_马仔培养宝物!$W$1,SMALL(IF(D_马仔培养宝物!$Z$2:$Z$64=D_马仔培养宝物!$E136,ROW($C$2:$H$64),""),RANDBETWEEN(1,VLOOKUP(D_马仔培养宝物!$E136,D_马仔培养宝物!$T$3:$U$7,2,FALSE)))-1,0)</f>
        <v>92122</v>
      </c>
      <c r="D136" s="5">
        <f t="array" aca="1" ref="D136" ca="1">OFFSET(D_马仔培养宝物!$W$1,SMALL(IF(D_马仔培养宝物!$Z$2:$Z$64=D_马仔培养宝物!$E136,ROW($C$2:$H$64),""),RANDBETWEEN(1,VLOOKUP(D_马仔培养宝物!$E136,D_马仔培养宝物!$T$3:$U$7,2,FALSE)))-1,0)</f>
        <v>92245</v>
      </c>
      <c r="E136" s="5">
        <f t="array" aca="1" ref="E136" ca="1">OFFSET(D_马仔培养宝物!$W$1,SMALL(IF(D_马仔培养宝物!$Z$2:$Z$64=D_马仔培养宝物!$E136,ROW($C$2:$H$64),""),RANDBETWEEN(1,VLOOKUP(D_马仔培养宝物!$E136,D_马仔培养宝物!$T$3:$U$7,2,FALSE)))-1,0)</f>
        <v>92233</v>
      </c>
      <c r="F136" s="5">
        <f t="array" aca="1" ref="F136" ca="1">OFFSET(D_马仔培养宝物!$W$1,SMALL(IF(D_马仔培养宝物!$Z$2:$Z$64=D_马仔培养宝物!$E136,ROW($C$2:$H$64),""),RANDBETWEEN(1,VLOOKUP(D_马仔培养宝物!$E136,D_马仔培养宝物!$T$3:$U$7,2,FALSE)))-1,0)</f>
        <v>92122</v>
      </c>
      <c r="G136" s="5">
        <f t="array" aca="1" ref="G136" ca="1">OFFSET(D_马仔培养宝物!$W$1,SMALL(IF(D_马仔培养宝物!$Z$2:$Z$64=D_马仔培养宝物!$E136,ROW($C$2:$H$64),""),RANDBETWEEN(1,VLOOKUP(D_马仔培养宝物!$E136,D_马仔培养宝物!$T$3:$U$7,2,FALSE)))-1,0)</f>
        <v>92233</v>
      </c>
      <c r="H136" s="5">
        <f t="array" aca="1" ref="H136" ca="1">OFFSET(D_马仔培养宝物!$W$1,SMALL(IF(D_马仔培养宝物!$Z$2:$Z$64=D_马仔培养宝物!$E136,ROW($C$2:$H$64),""),RANDBETWEEN(1,VLOOKUP(D_马仔培养宝物!$E136,D_马仔培养宝物!$T$3:$U$7,2,FALSE)))-1,0)</f>
        <v>92251</v>
      </c>
      <c r="J136" s="5">
        <v>92233</v>
      </c>
      <c r="K136" s="5">
        <v>92131</v>
      </c>
      <c r="L136" s="5">
        <v>92228</v>
      </c>
      <c r="M136" s="5">
        <v>92286</v>
      </c>
      <c r="N136" s="5">
        <v>92236</v>
      </c>
      <c r="O136" s="5">
        <v>92271</v>
      </c>
      <c r="P136">
        <f>VLOOKUP(J136,D_马仔培养宝物!$W$2:$AC$64,5,FALSE)+VLOOKUP(K136,D_马仔培养宝物!$W$2:$AC$64,5,FALSE)+VLOOKUP(L136,D_马仔培养宝物!$W$2:$AC$64,5,FALSE)+VLOOKUP(M136,D_马仔培养宝物!$W$2:$AC$64,5,FALSE)+VLOOKUP(N136,D_马仔培养宝物!$W$2:$AC$64,5,FALSE)+VLOOKUP(O136,D_马仔培养宝物!$W$2:$AC$64,5,FALSE)</f>
        <v>1440</v>
      </c>
      <c r="Q136">
        <f>VLOOKUP(J136,D_马仔培养宝物!$W$2:$AC$64,6,FALSE)+VLOOKUP(K136,D_马仔培养宝物!$W$2:$AC$64,6,FALSE)+VLOOKUP(L136,D_马仔培养宝物!$W$2:$AC$64,6,FALSE)+VLOOKUP(M136,D_马仔培养宝物!$W$2:$AC$64,6,FALSE)+VLOOKUP(N136,D_马仔培养宝物!$W$2:$AC$64,6,FALSE)+VLOOKUP(O136,D_马仔培养宝物!$W$2:$AC$64,6,FALSE)</f>
        <v>73</v>
      </c>
      <c r="R136">
        <f>VLOOKUP(J136,D_马仔培养宝物!$W$2:$AC$64,7,FALSE)+VLOOKUP(K136,D_马仔培养宝物!$W$2:$AC$64,7,FALSE)+VLOOKUP(L136,D_马仔培养宝物!$W$2:$AC$64,7,FALSE)+VLOOKUP(M136,D_马仔培养宝物!$W$2:$AC$64,7,FALSE)+VLOOKUP(N136,D_马仔培养宝物!$W$2:$AC$64,7,FALSE)+VLOOKUP(O136,D_马仔培养宝物!$W$2:$AC$64,7,FALSE)</f>
        <v>44</v>
      </c>
    </row>
    <row r="137" spans="3:18">
      <c r="C137" s="5">
        <f t="array" aca="1" ref="C137" ca="1">OFFSET(D_马仔培养宝物!$W$1,SMALL(IF(D_马仔培养宝物!$Z$2:$Z$64=D_马仔培养宝物!$E137,ROW($C$2:$H$64),""),RANDBETWEEN(1,VLOOKUP(D_马仔培养宝物!$E137,D_马仔培养宝物!$T$3:$U$7,2,FALSE)))-1,0)</f>
        <v>92283</v>
      </c>
      <c r="D137" s="5">
        <f t="array" aca="1" ref="D137" ca="1">OFFSET(D_马仔培养宝物!$W$1,SMALL(IF(D_马仔培养宝物!$Z$2:$Z$64=D_马仔培养宝物!$E137,ROW($C$2:$H$64),""),RANDBETWEEN(1,VLOOKUP(D_马仔培养宝物!$E137,D_马仔培养宝物!$T$3:$U$7,2,FALSE)))-1,0)</f>
        <v>92283</v>
      </c>
      <c r="E137" s="5">
        <f t="array" aca="1" ref="E137" ca="1">OFFSET(D_马仔培养宝物!$W$1,SMALL(IF(D_马仔培养宝物!$Z$2:$Z$64=D_马仔培养宝物!$E137,ROW($C$2:$H$64),""),RANDBETWEEN(1,VLOOKUP(D_马仔培养宝物!$E137,D_马仔培养宝物!$T$3:$U$7,2,FALSE)))-1,0)</f>
        <v>92283</v>
      </c>
      <c r="F137" s="5">
        <f t="array" aca="1" ref="F137" ca="1">OFFSET(D_马仔培养宝物!$W$1,SMALL(IF(D_马仔培养宝物!$Z$2:$Z$64=D_马仔培养宝物!$E137,ROW($C$2:$H$64),""),RANDBETWEEN(1,VLOOKUP(D_马仔培养宝物!$E137,D_马仔培养宝物!$T$3:$U$7,2,FALSE)))-1,0)</f>
        <v>92233</v>
      </c>
      <c r="G137" s="5">
        <f t="array" aca="1" ref="G137" ca="1">OFFSET(D_马仔培养宝物!$W$1,SMALL(IF(D_马仔培养宝物!$Z$2:$Z$64=D_马仔培养宝物!$E137,ROW($C$2:$H$64),""),RANDBETWEEN(1,VLOOKUP(D_马仔培养宝物!$E137,D_马仔培养宝物!$T$3:$U$7,2,FALSE)))-1,0)</f>
        <v>92264</v>
      </c>
      <c r="H137" s="5">
        <f t="array" aca="1" ref="H137" ca="1">OFFSET(D_马仔培养宝物!$W$1,SMALL(IF(D_马仔培养宝物!$Z$2:$Z$64=D_马仔培养宝物!$E137,ROW($C$2:$H$64),""),RANDBETWEEN(1,VLOOKUP(D_马仔培养宝物!$E137,D_马仔培养宝物!$T$3:$U$7,2,FALSE)))-1,0)</f>
        <v>92283</v>
      </c>
      <c r="J137" s="5">
        <v>92236</v>
      </c>
      <c r="K137" s="5">
        <v>92233</v>
      </c>
      <c r="L137" s="5">
        <v>92232</v>
      </c>
      <c r="M137" s="5">
        <v>92235</v>
      </c>
      <c r="N137" s="5">
        <v>92287</v>
      </c>
      <c r="O137" s="5">
        <v>92228</v>
      </c>
      <c r="P137">
        <f>VLOOKUP(J137,D_马仔培养宝物!$W$2:$AC$64,5,FALSE)+VLOOKUP(K137,D_马仔培养宝物!$W$2:$AC$64,5,FALSE)+VLOOKUP(L137,D_马仔培养宝物!$W$2:$AC$64,5,FALSE)+VLOOKUP(M137,D_马仔培养宝物!$W$2:$AC$64,5,FALSE)+VLOOKUP(N137,D_马仔培养宝物!$W$2:$AC$64,5,FALSE)+VLOOKUP(O137,D_马仔培养宝物!$W$2:$AC$64,5,FALSE)</f>
        <v>1440</v>
      </c>
      <c r="Q137">
        <f>VLOOKUP(J137,D_马仔培养宝物!$W$2:$AC$64,6,FALSE)+VLOOKUP(K137,D_马仔培养宝物!$W$2:$AC$64,6,FALSE)+VLOOKUP(L137,D_马仔培养宝物!$W$2:$AC$64,6,FALSE)+VLOOKUP(M137,D_马仔培养宝物!$W$2:$AC$64,6,FALSE)+VLOOKUP(N137,D_马仔培养宝物!$W$2:$AC$64,6,FALSE)+VLOOKUP(O137,D_马仔培养宝物!$W$2:$AC$64,6,FALSE)</f>
        <v>73</v>
      </c>
      <c r="R137">
        <f>VLOOKUP(J137,D_马仔培养宝物!$W$2:$AC$64,7,FALSE)+VLOOKUP(K137,D_马仔培养宝物!$W$2:$AC$64,7,FALSE)+VLOOKUP(L137,D_马仔培养宝物!$W$2:$AC$64,7,FALSE)+VLOOKUP(M137,D_马仔培养宝物!$W$2:$AC$64,7,FALSE)+VLOOKUP(N137,D_马仔培养宝物!$W$2:$AC$64,7,FALSE)+VLOOKUP(O137,D_马仔培养宝物!$W$2:$AC$64,7,FALSE)</f>
        <v>26</v>
      </c>
    </row>
    <row r="138" spans="3:18">
      <c r="C138" s="5">
        <f t="array" aca="1" ref="C138" ca="1">OFFSET(D_马仔培养宝物!$W$1,SMALL(IF(D_马仔培养宝物!$Z$2:$Z$64=D_马仔培养宝物!$E138,ROW($C$2:$H$64),""),RANDBETWEEN(1,VLOOKUP(D_马仔培养宝物!$E138,D_马仔培养宝物!$T$3:$U$7,2,FALSE)))-1,0)</f>
        <v>92235</v>
      </c>
      <c r="D138" s="5">
        <f t="array" aca="1" ref="D138" ca="1">OFFSET(D_马仔培养宝物!$W$1,SMALL(IF(D_马仔培养宝物!$Z$2:$Z$64=D_马仔培养宝物!$E138,ROW($C$2:$H$64),""),RANDBETWEEN(1,VLOOKUP(D_马仔培养宝物!$E138,D_马仔培养宝物!$T$3:$U$7,2,FALSE)))-1,0)</f>
        <v>92279</v>
      </c>
      <c r="E138" s="5">
        <f t="array" aca="1" ref="E138" ca="1">OFFSET(D_马仔培养宝物!$W$1,SMALL(IF(D_马仔培养宝物!$Z$2:$Z$64=D_马仔培养宝物!$E138,ROW($C$2:$H$64),""),RANDBETWEEN(1,VLOOKUP(D_马仔培养宝物!$E138,D_马仔培养宝物!$T$3:$U$7,2,FALSE)))-1,0)</f>
        <v>92284</v>
      </c>
      <c r="F138" s="5">
        <f t="array" aca="1" ref="F138" ca="1">OFFSET(D_马仔培养宝物!$W$1,SMALL(IF(D_马仔培养宝物!$Z$2:$Z$64=D_马仔培养宝物!$E138,ROW($C$2:$H$64),""),RANDBETWEEN(1,VLOOKUP(D_马仔培养宝物!$E138,D_马仔培养宝物!$T$3:$U$7,2,FALSE)))-1,0)</f>
        <v>92273</v>
      </c>
      <c r="G138" s="5">
        <f t="array" aca="1" ref="G138" ca="1">OFFSET(D_马仔培养宝物!$W$1,SMALL(IF(D_马仔培养宝物!$Z$2:$Z$64=D_马仔培养宝物!$E138,ROW($C$2:$H$64),""),RANDBETWEEN(1,VLOOKUP(D_马仔培养宝物!$E138,D_马仔培养宝物!$T$3:$U$7,2,FALSE)))-1,0)</f>
        <v>92235</v>
      </c>
      <c r="H138" s="5">
        <f t="array" aca="1" ref="H138" ca="1">OFFSET(D_马仔培养宝物!$W$1,SMALL(IF(D_马仔培养宝物!$Z$2:$Z$64=D_马仔培养宝物!$E138,ROW($C$2:$H$64),""),RANDBETWEEN(1,VLOOKUP(D_马仔培养宝物!$E138,D_马仔培养宝物!$T$3:$U$7,2,FALSE)))-1,0)</f>
        <v>92142</v>
      </c>
      <c r="J138" s="5">
        <v>92282</v>
      </c>
      <c r="K138" s="5">
        <v>92283</v>
      </c>
      <c r="L138" s="5">
        <v>92142</v>
      </c>
      <c r="M138" s="5">
        <v>92134</v>
      </c>
      <c r="N138" s="5">
        <v>92141</v>
      </c>
      <c r="O138" s="5">
        <v>92262</v>
      </c>
      <c r="P138">
        <f>VLOOKUP(J138,D_马仔培养宝物!$W$2:$AC$64,5,FALSE)+VLOOKUP(K138,D_马仔培养宝物!$W$2:$AC$64,5,FALSE)+VLOOKUP(L138,D_马仔培养宝物!$W$2:$AC$64,5,FALSE)+VLOOKUP(M138,D_马仔培养宝物!$W$2:$AC$64,5,FALSE)+VLOOKUP(N138,D_马仔培养宝物!$W$2:$AC$64,5,FALSE)+VLOOKUP(O138,D_马仔培养宝物!$W$2:$AC$64,5,FALSE)</f>
        <v>0</v>
      </c>
      <c r="Q138">
        <f>VLOOKUP(J138,D_马仔培养宝物!$W$2:$AC$64,6,FALSE)+VLOOKUP(K138,D_马仔培养宝物!$W$2:$AC$64,6,FALSE)+VLOOKUP(L138,D_马仔培养宝物!$W$2:$AC$64,6,FALSE)+VLOOKUP(M138,D_马仔培养宝物!$W$2:$AC$64,6,FALSE)+VLOOKUP(N138,D_马仔培养宝物!$W$2:$AC$64,6,FALSE)+VLOOKUP(O138,D_马仔培养宝物!$W$2:$AC$64,6,FALSE)</f>
        <v>335</v>
      </c>
      <c r="R138">
        <f>VLOOKUP(J138,D_马仔培养宝物!$W$2:$AC$64,7,FALSE)+VLOOKUP(K138,D_马仔培养宝物!$W$2:$AC$64,7,FALSE)+VLOOKUP(L138,D_马仔培养宝物!$W$2:$AC$64,7,FALSE)+VLOOKUP(M138,D_马仔培养宝物!$W$2:$AC$64,7,FALSE)+VLOOKUP(N138,D_马仔培养宝物!$W$2:$AC$64,7,FALSE)+VLOOKUP(O138,D_马仔培养宝物!$W$2:$AC$64,7,FALSE)</f>
        <v>26</v>
      </c>
    </row>
    <row r="139" spans="3:18">
      <c r="C139" s="5">
        <f t="array" aca="1" ref="C139" ca="1">OFFSET(D_马仔培养宝物!$W$1,SMALL(IF(D_马仔培养宝物!$Z$2:$Z$64=D_马仔培养宝物!$E139,ROW($C$2:$H$64),""),RANDBETWEEN(1,VLOOKUP(D_马仔培养宝物!$E139,D_马仔培养宝物!$T$3:$U$7,2,FALSE)))-1,0)</f>
        <v>92288</v>
      </c>
      <c r="D139" s="5">
        <f t="array" aca="1" ref="D139" ca="1">OFFSET(D_马仔培养宝物!$W$1,SMALL(IF(D_马仔培养宝物!$Z$2:$Z$64=D_马仔培养宝物!$E139,ROW($C$2:$H$64),""),RANDBETWEEN(1,VLOOKUP(D_马仔培养宝物!$E139,D_马仔培养宝物!$T$3:$U$7,2,FALSE)))-1,0)</f>
        <v>92235</v>
      </c>
      <c r="E139" s="5">
        <f t="array" aca="1" ref="E139" ca="1">OFFSET(D_马仔培养宝物!$W$1,SMALL(IF(D_马仔培养宝物!$Z$2:$Z$64=D_马仔培养宝物!$E139,ROW($C$2:$H$64),""),RANDBETWEEN(1,VLOOKUP(D_马仔培养宝物!$E139,D_马仔培养宝物!$T$3:$U$7,2,FALSE)))-1,0)</f>
        <v>92124</v>
      </c>
      <c r="F139" s="5">
        <f t="array" aca="1" ref="F139" ca="1">OFFSET(D_马仔培养宝物!$W$1,SMALL(IF(D_马仔培养宝物!$Z$2:$Z$64=D_马仔培养宝物!$E139,ROW($C$2:$H$64),""),RANDBETWEEN(1,VLOOKUP(D_马仔培养宝物!$E139,D_马仔培养宝物!$T$3:$U$7,2,FALSE)))-1,0)</f>
        <v>92284</v>
      </c>
      <c r="G139" s="5">
        <f t="array" aca="1" ref="G139" ca="1">OFFSET(D_马仔培养宝物!$W$1,SMALL(IF(D_马仔培养宝物!$Z$2:$Z$64=D_马仔培养宝物!$E139,ROW($C$2:$H$64),""),RANDBETWEEN(1,VLOOKUP(D_马仔培养宝物!$E139,D_马仔培养宝物!$T$3:$U$7,2,FALSE)))-1,0)</f>
        <v>92012</v>
      </c>
      <c r="H139" s="5">
        <f t="array" aca="1" ref="H139" ca="1">OFFSET(D_马仔培养宝物!$W$1,SMALL(IF(D_马仔培养宝物!$Z$2:$Z$64=D_马仔培养宝物!$E139,ROW($C$2:$H$64),""),RANDBETWEEN(1,VLOOKUP(D_马仔培养宝物!$E139,D_马仔培养宝物!$T$3:$U$7,2,FALSE)))-1,0)</f>
        <v>92124</v>
      </c>
      <c r="J139" s="5">
        <v>92282</v>
      </c>
      <c r="K139" s="5">
        <v>92262</v>
      </c>
      <c r="L139" s="5">
        <v>92141</v>
      </c>
      <c r="M139" s="5">
        <v>92284</v>
      </c>
      <c r="N139" s="5">
        <v>92285</v>
      </c>
      <c r="O139" s="5">
        <v>92142</v>
      </c>
      <c r="P139">
        <f>VLOOKUP(J139,D_马仔培养宝物!$W$2:$AC$64,5,FALSE)+VLOOKUP(K139,D_马仔培养宝物!$W$2:$AC$64,5,FALSE)+VLOOKUP(L139,D_马仔培养宝物!$W$2:$AC$64,5,FALSE)+VLOOKUP(M139,D_马仔培养宝物!$W$2:$AC$64,5,FALSE)+VLOOKUP(N139,D_马仔培养宝物!$W$2:$AC$64,5,FALSE)+VLOOKUP(O139,D_马仔培养宝物!$W$2:$AC$64,5,FALSE)</f>
        <v>1029</v>
      </c>
      <c r="Q139">
        <f>VLOOKUP(J139,D_马仔培养宝物!$W$2:$AC$64,6,FALSE)+VLOOKUP(K139,D_马仔培养宝物!$W$2:$AC$64,6,FALSE)+VLOOKUP(L139,D_马仔培养宝物!$W$2:$AC$64,6,FALSE)+VLOOKUP(M139,D_马仔培养宝物!$W$2:$AC$64,6,FALSE)+VLOOKUP(N139,D_马仔培养宝物!$W$2:$AC$64,6,FALSE)+VLOOKUP(O139,D_马仔培养宝物!$W$2:$AC$64,6,FALSE)</f>
        <v>335</v>
      </c>
      <c r="R139">
        <f>VLOOKUP(J139,D_马仔培养宝物!$W$2:$AC$64,7,FALSE)+VLOOKUP(K139,D_马仔培养宝物!$W$2:$AC$64,7,FALSE)+VLOOKUP(L139,D_马仔培养宝物!$W$2:$AC$64,7,FALSE)+VLOOKUP(M139,D_马仔培养宝物!$W$2:$AC$64,7,FALSE)+VLOOKUP(N139,D_马仔培养宝物!$W$2:$AC$64,7,FALSE)+VLOOKUP(O139,D_马仔培养宝物!$W$2:$AC$64,7,FALSE)</f>
        <v>13</v>
      </c>
    </row>
    <row r="140" spans="3:18">
      <c r="C140" s="5">
        <f t="array" aca="1" ref="C140" ca="1">OFFSET(D_马仔培养宝物!$W$1,SMALL(IF(D_马仔培养宝物!$Z$2:$Z$64=D_马仔培养宝物!$E140,ROW($C$2:$H$64),""),RANDBETWEEN(1,VLOOKUP(D_马仔培养宝物!$E140,D_马仔培养宝物!$T$3:$U$7,2,FALSE)))-1,0)</f>
        <v>92280</v>
      </c>
      <c r="D140" s="5">
        <f t="array" aca="1" ref="D140" ca="1">OFFSET(D_马仔培养宝物!$W$1,SMALL(IF(D_马仔培养宝物!$Z$2:$Z$64=D_马仔培养宝物!$E140,ROW($C$2:$H$64),""),RANDBETWEEN(1,VLOOKUP(D_马仔培养宝物!$E140,D_马仔培养宝物!$T$3:$U$7,2,FALSE)))-1,0)</f>
        <v>92285</v>
      </c>
      <c r="E140" s="5">
        <f t="array" aca="1" ref="E140" ca="1">OFFSET(D_马仔培养宝物!$W$1,SMALL(IF(D_马仔培养宝物!$Z$2:$Z$64=D_马仔培养宝物!$E140,ROW($C$2:$H$64),""),RANDBETWEEN(1,VLOOKUP(D_马仔培养宝物!$E140,D_马仔培养宝物!$T$3:$U$7,2,FALSE)))-1,0)</f>
        <v>92227</v>
      </c>
      <c r="F140" s="5">
        <f t="array" aca="1" ref="F140" ca="1">OFFSET(D_马仔培养宝物!$W$1,SMALL(IF(D_马仔培养宝物!$Z$2:$Z$64=D_马仔培养宝物!$E140,ROW($C$2:$H$64),""),RANDBETWEEN(1,VLOOKUP(D_马仔培养宝物!$E140,D_马仔培养宝物!$T$3:$U$7,2,FALSE)))-1,0)</f>
        <v>92125</v>
      </c>
      <c r="G140" s="5">
        <f t="array" aca="1" ref="G140" ca="1">OFFSET(D_马仔培养宝物!$W$1,SMALL(IF(D_马仔培养宝物!$Z$2:$Z$64=D_马仔培养宝物!$E140,ROW($C$2:$H$64),""),RANDBETWEEN(1,VLOOKUP(D_马仔培养宝物!$E140,D_马仔培养宝物!$T$3:$U$7,2,FALSE)))-1,0)</f>
        <v>92013</v>
      </c>
      <c r="H140" s="5">
        <f t="array" aca="1" ref="H140" ca="1">OFFSET(D_马仔培养宝物!$W$1,SMALL(IF(D_马仔培养宝物!$Z$2:$Z$64=D_马仔培养宝物!$E140,ROW($C$2:$H$64),""),RANDBETWEEN(1,VLOOKUP(D_马仔培养宝物!$E140,D_马仔培养宝物!$T$3:$U$7,2,FALSE)))-1,0)</f>
        <v>92227</v>
      </c>
      <c r="J140" s="5">
        <v>92281</v>
      </c>
      <c r="K140" s="5">
        <v>92274</v>
      </c>
      <c r="L140" s="5">
        <v>92276</v>
      </c>
      <c r="M140" s="5">
        <v>92263</v>
      </c>
      <c r="N140" s="5">
        <v>92272</v>
      </c>
      <c r="O140" s="5">
        <v>92277</v>
      </c>
      <c r="P140">
        <f>VLOOKUP(J140,D_马仔培养宝物!$W$2:$AC$64,5,FALSE)+VLOOKUP(K140,D_马仔培养宝物!$W$2:$AC$64,5,FALSE)+VLOOKUP(L140,D_马仔培养宝物!$W$2:$AC$64,5,FALSE)+VLOOKUP(M140,D_马仔培养宝物!$W$2:$AC$64,5,FALSE)+VLOOKUP(N140,D_马仔培养宝物!$W$2:$AC$64,5,FALSE)+VLOOKUP(O140,D_马仔培养宝物!$W$2:$AC$64,5,FALSE)</f>
        <v>3087</v>
      </c>
      <c r="Q140">
        <f>VLOOKUP(J140,D_马仔培养宝物!$W$2:$AC$64,6,FALSE)+VLOOKUP(K140,D_马仔培养宝物!$W$2:$AC$64,6,FALSE)+VLOOKUP(L140,D_马仔培养宝物!$W$2:$AC$64,6,FALSE)+VLOOKUP(M140,D_马仔培养宝物!$W$2:$AC$64,6,FALSE)+VLOOKUP(N140,D_马仔培养宝物!$W$2:$AC$64,6,FALSE)+VLOOKUP(O140,D_马仔培养宝物!$W$2:$AC$64,6,FALSE)</f>
        <v>104</v>
      </c>
      <c r="R140">
        <f>VLOOKUP(J140,D_马仔培养宝物!$W$2:$AC$64,7,FALSE)+VLOOKUP(K140,D_马仔培养宝物!$W$2:$AC$64,7,FALSE)+VLOOKUP(L140,D_马仔培养宝物!$W$2:$AC$64,7,FALSE)+VLOOKUP(M140,D_马仔培养宝物!$W$2:$AC$64,7,FALSE)+VLOOKUP(N140,D_马仔培养宝物!$W$2:$AC$64,7,FALSE)+VLOOKUP(O140,D_马仔培养宝物!$W$2:$AC$64,7,FALSE)</f>
        <v>35</v>
      </c>
    </row>
    <row r="141" spans="3:18">
      <c r="C141" s="5">
        <f t="array" aca="1" ref="C141" ca="1">OFFSET(D_马仔培养宝物!$W$1,SMALL(IF(D_马仔培养宝物!$Z$2:$Z$64=D_马仔培养宝物!$E141,ROW($C$2:$H$64),""),RANDBETWEEN(1,VLOOKUP(D_马仔培养宝物!$E141,D_马仔培养宝物!$T$3:$U$7,2,FALSE)))-1,0)</f>
        <v>92254</v>
      </c>
      <c r="D141" s="5">
        <f t="array" aca="1" ref="D141" ca="1">OFFSET(D_马仔培养宝物!$W$1,SMALL(IF(D_马仔培养宝物!$Z$2:$Z$64=D_马仔培养宝物!$E141,ROW($C$2:$H$64),""),RANDBETWEEN(1,VLOOKUP(D_马仔培养宝物!$E141,D_马仔培养宝物!$T$3:$U$7,2,FALSE)))-1,0)</f>
        <v>92013</v>
      </c>
      <c r="E141" s="5">
        <f t="array" aca="1" ref="E141" ca="1">OFFSET(D_马仔培养宝物!$W$1,SMALL(IF(D_马仔培养宝物!$Z$2:$Z$64=D_马仔培养宝物!$E141,ROW($C$2:$H$64),""),RANDBETWEEN(1,VLOOKUP(D_马仔培养宝物!$E141,D_马仔培养宝物!$T$3:$U$7,2,FALSE)))-1,0)</f>
        <v>92289</v>
      </c>
      <c r="F141" s="5">
        <f t="array" aca="1" ref="F141" ca="1">OFFSET(D_马仔培养宝物!$W$1,SMALL(IF(D_马仔培养宝物!$Z$2:$Z$64=D_马仔培养宝物!$E141,ROW($C$2:$H$64),""),RANDBETWEEN(1,VLOOKUP(D_马仔培养宝物!$E141,D_马仔培养宝物!$T$3:$U$7,2,FALSE)))-1,0)</f>
        <v>92274</v>
      </c>
      <c r="G141" s="5">
        <f t="array" aca="1" ref="G141" ca="1">OFFSET(D_马仔培养宝物!$W$1,SMALL(IF(D_马仔培养宝物!$Z$2:$Z$64=D_马仔培养宝物!$E141,ROW($C$2:$H$64),""),RANDBETWEEN(1,VLOOKUP(D_马仔培养宝物!$E141,D_马仔培养宝物!$T$3:$U$7,2,FALSE)))-1,0)</f>
        <v>92274</v>
      </c>
      <c r="H141" s="5">
        <f t="array" aca="1" ref="H141" ca="1">OFFSET(D_马仔培养宝物!$W$1,SMALL(IF(D_马仔培养宝物!$Z$2:$Z$64=D_马仔培养宝物!$E141,ROW($C$2:$H$64),""),RANDBETWEEN(1,VLOOKUP(D_马仔培养宝物!$E141,D_马仔培养宝物!$T$3:$U$7,2,FALSE)))-1,0)</f>
        <v>92013</v>
      </c>
      <c r="J141" s="5">
        <v>92272</v>
      </c>
      <c r="K141" s="5">
        <v>92274</v>
      </c>
      <c r="L141" s="5">
        <v>92281</v>
      </c>
      <c r="M141" s="5">
        <v>92275</v>
      </c>
      <c r="N141" s="5">
        <v>92264</v>
      </c>
      <c r="O141" s="5">
        <v>92279</v>
      </c>
      <c r="P141">
        <f>VLOOKUP(J141,D_马仔培养宝物!$W$2:$AC$64,5,FALSE)+VLOOKUP(K141,D_马仔培养宝物!$W$2:$AC$64,5,FALSE)+VLOOKUP(L141,D_马仔培养宝物!$W$2:$AC$64,5,FALSE)+VLOOKUP(M141,D_马仔培养宝物!$W$2:$AC$64,5,FALSE)+VLOOKUP(N141,D_马仔培养宝物!$W$2:$AC$64,5,FALSE)+VLOOKUP(O141,D_马仔培养宝物!$W$2:$AC$64,5,FALSE)</f>
        <v>2881</v>
      </c>
      <c r="Q141">
        <f>VLOOKUP(J141,D_马仔培养宝物!$W$2:$AC$64,6,FALSE)+VLOOKUP(K141,D_马仔培养宝物!$W$2:$AC$64,6,FALSE)+VLOOKUP(L141,D_马仔培养宝物!$W$2:$AC$64,6,FALSE)+VLOOKUP(M141,D_马仔培养宝物!$W$2:$AC$64,6,FALSE)+VLOOKUP(N141,D_马仔培养宝物!$W$2:$AC$64,6,FALSE)+VLOOKUP(O141,D_马仔培养宝物!$W$2:$AC$64,6,FALSE)</f>
        <v>94</v>
      </c>
      <c r="R141">
        <f>VLOOKUP(J141,D_马仔培养宝物!$W$2:$AC$64,7,FALSE)+VLOOKUP(K141,D_马仔培养宝物!$W$2:$AC$64,7,FALSE)+VLOOKUP(L141,D_马仔培养宝物!$W$2:$AC$64,7,FALSE)+VLOOKUP(M141,D_马仔培养宝物!$W$2:$AC$64,7,FALSE)+VLOOKUP(N141,D_马仔培养宝物!$W$2:$AC$64,7,FALSE)+VLOOKUP(O141,D_马仔培养宝物!$W$2:$AC$64,7,FALSE)</f>
        <v>66</v>
      </c>
    </row>
    <row r="142" spans="3:18">
      <c r="C142" s="5">
        <f t="array" aca="1" ref="C142" ca="1">OFFSET(D_马仔培养宝物!$W$1,SMALL(IF(D_马仔培养宝物!$Z$2:$Z$64=D_马仔培养宝物!$E142,ROW($C$2:$H$64),""),RANDBETWEEN(1,VLOOKUP(D_马仔培养宝物!$E142,D_马仔培养宝物!$T$3:$U$7,2,FALSE)))-1,0)</f>
        <v>92276</v>
      </c>
      <c r="D142" s="5">
        <f t="array" aca="1" ref="D142" ca="1">OFFSET(D_马仔培养宝物!$W$1,SMALL(IF(D_马仔培养宝物!$Z$2:$Z$64=D_马仔培养宝物!$E142,ROW($C$2:$H$64),""),RANDBETWEEN(1,VLOOKUP(D_马仔培养宝物!$E142,D_马仔培养宝物!$T$3:$U$7,2,FALSE)))-1,0)</f>
        <v>92276</v>
      </c>
      <c r="E142" s="5">
        <f t="array" aca="1" ref="E142" ca="1">OFFSET(D_马仔培养宝物!$W$1,SMALL(IF(D_马仔培养宝物!$Z$2:$Z$64=D_马仔培养宝物!$E142,ROW($C$2:$H$64),""),RANDBETWEEN(1,VLOOKUP(D_马仔培养宝物!$E142,D_马仔培养宝物!$T$3:$U$7,2,FALSE)))-1,0)</f>
        <v>92286</v>
      </c>
      <c r="F142" s="5">
        <f t="array" aca="1" ref="F142" ca="1">OFFSET(D_马仔培养宝物!$W$1,SMALL(IF(D_马仔培养宝物!$Z$2:$Z$64=D_马仔培养宝物!$E142,ROW($C$2:$H$64),""),RANDBETWEEN(1,VLOOKUP(D_马仔培养宝物!$E142,D_马仔培养宝物!$T$3:$U$7,2,FALSE)))-1,0)</f>
        <v>92261</v>
      </c>
      <c r="G142" s="5">
        <f t="array" aca="1" ref="G142" ca="1">OFFSET(D_马仔培养宝物!$W$1,SMALL(IF(D_马仔培养宝物!$Z$2:$Z$64=D_马仔培养宝物!$E142,ROW($C$2:$H$64),""),RANDBETWEEN(1,VLOOKUP(D_马仔培养宝物!$E142,D_马仔培养宝物!$T$3:$U$7,2,FALSE)))-1,0)</f>
        <v>92256</v>
      </c>
      <c r="H142" s="5">
        <f t="array" aca="1" ref="H142" ca="1">OFFSET(D_马仔培养宝物!$W$1,SMALL(IF(D_马仔培养宝物!$Z$2:$Z$64=D_马仔培养宝物!$E142,ROW($C$2:$H$64),""),RANDBETWEEN(1,VLOOKUP(D_马仔培养宝物!$E142,D_马仔培养宝物!$T$3:$U$7,2,FALSE)))-1,0)</f>
        <v>92294</v>
      </c>
      <c r="J142" s="5">
        <v>92253</v>
      </c>
      <c r="K142" s="5">
        <v>92254</v>
      </c>
      <c r="L142" s="5">
        <v>92295</v>
      </c>
      <c r="M142" s="5">
        <v>92296</v>
      </c>
      <c r="N142" s="5">
        <v>92256</v>
      </c>
      <c r="O142" s="5">
        <v>92251</v>
      </c>
      <c r="P142">
        <f>VLOOKUP(J142,D_马仔培养宝物!$W$2:$AC$64,5,FALSE)+VLOOKUP(K142,D_马仔培养宝物!$W$2:$AC$64,5,FALSE)+VLOOKUP(L142,D_马仔培养宝物!$W$2:$AC$64,5,FALSE)+VLOOKUP(M142,D_马仔培养宝物!$W$2:$AC$64,5,FALSE)+VLOOKUP(N142,D_马仔培养宝物!$W$2:$AC$64,5,FALSE)+VLOOKUP(O142,D_马仔培养宝物!$W$2:$AC$64,5,FALSE)</f>
        <v>3498</v>
      </c>
      <c r="Q142">
        <f>VLOOKUP(J142,D_马仔培养宝物!$W$2:$AC$64,6,FALSE)+VLOOKUP(K142,D_马仔培养宝物!$W$2:$AC$64,6,FALSE)+VLOOKUP(L142,D_马仔培养宝物!$W$2:$AC$64,6,FALSE)+VLOOKUP(M142,D_马仔培养宝物!$W$2:$AC$64,6,FALSE)+VLOOKUP(N142,D_马仔培养宝物!$W$2:$AC$64,6,FALSE)+VLOOKUP(O142,D_马仔培养宝物!$W$2:$AC$64,6,FALSE)</f>
        <v>292</v>
      </c>
      <c r="R142">
        <f>VLOOKUP(J142,D_马仔培养宝物!$W$2:$AC$64,7,FALSE)+VLOOKUP(K142,D_马仔培养宝物!$W$2:$AC$64,7,FALSE)+VLOOKUP(L142,D_马仔培养宝物!$W$2:$AC$64,7,FALSE)+VLOOKUP(M142,D_马仔培养宝物!$W$2:$AC$64,7,FALSE)+VLOOKUP(N142,D_马仔培养宝物!$W$2:$AC$64,7,FALSE)+VLOOKUP(O142,D_马仔培养宝物!$W$2:$AC$64,7,FALSE)</f>
        <v>0</v>
      </c>
    </row>
    <row r="143" spans="3:18">
      <c r="C143" s="5">
        <f t="array" aca="1" ref="C143" ca="1">OFFSET(D_马仔培养宝物!$W$1,SMALL(IF(D_马仔培养宝物!$Z$2:$Z$64=D_马仔培养宝物!$E143,ROW($C$2:$H$64),""),RANDBETWEEN(1,VLOOKUP(D_马仔培养宝物!$E143,D_马仔培养宝物!$T$3:$U$7,2,FALSE)))-1,0)</f>
        <v>92299</v>
      </c>
      <c r="D143" s="5">
        <f t="array" aca="1" ref="D143" ca="1">OFFSET(D_马仔培养宝物!$W$1,SMALL(IF(D_马仔培养宝物!$Z$2:$Z$64=D_马仔培养宝物!$E143,ROW($C$2:$H$64),""),RANDBETWEEN(1,VLOOKUP(D_马仔培养宝物!$E143,D_马仔培养宝物!$T$3:$U$7,2,FALSE)))-1,0)</f>
        <v>92262</v>
      </c>
      <c r="E143" s="5">
        <f t="array" aca="1" ref="E143" ca="1">OFFSET(D_马仔培养宝物!$W$1,SMALL(IF(D_马仔培养宝物!$Z$2:$Z$64=D_马仔培养宝物!$E143,ROW($C$2:$H$64),""),RANDBETWEEN(1,VLOOKUP(D_马仔培养宝物!$E143,D_马仔培养宝物!$T$3:$U$7,2,FALSE)))-1,0)</f>
        <v>92297</v>
      </c>
      <c r="F143" s="5">
        <f t="array" aca="1" ref="F143" ca="1">OFFSET(D_马仔培养宝物!$W$1,SMALL(IF(D_马仔培养宝物!$Z$2:$Z$64=D_马仔培养宝物!$E143,ROW($C$2:$H$64),""),RANDBETWEEN(1,VLOOKUP(D_马仔培养宝物!$E143,D_马仔培养宝物!$T$3:$U$7,2,FALSE)))-1,0)</f>
        <v>92255</v>
      </c>
      <c r="G143" s="5">
        <f t="array" aca="1" ref="G143" ca="1">OFFSET(D_马仔培养宝物!$W$1,SMALL(IF(D_马仔培养宝物!$Z$2:$Z$64=D_马仔培养宝物!$E143,ROW($C$2:$H$64),""),RANDBETWEEN(1,VLOOKUP(D_马仔培养宝物!$E143,D_马仔培养宝物!$T$3:$U$7,2,FALSE)))-1,0)</f>
        <v>92298</v>
      </c>
      <c r="H143" s="5">
        <f t="array" aca="1" ref="H143" ca="1">OFFSET(D_马仔培养宝物!$W$1,SMALL(IF(D_马仔培养宝物!$Z$2:$Z$64=D_马仔培养宝物!$E143,ROW($C$2:$H$64),""),RANDBETWEEN(1,VLOOKUP(D_马仔培养宝物!$E143,D_马仔培养宝物!$T$3:$U$7,2,FALSE)))-1,0)</f>
        <v>92293</v>
      </c>
      <c r="J143" s="5">
        <v>92294</v>
      </c>
      <c r="K143" s="5">
        <v>92253</v>
      </c>
      <c r="L143" s="5">
        <v>92255</v>
      </c>
      <c r="M143" s="5">
        <v>92293</v>
      </c>
      <c r="N143" s="5">
        <v>92244</v>
      </c>
      <c r="O143" s="5">
        <v>92298</v>
      </c>
      <c r="P143">
        <f>VLOOKUP(J143,D_马仔培养宝物!$W$2:$AC$64,5,FALSE)+VLOOKUP(K143,D_马仔培养宝物!$W$2:$AC$64,5,FALSE)+VLOOKUP(L143,D_马仔培养宝物!$W$2:$AC$64,5,FALSE)+VLOOKUP(M143,D_马仔培养宝物!$W$2:$AC$64,5,FALSE)+VLOOKUP(N143,D_马仔培养宝物!$W$2:$AC$64,5,FALSE)+VLOOKUP(O143,D_马仔培养宝物!$W$2:$AC$64,5,FALSE)</f>
        <v>1646</v>
      </c>
      <c r="Q143">
        <f>VLOOKUP(J143,D_马仔培养宝物!$W$2:$AC$64,6,FALSE)+VLOOKUP(K143,D_马仔培养宝物!$W$2:$AC$64,6,FALSE)+VLOOKUP(L143,D_马仔培养宝物!$W$2:$AC$64,6,FALSE)+VLOOKUP(M143,D_马仔培养宝物!$W$2:$AC$64,6,FALSE)+VLOOKUP(N143,D_马仔培养宝物!$W$2:$AC$64,6,FALSE)+VLOOKUP(O143,D_马仔培养宝物!$W$2:$AC$64,6,FALSE)</f>
        <v>105</v>
      </c>
      <c r="R143">
        <f>VLOOKUP(J143,D_马仔培养宝物!$W$2:$AC$64,7,FALSE)+VLOOKUP(K143,D_马仔培养宝物!$W$2:$AC$64,7,FALSE)+VLOOKUP(L143,D_马仔培养宝物!$W$2:$AC$64,7,FALSE)+VLOOKUP(M143,D_马仔培养宝物!$W$2:$AC$64,7,FALSE)+VLOOKUP(N143,D_马仔培养宝物!$W$2:$AC$64,7,FALSE)+VLOOKUP(O143,D_马仔培养宝物!$W$2:$AC$64,7,FALSE)</f>
        <v>132</v>
      </c>
    </row>
    <row r="144" spans="3:18">
      <c r="C144" s="5">
        <f t="array" aca="1" ref="C144" ca="1">OFFSET(D_马仔培养宝物!$W$1,SMALL(IF(D_马仔培养宝物!$Z$2:$Z$64=D_马仔培养宝物!$E144,ROW($C$2:$H$64),""),RANDBETWEEN(1,VLOOKUP(D_马仔培养宝物!$E144,D_马仔培养宝物!$T$3:$U$7,2,FALSE)))-1,0)</f>
        <v>92276</v>
      </c>
      <c r="D144" s="5">
        <f t="array" aca="1" ref="D144" ca="1">OFFSET(D_马仔培养宝物!$W$1,SMALL(IF(D_马仔培养宝物!$Z$2:$Z$64=D_马仔培养宝物!$E144,ROW($C$2:$H$64),""),RANDBETWEEN(1,VLOOKUP(D_马仔培养宝物!$E144,D_马仔培养宝物!$T$3:$U$7,2,FALSE)))-1,0)</f>
        <v>92296</v>
      </c>
      <c r="E144" s="5">
        <f t="array" aca="1" ref="E144" ca="1">OFFSET(D_马仔培养宝物!$W$1,SMALL(IF(D_马仔培养宝物!$Z$2:$Z$64=D_马仔培养宝物!$E144,ROW($C$2:$H$64),""),RANDBETWEEN(1,VLOOKUP(D_马仔培养宝物!$E144,D_马仔培养宝物!$T$3:$U$7,2,FALSE)))-1,0)</f>
        <v>92296</v>
      </c>
      <c r="F144" s="5">
        <f t="array" aca="1" ref="F144" ca="1">OFFSET(D_马仔培养宝物!$W$1,SMALL(IF(D_马仔培养宝物!$Z$2:$Z$64=D_马仔培养宝物!$E144,ROW($C$2:$H$64),""),RANDBETWEEN(1,VLOOKUP(D_马仔培养宝物!$E144,D_马仔培养宝物!$T$3:$U$7,2,FALSE)))-1,0)</f>
        <v>92295</v>
      </c>
      <c r="G144" s="5">
        <f t="array" aca="1" ref="G144" ca="1">OFFSET(D_马仔培养宝物!$W$1,SMALL(IF(D_马仔培养宝物!$Z$2:$Z$64=D_马仔培养宝物!$E144,ROW($C$2:$H$64),""),RANDBETWEEN(1,VLOOKUP(D_马仔培养宝物!$E144,D_马仔培养宝物!$T$3:$U$7,2,FALSE)))-1,0)</f>
        <v>92297</v>
      </c>
      <c r="H144" s="5">
        <f t="array" aca="1" ref="H144" ca="1">OFFSET(D_马仔培养宝物!$W$1,SMALL(IF(D_马仔培养宝物!$Z$2:$Z$64=D_马仔培养宝物!$E144,ROW($C$2:$H$64),""),RANDBETWEEN(1,VLOOKUP(D_马仔培养宝物!$E144,D_马仔培养宝物!$T$3:$U$7,2,FALSE)))-1,0)</f>
        <v>92291</v>
      </c>
      <c r="J144" s="5">
        <v>92256</v>
      </c>
      <c r="K144" s="5">
        <v>92297</v>
      </c>
      <c r="L144" s="5">
        <v>92244</v>
      </c>
      <c r="M144" s="5">
        <v>92290</v>
      </c>
      <c r="N144" s="5">
        <v>92252</v>
      </c>
      <c r="O144" s="5">
        <v>92298</v>
      </c>
      <c r="P144">
        <f>VLOOKUP(J144,D_马仔培养宝物!$W$2:$AC$64,5,FALSE)+VLOOKUP(K144,D_马仔培养宝物!$W$2:$AC$64,5,FALSE)+VLOOKUP(L144,D_马仔培养宝物!$W$2:$AC$64,5,FALSE)+VLOOKUP(M144,D_马仔培养宝物!$W$2:$AC$64,5,FALSE)+VLOOKUP(N144,D_马仔培养宝物!$W$2:$AC$64,5,FALSE)+VLOOKUP(O144,D_马仔培养宝物!$W$2:$AC$64,5,FALSE)</f>
        <v>4116</v>
      </c>
      <c r="Q144">
        <f>VLOOKUP(J144,D_马仔培养宝物!$W$2:$AC$64,6,FALSE)+VLOOKUP(K144,D_马仔培养宝物!$W$2:$AC$64,6,FALSE)+VLOOKUP(L144,D_马仔培养宝物!$W$2:$AC$64,6,FALSE)+VLOOKUP(M144,D_马仔培养宝物!$W$2:$AC$64,6,FALSE)+VLOOKUP(N144,D_马仔培养宝物!$W$2:$AC$64,6,FALSE)+VLOOKUP(O144,D_马仔培养宝物!$W$2:$AC$64,6,FALSE)</f>
        <v>146</v>
      </c>
      <c r="R144">
        <f>VLOOKUP(J144,D_马仔培养宝物!$W$2:$AC$64,7,FALSE)+VLOOKUP(K144,D_马仔培养宝物!$W$2:$AC$64,7,FALSE)+VLOOKUP(L144,D_马仔培养宝物!$W$2:$AC$64,7,FALSE)+VLOOKUP(M144,D_马仔培养宝物!$W$2:$AC$64,7,FALSE)+VLOOKUP(N144,D_马仔培养宝物!$W$2:$AC$64,7,FALSE)+VLOOKUP(O144,D_马仔培养宝物!$W$2:$AC$64,7,FALSE)</f>
        <v>44</v>
      </c>
    </row>
    <row r="145" spans="3:18" ht="14.25" thickBot="1">
      <c r="C145" s="22">
        <f t="array" aca="1" ref="C145" ca="1">OFFSET(D_马仔培养宝物!$W$1,SMALL(IF(D_马仔培养宝物!$Z$2:$Z$64=D_马仔培养宝物!$E145,ROW($C$2:$H$64),""),RANDBETWEEN(1,VLOOKUP(D_马仔培养宝物!$E145,D_马仔培养宝物!$T$3:$U$7,2,FALSE)))-1,0)</f>
        <v>92014</v>
      </c>
      <c r="D145" s="22">
        <f t="array" aca="1" ref="D145" ca="1">OFFSET(D_马仔培养宝物!$W$1,SMALL(IF(D_马仔培养宝物!$Z$2:$Z$64=D_马仔培养宝物!$E145,ROW($C$2:$H$64),""),RANDBETWEEN(1,VLOOKUP(D_马仔培养宝物!$E145,D_马仔培养宝物!$T$3:$U$7,2,FALSE)))-1,0)</f>
        <v>92281</v>
      </c>
      <c r="E145" s="22">
        <f t="array" aca="1" ref="E145" ca="1">OFFSET(D_马仔培养宝物!$W$1,SMALL(IF(D_马仔培养宝物!$Z$2:$Z$64=D_马仔培养宝物!$E145,ROW($C$2:$H$64),""),RANDBETWEEN(1,VLOOKUP(D_马仔培养宝物!$E145,D_马仔培养宝物!$T$3:$U$7,2,FALSE)))-1,0)</f>
        <v>92256</v>
      </c>
      <c r="F145" s="22">
        <f t="array" aca="1" ref="F145" ca="1">OFFSET(D_马仔培养宝物!$W$1,SMALL(IF(D_马仔培养宝物!$Z$2:$Z$64=D_马仔培养宝物!$E145,ROW($C$2:$H$64),""),RANDBETWEEN(1,VLOOKUP(D_马仔培养宝物!$E145,D_马仔培养宝物!$T$3:$U$7,2,FALSE)))-1,0)</f>
        <v>92297</v>
      </c>
      <c r="G145" s="22">
        <f t="array" aca="1" ref="G145" ca="1">OFFSET(D_马仔培养宝物!$W$1,SMALL(IF(D_马仔培养宝物!$Z$2:$Z$64=D_马仔培养宝物!$E145,ROW($C$2:$H$64),""),RANDBETWEEN(1,VLOOKUP(D_马仔培养宝物!$E145,D_马仔培养宝物!$T$3:$U$7,2,FALSE)))-1,0)</f>
        <v>92256</v>
      </c>
      <c r="H145" s="22">
        <f t="array" aca="1" ref="H145" ca="1">OFFSET(D_马仔培养宝物!$W$1,SMALL(IF(D_马仔培养宝物!$Z$2:$Z$64=D_马仔培养宝物!$E145,ROW($C$2:$H$64),""),RANDBETWEEN(1,VLOOKUP(D_马仔培养宝物!$E145,D_马仔培养宝物!$T$3:$U$7,2,FALSE)))-1,0)</f>
        <v>92296</v>
      </c>
      <c r="J145" s="22">
        <v>92294</v>
      </c>
      <c r="K145" s="22">
        <v>92297</v>
      </c>
      <c r="L145" s="22">
        <v>92295</v>
      </c>
      <c r="M145" s="22">
        <v>92298</v>
      </c>
      <c r="N145" s="22">
        <v>92293</v>
      </c>
      <c r="O145" s="22">
        <v>92243</v>
      </c>
      <c r="P145">
        <f>VLOOKUP(J145,D_马仔培养宝物!$W$2:$AC$64,5,FALSE)+VLOOKUP(K145,D_马仔培养宝物!$W$2:$AC$64,5,FALSE)+VLOOKUP(L145,D_马仔培养宝物!$W$2:$AC$64,5,FALSE)+VLOOKUP(M145,D_马仔培养宝物!$W$2:$AC$64,5,FALSE)+VLOOKUP(N145,D_马仔培养宝物!$W$2:$AC$64,5,FALSE)+VLOOKUP(O145,D_马仔培养宝物!$W$2:$AC$64,5,FALSE)</f>
        <v>4116</v>
      </c>
      <c r="Q145">
        <f>VLOOKUP(J145,D_马仔培养宝物!$W$2:$AC$64,6,FALSE)+VLOOKUP(K145,D_马仔培养宝物!$W$2:$AC$64,6,FALSE)+VLOOKUP(L145,D_马仔培养宝物!$W$2:$AC$64,6,FALSE)+VLOOKUP(M145,D_马仔培养宝物!$W$2:$AC$64,6,FALSE)+VLOOKUP(N145,D_马仔培养宝物!$W$2:$AC$64,6,FALSE)+VLOOKUP(O145,D_马仔培养宝物!$W$2:$AC$64,6,FALSE)</f>
        <v>105</v>
      </c>
      <c r="R145">
        <f>VLOOKUP(J145,D_马仔培养宝物!$W$2:$AC$64,7,FALSE)+VLOOKUP(K145,D_马仔培养宝物!$W$2:$AC$64,7,FALSE)+VLOOKUP(L145,D_马仔培养宝物!$W$2:$AC$64,7,FALSE)+VLOOKUP(M145,D_马仔培养宝物!$W$2:$AC$64,7,FALSE)+VLOOKUP(N145,D_马仔培养宝物!$W$2:$AC$64,7,FALSE)+VLOOKUP(O145,D_马仔培养宝物!$W$2:$AC$64,7,FALSE)</f>
        <v>92</v>
      </c>
    </row>
    <row r="146" spans="3:18">
      <c r="C146" s="19">
        <f t="array" aca="1" ref="C146" ca="1">OFFSET(D_马仔培养宝物!$W$1,SMALL(IF(D_马仔培养宝物!$Z$2:$Z$64=D_马仔培养宝物!$E146,ROW($C$2:$H$64),""),RANDBETWEEN(1,VLOOKUP(D_马仔培养宝物!$E146,D_马仔培养宝物!$T$3:$U$7,2,FALSE)))-1,0)</f>
        <v>92277</v>
      </c>
      <c r="D146" s="19">
        <f t="array" aca="1" ref="D146" ca="1">OFFSET(D_马仔培养宝物!$W$1,SMALL(IF(D_马仔培养宝物!$Z$2:$Z$64=D_马仔培养宝物!$E146,ROW($C$2:$H$64),""),RANDBETWEEN(1,VLOOKUP(D_马仔培养宝物!$E146,D_马仔培养宝物!$T$3:$U$7,2,FALSE)))-1,0)</f>
        <v>92243</v>
      </c>
      <c r="E146" s="19">
        <f t="array" aca="1" ref="E146" ca="1">OFFSET(D_马仔培养宝物!$W$1,SMALL(IF(D_马仔培养宝物!$Z$2:$Z$64=D_马仔培养宝物!$E146,ROW($C$2:$H$64),""),RANDBETWEEN(1,VLOOKUP(D_马仔培养宝物!$E146,D_马仔培养宝物!$T$3:$U$7,2,FALSE)))-1,0)</f>
        <v>92243</v>
      </c>
      <c r="F146" s="19">
        <f t="array" aca="1" ref="F146" ca="1">OFFSET(D_马仔培养宝物!$W$1,SMALL(IF(D_马仔培养宝物!$Z$2:$Z$64=D_马仔培养宝物!$E146,ROW($C$2:$H$64),""),RANDBETWEEN(1,VLOOKUP(D_马仔培养宝物!$E146,D_马仔培养宝物!$T$3:$U$7,2,FALSE)))-1,0)</f>
        <v>92277</v>
      </c>
      <c r="G146" s="19">
        <f t="array" aca="1" ref="G146" ca="1">OFFSET(D_马仔培养宝物!$W$1,SMALL(IF(D_马仔培养宝物!$Z$2:$Z$64=D_马仔培养宝物!$E146,ROW($C$2:$H$64),""),RANDBETWEEN(1,VLOOKUP(D_马仔培养宝物!$E146,D_马仔培养宝物!$T$3:$U$7,2,FALSE)))-1,0)</f>
        <v>92243</v>
      </c>
      <c r="H146" s="19">
        <f t="array" aca="1" ref="H146" ca="1">OFFSET(D_马仔培养宝物!$W$1,SMALL(IF(D_马仔培养宝物!$Z$2:$Z$64=D_马仔培养宝物!$E146,ROW($C$2:$H$64),""),RANDBETWEEN(1,VLOOKUP(D_马仔培养宝物!$E146,D_马仔培养宝物!$T$3:$U$7,2,FALSE)))-1,0)</f>
        <v>92243</v>
      </c>
      <c r="J146" s="19">
        <v>92014</v>
      </c>
      <c r="K146" s="19">
        <v>92223</v>
      </c>
      <c r="L146" s="19">
        <v>92227</v>
      </c>
      <c r="M146" s="19">
        <v>92122</v>
      </c>
      <c r="N146" s="19">
        <v>92125</v>
      </c>
      <c r="O146" s="19">
        <v>92013</v>
      </c>
      <c r="P146">
        <f>VLOOKUP(J146,D_马仔培养宝物!$W$2:$AC$64,5,FALSE)+VLOOKUP(K146,D_马仔培养宝物!$W$2:$AC$64,5,FALSE)+VLOOKUP(L146,D_马仔培养宝物!$W$2:$AC$64,5,FALSE)+VLOOKUP(M146,D_马仔培养宝物!$W$2:$AC$64,5,FALSE)+VLOOKUP(N146,D_马仔培养宝物!$W$2:$AC$64,5,FALSE)+VLOOKUP(O146,D_马仔培养宝物!$W$2:$AC$64,5,FALSE)</f>
        <v>3292</v>
      </c>
      <c r="Q146">
        <f>VLOOKUP(J146,D_马仔培养宝物!$W$2:$AC$64,6,FALSE)+VLOOKUP(K146,D_马仔培养宝物!$W$2:$AC$64,6,FALSE)+VLOOKUP(L146,D_马仔培养宝物!$W$2:$AC$64,6,FALSE)+VLOOKUP(M146,D_马仔培养宝物!$W$2:$AC$64,6,FALSE)+VLOOKUP(N146,D_马仔培养宝物!$W$2:$AC$64,6,FALSE)+VLOOKUP(O146,D_马仔培养宝物!$W$2:$AC$64,6,FALSE)</f>
        <v>31</v>
      </c>
      <c r="R146">
        <f>VLOOKUP(J146,D_马仔培养宝物!$W$2:$AC$64,7,FALSE)+VLOOKUP(K146,D_马仔培养宝物!$W$2:$AC$64,7,FALSE)+VLOOKUP(L146,D_马仔培养宝物!$W$2:$AC$64,7,FALSE)+VLOOKUP(M146,D_马仔培养宝物!$W$2:$AC$64,7,FALSE)+VLOOKUP(N146,D_马仔培养宝物!$W$2:$AC$64,7,FALSE)+VLOOKUP(O146,D_马仔培养宝物!$W$2:$AC$64,7,FALSE)</f>
        <v>93</v>
      </c>
    </row>
    <row r="147" spans="3:18">
      <c r="C147" s="5">
        <f t="array" aca="1" ref="C147" ca="1">OFFSET(D_马仔培养宝物!$W$1,SMALL(IF(D_马仔培养宝物!$Z$2:$Z$64=D_马仔培养宝物!$E147,ROW($C$2:$H$64),""),RANDBETWEEN(1,VLOOKUP(D_马仔培养宝物!$E147,D_马仔培养宝物!$T$3:$U$7,2,FALSE)))-1,0)</f>
        <v>92277</v>
      </c>
      <c r="D147" s="5">
        <f t="array" aca="1" ref="D147" ca="1">OFFSET(D_马仔培养宝物!$W$1,SMALL(IF(D_马仔培养宝物!$Z$2:$Z$64=D_马仔培养宝物!$E147,ROW($C$2:$H$64),""),RANDBETWEEN(1,VLOOKUP(D_马仔培养宝物!$E147,D_马仔培养宝物!$T$3:$U$7,2,FALSE)))-1,0)</f>
        <v>92243</v>
      </c>
      <c r="E147" s="5">
        <f t="array" aca="1" ref="E147" ca="1">OFFSET(D_马仔培养宝物!$W$1,SMALL(IF(D_马仔培养宝物!$Z$2:$Z$64=D_马仔培养宝物!$E147,ROW($C$2:$H$64),""),RANDBETWEEN(1,VLOOKUP(D_马仔培养宝物!$E147,D_马仔培养宝物!$T$3:$U$7,2,FALSE)))-1,0)</f>
        <v>92244</v>
      </c>
      <c r="F147" s="5">
        <f t="array" aca="1" ref="F147" ca="1">OFFSET(D_马仔培养宝物!$W$1,SMALL(IF(D_马仔培养宝物!$Z$2:$Z$64=D_马仔培养宝物!$E147,ROW($C$2:$H$64),""),RANDBETWEEN(1,VLOOKUP(D_马仔培养宝物!$E147,D_马仔培养宝物!$T$3:$U$7,2,FALSE)))-1,0)</f>
        <v>92228</v>
      </c>
      <c r="G147" s="5">
        <f t="array" aca="1" ref="G147" ca="1">OFFSET(D_马仔培养宝物!$W$1,SMALL(IF(D_马仔培养宝物!$Z$2:$Z$64=D_马仔培养宝物!$E147,ROW($C$2:$H$64),""),RANDBETWEEN(1,VLOOKUP(D_马仔培养宝物!$E147,D_马仔培养宝物!$T$3:$U$7,2,FALSE)))-1,0)</f>
        <v>92277</v>
      </c>
      <c r="H147" s="5">
        <f t="array" aca="1" ref="H147" ca="1">OFFSET(D_马仔培养宝物!$W$1,SMALL(IF(D_马仔培养宝物!$Z$2:$Z$64=D_马仔培养宝物!$E147,ROW($C$2:$H$64),""),RANDBETWEEN(1,VLOOKUP(D_马仔培养宝物!$E147,D_马仔培养宝物!$T$3:$U$7,2,FALSE)))-1,0)</f>
        <v>92011</v>
      </c>
      <c r="J147" s="5">
        <v>92011</v>
      </c>
      <c r="K147" s="5">
        <v>92026</v>
      </c>
      <c r="L147" s="5">
        <v>92124</v>
      </c>
      <c r="M147" s="5">
        <v>92227</v>
      </c>
      <c r="N147" s="5">
        <v>92122</v>
      </c>
      <c r="O147" s="5">
        <v>92223</v>
      </c>
      <c r="P147">
        <f>VLOOKUP(J147,D_马仔培养宝物!$W$2:$AC$64,5,FALSE)+VLOOKUP(K147,D_马仔培养宝物!$W$2:$AC$64,5,FALSE)+VLOOKUP(L147,D_马仔培养宝物!$W$2:$AC$64,5,FALSE)+VLOOKUP(M147,D_马仔培养宝物!$W$2:$AC$64,5,FALSE)+VLOOKUP(N147,D_马仔培养宝物!$W$2:$AC$64,5,FALSE)+VLOOKUP(O147,D_马仔培养宝物!$W$2:$AC$64,5,FALSE)</f>
        <v>1440</v>
      </c>
      <c r="Q147">
        <f>VLOOKUP(J147,D_马仔培养宝物!$W$2:$AC$64,6,FALSE)+VLOOKUP(K147,D_马仔培养宝物!$W$2:$AC$64,6,FALSE)+VLOOKUP(L147,D_马仔培养宝物!$W$2:$AC$64,6,FALSE)+VLOOKUP(M147,D_马仔培养宝物!$W$2:$AC$64,6,FALSE)+VLOOKUP(N147,D_马仔培养宝物!$W$2:$AC$64,6,FALSE)+VLOOKUP(O147,D_马仔培养宝物!$W$2:$AC$64,6,FALSE)</f>
        <v>146</v>
      </c>
      <c r="R147">
        <f>VLOOKUP(J147,D_马仔培养宝物!$W$2:$AC$64,7,FALSE)+VLOOKUP(K147,D_马仔培养宝物!$W$2:$AC$64,7,FALSE)+VLOOKUP(L147,D_马仔培养宝物!$W$2:$AC$64,7,FALSE)+VLOOKUP(M147,D_马仔培养宝物!$W$2:$AC$64,7,FALSE)+VLOOKUP(N147,D_马仔培养宝物!$W$2:$AC$64,7,FALSE)+VLOOKUP(O147,D_马仔培养宝物!$W$2:$AC$64,7,FALSE)</f>
        <v>53</v>
      </c>
    </row>
    <row r="148" spans="3:18">
      <c r="C148" s="5">
        <f t="array" aca="1" ref="C148" ca="1">OFFSET(D_马仔培养宝物!$W$1,SMALL(IF(D_马仔培养宝物!$Z$2:$Z$64=D_马仔培养宝物!$E148,ROW($C$2:$H$64),""),RANDBETWEEN(1,VLOOKUP(D_马仔培养宝物!$E148,D_马仔培养宝物!$T$3:$U$7,2,FALSE)))-1,0)</f>
        <v>92251</v>
      </c>
      <c r="D148" s="5">
        <f t="array" aca="1" ref="D148" ca="1">OFFSET(D_马仔培养宝物!$W$1,SMALL(IF(D_马仔培养宝物!$Z$2:$Z$64=D_马仔培养宝物!$E148,ROW($C$2:$H$64),""),RANDBETWEEN(1,VLOOKUP(D_马仔培养宝物!$E148,D_马仔培养宝物!$T$3:$U$7,2,FALSE)))-1,0)</f>
        <v>92141</v>
      </c>
      <c r="E148" s="5">
        <f t="array" aca="1" ref="E148" ca="1">OFFSET(D_马仔培养宝物!$W$1,SMALL(IF(D_马仔培养宝物!$Z$2:$Z$64=D_马仔培养宝物!$E148,ROW($C$2:$H$64),""),RANDBETWEEN(1,VLOOKUP(D_马仔培养宝物!$E148,D_马仔培养宝物!$T$3:$U$7,2,FALSE)))-1,0)</f>
        <v>92278</v>
      </c>
      <c r="F148" s="5">
        <f t="array" aca="1" ref="F148" ca="1">OFFSET(D_马仔培养宝物!$W$1,SMALL(IF(D_马仔培养宝物!$Z$2:$Z$64=D_马仔培养宝物!$E148,ROW($C$2:$H$64),""),RANDBETWEEN(1,VLOOKUP(D_马仔培养宝物!$E148,D_马仔培养宝物!$T$3:$U$7,2,FALSE)))-1,0)</f>
        <v>92141</v>
      </c>
      <c r="G148" s="5">
        <f t="array" aca="1" ref="G148" ca="1">OFFSET(D_马仔培养宝物!$W$1,SMALL(IF(D_马仔培养宝物!$Z$2:$Z$64=D_马仔培养宝物!$E148,ROW($C$2:$H$64),""),RANDBETWEEN(1,VLOOKUP(D_马仔培养宝物!$E148,D_马仔培养宝物!$T$3:$U$7,2,FALSE)))-1,0)</f>
        <v>92141</v>
      </c>
      <c r="H148" s="5">
        <f t="array" aca="1" ref="H148" ca="1">OFFSET(D_马仔培养宝物!$W$1,SMALL(IF(D_马仔培养宝物!$Z$2:$Z$64=D_马仔培养宝物!$E148,ROW($C$2:$H$64),""),RANDBETWEEN(1,VLOOKUP(D_马仔培养宝物!$E148,D_马仔培养宝物!$T$3:$U$7,2,FALSE)))-1,0)</f>
        <v>92264</v>
      </c>
      <c r="J148" s="5">
        <v>92232</v>
      </c>
      <c r="K148" s="5">
        <v>92131</v>
      </c>
      <c r="L148" s="5">
        <v>92286</v>
      </c>
      <c r="M148" s="5">
        <v>92273</v>
      </c>
      <c r="N148" s="5">
        <v>92236</v>
      </c>
      <c r="O148" s="5">
        <v>92233</v>
      </c>
      <c r="P148">
        <f>VLOOKUP(J148,D_马仔培养宝物!$W$2:$AC$64,5,FALSE)+VLOOKUP(K148,D_马仔培养宝物!$W$2:$AC$64,5,FALSE)+VLOOKUP(L148,D_马仔培养宝物!$W$2:$AC$64,5,FALSE)+VLOOKUP(M148,D_马仔培养宝物!$W$2:$AC$64,5,FALSE)+VLOOKUP(N148,D_马仔培养宝物!$W$2:$AC$64,5,FALSE)+VLOOKUP(O148,D_马仔培养宝物!$W$2:$AC$64,5,FALSE)</f>
        <v>1029</v>
      </c>
      <c r="Q148">
        <f>VLOOKUP(J148,D_马仔培养宝物!$W$2:$AC$64,6,FALSE)+VLOOKUP(K148,D_马仔培养宝物!$W$2:$AC$64,6,FALSE)+VLOOKUP(L148,D_马仔培养宝物!$W$2:$AC$64,6,FALSE)+VLOOKUP(M148,D_马仔培养宝物!$W$2:$AC$64,6,FALSE)+VLOOKUP(N148,D_马仔培养宝物!$W$2:$AC$64,6,FALSE)+VLOOKUP(O148,D_马仔培养宝物!$W$2:$AC$64,6,FALSE)</f>
        <v>125</v>
      </c>
      <c r="R148">
        <f>VLOOKUP(J148,D_马仔培养宝物!$W$2:$AC$64,7,FALSE)+VLOOKUP(K148,D_马仔培养宝物!$W$2:$AC$64,7,FALSE)+VLOOKUP(L148,D_马仔培养宝物!$W$2:$AC$64,7,FALSE)+VLOOKUP(M148,D_马仔培养宝物!$W$2:$AC$64,7,FALSE)+VLOOKUP(N148,D_马仔培养宝物!$W$2:$AC$64,7,FALSE)+VLOOKUP(O148,D_马仔培养宝物!$W$2:$AC$64,7,FALSE)</f>
        <v>40</v>
      </c>
    </row>
    <row r="149" spans="3:18">
      <c r="C149" s="5">
        <f t="array" aca="1" ref="C149" ca="1">OFFSET(D_马仔培养宝物!$W$1,SMALL(IF(D_马仔培养宝物!$Z$2:$Z$64=D_马仔培养宝物!$E149,ROW($C$2:$H$64),""),RANDBETWEEN(1,VLOOKUP(D_马仔培养宝物!$E149,D_马仔培养宝物!$T$3:$U$7,2,FALSE)))-1,0)</f>
        <v>92271</v>
      </c>
      <c r="D149" s="5">
        <f t="array" aca="1" ref="D149" ca="1">OFFSET(D_马仔培养宝物!$W$1,SMALL(IF(D_马仔培养宝物!$Z$2:$Z$64=D_马仔培养宝物!$E149,ROW($C$2:$H$64),""),RANDBETWEEN(1,VLOOKUP(D_马仔培养宝物!$E149,D_马仔培养宝物!$T$3:$U$7,2,FALSE)))-1,0)</f>
        <v>92287</v>
      </c>
      <c r="E149" s="5">
        <f t="array" aca="1" ref="E149" ca="1">OFFSET(D_马仔培养宝物!$W$1,SMALL(IF(D_马仔培养宝物!$Z$2:$Z$64=D_马仔培养宝物!$E149,ROW($C$2:$H$64),""),RANDBETWEEN(1,VLOOKUP(D_马仔培养宝物!$E149,D_马仔培养宝物!$T$3:$U$7,2,FALSE)))-1,0)</f>
        <v>92278</v>
      </c>
      <c r="F149" s="5">
        <f t="array" aca="1" ref="F149" ca="1">OFFSET(D_马仔培养宝物!$W$1,SMALL(IF(D_马仔培养宝物!$Z$2:$Z$64=D_马仔培养宝物!$E149,ROW($C$2:$H$64),""),RANDBETWEEN(1,VLOOKUP(D_马仔培养宝物!$E149,D_马仔培养宝物!$T$3:$U$7,2,FALSE)))-1,0)</f>
        <v>92122</v>
      </c>
      <c r="G149" s="5">
        <f t="array" aca="1" ref="G149" ca="1">OFFSET(D_马仔培养宝物!$W$1,SMALL(IF(D_马仔培养宝物!$Z$2:$Z$64=D_马仔培养宝物!$E149,ROW($C$2:$H$64),""),RANDBETWEEN(1,VLOOKUP(D_马仔培养宝物!$E149,D_马仔培养宝物!$T$3:$U$7,2,FALSE)))-1,0)</f>
        <v>92245</v>
      </c>
      <c r="H149" s="5">
        <f t="array" aca="1" ref="H149" ca="1">OFFSET(D_马仔培养宝物!$W$1,SMALL(IF(D_马仔培养宝物!$Z$2:$Z$64=D_马仔培养宝物!$E149,ROW($C$2:$H$64),""),RANDBETWEEN(1,VLOOKUP(D_马仔培养宝物!$E149,D_马仔培养宝物!$T$3:$U$7,2,FALSE)))-1,0)</f>
        <v>92271</v>
      </c>
      <c r="J149" s="5">
        <v>92235</v>
      </c>
      <c r="K149" s="5">
        <v>92121</v>
      </c>
      <c r="L149" s="5">
        <v>92287</v>
      </c>
      <c r="M149" s="5">
        <v>92233</v>
      </c>
      <c r="N149" s="5">
        <v>92236</v>
      </c>
      <c r="O149" s="5">
        <v>92286</v>
      </c>
      <c r="P149">
        <f>VLOOKUP(J149,D_马仔培养宝物!$W$2:$AC$64,5,FALSE)+VLOOKUP(K149,D_马仔培养宝物!$W$2:$AC$64,5,FALSE)+VLOOKUP(L149,D_马仔培养宝物!$W$2:$AC$64,5,FALSE)+VLOOKUP(M149,D_马仔培养宝物!$W$2:$AC$64,5,FALSE)+VLOOKUP(N149,D_马仔培养宝物!$W$2:$AC$64,5,FALSE)+VLOOKUP(O149,D_马仔培养宝物!$W$2:$AC$64,5,FALSE)</f>
        <v>1234</v>
      </c>
      <c r="Q149">
        <f>VLOOKUP(J149,D_马仔培养宝物!$W$2:$AC$64,6,FALSE)+VLOOKUP(K149,D_马仔培养宝物!$W$2:$AC$64,6,FALSE)+VLOOKUP(L149,D_马仔培养宝物!$W$2:$AC$64,6,FALSE)+VLOOKUP(M149,D_马仔培养宝物!$W$2:$AC$64,6,FALSE)+VLOOKUP(N149,D_马仔培养宝物!$W$2:$AC$64,6,FALSE)+VLOOKUP(O149,D_马仔培养宝物!$W$2:$AC$64,6,FALSE)</f>
        <v>83</v>
      </c>
      <c r="R149">
        <f>VLOOKUP(J149,D_马仔培养宝物!$W$2:$AC$64,7,FALSE)+VLOOKUP(K149,D_马仔培养宝物!$W$2:$AC$64,7,FALSE)+VLOOKUP(L149,D_马仔培养宝物!$W$2:$AC$64,7,FALSE)+VLOOKUP(M149,D_马仔培养宝物!$W$2:$AC$64,7,FALSE)+VLOOKUP(N149,D_马仔培养宝物!$W$2:$AC$64,7,FALSE)+VLOOKUP(O149,D_马仔培养宝物!$W$2:$AC$64,7,FALSE)</f>
        <v>62</v>
      </c>
    </row>
    <row r="150" spans="3:18">
      <c r="C150" s="5">
        <f t="array" aca="1" ref="C150" ca="1">OFFSET(D_马仔培养宝物!$W$1,SMALL(IF(D_马仔培养宝物!$Z$2:$Z$64=D_马仔培养宝物!$E150,ROW($C$2:$H$64),""),RANDBETWEEN(1,VLOOKUP(D_马仔培养宝物!$E150,D_马仔培养宝物!$T$3:$U$7,2,FALSE)))-1,0)</f>
        <v>92288</v>
      </c>
      <c r="D150" s="5">
        <f t="array" aca="1" ref="D150" ca="1">OFFSET(D_马仔培养宝物!$W$1,SMALL(IF(D_马仔培养宝物!$Z$2:$Z$64=D_马仔培养宝物!$E150,ROW($C$2:$H$64),""),RANDBETWEEN(1,VLOOKUP(D_马仔培养宝物!$E150,D_马仔培养宝物!$T$3:$U$7,2,FALSE)))-1,0)</f>
        <v>92252</v>
      </c>
      <c r="E150" s="5">
        <f t="array" aca="1" ref="E150" ca="1">OFFSET(D_马仔培养宝物!$W$1,SMALL(IF(D_马仔培养宝物!$Z$2:$Z$64=D_马仔培养宝物!$E150,ROW($C$2:$H$64),""),RANDBETWEEN(1,VLOOKUP(D_马仔培养宝物!$E150,D_马仔培养宝物!$T$3:$U$7,2,FALSE)))-1,0)</f>
        <v>92273</v>
      </c>
      <c r="F150" s="5">
        <f t="array" aca="1" ref="F150" ca="1">OFFSET(D_马仔培养宝物!$W$1,SMALL(IF(D_马仔培养宝物!$Z$2:$Z$64=D_马仔培养宝物!$E150,ROW($C$2:$H$64),""),RANDBETWEEN(1,VLOOKUP(D_马仔培养宝物!$E150,D_马仔培养宝物!$T$3:$U$7,2,FALSE)))-1,0)</f>
        <v>92279</v>
      </c>
      <c r="G150" s="5">
        <f t="array" aca="1" ref="G150" ca="1">OFFSET(D_马仔培养宝物!$W$1,SMALL(IF(D_马仔培养宝物!$Z$2:$Z$64=D_马仔培养宝物!$E150,ROW($C$2:$H$64),""),RANDBETWEEN(1,VLOOKUP(D_马仔培养宝物!$E150,D_马仔培养宝物!$T$3:$U$7,2,FALSE)))-1,0)</f>
        <v>92272</v>
      </c>
      <c r="H150" s="5">
        <f t="array" aca="1" ref="H150" ca="1">OFFSET(D_马仔培养宝物!$W$1,SMALL(IF(D_马仔培养宝物!$Z$2:$Z$64=D_马仔培养宝物!$E150,ROW($C$2:$H$64),""),RANDBETWEEN(1,VLOOKUP(D_马仔培养宝物!$E150,D_马仔培养宝物!$T$3:$U$7,2,FALSE)))-1,0)</f>
        <v>92284</v>
      </c>
      <c r="J150" s="5">
        <v>92285</v>
      </c>
      <c r="K150" s="5">
        <v>92141</v>
      </c>
      <c r="L150" s="5">
        <v>92134</v>
      </c>
      <c r="M150" s="5">
        <v>92283</v>
      </c>
      <c r="N150" s="5">
        <v>92284</v>
      </c>
      <c r="O150" s="5">
        <v>92142</v>
      </c>
      <c r="P150">
        <f>VLOOKUP(J150,D_马仔培养宝物!$W$2:$AC$64,5,FALSE)+VLOOKUP(K150,D_马仔培养宝物!$W$2:$AC$64,5,FALSE)+VLOOKUP(L150,D_马仔培养宝物!$W$2:$AC$64,5,FALSE)+VLOOKUP(M150,D_马仔培养宝物!$W$2:$AC$64,5,FALSE)+VLOOKUP(N150,D_马仔培养宝物!$W$2:$AC$64,5,FALSE)+VLOOKUP(O150,D_马仔培养宝物!$W$2:$AC$64,5,FALSE)</f>
        <v>1029</v>
      </c>
      <c r="Q150">
        <f>VLOOKUP(J150,D_马仔培养宝物!$W$2:$AC$64,6,FALSE)+VLOOKUP(K150,D_马仔培养宝物!$W$2:$AC$64,6,FALSE)+VLOOKUP(L150,D_马仔培养宝物!$W$2:$AC$64,6,FALSE)+VLOOKUP(M150,D_马仔培养宝物!$W$2:$AC$64,6,FALSE)+VLOOKUP(N150,D_马仔培养宝物!$W$2:$AC$64,6,FALSE)+VLOOKUP(O150,D_马仔培养宝物!$W$2:$AC$64,6,FALSE)</f>
        <v>198</v>
      </c>
      <c r="R150">
        <f>VLOOKUP(J150,D_马仔培养宝物!$W$2:$AC$64,7,FALSE)+VLOOKUP(K150,D_马仔培养宝物!$W$2:$AC$64,7,FALSE)+VLOOKUP(L150,D_马仔培养宝物!$W$2:$AC$64,7,FALSE)+VLOOKUP(M150,D_马仔培养宝物!$W$2:$AC$64,7,FALSE)+VLOOKUP(N150,D_马仔培养宝物!$W$2:$AC$64,7,FALSE)+VLOOKUP(O150,D_马仔培养宝物!$W$2:$AC$64,7,FALSE)</f>
        <v>26</v>
      </c>
    </row>
    <row r="151" spans="3:18">
      <c r="C151" s="5">
        <f t="array" aca="1" ref="C151" ca="1">OFFSET(D_马仔培养宝物!$W$1,SMALL(IF(D_马仔培养宝物!$Z$2:$Z$64=D_马仔培养宝物!$E151,ROW($C$2:$H$64),""),RANDBETWEEN(1,VLOOKUP(D_马仔培养宝物!$E151,D_马仔培养宝物!$T$3:$U$7,2,FALSE)))-1,0)</f>
        <v>92288</v>
      </c>
      <c r="D151" s="5">
        <f t="array" aca="1" ref="D151" ca="1">OFFSET(D_马仔培养宝物!$W$1,SMALL(IF(D_马仔培养宝物!$Z$2:$Z$64=D_马仔培养宝物!$E151,ROW($C$2:$H$64),""),RANDBETWEEN(1,VLOOKUP(D_马仔培养宝物!$E151,D_马仔培养宝物!$T$3:$U$7,2,FALSE)))-1,0)</f>
        <v>92273</v>
      </c>
      <c r="E151" s="5">
        <f t="array" aca="1" ref="E151" ca="1">OFFSET(D_马仔培养宝物!$W$1,SMALL(IF(D_马仔培养宝物!$Z$2:$Z$64=D_马仔培养宝物!$E151,ROW($C$2:$H$64),""),RANDBETWEEN(1,VLOOKUP(D_马仔培养宝物!$E151,D_马仔培养宝物!$T$3:$U$7,2,FALSE)))-1,0)</f>
        <v>92012</v>
      </c>
      <c r="F151" s="5">
        <f t="array" aca="1" ref="F151" ca="1">OFFSET(D_马仔培养宝物!$W$1,SMALL(IF(D_马仔培养宝物!$Z$2:$Z$64=D_马仔培养宝物!$E151,ROW($C$2:$H$64),""),RANDBETWEEN(1,VLOOKUP(D_马仔培养宝物!$E151,D_马仔培养宝物!$T$3:$U$7,2,FALSE)))-1,0)</f>
        <v>92272</v>
      </c>
      <c r="G151" s="5">
        <f t="array" aca="1" ref="G151" ca="1">OFFSET(D_马仔培养宝物!$W$1,SMALL(IF(D_马仔培养宝物!$Z$2:$Z$64=D_马仔培养宝物!$E151,ROW($C$2:$H$64),""),RANDBETWEEN(1,VLOOKUP(D_马仔培养宝物!$E151,D_马仔培养宝物!$T$3:$U$7,2,FALSE)))-1,0)</f>
        <v>92142</v>
      </c>
      <c r="H151" s="5">
        <f t="array" aca="1" ref="H151" ca="1">OFFSET(D_马仔培养宝物!$W$1,SMALL(IF(D_马仔培养宝物!$Z$2:$Z$64=D_马仔培养宝物!$E151,ROW($C$2:$H$64),""),RANDBETWEEN(1,VLOOKUP(D_马仔培养宝物!$E151,D_马仔培养宝物!$T$3:$U$7,2,FALSE)))-1,0)</f>
        <v>92273</v>
      </c>
      <c r="J151" s="5">
        <v>92283</v>
      </c>
      <c r="K151" s="5">
        <v>92142</v>
      </c>
      <c r="L151" s="5">
        <v>92284</v>
      </c>
      <c r="M151" s="5">
        <v>92282</v>
      </c>
      <c r="N151" s="5">
        <v>92285</v>
      </c>
      <c r="O151" s="5">
        <v>92141</v>
      </c>
      <c r="P151">
        <f>VLOOKUP(J151,D_马仔培养宝物!$W$2:$AC$64,5,FALSE)+VLOOKUP(K151,D_马仔培养宝物!$W$2:$AC$64,5,FALSE)+VLOOKUP(L151,D_马仔培养宝物!$W$2:$AC$64,5,FALSE)+VLOOKUP(M151,D_马仔培养宝物!$W$2:$AC$64,5,FALSE)+VLOOKUP(N151,D_马仔培养宝物!$W$2:$AC$64,5,FALSE)+VLOOKUP(O151,D_马仔培养宝物!$W$2:$AC$64,5,FALSE)</f>
        <v>1029</v>
      </c>
      <c r="Q151">
        <f>VLOOKUP(J151,D_马仔培养宝物!$W$2:$AC$64,6,FALSE)+VLOOKUP(K151,D_马仔培养宝物!$W$2:$AC$64,6,FALSE)+VLOOKUP(L151,D_马仔培养宝物!$W$2:$AC$64,6,FALSE)+VLOOKUP(M151,D_马仔培养宝物!$W$2:$AC$64,6,FALSE)+VLOOKUP(N151,D_马仔培养宝物!$W$2:$AC$64,6,FALSE)+VLOOKUP(O151,D_马仔培养宝物!$W$2:$AC$64,6,FALSE)</f>
        <v>230</v>
      </c>
      <c r="R151">
        <f>VLOOKUP(J151,D_马仔培养宝物!$W$2:$AC$64,7,FALSE)+VLOOKUP(K151,D_马仔培养宝物!$W$2:$AC$64,7,FALSE)+VLOOKUP(L151,D_马仔培养宝物!$W$2:$AC$64,7,FALSE)+VLOOKUP(M151,D_马仔培养宝物!$W$2:$AC$64,7,FALSE)+VLOOKUP(N151,D_马仔培养宝物!$W$2:$AC$64,7,FALSE)+VLOOKUP(O151,D_马仔培养宝物!$W$2:$AC$64,7,FALSE)</f>
        <v>26</v>
      </c>
    </row>
    <row r="152" spans="3:18">
      <c r="C152" s="5">
        <f t="array" aca="1" ref="C152" ca="1">OFFSET(D_马仔培养宝物!$W$1,SMALL(IF(D_马仔培养宝物!$Z$2:$Z$64=D_马仔培养宝物!$E152,ROW($C$2:$H$64),""),RANDBETWEEN(1,VLOOKUP(D_马仔培养宝物!$E152,D_马仔培养宝物!$T$3:$U$7,2,FALSE)))-1,0)</f>
        <v>92227</v>
      </c>
      <c r="D152" s="5">
        <f t="array" aca="1" ref="D152" ca="1">OFFSET(D_马仔培养宝物!$W$1,SMALL(IF(D_马仔培养宝物!$Z$2:$Z$64=D_马仔培养宝物!$E152,ROW($C$2:$H$64),""),RANDBETWEEN(1,VLOOKUP(D_马仔培养宝物!$E152,D_马仔培养宝物!$T$3:$U$7,2,FALSE)))-1,0)</f>
        <v>92236</v>
      </c>
      <c r="E152" s="5">
        <f t="array" aca="1" ref="E152" ca="1">OFFSET(D_马仔培养宝物!$W$1,SMALL(IF(D_马仔培养宝物!$Z$2:$Z$64=D_马仔培养宝物!$E152,ROW($C$2:$H$64),""),RANDBETWEEN(1,VLOOKUP(D_马仔培养宝物!$E152,D_马仔培养宝物!$T$3:$U$7,2,FALSE)))-1,0)</f>
        <v>92285</v>
      </c>
      <c r="F152" s="5">
        <f t="array" aca="1" ref="F152" ca="1">OFFSET(D_马仔培养宝物!$W$1,SMALL(IF(D_马仔培养宝物!$Z$2:$Z$64=D_马仔培养宝物!$E152,ROW($C$2:$H$64),""),RANDBETWEEN(1,VLOOKUP(D_马仔培养宝物!$E152,D_马仔培养宝物!$T$3:$U$7,2,FALSE)))-1,0)</f>
        <v>92134</v>
      </c>
      <c r="G152" s="5">
        <f t="array" aca="1" ref="G152" ca="1">OFFSET(D_马仔培养宝物!$W$1,SMALL(IF(D_马仔培养宝物!$Z$2:$Z$64=D_马仔培养宝物!$E152,ROW($C$2:$H$64),""),RANDBETWEEN(1,VLOOKUP(D_马仔培养宝物!$E152,D_马仔培养宝物!$T$3:$U$7,2,FALSE)))-1,0)</f>
        <v>92289</v>
      </c>
      <c r="H152" s="5">
        <f t="array" aca="1" ref="H152" ca="1">OFFSET(D_马仔培养宝物!$W$1,SMALL(IF(D_马仔培养宝物!$Z$2:$Z$64=D_马仔培养宝物!$E152,ROW($C$2:$H$64),""),RANDBETWEEN(1,VLOOKUP(D_马仔培养宝物!$E152,D_马仔培养宝物!$T$3:$U$7,2,FALSE)))-1,0)</f>
        <v>92280</v>
      </c>
      <c r="J152" s="5">
        <v>92276</v>
      </c>
      <c r="K152" s="5">
        <v>92280</v>
      </c>
      <c r="L152" s="5">
        <v>92263</v>
      </c>
      <c r="M152" s="5">
        <v>92278</v>
      </c>
      <c r="N152" s="5">
        <v>92261</v>
      </c>
      <c r="O152" s="5">
        <v>92279</v>
      </c>
      <c r="P152">
        <f>VLOOKUP(J152,D_马仔培养宝物!$W$2:$AC$64,5,FALSE)+VLOOKUP(K152,D_马仔培养宝物!$W$2:$AC$64,5,FALSE)+VLOOKUP(L152,D_马仔培养宝物!$W$2:$AC$64,5,FALSE)+VLOOKUP(M152,D_马仔培养宝物!$W$2:$AC$64,5,FALSE)+VLOOKUP(N152,D_马仔培养宝物!$W$2:$AC$64,5,FALSE)+VLOOKUP(O152,D_马仔培养宝物!$W$2:$AC$64,5,FALSE)</f>
        <v>3498</v>
      </c>
      <c r="Q152">
        <f>VLOOKUP(J152,D_马仔培养宝物!$W$2:$AC$64,6,FALSE)+VLOOKUP(K152,D_马仔培养宝物!$W$2:$AC$64,6,FALSE)+VLOOKUP(L152,D_马仔培养宝物!$W$2:$AC$64,6,FALSE)+VLOOKUP(M152,D_马仔培养宝物!$W$2:$AC$64,6,FALSE)+VLOOKUP(N152,D_马仔培养宝物!$W$2:$AC$64,6,FALSE)+VLOOKUP(O152,D_马仔培养宝物!$W$2:$AC$64,6,FALSE)</f>
        <v>41</v>
      </c>
      <c r="R152">
        <f>VLOOKUP(J152,D_马仔培养宝物!$W$2:$AC$64,7,FALSE)+VLOOKUP(K152,D_马仔培养宝物!$W$2:$AC$64,7,FALSE)+VLOOKUP(L152,D_马仔培养宝物!$W$2:$AC$64,7,FALSE)+VLOOKUP(M152,D_马仔培养宝物!$W$2:$AC$64,7,FALSE)+VLOOKUP(N152,D_马仔培养宝物!$W$2:$AC$64,7,FALSE)+VLOOKUP(O152,D_马仔培养宝物!$W$2:$AC$64,7,FALSE)</f>
        <v>62</v>
      </c>
    </row>
    <row r="153" spans="3:18">
      <c r="C153" s="5">
        <f t="array" aca="1" ref="C153" ca="1">OFFSET(D_马仔培养宝物!$W$1,SMALL(IF(D_马仔培养宝物!$Z$2:$Z$64=D_马仔培养宝物!$E153,ROW($C$2:$H$64),""),RANDBETWEEN(1,VLOOKUP(D_马仔培养宝物!$E153,D_马仔培养宝物!$T$3:$U$7,2,FALSE)))-1,0)</f>
        <v>92236</v>
      </c>
      <c r="D153" s="5">
        <f t="array" aca="1" ref="D153" ca="1">OFFSET(D_马仔培养宝物!$W$1,SMALL(IF(D_马仔培养宝物!$Z$2:$Z$64=D_马仔培养宝物!$E153,ROW($C$2:$H$64),""),RANDBETWEEN(1,VLOOKUP(D_马仔培养宝物!$E153,D_马仔培养宝物!$T$3:$U$7,2,FALSE)))-1,0)</f>
        <v>92280</v>
      </c>
      <c r="E153" s="5">
        <f t="array" aca="1" ref="E153" ca="1">OFFSET(D_马仔培养宝物!$W$1,SMALL(IF(D_马仔培养宝物!$Z$2:$Z$64=D_马仔培养宝物!$E153,ROW($C$2:$H$64),""),RANDBETWEEN(1,VLOOKUP(D_马仔培养宝物!$E153,D_马仔培养宝物!$T$3:$U$7,2,FALSE)))-1,0)</f>
        <v>92125</v>
      </c>
      <c r="F153" s="5">
        <f t="array" aca="1" ref="F153" ca="1">OFFSET(D_马仔培养宝物!$W$1,SMALL(IF(D_马仔培养宝物!$Z$2:$Z$64=D_马仔培养宝物!$E153,ROW($C$2:$H$64),""),RANDBETWEEN(1,VLOOKUP(D_马仔培养宝物!$E153,D_马仔培养宝物!$T$3:$U$7,2,FALSE)))-1,0)</f>
        <v>92013</v>
      </c>
      <c r="G153" s="5">
        <f t="array" aca="1" ref="G153" ca="1">OFFSET(D_马仔培养宝物!$W$1,SMALL(IF(D_马仔培养宝物!$Z$2:$Z$64=D_马仔培养宝物!$E153,ROW($C$2:$H$64),""),RANDBETWEEN(1,VLOOKUP(D_马仔培养宝物!$E153,D_马仔培养宝物!$T$3:$U$7,2,FALSE)))-1,0)</f>
        <v>92280</v>
      </c>
      <c r="H153" s="5">
        <f t="array" aca="1" ref="H153" ca="1">OFFSET(D_马仔培养宝物!$W$1,SMALL(IF(D_马仔培养宝物!$Z$2:$Z$64=D_马仔培养宝物!$E153,ROW($C$2:$H$64),""),RANDBETWEEN(1,VLOOKUP(D_马仔培养宝物!$E153,D_马仔培养宝物!$T$3:$U$7,2,FALSE)))-1,0)</f>
        <v>92285</v>
      </c>
      <c r="J153" s="5">
        <v>92274</v>
      </c>
      <c r="K153" s="5">
        <v>92279</v>
      </c>
      <c r="L153" s="5">
        <v>92281</v>
      </c>
      <c r="M153" s="5">
        <v>92278</v>
      </c>
      <c r="N153" s="5">
        <v>92277</v>
      </c>
      <c r="O153" s="5">
        <v>92261</v>
      </c>
      <c r="P153">
        <f>VLOOKUP(J153,D_马仔培养宝物!$W$2:$AC$64,5,FALSE)+VLOOKUP(K153,D_马仔培养宝物!$W$2:$AC$64,5,FALSE)+VLOOKUP(L153,D_马仔培养宝物!$W$2:$AC$64,5,FALSE)+VLOOKUP(M153,D_马仔培养宝物!$W$2:$AC$64,5,FALSE)+VLOOKUP(N153,D_马仔培养宝物!$W$2:$AC$64,5,FALSE)+VLOOKUP(O153,D_马仔培养宝物!$W$2:$AC$64,5,FALSE)</f>
        <v>0</v>
      </c>
      <c r="Q153">
        <f>VLOOKUP(J153,D_马仔培养宝物!$W$2:$AC$64,6,FALSE)+VLOOKUP(K153,D_马仔培养宝物!$W$2:$AC$64,6,FALSE)+VLOOKUP(L153,D_马仔培养宝物!$W$2:$AC$64,6,FALSE)+VLOOKUP(M153,D_马仔培养宝物!$W$2:$AC$64,6,FALSE)+VLOOKUP(N153,D_马仔培养宝物!$W$2:$AC$64,6,FALSE)+VLOOKUP(O153,D_马仔培养宝物!$W$2:$AC$64,6,FALSE)</f>
        <v>125</v>
      </c>
      <c r="R153">
        <f>VLOOKUP(J153,D_马仔培养宝物!$W$2:$AC$64,7,FALSE)+VLOOKUP(K153,D_马仔培养宝物!$W$2:$AC$64,7,FALSE)+VLOOKUP(L153,D_马仔培养宝物!$W$2:$AC$64,7,FALSE)+VLOOKUP(M153,D_马仔培养宝物!$W$2:$AC$64,7,FALSE)+VLOOKUP(N153,D_马仔培养宝物!$W$2:$AC$64,7,FALSE)+VLOOKUP(O153,D_马仔培养宝物!$W$2:$AC$64,7,FALSE)</f>
        <v>97</v>
      </c>
    </row>
    <row r="154" spans="3:18">
      <c r="C154" s="5">
        <f t="array" aca="1" ref="C154" ca="1">OFFSET(D_马仔培养宝物!$W$1,SMALL(IF(D_马仔培养宝物!$Z$2:$Z$64=D_马仔培养宝物!$E154,ROW($C$2:$H$64),""),RANDBETWEEN(1,VLOOKUP(D_马仔培养宝物!$E154,D_马仔培养宝物!$T$3:$U$7,2,FALSE)))-1,0)</f>
        <v>92240</v>
      </c>
      <c r="D154" s="5">
        <f t="array" aca="1" ref="D154" ca="1">OFFSET(D_马仔培养宝物!$W$1,SMALL(IF(D_马仔培养宝物!$Z$2:$Z$64=D_马仔培养宝物!$E154,ROW($C$2:$H$64),""),RANDBETWEEN(1,VLOOKUP(D_马仔培养宝物!$E154,D_马仔培养宝物!$T$3:$U$7,2,FALSE)))-1,0)</f>
        <v>92281</v>
      </c>
      <c r="E154" s="5">
        <f t="array" aca="1" ref="E154" ca="1">OFFSET(D_马仔培养宝物!$W$1,SMALL(IF(D_马仔培养宝物!$Z$2:$Z$64=D_马仔培养宝物!$E154,ROW($C$2:$H$64),""),RANDBETWEEN(1,VLOOKUP(D_马仔培养宝物!$E154,D_马仔培养宝物!$T$3:$U$7,2,FALSE)))-1,0)</f>
        <v>92286</v>
      </c>
      <c r="F154" s="5">
        <f t="array" aca="1" ref="F154" ca="1">OFFSET(D_马仔培养宝物!$W$1,SMALL(IF(D_马仔培养宝物!$Z$2:$Z$64=D_马仔培养宝物!$E154,ROW($C$2:$H$64),""),RANDBETWEEN(1,VLOOKUP(D_马仔培养宝物!$E154,D_马仔培养宝物!$T$3:$U$7,2,FALSE)))-1,0)</f>
        <v>92276</v>
      </c>
      <c r="G154" s="5">
        <f t="array" aca="1" ref="G154" ca="1">OFFSET(D_马仔培养宝物!$W$1,SMALL(IF(D_马仔培养宝物!$Z$2:$Z$64=D_马仔培养宝物!$E154,ROW($C$2:$H$64),""),RANDBETWEEN(1,VLOOKUP(D_马仔培养宝物!$E154,D_马仔培养宝物!$T$3:$U$7,2,FALSE)))-1,0)</f>
        <v>92240</v>
      </c>
      <c r="H154" s="5">
        <f t="array" aca="1" ref="H154" ca="1">OFFSET(D_马仔培养宝物!$W$1,SMALL(IF(D_马仔培养宝物!$Z$2:$Z$64=D_马仔培养宝物!$E154,ROW($C$2:$H$64),""),RANDBETWEEN(1,VLOOKUP(D_马仔培养宝物!$E154,D_马仔培养宝物!$T$3:$U$7,2,FALSE)))-1,0)</f>
        <v>92292</v>
      </c>
      <c r="J154" s="5">
        <v>92293</v>
      </c>
      <c r="K154" s="5">
        <v>92252</v>
      </c>
      <c r="L154" s="5">
        <v>92297</v>
      </c>
      <c r="M154" s="5">
        <v>92299</v>
      </c>
      <c r="N154" s="5">
        <v>92251</v>
      </c>
      <c r="O154" s="5">
        <v>92240</v>
      </c>
      <c r="P154">
        <f>VLOOKUP(J154,D_马仔培养宝物!$W$2:$AC$64,5,FALSE)+VLOOKUP(K154,D_马仔培养宝物!$W$2:$AC$64,5,FALSE)+VLOOKUP(L154,D_马仔培养宝物!$W$2:$AC$64,5,FALSE)+VLOOKUP(M154,D_马仔培养宝物!$W$2:$AC$64,5,FALSE)+VLOOKUP(N154,D_马仔培养宝物!$W$2:$AC$64,5,FALSE)+VLOOKUP(O154,D_马仔培养宝物!$W$2:$AC$64,5,FALSE)</f>
        <v>2058</v>
      </c>
      <c r="Q154">
        <f>VLOOKUP(J154,D_马仔培养宝物!$W$2:$AC$64,6,FALSE)+VLOOKUP(K154,D_马仔培养宝物!$W$2:$AC$64,6,FALSE)+VLOOKUP(L154,D_马仔培养宝物!$W$2:$AC$64,6,FALSE)+VLOOKUP(M154,D_马仔培养宝物!$W$2:$AC$64,6,FALSE)+VLOOKUP(N154,D_马仔培养宝物!$W$2:$AC$64,6,FALSE)+VLOOKUP(O154,D_马仔培养宝物!$W$2:$AC$64,6,FALSE)</f>
        <v>188</v>
      </c>
      <c r="R154">
        <f>VLOOKUP(J154,D_马仔培养宝物!$W$2:$AC$64,7,FALSE)+VLOOKUP(K154,D_马仔培养宝物!$W$2:$AC$64,7,FALSE)+VLOOKUP(L154,D_马仔培养宝物!$W$2:$AC$64,7,FALSE)+VLOOKUP(M154,D_马仔培养宝物!$W$2:$AC$64,7,FALSE)+VLOOKUP(N154,D_马仔培养宝物!$W$2:$AC$64,7,FALSE)+VLOOKUP(O154,D_马仔培养宝物!$W$2:$AC$64,7,FALSE)</f>
        <v>84</v>
      </c>
    </row>
    <row r="155" spans="3:18">
      <c r="C155" s="5">
        <f t="array" aca="1" ref="C155" ca="1">OFFSET(D_马仔培养宝物!$W$1,SMALL(IF(D_马仔培养宝物!$Z$2:$Z$64=D_马仔培养宝物!$E155,ROW($C$2:$H$64),""),RANDBETWEEN(1,VLOOKUP(D_马仔培养宝物!$E155,D_马仔培养宝物!$T$3:$U$7,2,FALSE)))-1,0)</f>
        <v>92240</v>
      </c>
      <c r="D155" s="5">
        <f t="array" aca="1" ref="D155" ca="1">OFFSET(D_马仔培养宝物!$W$1,SMALL(IF(D_马仔培养宝物!$Z$2:$Z$64=D_马仔培养宝物!$E155,ROW($C$2:$H$64),""),RANDBETWEEN(1,VLOOKUP(D_马仔培养宝物!$E155,D_马仔培养宝物!$T$3:$U$7,2,FALSE)))-1,0)</f>
        <v>92282</v>
      </c>
      <c r="E155" s="5">
        <f t="array" aca="1" ref="E155" ca="1">OFFSET(D_马仔培养宝物!$W$1,SMALL(IF(D_马仔培养宝物!$Z$2:$Z$64=D_马仔培养宝物!$E155,ROW($C$2:$H$64),""),RANDBETWEEN(1,VLOOKUP(D_马仔培养宝物!$E155,D_马仔培养宝物!$T$3:$U$7,2,FALSE)))-1,0)</f>
        <v>92026</v>
      </c>
      <c r="F155" s="5">
        <f t="array" aca="1" ref="F155" ca="1">OFFSET(D_马仔培养宝物!$W$1,SMALL(IF(D_马仔培养宝物!$Z$2:$Z$64=D_马仔培养宝物!$E155,ROW($C$2:$H$64),""),RANDBETWEEN(1,VLOOKUP(D_马仔培养宝物!$E155,D_马仔培养宝物!$T$3:$U$7,2,FALSE)))-1,0)</f>
        <v>92026</v>
      </c>
      <c r="G155" s="5">
        <f t="array" aca="1" ref="G155" ca="1">OFFSET(D_马仔培养宝物!$W$1,SMALL(IF(D_马仔培养宝物!$Z$2:$Z$64=D_马仔培养宝物!$E155,ROW($C$2:$H$64),""),RANDBETWEEN(1,VLOOKUP(D_马仔培养宝物!$E155,D_马仔培养宝物!$T$3:$U$7,2,FALSE)))-1,0)</f>
        <v>92296</v>
      </c>
      <c r="H155" s="5">
        <f t="array" aca="1" ref="H155" ca="1">OFFSET(D_马仔培养宝物!$W$1,SMALL(IF(D_马仔培养宝物!$Z$2:$Z$64=D_马仔培养宝物!$E155,ROW($C$2:$H$64),""),RANDBETWEEN(1,VLOOKUP(D_马仔培养宝物!$E155,D_马仔培养宝物!$T$3:$U$7,2,FALSE)))-1,0)</f>
        <v>92026</v>
      </c>
      <c r="J155" s="5">
        <v>92294</v>
      </c>
      <c r="K155" s="5">
        <v>92245</v>
      </c>
      <c r="L155" s="5">
        <v>92288</v>
      </c>
      <c r="M155" s="5">
        <v>92254</v>
      </c>
      <c r="N155" s="5">
        <v>92298</v>
      </c>
      <c r="O155" s="5">
        <v>92291</v>
      </c>
      <c r="P155">
        <f>VLOOKUP(J155,D_马仔培养宝物!$W$2:$AC$64,5,FALSE)+VLOOKUP(K155,D_马仔培养宝物!$W$2:$AC$64,5,FALSE)+VLOOKUP(L155,D_马仔培养宝物!$W$2:$AC$64,5,FALSE)+VLOOKUP(M155,D_马仔培养宝物!$W$2:$AC$64,5,FALSE)+VLOOKUP(N155,D_马仔培养宝物!$W$2:$AC$64,5,FALSE)+VLOOKUP(O155,D_马仔培养宝物!$W$2:$AC$64,5,FALSE)</f>
        <v>2675</v>
      </c>
      <c r="Q155">
        <f>VLOOKUP(J155,D_马仔培养宝物!$W$2:$AC$64,6,FALSE)+VLOOKUP(K155,D_马仔培养宝物!$W$2:$AC$64,6,FALSE)+VLOOKUP(L155,D_马仔培养宝物!$W$2:$AC$64,6,FALSE)+VLOOKUP(M155,D_马仔培养宝物!$W$2:$AC$64,6,FALSE)+VLOOKUP(N155,D_马仔培养宝物!$W$2:$AC$64,6,FALSE)+VLOOKUP(O155,D_马仔培养宝物!$W$2:$AC$64,6,FALSE)</f>
        <v>125</v>
      </c>
      <c r="R155">
        <f>VLOOKUP(J155,D_马仔培养宝物!$W$2:$AC$64,7,FALSE)+VLOOKUP(K155,D_马仔培养宝物!$W$2:$AC$64,7,FALSE)+VLOOKUP(L155,D_马仔培养宝物!$W$2:$AC$64,7,FALSE)+VLOOKUP(M155,D_马仔培养宝物!$W$2:$AC$64,7,FALSE)+VLOOKUP(N155,D_马仔培养宝物!$W$2:$AC$64,7,FALSE)+VLOOKUP(O155,D_马仔培养宝物!$W$2:$AC$64,7,FALSE)</f>
        <v>88</v>
      </c>
    </row>
    <row r="156" spans="3:18">
      <c r="C156" s="5">
        <f t="array" aca="1" ref="C156" ca="1">OFFSET(D_马仔培养宝物!$W$1,SMALL(IF(D_马仔培养宝物!$Z$2:$Z$64=D_马仔培养宝物!$E156,ROW($C$2:$H$64),""),RANDBETWEEN(1,VLOOKUP(D_马仔培养宝物!$E156,D_马仔培养宝物!$T$3:$U$7,2,FALSE)))-1,0)</f>
        <v>92255</v>
      </c>
      <c r="D156" s="5">
        <f t="array" aca="1" ref="D156" ca="1">OFFSET(D_马仔培养宝物!$W$1,SMALL(IF(D_马仔培养宝物!$Z$2:$Z$64=D_马仔培养宝物!$E156,ROW($C$2:$H$64),""),RANDBETWEEN(1,VLOOKUP(D_马仔培养宝物!$E156,D_马仔培养宝物!$T$3:$U$7,2,FALSE)))-1,0)</f>
        <v>92296</v>
      </c>
      <c r="E156" s="5">
        <f t="array" aca="1" ref="E156" ca="1">OFFSET(D_马仔培养宝物!$W$1,SMALL(IF(D_马仔培养宝物!$Z$2:$Z$64=D_马仔培养宝物!$E156,ROW($C$2:$H$64),""),RANDBETWEEN(1,VLOOKUP(D_马仔培养宝物!$E156,D_马仔培养宝物!$T$3:$U$7,2,FALSE)))-1,0)</f>
        <v>92296</v>
      </c>
      <c r="F156" s="5">
        <f t="array" aca="1" ref="F156" ca="1">OFFSET(D_马仔培养宝物!$W$1,SMALL(IF(D_马仔培养宝物!$Z$2:$Z$64=D_马仔培养宝物!$E156,ROW($C$2:$H$64),""),RANDBETWEEN(1,VLOOKUP(D_马仔培养宝物!$E156,D_马仔培养宝物!$T$3:$U$7,2,FALSE)))-1,0)</f>
        <v>92240</v>
      </c>
      <c r="G156" s="5">
        <f t="array" aca="1" ref="G156" ca="1">OFFSET(D_马仔培养宝物!$W$1,SMALL(IF(D_马仔培养宝物!$Z$2:$Z$64=D_马仔培养宝物!$E156,ROW($C$2:$H$64),""),RANDBETWEEN(1,VLOOKUP(D_马仔培养宝物!$E156,D_马仔培养宝物!$T$3:$U$7,2,FALSE)))-1,0)</f>
        <v>92295</v>
      </c>
      <c r="H156" s="5">
        <f t="array" aca="1" ref="H156" ca="1">OFFSET(D_马仔培养宝物!$W$1,SMALL(IF(D_马仔培养宝物!$Z$2:$Z$64=D_马仔培养宝物!$E156,ROW($C$2:$H$64),""),RANDBETWEEN(1,VLOOKUP(D_马仔培养宝物!$E156,D_马仔培养宝物!$T$3:$U$7,2,FALSE)))-1,0)</f>
        <v>92295</v>
      </c>
      <c r="J156" s="5">
        <v>92254</v>
      </c>
      <c r="K156" s="5">
        <v>92255</v>
      </c>
      <c r="L156" s="5">
        <v>92296</v>
      </c>
      <c r="M156" s="5">
        <v>92292</v>
      </c>
      <c r="N156" s="5">
        <v>92291</v>
      </c>
      <c r="O156" s="5">
        <v>92297</v>
      </c>
      <c r="P156">
        <f>VLOOKUP(J156,D_马仔培养宝物!$W$2:$AC$64,5,FALSE)+VLOOKUP(K156,D_马仔培养宝物!$W$2:$AC$64,5,FALSE)+VLOOKUP(L156,D_马仔培养宝物!$W$2:$AC$64,5,FALSE)+VLOOKUP(M156,D_马仔培养宝物!$W$2:$AC$64,5,FALSE)+VLOOKUP(N156,D_马仔培养宝物!$W$2:$AC$64,5,FALSE)+VLOOKUP(O156,D_马仔培养宝物!$W$2:$AC$64,5,FALSE)</f>
        <v>5968</v>
      </c>
      <c r="Q156">
        <f>VLOOKUP(J156,D_马仔培养宝物!$W$2:$AC$64,6,FALSE)+VLOOKUP(K156,D_马仔培养宝物!$W$2:$AC$64,6,FALSE)+VLOOKUP(L156,D_马仔培养宝物!$W$2:$AC$64,6,FALSE)+VLOOKUP(M156,D_马仔培养宝物!$W$2:$AC$64,6,FALSE)+VLOOKUP(N156,D_马仔培养宝物!$W$2:$AC$64,6,FALSE)+VLOOKUP(O156,D_马仔培养宝物!$W$2:$AC$64,6,FALSE)</f>
        <v>167</v>
      </c>
      <c r="R156">
        <f>VLOOKUP(J156,D_马仔培养宝物!$W$2:$AC$64,7,FALSE)+VLOOKUP(K156,D_马仔培养宝物!$W$2:$AC$64,7,FALSE)+VLOOKUP(L156,D_马仔培养宝物!$W$2:$AC$64,7,FALSE)+VLOOKUP(M156,D_马仔培养宝物!$W$2:$AC$64,7,FALSE)+VLOOKUP(N156,D_马仔培养宝物!$W$2:$AC$64,7,FALSE)+VLOOKUP(O156,D_马仔培养宝物!$W$2:$AC$64,7,FALSE)</f>
        <v>44</v>
      </c>
    </row>
    <row r="157" spans="3:18" ht="14.25" thickBot="1">
      <c r="C157" s="22">
        <f t="array" aca="1" ref="C157" ca="1">OFFSET(D_马仔培养宝物!$W$1,SMALL(IF(D_马仔培养宝物!$Z$2:$Z$64=D_马仔培养宝物!$E157,ROW($C$2:$H$64),""),RANDBETWEEN(1,VLOOKUP(D_马仔培养宝物!$E157,D_马仔培养宝物!$T$3:$U$7,2,FALSE)))-1,0)</f>
        <v>92286</v>
      </c>
      <c r="D157" s="22">
        <f t="array" aca="1" ref="D157" ca="1">OFFSET(D_马仔培养宝物!$W$1,SMALL(IF(D_马仔培养宝物!$Z$2:$Z$64=D_马仔培养宝物!$E157,ROW($C$2:$H$64),""),RANDBETWEEN(1,VLOOKUP(D_马仔培养宝物!$E157,D_马仔培养宝物!$T$3:$U$7,2,FALSE)))-1,0)</f>
        <v>92299</v>
      </c>
      <c r="E157" s="22">
        <f t="array" aca="1" ref="E157" ca="1">OFFSET(D_马仔培养宝物!$W$1,SMALL(IF(D_马仔培养宝物!$Z$2:$Z$64=D_马仔培养宝物!$E157,ROW($C$2:$H$64),""),RANDBETWEEN(1,VLOOKUP(D_马仔培养宝物!$E157,D_马仔培养宝物!$T$3:$U$7,2,FALSE)))-1,0)</f>
        <v>92256</v>
      </c>
      <c r="F157" s="22">
        <f t="array" aca="1" ref="F157" ca="1">OFFSET(D_马仔培养宝物!$W$1,SMALL(IF(D_马仔培养宝物!$Z$2:$Z$64=D_马仔培养宝物!$E157,ROW($C$2:$H$64),""),RANDBETWEEN(1,VLOOKUP(D_马仔培养宝物!$E157,D_马仔培养宝物!$T$3:$U$7,2,FALSE)))-1,0)</f>
        <v>92281</v>
      </c>
      <c r="G157" s="22">
        <f t="array" aca="1" ref="G157" ca="1">OFFSET(D_马仔培养宝物!$W$1,SMALL(IF(D_马仔培养宝物!$Z$2:$Z$64=D_马仔培养宝物!$E157,ROW($C$2:$H$64),""),RANDBETWEEN(1,VLOOKUP(D_马仔培养宝物!$E157,D_马仔培养宝物!$T$3:$U$7,2,FALSE)))-1,0)</f>
        <v>92281</v>
      </c>
      <c r="H157" s="22">
        <f t="array" aca="1" ref="H157" ca="1">OFFSET(D_马仔培养宝物!$W$1,SMALL(IF(D_马仔培养宝物!$Z$2:$Z$64=D_马仔培养宝物!$E157,ROW($C$2:$H$64),""),RANDBETWEEN(1,VLOOKUP(D_马仔培养宝物!$E157,D_马仔培养宝物!$T$3:$U$7,2,FALSE)))-1,0)</f>
        <v>92262</v>
      </c>
      <c r="J157" s="22">
        <v>92289</v>
      </c>
      <c r="K157" s="22">
        <v>92294</v>
      </c>
      <c r="L157" s="22">
        <v>92240</v>
      </c>
      <c r="M157" s="22">
        <v>92288</v>
      </c>
      <c r="N157" s="22">
        <v>92299</v>
      </c>
      <c r="O157" s="22">
        <v>92290</v>
      </c>
      <c r="P157">
        <f>VLOOKUP(J157,D_马仔培养宝物!$W$2:$AC$64,5,FALSE)+VLOOKUP(K157,D_马仔培养宝物!$W$2:$AC$64,5,FALSE)+VLOOKUP(L157,D_马仔培养宝物!$W$2:$AC$64,5,FALSE)+VLOOKUP(M157,D_马仔培养宝物!$W$2:$AC$64,5,FALSE)+VLOOKUP(N157,D_马仔培养宝物!$W$2:$AC$64,5,FALSE)+VLOOKUP(O157,D_马仔培养宝物!$W$2:$AC$64,5,FALSE)</f>
        <v>1852</v>
      </c>
      <c r="Q157">
        <f>VLOOKUP(J157,D_马仔培养宝物!$W$2:$AC$64,6,FALSE)+VLOOKUP(K157,D_马仔培养宝物!$W$2:$AC$64,6,FALSE)+VLOOKUP(L157,D_马仔培养宝物!$W$2:$AC$64,6,FALSE)+VLOOKUP(M157,D_马仔培养宝物!$W$2:$AC$64,6,FALSE)+VLOOKUP(N157,D_马仔培养宝物!$W$2:$AC$64,6,FALSE)+VLOOKUP(O157,D_马仔培养宝物!$W$2:$AC$64,6,FALSE)</f>
        <v>52</v>
      </c>
      <c r="R157">
        <f>VLOOKUP(J157,D_马仔培养宝物!$W$2:$AC$64,7,FALSE)+VLOOKUP(K157,D_马仔培养宝物!$W$2:$AC$64,7,FALSE)+VLOOKUP(L157,D_马仔培养宝物!$W$2:$AC$64,7,FALSE)+VLOOKUP(M157,D_马仔培养宝物!$W$2:$AC$64,7,FALSE)+VLOOKUP(N157,D_马仔培养宝物!$W$2:$AC$64,7,FALSE)+VLOOKUP(O157,D_马仔培养宝物!$W$2:$AC$64,7,FALSE)</f>
        <v>159</v>
      </c>
    </row>
    <row r="158" spans="3:18">
      <c r="C158" s="19">
        <f t="array" aca="1" ref="C158" ca="1">OFFSET(D_马仔培养宝物!$W$1,SMALL(IF(D_马仔培养宝物!$Z$2:$Z$64=D_马仔培养宝物!$E158,ROW($C$2:$H$64),""),RANDBETWEEN(1,VLOOKUP(D_马仔培养宝物!$E158,D_马仔培养宝物!$T$3:$U$7,2,FALSE)))-1,0)</f>
        <v>92131</v>
      </c>
      <c r="D158" s="19">
        <f t="array" aca="1" ref="D158" ca="1">OFFSET(D_马仔培养宝物!$W$1,SMALL(IF(D_马仔培养宝物!$Z$2:$Z$64=D_马仔培养宝物!$E158,ROW($C$2:$H$64),""),RANDBETWEEN(1,VLOOKUP(D_马仔培养宝物!$E158,D_马仔培养宝物!$T$3:$U$7,2,FALSE)))-1,0)</f>
        <v>92243</v>
      </c>
      <c r="E158" s="19">
        <f t="array" aca="1" ref="E158" ca="1">OFFSET(D_马仔培养宝物!$W$1,SMALL(IF(D_马仔培养宝物!$Z$2:$Z$64=D_马仔培养宝物!$E158,ROW($C$2:$H$64),""),RANDBETWEEN(1,VLOOKUP(D_马仔培养宝物!$E158,D_马仔培养宝物!$T$3:$U$7,2,FALSE)))-1,0)</f>
        <v>92277</v>
      </c>
      <c r="F158" s="19">
        <f t="array" aca="1" ref="F158" ca="1">OFFSET(D_马仔培养宝物!$W$1,SMALL(IF(D_马仔培养宝物!$Z$2:$Z$64=D_马仔培养宝物!$E158,ROW($C$2:$H$64),""),RANDBETWEEN(1,VLOOKUP(D_马仔培养宝物!$E158,D_马仔培养宝物!$T$3:$U$7,2,FALSE)))-1,0)</f>
        <v>92243</v>
      </c>
      <c r="G158" s="19">
        <f t="array" aca="1" ref="G158" ca="1">OFFSET(D_马仔培养宝物!$W$1,SMALL(IF(D_马仔培养宝物!$Z$2:$Z$64=D_马仔培养宝物!$E158,ROW($C$2:$H$64),""),RANDBETWEEN(1,VLOOKUP(D_马仔培养宝物!$E158,D_马仔培养宝物!$T$3:$U$7,2,FALSE)))-1,0)</f>
        <v>92232</v>
      </c>
      <c r="H158" s="19">
        <f t="array" aca="1" ref="H158" ca="1">OFFSET(D_马仔培养宝物!$W$1,SMALL(IF(D_马仔培养宝物!$Z$2:$Z$64=D_马仔培养宝物!$E158,ROW($C$2:$H$64),""),RANDBETWEEN(1,VLOOKUP(D_马仔培养宝物!$E158,D_马仔培养宝物!$T$3:$U$7,2,FALSE)))-1,0)</f>
        <v>92277</v>
      </c>
      <c r="J158" s="19">
        <v>92026</v>
      </c>
      <c r="K158" s="19">
        <v>92125</v>
      </c>
      <c r="L158" s="19">
        <v>92011</v>
      </c>
      <c r="M158" s="19">
        <v>92223</v>
      </c>
      <c r="N158" s="19">
        <v>92122</v>
      </c>
      <c r="O158" s="19">
        <v>92124</v>
      </c>
      <c r="P158">
        <f>VLOOKUP(J158,D_马仔培养宝物!$W$2:$AC$64,5,FALSE)+VLOOKUP(K158,D_马仔培养宝物!$W$2:$AC$64,5,FALSE)+VLOOKUP(L158,D_马仔培养宝物!$W$2:$AC$64,5,FALSE)+VLOOKUP(M158,D_马仔培养宝物!$W$2:$AC$64,5,FALSE)+VLOOKUP(N158,D_马仔培养宝物!$W$2:$AC$64,5,FALSE)+VLOOKUP(O158,D_马仔培养宝物!$W$2:$AC$64,5,FALSE)</f>
        <v>0</v>
      </c>
      <c r="Q158">
        <f>VLOOKUP(J158,D_马仔培养宝物!$W$2:$AC$64,6,FALSE)+VLOOKUP(K158,D_马仔培养宝物!$W$2:$AC$64,6,FALSE)+VLOOKUP(L158,D_马仔培养宝物!$W$2:$AC$64,6,FALSE)+VLOOKUP(M158,D_马仔培养宝物!$W$2:$AC$64,6,FALSE)+VLOOKUP(N158,D_马仔培养宝物!$W$2:$AC$64,6,FALSE)+VLOOKUP(O158,D_马仔培养宝物!$W$2:$AC$64,6,FALSE)</f>
        <v>146</v>
      </c>
      <c r="R158">
        <f>VLOOKUP(J158,D_马仔培养宝物!$W$2:$AC$64,7,FALSE)+VLOOKUP(K158,D_马仔培养宝物!$W$2:$AC$64,7,FALSE)+VLOOKUP(L158,D_马仔培养宝物!$W$2:$AC$64,7,FALSE)+VLOOKUP(M158,D_马仔培养宝物!$W$2:$AC$64,7,FALSE)+VLOOKUP(N158,D_马仔培养宝物!$W$2:$AC$64,7,FALSE)+VLOOKUP(O158,D_马仔培养宝物!$W$2:$AC$64,7,FALSE)</f>
        <v>84</v>
      </c>
    </row>
    <row r="159" spans="3:18">
      <c r="C159" s="5">
        <f t="array" aca="1" ref="C159" ca="1">OFFSET(D_马仔培养宝物!$W$1,SMALL(IF(D_马仔培养宝物!$Z$2:$Z$64=D_马仔培养宝物!$E159,ROW($C$2:$H$64),""),RANDBETWEEN(1,VLOOKUP(D_马仔培养宝物!$E159,D_马仔培养宝物!$T$3:$U$7,2,FALSE)))-1,0)</f>
        <v>92277</v>
      </c>
      <c r="D159" s="5">
        <f t="array" aca="1" ref="D159" ca="1">OFFSET(D_马仔培养宝物!$W$1,SMALL(IF(D_马仔培养宝物!$Z$2:$Z$64=D_马仔培养宝物!$E159,ROW($C$2:$H$64),""),RANDBETWEEN(1,VLOOKUP(D_马仔培养宝物!$E159,D_马仔培养宝物!$T$3:$U$7,2,FALSE)))-1,0)</f>
        <v>92131</v>
      </c>
      <c r="E159" s="5">
        <f t="array" aca="1" ref="E159" ca="1">OFFSET(D_马仔培养宝物!$W$1,SMALL(IF(D_马仔培养宝物!$Z$2:$Z$64=D_马仔培养宝物!$E159,ROW($C$2:$H$64),""),RANDBETWEEN(1,VLOOKUP(D_马仔培养宝物!$E159,D_马仔培养宝物!$T$3:$U$7,2,FALSE)))-1,0)</f>
        <v>92131</v>
      </c>
      <c r="F159" s="5">
        <f t="array" aca="1" ref="F159" ca="1">OFFSET(D_马仔培养宝物!$W$1,SMALL(IF(D_马仔培养宝物!$Z$2:$Z$64=D_马仔培养宝物!$E159,ROW($C$2:$H$64),""),RANDBETWEEN(1,VLOOKUP(D_马仔培养宝物!$E159,D_马仔培养宝物!$T$3:$U$7,2,FALSE)))-1,0)</f>
        <v>92232</v>
      </c>
      <c r="G159" s="5">
        <f t="array" aca="1" ref="G159" ca="1">OFFSET(D_马仔培养宝物!$W$1,SMALL(IF(D_马仔培养宝物!$Z$2:$Z$64=D_马仔培养宝物!$E159,ROW($C$2:$H$64),""),RANDBETWEEN(1,VLOOKUP(D_马仔培养宝物!$E159,D_马仔培养宝物!$T$3:$U$7,2,FALSE)))-1,0)</f>
        <v>92243</v>
      </c>
      <c r="H159" s="5">
        <f t="array" aca="1" ref="H159" ca="1">OFFSET(D_马仔培养宝物!$W$1,SMALL(IF(D_马仔培养宝物!$Z$2:$Z$64=D_马仔培养宝物!$E159,ROW($C$2:$H$64),""),RANDBETWEEN(1,VLOOKUP(D_马仔培养宝物!$E159,D_马仔培养宝物!$T$3:$U$7,2,FALSE)))-1,0)</f>
        <v>92121</v>
      </c>
      <c r="J159" s="5">
        <v>92124</v>
      </c>
      <c r="K159" s="5">
        <v>92122</v>
      </c>
      <c r="L159" s="5">
        <v>92026</v>
      </c>
      <c r="M159" s="5">
        <v>92012</v>
      </c>
      <c r="N159" s="5">
        <v>92223</v>
      </c>
      <c r="O159" s="5">
        <v>92011</v>
      </c>
      <c r="P159">
        <f>VLOOKUP(J159,D_马仔培养宝物!$W$2:$AC$64,5,FALSE)+VLOOKUP(K159,D_马仔培养宝物!$W$2:$AC$64,5,FALSE)+VLOOKUP(L159,D_马仔培养宝物!$W$2:$AC$64,5,FALSE)+VLOOKUP(M159,D_马仔培养宝物!$W$2:$AC$64,5,FALSE)+VLOOKUP(N159,D_马仔培养宝物!$W$2:$AC$64,5,FALSE)+VLOOKUP(O159,D_马仔培养宝物!$W$2:$AC$64,5,FALSE)</f>
        <v>1029</v>
      </c>
      <c r="Q159">
        <f>VLOOKUP(J159,D_马仔培养宝物!$W$2:$AC$64,6,FALSE)+VLOOKUP(K159,D_马仔培养宝物!$W$2:$AC$64,6,FALSE)+VLOOKUP(L159,D_马仔培养宝物!$W$2:$AC$64,6,FALSE)+VLOOKUP(M159,D_马仔培养宝物!$W$2:$AC$64,6,FALSE)+VLOOKUP(N159,D_马仔培养宝物!$W$2:$AC$64,6,FALSE)+VLOOKUP(O159,D_马仔培养宝物!$W$2:$AC$64,6,FALSE)</f>
        <v>146</v>
      </c>
      <c r="R159">
        <f>VLOOKUP(J159,D_马仔培养宝物!$W$2:$AC$64,7,FALSE)+VLOOKUP(K159,D_马仔培养宝物!$W$2:$AC$64,7,FALSE)+VLOOKUP(L159,D_马仔培养宝物!$W$2:$AC$64,7,FALSE)+VLOOKUP(M159,D_马仔培养宝物!$W$2:$AC$64,7,FALSE)+VLOOKUP(N159,D_马仔培养宝物!$W$2:$AC$64,7,FALSE)+VLOOKUP(O159,D_马仔培养宝物!$W$2:$AC$64,7,FALSE)</f>
        <v>53</v>
      </c>
    </row>
    <row r="160" spans="3:18">
      <c r="C160" s="5">
        <f t="array" aca="1" ref="C160" ca="1">OFFSET(D_马仔培养宝物!$W$1,SMALL(IF(D_马仔培养宝物!$Z$2:$Z$64=D_马仔培养宝物!$E160,ROW($C$2:$H$64),""),RANDBETWEEN(1,VLOOKUP(D_马仔培养宝物!$E160,D_马仔培养宝物!$T$3:$U$7,2,FALSE)))-1,0)</f>
        <v>92278</v>
      </c>
      <c r="D160" s="5">
        <f t="array" aca="1" ref="D160" ca="1">OFFSET(D_马仔培养宝物!$W$1,SMALL(IF(D_马仔培养宝物!$Z$2:$Z$64=D_马仔培养宝物!$E160,ROW($C$2:$H$64),""),RANDBETWEEN(1,VLOOKUP(D_马仔培养宝物!$E160,D_马仔培养宝物!$T$3:$U$7,2,FALSE)))-1,0)</f>
        <v>92251</v>
      </c>
      <c r="E160" s="5">
        <f t="array" aca="1" ref="E160" ca="1">OFFSET(D_马仔培养宝物!$W$1,SMALL(IF(D_马仔培养宝物!$Z$2:$Z$64=D_马仔培养宝物!$E160,ROW($C$2:$H$64),""),RANDBETWEEN(1,VLOOKUP(D_马仔培养宝物!$E160,D_马仔培养宝物!$T$3:$U$7,2,FALSE)))-1,0)</f>
        <v>92264</v>
      </c>
      <c r="F160" s="5">
        <f t="array" aca="1" ref="F160" ca="1">OFFSET(D_马仔培养宝物!$W$1,SMALL(IF(D_马仔培养宝物!$Z$2:$Z$64=D_马仔培养宝物!$E160,ROW($C$2:$H$64),""),RANDBETWEEN(1,VLOOKUP(D_马仔培养宝物!$E160,D_马仔培养宝物!$T$3:$U$7,2,FALSE)))-1,0)</f>
        <v>92122</v>
      </c>
      <c r="G160" s="5">
        <f t="array" aca="1" ref="G160" ca="1">OFFSET(D_马仔培养宝物!$W$1,SMALL(IF(D_马仔培养宝物!$Z$2:$Z$64=D_马仔培养宝物!$E160,ROW($C$2:$H$64),""),RANDBETWEEN(1,VLOOKUP(D_马仔培养宝物!$E160,D_马仔培养宝物!$T$3:$U$7,2,FALSE)))-1,0)</f>
        <v>92278</v>
      </c>
      <c r="H160" s="5">
        <f t="array" aca="1" ref="H160" ca="1">OFFSET(D_马仔培养宝物!$W$1,SMALL(IF(D_马仔培养宝物!$Z$2:$Z$64=D_马仔培养宝物!$E160,ROW($C$2:$H$64),""),RANDBETWEEN(1,VLOOKUP(D_马仔培养宝物!$E160,D_马仔培养宝物!$T$3:$U$7,2,FALSE)))-1,0)</f>
        <v>92278</v>
      </c>
      <c r="J160" s="5">
        <v>92131</v>
      </c>
      <c r="K160" s="5">
        <v>92232</v>
      </c>
      <c r="L160" s="5">
        <v>92273</v>
      </c>
      <c r="M160" s="5">
        <v>92271</v>
      </c>
      <c r="N160" s="5">
        <v>92287</v>
      </c>
      <c r="O160" s="5">
        <v>92235</v>
      </c>
      <c r="P160">
        <f>VLOOKUP(J160,D_马仔培养宝物!$W$2:$AC$64,5,FALSE)+VLOOKUP(K160,D_马仔培养宝物!$W$2:$AC$64,5,FALSE)+VLOOKUP(L160,D_马仔培养宝物!$W$2:$AC$64,5,FALSE)+VLOOKUP(M160,D_马仔培养宝物!$W$2:$AC$64,5,FALSE)+VLOOKUP(N160,D_马仔培养宝物!$W$2:$AC$64,5,FALSE)+VLOOKUP(O160,D_马仔培养宝物!$W$2:$AC$64,5,FALSE)</f>
        <v>1646</v>
      </c>
      <c r="Q160">
        <f>VLOOKUP(J160,D_马仔培养宝物!$W$2:$AC$64,6,FALSE)+VLOOKUP(K160,D_马仔培养宝物!$W$2:$AC$64,6,FALSE)+VLOOKUP(L160,D_马仔培养宝物!$W$2:$AC$64,6,FALSE)+VLOOKUP(M160,D_马仔培养宝物!$W$2:$AC$64,6,FALSE)+VLOOKUP(N160,D_马仔培养宝物!$W$2:$AC$64,6,FALSE)+VLOOKUP(O160,D_马仔培养宝物!$W$2:$AC$64,6,FALSE)</f>
        <v>52</v>
      </c>
      <c r="R160">
        <f>VLOOKUP(J160,D_马仔培养宝物!$W$2:$AC$64,7,FALSE)+VLOOKUP(K160,D_马仔培养宝物!$W$2:$AC$64,7,FALSE)+VLOOKUP(L160,D_马仔培养宝物!$W$2:$AC$64,7,FALSE)+VLOOKUP(M160,D_马仔培养宝物!$W$2:$AC$64,7,FALSE)+VLOOKUP(N160,D_马仔培养宝物!$W$2:$AC$64,7,FALSE)+VLOOKUP(O160,D_马仔培养宝物!$W$2:$AC$64,7,FALSE)</f>
        <v>22</v>
      </c>
    </row>
    <row r="161" spans="3:18">
      <c r="C161" s="5">
        <f t="array" aca="1" ref="C161" ca="1">OFFSET(D_马仔培养宝物!$W$1,SMALL(IF(D_马仔培养宝物!$Z$2:$Z$64=D_马仔培养宝物!$E161,ROW($C$2:$H$64),""),RANDBETWEEN(1,VLOOKUP(D_马仔培养宝物!$E161,D_马仔培养宝物!$T$3:$U$7,2,FALSE)))-1,0)</f>
        <v>92141</v>
      </c>
      <c r="D161" s="5">
        <f t="array" aca="1" ref="D161" ca="1">OFFSET(D_马仔培养宝物!$W$1,SMALL(IF(D_马仔培养宝物!$Z$2:$Z$64=D_马仔培养宝物!$E161,ROW($C$2:$H$64),""),RANDBETWEEN(1,VLOOKUP(D_马仔培养宝物!$E161,D_马仔培养宝物!$T$3:$U$7,2,FALSE)))-1,0)</f>
        <v>92287</v>
      </c>
      <c r="E161" s="5">
        <f t="array" aca="1" ref="E161" ca="1">OFFSET(D_马仔培养宝物!$W$1,SMALL(IF(D_马仔培养宝物!$Z$2:$Z$64=D_马仔培养宝物!$E161,ROW($C$2:$H$64),""),RANDBETWEEN(1,VLOOKUP(D_马仔培养宝物!$E161,D_马仔培养宝物!$T$3:$U$7,2,FALSE)))-1,0)</f>
        <v>92251</v>
      </c>
      <c r="F161" s="5">
        <f t="array" aca="1" ref="F161" ca="1">OFFSET(D_马仔培养宝物!$W$1,SMALL(IF(D_马仔培养宝物!$Z$2:$Z$64=D_马仔培养宝物!$E161,ROW($C$2:$H$64),""),RANDBETWEEN(1,VLOOKUP(D_马仔培养宝物!$E161,D_马仔培养宝物!$T$3:$U$7,2,FALSE)))-1,0)</f>
        <v>92251</v>
      </c>
      <c r="G161" s="5">
        <f t="array" aca="1" ref="G161" ca="1">OFFSET(D_马仔培养宝物!$W$1,SMALL(IF(D_马仔培养宝物!$Z$2:$Z$64=D_马仔培养宝物!$E161,ROW($C$2:$H$64),""),RANDBETWEEN(1,VLOOKUP(D_马仔培养宝物!$E161,D_马仔培养宝物!$T$3:$U$7,2,FALSE)))-1,0)</f>
        <v>92287</v>
      </c>
      <c r="H161" s="5">
        <f t="array" aca="1" ref="H161" ca="1">OFFSET(D_马仔培养宝物!$W$1,SMALL(IF(D_马仔培养宝物!$Z$2:$Z$64=D_马仔培养宝物!$E161,ROW($C$2:$H$64),""),RANDBETWEEN(1,VLOOKUP(D_马仔培养宝物!$E161,D_马仔培养宝物!$T$3:$U$7,2,FALSE)))-1,0)</f>
        <v>92122</v>
      </c>
      <c r="J161" s="5">
        <v>92131</v>
      </c>
      <c r="K161" s="5">
        <v>92236</v>
      </c>
      <c r="L161" s="5">
        <v>92233</v>
      </c>
      <c r="M161" s="5">
        <v>92235</v>
      </c>
      <c r="N161" s="5">
        <v>92232</v>
      </c>
      <c r="O161" s="5">
        <v>92121</v>
      </c>
      <c r="P161">
        <f>VLOOKUP(J161,D_马仔培养宝物!$W$2:$AC$64,5,FALSE)+VLOOKUP(K161,D_马仔培养宝物!$W$2:$AC$64,5,FALSE)+VLOOKUP(L161,D_马仔培养宝物!$W$2:$AC$64,5,FALSE)+VLOOKUP(M161,D_马仔培养宝物!$W$2:$AC$64,5,FALSE)+VLOOKUP(N161,D_马仔培养宝物!$W$2:$AC$64,5,FALSE)+VLOOKUP(O161,D_马仔培养宝物!$W$2:$AC$64,5,FALSE)</f>
        <v>1029</v>
      </c>
      <c r="Q161">
        <f>VLOOKUP(J161,D_马仔培养宝物!$W$2:$AC$64,6,FALSE)+VLOOKUP(K161,D_马仔培养宝物!$W$2:$AC$64,6,FALSE)+VLOOKUP(L161,D_马仔培养宝物!$W$2:$AC$64,6,FALSE)+VLOOKUP(M161,D_马仔培养宝物!$W$2:$AC$64,6,FALSE)+VLOOKUP(N161,D_马仔培养宝物!$W$2:$AC$64,6,FALSE)+VLOOKUP(O161,D_马仔培养宝物!$W$2:$AC$64,6,FALSE)</f>
        <v>83</v>
      </c>
      <c r="R161">
        <f>VLOOKUP(J161,D_马仔培养宝物!$W$2:$AC$64,7,FALSE)+VLOOKUP(K161,D_马仔培养宝物!$W$2:$AC$64,7,FALSE)+VLOOKUP(L161,D_马仔培养宝物!$W$2:$AC$64,7,FALSE)+VLOOKUP(M161,D_马仔培养宝物!$W$2:$AC$64,7,FALSE)+VLOOKUP(N161,D_马仔培养宝物!$W$2:$AC$64,7,FALSE)+VLOOKUP(O161,D_马仔培养宝物!$W$2:$AC$64,7,FALSE)</f>
        <v>22</v>
      </c>
    </row>
    <row r="162" spans="3:18">
      <c r="C162" s="5">
        <f t="array" aca="1" ref="C162" ca="1">OFFSET(D_马仔培养宝物!$W$1,SMALL(IF(D_马仔培养宝物!$Z$2:$Z$64=D_马仔培养宝物!$E162,ROW($C$2:$H$64),""),RANDBETWEEN(1,VLOOKUP(D_马仔培养宝物!$E162,D_马仔培养宝物!$T$3:$U$7,2,FALSE)))-1,0)</f>
        <v>92273</v>
      </c>
      <c r="D162" s="5">
        <f t="array" aca="1" ref="D162" ca="1">OFFSET(D_马仔培养宝物!$W$1,SMALL(IF(D_马仔培养宝物!$Z$2:$Z$64=D_马仔培养宝物!$E162,ROW($C$2:$H$64),""),RANDBETWEEN(1,VLOOKUP(D_马仔培养宝物!$E162,D_马仔培养宝物!$T$3:$U$7,2,FALSE)))-1,0)</f>
        <v>92142</v>
      </c>
      <c r="E162" s="5">
        <f t="array" aca="1" ref="E162" ca="1">OFFSET(D_马仔培养宝物!$W$1,SMALL(IF(D_马仔培养宝物!$Z$2:$Z$64=D_马仔培养宝物!$E162,ROW($C$2:$H$64),""),RANDBETWEEN(1,VLOOKUP(D_马仔培养宝物!$E162,D_马仔培养宝物!$T$3:$U$7,2,FALSE)))-1,0)</f>
        <v>92279</v>
      </c>
      <c r="F162" s="5">
        <f t="array" aca="1" ref="F162" ca="1">OFFSET(D_马仔培养宝物!$W$1,SMALL(IF(D_马仔培养宝物!$Z$2:$Z$64=D_马仔培养宝物!$E162,ROW($C$2:$H$64),""),RANDBETWEEN(1,VLOOKUP(D_马仔培养宝物!$E162,D_马仔培养宝物!$T$3:$U$7,2,FALSE)))-1,0)</f>
        <v>92288</v>
      </c>
      <c r="G162" s="5">
        <f t="array" aca="1" ref="G162" ca="1">OFFSET(D_马仔培养宝物!$W$1,SMALL(IF(D_马仔培养宝物!$Z$2:$Z$64=D_马仔培养宝物!$E162,ROW($C$2:$H$64),""),RANDBETWEEN(1,VLOOKUP(D_马仔培养宝物!$E162,D_马仔培养宝物!$T$3:$U$7,2,FALSE)))-1,0)</f>
        <v>92252</v>
      </c>
      <c r="H162" s="5">
        <f t="array" aca="1" ref="H162" ca="1">OFFSET(D_马仔培养宝物!$W$1,SMALL(IF(D_马仔培养宝物!$Z$2:$Z$64=D_马仔培养宝物!$E162,ROW($C$2:$H$64),""),RANDBETWEEN(1,VLOOKUP(D_马仔培养宝物!$E162,D_马仔培养宝物!$T$3:$U$7,2,FALSE)))-1,0)</f>
        <v>92012</v>
      </c>
      <c r="J162" s="5">
        <v>92285</v>
      </c>
      <c r="K162" s="5">
        <v>92134</v>
      </c>
      <c r="L162" s="5">
        <v>92142</v>
      </c>
      <c r="M162" s="5">
        <v>92262</v>
      </c>
      <c r="N162" s="5">
        <v>92283</v>
      </c>
      <c r="O162" s="5">
        <v>92141</v>
      </c>
      <c r="P162">
        <f>VLOOKUP(J162,D_马仔培养宝物!$W$2:$AC$64,5,FALSE)+VLOOKUP(K162,D_马仔培养宝物!$W$2:$AC$64,5,FALSE)+VLOOKUP(L162,D_马仔培养宝物!$W$2:$AC$64,5,FALSE)+VLOOKUP(M162,D_马仔培养宝物!$W$2:$AC$64,5,FALSE)+VLOOKUP(N162,D_马仔培养宝物!$W$2:$AC$64,5,FALSE)+VLOOKUP(O162,D_马仔培养宝物!$W$2:$AC$64,5,FALSE)</f>
        <v>0</v>
      </c>
      <c r="Q162">
        <f>VLOOKUP(J162,D_马仔培养宝物!$W$2:$AC$64,6,FALSE)+VLOOKUP(K162,D_马仔培养宝物!$W$2:$AC$64,6,FALSE)+VLOOKUP(L162,D_马仔培养宝物!$W$2:$AC$64,6,FALSE)+VLOOKUP(M162,D_马仔培养宝物!$W$2:$AC$64,6,FALSE)+VLOOKUP(N162,D_马仔培养宝物!$W$2:$AC$64,6,FALSE)+VLOOKUP(O162,D_马仔培养宝物!$W$2:$AC$64,6,FALSE)</f>
        <v>303</v>
      </c>
      <c r="R162">
        <f>VLOOKUP(J162,D_马仔培养宝物!$W$2:$AC$64,7,FALSE)+VLOOKUP(K162,D_马仔培养宝物!$W$2:$AC$64,7,FALSE)+VLOOKUP(L162,D_马仔培养宝物!$W$2:$AC$64,7,FALSE)+VLOOKUP(M162,D_马仔培养宝物!$W$2:$AC$64,7,FALSE)+VLOOKUP(N162,D_马仔培养宝物!$W$2:$AC$64,7,FALSE)+VLOOKUP(O162,D_马仔培养宝物!$W$2:$AC$64,7,FALSE)</f>
        <v>26</v>
      </c>
    </row>
    <row r="163" spans="3:18">
      <c r="C163" s="5">
        <f t="array" aca="1" ref="C163" ca="1">OFFSET(D_马仔培养宝物!$W$1,SMALL(IF(D_马仔培养宝物!$Z$2:$Z$64=D_马仔培养宝物!$E163,ROW($C$2:$H$64),""),RANDBETWEEN(1,VLOOKUP(D_马仔培养宝物!$E163,D_马仔培养宝物!$T$3:$U$7,2,FALSE)))-1,0)</f>
        <v>92284</v>
      </c>
      <c r="D163" s="5">
        <f t="array" aca="1" ref="D163" ca="1">OFFSET(D_马仔培养宝物!$W$1,SMALL(IF(D_马仔培养宝物!$Z$2:$Z$64=D_马仔培养宝物!$E163,ROW($C$2:$H$64),""),RANDBETWEEN(1,VLOOKUP(D_马仔培养宝物!$E163,D_马仔培养宝物!$T$3:$U$7,2,FALSE)))-1,0)</f>
        <v>92235</v>
      </c>
      <c r="E163" s="5">
        <f t="array" aca="1" ref="E163" ca="1">OFFSET(D_马仔培养宝物!$W$1,SMALL(IF(D_马仔培养宝物!$Z$2:$Z$64=D_马仔培养宝物!$E163,ROW($C$2:$H$64),""),RANDBETWEEN(1,VLOOKUP(D_马仔培养宝物!$E163,D_马仔培养宝物!$T$3:$U$7,2,FALSE)))-1,0)</f>
        <v>92284</v>
      </c>
      <c r="F163" s="5">
        <f t="array" aca="1" ref="F163" ca="1">OFFSET(D_马仔培养宝物!$W$1,SMALL(IF(D_马仔培养宝物!$Z$2:$Z$64=D_马仔培养宝物!$E163,ROW($C$2:$H$64),""),RANDBETWEEN(1,VLOOKUP(D_马仔培养宝物!$E163,D_马仔培养宝物!$T$3:$U$7,2,FALSE)))-1,0)</f>
        <v>92012</v>
      </c>
      <c r="G163" s="5">
        <f t="array" aca="1" ref="G163" ca="1">OFFSET(D_马仔培养宝物!$W$1,SMALL(IF(D_马仔培养宝物!$Z$2:$Z$64=D_马仔培养宝物!$E163,ROW($C$2:$H$64),""),RANDBETWEEN(1,VLOOKUP(D_马仔培养宝物!$E163,D_马仔培养宝物!$T$3:$U$7,2,FALSE)))-1,0)</f>
        <v>92252</v>
      </c>
      <c r="H163" s="5">
        <f t="array" aca="1" ref="H163" ca="1">OFFSET(D_马仔培养宝物!$W$1,SMALL(IF(D_马仔培养宝物!$Z$2:$Z$64=D_马仔培养宝物!$E163,ROW($C$2:$H$64),""),RANDBETWEEN(1,VLOOKUP(D_马仔培养宝物!$E163,D_马仔培养宝物!$T$3:$U$7,2,FALSE)))-1,0)</f>
        <v>92272</v>
      </c>
      <c r="J163" s="5">
        <v>92283</v>
      </c>
      <c r="K163" s="5">
        <v>92262</v>
      </c>
      <c r="L163" s="5">
        <v>92141</v>
      </c>
      <c r="M163" s="5">
        <v>92142</v>
      </c>
      <c r="N163" s="5">
        <v>92134</v>
      </c>
      <c r="O163" s="5">
        <v>92282</v>
      </c>
      <c r="P163">
        <f>VLOOKUP(J163,D_马仔培养宝物!$W$2:$AC$64,5,FALSE)+VLOOKUP(K163,D_马仔培养宝物!$W$2:$AC$64,5,FALSE)+VLOOKUP(L163,D_马仔培养宝物!$W$2:$AC$64,5,FALSE)+VLOOKUP(M163,D_马仔培养宝物!$W$2:$AC$64,5,FALSE)+VLOOKUP(N163,D_马仔培养宝物!$W$2:$AC$64,5,FALSE)+VLOOKUP(O163,D_马仔培养宝物!$W$2:$AC$64,5,FALSE)</f>
        <v>0</v>
      </c>
      <c r="Q163">
        <f>VLOOKUP(J163,D_马仔培养宝物!$W$2:$AC$64,6,FALSE)+VLOOKUP(K163,D_马仔培养宝物!$W$2:$AC$64,6,FALSE)+VLOOKUP(L163,D_马仔培养宝物!$W$2:$AC$64,6,FALSE)+VLOOKUP(M163,D_马仔培养宝物!$W$2:$AC$64,6,FALSE)+VLOOKUP(N163,D_马仔培养宝物!$W$2:$AC$64,6,FALSE)+VLOOKUP(O163,D_马仔培养宝物!$W$2:$AC$64,6,FALSE)</f>
        <v>335</v>
      </c>
      <c r="R163">
        <f>VLOOKUP(J163,D_马仔培养宝物!$W$2:$AC$64,7,FALSE)+VLOOKUP(K163,D_马仔培养宝物!$W$2:$AC$64,7,FALSE)+VLOOKUP(L163,D_马仔培养宝物!$W$2:$AC$64,7,FALSE)+VLOOKUP(M163,D_马仔培养宝物!$W$2:$AC$64,7,FALSE)+VLOOKUP(N163,D_马仔培养宝物!$W$2:$AC$64,7,FALSE)+VLOOKUP(O163,D_马仔培养宝物!$W$2:$AC$64,7,FALSE)</f>
        <v>26</v>
      </c>
    </row>
    <row r="164" spans="3:18">
      <c r="C164" s="5">
        <f t="array" aca="1" ref="C164" ca="1">OFFSET(D_马仔培养宝物!$W$1,SMALL(IF(D_马仔培养宝物!$Z$2:$Z$64=D_马仔培养宝物!$E164,ROW($C$2:$H$64),""),RANDBETWEEN(1,VLOOKUP(D_马仔培养宝物!$E164,D_马仔培养宝物!$T$3:$U$7,2,FALSE)))-1,0)</f>
        <v>92253</v>
      </c>
      <c r="D164" s="5">
        <f t="array" aca="1" ref="D164" ca="1">OFFSET(D_马仔培养宝物!$W$1,SMALL(IF(D_马仔培养宝物!$Z$2:$Z$64=D_马仔培养宝物!$E164,ROW($C$2:$H$64),""),RANDBETWEEN(1,VLOOKUP(D_马仔培养宝物!$E164,D_马仔培养宝物!$T$3:$U$7,2,FALSE)))-1,0)</f>
        <v>92125</v>
      </c>
      <c r="E164" s="5">
        <f t="array" aca="1" ref="E164" ca="1">OFFSET(D_马仔培养宝物!$W$1,SMALL(IF(D_马仔培养宝物!$Z$2:$Z$64=D_马仔培养宝物!$E164,ROW($C$2:$H$64),""),RANDBETWEEN(1,VLOOKUP(D_马仔培养宝物!$E164,D_马仔培养宝物!$T$3:$U$7,2,FALSE)))-1,0)</f>
        <v>92125</v>
      </c>
      <c r="F164" s="5">
        <f t="array" aca="1" ref="F164" ca="1">OFFSET(D_马仔培养宝物!$W$1,SMALL(IF(D_马仔培养宝物!$Z$2:$Z$64=D_马仔培养宝物!$E164,ROW($C$2:$H$64),""),RANDBETWEEN(1,VLOOKUP(D_马仔培养宝物!$E164,D_马仔培养宝物!$T$3:$U$7,2,FALSE)))-1,0)</f>
        <v>92236</v>
      </c>
      <c r="G164" s="5">
        <f t="array" aca="1" ref="G164" ca="1">OFFSET(D_马仔培养宝物!$W$1,SMALL(IF(D_马仔培养宝物!$Z$2:$Z$64=D_马仔培养宝物!$E164,ROW($C$2:$H$64),""),RANDBETWEEN(1,VLOOKUP(D_马仔培养宝物!$E164,D_马仔培养宝物!$T$3:$U$7,2,FALSE)))-1,0)</f>
        <v>92253</v>
      </c>
      <c r="H164" s="5">
        <f t="array" aca="1" ref="H164" ca="1">OFFSET(D_马仔培养宝物!$W$1,SMALL(IF(D_马仔培养宝物!$Z$2:$Z$64=D_马仔培养宝物!$E164,ROW($C$2:$H$64),""),RANDBETWEEN(1,VLOOKUP(D_马仔培养宝物!$E164,D_马仔培养宝物!$T$3:$U$7,2,FALSE)))-1,0)</f>
        <v>92013</v>
      </c>
      <c r="J164" s="5">
        <v>92275</v>
      </c>
      <c r="K164" s="5">
        <v>92261</v>
      </c>
      <c r="L164" s="5">
        <v>92281</v>
      </c>
      <c r="M164" s="5">
        <v>92278</v>
      </c>
      <c r="N164" s="5">
        <v>92272</v>
      </c>
      <c r="O164" s="5">
        <v>92263</v>
      </c>
      <c r="P164">
        <f>VLOOKUP(J164,D_马仔培养宝物!$W$2:$AC$64,5,FALSE)+VLOOKUP(K164,D_马仔培养宝物!$W$2:$AC$64,5,FALSE)+VLOOKUP(L164,D_马仔培养宝物!$W$2:$AC$64,5,FALSE)+VLOOKUP(M164,D_马仔培养宝物!$W$2:$AC$64,5,FALSE)+VLOOKUP(N164,D_马仔培养宝物!$W$2:$AC$64,5,FALSE)+VLOOKUP(O164,D_马仔培养宝物!$W$2:$AC$64,5,FALSE)</f>
        <v>2881</v>
      </c>
      <c r="Q164">
        <f>VLOOKUP(J164,D_马仔培养宝物!$W$2:$AC$64,6,FALSE)+VLOOKUP(K164,D_马仔培养宝物!$W$2:$AC$64,6,FALSE)+VLOOKUP(L164,D_马仔培养宝物!$W$2:$AC$64,6,FALSE)+VLOOKUP(M164,D_马仔培养宝物!$W$2:$AC$64,6,FALSE)+VLOOKUP(N164,D_马仔培养宝物!$W$2:$AC$64,6,FALSE)+VLOOKUP(O164,D_马仔培养宝物!$W$2:$AC$64,6,FALSE)</f>
        <v>135</v>
      </c>
      <c r="R164">
        <f>VLOOKUP(J164,D_马仔培养宝物!$W$2:$AC$64,7,FALSE)+VLOOKUP(K164,D_马仔培养宝物!$W$2:$AC$64,7,FALSE)+VLOOKUP(L164,D_马仔培养宝物!$W$2:$AC$64,7,FALSE)+VLOOKUP(M164,D_马仔培养宝物!$W$2:$AC$64,7,FALSE)+VLOOKUP(N164,D_马仔培养宝物!$W$2:$AC$64,7,FALSE)+VLOOKUP(O164,D_马仔培养宝物!$W$2:$AC$64,7,FALSE)</f>
        <v>40</v>
      </c>
    </row>
    <row r="165" spans="3:18">
      <c r="C165" s="5">
        <f t="array" aca="1" ref="C165" ca="1">OFFSET(D_马仔培养宝物!$W$1,SMALL(IF(D_马仔培养宝物!$Z$2:$Z$64=D_马仔培养宝物!$E165,ROW($C$2:$H$64),""),RANDBETWEEN(1,VLOOKUP(D_马仔培养宝物!$E165,D_马仔培养宝物!$T$3:$U$7,2,FALSE)))-1,0)</f>
        <v>92254</v>
      </c>
      <c r="D165" s="5">
        <f t="array" aca="1" ref="D165" ca="1">OFFSET(D_马仔培养宝物!$W$1,SMALL(IF(D_马仔培养宝物!$Z$2:$Z$64=D_马仔培养宝物!$E165,ROW($C$2:$H$64),""),RANDBETWEEN(1,VLOOKUP(D_马仔培养宝物!$E165,D_马仔培养宝物!$T$3:$U$7,2,FALSE)))-1,0)</f>
        <v>92274</v>
      </c>
      <c r="E165" s="5">
        <f t="array" aca="1" ref="E165" ca="1">OFFSET(D_马仔培养宝物!$W$1,SMALL(IF(D_马仔培养宝物!$Z$2:$Z$64=D_马仔培养宝物!$E165,ROW($C$2:$H$64),""),RANDBETWEEN(1,VLOOKUP(D_马仔培养宝物!$E165,D_马仔培养宝物!$T$3:$U$7,2,FALSE)))-1,0)</f>
        <v>92227</v>
      </c>
      <c r="F165" s="5">
        <f t="array" aca="1" ref="F165" ca="1">OFFSET(D_马仔培养宝物!$W$1,SMALL(IF(D_马仔培养宝物!$Z$2:$Z$64=D_马仔培养宝物!$E165,ROW($C$2:$H$64),""),RANDBETWEEN(1,VLOOKUP(D_马仔培养宝物!$E165,D_马仔培养宝物!$T$3:$U$7,2,FALSE)))-1,0)</f>
        <v>92254</v>
      </c>
      <c r="G165" s="5">
        <f t="array" aca="1" ref="G165" ca="1">OFFSET(D_马仔培养宝物!$W$1,SMALL(IF(D_马仔培养宝物!$Z$2:$Z$64=D_马仔培养宝物!$E165,ROW($C$2:$H$64),""),RANDBETWEEN(1,VLOOKUP(D_马仔培养宝物!$E165,D_马仔培养宝物!$T$3:$U$7,2,FALSE)))-1,0)</f>
        <v>92227</v>
      </c>
      <c r="H165" s="5">
        <f t="array" aca="1" ref="H165" ca="1">OFFSET(D_马仔培养宝物!$W$1,SMALL(IF(D_马仔培养宝物!$Z$2:$Z$64=D_马仔培养宝物!$E165,ROW($C$2:$H$64),""),RANDBETWEEN(1,VLOOKUP(D_马仔培养宝物!$E165,D_马仔培养宝物!$T$3:$U$7,2,FALSE)))-1,0)</f>
        <v>92227</v>
      </c>
      <c r="J165" s="5">
        <v>92280</v>
      </c>
      <c r="K165" s="5">
        <v>92279</v>
      </c>
      <c r="L165" s="5">
        <v>92274</v>
      </c>
      <c r="M165" s="5">
        <v>92275</v>
      </c>
      <c r="N165" s="5">
        <v>92278</v>
      </c>
      <c r="O165" s="5">
        <v>92272</v>
      </c>
      <c r="P165">
        <f>VLOOKUP(J165,D_马仔培养宝物!$W$2:$AC$64,5,FALSE)+VLOOKUP(K165,D_马仔培养宝物!$W$2:$AC$64,5,FALSE)+VLOOKUP(L165,D_马仔培养宝物!$W$2:$AC$64,5,FALSE)+VLOOKUP(M165,D_马仔培养宝物!$W$2:$AC$64,5,FALSE)+VLOOKUP(N165,D_马仔培养宝物!$W$2:$AC$64,5,FALSE)+VLOOKUP(O165,D_马仔培养宝物!$W$2:$AC$64,5,FALSE)</f>
        <v>4321</v>
      </c>
      <c r="Q165">
        <f>VLOOKUP(J165,D_马仔培养宝物!$W$2:$AC$64,6,FALSE)+VLOOKUP(K165,D_马仔培养宝物!$W$2:$AC$64,6,FALSE)+VLOOKUP(L165,D_马仔培养宝物!$W$2:$AC$64,6,FALSE)+VLOOKUP(M165,D_马仔培养宝物!$W$2:$AC$64,6,FALSE)+VLOOKUP(N165,D_马仔培养宝物!$W$2:$AC$64,6,FALSE)+VLOOKUP(O165,D_马仔培养宝物!$W$2:$AC$64,6,FALSE)</f>
        <v>31</v>
      </c>
      <c r="R165">
        <f>VLOOKUP(J165,D_马仔培养宝物!$W$2:$AC$64,7,FALSE)+VLOOKUP(K165,D_马仔培养宝物!$W$2:$AC$64,7,FALSE)+VLOOKUP(L165,D_马仔培养宝物!$W$2:$AC$64,7,FALSE)+VLOOKUP(M165,D_马仔培养宝物!$W$2:$AC$64,7,FALSE)+VLOOKUP(N165,D_马仔培养宝物!$W$2:$AC$64,7,FALSE)+VLOOKUP(O165,D_马仔培养宝物!$W$2:$AC$64,7,FALSE)</f>
        <v>53</v>
      </c>
    </row>
    <row r="166" spans="3:18">
      <c r="C166" s="5">
        <f t="array" aca="1" ref="C166" ca="1">OFFSET(D_马仔培养宝物!$W$1,SMALL(IF(D_马仔培养宝物!$Z$2:$Z$64=D_马仔培养宝物!$E166,ROW($C$2:$H$64),""),RANDBETWEEN(1,VLOOKUP(D_马仔培养宝物!$E166,D_马仔培养宝物!$T$3:$U$7,2,FALSE)))-1,0)</f>
        <v>92275</v>
      </c>
      <c r="D166" s="5">
        <f t="array" aca="1" ref="D166" ca="1">OFFSET(D_马仔培养宝物!$W$1,SMALL(IF(D_马仔培养宝物!$Z$2:$Z$64=D_马仔培养宝物!$E166,ROW($C$2:$H$64),""),RANDBETWEEN(1,VLOOKUP(D_马仔培养宝物!$E166,D_马仔培养宝物!$T$3:$U$7,2,FALSE)))-1,0)</f>
        <v>92014</v>
      </c>
      <c r="E166" s="5">
        <f t="array" aca="1" ref="E166" ca="1">OFFSET(D_马仔培养宝物!$W$1,SMALL(IF(D_马仔培养宝物!$Z$2:$Z$64=D_马仔培养宝物!$E166,ROW($C$2:$H$64),""),RANDBETWEEN(1,VLOOKUP(D_马仔培养宝物!$E166,D_马仔培养宝物!$T$3:$U$7,2,FALSE)))-1,0)</f>
        <v>92294</v>
      </c>
      <c r="F166" s="5">
        <f t="array" aca="1" ref="F166" ca="1">OFFSET(D_马仔培养宝物!$W$1,SMALL(IF(D_马仔培养宝物!$Z$2:$Z$64=D_马仔培养宝物!$E166,ROW($C$2:$H$64),""),RANDBETWEEN(1,VLOOKUP(D_马仔培养宝物!$E166,D_马仔培养宝物!$T$3:$U$7,2,FALSE)))-1,0)</f>
        <v>92296</v>
      </c>
      <c r="G166" s="5">
        <f t="array" aca="1" ref="G166" ca="1">OFFSET(D_马仔培养宝物!$W$1,SMALL(IF(D_马仔培养宝物!$Z$2:$Z$64=D_马仔培养宝物!$E166,ROW($C$2:$H$64),""),RANDBETWEEN(1,VLOOKUP(D_马仔培养宝物!$E166,D_马仔培养宝物!$T$3:$U$7,2,FALSE)))-1,0)</f>
        <v>92299</v>
      </c>
      <c r="H166" s="5">
        <f t="array" aca="1" ref="H166" ca="1">OFFSET(D_马仔培养宝物!$W$1,SMALL(IF(D_马仔培养宝物!$Z$2:$Z$64=D_马仔培养宝物!$E166,ROW($C$2:$H$64),""),RANDBETWEEN(1,VLOOKUP(D_马仔培养宝物!$E166,D_马仔培养宝物!$T$3:$U$7,2,FALSE)))-1,0)</f>
        <v>92293</v>
      </c>
      <c r="J166" s="5">
        <v>92295</v>
      </c>
      <c r="K166" s="5">
        <v>92294</v>
      </c>
      <c r="L166" s="5">
        <v>92291</v>
      </c>
      <c r="M166" s="5">
        <v>92296</v>
      </c>
      <c r="N166" s="5">
        <v>92293</v>
      </c>
      <c r="O166" s="5">
        <v>92245</v>
      </c>
      <c r="P166">
        <f>VLOOKUP(J166,D_马仔培养宝物!$W$2:$AC$64,5,FALSE)+VLOOKUP(K166,D_马仔培养宝物!$W$2:$AC$64,5,FALSE)+VLOOKUP(L166,D_马仔培养宝物!$W$2:$AC$64,5,FALSE)+VLOOKUP(M166,D_马仔培养宝物!$W$2:$AC$64,5,FALSE)+VLOOKUP(N166,D_马仔培养宝物!$W$2:$AC$64,5,FALSE)+VLOOKUP(O166,D_马仔培养宝物!$W$2:$AC$64,5,FALSE)</f>
        <v>4733</v>
      </c>
      <c r="Q166">
        <f>VLOOKUP(J166,D_马仔培养宝物!$W$2:$AC$64,6,FALSE)+VLOOKUP(K166,D_马仔培养宝物!$W$2:$AC$64,6,FALSE)+VLOOKUP(L166,D_马仔培养宝物!$W$2:$AC$64,6,FALSE)+VLOOKUP(M166,D_马仔培养宝物!$W$2:$AC$64,6,FALSE)+VLOOKUP(N166,D_马仔培养宝物!$W$2:$AC$64,6,FALSE)+VLOOKUP(O166,D_马仔培养宝物!$W$2:$AC$64,6,FALSE)</f>
        <v>199</v>
      </c>
      <c r="R166">
        <f>VLOOKUP(J166,D_马仔培养宝物!$W$2:$AC$64,7,FALSE)+VLOOKUP(K166,D_马仔培养宝物!$W$2:$AC$64,7,FALSE)+VLOOKUP(L166,D_马仔培养宝物!$W$2:$AC$64,7,FALSE)+VLOOKUP(M166,D_马仔培养宝物!$W$2:$AC$64,7,FALSE)+VLOOKUP(N166,D_马仔培养宝物!$W$2:$AC$64,7,FALSE)+VLOOKUP(O166,D_马仔培养宝物!$W$2:$AC$64,7,FALSE)</f>
        <v>44</v>
      </c>
    </row>
    <row r="167" spans="3:18">
      <c r="C167" s="5">
        <f t="array" aca="1" ref="C167" ca="1">OFFSET(D_马仔培养宝物!$W$1,SMALL(IF(D_马仔培养宝物!$Z$2:$Z$64=D_马仔培养宝物!$E167,ROW($C$2:$H$64),""),RANDBETWEEN(1,VLOOKUP(D_马仔培养宝物!$E167,D_马仔培养宝物!$T$3:$U$7,2,FALSE)))-1,0)</f>
        <v>92281</v>
      </c>
      <c r="D167" s="5">
        <f t="array" aca="1" ref="D167" ca="1">OFFSET(D_马仔培养宝物!$W$1,SMALL(IF(D_马仔培养宝物!$Z$2:$Z$64=D_马仔培养宝物!$E167,ROW($C$2:$H$64),""),RANDBETWEEN(1,VLOOKUP(D_马仔培养宝物!$E167,D_马仔培养宝物!$T$3:$U$7,2,FALSE)))-1,0)</f>
        <v>92014</v>
      </c>
      <c r="E167" s="5">
        <f t="array" aca="1" ref="E167" ca="1">OFFSET(D_马仔培养宝物!$W$1,SMALL(IF(D_马仔培养宝物!$Z$2:$Z$64=D_马仔培养宝物!$E167,ROW($C$2:$H$64),""),RANDBETWEEN(1,VLOOKUP(D_马仔培养宝物!$E167,D_马仔培养宝物!$T$3:$U$7,2,FALSE)))-1,0)</f>
        <v>92240</v>
      </c>
      <c r="F167" s="5">
        <f t="array" aca="1" ref="F167" ca="1">OFFSET(D_马仔培养宝物!$W$1,SMALL(IF(D_马仔培养宝物!$Z$2:$Z$64=D_马仔培养宝物!$E167,ROW($C$2:$H$64),""),RANDBETWEEN(1,VLOOKUP(D_马仔培养宝物!$E167,D_马仔培养宝物!$T$3:$U$7,2,FALSE)))-1,0)</f>
        <v>92293</v>
      </c>
      <c r="G167" s="5">
        <f t="array" aca="1" ref="G167" ca="1">OFFSET(D_马仔培养宝物!$W$1,SMALL(IF(D_马仔培养宝物!$Z$2:$Z$64=D_马仔培养宝物!$E167,ROW($C$2:$H$64),""),RANDBETWEEN(1,VLOOKUP(D_马仔培养宝物!$E167,D_马仔培养宝物!$T$3:$U$7,2,FALSE)))-1,0)</f>
        <v>92299</v>
      </c>
      <c r="H167" s="5">
        <f t="array" aca="1" ref="H167" ca="1">OFFSET(D_马仔培养宝物!$W$1,SMALL(IF(D_马仔培养宝物!$Z$2:$Z$64=D_马仔培养宝物!$E167,ROW($C$2:$H$64),""),RANDBETWEEN(1,VLOOKUP(D_马仔培养宝物!$E167,D_马仔培养宝物!$T$3:$U$7,2,FALSE)))-1,0)</f>
        <v>92286</v>
      </c>
      <c r="J167" s="5">
        <v>92297</v>
      </c>
      <c r="K167" s="5">
        <v>92294</v>
      </c>
      <c r="L167" s="5">
        <v>92289</v>
      </c>
      <c r="M167" s="5">
        <v>92240</v>
      </c>
      <c r="N167" s="5">
        <v>92293</v>
      </c>
      <c r="O167" s="5">
        <v>92253</v>
      </c>
      <c r="P167">
        <f>VLOOKUP(J167,D_马仔培养宝物!$W$2:$AC$64,5,FALSE)+VLOOKUP(K167,D_马仔培养宝物!$W$2:$AC$64,5,FALSE)+VLOOKUP(L167,D_马仔培养宝物!$W$2:$AC$64,5,FALSE)+VLOOKUP(M167,D_马仔培养宝物!$W$2:$AC$64,5,FALSE)+VLOOKUP(N167,D_马仔培养宝物!$W$2:$AC$64,5,FALSE)+VLOOKUP(O167,D_马仔培养宝物!$W$2:$AC$64,5,FALSE)</f>
        <v>3498</v>
      </c>
      <c r="Q167">
        <f>VLOOKUP(J167,D_马仔培养宝物!$W$2:$AC$64,6,FALSE)+VLOOKUP(K167,D_马仔培养宝物!$W$2:$AC$64,6,FALSE)+VLOOKUP(L167,D_马仔培养宝物!$W$2:$AC$64,6,FALSE)+VLOOKUP(M167,D_马仔培养宝物!$W$2:$AC$64,6,FALSE)+VLOOKUP(N167,D_马仔培养宝物!$W$2:$AC$64,6,FALSE)+VLOOKUP(O167,D_马仔培养宝物!$W$2:$AC$64,6,FALSE)</f>
        <v>105</v>
      </c>
      <c r="R167">
        <f>VLOOKUP(J167,D_马仔培养宝物!$W$2:$AC$64,7,FALSE)+VLOOKUP(K167,D_马仔培养宝物!$W$2:$AC$64,7,FALSE)+VLOOKUP(L167,D_马仔培养宝物!$W$2:$AC$64,7,FALSE)+VLOOKUP(M167,D_马仔培养宝物!$W$2:$AC$64,7,FALSE)+VLOOKUP(N167,D_马仔培养宝物!$W$2:$AC$64,7,FALSE)+VLOOKUP(O167,D_马仔培养宝物!$W$2:$AC$64,7,FALSE)</f>
        <v>115</v>
      </c>
    </row>
    <row r="168" spans="3:18">
      <c r="C168" s="5">
        <f t="array" aca="1" ref="C168" ca="1">OFFSET(D_马仔培养宝物!$W$1,SMALL(IF(D_马仔培养宝物!$Z$2:$Z$64=D_马仔培养宝物!$E168,ROW($C$2:$H$64),""),RANDBETWEEN(1,VLOOKUP(D_马仔培养宝物!$E168,D_马仔培养宝物!$T$3:$U$7,2,FALSE)))-1,0)</f>
        <v>92294</v>
      </c>
      <c r="D168" s="5">
        <f t="array" aca="1" ref="D168" ca="1">OFFSET(D_马仔培养宝物!$W$1,SMALL(IF(D_马仔培养宝物!$Z$2:$Z$64=D_马仔培养宝物!$E168,ROW($C$2:$H$64),""),RANDBETWEEN(1,VLOOKUP(D_马仔培养宝物!$E168,D_马仔培养宝物!$T$3:$U$7,2,FALSE)))-1,0)</f>
        <v>92276</v>
      </c>
      <c r="E168" s="5">
        <f t="array" aca="1" ref="E168" ca="1">OFFSET(D_马仔培养宝物!$W$1,SMALL(IF(D_马仔培养宝物!$Z$2:$Z$64=D_马仔培养宝物!$E168,ROW($C$2:$H$64),""),RANDBETWEEN(1,VLOOKUP(D_马仔培养宝物!$E168,D_马仔培养宝物!$T$3:$U$7,2,FALSE)))-1,0)</f>
        <v>92255</v>
      </c>
      <c r="F168" s="5">
        <f t="array" aca="1" ref="F168" ca="1">OFFSET(D_马仔培养宝物!$W$1,SMALL(IF(D_马仔培养宝物!$Z$2:$Z$64=D_马仔培养宝物!$E168,ROW($C$2:$H$64),""),RANDBETWEEN(1,VLOOKUP(D_马仔培养宝物!$E168,D_马仔培养宝物!$T$3:$U$7,2,FALSE)))-1,0)</f>
        <v>92297</v>
      </c>
      <c r="G168" s="5">
        <f t="array" aca="1" ref="G168" ca="1">OFFSET(D_马仔培养宝物!$W$1,SMALL(IF(D_马仔培养宝物!$Z$2:$Z$64=D_马仔培养宝物!$E168,ROW($C$2:$H$64),""),RANDBETWEEN(1,VLOOKUP(D_马仔培养宝物!$E168,D_马仔培养宝物!$T$3:$U$7,2,FALSE)))-1,0)</f>
        <v>92291</v>
      </c>
      <c r="H168" s="5">
        <f t="array" aca="1" ref="H168" ca="1">OFFSET(D_马仔培养宝物!$W$1,SMALL(IF(D_马仔培养宝物!$Z$2:$Z$64=D_马仔培养宝物!$E168,ROW($C$2:$H$64),""),RANDBETWEEN(1,VLOOKUP(D_马仔培养宝物!$E168,D_马仔培养宝物!$T$3:$U$7,2,FALSE)))-1,0)</f>
        <v>92297</v>
      </c>
      <c r="J168" s="5">
        <v>92251</v>
      </c>
      <c r="K168" s="5">
        <v>92253</v>
      </c>
      <c r="L168" s="5">
        <v>92288</v>
      </c>
      <c r="M168" s="5">
        <v>92291</v>
      </c>
      <c r="N168" s="5">
        <v>92292</v>
      </c>
      <c r="O168" s="5">
        <v>92294</v>
      </c>
      <c r="P168">
        <f>VLOOKUP(J168,D_马仔培养宝物!$W$2:$AC$64,5,FALSE)+VLOOKUP(K168,D_马仔培养宝物!$W$2:$AC$64,5,FALSE)+VLOOKUP(L168,D_马仔培养宝物!$W$2:$AC$64,5,FALSE)+VLOOKUP(M168,D_马仔培养宝物!$W$2:$AC$64,5,FALSE)+VLOOKUP(N168,D_马仔培养宝物!$W$2:$AC$64,5,FALSE)+VLOOKUP(O168,D_马仔培养宝物!$W$2:$AC$64,5,FALSE)</f>
        <v>5350</v>
      </c>
      <c r="Q168">
        <f>VLOOKUP(J168,D_马仔培养宝物!$W$2:$AC$64,6,FALSE)+VLOOKUP(K168,D_马仔培养宝物!$W$2:$AC$64,6,FALSE)+VLOOKUP(L168,D_马仔培养宝物!$W$2:$AC$64,6,FALSE)+VLOOKUP(M168,D_马仔培养宝物!$W$2:$AC$64,6,FALSE)+VLOOKUP(N168,D_马仔培养宝物!$W$2:$AC$64,6,FALSE)+VLOOKUP(O168,D_马仔培养宝物!$W$2:$AC$64,6,FALSE)</f>
        <v>83</v>
      </c>
      <c r="R168">
        <f>VLOOKUP(J168,D_马仔培养宝物!$W$2:$AC$64,7,FALSE)+VLOOKUP(K168,D_马仔培养宝物!$W$2:$AC$64,7,FALSE)+VLOOKUP(L168,D_马仔培养宝物!$W$2:$AC$64,7,FALSE)+VLOOKUP(M168,D_马仔培养宝物!$W$2:$AC$64,7,FALSE)+VLOOKUP(N168,D_马仔培养宝物!$W$2:$AC$64,7,FALSE)+VLOOKUP(O168,D_马仔培养宝物!$W$2:$AC$64,7,FALSE)</f>
        <v>44</v>
      </c>
    </row>
    <row r="169" spans="3:18" ht="14.25" thickBot="1">
      <c r="C169" s="22">
        <f t="array" aca="1" ref="C169" ca="1">OFFSET(D_马仔培养宝物!$W$1,SMALL(IF(D_马仔培养宝物!$Z$2:$Z$64=D_马仔培养宝物!$E169,ROW($C$2:$H$64),""),RANDBETWEEN(1,VLOOKUP(D_马仔培养宝物!$E169,D_马仔培养宝物!$T$3:$U$7,2,FALSE)))-1,0)</f>
        <v>92256</v>
      </c>
      <c r="D169" s="22">
        <f t="array" aca="1" ref="D169" ca="1">OFFSET(D_马仔培养宝物!$W$1,SMALL(IF(D_马仔培养宝物!$Z$2:$Z$64=D_马仔培养宝物!$E169,ROW($C$2:$H$64),""),RANDBETWEEN(1,VLOOKUP(D_马仔培养宝物!$E169,D_马仔培养宝物!$T$3:$U$7,2,FALSE)))-1,0)</f>
        <v>92261</v>
      </c>
      <c r="E169" s="22">
        <f t="array" aca="1" ref="E169" ca="1">OFFSET(D_马仔培养宝物!$W$1,SMALL(IF(D_马仔培养宝物!$Z$2:$Z$64=D_马仔培养宝物!$E169,ROW($C$2:$H$64),""),RANDBETWEEN(1,VLOOKUP(D_马仔培养宝物!$E169,D_马仔培养宝物!$T$3:$U$7,2,FALSE)))-1,0)</f>
        <v>92295</v>
      </c>
      <c r="F169" s="22">
        <f t="array" aca="1" ref="F169" ca="1">OFFSET(D_马仔培养宝物!$W$1,SMALL(IF(D_马仔培养宝物!$Z$2:$Z$64=D_马仔培养宝物!$E169,ROW($C$2:$H$64),""),RANDBETWEEN(1,VLOOKUP(D_马仔培养宝物!$E169,D_马仔培养宝物!$T$3:$U$7,2,FALSE)))-1,0)</f>
        <v>92293</v>
      </c>
      <c r="G169" s="22">
        <f t="array" aca="1" ref="G169" ca="1">OFFSET(D_马仔培养宝物!$W$1,SMALL(IF(D_马仔培养宝物!$Z$2:$Z$64=D_马仔培养宝物!$E169,ROW($C$2:$H$64),""),RANDBETWEEN(1,VLOOKUP(D_马仔培养宝物!$E169,D_马仔培养宝物!$T$3:$U$7,2,FALSE)))-1,0)</f>
        <v>92240</v>
      </c>
      <c r="H169" s="22">
        <f t="array" aca="1" ref="H169" ca="1">OFFSET(D_马仔培养宝物!$W$1,SMALL(IF(D_马仔培养宝物!$Z$2:$Z$64=D_马仔培养宝物!$E169,ROW($C$2:$H$64),""),RANDBETWEEN(1,VLOOKUP(D_马仔培养宝物!$E169,D_马仔培养宝物!$T$3:$U$7,2,FALSE)))-1,0)</f>
        <v>92240</v>
      </c>
      <c r="J169" s="22">
        <v>92252</v>
      </c>
      <c r="K169" s="22">
        <v>92255</v>
      </c>
      <c r="L169" s="22">
        <v>92289</v>
      </c>
      <c r="M169" s="22">
        <v>92291</v>
      </c>
      <c r="N169" s="22">
        <v>92245</v>
      </c>
      <c r="O169" s="22">
        <v>92294</v>
      </c>
      <c r="P169">
        <f>VLOOKUP(J169,D_马仔培养宝物!$W$2:$AC$64,5,FALSE)+VLOOKUP(K169,D_马仔培养宝物!$W$2:$AC$64,5,FALSE)+VLOOKUP(L169,D_马仔培养宝物!$W$2:$AC$64,5,FALSE)+VLOOKUP(M169,D_马仔培养宝物!$W$2:$AC$64,5,FALSE)+VLOOKUP(N169,D_马仔培养宝物!$W$2:$AC$64,5,FALSE)+VLOOKUP(O169,D_马仔培养宝物!$W$2:$AC$64,5,FALSE)</f>
        <v>2675</v>
      </c>
      <c r="Q169">
        <f>VLOOKUP(J169,D_马仔培养宝物!$W$2:$AC$64,6,FALSE)+VLOOKUP(K169,D_马仔培养宝物!$W$2:$AC$64,6,FALSE)+VLOOKUP(L169,D_马仔培养宝物!$W$2:$AC$64,6,FALSE)+VLOOKUP(M169,D_马仔培养宝物!$W$2:$AC$64,6,FALSE)+VLOOKUP(N169,D_马仔培养宝物!$W$2:$AC$64,6,FALSE)+VLOOKUP(O169,D_马仔培养宝物!$W$2:$AC$64,6,FALSE)</f>
        <v>52</v>
      </c>
      <c r="R169">
        <f>VLOOKUP(J169,D_马仔培养宝物!$W$2:$AC$64,7,FALSE)+VLOOKUP(K169,D_马仔培养宝物!$W$2:$AC$64,7,FALSE)+VLOOKUP(L169,D_马仔培养宝物!$W$2:$AC$64,7,FALSE)+VLOOKUP(M169,D_马仔培养宝物!$W$2:$AC$64,7,FALSE)+VLOOKUP(N169,D_马仔培养宝物!$W$2:$AC$64,7,FALSE)+VLOOKUP(O169,D_马仔培养宝物!$W$2:$AC$64,7,FALSE)</f>
        <v>119</v>
      </c>
    </row>
    <row r="170" spans="3:18">
      <c r="C170" s="19">
        <f t="array" aca="1" ref="C170" ca="1">OFFSET(D_马仔培养宝物!$W$1,SMALL(IF(D_马仔培养宝物!$Z$2:$Z$64=D_马仔培养宝物!$E170,ROW($C$2:$H$64),""),RANDBETWEEN(1,VLOOKUP(D_马仔培养宝物!$E170,D_马仔培养宝物!$T$3:$U$7,2,FALSE)))-1,0)</f>
        <v>92011</v>
      </c>
      <c r="D170" s="19">
        <f t="array" aca="1" ref="D170" ca="1">OFFSET(D_马仔培养宝物!$W$1,SMALL(IF(D_马仔培养宝物!$Z$2:$Z$64=D_马仔培养宝物!$E170,ROW($C$2:$H$64),""),RANDBETWEEN(1,VLOOKUP(D_马仔培养宝物!$E170,D_马仔培养宝物!$T$3:$U$7,2,FALSE)))-1,0)</f>
        <v>92131</v>
      </c>
      <c r="E170" s="19">
        <f t="array" aca="1" ref="E170" ca="1">OFFSET(D_马仔培养宝物!$W$1,SMALL(IF(D_马仔培养宝物!$Z$2:$Z$64=D_马仔培养宝物!$E170,ROW($C$2:$H$64),""),RANDBETWEEN(1,VLOOKUP(D_马仔培养宝物!$E170,D_马仔培养宝物!$T$3:$U$7,2,FALSE)))-1,0)</f>
        <v>92011</v>
      </c>
      <c r="F170" s="19">
        <f t="array" aca="1" ref="F170" ca="1">OFFSET(D_马仔培养宝物!$W$1,SMALL(IF(D_马仔培养宝物!$Z$2:$Z$64=D_马仔培养宝物!$E170,ROW($C$2:$H$64),""),RANDBETWEEN(1,VLOOKUP(D_马仔培养宝物!$E170,D_马仔培养宝物!$T$3:$U$7,2,FALSE)))-1,0)</f>
        <v>92121</v>
      </c>
      <c r="G170" s="19">
        <f t="array" aca="1" ref="G170" ca="1">OFFSET(D_马仔培养宝物!$W$1,SMALL(IF(D_马仔培养宝物!$Z$2:$Z$64=D_马仔培养宝物!$E170,ROW($C$2:$H$64),""),RANDBETWEEN(1,VLOOKUP(D_马仔培养宝物!$E170,D_马仔培养宝物!$T$3:$U$7,2,FALSE)))-1,0)</f>
        <v>92263</v>
      </c>
      <c r="H170" s="19">
        <f t="array" aca="1" ref="H170" ca="1">OFFSET(D_马仔培养宝物!$W$1,SMALL(IF(D_马仔培养宝物!$Z$2:$Z$64=D_马仔培养宝物!$E170,ROW($C$2:$H$64),""),RANDBETWEEN(1,VLOOKUP(D_马仔培养宝物!$E170,D_马仔培养宝物!$T$3:$U$7,2,FALSE)))-1,0)</f>
        <v>92121</v>
      </c>
      <c r="J170" s="19">
        <v>92026</v>
      </c>
      <c r="K170" s="19">
        <v>92014</v>
      </c>
      <c r="L170" s="19">
        <v>92013</v>
      </c>
      <c r="M170" s="19">
        <v>92012</v>
      </c>
      <c r="N170" s="19">
        <v>92011</v>
      </c>
      <c r="O170" s="19">
        <v>92223</v>
      </c>
      <c r="P170">
        <f>VLOOKUP(J170,D_马仔培养宝物!$W$2:$AC$64,5,FALSE)+VLOOKUP(K170,D_马仔培养宝物!$W$2:$AC$64,5,FALSE)+VLOOKUP(L170,D_马仔培养宝物!$W$2:$AC$64,5,FALSE)+VLOOKUP(M170,D_马仔培养宝物!$W$2:$AC$64,5,FALSE)+VLOOKUP(N170,D_马仔培养宝物!$W$2:$AC$64,5,FALSE)+VLOOKUP(O170,D_马仔培养宝物!$W$2:$AC$64,5,FALSE)</f>
        <v>2881</v>
      </c>
      <c r="Q170">
        <f>VLOOKUP(J170,D_马仔培养宝物!$W$2:$AC$64,6,FALSE)+VLOOKUP(K170,D_马仔培养宝物!$W$2:$AC$64,6,FALSE)+VLOOKUP(L170,D_马仔培养宝物!$W$2:$AC$64,6,FALSE)+VLOOKUP(M170,D_马仔培养宝物!$W$2:$AC$64,6,FALSE)+VLOOKUP(N170,D_马仔培养宝物!$W$2:$AC$64,6,FALSE)+VLOOKUP(O170,D_马仔培养宝物!$W$2:$AC$64,6,FALSE)</f>
        <v>115</v>
      </c>
      <c r="R170">
        <f>VLOOKUP(J170,D_马仔培养宝物!$W$2:$AC$64,7,FALSE)+VLOOKUP(K170,D_马仔培养宝物!$W$2:$AC$64,7,FALSE)+VLOOKUP(L170,D_马仔培养宝物!$W$2:$AC$64,7,FALSE)+VLOOKUP(M170,D_马仔培养宝物!$W$2:$AC$64,7,FALSE)+VLOOKUP(N170,D_马仔培养宝物!$W$2:$AC$64,7,FALSE)+VLOOKUP(O170,D_马仔培养宝物!$W$2:$AC$64,7,FALSE)</f>
        <v>62</v>
      </c>
    </row>
    <row r="171" spans="3:18">
      <c r="C171" s="5">
        <f t="array" aca="1" ref="C171" ca="1">OFFSET(D_马仔培养宝物!$W$1,SMALL(IF(D_马仔培养宝物!$Z$2:$Z$64=D_马仔培养宝物!$E171,ROW($C$2:$H$64),""),RANDBETWEEN(1,VLOOKUP(D_马仔培养宝物!$E171,D_马仔培养宝物!$T$3:$U$7,2,FALSE)))-1,0)</f>
        <v>92263</v>
      </c>
      <c r="D171" s="5">
        <f t="array" aca="1" ref="D171" ca="1">OFFSET(D_马仔培养宝物!$W$1,SMALL(IF(D_马仔培养宝物!$Z$2:$Z$64=D_马仔培养宝物!$E171,ROW($C$2:$H$64),""),RANDBETWEEN(1,VLOOKUP(D_马仔培养宝物!$E171,D_马仔培养宝物!$T$3:$U$7,2,FALSE)))-1,0)</f>
        <v>92131</v>
      </c>
      <c r="E171" s="5">
        <f t="array" aca="1" ref="E171" ca="1">OFFSET(D_马仔培养宝物!$W$1,SMALL(IF(D_马仔培养宝物!$Z$2:$Z$64=D_马仔培养宝物!$E171,ROW($C$2:$H$64),""),RANDBETWEEN(1,VLOOKUP(D_马仔培养宝物!$E171,D_马仔培养宝物!$T$3:$U$7,2,FALSE)))-1,0)</f>
        <v>92277</v>
      </c>
      <c r="F171" s="5">
        <f t="array" aca="1" ref="F171" ca="1">OFFSET(D_马仔培养宝物!$W$1,SMALL(IF(D_马仔培养宝物!$Z$2:$Z$64=D_马仔培养宝物!$E171,ROW($C$2:$H$64),""),RANDBETWEEN(1,VLOOKUP(D_马仔培养宝物!$E171,D_马仔培养宝物!$T$3:$U$7,2,FALSE)))-1,0)</f>
        <v>92244</v>
      </c>
      <c r="G171" s="5">
        <f t="array" aca="1" ref="G171" ca="1">OFFSET(D_马仔培养宝物!$W$1,SMALL(IF(D_马仔培养宝物!$Z$2:$Z$64=D_马仔培养宝物!$E171,ROW($C$2:$H$64),""),RANDBETWEEN(1,VLOOKUP(D_马仔培养宝物!$E171,D_马仔培养宝物!$T$3:$U$7,2,FALSE)))-1,0)</f>
        <v>92277</v>
      </c>
      <c r="H171" s="5">
        <f t="array" aca="1" ref="H171" ca="1">OFFSET(D_马仔培养宝物!$W$1,SMALL(IF(D_马仔培养宝物!$Z$2:$Z$64=D_马仔培养宝物!$E171,ROW($C$2:$H$64),""),RANDBETWEEN(1,VLOOKUP(D_马仔培养宝物!$E171,D_马仔培养宝物!$T$3:$U$7,2,FALSE)))-1,0)</f>
        <v>92243</v>
      </c>
      <c r="J171" s="5">
        <v>92125</v>
      </c>
      <c r="K171" s="5">
        <v>92014</v>
      </c>
      <c r="L171" s="5">
        <v>92011</v>
      </c>
      <c r="M171" s="5">
        <v>92227</v>
      </c>
      <c r="N171" s="5">
        <v>92223</v>
      </c>
      <c r="O171" s="5">
        <v>92013</v>
      </c>
      <c r="P171">
        <f>VLOOKUP(J171,D_马仔培养宝物!$W$2:$AC$64,5,FALSE)+VLOOKUP(K171,D_马仔培养宝物!$W$2:$AC$64,5,FALSE)+VLOOKUP(L171,D_马仔培养宝物!$W$2:$AC$64,5,FALSE)+VLOOKUP(M171,D_马仔培养宝物!$W$2:$AC$64,5,FALSE)+VLOOKUP(N171,D_马仔培养宝物!$W$2:$AC$64,5,FALSE)+VLOOKUP(O171,D_马仔培养宝物!$W$2:$AC$64,5,FALSE)</f>
        <v>3292</v>
      </c>
      <c r="Q171">
        <f>VLOOKUP(J171,D_马仔培养宝物!$W$2:$AC$64,6,FALSE)+VLOOKUP(K171,D_马仔培养宝物!$W$2:$AC$64,6,FALSE)+VLOOKUP(L171,D_马仔培养宝物!$W$2:$AC$64,6,FALSE)+VLOOKUP(M171,D_马仔培养宝物!$W$2:$AC$64,6,FALSE)+VLOOKUP(N171,D_马仔培养宝物!$W$2:$AC$64,6,FALSE)+VLOOKUP(O171,D_马仔培养宝物!$W$2:$AC$64,6,FALSE)</f>
        <v>10</v>
      </c>
      <c r="R171">
        <f>VLOOKUP(J171,D_马仔培养宝物!$W$2:$AC$64,7,FALSE)+VLOOKUP(K171,D_马仔培养宝物!$W$2:$AC$64,7,FALSE)+VLOOKUP(L171,D_马仔培养宝物!$W$2:$AC$64,7,FALSE)+VLOOKUP(M171,D_马仔培养宝物!$W$2:$AC$64,7,FALSE)+VLOOKUP(N171,D_马仔培养宝物!$W$2:$AC$64,7,FALSE)+VLOOKUP(O171,D_马仔培养宝物!$W$2:$AC$64,7,FALSE)</f>
        <v>93</v>
      </c>
    </row>
    <row r="172" spans="3:18">
      <c r="C172" s="5">
        <f t="array" aca="1" ref="C172" ca="1">OFFSET(D_马仔培养宝物!$W$1,SMALL(IF(D_马仔培养宝物!$Z$2:$Z$64=D_马仔培养宝物!$E172,ROW($C$2:$H$64),""),RANDBETWEEN(1,VLOOKUP(D_马仔培养宝物!$E172,D_马仔培养宝物!$T$3:$U$7,2,FALSE)))-1,0)</f>
        <v>92233</v>
      </c>
      <c r="D172" s="5">
        <f t="array" aca="1" ref="D172" ca="1">OFFSET(D_马仔培养宝物!$W$1,SMALL(IF(D_马仔培养宝物!$Z$2:$Z$64=D_马仔培养宝物!$E172,ROW($C$2:$H$64),""),RANDBETWEEN(1,VLOOKUP(D_马仔培养宝物!$E172,D_马仔培养宝物!$T$3:$U$7,2,FALSE)))-1,0)</f>
        <v>92264</v>
      </c>
      <c r="E172" s="5">
        <f t="array" aca="1" ref="E172" ca="1">OFFSET(D_马仔培养宝物!$W$1,SMALL(IF(D_马仔培养宝物!$Z$2:$Z$64=D_马仔培养宝物!$E172,ROW($C$2:$H$64),""),RANDBETWEEN(1,VLOOKUP(D_马仔培养宝物!$E172,D_马仔培养宝物!$T$3:$U$7,2,FALSE)))-1,0)</f>
        <v>92271</v>
      </c>
      <c r="F172" s="5">
        <f t="array" aca="1" ref="F172" ca="1">OFFSET(D_马仔培养宝物!$W$1,SMALL(IF(D_马仔培养宝物!$Z$2:$Z$64=D_马仔培养宝物!$E172,ROW($C$2:$H$64),""),RANDBETWEEN(1,VLOOKUP(D_马仔培养宝物!$E172,D_马仔培养宝物!$T$3:$U$7,2,FALSE)))-1,0)</f>
        <v>92251</v>
      </c>
      <c r="G172" s="5">
        <f t="array" aca="1" ref="G172" ca="1">OFFSET(D_马仔培养宝物!$W$1,SMALL(IF(D_马仔培养宝物!$Z$2:$Z$64=D_马仔培养宝物!$E172,ROW($C$2:$H$64),""),RANDBETWEEN(1,VLOOKUP(D_马仔培养宝物!$E172,D_马仔培养宝物!$T$3:$U$7,2,FALSE)))-1,0)</f>
        <v>92251</v>
      </c>
      <c r="H172" s="5">
        <f t="array" aca="1" ref="H172" ca="1">OFFSET(D_马仔培养宝物!$W$1,SMALL(IF(D_马仔培养宝物!$Z$2:$Z$64=D_马仔培养宝物!$E172,ROW($C$2:$H$64),""),RANDBETWEEN(1,VLOOKUP(D_马仔培养宝物!$E172,D_马仔培养宝物!$T$3:$U$7,2,FALSE)))-1,0)</f>
        <v>92233</v>
      </c>
      <c r="J172" s="5">
        <v>92233</v>
      </c>
      <c r="K172" s="5">
        <v>92236</v>
      </c>
      <c r="L172" s="5">
        <v>92271</v>
      </c>
      <c r="M172" s="5">
        <v>92235</v>
      </c>
      <c r="N172" s="5">
        <v>92232</v>
      </c>
      <c r="O172" s="5">
        <v>92228</v>
      </c>
      <c r="P172">
        <f>VLOOKUP(J172,D_马仔培养宝物!$W$2:$AC$64,5,FALSE)+VLOOKUP(K172,D_马仔培养宝物!$W$2:$AC$64,5,FALSE)+VLOOKUP(L172,D_马仔培养宝物!$W$2:$AC$64,5,FALSE)+VLOOKUP(M172,D_马仔培养宝物!$W$2:$AC$64,5,FALSE)+VLOOKUP(N172,D_马仔培养宝物!$W$2:$AC$64,5,FALSE)+VLOOKUP(O172,D_马仔培养宝物!$W$2:$AC$64,5,FALSE)</f>
        <v>1440</v>
      </c>
      <c r="Q172">
        <f>VLOOKUP(J172,D_马仔培养宝物!$W$2:$AC$64,6,FALSE)+VLOOKUP(K172,D_马仔培养宝物!$W$2:$AC$64,6,FALSE)+VLOOKUP(L172,D_马仔培养宝物!$W$2:$AC$64,6,FALSE)+VLOOKUP(M172,D_马仔培养宝物!$W$2:$AC$64,6,FALSE)+VLOOKUP(N172,D_马仔培养宝物!$W$2:$AC$64,6,FALSE)+VLOOKUP(O172,D_马仔培养宝物!$W$2:$AC$64,6,FALSE)</f>
        <v>73</v>
      </c>
      <c r="R172">
        <f>VLOOKUP(J172,D_马仔培养宝物!$W$2:$AC$64,7,FALSE)+VLOOKUP(K172,D_马仔培养宝物!$W$2:$AC$64,7,FALSE)+VLOOKUP(L172,D_马仔培养宝物!$W$2:$AC$64,7,FALSE)+VLOOKUP(M172,D_马仔培养宝物!$W$2:$AC$64,7,FALSE)+VLOOKUP(N172,D_马仔培养宝物!$W$2:$AC$64,7,FALSE)+VLOOKUP(O172,D_马仔培养宝物!$W$2:$AC$64,7,FALSE)</f>
        <v>26</v>
      </c>
    </row>
    <row r="173" spans="3:18">
      <c r="C173" s="5">
        <f t="array" aca="1" ref="C173" ca="1">OFFSET(D_马仔培养宝物!$W$1,SMALL(IF(D_马仔培养宝物!$Z$2:$Z$64=D_马仔培养宝物!$E173,ROW($C$2:$H$64),""),RANDBETWEEN(1,VLOOKUP(D_马仔培养宝物!$E173,D_马仔培养宝物!$T$3:$U$7,2,FALSE)))-1,0)</f>
        <v>92245</v>
      </c>
      <c r="D173" s="5">
        <f t="array" aca="1" ref="D173" ca="1">OFFSET(D_马仔培养宝物!$W$1,SMALL(IF(D_马仔培养宝物!$Z$2:$Z$64=D_马仔培养宝物!$E173,ROW($C$2:$H$64),""),RANDBETWEEN(1,VLOOKUP(D_马仔培养宝物!$E173,D_马仔培养宝物!$T$3:$U$7,2,FALSE)))-1,0)</f>
        <v>92283</v>
      </c>
      <c r="E173" s="5">
        <f t="array" aca="1" ref="E173" ca="1">OFFSET(D_马仔培养宝物!$W$1,SMALL(IF(D_马仔培养宝物!$Z$2:$Z$64=D_马仔培养宝物!$E173,ROW($C$2:$H$64),""),RANDBETWEEN(1,VLOOKUP(D_马仔培养宝物!$E173,D_马仔培养宝物!$T$3:$U$7,2,FALSE)))-1,0)</f>
        <v>92271</v>
      </c>
      <c r="F173" s="5">
        <f t="array" aca="1" ref="F173" ca="1">OFFSET(D_马仔培养宝物!$W$1,SMALL(IF(D_马仔培养宝物!$Z$2:$Z$64=D_马仔培养宝物!$E173,ROW($C$2:$H$64),""),RANDBETWEEN(1,VLOOKUP(D_马仔培养宝物!$E173,D_马仔培养宝物!$T$3:$U$7,2,FALSE)))-1,0)</f>
        <v>92264</v>
      </c>
      <c r="G173" s="5">
        <f t="array" aca="1" ref="G173" ca="1">OFFSET(D_马仔培养宝物!$W$1,SMALL(IF(D_马仔培养宝物!$Z$2:$Z$64=D_马仔培养宝物!$E173,ROW($C$2:$H$64),""),RANDBETWEEN(1,VLOOKUP(D_马仔培养宝物!$E173,D_马仔培养宝物!$T$3:$U$7,2,FALSE)))-1,0)</f>
        <v>92264</v>
      </c>
      <c r="H173" s="5">
        <f t="array" aca="1" ref="H173" ca="1">OFFSET(D_马仔培养宝物!$W$1,SMALL(IF(D_马仔培养宝物!$Z$2:$Z$64=D_马仔培养宝物!$E173,ROW($C$2:$H$64),""),RANDBETWEEN(1,VLOOKUP(D_马仔培养宝物!$E173,D_马仔培养宝物!$T$3:$U$7,2,FALSE)))-1,0)</f>
        <v>92122</v>
      </c>
      <c r="J173" s="5">
        <v>92235</v>
      </c>
      <c r="K173" s="5">
        <v>92286</v>
      </c>
      <c r="L173" s="5">
        <v>92233</v>
      </c>
      <c r="M173" s="5">
        <v>92228</v>
      </c>
      <c r="N173" s="5">
        <v>92236</v>
      </c>
      <c r="O173" s="5">
        <v>92271</v>
      </c>
      <c r="P173">
        <f>VLOOKUP(J173,D_马仔培养宝物!$W$2:$AC$64,5,FALSE)+VLOOKUP(K173,D_马仔培养宝物!$W$2:$AC$64,5,FALSE)+VLOOKUP(L173,D_马仔培养宝物!$W$2:$AC$64,5,FALSE)+VLOOKUP(M173,D_马仔培养宝物!$W$2:$AC$64,5,FALSE)+VLOOKUP(N173,D_马仔培养宝物!$W$2:$AC$64,5,FALSE)+VLOOKUP(O173,D_马仔培养宝物!$W$2:$AC$64,5,FALSE)</f>
        <v>1234</v>
      </c>
      <c r="Q173">
        <f>VLOOKUP(J173,D_马仔培养宝物!$W$2:$AC$64,6,FALSE)+VLOOKUP(K173,D_马仔培养宝物!$W$2:$AC$64,6,FALSE)+VLOOKUP(L173,D_马仔培养宝物!$W$2:$AC$64,6,FALSE)+VLOOKUP(M173,D_马仔培养宝物!$W$2:$AC$64,6,FALSE)+VLOOKUP(N173,D_马仔培养宝物!$W$2:$AC$64,6,FALSE)+VLOOKUP(O173,D_马仔培养宝物!$W$2:$AC$64,6,FALSE)</f>
        <v>73</v>
      </c>
      <c r="R173">
        <f>VLOOKUP(J173,D_马仔培养宝物!$W$2:$AC$64,7,FALSE)+VLOOKUP(K173,D_马仔培养宝物!$W$2:$AC$64,7,FALSE)+VLOOKUP(L173,D_马仔培养宝物!$W$2:$AC$64,7,FALSE)+VLOOKUP(M173,D_马仔培养宝物!$W$2:$AC$64,7,FALSE)+VLOOKUP(N173,D_马仔培养宝物!$W$2:$AC$64,7,FALSE)+VLOOKUP(O173,D_马仔培养宝物!$W$2:$AC$64,7,FALSE)</f>
        <v>66</v>
      </c>
    </row>
    <row r="174" spans="3:18">
      <c r="C174" s="5">
        <f t="array" aca="1" ref="C174" ca="1">OFFSET(D_马仔培养宝物!$W$1,SMALL(IF(D_马仔培养宝物!$Z$2:$Z$64=D_马仔培养宝物!$E174,ROW($C$2:$H$64),""),RANDBETWEEN(1,VLOOKUP(D_马仔培养宝物!$E174,D_马仔培养宝物!$T$3:$U$7,2,FALSE)))-1,0)</f>
        <v>92273</v>
      </c>
      <c r="D174" s="5">
        <f t="array" aca="1" ref="D174" ca="1">OFFSET(D_马仔培养宝物!$W$1,SMALL(IF(D_马仔培养宝物!$Z$2:$Z$64=D_马仔培养宝物!$E174,ROW($C$2:$H$64),""),RANDBETWEEN(1,VLOOKUP(D_马仔培养宝物!$E174,D_马仔培养宝物!$T$3:$U$7,2,FALSE)))-1,0)</f>
        <v>92273</v>
      </c>
      <c r="E174" s="5">
        <f t="array" aca="1" ref="E174" ca="1">OFFSET(D_马仔培养宝物!$W$1,SMALL(IF(D_马仔培养宝物!$Z$2:$Z$64=D_马仔培养宝物!$E174,ROW($C$2:$H$64),""),RANDBETWEEN(1,VLOOKUP(D_马仔培养宝物!$E174,D_马仔培养宝物!$T$3:$U$7,2,FALSE)))-1,0)</f>
        <v>92252</v>
      </c>
      <c r="F174" s="5">
        <f t="array" aca="1" ref="F174" ca="1">OFFSET(D_马仔培养宝物!$W$1,SMALL(IF(D_马仔培养宝物!$Z$2:$Z$64=D_马仔培养宝物!$E174,ROW($C$2:$H$64),""),RANDBETWEEN(1,VLOOKUP(D_马仔培养宝物!$E174,D_马仔培养宝物!$T$3:$U$7,2,FALSE)))-1,0)</f>
        <v>92124</v>
      </c>
      <c r="G174" s="5">
        <f t="array" aca="1" ref="G174" ca="1">OFFSET(D_马仔培养宝物!$W$1,SMALL(IF(D_马仔培养宝物!$Z$2:$Z$64=D_马仔培养宝物!$E174,ROW($C$2:$H$64),""),RANDBETWEEN(1,VLOOKUP(D_马仔培养宝物!$E174,D_马仔培养宝物!$T$3:$U$7,2,FALSE)))-1,0)</f>
        <v>92012</v>
      </c>
      <c r="H174" s="5">
        <f t="array" aca="1" ref="H174" ca="1">OFFSET(D_马仔培养宝物!$W$1,SMALL(IF(D_马仔培养宝物!$Z$2:$Z$64=D_马仔培养宝物!$E174,ROW($C$2:$H$64),""),RANDBETWEEN(1,VLOOKUP(D_马仔培养宝物!$E174,D_马仔培养宝物!$T$3:$U$7,2,FALSE)))-1,0)</f>
        <v>92012</v>
      </c>
      <c r="J174" s="5">
        <v>92262</v>
      </c>
      <c r="K174" s="5">
        <v>92282</v>
      </c>
      <c r="L174" s="5">
        <v>92285</v>
      </c>
      <c r="M174" s="5">
        <v>92142</v>
      </c>
      <c r="N174" s="5">
        <v>92141</v>
      </c>
      <c r="O174" s="5">
        <v>92283</v>
      </c>
      <c r="P174">
        <f>VLOOKUP(J174,D_马仔培养宝物!$W$2:$AC$64,5,FALSE)+VLOOKUP(K174,D_马仔培养宝物!$W$2:$AC$64,5,FALSE)+VLOOKUP(L174,D_马仔培养宝物!$W$2:$AC$64,5,FALSE)+VLOOKUP(M174,D_马仔培养宝物!$W$2:$AC$64,5,FALSE)+VLOOKUP(N174,D_马仔培养宝物!$W$2:$AC$64,5,FALSE)+VLOOKUP(O174,D_马仔培养宝物!$W$2:$AC$64,5,FALSE)</f>
        <v>0</v>
      </c>
      <c r="Q174">
        <f>VLOOKUP(J174,D_马仔培养宝物!$W$2:$AC$64,6,FALSE)+VLOOKUP(K174,D_马仔培养宝物!$W$2:$AC$64,6,FALSE)+VLOOKUP(L174,D_马仔培养宝物!$W$2:$AC$64,6,FALSE)+VLOOKUP(M174,D_马仔培养宝物!$W$2:$AC$64,6,FALSE)+VLOOKUP(N174,D_马仔培养宝物!$W$2:$AC$64,6,FALSE)+VLOOKUP(O174,D_马仔培养宝物!$W$2:$AC$64,6,FALSE)</f>
        <v>335</v>
      </c>
      <c r="R174">
        <f>VLOOKUP(J174,D_马仔培养宝物!$W$2:$AC$64,7,FALSE)+VLOOKUP(K174,D_马仔培养宝物!$W$2:$AC$64,7,FALSE)+VLOOKUP(L174,D_马仔培养宝物!$W$2:$AC$64,7,FALSE)+VLOOKUP(M174,D_马仔培养宝物!$W$2:$AC$64,7,FALSE)+VLOOKUP(N174,D_马仔培养宝物!$W$2:$AC$64,7,FALSE)+VLOOKUP(O174,D_马仔培养宝物!$W$2:$AC$64,7,FALSE)</f>
        <v>26</v>
      </c>
    </row>
    <row r="175" spans="3:18">
      <c r="C175" s="5">
        <f t="array" aca="1" ref="C175" ca="1">OFFSET(D_马仔培养宝物!$W$1,SMALL(IF(D_马仔培养宝物!$Z$2:$Z$64=D_马仔培养宝物!$E175,ROW($C$2:$H$64),""),RANDBETWEEN(1,VLOOKUP(D_马仔培养宝物!$E175,D_马仔培养宝物!$T$3:$U$7,2,FALSE)))-1,0)</f>
        <v>92284</v>
      </c>
      <c r="D175" s="5">
        <f t="array" aca="1" ref="D175" ca="1">OFFSET(D_马仔培养宝物!$W$1,SMALL(IF(D_马仔培养宝物!$Z$2:$Z$64=D_马仔培养宝物!$E175,ROW($C$2:$H$64),""),RANDBETWEEN(1,VLOOKUP(D_马仔培养宝物!$E175,D_马仔培养宝物!$T$3:$U$7,2,FALSE)))-1,0)</f>
        <v>92288</v>
      </c>
      <c r="E175" s="5">
        <f t="array" aca="1" ref="E175" ca="1">OFFSET(D_马仔培养宝物!$W$1,SMALL(IF(D_马仔培养宝物!$Z$2:$Z$64=D_马仔培养宝物!$E175,ROW($C$2:$H$64),""),RANDBETWEEN(1,VLOOKUP(D_马仔培养宝物!$E175,D_马仔培养宝物!$T$3:$U$7,2,FALSE)))-1,0)</f>
        <v>92284</v>
      </c>
      <c r="F175" s="5">
        <f t="array" aca="1" ref="F175" ca="1">OFFSET(D_马仔培养宝物!$W$1,SMALL(IF(D_马仔培养宝物!$Z$2:$Z$64=D_马仔培养宝物!$E175,ROW($C$2:$H$64),""),RANDBETWEEN(1,VLOOKUP(D_马仔培养宝物!$E175,D_马仔培养宝物!$T$3:$U$7,2,FALSE)))-1,0)</f>
        <v>92252</v>
      </c>
      <c r="G175" s="5">
        <f t="array" aca="1" ref="G175" ca="1">OFFSET(D_马仔培养宝物!$W$1,SMALL(IF(D_马仔培养宝物!$Z$2:$Z$64=D_马仔培养宝物!$E175,ROW($C$2:$H$64),""),RANDBETWEEN(1,VLOOKUP(D_马仔培养宝物!$E175,D_马仔培养宝物!$T$3:$U$7,2,FALSE)))-1,0)</f>
        <v>92252</v>
      </c>
      <c r="H175" s="5">
        <f t="array" aca="1" ref="H175" ca="1">OFFSET(D_马仔培养宝物!$W$1,SMALL(IF(D_马仔培养宝物!$Z$2:$Z$64=D_马仔培养宝物!$E175,ROW($C$2:$H$64),""),RANDBETWEEN(1,VLOOKUP(D_马仔培养宝物!$E175,D_马仔培养宝物!$T$3:$U$7,2,FALSE)))-1,0)</f>
        <v>92012</v>
      </c>
      <c r="J175" s="5">
        <v>92142</v>
      </c>
      <c r="K175" s="5">
        <v>92284</v>
      </c>
      <c r="L175" s="5">
        <v>92134</v>
      </c>
      <c r="M175" s="5">
        <v>92285</v>
      </c>
      <c r="N175" s="5">
        <v>92141</v>
      </c>
      <c r="O175" s="5">
        <v>92282</v>
      </c>
      <c r="P175">
        <f>VLOOKUP(J175,D_马仔培养宝物!$W$2:$AC$64,5,FALSE)+VLOOKUP(K175,D_马仔培养宝物!$W$2:$AC$64,5,FALSE)+VLOOKUP(L175,D_马仔培养宝物!$W$2:$AC$64,5,FALSE)+VLOOKUP(M175,D_马仔培养宝物!$W$2:$AC$64,5,FALSE)+VLOOKUP(N175,D_马仔培养宝物!$W$2:$AC$64,5,FALSE)+VLOOKUP(O175,D_马仔培养宝物!$W$2:$AC$64,5,FALSE)</f>
        <v>1029</v>
      </c>
      <c r="Q175">
        <f>VLOOKUP(J175,D_马仔培养宝物!$W$2:$AC$64,6,FALSE)+VLOOKUP(K175,D_马仔培养宝物!$W$2:$AC$64,6,FALSE)+VLOOKUP(L175,D_马仔培养宝物!$W$2:$AC$64,6,FALSE)+VLOOKUP(M175,D_马仔培养宝物!$W$2:$AC$64,6,FALSE)+VLOOKUP(N175,D_马仔培养宝物!$W$2:$AC$64,6,FALSE)+VLOOKUP(O175,D_马仔培养宝物!$W$2:$AC$64,6,FALSE)</f>
        <v>303</v>
      </c>
      <c r="R175">
        <f>VLOOKUP(J175,D_马仔培养宝物!$W$2:$AC$64,7,FALSE)+VLOOKUP(K175,D_马仔培养宝物!$W$2:$AC$64,7,FALSE)+VLOOKUP(L175,D_马仔培养宝物!$W$2:$AC$64,7,FALSE)+VLOOKUP(M175,D_马仔培养宝物!$W$2:$AC$64,7,FALSE)+VLOOKUP(N175,D_马仔培养宝物!$W$2:$AC$64,7,FALSE)+VLOOKUP(O175,D_马仔培养宝物!$W$2:$AC$64,7,FALSE)</f>
        <v>13</v>
      </c>
    </row>
    <row r="176" spans="3:18">
      <c r="C176" s="5">
        <f t="array" aca="1" ref="C176" ca="1">OFFSET(D_马仔培养宝物!$W$1,SMALL(IF(D_马仔培养宝物!$Z$2:$Z$64=D_马仔培养宝物!$E176,ROW($C$2:$H$64),""),RANDBETWEEN(1,VLOOKUP(D_马仔培养宝物!$E176,D_马仔培养宝物!$T$3:$U$7,2,FALSE)))-1,0)</f>
        <v>92285</v>
      </c>
      <c r="D176" s="5">
        <f t="array" aca="1" ref="D176" ca="1">OFFSET(D_马仔培养宝物!$W$1,SMALL(IF(D_马仔培养宝物!$Z$2:$Z$64=D_马仔培养宝物!$E176,ROW($C$2:$H$64),""),RANDBETWEEN(1,VLOOKUP(D_马仔培养宝物!$E176,D_马仔培养宝物!$T$3:$U$7,2,FALSE)))-1,0)</f>
        <v>92274</v>
      </c>
      <c r="E176" s="5">
        <f t="array" aca="1" ref="E176" ca="1">OFFSET(D_马仔培养宝物!$W$1,SMALL(IF(D_马仔培养宝物!$Z$2:$Z$64=D_马仔培养宝物!$E176,ROW($C$2:$H$64),""),RANDBETWEEN(1,VLOOKUP(D_马仔培养宝物!$E176,D_马仔培养宝物!$T$3:$U$7,2,FALSE)))-1,0)</f>
        <v>92134</v>
      </c>
      <c r="F176" s="5">
        <f t="array" aca="1" ref="F176" ca="1">OFFSET(D_马仔培养宝物!$W$1,SMALL(IF(D_马仔培养宝物!$Z$2:$Z$64=D_马仔培养宝物!$E176,ROW($C$2:$H$64),""),RANDBETWEEN(1,VLOOKUP(D_马仔培养宝物!$E176,D_马仔培养宝物!$T$3:$U$7,2,FALSE)))-1,0)</f>
        <v>92274</v>
      </c>
      <c r="G176" s="5">
        <f t="array" aca="1" ref="G176" ca="1">OFFSET(D_马仔培养宝物!$W$1,SMALL(IF(D_马仔培养宝物!$Z$2:$Z$64=D_马仔培养宝物!$E176,ROW($C$2:$H$64),""),RANDBETWEEN(1,VLOOKUP(D_马仔培养宝物!$E176,D_马仔培养宝物!$T$3:$U$7,2,FALSE)))-1,0)</f>
        <v>92285</v>
      </c>
      <c r="H176" s="5">
        <f t="array" aca="1" ref="H176" ca="1">OFFSET(D_马仔培养宝物!$W$1,SMALL(IF(D_马仔培养宝物!$Z$2:$Z$64=D_马仔培养宝物!$E176,ROW($C$2:$H$64),""),RANDBETWEEN(1,VLOOKUP(D_马仔培养宝物!$E176,D_马仔培养宝物!$T$3:$U$7,2,FALSE)))-1,0)</f>
        <v>92280</v>
      </c>
      <c r="J176" s="5">
        <v>92264</v>
      </c>
      <c r="K176" s="5">
        <v>92274</v>
      </c>
      <c r="L176" s="5">
        <v>92272</v>
      </c>
      <c r="M176" s="5">
        <v>92275</v>
      </c>
      <c r="N176" s="5">
        <v>92276</v>
      </c>
      <c r="O176" s="5">
        <v>92277</v>
      </c>
      <c r="P176">
        <f>VLOOKUP(J176,D_马仔培养宝物!$W$2:$AC$64,5,FALSE)+VLOOKUP(K176,D_马仔培养宝物!$W$2:$AC$64,5,FALSE)+VLOOKUP(L176,D_马仔培养宝物!$W$2:$AC$64,5,FALSE)+VLOOKUP(M176,D_马仔培养宝物!$W$2:$AC$64,5,FALSE)+VLOOKUP(N176,D_马仔培养宝物!$W$2:$AC$64,5,FALSE)+VLOOKUP(O176,D_马仔培养宝物!$W$2:$AC$64,5,FALSE)</f>
        <v>4939</v>
      </c>
      <c r="Q176">
        <f>VLOOKUP(J176,D_马仔培养宝物!$W$2:$AC$64,6,FALSE)+VLOOKUP(K176,D_马仔培养宝物!$W$2:$AC$64,6,FALSE)+VLOOKUP(L176,D_马仔培养宝物!$W$2:$AC$64,6,FALSE)+VLOOKUP(M176,D_马仔培养宝物!$W$2:$AC$64,6,FALSE)+VLOOKUP(N176,D_马仔培养宝物!$W$2:$AC$64,6,FALSE)+VLOOKUP(O176,D_马仔培养宝物!$W$2:$AC$64,6,FALSE)</f>
        <v>0</v>
      </c>
      <c r="R176">
        <f>VLOOKUP(J176,D_马仔培养宝物!$W$2:$AC$64,7,FALSE)+VLOOKUP(K176,D_马仔培养宝物!$W$2:$AC$64,7,FALSE)+VLOOKUP(L176,D_马仔培养宝物!$W$2:$AC$64,7,FALSE)+VLOOKUP(M176,D_马仔培养宝物!$W$2:$AC$64,7,FALSE)+VLOOKUP(N176,D_马仔培养宝物!$W$2:$AC$64,7,FALSE)+VLOOKUP(O176,D_马仔培养宝物!$W$2:$AC$64,7,FALSE)</f>
        <v>48</v>
      </c>
    </row>
    <row r="177" spans="3:18">
      <c r="C177" s="5">
        <f t="array" aca="1" ref="C177" ca="1">OFFSET(D_马仔培养宝物!$W$1,SMALL(IF(D_马仔培养宝物!$Z$2:$Z$64=D_马仔培养宝物!$E177,ROW($C$2:$H$64),""),RANDBETWEEN(1,VLOOKUP(D_马仔培养宝物!$E177,D_马仔培养宝物!$T$3:$U$7,2,FALSE)))-1,0)</f>
        <v>92134</v>
      </c>
      <c r="D177" s="5">
        <f t="array" aca="1" ref="D177" ca="1">OFFSET(D_马仔培养宝物!$W$1,SMALL(IF(D_马仔培养宝物!$Z$2:$Z$64=D_马仔培养宝物!$E177,ROW($C$2:$H$64),""),RANDBETWEEN(1,VLOOKUP(D_马仔培养宝物!$E177,D_马仔培养宝物!$T$3:$U$7,2,FALSE)))-1,0)</f>
        <v>92253</v>
      </c>
      <c r="E177" s="5">
        <f t="array" aca="1" ref="E177" ca="1">OFFSET(D_马仔培养宝物!$W$1,SMALL(IF(D_马仔培养宝物!$Z$2:$Z$64=D_马仔培养宝物!$E177,ROW($C$2:$H$64),""),RANDBETWEEN(1,VLOOKUP(D_马仔培养宝物!$E177,D_马仔培养宝物!$T$3:$U$7,2,FALSE)))-1,0)</f>
        <v>92254</v>
      </c>
      <c r="F177" s="5">
        <f t="array" aca="1" ref="F177" ca="1">OFFSET(D_马仔培养宝物!$W$1,SMALL(IF(D_马仔培养宝物!$Z$2:$Z$64=D_马仔培养宝物!$E177,ROW($C$2:$H$64),""),RANDBETWEEN(1,VLOOKUP(D_马仔培养宝物!$E177,D_马仔培养宝物!$T$3:$U$7,2,FALSE)))-1,0)</f>
        <v>92125</v>
      </c>
      <c r="G177" s="5">
        <f t="array" aca="1" ref="G177" ca="1">OFFSET(D_马仔培养宝物!$W$1,SMALL(IF(D_马仔培养宝物!$Z$2:$Z$64=D_马仔培养宝物!$E177,ROW($C$2:$H$64),""),RANDBETWEEN(1,VLOOKUP(D_马仔培养宝物!$E177,D_马仔培养宝物!$T$3:$U$7,2,FALSE)))-1,0)</f>
        <v>92253</v>
      </c>
      <c r="H177" s="5">
        <f t="array" aca="1" ref="H177" ca="1">OFFSET(D_马仔培养宝物!$W$1,SMALL(IF(D_马仔培养宝物!$Z$2:$Z$64=D_马仔培养宝物!$E177,ROW($C$2:$H$64),""),RANDBETWEEN(1,VLOOKUP(D_马仔培养宝物!$E177,D_马仔培养宝物!$T$3:$U$7,2,FALSE)))-1,0)</f>
        <v>92285</v>
      </c>
      <c r="J177" s="5">
        <v>92264</v>
      </c>
      <c r="K177" s="5">
        <v>92281</v>
      </c>
      <c r="L177" s="5">
        <v>92278</v>
      </c>
      <c r="M177" s="5">
        <v>92263</v>
      </c>
      <c r="N177" s="5">
        <v>92272</v>
      </c>
      <c r="O177" s="5">
        <v>92279</v>
      </c>
      <c r="P177">
        <f>VLOOKUP(J177,D_马仔培养宝物!$W$2:$AC$64,5,FALSE)+VLOOKUP(K177,D_马仔培养宝物!$W$2:$AC$64,5,FALSE)+VLOOKUP(L177,D_马仔培养宝物!$W$2:$AC$64,5,FALSE)+VLOOKUP(M177,D_马仔培养宝物!$W$2:$AC$64,5,FALSE)+VLOOKUP(N177,D_马仔培养宝物!$W$2:$AC$64,5,FALSE)+VLOOKUP(O177,D_马仔培养宝物!$W$2:$AC$64,5,FALSE)</f>
        <v>1029</v>
      </c>
      <c r="Q177">
        <f>VLOOKUP(J177,D_马仔培养宝物!$W$2:$AC$64,6,FALSE)+VLOOKUP(K177,D_马仔培养宝物!$W$2:$AC$64,6,FALSE)+VLOOKUP(L177,D_马仔培养宝物!$W$2:$AC$64,6,FALSE)+VLOOKUP(M177,D_马仔培养宝物!$W$2:$AC$64,6,FALSE)+VLOOKUP(N177,D_马仔培养宝物!$W$2:$AC$64,6,FALSE)+VLOOKUP(O177,D_马仔培养宝物!$W$2:$AC$64,6,FALSE)</f>
        <v>135</v>
      </c>
      <c r="R177">
        <f>VLOOKUP(J177,D_马仔培养宝物!$W$2:$AC$64,7,FALSE)+VLOOKUP(K177,D_马仔培养宝物!$W$2:$AC$64,7,FALSE)+VLOOKUP(L177,D_马仔培养宝物!$W$2:$AC$64,7,FALSE)+VLOOKUP(M177,D_马仔培养宝物!$W$2:$AC$64,7,FALSE)+VLOOKUP(N177,D_马仔培养宝物!$W$2:$AC$64,7,FALSE)+VLOOKUP(O177,D_马仔培养宝物!$W$2:$AC$64,7,FALSE)</f>
        <v>35</v>
      </c>
    </row>
    <row r="178" spans="3:18">
      <c r="C178" s="5">
        <f t="array" aca="1" ref="C178" ca="1">OFFSET(D_马仔培养宝物!$W$1,SMALL(IF(D_马仔培养宝物!$Z$2:$Z$64=D_马仔培养宝物!$E178,ROW($C$2:$H$64),""),RANDBETWEEN(1,VLOOKUP(D_马仔培养宝物!$E178,D_马仔培养宝物!$T$3:$U$7,2,FALSE)))-1,0)</f>
        <v>92262</v>
      </c>
      <c r="D178" s="5">
        <f t="array" aca="1" ref="D178" ca="1">OFFSET(D_马仔培养宝物!$W$1,SMALL(IF(D_马仔培养宝物!$Z$2:$Z$64=D_马仔培养宝物!$E178,ROW($C$2:$H$64),""),RANDBETWEEN(1,VLOOKUP(D_马仔培养宝物!$E178,D_马仔培养宝物!$T$3:$U$7,2,FALSE)))-1,0)</f>
        <v>92276</v>
      </c>
      <c r="E178" s="5">
        <f t="array" aca="1" ref="E178" ca="1">OFFSET(D_马仔培养宝物!$W$1,SMALL(IF(D_马仔培养宝物!$Z$2:$Z$64=D_马仔培养宝物!$E178,ROW($C$2:$H$64),""),RANDBETWEEN(1,VLOOKUP(D_马仔培养宝物!$E178,D_马仔培养宝物!$T$3:$U$7,2,FALSE)))-1,0)</f>
        <v>92296</v>
      </c>
      <c r="F178" s="5">
        <f t="array" aca="1" ref="F178" ca="1">OFFSET(D_马仔培养宝物!$W$1,SMALL(IF(D_马仔培养宝物!$Z$2:$Z$64=D_马仔培养宝物!$E178,ROW($C$2:$H$64),""),RANDBETWEEN(1,VLOOKUP(D_马仔培养宝物!$E178,D_马仔培养宝物!$T$3:$U$7,2,FALSE)))-1,0)</f>
        <v>92290</v>
      </c>
      <c r="G178" s="5">
        <f t="array" aca="1" ref="G178" ca="1">OFFSET(D_马仔培养宝物!$W$1,SMALL(IF(D_马仔培养宝物!$Z$2:$Z$64=D_马仔培养宝物!$E178,ROW($C$2:$H$64),""),RANDBETWEEN(1,VLOOKUP(D_马仔培养宝物!$E178,D_马仔培养宝物!$T$3:$U$7,2,FALSE)))-1,0)</f>
        <v>92290</v>
      </c>
      <c r="H178" s="5">
        <f t="array" aca="1" ref="H178" ca="1">OFFSET(D_马仔培养宝物!$W$1,SMALL(IF(D_马仔培养宝物!$Z$2:$Z$64=D_马仔培养宝物!$E178,ROW($C$2:$H$64),""),RANDBETWEEN(1,VLOOKUP(D_马仔培养宝物!$E178,D_马仔培养宝物!$T$3:$U$7,2,FALSE)))-1,0)</f>
        <v>92293</v>
      </c>
      <c r="J178" s="5">
        <v>92256</v>
      </c>
      <c r="K178" s="5">
        <v>92294</v>
      </c>
      <c r="L178" s="5">
        <v>92299</v>
      </c>
      <c r="M178" s="5">
        <v>92243</v>
      </c>
      <c r="N178" s="5">
        <v>92295</v>
      </c>
      <c r="O178" s="5">
        <v>92240</v>
      </c>
      <c r="P178">
        <f>VLOOKUP(J178,D_马仔培养宝物!$W$2:$AC$64,5,FALSE)+VLOOKUP(K178,D_马仔培养宝物!$W$2:$AC$64,5,FALSE)+VLOOKUP(L178,D_马仔培养宝物!$W$2:$AC$64,5,FALSE)+VLOOKUP(M178,D_马仔培养宝物!$W$2:$AC$64,5,FALSE)+VLOOKUP(N178,D_马仔培养宝物!$W$2:$AC$64,5,FALSE)+VLOOKUP(O178,D_马仔培养宝物!$W$2:$AC$64,5,FALSE)</f>
        <v>2058</v>
      </c>
      <c r="Q178">
        <f>VLOOKUP(J178,D_马仔培养宝物!$W$2:$AC$64,6,FALSE)+VLOOKUP(K178,D_马仔培养宝物!$W$2:$AC$64,6,FALSE)+VLOOKUP(L178,D_马仔培养宝物!$W$2:$AC$64,6,FALSE)+VLOOKUP(M178,D_马仔培养宝物!$W$2:$AC$64,6,FALSE)+VLOOKUP(N178,D_马仔培养宝物!$W$2:$AC$64,6,FALSE)+VLOOKUP(O178,D_马仔培养宝物!$W$2:$AC$64,6,FALSE)</f>
        <v>94</v>
      </c>
      <c r="R178">
        <f>VLOOKUP(J178,D_马仔培养宝物!$W$2:$AC$64,7,FALSE)+VLOOKUP(K178,D_马仔培养宝物!$W$2:$AC$64,7,FALSE)+VLOOKUP(L178,D_马仔培养宝物!$W$2:$AC$64,7,FALSE)+VLOOKUP(M178,D_马仔培养宝物!$W$2:$AC$64,7,FALSE)+VLOOKUP(N178,D_马仔培养宝物!$W$2:$AC$64,7,FALSE)+VLOOKUP(O178,D_马仔培养宝物!$W$2:$AC$64,7,FALSE)</f>
        <v>132</v>
      </c>
    </row>
    <row r="179" spans="3:18">
      <c r="C179" s="5">
        <f t="array" aca="1" ref="C179" ca="1">OFFSET(D_马仔培养宝物!$W$1,SMALL(IF(D_马仔培养宝物!$Z$2:$Z$64=D_马仔培养宝物!$E179,ROW($C$2:$H$64),""),RANDBETWEEN(1,VLOOKUP(D_马仔培养宝物!$E179,D_马仔培养宝物!$T$3:$U$7,2,FALSE)))-1,0)</f>
        <v>92240</v>
      </c>
      <c r="D179" s="5">
        <f t="array" aca="1" ref="D179" ca="1">OFFSET(D_马仔培养宝物!$W$1,SMALL(IF(D_马仔培养宝物!$Z$2:$Z$64=D_马仔培养宝物!$E179,ROW($C$2:$H$64),""),RANDBETWEEN(1,VLOOKUP(D_马仔培养宝物!$E179,D_马仔培养宝物!$T$3:$U$7,2,FALSE)))-1,0)</f>
        <v>92296</v>
      </c>
      <c r="E179" s="5">
        <f t="array" aca="1" ref="E179" ca="1">OFFSET(D_马仔培养宝物!$W$1,SMALL(IF(D_马仔培养宝物!$Z$2:$Z$64=D_马仔培养宝物!$E179,ROW($C$2:$H$64),""),RANDBETWEEN(1,VLOOKUP(D_马仔培养宝物!$E179,D_马仔培养宝物!$T$3:$U$7,2,FALSE)))-1,0)</f>
        <v>92297</v>
      </c>
      <c r="F179" s="5">
        <f t="array" aca="1" ref="F179" ca="1">OFFSET(D_马仔培养宝物!$W$1,SMALL(IF(D_马仔培养宝物!$Z$2:$Z$64=D_马仔培养宝物!$E179,ROW($C$2:$H$64),""),RANDBETWEEN(1,VLOOKUP(D_马仔培养宝物!$E179,D_马仔培养宝物!$T$3:$U$7,2,FALSE)))-1,0)</f>
        <v>92281</v>
      </c>
      <c r="G179" s="5">
        <f t="array" aca="1" ref="G179" ca="1">OFFSET(D_马仔培养宝物!$W$1,SMALL(IF(D_马仔培养宝物!$Z$2:$Z$64=D_马仔培养宝物!$E179,ROW($C$2:$H$64),""),RANDBETWEEN(1,VLOOKUP(D_马仔培养宝物!$E179,D_马仔培养宝物!$T$3:$U$7,2,FALSE)))-1,0)</f>
        <v>92299</v>
      </c>
      <c r="H179" s="5">
        <f t="array" aca="1" ref="H179" ca="1">OFFSET(D_马仔培养宝物!$W$1,SMALL(IF(D_马仔培养宝物!$Z$2:$Z$64=D_马仔培养宝物!$E179,ROW($C$2:$H$64),""),RANDBETWEEN(1,VLOOKUP(D_马仔培养宝物!$E179,D_马仔培养宝物!$T$3:$U$7,2,FALSE)))-1,0)</f>
        <v>92297</v>
      </c>
      <c r="J179" s="5">
        <v>92290</v>
      </c>
      <c r="K179" s="5">
        <v>92252</v>
      </c>
      <c r="L179" s="5">
        <v>92253</v>
      </c>
      <c r="M179" s="5">
        <v>92244</v>
      </c>
      <c r="N179" s="5">
        <v>92295</v>
      </c>
      <c r="O179" s="5">
        <v>92288</v>
      </c>
      <c r="P179">
        <f>VLOOKUP(J179,D_马仔培养宝物!$W$2:$AC$64,5,FALSE)+VLOOKUP(K179,D_马仔培养宝物!$W$2:$AC$64,5,FALSE)+VLOOKUP(L179,D_马仔培养宝物!$W$2:$AC$64,5,FALSE)+VLOOKUP(M179,D_马仔培养宝物!$W$2:$AC$64,5,FALSE)+VLOOKUP(N179,D_马仔培养宝物!$W$2:$AC$64,5,FALSE)+VLOOKUP(O179,D_马仔培养宝物!$W$2:$AC$64,5,FALSE)</f>
        <v>5556</v>
      </c>
      <c r="Q179">
        <f>VLOOKUP(J179,D_马仔培养宝物!$W$2:$AC$64,6,FALSE)+VLOOKUP(K179,D_马仔培养宝物!$W$2:$AC$64,6,FALSE)+VLOOKUP(L179,D_马仔培养宝物!$W$2:$AC$64,6,FALSE)+VLOOKUP(M179,D_马仔培养宝物!$W$2:$AC$64,6,FALSE)+VLOOKUP(N179,D_马仔培养宝物!$W$2:$AC$64,6,FALSE)+VLOOKUP(O179,D_马仔培养宝物!$W$2:$AC$64,6,FALSE)</f>
        <v>104</v>
      </c>
      <c r="R179">
        <f>VLOOKUP(J179,D_马仔培养宝物!$W$2:$AC$64,7,FALSE)+VLOOKUP(K179,D_马仔培养宝物!$W$2:$AC$64,7,FALSE)+VLOOKUP(L179,D_马仔培养宝物!$W$2:$AC$64,7,FALSE)+VLOOKUP(M179,D_马仔培养宝物!$W$2:$AC$64,7,FALSE)+VLOOKUP(N179,D_马仔培养宝物!$W$2:$AC$64,7,FALSE)+VLOOKUP(O179,D_马仔培养宝物!$W$2:$AC$64,7,FALSE)</f>
        <v>0</v>
      </c>
    </row>
    <row r="180" spans="3:18">
      <c r="C180" s="5">
        <f t="array" aca="1" ref="C180" ca="1">OFFSET(D_马仔培养宝物!$W$1,SMALL(IF(D_马仔培养宝物!$Z$2:$Z$64=D_马仔培养宝物!$E180,ROW($C$2:$H$64),""),RANDBETWEEN(1,VLOOKUP(D_马仔培养宝物!$E180,D_马仔培养宝物!$T$3:$U$7,2,FALSE)))-1,0)</f>
        <v>92299</v>
      </c>
      <c r="D180" s="5">
        <f t="array" aca="1" ref="D180" ca="1">OFFSET(D_马仔培养宝物!$W$1,SMALL(IF(D_马仔培养宝物!$Z$2:$Z$64=D_马仔培养宝物!$E180,ROW($C$2:$H$64),""),RANDBETWEEN(1,VLOOKUP(D_马仔培养宝物!$E180,D_马仔培养宝物!$T$3:$U$7,2,FALSE)))-1,0)</f>
        <v>92292</v>
      </c>
      <c r="E180" s="5">
        <f t="array" aca="1" ref="E180" ca="1">OFFSET(D_马仔培养宝物!$W$1,SMALL(IF(D_马仔培养宝物!$Z$2:$Z$64=D_马仔培养宝物!$E180,ROW($C$2:$H$64),""),RANDBETWEEN(1,VLOOKUP(D_马仔培养宝物!$E180,D_马仔培养宝物!$T$3:$U$7,2,FALSE)))-1,0)</f>
        <v>92026</v>
      </c>
      <c r="F180" s="5">
        <f t="array" aca="1" ref="F180" ca="1">OFFSET(D_马仔培养宝物!$W$1,SMALL(IF(D_马仔培养宝物!$Z$2:$Z$64=D_马仔培养宝物!$E180,ROW($C$2:$H$64),""),RANDBETWEEN(1,VLOOKUP(D_马仔培养宝物!$E180,D_马仔培养宝物!$T$3:$U$7,2,FALSE)))-1,0)</f>
        <v>92261</v>
      </c>
      <c r="G180" s="5">
        <f t="array" aca="1" ref="G180" ca="1">OFFSET(D_马仔培养宝物!$W$1,SMALL(IF(D_马仔培养宝物!$Z$2:$Z$64=D_马仔培养宝物!$E180,ROW($C$2:$H$64),""),RANDBETWEEN(1,VLOOKUP(D_马仔培养宝物!$E180,D_马仔培养宝物!$T$3:$U$7,2,FALSE)))-1,0)</f>
        <v>92275</v>
      </c>
      <c r="H180" s="5">
        <f t="array" aca="1" ref="H180" ca="1">OFFSET(D_马仔培养宝物!$W$1,SMALL(IF(D_马仔培养宝物!$Z$2:$Z$64=D_马仔培养宝物!$E180,ROW($C$2:$H$64),""),RANDBETWEEN(1,VLOOKUP(D_马仔培养宝物!$E180,D_马仔培养宝物!$T$3:$U$7,2,FALSE)))-1,0)</f>
        <v>92014</v>
      </c>
      <c r="J180" s="5">
        <v>92245</v>
      </c>
      <c r="K180" s="5">
        <v>92294</v>
      </c>
      <c r="L180" s="5">
        <v>92240</v>
      </c>
      <c r="M180" s="5">
        <v>92244</v>
      </c>
      <c r="N180" s="5">
        <v>92299</v>
      </c>
      <c r="O180" s="5">
        <v>92290</v>
      </c>
      <c r="P180">
        <f>VLOOKUP(J180,D_马仔培养宝物!$W$2:$AC$64,5,FALSE)+VLOOKUP(K180,D_马仔培养宝物!$W$2:$AC$64,5,FALSE)+VLOOKUP(L180,D_马仔培养宝物!$W$2:$AC$64,5,FALSE)+VLOOKUP(M180,D_马仔培养宝物!$W$2:$AC$64,5,FALSE)+VLOOKUP(N180,D_马仔培养宝物!$W$2:$AC$64,5,FALSE)+VLOOKUP(O180,D_马仔培养宝物!$W$2:$AC$64,5,FALSE)</f>
        <v>2675</v>
      </c>
      <c r="Q180">
        <f>VLOOKUP(J180,D_马仔培养宝物!$W$2:$AC$64,6,FALSE)+VLOOKUP(K180,D_马仔培养宝物!$W$2:$AC$64,6,FALSE)+VLOOKUP(L180,D_马仔培养宝物!$W$2:$AC$64,6,FALSE)+VLOOKUP(M180,D_马仔培养宝物!$W$2:$AC$64,6,FALSE)+VLOOKUP(N180,D_马仔培养宝物!$W$2:$AC$64,6,FALSE)+VLOOKUP(O180,D_马仔培养宝物!$W$2:$AC$64,6,FALSE)</f>
        <v>0</v>
      </c>
      <c r="R180">
        <f>VLOOKUP(J180,D_马仔培养宝物!$W$2:$AC$64,7,FALSE)+VLOOKUP(K180,D_马仔培养宝物!$W$2:$AC$64,7,FALSE)+VLOOKUP(L180,D_马仔培养宝物!$W$2:$AC$64,7,FALSE)+VLOOKUP(M180,D_马仔培养宝物!$W$2:$AC$64,7,FALSE)+VLOOKUP(N180,D_马仔培养宝物!$W$2:$AC$64,7,FALSE)+VLOOKUP(O180,D_马仔培养宝物!$W$2:$AC$64,7,FALSE)</f>
        <v>128</v>
      </c>
    </row>
    <row r="181" spans="3:18" ht="14.25" thickBot="1">
      <c r="C181" s="22">
        <f t="array" aca="1" ref="C181" ca="1">OFFSET(D_马仔培养宝物!$W$1,SMALL(IF(D_马仔培养宝物!$Z$2:$Z$64=D_马仔培养宝物!$E181,ROW($C$2:$H$64),""),RANDBETWEEN(1,VLOOKUP(D_马仔培养宝物!$E181,D_马仔培养宝物!$T$3:$U$7,2,FALSE)))-1,0)</f>
        <v>92261</v>
      </c>
      <c r="D181" s="22">
        <f t="array" aca="1" ref="D181" ca="1">OFFSET(D_马仔培养宝物!$W$1,SMALL(IF(D_马仔培养宝物!$Z$2:$Z$64=D_马仔培养宝物!$E181,ROW($C$2:$H$64),""),RANDBETWEEN(1,VLOOKUP(D_马仔培养宝物!$E181,D_马仔培养宝物!$T$3:$U$7,2,FALSE)))-1,0)</f>
        <v>92275</v>
      </c>
      <c r="E181" s="22">
        <f t="array" aca="1" ref="E181" ca="1">OFFSET(D_马仔培养宝物!$W$1,SMALL(IF(D_马仔培养宝物!$Z$2:$Z$64=D_马仔培养宝物!$E181,ROW($C$2:$H$64),""),RANDBETWEEN(1,VLOOKUP(D_马仔培养宝物!$E181,D_马仔培养宝物!$T$3:$U$7,2,FALSE)))-1,0)</f>
        <v>92261</v>
      </c>
      <c r="F181" s="22">
        <f t="array" aca="1" ref="F181" ca="1">OFFSET(D_马仔培养宝物!$W$1,SMALL(IF(D_马仔培养宝物!$Z$2:$Z$64=D_马仔培养宝物!$E181,ROW($C$2:$H$64),""),RANDBETWEEN(1,VLOOKUP(D_马仔培养宝物!$E181,D_马仔培养宝物!$T$3:$U$7,2,FALSE)))-1,0)</f>
        <v>92261</v>
      </c>
      <c r="G181" s="22">
        <f t="array" aca="1" ref="G181" ca="1">OFFSET(D_马仔培养宝物!$W$1,SMALL(IF(D_马仔培养宝物!$Z$2:$Z$64=D_马仔培养宝物!$E181,ROW($C$2:$H$64),""),RANDBETWEEN(1,VLOOKUP(D_马仔培养宝物!$E181,D_马仔培养宝物!$T$3:$U$7,2,FALSE)))-1,0)</f>
        <v>92255</v>
      </c>
      <c r="H181" s="22">
        <f t="array" aca="1" ref="H181" ca="1">OFFSET(D_马仔培养宝物!$W$1,SMALL(IF(D_马仔培养宝物!$Z$2:$Z$64=D_马仔培养宝物!$E181,ROW($C$2:$H$64),""),RANDBETWEEN(1,VLOOKUP(D_马仔培养宝物!$E181,D_马仔培养宝物!$T$3:$U$7,2,FALSE)))-1,0)</f>
        <v>92292</v>
      </c>
      <c r="J181" s="22">
        <v>92288</v>
      </c>
      <c r="K181" s="22">
        <v>92293</v>
      </c>
      <c r="L181" s="22">
        <v>92292</v>
      </c>
      <c r="M181" s="22">
        <v>92240</v>
      </c>
      <c r="N181" s="22">
        <v>92254</v>
      </c>
      <c r="O181" s="22">
        <v>92253</v>
      </c>
      <c r="P181">
        <f>VLOOKUP(J181,D_马仔培养宝物!$W$2:$AC$64,5,FALSE)+VLOOKUP(K181,D_马仔培养宝物!$W$2:$AC$64,5,FALSE)+VLOOKUP(L181,D_马仔培养宝物!$W$2:$AC$64,5,FALSE)+VLOOKUP(M181,D_马仔培养宝物!$W$2:$AC$64,5,FALSE)+VLOOKUP(N181,D_马仔培养宝物!$W$2:$AC$64,5,FALSE)+VLOOKUP(O181,D_马仔培养宝物!$W$2:$AC$64,5,FALSE)</f>
        <v>3292</v>
      </c>
      <c r="Q181">
        <f>VLOOKUP(J181,D_马仔培养宝物!$W$2:$AC$64,6,FALSE)+VLOOKUP(K181,D_马仔培养宝物!$W$2:$AC$64,6,FALSE)+VLOOKUP(L181,D_马仔培养宝物!$W$2:$AC$64,6,FALSE)+VLOOKUP(M181,D_马仔培养宝物!$W$2:$AC$64,6,FALSE)+VLOOKUP(N181,D_马仔培养宝物!$W$2:$AC$64,6,FALSE)+VLOOKUP(O181,D_马仔培养宝物!$W$2:$AC$64,6,FALSE)</f>
        <v>230</v>
      </c>
      <c r="R181">
        <f>VLOOKUP(J181,D_马仔培养宝物!$W$2:$AC$64,7,FALSE)+VLOOKUP(K181,D_马仔培养宝物!$W$2:$AC$64,7,FALSE)+VLOOKUP(L181,D_马仔培养宝物!$W$2:$AC$64,7,FALSE)+VLOOKUP(M181,D_马仔培养宝物!$W$2:$AC$64,7,FALSE)+VLOOKUP(N181,D_马仔培养宝物!$W$2:$AC$64,7,FALSE)+VLOOKUP(O181,D_马仔培养宝物!$W$2:$AC$64,7,FALSE)</f>
        <v>40</v>
      </c>
    </row>
    <row r="182" spans="3:18">
      <c r="C182" s="19">
        <f t="array" aca="1" ref="C182" ca="1">OFFSET(D_马仔培养宝物!$W$1,SMALL(IF(D_马仔培养宝物!$Z$2:$Z$64=D_马仔培养宝物!$E182,ROW($C$2:$H$64),""),RANDBETWEEN(1,VLOOKUP(D_马仔培养宝物!$E182,D_马仔培养宝物!$T$3:$U$7,2,FALSE)))-1,0)</f>
        <v>92232</v>
      </c>
      <c r="D182" s="19">
        <f t="array" aca="1" ref="D182" ca="1">OFFSET(D_马仔培养宝物!$W$1,SMALL(IF(D_马仔培养宝物!$Z$2:$Z$64=D_马仔培养宝物!$E182,ROW($C$2:$H$64),""),RANDBETWEEN(1,VLOOKUP(D_马仔培养宝物!$E182,D_马仔培养宝物!$T$3:$U$7,2,FALSE)))-1,0)</f>
        <v>92121</v>
      </c>
      <c r="E182" s="19">
        <f t="array" aca="1" ref="E182" ca="1">OFFSET(D_马仔培养宝物!$W$1,SMALL(IF(D_马仔培养宝物!$Z$2:$Z$64=D_马仔培养宝物!$E182,ROW($C$2:$H$64),""),RANDBETWEEN(1,VLOOKUP(D_马仔培养宝物!$E182,D_马仔培养宝物!$T$3:$U$7,2,FALSE)))-1,0)</f>
        <v>92121</v>
      </c>
      <c r="F182" s="19">
        <f t="array" aca="1" ref="F182" ca="1">OFFSET(D_马仔培养宝物!$W$1,SMALL(IF(D_马仔培养宝物!$Z$2:$Z$64=D_马仔培养宝物!$E182,ROW($C$2:$H$64),""),RANDBETWEEN(1,VLOOKUP(D_马仔培养宝物!$E182,D_马仔培养宝物!$T$3:$U$7,2,FALSE)))-1,0)</f>
        <v>92228</v>
      </c>
      <c r="G182" s="19">
        <f t="array" aca="1" ref="G182" ca="1">OFFSET(D_马仔培养宝物!$W$1,SMALL(IF(D_马仔培养宝物!$Z$2:$Z$64=D_马仔培养宝物!$E182,ROW($C$2:$H$64),""),RANDBETWEEN(1,VLOOKUP(D_马仔培养宝物!$E182,D_马仔培养宝物!$T$3:$U$7,2,FALSE)))-1,0)</f>
        <v>92232</v>
      </c>
      <c r="H182" s="19">
        <f t="array" aca="1" ref="H182" ca="1">OFFSET(D_马仔培养宝物!$W$1,SMALL(IF(D_马仔培养宝物!$Z$2:$Z$64=D_马仔培养宝物!$E182,ROW($C$2:$H$64),""),RANDBETWEEN(1,VLOOKUP(D_马仔培养宝物!$E182,D_马仔培养宝物!$T$3:$U$7,2,FALSE)))-1,0)</f>
        <v>92011</v>
      </c>
      <c r="J182" s="19">
        <v>92014</v>
      </c>
      <c r="K182" s="19">
        <v>92012</v>
      </c>
      <c r="L182" s="19">
        <v>92223</v>
      </c>
      <c r="M182" s="19">
        <v>92227</v>
      </c>
      <c r="N182" s="19">
        <v>92013</v>
      </c>
      <c r="O182" s="19">
        <v>92125</v>
      </c>
      <c r="P182">
        <f>VLOOKUP(J182,D_马仔培养宝物!$W$2:$AC$64,5,FALSE)+VLOOKUP(K182,D_马仔培养宝物!$W$2:$AC$64,5,FALSE)+VLOOKUP(L182,D_马仔培养宝物!$W$2:$AC$64,5,FALSE)+VLOOKUP(M182,D_马仔培养宝物!$W$2:$AC$64,5,FALSE)+VLOOKUP(N182,D_马仔培养宝物!$W$2:$AC$64,5,FALSE)+VLOOKUP(O182,D_马仔培养宝物!$W$2:$AC$64,5,FALSE)</f>
        <v>4321</v>
      </c>
      <c r="Q182">
        <f>VLOOKUP(J182,D_马仔培养宝物!$W$2:$AC$64,6,FALSE)+VLOOKUP(K182,D_马仔培养宝物!$W$2:$AC$64,6,FALSE)+VLOOKUP(L182,D_马仔培养宝物!$W$2:$AC$64,6,FALSE)+VLOOKUP(M182,D_马仔培养宝物!$W$2:$AC$64,6,FALSE)+VLOOKUP(N182,D_马仔培养宝物!$W$2:$AC$64,6,FALSE)+VLOOKUP(O182,D_马仔培养宝物!$W$2:$AC$64,6,FALSE)</f>
        <v>0</v>
      </c>
      <c r="R182">
        <f>VLOOKUP(J182,D_马仔培养宝物!$W$2:$AC$64,7,FALSE)+VLOOKUP(K182,D_马仔培养宝物!$W$2:$AC$64,7,FALSE)+VLOOKUP(L182,D_马仔培养宝物!$W$2:$AC$64,7,FALSE)+VLOOKUP(M182,D_马仔培养宝物!$W$2:$AC$64,7,FALSE)+VLOOKUP(N182,D_马仔培养宝物!$W$2:$AC$64,7,FALSE)+VLOOKUP(O182,D_马仔培养宝物!$W$2:$AC$64,7,FALSE)</f>
        <v>93</v>
      </c>
    </row>
    <row r="183" spans="3:18">
      <c r="C183" s="5">
        <f t="array" aca="1" ref="C183" ca="1">OFFSET(D_马仔培养宝物!$W$1,SMALL(IF(D_马仔培养宝物!$Z$2:$Z$64=D_马仔培养宝物!$E183,ROW($C$2:$H$64),""),RANDBETWEEN(1,VLOOKUP(D_马仔培养宝物!$E183,D_马仔培养宝物!$T$3:$U$7,2,FALSE)))-1,0)</f>
        <v>92244</v>
      </c>
      <c r="D183" s="5">
        <f t="array" aca="1" ref="D183" ca="1">OFFSET(D_马仔培养宝物!$W$1,SMALL(IF(D_马仔培养宝物!$Z$2:$Z$64=D_马仔培养宝物!$E183,ROW($C$2:$H$64),""),RANDBETWEEN(1,VLOOKUP(D_马仔培养宝物!$E183,D_马仔培养宝物!$T$3:$U$7,2,FALSE)))-1,0)</f>
        <v>92131</v>
      </c>
      <c r="E183" s="5">
        <f t="array" aca="1" ref="E183" ca="1">OFFSET(D_马仔培养宝物!$W$1,SMALL(IF(D_马仔培养宝物!$Z$2:$Z$64=D_马仔培养宝物!$E183,ROW($C$2:$H$64),""),RANDBETWEEN(1,VLOOKUP(D_马仔培养宝物!$E183,D_马仔培养宝物!$T$3:$U$7,2,FALSE)))-1,0)</f>
        <v>92263</v>
      </c>
      <c r="F183" s="5">
        <f t="array" aca="1" ref="F183" ca="1">OFFSET(D_马仔培养宝物!$W$1,SMALL(IF(D_马仔培养宝物!$Z$2:$Z$64=D_马仔培养宝物!$E183,ROW($C$2:$H$64),""),RANDBETWEEN(1,VLOOKUP(D_马仔培养宝物!$E183,D_马仔培养宝物!$T$3:$U$7,2,FALSE)))-1,0)</f>
        <v>92232</v>
      </c>
      <c r="G183" s="5">
        <f t="array" aca="1" ref="G183" ca="1">OFFSET(D_马仔培养宝物!$W$1,SMALL(IF(D_马仔培养宝物!$Z$2:$Z$64=D_马仔培养宝物!$E183,ROW($C$2:$H$64),""),RANDBETWEEN(1,VLOOKUP(D_马仔培养宝物!$E183,D_马仔培养宝物!$T$3:$U$7,2,FALSE)))-1,0)</f>
        <v>92263</v>
      </c>
      <c r="H183" s="5">
        <f t="array" aca="1" ref="H183" ca="1">OFFSET(D_马仔培养宝物!$W$1,SMALL(IF(D_马仔培养宝物!$Z$2:$Z$64=D_马仔培养宝物!$E183,ROW($C$2:$H$64),""),RANDBETWEEN(1,VLOOKUP(D_马仔培养宝物!$E183,D_马仔培养宝物!$T$3:$U$7,2,FALSE)))-1,0)</f>
        <v>92121</v>
      </c>
      <c r="J183" s="5">
        <v>92013</v>
      </c>
      <c r="K183" s="5">
        <v>92026</v>
      </c>
      <c r="L183" s="5">
        <v>92125</v>
      </c>
      <c r="M183" s="5">
        <v>92014</v>
      </c>
      <c r="N183" s="5">
        <v>92124</v>
      </c>
      <c r="O183" s="5">
        <v>92227</v>
      </c>
      <c r="P183">
        <f>VLOOKUP(J183,D_马仔培养宝物!$W$2:$AC$64,5,FALSE)+VLOOKUP(K183,D_马仔培养宝物!$W$2:$AC$64,5,FALSE)+VLOOKUP(L183,D_马仔培养宝物!$W$2:$AC$64,5,FALSE)+VLOOKUP(M183,D_马仔培养宝物!$W$2:$AC$64,5,FALSE)+VLOOKUP(N183,D_马仔培养宝物!$W$2:$AC$64,5,FALSE)+VLOOKUP(O183,D_马仔培养宝物!$W$2:$AC$64,5,FALSE)</f>
        <v>3292</v>
      </c>
      <c r="Q183">
        <f>VLOOKUP(J183,D_马仔培养宝物!$W$2:$AC$64,6,FALSE)+VLOOKUP(K183,D_马仔培养宝物!$W$2:$AC$64,6,FALSE)+VLOOKUP(L183,D_马仔培养宝物!$W$2:$AC$64,6,FALSE)+VLOOKUP(M183,D_马仔培养宝物!$W$2:$AC$64,6,FALSE)+VLOOKUP(N183,D_马仔培养宝物!$W$2:$AC$64,6,FALSE)+VLOOKUP(O183,D_马仔培养宝物!$W$2:$AC$64,6,FALSE)</f>
        <v>105</v>
      </c>
      <c r="R183">
        <f>VLOOKUP(J183,D_马仔培养宝物!$W$2:$AC$64,7,FALSE)+VLOOKUP(K183,D_马仔培养宝物!$W$2:$AC$64,7,FALSE)+VLOOKUP(L183,D_马仔培养宝物!$W$2:$AC$64,7,FALSE)+VLOOKUP(M183,D_马仔培养宝物!$W$2:$AC$64,7,FALSE)+VLOOKUP(N183,D_马仔培养宝物!$W$2:$AC$64,7,FALSE)+VLOOKUP(O183,D_马仔培养宝物!$W$2:$AC$64,7,FALSE)</f>
        <v>84</v>
      </c>
    </row>
    <row r="184" spans="3:18">
      <c r="C184" s="5">
        <f t="array" aca="1" ref="C184" ca="1">OFFSET(D_马仔培养宝物!$W$1,SMALL(IF(D_马仔培养宝物!$Z$2:$Z$64=D_马仔培养宝物!$E184,ROW($C$2:$H$64),""),RANDBETWEEN(1,VLOOKUP(D_马仔培养宝物!$E184,D_马仔培养宝物!$T$3:$U$7,2,FALSE)))-1,0)</f>
        <v>92283</v>
      </c>
      <c r="D184" s="5">
        <f t="array" aca="1" ref="D184" ca="1">OFFSET(D_马仔培养宝物!$W$1,SMALL(IF(D_马仔培养宝物!$Z$2:$Z$64=D_马仔培养宝物!$E184,ROW($C$2:$H$64),""),RANDBETWEEN(1,VLOOKUP(D_马仔培养宝物!$E184,D_马仔培养宝物!$T$3:$U$7,2,FALSE)))-1,0)</f>
        <v>92245</v>
      </c>
      <c r="E184" s="5">
        <f t="array" aca="1" ref="E184" ca="1">OFFSET(D_马仔培养宝物!$W$1,SMALL(IF(D_马仔培养宝物!$Z$2:$Z$64=D_马仔培养宝物!$E184,ROW($C$2:$H$64),""),RANDBETWEEN(1,VLOOKUP(D_马仔培养宝物!$E184,D_马仔培养宝物!$T$3:$U$7,2,FALSE)))-1,0)</f>
        <v>92233</v>
      </c>
      <c r="F184" s="5">
        <f t="array" aca="1" ref="F184" ca="1">OFFSET(D_马仔培养宝物!$W$1,SMALL(IF(D_马仔培养宝物!$Z$2:$Z$64=D_马仔培养宝物!$E184,ROW($C$2:$H$64),""),RANDBETWEEN(1,VLOOKUP(D_马仔培养宝物!$E184,D_马仔培养宝物!$T$3:$U$7,2,FALSE)))-1,0)</f>
        <v>92271</v>
      </c>
      <c r="G184" s="5">
        <f t="array" aca="1" ref="G184" ca="1">OFFSET(D_马仔培养宝物!$W$1,SMALL(IF(D_马仔培养宝物!$Z$2:$Z$64=D_马仔培养宝物!$E184,ROW($C$2:$H$64),""),RANDBETWEEN(1,VLOOKUP(D_马仔培养宝物!$E184,D_马仔培养宝物!$T$3:$U$7,2,FALSE)))-1,0)</f>
        <v>92283</v>
      </c>
      <c r="H184" s="5">
        <f t="array" aca="1" ref="H184" ca="1">OFFSET(D_马仔培养宝物!$W$1,SMALL(IF(D_马仔培养宝物!$Z$2:$Z$64=D_马仔培养宝物!$E184,ROW($C$2:$H$64),""),RANDBETWEEN(1,VLOOKUP(D_马仔培养宝物!$E184,D_马仔培养宝物!$T$3:$U$7,2,FALSE)))-1,0)</f>
        <v>92287</v>
      </c>
      <c r="J184" s="5">
        <v>92228</v>
      </c>
      <c r="K184" s="5">
        <v>92131</v>
      </c>
      <c r="L184" s="5">
        <v>92271</v>
      </c>
      <c r="M184" s="5">
        <v>92121</v>
      </c>
      <c r="N184" s="5">
        <v>92235</v>
      </c>
      <c r="O184" s="5">
        <v>92273</v>
      </c>
      <c r="P184">
        <f>VLOOKUP(J184,D_马仔培养宝物!$W$2:$AC$64,5,FALSE)+VLOOKUP(K184,D_马仔培养宝物!$W$2:$AC$64,5,FALSE)+VLOOKUP(L184,D_马仔培养宝物!$W$2:$AC$64,5,FALSE)+VLOOKUP(M184,D_马仔培养宝物!$W$2:$AC$64,5,FALSE)+VLOOKUP(N184,D_马仔培养宝物!$W$2:$AC$64,5,FALSE)+VLOOKUP(O184,D_马仔培养宝物!$W$2:$AC$64,5,FALSE)</f>
        <v>823</v>
      </c>
      <c r="Q184">
        <f>VLOOKUP(J184,D_马仔培养宝物!$W$2:$AC$64,6,FALSE)+VLOOKUP(K184,D_马仔培养宝物!$W$2:$AC$64,6,FALSE)+VLOOKUP(L184,D_马仔培养宝物!$W$2:$AC$64,6,FALSE)+VLOOKUP(M184,D_马仔培养宝物!$W$2:$AC$64,6,FALSE)+VLOOKUP(N184,D_马仔培养宝物!$W$2:$AC$64,6,FALSE)+VLOOKUP(O184,D_马仔培养宝物!$W$2:$AC$64,6,FALSE)</f>
        <v>62</v>
      </c>
      <c r="R184">
        <f>VLOOKUP(J184,D_马仔培养宝物!$W$2:$AC$64,7,FALSE)+VLOOKUP(K184,D_马仔培养宝物!$W$2:$AC$64,7,FALSE)+VLOOKUP(L184,D_马仔培养宝物!$W$2:$AC$64,7,FALSE)+VLOOKUP(M184,D_马仔培养宝物!$W$2:$AC$64,7,FALSE)+VLOOKUP(N184,D_马仔培养宝物!$W$2:$AC$64,7,FALSE)+VLOOKUP(O184,D_马仔培养宝物!$W$2:$AC$64,7,FALSE)</f>
        <v>26</v>
      </c>
    </row>
    <row r="185" spans="3:18">
      <c r="C185" s="5">
        <f t="array" aca="1" ref="C185" ca="1">OFFSET(D_马仔培养宝物!$W$1,SMALL(IF(D_马仔培养宝物!$Z$2:$Z$64=D_马仔培养宝物!$E185,ROW($C$2:$H$64),""),RANDBETWEEN(1,VLOOKUP(D_马仔培养宝物!$E185,D_马仔培养宝物!$T$3:$U$7,2,FALSE)))-1,0)</f>
        <v>92287</v>
      </c>
      <c r="D185" s="5">
        <f t="array" aca="1" ref="D185" ca="1">OFFSET(D_马仔培养宝物!$W$1,SMALL(IF(D_马仔培养宝物!$Z$2:$Z$64=D_马仔培养宝物!$E185,ROW($C$2:$H$64),""),RANDBETWEEN(1,VLOOKUP(D_马仔培养宝物!$E185,D_马仔培养宝物!$T$3:$U$7,2,FALSE)))-1,0)</f>
        <v>92283</v>
      </c>
      <c r="E185" s="5">
        <f t="array" aca="1" ref="E185" ca="1">OFFSET(D_马仔培养宝物!$W$1,SMALL(IF(D_马仔培养宝物!$Z$2:$Z$64=D_马仔培养宝物!$E185,ROW($C$2:$H$64),""),RANDBETWEEN(1,VLOOKUP(D_马仔培养宝物!$E185,D_马仔培养宝物!$T$3:$U$7,2,FALSE)))-1,0)</f>
        <v>92245</v>
      </c>
      <c r="F185" s="5">
        <f t="array" aca="1" ref="F185" ca="1">OFFSET(D_马仔培养宝物!$W$1,SMALL(IF(D_马仔培养宝物!$Z$2:$Z$64=D_马仔培养宝物!$E185,ROW($C$2:$H$64),""),RANDBETWEEN(1,VLOOKUP(D_马仔培养宝物!$E185,D_马仔培养宝物!$T$3:$U$7,2,FALSE)))-1,0)</f>
        <v>92251</v>
      </c>
      <c r="G185" s="5">
        <f t="array" aca="1" ref="G185" ca="1">OFFSET(D_马仔培养宝物!$W$1,SMALL(IF(D_马仔培养宝物!$Z$2:$Z$64=D_马仔培养宝物!$E185,ROW($C$2:$H$64),""),RANDBETWEEN(1,VLOOKUP(D_马仔培养宝物!$E185,D_马仔培养宝物!$T$3:$U$7,2,FALSE)))-1,0)</f>
        <v>92122</v>
      </c>
      <c r="H185" s="5">
        <f t="array" aca="1" ref="H185" ca="1">OFFSET(D_马仔培养宝物!$W$1,SMALL(IF(D_马仔培养宝物!$Z$2:$Z$64=D_马仔培养宝物!$E185,ROW($C$2:$H$64),""),RANDBETWEEN(1,VLOOKUP(D_马仔培养宝物!$E185,D_马仔培养宝物!$T$3:$U$7,2,FALSE)))-1,0)</f>
        <v>92271</v>
      </c>
      <c r="J185" s="5">
        <v>92286</v>
      </c>
      <c r="K185" s="5">
        <v>92228</v>
      </c>
      <c r="L185" s="5">
        <v>92236</v>
      </c>
      <c r="M185" s="5">
        <v>92235</v>
      </c>
      <c r="N185" s="5">
        <v>92233</v>
      </c>
      <c r="O185" s="5">
        <v>92131</v>
      </c>
      <c r="P185">
        <f>VLOOKUP(J185,D_马仔培养宝物!$W$2:$AC$64,5,FALSE)+VLOOKUP(K185,D_马仔培养宝物!$W$2:$AC$64,5,FALSE)+VLOOKUP(L185,D_马仔培养宝物!$W$2:$AC$64,5,FALSE)+VLOOKUP(M185,D_马仔培养宝物!$W$2:$AC$64,5,FALSE)+VLOOKUP(N185,D_马仔培养宝物!$W$2:$AC$64,5,FALSE)+VLOOKUP(O185,D_马仔培养宝物!$W$2:$AC$64,5,FALSE)</f>
        <v>823</v>
      </c>
      <c r="Q185">
        <f>VLOOKUP(J185,D_马仔培养宝物!$W$2:$AC$64,6,FALSE)+VLOOKUP(K185,D_马仔培养宝物!$W$2:$AC$64,6,FALSE)+VLOOKUP(L185,D_马仔培养宝物!$W$2:$AC$64,6,FALSE)+VLOOKUP(M185,D_马仔培养宝物!$W$2:$AC$64,6,FALSE)+VLOOKUP(N185,D_马仔培养宝物!$W$2:$AC$64,6,FALSE)+VLOOKUP(O185,D_马仔培养宝物!$W$2:$AC$64,6,FALSE)</f>
        <v>73</v>
      </c>
      <c r="R185">
        <f>VLOOKUP(J185,D_马仔培养宝物!$W$2:$AC$64,7,FALSE)+VLOOKUP(K185,D_马仔培养宝物!$W$2:$AC$64,7,FALSE)+VLOOKUP(L185,D_马仔培养宝物!$W$2:$AC$64,7,FALSE)+VLOOKUP(M185,D_马仔培养宝物!$W$2:$AC$64,7,FALSE)+VLOOKUP(N185,D_马仔培养宝物!$W$2:$AC$64,7,FALSE)+VLOOKUP(O185,D_马仔培养宝物!$W$2:$AC$64,7,FALSE)</f>
        <v>66</v>
      </c>
    </row>
    <row r="186" spans="3:18">
      <c r="C186" s="5">
        <f t="array" aca="1" ref="C186" ca="1">OFFSET(D_马仔培养宝物!$W$1,SMALL(IF(D_马仔培养宝物!$Z$2:$Z$64=D_马仔培养宝物!$E186,ROW($C$2:$H$64),""),RANDBETWEEN(1,VLOOKUP(D_马仔培养宝物!$E186,D_马仔培养宝物!$T$3:$U$7,2,FALSE)))-1,0)</f>
        <v>92124</v>
      </c>
      <c r="D186" s="5">
        <f t="array" aca="1" ref="D186" ca="1">OFFSET(D_马仔培养宝物!$W$1,SMALL(IF(D_马仔培养宝物!$Z$2:$Z$64=D_马仔培养宝物!$E186,ROW($C$2:$H$64),""),RANDBETWEEN(1,VLOOKUP(D_马仔培养宝物!$E186,D_马仔培养宝物!$T$3:$U$7,2,FALSE)))-1,0)</f>
        <v>92279</v>
      </c>
      <c r="E186" s="5">
        <f t="array" aca="1" ref="E186" ca="1">OFFSET(D_马仔培养宝物!$W$1,SMALL(IF(D_马仔培养宝物!$Z$2:$Z$64=D_马仔培养宝物!$E186,ROW($C$2:$H$64),""),RANDBETWEEN(1,VLOOKUP(D_马仔培养宝物!$E186,D_马仔培养宝物!$T$3:$U$7,2,FALSE)))-1,0)</f>
        <v>92124</v>
      </c>
      <c r="F186" s="5">
        <f t="array" aca="1" ref="F186" ca="1">OFFSET(D_马仔培养宝物!$W$1,SMALL(IF(D_马仔培养宝物!$Z$2:$Z$64=D_马仔培养宝物!$E186,ROW($C$2:$H$64),""),RANDBETWEEN(1,VLOOKUP(D_马仔培养宝物!$E186,D_马仔培养宝物!$T$3:$U$7,2,FALSE)))-1,0)</f>
        <v>92288</v>
      </c>
      <c r="G186" s="5">
        <f t="array" aca="1" ref="G186" ca="1">OFFSET(D_马仔培养宝物!$W$1,SMALL(IF(D_马仔培养宝物!$Z$2:$Z$64=D_马仔培养宝物!$E186,ROW($C$2:$H$64),""),RANDBETWEEN(1,VLOOKUP(D_马仔培养宝物!$E186,D_马仔培养宝物!$T$3:$U$7,2,FALSE)))-1,0)</f>
        <v>92124</v>
      </c>
      <c r="H186" s="5">
        <f t="array" aca="1" ref="H186" ca="1">OFFSET(D_马仔培养宝物!$W$1,SMALL(IF(D_马仔培养宝物!$Z$2:$Z$64=D_马仔培养宝物!$E186,ROW($C$2:$H$64),""),RANDBETWEEN(1,VLOOKUP(D_马仔培养宝物!$E186,D_马仔培养宝物!$T$3:$U$7,2,FALSE)))-1,0)</f>
        <v>92273</v>
      </c>
      <c r="J186" s="5">
        <v>92285</v>
      </c>
      <c r="K186" s="5">
        <v>92142</v>
      </c>
      <c r="L186" s="5">
        <v>92284</v>
      </c>
      <c r="M186" s="5">
        <v>92262</v>
      </c>
      <c r="N186" s="5">
        <v>92283</v>
      </c>
      <c r="O186" s="5">
        <v>92141</v>
      </c>
      <c r="P186">
        <f>VLOOKUP(J186,D_马仔培养宝物!$W$2:$AC$64,5,FALSE)+VLOOKUP(K186,D_马仔培养宝物!$W$2:$AC$64,5,FALSE)+VLOOKUP(L186,D_马仔培养宝物!$W$2:$AC$64,5,FALSE)+VLOOKUP(M186,D_马仔培养宝物!$W$2:$AC$64,5,FALSE)+VLOOKUP(N186,D_马仔培养宝物!$W$2:$AC$64,5,FALSE)+VLOOKUP(O186,D_马仔培养宝物!$W$2:$AC$64,5,FALSE)</f>
        <v>1029</v>
      </c>
      <c r="Q186">
        <f>VLOOKUP(J186,D_马仔培养宝物!$W$2:$AC$64,6,FALSE)+VLOOKUP(K186,D_马仔培养宝物!$W$2:$AC$64,6,FALSE)+VLOOKUP(L186,D_马仔培养宝物!$W$2:$AC$64,6,FALSE)+VLOOKUP(M186,D_马仔培养宝物!$W$2:$AC$64,6,FALSE)+VLOOKUP(N186,D_马仔培养宝物!$W$2:$AC$64,6,FALSE)+VLOOKUP(O186,D_马仔培养宝物!$W$2:$AC$64,6,FALSE)</f>
        <v>230</v>
      </c>
      <c r="R186">
        <f>VLOOKUP(J186,D_马仔培养宝物!$W$2:$AC$64,7,FALSE)+VLOOKUP(K186,D_马仔培养宝物!$W$2:$AC$64,7,FALSE)+VLOOKUP(L186,D_马仔培养宝物!$W$2:$AC$64,7,FALSE)+VLOOKUP(M186,D_马仔培养宝物!$W$2:$AC$64,7,FALSE)+VLOOKUP(N186,D_马仔培养宝物!$W$2:$AC$64,7,FALSE)+VLOOKUP(O186,D_马仔培养宝物!$W$2:$AC$64,7,FALSE)</f>
        <v>26</v>
      </c>
    </row>
    <row r="187" spans="3:18">
      <c r="C187" s="5">
        <f t="array" aca="1" ref="C187" ca="1">OFFSET(D_马仔培养宝物!$W$1,SMALL(IF(D_马仔培养宝物!$Z$2:$Z$64=D_马仔培养宝物!$E187,ROW($C$2:$H$64),""),RANDBETWEEN(1,VLOOKUP(D_马仔培养宝物!$E187,D_马仔培养宝物!$T$3:$U$7,2,FALSE)))-1,0)</f>
        <v>92124</v>
      </c>
      <c r="D187" s="5">
        <f t="array" aca="1" ref="D187" ca="1">OFFSET(D_马仔培养宝物!$W$1,SMALL(IF(D_马仔培养宝物!$Z$2:$Z$64=D_马仔培养宝物!$E187,ROW($C$2:$H$64),""),RANDBETWEEN(1,VLOOKUP(D_马仔培养宝物!$E187,D_马仔培养宝物!$T$3:$U$7,2,FALSE)))-1,0)</f>
        <v>92284</v>
      </c>
      <c r="E187" s="5">
        <f t="array" aca="1" ref="E187" ca="1">OFFSET(D_马仔培养宝物!$W$1,SMALL(IF(D_马仔培养宝物!$Z$2:$Z$64=D_马仔培养宝物!$E187,ROW($C$2:$H$64),""),RANDBETWEEN(1,VLOOKUP(D_马仔培养宝物!$E187,D_马仔培养宝物!$T$3:$U$7,2,FALSE)))-1,0)</f>
        <v>92273</v>
      </c>
      <c r="F187" s="5">
        <f t="array" aca="1" ref="F187" ca="1">OFFSET(D_马仔培养宝物!$W$1,SMALL(IF(D_马仔培养宝物!$Z$2:$Z$64=D_马仔培养宝物!$E187,ROW($C$2:$H$64),""),RANDBETWEEN(1,VLOOKUP(D_马仔培养宝物!$E187,D_马仔培养宝物!$T$3:$U$7,2,FALSE)))-1,0)</f>
        <v>92284</v>
      </c>
      <c r="G187" s="5">
        <f t="array" aca="1" ref="G187" ca="1">OFFSET(D_马仔培养宝物!$W$1,SMALL(IF(D_马仔培养宝物!$Z$2:$Z$64=D_马仔培养宝物!$E187,ROW($C$2:$H$64),""),RANDBETWEEN(1,VLOOKUP(D_马仔培养宝物!$E187,D_马仔培养宝物!$T$3:$U$7,2,FALSE)))-1,0)</f>
        <v>92284</v>
      </c>
      <c r="H187" s="5">
        <f t="array" aca="1" ref="H187" ca="1">OFFSET(D_马仔培养宝物!$W$1,SMALL(IF(D_马仔培养宝物!$Z$2:$Z$64=D_马仔培养宝物!$E187,ROW($C$2:$H$64),""),RANDBETWEEN(1,VLOOKUP(D_马仔培养宝物!$E187,D_马仔培养宝物!$T$3:$U$7,2,FALSE)))-1,0)</f>
        <v>92288</v>
      </c>
      <c r="J187" s="5">
        <v>92262</v>
      </c>
      <c r="K187" s="5">
        <v>92134</v>
      </c>
      <c r="L187" s="5">
        <v>92285</v>
      </c>
      <c r="M187" s="5">
        <v>92284</v>
      </c>
      <c r="N187" s="5">
        <v>92141</v>
      </c>
      <c r="O187" s="5">
        <v>92283</v>
      </c>
      <c r="P187">
        <f>VLOOKUP(J187,D_马仔培养宝物!$W$2:$AC$64,5,FALSE)+VLOOKUP(K187,D_马仔培养宝物!$W$2:$AC$64,5,FALSE)+VLOOKUP(L187,D_马仔培养宝物!$W$2:$AC$64,5,FALSE)+VLOOKUP(M187,D_马仔培养宝物!$W$2:$AC$64,5,FALSE)+VLOOKUP(N187,D_马仔培养宝物!$W$2:$AC$64,5,FALSE)+VLOOKUP(O187,D_马仔培养宝物!$W$2:$AC$64,5,FALSE)</f>
        <v>1029</v>
      </c>
      <c r="Q187">
        <f>VLOOKUP(J187,D_马仔培养宝物!$W$2:$AC$64,6,FALSE)+VLOOKUP(K187,D_马仔培养宝物!$W$2:$AC$64,6,FALSE)+VLOOKUP(L187,D_马仔培养宝物!$W$2:$AC$64,6,FALSE)+VLOOKUP(M187,D_马仔培养宝物!$W$2:$AC$64,6,FALSE)+VLOOKUP(N187,D_马仔培养宝物!$W$2:$AC$64,6,FALSE)+VLOOKUP(O187,D_马仔培养宝物!$W$2:$AC$64,6,FALSE)</f>
        <v>251</v>
      </c>
      <c r="R187">
        <f>VLOOKUP(J187,D_马仔培养宝物!$W$2:$AC$64,7,FALSE)+VLOOKUP(K187,D_马仔培养宝物!$W$2:$AC$64,7,FALSE)+VLOOKUP(L187,D_马仔培养宝物!$W$2:$AC$64,7,FALSE)+VLOOKUP(M187,D_马仔培养宝物!$W$2:$AC$64,7,FALSE)+VLOOKUP(N187,D_马仔培养宝物!$W$2:$AC$64,7,FALSE)+VLOOKUP(O187,D_马仔培养宝物!$W$2:$AC$64,7,FALSE)</f>
        <v>26</v>
      </c>
    </row>
    <row r="188" spans="3:18">
      <c r="C188" s="5">
        <f t="array" aca="1" ref="C188" ca="1">OFFSET(D_马仔培养宝物!$W$1,SMALL(IF(D_马仔培养宝物!$Z$2:$Z$64=D_马仔培养宝物!$E188,ROW($C$2:$H$64),""),RANDBETWEEN(1,VLOOKUP(D_马仔培养宝物!$E188,D_马仔培养宝物!$T$3:$U$7,2,FALSE)))-1,0)</f>
        <v>92227</v>
      </c>
      <c r="D188" s="5">
        <f t="array" aca="1" ref="D188" ca="1">OFFSET(D_马仔培养宝物!$W$1,SMALL(IF(D_马仔培养宝物!$Z$2:$Z$64=D_马仔培养宝物!$E188,ROW($C$2:$H$64),""),RANDBETWEEN(1,VLOOKUP(D_马仔培养宝物!$E188,D_马仔培养宝物!$T$3:$U$7,2,FALSE)))-1,0)</f>
        <v>92227</v>
      </c>
      <c r="E188" s="5">
        <f t="array" aca="1" ref="E188" ca="1">OFFSET(D_马仔培养宝物!$W$1,SMALL(IF(D_马仔培养宝物!$Z$2:$Z$64=D_马仔培养宝物!$E188,ROW($C$2:$H$64),""),RANDBETWEEN(1,VLOOKUP(D_马仔培养宝物!$E188,D_马仔培养宝物!$T$3:$U$7,2,FALSE)))-1,0)</f>
        <v>92289</v>
      </c>
      <c r="F188" s="5">
        <f t="array" aca="1" ref="F188" ca="1">OFFSET(D_马仔培养宝物!$W$1,SMALL(IF(D_马仔培养宝物!$Z$2:$Z$64=D_马仔培养宝物!$E188,ROW($C$2:$H$64),""),RANDBETWEEN(1,VLOOKUP(D_马仔培养宝物!$E188,D_马仔培养宝物!$T$3:$U$7,2,FALSE)))-1,0)</f>
        <v>92013</v>
      </c>
      <c r="G188" s="5">
        <f t="array" aca="1" ref="G188" ca="1">OFFSET(D_马仔培养宝物!$W$1,SMALL(IF(D_马仔培养宝物!$Z$2:$Z$64=D_马仔培养宝物!$E188,ROW($C$2:$H$64),""),RANDBETWEEN(1,VLOOKUP(D_马仔培养宝物!$E188,D_马仔培养宝物!$T$3:$U$7,2,FALSE)))-1,0)</f>
        <v>92274</v>
      </c>
      <c r="H188" s="5">
        <f t="array" aca="1" ref="H188" ca="1">OFFSET(D_马仔培养宝物!$W$1,SMALL(IF(D_马仔培养宝物!$Z$2:$Z$64=D_马仔培养宝物!$E188,ROW($C$2:$H$64),""),RANDBETWEEN(1,VLOOKUP(D_马仔培养宝物!$E188,D_马仔培养宝物!$T$3:$U$7,2,FALSE)))-1,0)</f>
        <v>92254</v>
      </c>
      <c r="J188" s="5">
        <v>92261</v>
      </c>
      <c r="K188" s="5">
        <v>92280</v>
      </c>
      <c r="L188" s="5">
        <v>92263</v>
      </c>
      <c r="M188" s="5">
        <v>92279</v>
      </c>
      <c r="N188" s="5">
        <v>92264</v>
      </c>
      <c r="O188" s="5">
        <v>92278</v>
      </c>
      <c r="P188">
        <f>VLOOKUP(J188,D_马仔培养宝物!$W$2:$AC$64,5,FALSE)+VLOOKUP(K188,D_马仔培养宝物!$W$2:$AC$64,5,FALSE)+VLOOKUP(L188,D_马仔培养宝物!$W$2:$AC$64,5,FALSE)+VLOOKUP(M188,D_马仔培养宝物!$W$2:$AC$64,5,FALSE)+VLOOKUP(N188,D_马仔培养宝物!$W$2:$AC$64,5,FALSE)+VLOOKUP(O188,D_马仔培养宝物!$W$2:$AC$64,5,FALSE)</f>
        <v>1440</v>
      </c>
      <c r="Q188">
        <f>VLOOKUP(J188,D_马仔培养宝物!$W$2:$AC$64,6,FALSE)+VLOOKUP(K188,D_马仔培养宝物!$W$2:$AC$64,6,FALSE)+VLOOKUP(L188,D_马仔培养宝物!$W$2:$AC$64,6,FALSE)+VLOOKUP(M188,D_马仔培养宝物!$W$2:$AC$64,6,FALSE)+VLOOKUP(N188,D_马仔培养宝物!$W$2:$AC$64,6,FALSE)+VLOOKUP(O188,D_马仔培养宝物!$W$2:$AC$64,6,FALSE)</f>
        <v>41</v>
      </c>
      <c r="R188">
        <f>VLOOKUP(J188,D_马仔培养宝物!$W$2:$AC$64,7,FALSE)+VLOOKUP(K188,D_马仔培养宝物!$W$2:$AC$64,7,FALSE)+VLOOKUP(L188,D_马仔培养宝物!$W$2:$AC$64,7,FALSE)+VLOOKUP(M188,D_马仔培养宝物!$W$2:$AC$64,7,FALSE)+VLOOKUP(N188,D_马仔培养宝物!$W$2:$AC$64,7,FALSE)+VLOOKUP(O188,D_马仔培养宝物!$W$2:$AC$64,7,FALSE)</f>
        <v>75</v>
      </c>
    </row>
    <row r="189" spans="3:18">
      <c r="C189" s="5">
        <f t="array" aca="1" ref="C189" ca="1">OFFSET(D_马仔培养宝物!$W$1,SMALL(IF(D_马仔培养宝物!$Z$2:$Z$64=D_马仔培养宝物!$E189,ROW($C$2:$H$64),""),RANDBETWEEN(1,VLOOKUP(D_马仔培养宝物!$E189,D_马仔培养宝物!$T$3:$U$7,2,FALSE)))-1,0)</f>
        <v>92254</v>
      </c>
      <c r="D189" s="5">
        <f t="array" aca="1" ref="D189" ca="1">OFFSET(D_马仔培养宝物!$W$1,SMALL(IF(D_马仔培养宝物!$Z$2:$Z$64=D_马仔培养宝物!$E189,ROW($C$2:$H$64),""),RANDBETWEEN(1,VLOOKUP(D_马仔培养宝物!$E189,D_马仔培养宝物!$T$3:$U$7,2,FALSE)))-1,0)</f>
        <v>92285</v>
      </c>
      <c r="E189" s="5">
        <f t="array" aca="1" ref="E189" ca="1">OFFSET(D_马仔培养宝物!$W$1,SMALL(IF(D_马仔培养宝物!$Z$2:$Z$64=D_马仔培养宝物!$E189,ROW($C$2:$H$64),""),RANDBETWEEN(1,VLOOKUP(D_马仔培养宝物!$E189,D_马仔培养宝物!$T$3:$U$7,2,FALSE)))-1,0)</f>
        <v>92274</v>
      </c>
      <c r="F189" s="5">
        <f t="array" aca="1" ref="F189" ca="1">OFFSET(D_马仔培养宝物!$W$1,SMALL(IF(D_马仔培养宝物!$Z$2:$Z$64=D_马仔培养宝物!$E189,ROW($C$2:$H$64),""),RANDBETWEEN(1,VLOOKUP(D_马仔培养宝物!$E189,D_马仔培养宝物!$T$3:$U$7,2,FALSE)))-1,0)</f>
        <v>92254</v>
      </c>
      <c r="G189" s="5">
        <f t="array" aca="1" ref="G189" ca="1">OFFSET(D_马仔培养宝物!$W$1,SMALL(IF(D_马仔培养宝物!$Z$2:$Z$64=D_马仔培养宝物!$E189,ROW($C$2:$H$64),""),RANDBETWEEN(1,VLOOKUP(D_马仔培养宝物!$E189,D_马仔培养宝物!$T$3:$U$7,2,FALSE)))-1,0)</f>
        <v>92134</v>
      </c>
      <c r="H189" s="5">
        <f t="array" aca="1" ref="H189" ca="1">OFFSET(D_马仔培养宝物!$W$1,SMALL(IF(D_马仔培养宝物!$Z$2:$Z$64=D_马仔培养宝物!$E189,ROW($C$2:$H$64),""),RANDBETWEEN(1,VLOOKUP(D_马仔培养宝物!$E189,D_马仔培养宝物!$T$3:$U$7,2,FALSE)))-1,0)</f>
        <v>92274</v>
      </c>
      <c r="J189" s="5">
        <v>92279</v>
      </c>
      <c r="K189" s="5">
        <v>92263</v>
      </c>
      <c r="L189" s="5">
        <v>92280</v>
      </c>
      <c r="M189" s="5">
        <v>92281</v>
      </c>
      <c r="N189" s="5">
        <v>92261</v>
      </c>
      <c r="O189" s="5">
        <v>92274</v>
      </c>
      <c r="P189">
        <f>VLOOKUP(J189,D_马仔培养宝物!$W$2:$AC$64,5,FALSE)+VLOOKUP(K189,D_马仔培养宝物!$W$2:$AC$64,5,FALSE)+VLOOKUP(L189,D_马仔培养宝物!$W$2:$AC$64,5,FALSE)+VLOOKUP(M189,D_马仔培养宝物!$W$2:$AC$64,5,FALSE)+VLOOKUP(N189,D_马仔培养宝物!$W$2:$AC$64,5,FALSE)+VLOOKUP(O189,D_马仔培养宝物!$W$2:$AC$64,5,FALSE)</f>
        <v>1440</v>
      </c>
      <c r="Q189">
        <f>VLOOKUP(J189,D_马仔培养宝物!$W$2:$AC$64,6,FALSE)+VLOOKUP(K189,D_马仔培养宝物!$W$2:$AC$64,6,FALSE)+VLOOKUP(L189,D_马仔培养宝物!$W$2:$AC$64,6,FALSE)+VLOOKUP(M189,D_马仔培养宝物!$W$2:$AC$64,6,FALSE)+VLOOKUP(N189,D_马仔培养宝物!$W$2:$AC$64,6,FALSE)+VLOOKUP(O189,D_马仔培养宝物!$W$2:$AC$64,6,FALSE)</f>
        <v>104</v>
      </c>
      <c r="R189">
        <f>VLOOKUP(J189,D_马仔培养宝物!$W$2:$AC$64,7,FALSE)+VLOOKUP(K189,D_马仔培养宝物!$W$2:$AC$64,7,FALSE)+VLOOKUP(L189,D_马仔培养宝物!$W$2:$AC$64,7,FALSE)+VLOOKUP(M189,D_马仔培养宝物!$W$2:$AC$64,7,FALSE)+VLOOKUP(N189,D_马仔培养宝物!$W$2:$AC$64,7,FALSE)+VLOOKUP(O189,D_马仔培养宝物!$W$2:$AC$64,7,FALSE)</f>
        <v>93</v>
      </c>
    </row>
    <row r="190" spans="3:18">
      <c r="C190" s="5">
        <f t="array" aca="1" ref="C190" ca="1">OFFSET(D_马仔培养宝物!$W$1,SMALL(IF(D_马仔培养宝物!$Z$2:$Z$64=D_马仔培养宝物!$E190,ROW($C$2:$H$64),""),RANDBETWEEN(1,VLOOKUP(D_马仔培养宝物!$E190,D_马仔培养宝物!$T$3:$U$7,2,FALSE)))-1,0)</f>
        <v>92255</v>
      </c>
      <c r="D190" s="5">
        <f t="array" aca="1" ref="D190" ca="1">OFFSET(D_马仔培养宝物!$W$1,SMALL(IF(D_马仔培养宝物!$Z$2:$Z$64=D_马仔培养宝物!$E190,ROW($C$2:$H$64),""),RANDBETWEEN(1,VLOOKUP(D_马仔培养宝物!$E190,D_马仔培养宝物!$T$3:$U$7,2,FALSE)))-1,0)</f>
        <v>92014</v>
      </c>
      <c r="E190" s="5">
        <f t="array" aca="1" ref="E190" ca="1">OFFSET(D_马仔培养宝物!$W$1,SMALL(IF(D_马仔培养宝物!$Z$2:$Z$64=D_马仔培养宝物!$E190,ROW($C$2:$H$64),""),RANDBETWEEN(1,VLOOKUP(D_马仔培养宝物!$E190,D_马仔培养宝物!$T$3:$U$7,2,FALSE)))-1,0)</f>
        <v>92296</v>
      </c>
      <c r="F190" s="5">
        <f t="array" aca="1" ref="F190" ca="1">OFFSET(D_马仔培养宝物!$W$1,SMALL(IF(D_马仔培养宝物!$Z$2:$Z$64=D_马仔培养宝物!$E190,ROW($C$2:$H$64),""),RANDBETWEEN(1,VLOOKUP(D_马仔培养宝物!$E190,D_马仔培养宝物!$T$3:$U$7,2,FALSE)))-1,0)</f>
        <v>92293</v>
      </c>
      <c r="G190" s="5">
        <f t="array" aca="1" ref="G190" ca="1">OFFSET(D_马仔培养宝物!$W$1,SMALL(IF(D_马仔培养宝物!$Z$2:$Z$64=D_马仔培养宝物!$E190,ROW($C$2:$H$64),""),RANDBETWEEN(1,VLOOKUP(D_马仔培养宝物!$E190,D_马仔培养宝物!$T$3:$U$7,2,FALSE)))-1,0)</f>
        <v>92290</v>
      </c>
      <c r="H190" s="5">
        <f t="array" aca="1" ref="H190" ca="1">OFFSET(D_马仔培养宝物!$W$1,SMALL(IF(D_马仔培养宝物!$Z$2:$Z$64=D_马仔培养宝物!$E190,ROW($C$2:$H$64),""),RANDBETWEEN(1,VLOOKUP(D_马仔培养宝物!$E190,D_马仔培养宝物!$T$3:$U$7,2,FALSE)))-1,0)</f>
        <v>92295</v>
      </c>
      <c r="J190" s="5">
        <v>92293</v>
      </c>
      <c r="K190" s="5">
        <v>92289</v>
      </c>
      <c r="L190" s="5">
        <v>92297</v>
      </c>
      <c r="M190" s="5">
        <v>92295</v>
      </c>
      <c r="N190" s="5">
        <v>92299</v>
      </c>
      <c r="O190" s="5">
        <v>92244</v>
      </c>
      <c r="P190">
        <f>VLOOKUP(J190,D_马仔培养宝物!$W$2:$AC$64,5,FALSE)+VLOOKUP(K190,D_马仔培养宝物!$W$2:$AC$64,5,FALSE)+VLOOKUP(L190,D_马仔培养宝物!$W$2:$AC$64,5,FALSE)+VLOOKUP(M190,D_马仔培养宝物!$W$2:$AC$64,5,FALSE)+VLOOKUP(N190,D_马仔培养宝物!$W$2:$AC$64,5,FALSE)+VLOOKUP(O190,D_马仔培养宝物!$W$2:$AC$64,5,FALSE)</f>
        <v>4322</v>
      </c>
      <c r="Q190">
        <f>VLOOKUP(J190,D_马仔培养宝物!$W$2:$AC$64,6,FALSE)+VLOOKUP(K190,D_马仔培养宝物!$W$2:$AC$64,6,FALSE)+VLOOKUP(L190,D_马仔培养宝物!$W$2:$AC$64,6,FALSE)+VLOOKUP(M190,D_马仔培养宝物!$W$2:$AC$64,6,FALSE)+VLOOKUP(N190,D_马仔培养宝物!$W$2:$AC$64,6,FALSE)+VLOOKUP(O190,D_马仔培养宝物!$W$2:$AC$64,6,FALSE)</f>
        <v>105</v>
      </c>
      <c r="R190">
        <f>VLOOKUP(J190,D_马仔培养宝物!$W$2:$AC$64,7,FALSE)+VLOOKUP(K190,D_马仔培养宝物!$W$2:$AC$64,7,FALSE)+VLOOKUP(L190,D_马仔培养宝物!$W$2:$AC$64,7,FALSE)+VLOOKUP(M190,D_马仔培养宝物!$W$2:$AC$64,7,FALSE)+VLOOKUP(N190,D_马仔培养宝物!$W$2:$AC$64,7,FALSE)+VLOOKUP(O190,D_马仔培养宝物!$W$2:$AC$64,7,FALSE)</f>
        <v>75</v>
      </c>
    </row>
    <row r="191" spans="3:18">
      <c r="C191" s="5">
        <f t="array" aca="1" ref="C191" ca="1">OFFSET(D_马仔培养宝物!$W$1,SMALL(IF(D_马仔培养宝物!$Z$2:$Z$64=D_马仔培养宝物!$E191,ROW($C$2:$H$64),""),RANDBETWEEN(1,VLOOKUP(D_马仔培养宝物!$E191,D_马仔培养宝物!$T$3:$U$7,2,FALSE)))-1,0)</f>
        <v>92255</v>
      </c>
      <c r="D191" s="5">
        <f t="array" aca="1" ref="D191" ca="1">OFFSET(D_马仔培养宝物!$W$1,SMALL(IF(D_马仔培养宝物!$Z$2:$Z$64=D_马仔培养宝物!$E191,ROW($C$2:$H$64),""),RANDBETWEEN(1,VLOOKUP(D_马仔培养宝物!$E191,D_马仔培养宝物!$T$3:$U$7,2,FALSE)))-1,0)</f>
        <v>92256</v>
      </c>
      <c r="E191" s="5">
        <f t="array" aca="1" ref="E191" ca="1">OFFSET(D_马仔培养宝物!$W$1,SMALL(IF(D_马仔培养宝物!$Z$2:$Z$64=D_马仔培养宝物!$E191,ROW($C$2:$H$64),""),RANDBETWEEN(1,VLOOKUP(D_马仔培养宝物!$E191,D_马仔培养宝物!$T$3:$U$7,2,FALSE)))-1,0)</f>
        <v>92286</v>
      </c>
      <c r="F191" s="5">
        <f t="array" aca="1" ref="F191" ca="1">OFFSET(D_马仔培养宝物!$W$1,SMALL(IF(D_马仔培养宝物!$Z$2:$Z$64=D_马仔培养宝物!$E191,ROW($C$2:$H$64),""),RANDBETWEEN(1,VLOOKUP(D_马仔培养宝物!$E191,D_马仔培养宝物!$T$3:$U$7,2,FALSE)))-1,0)</f>
        <v>92292</v>
      </c>
      <c r="G191" s="5">
        <f t="array" aca="1" ref="G191" ca="1">OFFSET(D_马仔培养宝物!$W$1,SMALL(IF(D_马仔培养宝物!$Z$2:$Z$64=D_马仔培养宝物!$E191,ROW($C$2:$H$64),""),RANDBETWEEN(1,VLOOKUP(D_马仔培养宝物!$E191,D_马仔培养宝物!$T$3:$U$7,2,FALSE)))-1,0)</f>
        <v>92014</v>
      </c>
      <c r="H191" s="5">
        <f t="array" aca="1" ref="H191" ca="1">OFFSET(D_马仔培养宝物!$W$1,SMALL(IF(D_马仔培养宝物!$Z$2:$Z$64=D_马仔培养宝物!$E191,ROW($C$2:$H$64),""),RANDBETWEEN(1,VLOOKUP(D_马仔培养宝物!$E191,D_马仔培养宝物!$T$3:$U$7,2,FALSE)))-1,0)</f>
        <v>92286</v>
      </c>
      <c r="J191" s="5">
        <v>92243</v>
      </c>
      <c r="K191" s="5">
        <v>92251</v>
      </c>
      <c r="L191" s="5">
        <v>92254</v>
      </c>
      <c r="M191" s="5">
        <v>92294</v>
      </c>
      <c r="N191" s="5">
        <v>92295</v>
      </c>
      <c r="O191" s="5">
        <v>92256</v>
      </c>
      <c r="P191">
        <f>VLOOKUP(J191,D_马仔培养宝物!$W$2:$AC$64,5,FALSE)+VLOOKUP(K191,D_马仔培养宝物!$W$2:$AC$64,5,FALSE)+VLOOKUP(L191,D_马仔培养宝物!$W$2:$AC$64,5,FALSE)+VLOOKUP(M191,D_马仔培养宝物!$W$2:$AC$64,5,FALSE)+VLOOKUP(N191,D_马仔培养宝物!$W$2:$AC$64,5,FALSE)+VLOOKUP(O191,D_马仔培养宝物!$W$2:$AC$64,5,FALSE)</f>
        <v>2058</v>
      </c>
      <c r="Q191">
        <f>VLOOKUP(J191,D_马仔培养宝物!$W$2:$AC$64,6,FALSE)+VLOOKUP(K191,D_马仔培养宝物!$W$2:$AC$64,6,FALSE)+VLOOKUP(L191,D_马仔培养宝物!$W$2:$AC$64,6,FALSE)+VLOOKUP(M191,D_马仔培养宝物!$W$2:$AC$64,6,FALSE)+VLOOKUP(N191,D_马仔培养宝物!$W$2:$AC$64,6,FALSE)+VLOOKUP(O191,D_马仔培养宝物!$W$2:$AC$64,6,FALSE)</f>
        <v>198</v>
      </c>
      <c r="R191">
        <f>VLOOKUP(J191,D_马仔培养宝物!$W$2:$AC$64,7,FALSE)+VLOOKUP(K191,D_马仔培养宝物!$W$2:$AC$64,7,FALSE)+VLOOKUP(L191,D_马仔培养宝物!$W$2:$AC$64,7,FALSE)+VLOOKUP(M191,D_马仔培养宝物!$W$2:$AC$64,7,FALSE)+VLOOKUP(N191,D_马仔培养宝物!$W$2:$AC$64,7,FALSE)+VLOOKUP(O191,D_马仔培养宝物!$W$2:$AC$64,7,FALSE)</f>
        <v>48</v>
      </c>
    </row>
    <row r="192" spans="3:18">
      <c r="C192" s="5">
        <f t="array" aca="1" ref="C192" ca="1">OFFSET(D_马仔培养宝物!$W$1,SMALL(IF(D_马仔培养宝物!$Z$2:$Z$64=D_马仔培养宝物!$E192,ROW($C$2:$H$64),""),RANDBETWEEN(1,VLOOKUP(D_马仔培养宝物!$E192,D_马仔培养宝物!$T$3:$U$7,2,FALSE)))-1,0)</f>
        <v>92262</v>
      </c>
      <c r="D192" s="5">
        <f t="array" aca="1" ref="D192" ca="1">OFFSET(D_马仔培养宝物!$W$1,SMALL(IF(D_马仔培养宝物!$Z$2:$Z$64=D_马仔培养宝物!$E192,ROW($C$2:$H$64),""),RANDBETWEEN(1,VLOOKUP(D_马仔培养宝物!$E192,D_马仔培养宝物!$T$3:$U$7,2,FALSE)))-1,0)</f>
        <v>92286</v>
      </c>
      <c r="E192" s="5">
        <f t="array" aca="1" ref="E192" ca="1">OFFSET(D_马仔培养宝物!$W$1,SMALL(IF(D_马仔培养宝物!$Z$2:$Z$64=D_马仔培养宝物!$E192,ROW($C$2:$H$64),""),RANDBETWEEN(1,VLOOKUP(D_马仔培养宝物!$E192,D_马仔培养宝物!$T$3:$U$7,2,FALSE)))-1,0)</f>
        <v>92240</v>
      </c>
      <c r="F192" s="5">
        <f t="array" aca="1" ref="F192" ca="1">OFFSET(D_马仔培养宝物!$W$1,SMALL(IF(D_马仔培养宝物!$Z$2:$Z$64=D_马仔培养宝物!$E192,ROW($C$2:$H$64),""),RANDBETWEEN(1,VLOOKUP(D_马仔培养宝物!$E192,D_马仔培养宝物!$T$3:$U$7,2,FALSE)))-1,0)</f>
        <v>92293</v>
      </c>
      <c r="G192" s="5">
        <f t="array" aca="1" ref="G192" ca="1">OFFSET(D_马仔培养宝物!$W$1,SMALL(IF(D_马仔培养宝物!$Z$2:$Z$64=D_马仔培养宝物!$E192,ROW($C$2:$H$64),""),RANDBETWEEN(1,VLOOKUP(D_马仔培养宝物!$E192,D_马仔培养宝物!$T$3:$U$7,2,FALSE)))-1,0)</f>
        <v>92276</v>
      </c>
      <c r="H192" s="5">
        <f t="array" aca="1" ref="H192" ca="1">OFFSET(D_马仔培养宝物!$W$1,SMALL(IF(D_马仔培养宝物!$Z$2:$Z$64=D_马仔培养宝物!$E192,ROW($C$2:$H$64),""),RANDBETWEEN(1,VLOOKUP(D_马仔培养宝物!$E192,D_马仔培养宝物!$T$3:$U$7,2,FALSE)))-1,0)</f>
        <v>92276</v>
      </c>
      <c r="J192" s="5">
        <v>92240</v>
      </c>
      <c r="K192" s="5">
        <v>92253</v>
      </c>
      <c r="L192" s="5">
        <v>92297</v>
      </c>
      <c r="M192" s="5">
        <v>92252</v>
      </c>
      <c r="N192" s="5">
        <v>92289</v>
      </c>
      <c r="O192" s="5">
        <v>92244</v>
      </c>
      <c r="P192">
        <f>VLOOKUP(J192,D_马仔培养宝物!$W$2:$AC$64,5,FALSE)+VLOOKUP(K192,D_马仔培养宝物!$W$2:$AC$64,5,FALSE)+VLOOKUP(L192,D_马仔培养宝物!$W$2:$AC$64,5,FALSE)+VLOOKUP(M192,D_马仔培养宝物!$W$2:$AC$64,5,FALSE)+VLOOKUP(N192,D_马仔培养宝物!$W$2:$AC$64,5,FALSE)+VLOOKUP(O192,D_马仔培养宝物!$W$2:$AC$64,5,FALSE)</f>
        <v>3704</v>
      </c>
      <c r="Q192">
        <f>VLOOKUP(J192,D_马仔培养宝物!$W$2:$AC$64,6,FALSE)+VLOOKUP(K192,D_马仔培养宝物!$W$2:$AC$64,6,FALSE)+VLOOKUP(L192,D_马仔培养宝物!$W$2:$AC$64,6,FALSE)+VLOOKUP(M192,D_马仔培养宝物!$W$2:$AC$64,6,FALSE)+VLOOKUP(N192,D_马仔培养宝物!$W$2:$AC$64,6,FALSE)+VLOOKUP(O192,D_马仔培养宝物!$W$2:$AC$64,6,FALSE)</f>
        <v>52</v>
      </c>
      <c r="R192">
        <f>VLOOKUP(J192,D_马仔培养宝物!$W$2:$AC$64,7,FALSE)+VLOOKUP(K192,D_马仔培养宝物!$W$2:$AC$64,7,FALSE)+VLOOKUP(L192,D_马仔培养宝物!$W$2:$AC$64,7,FALSE)+VLOOKUP(M192,D_马仔培养宝物!$W$2:$AC$64,7,FALSE)+VLOOKUP(N192,D_马仔培养宝物!$W$2:$AC$64,7,FALSE)+VLOOKUP(O192,D_马仔培养宝物!$W$2:$AC$64,7,FALSE)</f>
        <v>71</v>
      </c>
    </row>
    <row r="193" spans="3:18" ht="14.25" thickBot="1">
      <c r="C193" s="22">
        <f t="array" aca="1" ref="C193" ca="1">OFFSET(D_马仔培养宝物!$W$1,SMALL(IF(D_马仔培养宝物!$Z$2:$Z$64=D_马仔培养宝物!$E193,ROW($C$2:$H$64),""),RANDBETWEEN(1,VLOOKUP(D_马仔培养宝物!$E193,D_马仔培养宝物!$T$3:$U$7,2,FALSE)))-1,0)</f>
        <v>92292</v>
      </c>
      <c r="D193" s="22">
        <f t="array" aca="1" ref="D193" ca="1">OFFSET(D_马仔培养宝物!$W$1,SMALL(IF(D_马仔培养宝物!$Z$2:$Z$64=D_马仔培养宝物!$E193,ROW($C$2:$H$64),""),RANDBETWEEN(1,VLOOKUP(D_马仔培养宝物!$E193,D_马仔培养宝物!$T$3:$U$7,2,FALSE)))-1,0)</f>
        <v>92256</v>
      </c>
      <c r="E193" s="22">
        <f t="array" aca="1" ref="E193" ca="1">OFFSET(D_马仔培养宝物!$W$1,SMALL(IF(D_马仔培养宝物!$Z$2:$Z$64=D_马仔培养宝物!$E193,ROW($C$2:$H$64),""),RANDBETWEEN(1,VLOOKUP(D_马仔培养宝物!$E193,D_马仔培养宝物!$T$3:$U$7,2,FALSE)))-1,0)</f>
        <v>92014</v>
      </c>
      <c r="F193" s="22">
        <f t="array" aca="1" ref="F193" ca="1">OFFSET(D_马仔培养宝物!$W$1,SMALL(IF(D_马仔培养宝物!$Z$2:$Z$64=D_马仔培养宝物!$E193,ROW($C$2:$H$64),""),RANDBETWEEN(1,VLOOKUP(D_马仔培养宝物!$E193,D_马仔培养宝物!$T$3:$U$7,2,FALSE)))-1,0)</f>
        <v>92298</v>
      </c>
      <c r="G193" s="22">
        <f t="array" aca="1" ref="G193" ca="1">OFFSET(D_马仔培养宝物!$W$1,SMALL(IF(D_马仔培养宝物!$Z$2:$Z$64=D_马仔培养宝物!$E193,ROW($C$2:$H$64),""),RANDBETWEEN(1,VLOOKUP(D_马仔培养宝物!$E193,D_马仔培养宝物!$T$3:$U$7,2,FALSE)))-1,0)</f>
        <v>92255</v>
      </c>
      <c r="H193" s="22">
        <f t="array" aca="1" ref="H193" ca="1">OFFSET(D_马仔培养宝物!$W$1,SMALL(IF(D_马仔培养宝物!$Z$2:$Z$64=D_马仔培养宝物!$E193,ROW($C$2:$H$64),""),RANDBETWEEN(1,VLOOKUP(D_马仔培养宝物!$E193,D_马仔培养宝物!$T$3:$U$7,2,FALSE)))-1,0)</f>
        <v>92298</v>
      </c>
      <c r="J193" s="22">
        <v>92252</v>
      </c>
      <c r="K193" s="22">
        <v>92244</v>
      </c>
      <c r="L193" s="22">
        <v>92253</v>
      </c>
      <c r="M193" s="22">
        <v>92290</v>
      </c>
      <c r="N193" s="22">
        <v>92245</v>
      </c>
      <c r="O193" s="22">
        <v>92294</v>
      </c>
      <c r="P193">
        <f>VLOOKUP(J193,D_马仔培养宝物!$W$2:$AC$64,5,FALSE)+VLOOKUP(K193,D_马仔培养宝物!$W$2:$AC$64,5,FALSE)+VLOOKUP(L193,D_马仔培养宝物!$W$2:$AC$64,5,FALSE)+VLOOKUP(M193,D_马仔培养宝物!$W$2:$AC$64,5,FALSE)+VLOOKUP(N193,D_马仔培养宝物!$W$2:$AC$64,5,FALSE)+VLOOKUP(O193,D_马仔培养宝物!$W$2:$AC$64,5,FALSE)</f>
        <v>4115</v>
      </c>
      <c r="Q193">
        <f>VLOOKUP(J193,D_马仔培养宝物!$W$2:$AC$64,6,FALSE)+VLOOKUP(K193,D_马仔培养宝物!$W$2:$AC$64,6,FALSE)+VLOOKUP(L193,D_马仔培养宝物!$W$2:$AC$64,6,FALSE)+VLOOKUP(M193,D_马仔培养宝物!$W$2:$AC$64,6,FALSE)+VLOOKUP(N193,D_马仔培养宝物!$W$2:$AC$64,6,FALSE)+VLOOKUP(O193,D_马仔培养宝物!$W$2:$AC$64,6,FALSE)</f>
        <v>52</v>
      </c>
      <c r="R193">
        <f>VLOOKUP(J193,D_马仔培养宝物!$W$2:$AC$64,7,FALSE)+VLOOKUP(K193,D_马仔培养宝物!$W$2:$AC$64,7,FALSE)+VLOOKUP(L193,D_马仔培养宝物!$W$2:$AC$64,7,FALSE)+VLOOKUP(M193,D_马仔培养宝物!$W$2:$AC$64,7,FALSE)+VLOOKUP(N193,D_马仔培养宝物!$W$2:$AC$64,7,FALSE)+VLOOKUP(O193,D_马仔培养宝物!$W$2:$AC$64,7,FALSE)</f>
        <v>44</v>
      </c>
    </row>
  </sheetData>
  <mergeCells count="1">
    <mergeCell ref="J1:O1"/>
  </mergeCells>
  <phoneticPr fontId="1" type="noConversion"/>
  <conditionalFormatting sqref="C2:H193">
    <cfRule type="expression" dxfId="774" priority="771">
      <formula>$E2=4</formula>
    </cfRule>
    <cfRule type="expression" dxfId="773" priority="772">
      <formula>$E2=3</formula>
    </cfRule>
    <cfRule type="expression" dxfId="772" priority="773">
      <formula>$E2=2</formula>
    </cfRule>
    <cfRule type="expression" dxfId="771" priority="774">
      <formula>$E2=1</formula>
    </cfRule>
    <cfRule type="expression" dxfId="770" priority="775">
      <formula>$E2=0</formula>
    </cfRule>
  </conditionalFormatting>
  <conditionalFormatting sqref="C2:H2">
    <cfRule type="duplicateValues" dxfId="769" priority="770"/>
  </conditionalFormatting>
  <conditionalFormatting sqref="C3:H3">
    <cfRule type="duplicateValues" dxfId="768" priority="769"/>
  </conditionalFormatting>
  <conditionalFormatting sqref="C4:H4">
    <cfRule type="duplicateValues" dxfId="767" priority="768"/>
  </conditionalFormatting>
  <conditionalFormatting sqref="C5:H5">
    <cfRule type="duplicateValues" dxfId="766" priority="767"/>
  </conditionalFormatting>
  <conditionalFormatting sqref="C6:H6">
    <cfRule type="duplicateValues" dxfId="765" priority="766"/>
  </conditionalFormatting>
  <conditionalFormatting sqref="C7:H7">
    <cfRule type="duplicateValues" dxfId="764" priority="765"/>
  </conditionalFormatting>
  <conditionalFormatting sqref="C8:H8">
    <cfRule type="duplicateValues" dxfId="763" priority="764"/>
  </conditionalFormatting>
  <conditionalFormatting sqref="C9:H9">
    <cfRule type="duplicateValues" dxfId="762" priority="763"/>
  </conditionalFormatting>
  <conditionalFormatting sqref="C10:H10">
    <cfRule type="duplicateValues" dxfId="761" priority="762"/>
  </conditionalFormatting>
  <conditionalFormatting sqref="C11:H11">
    <cfRule type="duplicateValues" dxfId="760" priority="761"/>
  </conditionalFormatting>
  <conditionalFormatting sqref="C12:H12">
    <cfRule type="duplicateValues" dxfId="759" priority="760"/>
  </conditionalFormatting>
  <conditionalFormatting sqref="C13:H13">
    <cfRule type="duplicateValues" dxfId="758" priority="759"/>
  </conditionalFormatting>
  <conditionalFormatting sqref="C14:H14">
    <cfRule type="duplicateValues" dxfId="757" priority="758"/>
  </conditionalFormatting>
  <conditionalFormatting sqref="C15:H15">
    <cfRule type="duplicateValues" dxfId="756" priority="757"/>
  </conditionalFormatting>
  <conditionalFormatting sqref="C16:H16">
    <cfRule type="duplicateValues" dxfId="755" priority="756"/>
  </conditionalFormatting>
  <conditionalFormatting sqref="C17:H17">
    <cfRule type="duplicateValues" dxfId="754" priority="755"/>
  </conditionalFormatting>
  <conditionalFormatting sqref="C18:H18">
    <cfRule type="duplicateValues" dxfId="753" priority="754"/>
  </conditionalFormatting>
  <conditionalFormatting sqref="C19:H19">
    <cfRule type="duplicateValues" dxfId="752" priority="753"/>
  </conditionalFormatting>
  <conditionalFormatting sqref="C20:H20">
    <cfRule type="duplicateValues" dxfId="751" priority="752"/>
  </conditionalFormatting>
  <conditionalFormatting sqref="C21:H21">
    <cfRule type="duplicateValues" dxfId="750" priority="751"/>
  </conditionalFormatting>
  <conditionalFormatting sqref="C22:H22">
    <cfRule type="duplicateValues" dxfId="749" priority="750"/>
  </conditionalFormatting>
  <conditionalFormatting sqref="C23:H23">
    <cfRule type="duplicateValues" dxfId="748" priority="749"/>
  </conditionalFormatting>
  <conditionalFormatting sqref="C24:H24">
    <cfRule type="duplicateValues" dxfId="747" priority="748"/>
  </conditionalFormatting>
  <conditionalFormatting sqref="C25:H25">
    <cfRule type="duplicateValues" dxfId="746" priority="747"/>
  </conditionalFormatting>
  <conditionalFormatting sqref="C26:H26">
    <cfRule type="duplicateValues" dxfId="745" priority="746"/>
  </conditionalFormatting>
  <conditionalFormatting sqref="C27:H27">
    <cfRule type="duplicateValues" dxfId="744" priority="745"/>
  </conditionalFormatting>
  <conditionalFormatting sqref="C28:H28">
    <cfRule type="duplicateValues" dxfId="743" priority="744"/>
  </conditionalFormatting>
  <conditionalFormatting sqref="C29:H29">
    <cfRule type="duplicateValues" dxfId="742" priority="743"/>
  </conditionalFormatting>
  <conditionalFormatting sqref="C30:H30">
    <cfRule type="duplicateValues" dxfId="741" priority="742"/>
  </conditionalFormatting>
  <conditionalFormatting sqref="C31:H31">
    <cfRule type="duplicateValues" dxfId="740" priority="741"/>
  </conditionalFormatting>
  <conditionalFormatting sqref="C32:H32">
    <cfRule type="duplicateValues" dxfId="739" priority="740"/>
  </conditionalFormatting>
  <conditionalFormatting sqref="C33:H33">
    <cfRule type="duplicateValues" dxfId="738" priority="739"/>
  </conditionalFormatting>
  <conditionalFormatting sqref="C34:H34">
    <cfRule type="duplicateValues" dxfId="737" priority="738"/>
  </conditionalFormatting>
  <conditionalFormatting sqref="C35:H35">
    <cfRule type="duplicateValues" dxfId="736" priority="737"/>
  </conditionalFormatting>
  <conditionalFormatting sqref="C36:H36">
    <cfRule type="duplicateValues" dxfId="735" priority="736"/>
  </conditionalFormatting>
  <conditionalFormatting sqref="C37:H37">
    <cfRule type="duplicateValues" dxfId="734" priority="735"/>
  </conditionalFormatting>
  <conditionalFormatting sqref="C39:H39">
    <cfRule type="duplicateValues" dxfId="733" priority="734"/>
  </conditionalFormatting>
  <conditionalFormatting sqref="C38:H38">
    <cfRule type="duplicateValues" dxfId="732" priority="733"/>
  </conditionalFormatting>
  <conditionalFormatting sqref="C40:H40">
    <cfRule type="duplicateValues" dxfId="731" priority="732"/>
  </conditionalFormatting>
  <conditionalFormatting sqref="C41:H41">
    <cfRule type="duplicateValues" dxfId="730" priority="731"/>
  </conditionalFormatting>
  <conditionalFormatting sqref="C42:H42">
    <cfRule type="duplicateValues" dxfId="729" priority="730"/>
  </conditionalFormatting>
  <conditionalFormatting sqref="C43:H43">
    <cfRule type="duplicateValues" dxfId="728" priority="729"/>
  </conditionalFormatting>
  <conditionalFormatting sqref="C44:H44">
    <cfRule type="duplicateValues" dxfId="727" priority="728"/>
  </conditionalFormatting>
  <conditionalFormatting sqref="C45:H45">
    <cfRule type="duplicateValues" dxfId="726" priority="727"/>
  </conditionalFormatting>
  <conditionalFormatting sqref="C46:H46">
    <cfRule type="duplicateValues" dxfId="725" priority="726"/>
  </conditionalFormatting>
  <conditionalFormatting sqref="C47:H47">
    <cfRule type="duplicateValues" dxfId="724" priority="725"/>
  </conditionalFormatting>
  <conditionalFormatting sqref="C48:H48">
    <cfRule type="duplicateValues" dxfId="723" priority="724"/>
  </conditionalFormatting>
  <conditionalFormatting sqref="C49:H49">
    <cfRule type="duplicateValues" dxfId="722" priority="723"/>
  </conditionalFormatting>
  <conditionalFormatting sqref="C50:H50">
    <cfRule type="duplicateValues" dxfId="721" priority="722"/>
  </conditionalFormatting>
  <conditionalFormatting sqref="C51:H51">
    <cfRule type="duplicateValues" dxfId="720" priority="721"/>
  </conditionalFormatting>
  <conditionalFormatting sqref="C52:H52">
    <cfRule type="duplicateValues" dxfId="719" priority="720"/>
  </conditionalFormatting>
  <conditionalFormatting sqref="C53:H53">
    <cfRule type="duplicateValues" dxfId="718" priority="719"/>
  </conditionalFormatting>
  <conditionalFormatting sqref="C54:H54">
    <cfRule type="duplicateValues" dxfId="717" priority="718"/>
  </conditionalFormatting>
  <conditionalFormatting sqref="C55:H55">
    <cfRule type="duplicateValues" dxfId="716" priority="717"/>
  </conditionalFormatting>
  <conditionalFormatting sqref="C56:H56">
    <cfRule type="duplicateValues" dxfId="715" priority="716"/>
  </conditionalFormatting>
  <conditionalFormatting sqref="C57:H57">
    <cfRule type="duplicateValues" dxfId="714" priority="715"/>
  </conditionalFormatting>
  <conditionalFormatting sqref="C58:H58">
    <cfRule type="duplicateValues" dxfId="713" priority="714"/>
  </conditionalFormatting>
  <conditionalFormatting sqref="C59:H59">
    <cfRule type="duplicateValues" dxfId="712" priority="713"/>
  </conditionalFormatting>
  <conditionalFormatting sqref="C60:H60">
    <cfRule type="duplicateValues" dxfId="711" priority="712"/>
  </conditionalFormatting>
  <conditionalFormatting sqref="C61:H61">
    <cfRule type="duplicateValues" dxfId="710" priority="711"/>
  </conditionalFormatting>
  <conditionalFormatting sqref="C62:H62">
    <cfRule type="duplicateValues" dxfId="709" priority="710"/>
  </conditionalFormatting>
  <conditionalFormatting sqref="C63:H63">
    <cfRule type="duplicateValues" dxfId="708" priority="709"/>
  </conditionalFormatting>
  <conditionalFormatting sqref="C64:H64">
    <cfRule type="duplicateValues" dxfId="707" priority="708"/>
  </conditionalFormatting>
  <conditionalFormatting sqref="C65:H65">
    <cfRule type="duplicateValues" dxfId="706" priority="707"/>
  </conditionalFormatting>
  <conditionalFormatting sqref="C66:H66">
    <cfRule type="duplicateValues" dxfId="705" priority="706"/>
  </conditionalFormatting>
  <conditionalFormatting sqref="C67:H67">
    <cfRule type="duplicateValues" dxfId="704" priority="705"/>
  </conditionalFormatting>
  <conditionalFormatting sqref="C68:H68">
    <cfRule type="duplicateValues" dxfId="703" priority="704"/>
  </conditionalFormatting>
  <conditionalFormatting sqref="C69:H69">
    <cfRule type="duplicateValues" dxfId="702" priority="703"/>
  </conditionalFormatting>
  <conditionalFormatting sqref="C70:H70">
    <cfRule type="duplicateValues" dxfId="701" priority="702"/>
  </conditionalFormatting>
  <conditionalFormatting sqref="C71:H71">
    <cfRule type="duplicateValues" dxfId="700" priority="701"/>
  </conditionalFormatting>
  <conditionalFormatting sqref="C72:H72">
    <cfRule type="duplicateValues" dxfId="699" priority="700"/>
  </conditionalFormatting>
  <conditionalFormatting sqref="C73:H73">
    <cfRule type="duplicateValues" dxfId="698" priority="699"/>
  </conditionalFormatting>
  <conditionalFormatting sqref="C74:H74">
    <cfRule type="duplicateValues" dxfId="697" priority="698"/>
  </conditionalFormatting>
  <conditionalFormatting sqref="C75:H75">
    <cfRule type="duplicateValues" dxfId="696" priority="697"/>
  </conditionalFormatting>
  <conditionalFormatting sqref="C76:H76">
    <cfRule type="duplicateValues" dxfId="695" priority="696"/>
  </conditionalFormatting>
  <conditionalFormatting sqref="C77:H77">
    <cfRule type="duplicateValues" dxfId="694" priority="695"/>
  </conditionalFormatting>
  <conditionalFormatting sqref="C78:H78">
    <cfRule type="duplicateValues" dxfId="693" priority="694"/>
  </conditionalFormatting>
  <conditionalFormatting sqref="C79:H79">
    <cfRule type="duplicateValues" dxfId="692" priority="693"/>
  </conditionalFormatting>
  <conditionalFormatting sqref="C80:H80">
    <cfRule type="duplicateValues" dxfId="691" priority="692"/>
  </conditionalFormatting>
  <conditionalFormatting sqref="C81:H81">
    <cfRule type="duplicateValues" dxfId="690" priority="691"/>
  </conditionalFormatting>
  <conditionalFormatting sqref="C82:H82">
    <cfRule type="duplicateValues" dxfId="689" priority="690"/>
  </conditionalFormatting>
  <conditionalFormatting sqref="C83:H83">
    <cfRule type="duplicateValues" dxfId="688" priority="689"/>
  </conditionalFormatting>
  <conditionalFormatting sqref="C84:H84">
    <cfRule type="duplicateValues" dxfId="687" priority="688"/>
  </conditionalFormatting>
  <conditionalFormatting sqref="C85:H85">
    <cfRule type="duplicateValues" dxfId="686" priority="687"/>
  </conditionalFormatting>
  <conditionalFormatting sqref="C86:H86">
    <cfRule type="duplicateValues" dxfId="685" priority="686"/>
  </conditionalFormatting>
  <conditionalFormatting sqref="C87:H87">
    <cfRule type="duplicateValues" dxfId="684" priority="685"/>
  </conditionalFormatting>
  <conditionalFormatting sqref="C88:H88">
    <cfRule type="duplicateValues" dxfId="683" priority="684"/>
  </conditionalFormatting>
  <conditionalFormatting sqref="C89:H89">
    <cfRule type="duplicateValues" dxfId="682" priority="683"/>
  </conditionalFormatting>
  <conditionalFormatting sqref="C90:H90">
    <cfRule type="duplicateValues" dxfId="681" priority="682"/>
  </conditionalFormatting>
  <conditionalFormatting sqref="C91:H91">
    <cfRule type="duplicateValues" dxfId="680" priority="681"/>
  </conditionalFormatting>
  <conditionalFormatting sqref="C92:H92">
    <cfRule type="duplicateValues" dxfId="679" priority="680"/>
  </conditionalFormatting>
  <conditionalFormatting sqref="C93:H93">
    <cfRule type="duplicateValues" dxfId="678" priority="679"/>
  </conditionalFormatting>
  <conditionalFormatting sqref="C94:H94">
    <cfRule type="duplicateValues" dxfId="677" priority="678"/>
  </conditionalFormatting>
  <conditionalFormatting sqref="C95:H95">
    <cfRule type="duplicateValues" dxfId="676" priority="677"/>
  </conditionalFormatting>
  <conditionalFormatting sqref="C96:H96">
    <cfRule type="duplicateValues" dxfId="675" priority="676"/>
  </conditionalFormatting>
  <conditionalFormatting sqref="C97:H97">
    <cfRule type="duplicateValues" dxfId="674" priority="675"/>
  </conditionalFormatting>
  <conditionalFormatting sqref="C98:H98">
    <cfRule type="duplicateValues" dxfId="673" priority="674"/>
  </conditionalFormatting>
  <conditionalFormatting sqref="C99:H99">
    <cfRule type="duplicateValues" dxfId="672" priority="673"/>
  </conditionalFormatting>
  <conditionalFormatting sqref="C100:H100">
    <cfRule type="duplicateValues" dxfId="671" priority="672"/>
  </conditionalFormatting>
  <conditionalFormatting sqref="C101:H101">
    <cfRule type="duplicateValues" dxfId="670" priority="671"/>
  </conditionalFormatting>
  <conditionalFormatting sqref="C102:H102">
    <cfRule type="duplicateValues" dxfId="669" priority="670"/>
  </conditionalFormatting>
  <conditionalFormatting sqref="C103:H103">
    <cfRule type="duplicateValues" dxfId="668" priority="669"/>
  </conditionalFormatting>
  <conditionalFormatting sqref="C104:H104">
    <cfRule type="duplicateValues" dxfId="667" priority="668"/>
  </conditionalFormatting>
  <conditionalFormatting sqref="C105:H105">
    <cfRule type="duplicateValues" dxfId="666" priority="667"/>
  </conditionalFormatting>
  <conditionalFormatting sqref="C106:H106">
    <cfRule type="duplicateValues" dxfId="665" priority="666"/>
  </conditionalFormatting>
  <conditionalFormatting sqref="C107:H107">
    <cfRule type="duplicateValues" dxfId="664" priority="665"/>
  </conditionalFormatting>
  <conditionalFormatting sqref="C108:H108">
    <cfRule type="duplicateValues" dxfId="663" priority="664"/>
  </conditionalFormatting>
  <conditionalFormatting sqref="C109:H109">
    <cfRule type="duplicateValues" dxfId="662" priority="663"/>
  </conditionalFormatting>
  <conditionalFormatting sqref="C110:H110">
    <cfRule type="duplicateValues" dxfId="661" priority="662"/>
  </conditionalFormatting>
  <conditionalFormatting sqref="C111:H111">
    <cfRule type="duplicateValues" dxfId="660" priority="661"/>
  </conditionalFormatting>
  <conditionalFormatting sqref="C112:H112">
    <cfRule type="duplicateValues" dxfId="659" priority="660"/>
  </conditionalFormatting>
  <conditionalFormatting sqref="C113:H113">
    <cfRule type="duplicateValues" dxfId="658" priority="659"/>
  </conditionalFormatting>
  <conditionalFormatting sqref="C114:H114">
    <cfRule type="duplicateValues" dxfId="657" priority="658"/>
  </conditionalFormatting>
  <conditionalFormatting sqref="C115:H115">
    <cfRule type="duplicateValues" dxfId="656" priority="657"/>
  </conditionalFormatting>
  <conditionalFormatting sqref="C116:H116">
    <cfRule type="duplicateValues" dxfId="655" priority="656"/>
  </conditionalFormatting>
  <conditionalFormatting sqref="C117:H117">
    <cfRule type="duplicateValues" dxfId="654" priority="655"/>
  </conditionalFormatting>
  <conditionalFormatting sqref="C118:H118">
    <cfRule type="duplicateValues" dxfId="653" priority="654"/>
  </conditionalFormatting>
  <conditionalFormatting sqref="C119:H119">
    <cfRule type="duplicateValues" dxfId="652" priority="653"/>
  </conditionalFormatting>
  <conditionalFormatting sqref="C120:H120">
    <cfRule type="duplicateValues" dxfId="651" priority="652"/>
  </conditionalFormatting>
  <conditionalFormatting sqref="C121:H121">
    <cfRule type="duplicateValues" dxfId="650" priority="651"/>
  </conditionalFormatting>
  <conditionalFormatting sqref="C122:H122">
    <cfRule type="duplicateValues" dxfId="649" priority="650"/>
  </conditionalFormatting>
  <conditionalFormatting sqref="C123:H123">
    <cfRule type="duplicateValues" dxfId="648" priority="649"/>
  </conditionalFormatting>
  <conditionalFormatting sqref="C124:H124">
    <cfRule type="duplicateValues" dxfId="647" priority="648"/>
  </conditionalFormatting>
  <conditionalFormatting sqref="C125:H125">
    <cfRule type="duplicateValues" dxfId="646" priority="647"/>
  </conditionalFormatting>
  <conditionalFormatting sqref="C126:H126">
    <cfRule type="duplicateValues" dxfId="645" priority="646"/>
  </conditionalFormatting>
  <conditionalFormatting sqref="C127:H127">
    <cfRule type="duplicateValues" dxfId="644" priority="645"/>
  </conditionalFormatting>
  <conditionalFormatting sqref="C128:H128">
    <cfRule type="duplicateValues" dxfId="643" priority="644"/>
  </conditionalFormatting>
  <conditionalFormatting sqref="C129:H129">
    <cfRule type="duplicateValues" dxfId="642" priority="643"/>
  </conditionalFormatting>
  <conditionalFormatting sqref="C130:H130">
    <cfRule type="duplicateValues" dxfId="641" priority="642"/>
  </conditionalFormatting>
  <conditionalFormatting sqref="C131:H131">
    <cfRule type="duplicateValues" dxfId="640" priority="641"/>
  </conditionalFormatting>
  <conditionalFormatting sqref="C132:H132">
    <cfRule type="duplicateValues" dxfId="639" priority="640"/>
  </conditionalFormatting>
  <conditionalFormatting sqref="C133:H133">
    <cfRule type="duplicateValues" dxfId="638" priority="639"/>
  </conditionalFormatting>
  <conditionalFormatting sqref="C134:H134">
    <cfRule type="duplicateValues" dxfId="637" priority="638"/>
  </conditionalFormatting>
  <conditionalFormatting sqref="C135:H135">
    <cfRule type="duplicateValues" dxfId="636" priority="637"/>
  </conditionalFormatting>
  <conditionalFormatting sqref="C136:H136">
    <cfRule type="duplicateValues" dxfId="635" priority="636"/>
  </conditionalFormatting>
  <conditionalFormatting sqref="C137:H137">
    <cfRule type="duplicateValues" dxfId="634" priority="635"/>
  </conditionalFormatting>
  <conditionalFormatting sqref="C138:H138">
    <cfRule type="duplicateValues" dxfId="633" priority="634"/>
  </conditionalFormatting>
  <conditionalFormatting sqref="C139:H139">
    <cfRule type="duplicateValues" dxfId="632" priority="633"/>
  </conditionalFormatting>
  <conditionalFormatting sqref="C140:H140">
    <cfRule type="duplicateValues" dxfId="631" priority="632"/>
  </conditionalFormatting>
  <conditionalFormatting sqref="C141:H141">
    <cfRule type="duplicateValues" dxfId="630" priority="631"/>
  </conditionalFormatting>
  <conditionalFormatting sqref="C142:H142">
    <cfRule type="duplicateValues" dxfId="629" priority="630"/>
  </conditionalFormatting>
  <conditionalFormatting sqref="C143:H143">
    <cfRule type="duplicateValues" dxfId="628" priority="629"/>
  </conditionalFormatting>
  <conditionalFormatting sqref="C144:H144">
    <cfRule type="duplicateValues" dxfId="627" priority="628"/>
  </conditionalFormatting>
  <conditionalFormatting sqref="C145:H145">
    <cfRule type="duplicateValues" dxfId="626" priority="627"/>
  </conditionalFormatting>
  <conditionalFormatting sqref="C146:H146">
    <cfRule type="duplicateValues" dxfId="625" priority="626"/>
  </conditionalFormatting>
  <conditionalFormatting sqref="C147:H147">
    <cfRule type="duplicateValues" dxfId="624" priority="625"/>
  </conditionalFormatting>
  <conditionalFormatting sqref="C148:H148">
    <cfRule type="duplicateValues" dxfId="623" priority="624"/>
  </conditionalFormatting>
  <conditionalFormatting sqref="C149:H149">
    <cfRule type="duplicateValues" dxfId="622" priority="623"/>
  </conditionalFormatting>
  <conditionalFormatting sqref="C150:H150">
    <cfRule type="duplicateValues" dxfId="621" priority="622"/>
  </conditionalFormatting>
  <conditionalFormatting sqref="C151:H151">
    <cfRule type="duplicateValues" dxfId="620" priority="621"/>
  </conditionalFormatting>
  <conditionalFormatting sqref="C152:H152">
    <cfRule type="duplicateValues" dxfId="619" priority="620"/>
  </conditionalFormatting>
  <conditionalFormatting sqref="C153:H153">
    <cfRule type="duplicateValues" dxfId="618" priority="619"/>
  </conditionalFormatting>
  <conditionalFormatting sqref="C154:H154">
    <cfRule type="duplicateValues" dxfId="617" priority="618"/>
  </conditionalFormatting>
  <conditionalFormatting sqref="C155:H155">
    <cfRule type="duplicateValues" dxfId="616" priority="617"/>
  </conditionalFormatting>
  <conditionalFormatting sqref="C156:H156">
    <cfRule type="duplicateValues" dxfId="615" priority="616"/>
  </conditionalFormatting>
  <conditionalFormatting sqref="C157:H157">
    <cfRule type="duplicateValues" dxfId="614" priority="615"/>
  </conditionalFormatting>
  <conditionalFormatting sqref="C158:H158">
    <cfRule type="duplicateValues" dxfId="613" priority="614"/>
  </conditionalFormatting>
  <conditionalFormatting sqref="C159:H159">
    <cfRule type="duplicateValues" dxfId="612" priority="613"/>
  </conditionalFormatting>
  <conditionalFormatting sqref="C160:H160">
    <cfRule type="duplicateValues" dxfId="611" priority="612"/>
  </conditionalFormatting>
  <conditionalFormatting sqref="C161:H161">
    <cfRule type="duplicateValues" dxfId="610" priority="611"/>
  </conditionalFormatting>
  <conditionalFormatting sqref="C162:H162">
    <cfRule type="duplicateValues" dxfId="609" priority="610"/>
  </conditionalFormatting>
  <conditionalFormatting sqref="C163:H163">
    <cfRule type="duplicateValues" dxfId="608" priority="609"/>
  </conditionalFormatting>
  <conditionalFormatting sqref="C164:H164">
    <cfRule type="duplicateValues" dxfId="607" priority="608"/>
  </conditionalFormatting>
  <conditionalFormatting sqref="C165:H165">
    <cfRule type="duplicateValues" dxfId="606" priority="607"/>
  </conditionalFormatting>
  <conditionalFormatting sqref="C166:H166">
    <cfRule type="duplicateValues" dxfId="605" priority="606"/>
  </conditionalFormatting>
  <conditionalFormatting sqref="C167:H167">
    <cfRule type="duplicateValues" dxfId="604" priority="605"/>
  </conditionalFormatting>
  <conditionalFormatting sqref="C168:H168">
    <cfRule type="duplicateValues" dxfId="603" priority="604"/>
  </conditionalFormatting>
  <conditionalFormatting sqref="C169:H169">
    <cfRule type="duplicateValues" dxfId="602" priority="603"/>
  </conditionalFormatting>
  <conditionalFormatting sqref="C170:H170">
    <cfRule type="duplicateValues" dxfId="601" priority="602"/>
  </conditionalFormatting>
  <conditionalFormatting sqref="C171:H171">
    <cfRule type="duplicateValues" dxfId="600" priority="601"/>
  </conditionalFormatting>
  <conditionalFormatting sqref="C172:H172">
    <cfRule type="duplicateValues" dxfId="599" priority="600"/>
  </conditionalFormatting>
  <conditionalFormatting sqref="C173:H173">
    <cfRule type="duplicateValues" dxfId="598" priority="599"/>
  </conditionalFormatting>
  <conditionalFormatting sqref="C174:H174">
    <cfRule type="duplicateValues" dxfId="597" priority="598"/>
  </conditionalFormatting>
  <conditionalFormatting sqref="C175:H175">
    <cfRule type="duplicateValues" dxfId="596" priority="597"/>
  </conditionalFormatting>
  <conditionalFormatting sqref="C176:H176">
    <cfRule type="duplicateValues" dxfId="595" priority="596"/>
  </conditionalFormatting>
  <conditionalFormatting sqref="C177:H177">
    <cfRule type="duplicateValues" dxfId="594" priority="595"/>
  </conditionalFormatting>
  <conditionalFormatting sqref="C178:H178">
    <cfRule type="duplicateValues" dxfId="593" priority="594"/>
  </conditionalFormatting>
  <conditionalFormatting sqref="C179:H179">
    <cfRule type="duplicateValues" dxfId="592" priority="593"/>
  </conditionalFormatting>
  <conditionalFormatting sqref="C180:H180">
    <cfRule type="duplicateValues" dxfId="591" priority="592"/>
  </conditionalFormatting>
  <conditionalFormatting sqref="C181:H181">
    <cfRule type="duplicateValues" dxfId="590" priority="591"/>
  </conditionalFormatting>
  <conditionalFormatting sqref="C182:H182">
    <cfRule type="duplicateValues" dxfId="589" priority="590"/>
  </conditionalFormatting>
  <conditionalFormatting sqref="C183:H183">
    <cfRule type="duplicateValues" dxfId="588" priority="589"/>
  </conditionalFormatting>
  <conditionalFormatting sqref="C184:H184">
    <cfRule type="duplicateValues" dxfId="587" priority="588"/>
  </conditionalFormatting>
  <conditionalFormatting sqref="C185:H185">
    <cfRule type="duplicateValues" dxfId="586" priority="587"/>
  </conditionalFormatting>
  <conditionalFormatting sqref="C186:H186">
    <cfRule type="duplicateValues" dxfId="585" priority="586"/>
  </conditionalFormatting>
  <conditionalFormatting sqref="C187:H187">
    <cfRule type="duplicateValues" dxfId="584" priority="585"/>
  </conditionalFormatting>
  <conditionalFormatting sqref="C188:H188">
    <cfRule type="duplicateValues" dxfId="583" priority="584"/>
  </conditionalFormatting>
  <conditionalFormatting sqref="C189:H189">
    <cfRule type="duplicateValues" dxfId="582" priority="583"/>
  </conditionalFormatting>
  <conditionalFormatting sqref="C190:H190">
    <cfRule type="duplicateValues" dxfId="581" priority="582"/>
  </conditionalFormatting>
  <conditionalFormatting sqref="C191:H191">
    <cfRule type="duplicateValues" dxfId="580" priority="581"/>
  </conditionalFormatting>
  <conditionalFormatting sqref="C192:H192">
    <cfRule type="duplicateValues" dxfId="579" priority="580"/>
  </conditionalFormatting>
  <conditionalFormatting sqref="C193:H193">
    <cfRule type="duplicateValues" dxfId="578" priority="579"/>
  </conditionalFormatting>
  <conditionalFormatting sqref="C3:H3">
    <cfRule type="duplicateValues" dxfId="577" priority="578"/>
  </conditionalFormatting>
  <conditionalFormatting sqref="C4:H4">
    <cfRule type="duplicateValues" dxfId="576" priority="577"/>
  </conditionalFormatting>
  <conditionalFormatting sqref="C5:H5">
    <cfRule type="duplicateValues" dxfId="575" priority="576"/>
  </conditionalFormatting>
  <conditionalFormatting sqref="C6:H6">
    <cfRule type="duplicateValues" dxfId="574" priority="575"/>
  </conditionalFormatting>
  <conditionalFormatting sqref="C7:H7">
    <cfRule type="duplicateValues" dxfId="573" priority="574"/>
  </conditionalFormatting>
  <conditionalFormatting sqref="C8:H8">
    <cfRule type="duplicateValues" dxfId="572" priority="573"/>
  </conditionalFormatting>
  <conditionalFormatting sqref="C9:H9">
    <cfRule type="duplicateValues" dxfId="571" priority="572"/>
  </conditionalFormatting>
  <conditionalFormatting sqref="C10:H10">
    <cfRule type="duplicateValues" dxfId="570" priority="571"/>
  </conditionalFormatting>
  <conditionalFormatting sqref="C11:H11">
    <cfRule type="duplicateValues" dxfId="569" priority="570"/>
  </conditionalFormatting>
  <conditionalFormatting sqref="C12:H12">
    <cfRule type="duplicateValues" dxfId="568" priority="569"/>
  </conditionalFormatting>
  <conditionalFormatting sqref="C13:H13">
    <cfRule type="duplicateValues" dxfId="567" priority="568"/>
  </conditionalFormatting>
  <conditionalFormatting sqref="C14:H14">
    <cfRule type="duplicateValues" dxfId="566" priority="567"/>
  </conditionalFormatting>
  <conditionalFormatting sqref="C15:H15">
    <cfRule type="duplicateValues" dxfId="565" priority="566"/>
  </conditionalFormatting>
  <conditionalFormatting sqref="C16:H16">
    <cfRule type="duplicateValues" dxfId="564" priority="565"/>
  </conditionalFormatting>
  <conditionalFormatting sqref="C17:H17">
    <cfRule type="duplicateValues" dxfId="563" priority="564"/>
  </conditionalFormatting>
  <conditionalFormatting sqref="C18:H18">
    <cfRule type="duplicateValues" dxfId="562" priority="563"/>
  </conditionalFormatting>
  <conditionalFormatting sqref="C19:H19">
    <cfRule type="duplicateValues" dxfId="561" priority="562"/>
  </conditionalFormatting>
  <conditionalFormatting sqref="C20:H20">
    <cfRule type="duplicateValues" dxfId="560" priority="561"/>
  </conditionalFormatting>
  <conditionalFormatting sqref="C21:H21">
    <cfRule type="duplicateValues" dxfId="559" priority="560"/>
  </conditionalFormatting>
  <conditionalFormatting sqref="C22:H22">
    <cfRule type="duplicateValues" dxfId="558" priority="559"/>
  </conditionalFormatting>
  <conditionalFormatting sqref="C23:H23">
    <cfRule type="duplicateValues" dxfId="557" priority="558"/>
  </conditionalFormatting>
  <conditionalFormatting sqref="C24:H24">
    <cfRule type="duplicateValues" dxfId="556" priority="557"/>
  </conditionalFormatting>
  <conditionalFormatting sqref="C25:H25">
    <cfRule type="duplicateValues" dxfId="555" priority="556"/>
  </conditionalFormatting>
  <conditionalFormatting sqref="C26:H26">
    <cfRule type="duplicateValues" dxfId="554" priority="555"/>
  </conditionalFormatting>
  <conditionalFormatting sqref="C27:H27">
    <cfRule type="duplicateValues" dxfId="553" priority="554"/>
  </conditionalFormatting>
  <conditionalFormatting sqref="C28:H28">
    <cfRule type="duplicateValues" dxfId="552" priority="553"/>
  </conditionalFormatting>
  <conditionalFormatting sqref="C29:H29">
    <cfRule type="duplicateValues" dxfId="551" priority="552"/>
  </conditionalFormatting>
  <conditionalFormatting sqref="C30:H30">
    <cfRule type="duplicateValues" dxfId="550" priority="551"/>
  </conditionalFormatting>
  <conditionalFormatting sqref="C31:H31">
    <cfRule type="duplicateValues" dxfId="549" priority="550"/>
  </conditionalFormatting>
  <conditionalFormatting sqref="C32:H32">
    <cfRule type="duplicateValues" dxfId="548" priority="549"/>
  </conditionalFormatting>
  <conditionalFormatting sqref="C33:H33">
    <cfRule type="duplicateValues" dxfId="547" priority="548"/>
  </conditionalFormatting>
  <conditionalFormatting sqref="C34:H34">
    <cfRule type="duplicateValues" dxfId="546" priority="547"/>
  </conditionalFormatting>
  <conditionalFormatting sqref="C35:H35">
    <cfRule type="duplicateValues" dxfId="545" priority="546"/>
  </conditionalFormatting>
  <conditionalFormatting sqref="C37:H37">
    <cfRule type="duplicateValues" dxfId="544" priority="545"/>
  </conditionalFormatting>
  <conditionalFormatting sqref="C36:H36">
    <cfRule type="duplicateValues" dxfId="543" priority="544"/>
  </conditionalFormatting>
  <conditionalFormatting sqref="C38:H38">
    <cfRule type="duplicateValues" dxfId="542" priority="543"/>
  </conditionalFormatting>
  <conditionalFormatting sqref="C39:H39">
    <cfRule type="duplicateValues" dxfId="541" priority="542"/>
  </conditionalFormatting>
  <conditionalFormatting sqref="C40:H40">
    <cfRule type="duplicateValues" dxfId="540" priority="541"/>
  </conditionalFormatting>
  <conditionalFormatting sqref="C41:H41">
    <cfRule type="duplicateValues" dxfId="539" priority="540"/>
  </conditionalFormatting>
  <conditionalFormatting sqref="C42:H42">
    <cfRule type="duplicateValues" dxfId="538" priority="539"/>
  </conditionalFormatting>
  <conditionalFormatting sqref="C44:H44">
    <cfRule type="duplicateValues" dxfId="537" priority="538"/>
  </conditionalFormatting>
  <conditionalFormatting sqref="C43:H43">
    <cfRule type="duplicateValues" dxfId="536" priority="537"/>
  </conditionalFormatting>
  <conditionalFormatting sqref="C45:H45">
    <cfRule type="duplicateValues" dxfId="535" priority="536"/>
  </conditionalFormatting>
  <conditionalFormatting sqref="C46:H46">
    <cfRule type="duplicateValues" dxfId="534" priority="535"/>
  </conditionalFormatting>
  <conditionalFormatting sqref="C48:H48">
    <cfRule type="duplicateValues" dxfId="533" priority="534"/>
  </conditionalFormatting>
  <conditionalFormatting sqref="C47:H47">
    <cfRule type="duplicateValues" dxfId="532" priority="533"/>
  </conditionalFormatting>
  <conditionalFormatting sqref="C49:H49">
    <cfRule type="duplicateValues" dxfId="531" priority="532"/>
  </conditionalFormatting>
  <conditionalFormatting sqref="C50:H50">
    <cfRule type="duplicateValues" dxfId="530" priority="531"/>
  </conditionalFormatting>
  <conditionalFormatting sqref="C51:H51">
    <cfRule type="duplicateValues" dxfId="529" priority="530"/>
  </conditionalFormatting>
  <conditionalFormatting sqref="C52:H52">
    <cfRule type="duplicateValues" dxfId="528" priority="529"/>
  </conditionalFormatting>
  <conditionalFormatting sqref="C54:H54">
    <cfRule type="duplicateValues" dxfId="527" priority="528"/>
  </conditionalFormatting>
  <conditionalFormatting sqref="C53:H53">
    <cfRule type="duplicateValues" dxfId="526" priority="527"/>
  </conditionalFormatting>
  <conditionalFormatting sqref="C55:H55">
    <cfRule type="duplicateValues" dxfId="525" priority="526"/>
  </conditionalFormatting>
  <conditionalFormatting sqref="C56:H56">
    <cfRule type="duplicateValues" dxfId="524" priority="525"/>
  </conditionalFormatting>
  <conditionalFormatting sqref="C57:H57">
    <cfRule type="duplicateValues" dxfId="523" priority="524"/>
  </conditionalFormatting>
  <conditionalFormatting sqref="C58:H58">
    <cfRule type="duplicateValues" dxfId="522" priority="523"/>
  </conditionalFormatting>
  <conditionalFormatting sqref="C59:H59">
    <cfRule type="duplicateValues" dxfId="521" priority="522"/>
  </conditionalFormatting>
  <conditionalFormatting sqref="C60:H60">
    <cfRule type="duplicateValues" dxfId="520" priority="521"/>
  </conditionalFormatting>
  <conditionalFormatting sqref="C62:H62">
    <cfRule type="duplicateValues" dxfId="519" priority="520"/>
  </conditionalFormatting>
  <conditionalFormatting sqref="C61:H61">
    <cfRule type="duplicateValues" dxfId="518" priority="519"/>
  </conditionalFormatting>
  <conditionalFormatting sqref="C63:H63">
    <cfRule type="duplicateValues" dxfId="517" priority="518"/>
  </conditionalFormatting>
  <conditionalFormatting sqref="C64:H64">
    <cfRule type="duplicateValues" dxfId="516" priority="517"/>
  </conditionalFormatting>
  <conditionalFormatting sqref="C65:H65">
    <cfRule type="duplicateValues" dxfId="515" priority="516"/>
  </conditionalFormatting>
  <conditionalFormatting sqref="C66:H66">
    <cfRule type="duplicateValues" dxfId="514" priority="515"/>
  </conditionalFormatting>
  <conditionalFormatting sqref="C67:H67">
    <cfRule type="duplicateValues" dxfId="513" priority="514"/>
  </conditionalFormatting>
  <conditionalFormatting sqref="C68:H68">
    <cfRule type="duplicateValues" dxfId="512" priority="513"/>
  </conditionalFormatting>
  <conditionalFormatting sqref="C69:H69">
    <cfRule type="duplicateValues" dxfId="511" priority="512"/>
  </conditionalFormatting>
  <conditionalFormatting sqref="C70:H70">
    <cfRule type="duplicateValues" dxfId="510" priority="511"/>
  </conditionalFormatting>
  <conditionalFormatting sqref="C71:H71">
    <cfRule type="duplicateValues" dxfId="509" priority="510"/>
  </conditionalFormatting>
  <conditionalFormatting sqref="C72:H72">
    <cfRule type="duplicateValues" dxfId="508" priority="509"/>
  </conditionalFormatting>
  <conditionalFormatting sqref="C73:H73">
    <cfRule type="duplicateValues" dxfId="507" priority="508"/>
  </conditionalFormatting>
  <conditionalFormatting sqref="C74:H74">
    <cfRule type="duplicateValues" dxfId="506" priority="507"/>
  </conditionalFormatting>
  <conditionalFormatting sqref="C75:H75">
    <cfRule type="duplicateValues" dxfId="505" priority="506"/>
  </conditionalFormatting>
  <conditionalFormatting sqref="C76:H76">
    <cfRule type="duplicateValues" dxfId="504" priority="505"/>
  </conditionalFormatting>
  <conditionalFormatting sqref="C77:H77">
    <cfRule type="duplicateValues" dxfId="503" priority="504"/>
  </conditionalFormatting>
  <conditionalFormatting sqref="C78:H78">
    <cfRule type="duplicateValues" dxfId="502" priority="503"/>
  </conditionalFormatting>
  <conditionalFormatting sqref="C79:H79">
    <cfRule type="duplicateValues" dxfId="501" priority="502"/>
  </conditionalFormatting>
  <conditionalFormatting sqref="C80:H80">
    <cfRule type="duplicateValues" dxfId="500" priority="501"/>
  </conditionalFormatting>
  <conditionalFormatting sqref="C81:H81">
    <cfRule type="duplicateValues" dxfId="499" priority="500"/>
  </conditionalFormatting>
  <conditionalFormatting sqref="C82:H82">
    <cfRule type="duplicateValues" dxfId="498" priority="499"/>
  </conditionalFormatting>
  <conditionalFormatting sqref="C83:H83">
    <cfRule type="duplicateValues" dxfId="497" priority="498"/>
  </conditionalFormatting>
  <conditionalFormatting sqref="C84:H84">
    <cfRule type="duplicateValues" dxfId="496" priority="497"/>
  </conditionalFormatting>
  <conditionalFormatting sqref="C85:H85">
    <cfRule type="duplicateValues" dxfId="495" priority="496"/>
  </conditionalFormatting>
  <conditionalFormatting sqref="C86:H86">
    <cfRule type="duplicateValues" dxfId="494" priority="495"/>
  </conditionalFormatting>
  <conditionalFormatting sqref="C87:H87">
    <cfRule type="duplicateValues" dxfId="493" priority="494"/>
  </conditionalFormatting>
  <conditionalFormatting sqref="C88:H88">
    <cfRule type="duplicateValues" dxfId="492" priority="493"/>
  </conditionalFormatting>
  <conditionalFormatting sqref="C89:H89">
    <cfRule type="duplicateValues" dxfId="491" priority="492"/>
  </conditionalFormatting>
  <conditionalFormatting sqref="C90:H90">
    <cfRule type="duplicateValues" dxfId="490" priority="491"/>
  </conditionalFormatting>
  <conditionalFormatting sqref="C91:H91">
    <cfRule type="duplicateValues" dxfId="489" priority="490"/>
  </conditionalFormatting>
  <conditionalFormatting sqref="C92:H92">
    <cfRule type="duplicateValues" dxfId="488" priority="489"/>
  </conditionalFormatting>
  <conditionalFormatting sqref="C93:H93">
    <cfRule type="duplicateValues" dxfId="487" priority="488"/>
  </conditionalFormatting>
  <conditionalFormatting sqref="C94:H94">
    <cfRule type="duplicateValues" dxfId="486" priority="487"/>
  </conditionalFormatting>
  <conditionalFormatting sqref="C95:H95">
    <cfRule type="duplicateValues" dxfId="485" priority="486"/>
  </conditionalFormatting>
  <conditionalFormatting sqref="C96:H96">
    <cfRule type="duplicateValues" dxfId="484" priority="485"/>
  </conditionalFormatting>
  <conditionalFormatting sqref="C97:H97">
    <cfRule type="duplicateValues" dxfId="483" priority="484"/>
  </conditionalFormatting>
  <conditionalFormatting sqref="C98:H98">
    <cfRule type="duplicateValues" dxfId="482" priority="483"/>
  </conditionalFormatting>
  <conditionalFormatting sqref="C99:H99">
    <cfRule type="duplicateValues" dxfId="481" priority="482"/>
  </conditionalFormatting>
  <conditionalFormatting sqref="C100:H100">
    <cfRule type="duplicateValues" dxfId="480" priority="481"/>
  </conditionalFormatting>
  <conditionalFormatting sqref="C101:H101">
    <cfRule type="duplicateValues" dxfId="479" priority="480"/>
  </conditionalFormatting>
  <conditionalFormatting sqref="C102:H102">
    <cfRule type="duplicateValues" dxfId="478" priority="479"/>
  </conditionalFormatting>
  <conditionalFormatting sqref="C103:H103">
    <cfRule type="duplicateValues" dxfId="477" priority="478"/>
  </conditionalFormatting>
  <conditionalFormatting sqref="C104:H104">
    <cfRule type="duplicateValues" dxfId="476" priority="477"/>
  </conditionalFormatting>
  <conditionalFormatting sqref="C105:H105">
    <cfRule type="duplicateValues" dxfId="475" priority="476"/>
  </conditionalFormatting>
  <conditionalFormatting sqref="C106:H106">
    <cfRule type="duplicateValues" dxfId="474" priority="475"/>
  </conditionalFormatting>
  <conditionalFormatting sqref="C107:H107">
    <cfRule type="duplicateValues" dxfId="473" priority="474"/>
  </conditionalFormatting>
  <conditionalFormatting sqref="C108:H108">
    <cfRule type="duplicateValues" dxfId="472" priority="473"/>
  </conditionalFormatting>
  <conditionalFormatting sqref="C109:H109">
    <cfRule type="duplicateValues" dxfId="471" priority="472"/>
  </conditionalFormatting>
  <conditionalFormatting sqref="C110:H110">
    <cfRule type="duplicateValues" dxfId="470" priority="471"/>
  </conditionalFormatting>
  <conditionalFormatting sqref="C111:H111">
    <cfRule type="duplicateValues" dxfId="469" priority="470"/>
  </conditionalFormatting>
  <conditionalFormatting sqref="C112:H112">
    <cfRule type="duplicateValues" dxfId="468" priority="469"/>
  </conditionalFormatting>
  <conditionalFormatting sqref="C113:H113">
    <cfRule type="duplicateValues" dxfId="467" priority="468"/>
  </conditionalFormatting>
  <conditionalFormatting sqref="C114:H114">
    <cfRule type="duplicateValues" dxfId="466" priority="467"/>
  </conditionalFormatting>
  <conditionalFormatting sqref="C115:H115">
    <cfRule type="duplicateValues" dxfId="465" priority="466"/>
  </conditionalFormatting>
  <conditionalFormatting sqref="C116:H116">
    <cfRule type="duplicateValues" dxfId="464" priority="465"/>
  </conditionalFormatting>
  <conditionalFormatting sqref="C117:H117">
    <cfRule type="duplicateValues" dxfId="463" priority="464"/>
  </conditionalFormatting>
  <conditionalFormatting sqref="C118:H118">
    <cfRule type="duplicateValues" dxfId="462" priority="463"/>
  </conditionalFormatting>
  <conditionalFormatting sqref="C119:H119">
    <cfRule type="duplicateValues" dxfId="461" priority="462"/>
  </conditionalFormatting>
  <conditionalFormatting sqref="C120:H120">
    <cfRule type="duplicateValues" dxfId="460" priority="461"/>
  </conditionalFormatting>
  <conditionalFormatting sqref="C121:H121">
    <cfRule type="duplicateValues" dxfId="459" priority="460"/>
  </conditionalFormatting>
  <conditionalFormatting sqref="C122:H122">
    <cfRule type="duplicateValues" dxfId="458" priority="459"/>
  </conditionalFormatting>
  <conditionalFormatting sqref="C123:H123">
    <cfRule type="duplicateValues" dxfId="457" priority="458"/>
  </conditionalFormatting>
  <conditionalFormatting sqref="C124:H124">
    <cfRule type="duplicateValues" dxfId="456" priority="457"/>
  </conditionalFormatting>
  <conditionalFormatting sqref="C125:H125">
    <cfRule type="duplicateValues" dxfId="455" priority="456"/>
  </conditionalFormatting>
  <conditionalFormatting sqref="C126:H126">
    <cfRule type="duplicateValues" dxfId="454" priority="455"/>
  </conditionalFormatting>
  <conditionalFormatting sqref="C127:H127">
    <cfRule type="duplicateValues" dxfId="453" priority="454"/>
  </conditionalFormatting>
  <conditionalFormatting sqref="C128:H128">
    <cfRule type="duplicateValues" dxfId="452" priority="453"/>
  </conditionalFormatting>
  <conditionalFormatting sqref="C129:H129">
    <cfRule type="duplicateValues" dxfId="451" priority="452"/>
  </conditionalFormatting>
  <conditionalFormatting sqref="C131:H131">
    <cfRule type="duplicateValues" dxfId="450" priority="451"/>
  </conditionalFormatting>
  <conditionalFormatting sqref="C130:H130">
    <cfRule type="duplicateValues" dxfId="449" priority="450"/>
  </conditionalFormatting>
  <conditionalFormatting sqref="C132:H132">
    <cfRule type="duplicateValues" dxfId="448" priority="449"/>
  </conditionalFormatting>
  <conditionalFormatting sqref="C133:H133">
    <cfRule type="duplicateValues" dxfId="447" priority="448"/>
  </conditionalFormatting>
  <conditionalFormatting sqref="C134:H134">
    <cfRule type="duplicateValues" dxfId="446" priority="447"/>
  </conditionalFormatting>
  <conditionalFormatting sqref="C135:H135">
    <cfRule type="duplicateValues" dxfId="445" priority="446"/>
  </conditionalFormatting>
  <conditionalFormatting sqref="C136:H136">
    <cfRule type="duplicateValues" dxfId="444" priority="445"/>
  </conditionalFormatting>
  <conditionalFormatting sqref="C137:H137">
    <cfRule type="duplicateValues" dxfId="443" priority="444"/>
  </conditionalFormatting>
  <conditionalFormatting sqref="C138:H138">
    <cfRule type="duplicateValues" dxfId="442" priority="443"/>
  </conditionalFormatting>
  <conditionalFormatting sqref="C139:H139">
    <cfRule type="duplicateValues" dxfId="441" priority="442"/>
  </conditionalFormatting>
  <conditionalFormatting sqref="C140:H140">
    <cfRule type="duplicateValues" dxfId="440" priority="441"/>
  </conditionalFormatting>
  <conditionalFormatting sqref="C141:H141">
    <cfRule type="duplicateValues" dxfId="439" priority="440"/>
  </conditionalFormatting>
  <conditionalFormatting sqref="C142:H142">
    <cfRule type="duplicateValues" dxfId="438" priority="439"/>
  </conditionalFormatting>
  <conditionalFormatting sqref="C143:H143">
    <cfRule type="duplicateValues" dxfId="437" priority="438"/>
  </conditionalFormatting>
  <conditionalFormatting sqref="C144:H144">
    <cfRule type="duplicateValues" dxfId="436" priority="437"/>
  </conditionalFormatting>
  <conditionalFormatting sqref="C145:H145">
    <cfRule type="duplicateValues" dxfId="435" priority="436"/>
  </conditionalFormatting>
  <conditionalFormatting sqref="C146:H146">
    <cfRule type="duplicateValues" dxfId="434" priority="435"/>
  </conditionalFormatting>
  <conditionalFormatting sqref="C147:H147">
    <cfRule type="duplicateValues" dxfId="433" priority="434"/>
  </conditionalFormatting>
  <conditionalFormatting sqref="C148:H148">
    <cfRule type="duplicateValues" dxfId="432" priority="433"/>
  </conditionalFormatting>
  <conditionalFormatting sqref="C149:H149">
    <cfRule type="duplicateValues" dxfId="431" priority="432"/>
  </conditionalFormatting>
  <conditionalFormatting sqref="C150:H150">
    <cfRule type="duplicateValues" dxfId="430" priority="431"/>
  </conditionalFormatting>
  <conditionalFormatting sqref="C151:H151">
    <cfRule type="duplicateValues" dxfId="429" priority="430"/>
  </conditionalFormatting>
  <conditionalFormatting sqref="C152:H152">
    <cfRule type="duplicateValues" dxfId="428" priority="429"/>
  </conditionalFormatting>
  <conditionalFormatting sqref="C153:H153">
    <cfRule type="duplicateValues" dxfId="427" priority="428"/>
  </conditionalFormatting>
  <conditionalFormatting sqref="C154:H154">
    <cfRule type="duplicateValues" dxfId="426" priority="427"/>
  </conditionalFormatting>
  <conditionalFormatting sqref="C155:H155">
    <cfRule type="duplicateValues" dxfId="425" priority="426"/>
  </conditionalFormatting>
  <conditionalFormatting sqref="C156:H156">
    <cfRule type="duplicateValues" dxfId="424" priority="425"/>
  </conditionalFormatting>
  <conditionalFormatting sqref="C157:H157">
    <cfRule type="duplicateValues" dxfId="423" priority="424"/>
  </conditionalFormatting>
  <conditionalFormatting sqref="C158:H158">
    <cfRule type="duplicateValues" dxfId="422" priority="423"/>
  </conditionalFormatting>
  <conditionalFormatting sqref="C159:H159">
    <cfRule type="duplicateValues" dxfId="421" priority="422"/>
  </conditionalFormatting>
  <conditionalFormatting sqref="C160:H160">
    <cfRule type="duplicateValues" dxfId="420" priority="421"/>
  </conditionalFormatting>
  <conditionalFormatting sqref="C161:H161">
    <cfRule type="duplicateValues" dxfId="419" priority="420"/>
  </conditionalFormatting>
  <conditionalFormatting sqref="C162:H162">
    <cfRule type="duplicateValues" dxfId="418" priority="419"/>
  </conditionalFormatting>
  <conditionalFormatting sqref="C163:H163">
    <cfRule type="duplicateValues" dxfId="417" priority="418"/>
  </conditionalFormatting>
  <conditionalFormatting sqref="C164:H164">
    <cfRule type="duplicateValues" dxfId="416" priority="417"/>
  </conditionalFormatting>
  <conditionalFormatting sqref="C165:H165">
    <cfRule type="duplicateValues" dxfId="415" priority="416"/>
  </conditionalFormatting>
  <conditionalFormatting sqref="C166:H166">
    <cfRule type="duplicateValues" dxfId="414" priority="415"/>
  </conditionalFormatting>
  <conditionalFormatting sqref="C167:H167">
    <cfRule type="duplicateValues" dxfId="413" priority="414"/>
  </conditionalFormatting>
  <conditionalFormatting sqref="C168:H168">
    <cfRule type="duplicateValues" dxfId="412" priority="413"/>
  </conditionalFormatting>
  <conditionalFormatting sqref="C169:H169">
    <cfRule type="duplicateValues" dxfId="411" priority="412"/>
  </conditionalFormatting>
  <conditionalFormatting sqref="C171:H171">
    <cfRule type="duplicateValues" dxfId="410" priority="411"/>
  </conditionalFormatting>
  <conditionalFormatting sqref="C172:H172">
    <cfRule type="duplicateValues" dxfId="409" priority="410"/>
  </conditionalFormatting>
  <conditionalFormatting sqref="C173:H173">
    <cfRule type="duplicateValues" dxfId="408" priority="409"/>
  </conditionalFormatting>
  <conditionalFormatting sqref="C174:H174">
    <cfRule type="duplicateValues" dxfId="407" priority="408"/>
  </conditionalFormatting>
  <conditionalFormatting sqref="C175:H175">
    <cfRule type="duplicateValues" dxfId="406" priority="407"/>
  </conditionalFormatting>
  <conditionalFormatting sqref="C176:H176">
    <cfRule type="duplicateValues" dxfId="405" priority="406"/>
  </conditionalFormatting>
  <conditionalFormatting sqref="C177:H177">
    <cfRule type="duplicateValues" dxfId="404" priority="405"/>
  </conditionalFormatting>
  <conditionalFormatting sqref="C178:H178">
    <cfRule type="duplicateValues" dxfId="403" priority="404"/>
  </conditionalFormatting>
  <conditionalFormatting sqref="C179:H179">
    <cfRule type="duplicateValues" dxfId="402" priority="403"/>
  </conditionalFormatting>
  <conditionalFormatting sqref="C180:H180">
    <cfRule type="duplicateValues" dxfId="401" priority="402"/>
  </conditionalFormatting>
  <conditionalFormatting sqref="C181:H181">
    <cfRule type="duplicateValues" dxfId="400" priority="401"/>
  </conditionalFormatting>
  <conditionalFormatting sqref="C182:H182">
    <cfRule type="duplicateValues" dxfId="399" priority="400"/>
  </conditionalFormatting>
  <conditionalFormatting sqref="C183:H183">
    <cfRule type="duplicateValues" dxfId="398" priority="399"/>
  </conditionalFormatting>
  <conditionalFormatting sqref="C184:H184">
    <cfRule type="duplicateValues" dxfId="397" priority="398"/>
  </conditionalFormatting>
  <conditionalFormatting sqref="C185:H185">
    <cfRule type="duplicateValues" dxfId="396" priority="397"/>
  </conditionalFormatting>
  <conditionalFormatting sqref="C186:H186">
    <cfRule type="duplicateValues" dxfId="395" priority="396"/>
  </conditionalFormatting>
  <conditionalFormatting sqref="C187:H187">
    <cfRule type="duplicateValues" dxfId="394" priority="395"/>
  </conditionalFormatting>
  <conditionalFormatting sqref="C188:H188">
    <cfRule type="duplicateValues" dxfId="393" priority="394"/>
  </conditionalFormatting>
  <conditionalFormatting sqref="C189:H189">
    <cfRule type="duplicateValues" dxfId="392" priority="393"/>
  </conditionalFormatting>
  <conditionalFormatting sqref="C190:H190">
    <cfRule type="duplicateValues" dxfId="391" priority="392"/>
  </conditionalFormatting>
  <conditionalFormatting sqref="C191:H191">
    <cfRule type="duplicateValues" dxfId="390" priority="391"/>
  </conditionalFormatting>
  <conditionalFormatting sqref="C192:H192">
    <cfRule type="duplicateValues" dxfId="389" priority="390"/>
  </conditionalFormatting>
  <conditionalFormatting sqref="C193:H199">
    <cfRule type="duplicateValues" dxfId="388" priority="389"/>
  </conditionalFormatting>
  <conditionalFormatting sqref="J2:O193">
    <cfRule type="expression" dxfId="387" priority="384">
      <formula>$E2=4</formula>
    </cfRule>
    <cfRule type="expression" dxfId="386" priority="385">
      <formula>$E2=3</formula>
    </cfRule>
    <cfRule type="expression" dxfId="385" priority="386">
      <formula>$E2=2</formula>
    </cfRule>
    <cfRule type="expression" dxfId="384" priority="387">
      <formula>$E2=1</formula>
    </cfRule>
    <cfRule type="expression" dxfId="383" priority="388">
      <formula>$E2=0</formula>
    </cfRule>
  </conditionalFormatting>
  <conditionalFormatting sqref="J2:O2">
    <cfRule type="duplicateValues" dxfId="382" priority="383"/>
  </conditionalFormatting>
  <conditionalFormatting sqref="J3:O3">
    <cfRule type="duplicateValues" dxfId="381" priority="382"/>
  </conditionalFormatting>
  <conditionalFormatting sqref="J4:O4">
    <cfRule type="duplicateValues" dxfId="380" priority="381"/>
  </conditionalFormatting>
  <conditionalFormatting sqref="J5:O5">
    <cfRule type="duplicateValues" dxfId="379" priority="380"/>
  </conditionalFormatting>
  <conditionalFormatting sqref="J6:O6">
    <cfRule type="duplicateValues" dxfId="378" priority="379"/>
  </conditionalFormatting>
  <conditionalFormatting sqref="J7:O7">
    <cfRule type="duplicateValues" dxfId="377" priority="378"/>
  </conditionalFormatting>
  <conditionalFormatting sqref="J8:O8">
    <cfRule type="duplicateValues" dxfId="376" priority="377"/>
  </conditionalFormatting>
  <conditionalFormatting sqref="J9:O9">
    <cfRule type="duplicateValues" dxfId="375" priority="376"/>
  </conditionalFormatting>
  <conditionalFormatting sqref="J10:O10">
    <cfRule type="duplicateValues" dxfId="374" priority="375"/>
  </conditionalFormatting>
  <conditionalFormatting sqref="J11:O11">
    <cfRule type="duplicateValues" dxfId="373" priority="374"/>
  </conditionalFormatting>
  <conditionalFormatting sqref="J12:O12">
    <cfRule type="duplicateValues" dxfId="372" priority="373"/>
  </conditionalFormatting>
  <conditionalFormatting sqref="J13:O13">
    <cfRule type="duplicateValues" dxfId="371" priority="372"/>
  </conditionalFormatting>
  <conditionalFormatting sqref="J14:O14">
    <cfRule type="duplicateValues" dxfId="370" priority="371"/>
  </conditionalFormatting>
  <conditionalFormatting sqref="J15:O15">
    <cfRule type="duplicateValues" dxfId="369" priority="370"/>
  </conditionalFormatting>
  <conditionalFormatting sqref="J16:O16">
    <cfRule type="duplicateValues" dxfId="368" priority="369"/>
  </conditionalFormatting>
  <conditionalFormatting sqref="J17:O17">
    <cfRule type="duplicateValues" dxfId="367" priority="368"/>
  </conditionalFormatting>
  <conditionalFormatting sqref="J18:O18">
    <cfRule type="duplicateValues" dxfId="366" priority="367"/>
  </conditionalFormatting>
  <conditionalFormatting sqref="J19:O19">
    <cfRule type="duplicateValues" dxfId="365" priority="366"/>
  </conditionalFormatting>
  <conditionalFormatting sqref="J20:O20">
    <cfRule type="duplicateValues" dxfId="364" priority="365"/>
  </conditionalFormatting>
  <conditionalFormatting sqref="J21:O21">
    <cfRule type="duplicateValues" dxfId="363" priority="364"/>
  </conditionalFormatting>
  <conditionalFormatting sqref="J22:O22">
    <cfRule type="duplicateValues" dxfId="362" priority="363"/>
  </conditionalFormatting>
  <conditionalFormatting sqref="J23:O23">
    <cfRule type="duplicateValues" dxfId="361" priority="362"/>
  </conditionalFormatting>
  <conditionalFormatting sqref="J24:O24">
    <cfRule type="duplicateValues" dxfId="360" priority="361"/>
  </conditionalFormatting>
  <conditionalFormatting sqref="J25:O25">
    <cfRule type="duplicateValues" dxfId="359" priority="360"/>
  </conditionalFormatting>
  <conditionalFormatting sqref="J26:O26">
    <cfRule type="duplicateValues" dxfId="358" priority="359"/>
  </conditionalFormatting>
  <conditionalFormatting sqref="J27:O27">
    <cfRule type="duplicateValues" dxfId="357" priority="358"/>
  </conditionalFormatting>
  <conditionalFormatting sqref="J28:O28">
    <cfRule type="duplicateValues" dxfId="356" priority="357"/>
  </conditionalFormatting>
  <conditionalFormatting sqref="J29:O29">
    <cfRule type="duplicateValues" dxfId="355" priority="356"/>
  </conditionalFormatting>
  <conditionalFormatting sqref="J30:O30">
    <cfRule type="duplicateValues" dxfId="354" priority="355"/>
  </conditionalFormatting>
  <conditionalFormatting sqref="J31:O31">
    <cfRule type="duplicateValues" dxfId="353" priority="354"/>
  </conditionalFormatting>
  <conditionalFormatting sqref="J32:O32">
    <cfRule type="duplicateValues" dxfId="352" priority="353"/>
  </conditionalFormatting>
  <conditionalFormatting sqref="J33:O33">
    <cfRule type="duplicateValues" dxfId="351" priority="352"/>
  </conditionalFormatting>
  <conditionalFormatting sqref="J34:O34">
    <cfRule type="duplicateValues" dxfId="350" priority="351"/>
  </conditionalFormatting>
  <conditionalFormatting sqref="J35:O35">
    <cfRule type="duplicateValues" dxfId="349" priority="350"/>
  </conditionalFormatting>
  <conditionalFormatting sqref="J36:O36">
    <cfRule type="duplicateValues" dxfId="348" priority="349"/>
  </conditionalFormatting>
  <conditionalFormatting sqref="J37:O37">
    <cfRule type="duplicateValues" dxfId="347" priority="348"/>
  </conditionalFormatting>
  <conditionalFormatting sqref="J39:O39">
    <cfRule type="duplicateValues" dxfId="346" priority="347"/>
  </conditionalFormatting>
  <conditionalFormatting sqref="J38:O38">
    <cfRule type="duplicateValues" dxfId="345" priority="346"/>
  </conditionalFormatting>
  <conditionalFormatting sqref="J40:O40">
    <cfRule type="duplicateValues" dxfId="344" priority="345"/>
  </conditionalFormatting>
  <conditionalFormatting sqref="J41:O41">
    <cfRule type="duplicateValues" dxfId="343" priority="344"/>
  </conditionalFormatting>
  <conditionalFormatting sqref="J42:O42">
    <cfRule type="duplicateValues" dxfId="342" priority="343"/>
  </conditionalFormatting>
  <conditionalFormatting sqref="J43:O43">
    <cfRule type="duplicateValues" dxfId="341" priority="342"/>
  </conditionalFormatting>
  <conditionalFormatting sqref="J44:O44">
    <cfRule type="duplicateValues" dxfId="340" priority="341"/>
  </conditionalFormatting>
  <conditionalFormatting sqref="J45:O45">
    <cfRule type="duplicateValues" dxfId="339" priority="340"/>
  </conditionalFormatting>
  <conditionalFormatting sqref="J46:O46">
    <cfRule type="duplicateValues" dxfId="338" priority="339"/>
  </conditionalFormatting>
  <conditionalFormatting sqref="J47:O47">
    <cfRule type="duplicateValues" dxfId="337" priority="338"/>
  </conditionalFormatting>
  <conditionalFormatting sqref="J48:O48">
    <cfRule type="duplicateValues" dxfId="336" priority="337"/>
  </conditionalFormatting>
  <conditionalFormatting sqref="J49:O49">
    <cfRule type="duplicateValues" dxfId="335" priority="336"/>
  </conditionalFormatting>
  <conditionalFormatting sqref="J50:O50">
    <cfRule type="duplicateValues" dxfId="334" priority="335"/>
  </conditionalFormatting>
  <conditionalFormatting sqref="J51:O51">
    <cfRule type="duplicateValues" dxfId="333" priority="334"/>
  </conditionalFormatting>
  <conditionalFormatting sqref="J52:O52">
    <cfRule type="duplicateValues" dxfId="332" priority="333"/>
  </conditionalFormatting>
  <conditionalFormatting sqref="J53:O53">
    <cfRule type="duplicateValues" dxfId="331" priority="332"/>
  </conditionalFormatting>
  <conditionalFormatting sqref="J54:O54">
    <cfRule type="duplicateValues" dxfId="330" priority="331"/>
  </conditionalFormatting>
  <conditionalFormatting sqref="J55:O55">
    <cfRule type="duplicateValues" dxfId="329" priority="330"/>
  </conditionalFormatting>
  <conditionalFormatting sqref="J56:O56">
    <cfRule type="duplicateValues" dxfId="328" priority="329"/>
  </conditionalFormatting>
  <conditionalFormatting sqref="J57:O57">
    <cfRule type="duplicateValues" dxfId="327" priority="328"/>
  </conditionalFormatting>
  <conditionalFormatting sqref="J58:O58">
    <cfRule type="duplicateValues" dxfId="326" priority="327"/>
  </conditionalFormatting>
  <conditionalFormatting sqref="J59:O59">
    <cfRule type="duplicateValues" dxfId="325" priority="326"/>
  </conditionalFormatting>
  <conditionalFormatting sqref="J60:O60">
    <cfRule type="duplicateValues" dxfId="324" priority="325"/>
  </conditionalFormatting>
  <conditionalFormatting sqref="J61:O61">
    <cfRule type="duplicateValues" dxfId="323" priority="324"/>
  </conditionalFormatting>
  <conditionalFormatting sqref="J62:O62">
    <cfRule type="duplicateValues" dxfId="322" priority="323"/>
  </conditionalFormatting>
  <conditionalFormatting sqref="J63:O63">
    <cfRule type="duplicateValues" dxfId="321" priority="322"/>
  </conditionalFormatting>
  <conditionalFormatting sqref="J64:O64">
    <cfRule type="duplicateValues" dxfId="320" priority="321"/>
  </conditionalFormatting>
  <conditionalFormatting sqref="J65:O65">
    <cfRule type="duplicateValues" dxfId="319" priority="320"/>
  </conditionalFormatting>
  <conditionalFormatting sqref="J66:O66">
    <cfRule type="duplicateValues" dxfId="318" priority="319"/>
  </conditionalFormatting>
  <conditionalFormatting sqref="J67:O67">
    <cfRule type="duplicateValues" dxfId="317" priority="318"/>
  </conditionalFormatting>
  <conditionalFormatting sqref="J68:O68">
    <cfRule type="duplicateValues" dxfId="316" priority="317"/>
  </conditionalFormatting>
  <conditionalFormatting sqref="J69:O69">
    <cfRule type="duplicateValues" dxfId="315" priority="316"/>
  </conditionalFormatting>
  <conditionalFormatting sqref="J70:O70">
    <cfRule type="duplicateValues" dxfId="314" priority="315"/>
  </conditionalFormatting>
  <conditionalFormatting sqref="J71:O71">
    <cfRule type="duplicateValues" dxfId="313" priority="314"/>
  </conditionalFormatting>
  <conditionalFormatting sqref="J72:O72">
    <cfRule type="duplicateValues" dxfId="312" priority="313"/>
  </conditionalFormatting>
  <conditionalFormatting sqref="J73:O73">
    <cfRule type="duplicateValues" dxfId="311" priority="312"/>
  </conditionalFormatting>
  <conditionalFormatting sqref="J74:O74">
    <cfRule type="duplicateValues" dxfId="310" priority="311"/>
  </conditionalFormatting>
  <conditionalFormatting sqref="J75:O75">
    <cfRule type="duplicateValues" dxfId="309" priority="310"/>
  </conditionalFormatting>
  <conditionalFormatting sqref="J76:O76">
    <cfRule type="duplicateValues" dxfId="308" priority="309"/>
  </conditionalFormatting>
  <conditionalFormatting sqref="J77:O77">
    <cfRule type="duplicateValues" dxfId="307" priority="308"/>
  </conditionalFormatting>
  <conditionalFormatting sqref="J78:O78">
    <cfRule type="duplicateValues" dxfId="306" priority="307"/>
  </conditionalFormatting>
  <conditionalFormatting sqref="J79:O79">
    <cfRule type="duplicateValues" dxfId="305" priority="306"/>
  </conditionalFormatting>
  <conditionalFormatting sqref="J80:O80">
    <cfRule type="duplicateValues" dxfId="304" priority="305"/>
  </conditionalFormatting>
  <conditionalFormatting sqref="J81:O81">
    <cfRule type="duplicateValues" dxfId="303" priority="304"/>
  </conditionalFormatting>
  <conditionalFormatting sqref="J82:O82">
    <cfRule type="duplicateValues" dxfId="302" priority="303"/>
  </conditionalFormatting>
  <conditionalFormatting sqref="J83:O83">
    <cfRule type="duplicateValues" dxfId="301" priority="302"/>
  </conditionalFormatting>
  <conditionalFormatting sqref="J84:O84">
    <cfRule type="duplicateValues" dxfId="300" priority="301"/>
  </conditionalFormatting>
  <conditionalFormatting sqref="J85:O85">
    <cfRule type="duplicateValues" dxfId="299" priority="300"/>
  </conditionalFormatting>
  <conditionalFormatting sqref="J86:O86">
    <cfRule type="duplicateValues" dxfId="298" priority="299"/>
  </conditionalFormatting>
  <conditionalFormatting sqref="J87:O87">
    <cfRule type="duplicateValues" dxfId="297" priority="298"/>
  </conditionalFormatting>
  <conditionalFormatting sqref="J88:O88">
    <cfRule type="duplicateValues" dxfId="296" priority="297"/>
  </conditionalFormatting>
  <conditionalFormatting sqref="J89:O89">
    <cfRule type="duplicateValues" dxfId="295" priority="296"/>
  </conditionalFormatting>
  <conditionalFormatting sqref="J90:O90">
    <cfRule type="duplicateValues" dxfId="294" priority="295"/>
  </conditionalFormatting>
  <conditionalFormatting sqref="J91:O91">
    <cfRule type="duplicateValues" dxfId="293" priority="294"/>
  </conditionalFormatting>
  <conditionalFormatting sqref="J92:O92">
    <cfRule type="duplicateValues" dxfId="292" priority="293"/>
  </conditionalFormatting>
  <conditionalFormatting sqref="J93:O93">
    <cfRule type="duplicateValues" dxfId="291" priority="292"/>
  </conditionalFormatting>
  <conditionalFormatting sqref="J94:O94">
    <cfRule type="duplicateValues" dxfId="290" priority="291"/>
  </conditionalFormatting>
  <conditionalFormatting sqref="J95:O95">
    <cfRule type="duplicateValues" dxfId="289" priority="290"/>
  </conditionalFormatting>
  <conditionalFormatting sqref="J96:O96">
    <cfRule type="duplicateValues" dxfId="288" priority="289"/>
  </conditionalFormatting>
  <conditionalFormatting sqref="J97:O97">
    <cfRule type="duplicateValues" dxfId="287" priority="288"/>
  </conditionalFormatting>
  <conditionalFormatting sqref="J98:O98">
    <cfRule type="duplicateValues" dxfId="286" priority="287"/>
  </conditionalFormatting>
  <conditionalFormatting sqref="J99:O99">
    <cfRule type="duplicateValues" dxfId="285" priority="286"/>
  </conditionalFormatting>
  <conditionalFormatting sqref="J100:O100">
    <cfRule type="duplicateValues" dxfId="284" priority="285"/>
  </conditionalFormatting>
  <conditionalFormatting sqref="J101:O101">
    <cfRule type="duplicateValues" dxfId="283" priority="284"/>
  </conditionalFormatting>
  <conditionalFormatting sqref="J102:O102">
    <cfRule type="duplicateValues" dxfId="282" priority="283"/>
  </conditionalFormatting>
  <conditionalFormatting sqref="J103:O103">
    <cfRule type="duplicateValues" dxfId="281" priority="282"/>
  </conditionalFormatting>
  <conditionalFormatting sqref="J104:O104">
    <cfRule type="duplicateValues" dxfId="280" priority="281"/>
  </conditionalFormatting>
  <conditionalFormatting sqref="J105:O105">
    <cfRule type="duplicateValues" dxfId="279" priority="280"/>
  </conditionalFormatting>
  <conditionalFormatting sqref="J106:O106">
    <cfRule type="duplicateValues" dxfId="278" priority="279"/>
  </conditionalFormatting>
  <conditionalFormatting sqref="J107:O107">
    <cfRule type="duplicateValues" dxfId="277" priority="278"/>
  </conditionalFormatting>
  <conditionalFormatting sqref="J108:O108">
    <cfRule type="duplicateValues" dxfId="276" priority="277"/>
  </conditionalFormatting>
  <conditionalFormatting sqref="J109:O109">
    <cfRule type="duplicateValues" dxfId="275" priority="276"/>
  </conditionalFormatting>
  <conditionalFormatting sqref="J110:O110">
    <cfRule type="duplicateValues" dxfId="274" priority="275"/>
  </conditionalFormatting>
  <conditionalFormatting sqref="J111:O111">
    <cfRule type="duplicateValues" dxfId="273" priority="274"/>
  </conditionalFormatting>
  <conditionalFormatting sqref="J112:O112">
    <cfRule type="duplicateValues" dxfId="272" priority="273"/>
  </conditionalFormatting>
  <conditionalFormatting sqref="J113:O113">
    <cfRule type="duplicateValues" dxfId="271" priority="272"/>
  </conditionalFormatting>
  <conditionalFormatting sqref="J114:O114">
    <cfRule type="duplicateValues" dxfId="270" priority="271"/>
  </conditionalFormatting>
  <conditionalFormatting sqref="J115:O115">
    <cfRule type="duplicateValues" dxfId="269" priority="270"/>
  </conditionalFormatting>
  <conditionalFormatting sqref="J116:O116">
    <cfRule type="duplicateValues" dxfId="268" priority="269"/>
  </conditionalFormatting>
  <conditionalFormatting sqref="J117:O117">
    <cfRule type="duplicateValues" dxfId="267" priority="268"/>
  </conditionalFormatting>
  <conditionalFormatting sqref="J118:O118">
    <cfRule type="duplicateValues" dxfId="266" priority="267"/>
  </conditionalFormatting>
  <conditionalFormatting sqref="J119:O119">
    <cfRule type="duplicateValues" dxfId="265" priority="266"/>
  </conditionalFormatting>
  <conditionalFormatting sqref="J120:O120">
    <cfRule type="duplicateValues" dxfId="264" priority="265"/>
  </conditionalFormatting>
  <conditionalFormatting sqref="J121:O121">
    <cfRule type="duplicateValues" dxfId="263" priority="264"/>
  </conditionalFormatting>
  <conditionalFormatting sqref="J122:O122">
    <cfRule type="duplicateValues" dxfId="262" priority="263"/>
  </conditionalFormatting>
  <conditionalFormatting sqref="J123:O123">
    <cfRule type="duplicateValues" dxfId="261" priority="262"/>
  </conditionalFormatting>
  <conditionalFormatting sqref="J124:O124">
    <cfRule type="duplicateValues" dxfId="260" priority="261"/>
  </conditionalFormatting>
  <conditionalFormatting sqref="J125:O125">
    <cfRule type="duplicateValues" dxfId="259" priority="260"/>
  </conditionalFormatting>
  <conditionalFormatting sqref="J126:O126">
    <cfRule type="duplicateValues" dxfId="258" priority="259"/>
  </conditionalFormatting>
  <conditionalFormatting sqref="J127:O127">
    <cfRule type="duplicateValues" dxfId="257" priority="258"/>
  </conditionalFormatting>
  <conditionalFormatting sqref="J128:O128">
    <cfRule type="duplicateValues" dxfId="256" priority="257"/>
  </conditionalFormatting>
  <conditionalFormatting sqref="J129:O129">
    <cfRule type="duplicateValues" dxfId="255" priority="256"/>
  </conditionalFormatting>
  <conditionalFormatting sqref="J130:O130">
    <cfRule type="duplicateValues" dxfId="254" priority="255"/>
  </conditionalFormatting>
  <conditionalFormatting sqref="J131:O131">
    <cfRule type="duplicateValues" dxfId="253" priority="254"/>
  </conditionalFormatting>
  <conditionalFormatting sqref="J132:O132">
    <cfRule type="duplicateValues" dxfId="252" priority="253"/>
  </conditionalFormatting>
  <conditionalFormatting sqref="J133:O133">
    <cfRule type="duplicateValues" dxfId="251" priority="252"/>
  </conditionalFormatting>
  <conditionalFormatting sqref="J134:O134">
    <cfRule type="duplicateValues" dxfId="250" priority="251"/>
  </conditionalFormatting>
  <conditionalFormatting sqref="J135:O135">
    <cfRule type="duplicateValues" dxfId="249" priority="250"/>
  </conditionalFormatting>
  <conditionalFormatting sqref="J136:O136">
    <cfRule type="duplicateValues" dxfId="248" priority="249"/>
  </conditionalFormatting>
  <conditionalFormatting sqref="J137:O137">
    <cfRule type="duplicateValues" dxfId="247" priority="248"/>
  </conditionalFormatting>
  <conditionalFormatting sqref="J138:O138">
    <cfRule type="duplicateValues" dxfId="246" priority="247"/>
  </conditionalFormatting>
  <conditionalFormatting sqref="J139:O139">
    <cfRule type="duplicateValues" dxfId="245" priority="246"/>
  </conditionalFormatting>
  <conditionalFormatting sqref="J140:O140">
    <cfRule type="duplicateValues" dxfId="244" priority="245"/>
  </conditionalFormatting>
  <conditionalFormatting sqref="J141:O141">
    <cfRule type="duplicateValues" dxfId="243" priority="244"/>
  </conditionalFormatting>
  <conditionalFormatting sqref="J142:O142">
    <cfRule type="duplicateValues" dxfId="242" priority="243"/>
  </conditionalFormatting>
  <conditionalFormatting sqref="J143:O143">
    <cfRule type="duplicateValues" dxfId="241" priority="242"/>
  </conditionalFormatting>
  <conditionalFormatting sqref="J144:O144">
    <cfRule type="duplicateValues" dxfId="240" priority="241"/>
  </conditionalFormatting>
  <conditionalFormatting sqref="J145:O145">
    <cfRule type="duplicateValues" dxfId="239" priority="240"/>
  </conditionalFormatting>
  <conditionalFormatting sqref="J146:O146">
    <cfRule type="duplicateValues" dxfId="238" priority="239"/>
  </conditionalFormatting>
  <conditionalFormatting sqref="J147:O147">
    <cfRule type="duplicateValues" dxfId="237" priority="238"/>
  </conditionalFormatting>
  <conditionalFormatting sqref="J148:O148">
    <cfRule type="duplicateValues" dxfId="236" priority="237"/>
  </conditionalFormatting>
  <conditionalFormatting sqref="J149:O149">
    <cfRule type="duplicateValues" dxfId="235" priority="236"/>
  </conditionalFormatting>
  <conditionalFormatting sqref="J150:O150">
    <cfRule type="duplicateValues" dxfId="234" priority="235"/>
  </conditionalFormatting>
  <conditionalFormatting sqref="J151:O151">
    <cfRule type="duplicateValues" dxfId="233" priority="234"/>
  </conditionalFormatting>
  <conditionalFormatting sqref="J152:O152">
    <cfRule type="duplicateValues" dxfId="232" priority="233"/>
  </conditionalFormatting>
  <conditionalFormatting sqref="J153:O153">
    <cfRule type="duplicateValues" dxfId="231" priority="232"/>
  </conditionalFormatting>
  <conditionalFormatting sqref="J154:O154">
    <cfRule type="duplicateValues" dxfId="230" priority="231"/>
  </conditionalFormatting>
  <conditionalFormatting sqref="J155:O155">
    <cfRule type="duplicateValues" dxfId="229" priority="230"/>
  </conditionalFormatting>
  <conditionalFormatting sqref="J156:O156">
    <cfRule type="duplicateValues" dxfId="228" priority="229"/>
  </conditionalFormatting>
  <conditionalFormatting sqref="J157:O157">
    <cfRule type="duplicateValues" dxfId="227" priority="228"/>
  </conditionalFormatting>
  <conditionalFormatting sqref="J158:O158">
    <cfRule type="duplicateValues" dxfId="226" priority="227"/>
  </conditionalFormatting>
  <conditionalFormatting sqref="J159:O159">
    <cfRule type="duplicateValues" dxfId="225" priority="226"/>
  </conditionalFormatting>
  <conditionalFormatting sqref="J160:O160">
    <cfRule type="duplicateValues" dxfId="224" priority="225"/>
  </conditionalFormatting>
  <conditionalFormatting sqref="J161:O161">
    <cfRule type="duplicateValues" dxfId="223" priority="224"/>
  </conditionalFormatting>
  <conditionalFormatting sqref="J162:O162">
    <cfRule type="duplicateValues" dxfId="222" priority="223"/>
  </conditionalFormatting>
  <conditionalFormatting sqref="J163:O163">
    <cfRule type="duplicateValues" dxfId="221" priority="222"/>
  </conditionalFormatting>
  <conditionalFormatting sqref="J164:O164">
    <cfRule type="duplicateValues" dxfId="220" priority="221"/>
  </conditionalFormatting>
  <conditionalFormatting sqref="J165:O165">
    <cfRule type="duplicateValues" dxfId="219" priority="220"/>
  </conditionalFormatting>
  <conditionalFormatting sqref="J166:O166">
    <cfRule type="duplicateValues" dxfId="218" priority="219"/>
  </conditionalFormatting>
  <conditionalFormatting sqref="J167:O167">
    <cfRule type="duplicateValues" dxfId="217" priority="218"/>
  </conditionalFormatting>
  <conditionalFormatting sqref="J168:O168">
    <cfRule type="duplicateValues" dxfId="216" priority="217"/>
  </conditionalFormatting>
  <conditionalFormatting sqref="J169:O169">
    <cfRule type="duplicateValues" dxfId="215" priority="216"/>
  </conditionalFormatting>
  <conditionalFormatting sqref="J170:O170">
    <cfRule type="duplicateValues" dxfId="214" priority="215"/>
  </conditionalFormatting>
  <conditionalFormatting sqref="J171:O171">
    <cfRule type="duplicateValues" dxfId="213" priority="214"/>
  </conditionalFormatting>
  <conditionalFormatting sqref="J172:O172">
    <cfRule type="duplicateValues" dxfId="212" priority="213"/>
  </conditionalFormatting>
  <conditionalFormatting sqref="J173:O173">
    <cfRule type="duplicateValues" dxfId="211" priority="212"/>
  </conditionalFormatting>
  <conditionalFormatting sqref="J174:O174">
    <cfRule type="duplicateValues" dxfId="210" priority="211"/>
  </conditionalFormatting>
  <conditionalFormatting sqref="J175:O175">
    <cfRule type="duplicateValues" dxfId="209" priority="210"/>
  </conditionalFormatting>
  <conditionalFormatting sqref="J176:O176">
    <cfRule type="duplicateValues" dxfId="208" priority="209"/>
  </conditionalFormatting>
  <conditionalFormatting sqref="J177:O177">
    <cfRule type="duplicateValues" dxfId="207" priority="208"/>
  </conditionalFormatting>
  <conditionalFormatting sqref="J178:O178">
    <cfRule type="duplicateValues" dxfId="206" priority="207"/>
  </conditionalFormatting>
  <conditionalFormatting sqref="J179:O179">
    <cfRule type="duplicateValues" dxfId="205" priority="206"/>
  </conditionalFormatting>
  <conditionalFormatting sqref="J180:O180">
    <cfRule type="duplicateValues" dxfId="204" priority="205"/>
  </conditionalFormatting>
  <conditionalFormatting sqref="J181:O181">
    <cfRule type="duplicateValues" dxfId="203" priority="204"/>
  </conditionalFormatting>
  <conditionalFormatting sqref="J182:O182">
    <cfRule type="duplicateValues" dxfId="202" priority="203"/>
  </conditionalFormatting>
  <conditionalFormatting sqref="J183:O183">
    <cfRule type="duplicateValues" dxfId="201" priority="202"/>
  </conditionalFormatting>
  <conditionalFormatting sqref="J184:O184">
    <cfRule type="duplicateValues" dxfId="200" priority="201"/>
  </conditionalFormatting>
  <conditionalFormatting sqref="J185:O185">
    <cfRule type="duplicateValues" dxfId="199" priority="200"/>
  </conditionalFormatting>
  <conditionalFormatting sqref="J186:O186">
    <cfRule type="duplicateValues" dxfId="198" priority="199"/>
  </conditionalFormatting>
  <conditionalFormatting sqref="J187:O187">
    <cfRule type="duplicateValues" dxfId="197" priority="198"/>
  </conditionalFormatting>
  <conditionalFormatting sqref="J188:O188">
    <cfRule type="duplicateValues" dxfId="196" priority="197"/>
  </conditionalFormatting>
  <conditionalFormatting sqref="J189:O189">
    <cfRule type="duplicateValues" dxfId="195" priority="196"/>
  </conditionalFormatting>
  <conditionalFormatting sqref="J190:O190">
    <cfRule type="duplicateValues" dxfId="194" priority="195"/>
  </conditionalFormatting>
  <conditionalFormatting sqref="J191:O191">
    <cfRule type="duplicateValues" dxfId="193" priority="194"/>
  </conditionalFormatting>
  <conditionalFormatting sqref="J192:O192">
    <cfRule type="duplicateValues" dxfId="192" priority="193"/>
  </conditionalFormatting>
  <conditionalFormatting sqref="J193:O193">
    <cfRule type="duplicateValues" dxfId="191" priority="192"/>
  </conditionalFormatting>
  <conditionalFormatting sqref="J3:O3">
    <cfRule type="duplicateValues" dxfId="190" priority="191"/>
  </conditionalFormatting>
  <conditionalFormatting sqref="J4:O4">
    <cfRule type="duplicateValues" dxfId="189" priority="190"/>
  </conditionalFormatting>
  <conditionalFormatting sqref="J5:O5">
    <cfRule type="duplicateValues" dxfId="188" priority="189"/>
  </conditionalFormatting>
  <conditionalFormatting sqref="J6:O6">
    <cfRule type="duplicateValues" dxfId="187" priority="188"/>
  </conditionalFormatting>
  <conditionalFormatting sqref="J7:O7">
    <cfRule type="duplicateValues" dxfId="186" priority="187"/>
  </conditionalFormatting>
  <conditionalFormatting sqref="J8:O8">
    <cfRule type="duplicateValues" dxfId="185" priority="186"/>
  </conditionalFormatting>
  <conditionalFormatting sqref="J9:O9">
    <cfRule type="duplicateValues" dxfId="184" priority="185"/>
  </conditionalFormatting>
  <conditionalFormatting sqref="J10:O10">
    <cfRule type="duplicateValues" dxfId="183" priority="184"/>
  </conditionalFormatting>
  <conditionalFormatting sqref="J11:O11">
    <cfRule type="duplicateValues" dxfId="182" priority="183"/>
  </conditionalFormatting>
  <conditionalFormatting sqref="J12:O12">
    <cfRule type="duplicateValues" dxfId="181" priority="182"/>
  </conditionalFormatting>
  <conditionalFormatting sqref="J13:O13">
    <cfRule type="duplicateValues" dxfId="180" priority="181"/>
  </conditionalFormatting>
  <conditionalFormatting sqref="J14:O14">
    <cfRule type="duplicateValues" dxfId="179" priority="180"/>
  </conditionalFormatting>
  <conditionalFormatting sqref="J15:O15">
    <cfRule type="duplicateValues" dxfId="178" priority="179"/>
  </conditionalFormatting>
  <conditionalFormatting sqref="J16:O16">
    <cfRule type="duplicateValues" dxfId="177" priority="178"/>
  </conditionalFormatting>
  <conditionalFormatting sqref="J17:O17">
    <cfRule type="duplicateValues" dxfId="176" priority="177"/>
  </conditionalFormatting>
  <conditionalFormatting sqref="J18:O18">
    <cfRule type="duplicateValues" dxfId="175" priority="176"/>
  </conditionalFormatting>
  <conditionalFormatting sqref="J19:O19">
    <cfRule type="duplicateValues" dxfId="174" priority="175"/>
  </conditionalFormatting>
  <conditionalFormatting sqref="J20:O20">
    <cfRule type="duplicateValues" dxfId="173" priority="174"/>
  </conditionalFormatting>
  <conditionalFormatting sqref="J21:O21">
    <cfRule type="duplicateValues" dxfId="172" priority="173"/>
  </conditionalFormatting>
  <conditionalFormatting sqref="J22:O22">
    <cfRule type="duplicateValues" dxfId="171" priority="172"/>
  </conditionalFormatting>
  <conditionalFormatting sqref="J23:O23">
    <cfRule type="duplicateValues" dxfId="170" priority="171"/>
  </conditionalFormatting>
  <conditionalFormatting sqref="J24:O24">
    <cfRule type="duplicateValues" dxfId="169" priority="170"/>
  </conditionalFormatting>
  <conditionalFormatting sqref="J25:O25">
    <cfRule type="duplicateValues" dxfId="168" priority="169"/>
  </conditionalFormatting>
  <conditionalFormatting sqref="J26:O26">
    <cfRule type="duplicateValues" dxfId="167" priority="168"/>
  </conditionalFormatting>
  <conditionalFormatting sqref="J27:O27">
    <cfRule type="duplicateValues" dxfId="166" priority="167"/>
  </conditionalFormatting>
  <conditionalFormatting sqref="J28:O28">
    <cfRule type="duplicateValues" dxfId="165" priority="166"/>
  </conditionalFormatting>
  <conditionalFormatting sqref="J29:O29">
    <cfRule type="duplicateValues" dxfId="164" priority="165"/>
  </conditionalFormatting>
  <conditionalFormatting sqref="J30:O30">
    <cfRule type="duplicateValues" dxfId="163" priority="164"/>
  </conditionalFormatting>
  <conditionalFormatting sqref="J31:O31">
    <cfRule type="duplicateValues" dxfId="162" priority="163"/>
  </conditionalFormatting>
  <conditionalFormatting sqref="J32:O32">
    <cfRule type="duplicateValues" dxfId="161" priority="162"/>
  </conditionalFormatting>
  <conditionalFormatting sqref="J33:O33">
    <cfRule type="duplicateValues" dxfId="160" priority="161"/>
  </conditionalFormatting>
  <conditionalFormatting sqref="J34:O34">
    <cfRule type="duplicateValues" dxfId="159" priority="160"/>
  </conditionalFormatting>
  <conditionalFormatting sqref="J35:O35">
    <cfRule type="duplicateValues" dxfId="158" priority="159"/>
  </conditionalFormatting>
  <conditionalFormatting sqref="J37:O37">
    <cfRule type="duplicateValues" dxfId="157" priority="158"/>
  </conditionalFormatting>
  <conditionalFormatting sqref="J36:O36">
    <cfRule type="duplicateValues" dxfId="156" priority="157"/>
  </conditionalFormatting>
  <conditionalFormatting sqref="J38:O38">
    <cfRule type="duplicateValues" dxfId="155" priority="156"/>
  </conditionalFormatting>
  <conditionalFormatting sqref="J39:O39">
    <cfRule type="duplicateValues" dxfId="154" priority="155"/>
  </conditionalFormatting>
  <conditionalFormatting sqref="J40:O40">
    <cfRule type="duplicateValues" dxfId="153" priority="154"/>
  </conditionalFormatting>
  <conditionalFormatting sqref="J41:O41">
    <cfRule type="duplicateValues" dxfId="152" priority="153"/>
  </conditionalFormatting>
  <conditionalFormatting sqref="J42:O42">
    <cfRule type="duplicateValues" dxfId="151" priority="152"/>
  </conditionalFormatting>
  <conditionalFormatting sqref="J44:O44">
    <cfRule type="duplicateValues" dxfId="150" priority="151"/>
  </conditionalFormatting>
  <conditionalFormatting sqref="J43:O43">
    <cfRule type="duplicateValues" dxfId="149" priority="150"/>
  </conditionalFormatting>
  <conditionalFormatting sqref="J45:O45">
    <cfRule type="duplicateValues" dxfId="148" priority="149"/>
  </conditionalFormatting>
  <conditionalFormatting sqref="J46:O46">
    <cfRule type="duplicateValues" dxfId="147" priority="148"/>
  </conditionalFormatting>
  <conditionalFormatting sqref="J48:O48">
    <cfRule type="duplicateValues" dxfId="146" priority="147"/>
  </conditionalFormatting>
  <conditionalFormatting sqref="J47:O47">
    <cfRule type="duplicateValues" dxfId="145" priority="146"/>
  </conditionalFormatting>
  <conditionalFormatting sqref="J49:O49">
    <cfRule type="duplicateValues" dxfId="144" priority="145"/>
  </conditionalFormatting>
  <conditionalFormatting sqref="J50:O50">
    <cfRule type="duplicateValues" dxfId="143" priority="144"/>
  </conditionalFormatting>
  <conditionalFormatting sqref="J51:O51">
    <cfRule type="duplicateValues" dxfId="142" priority="143"/>
  </conditionalFormatting>
  <conditionalFormatting sqref="J52:O52">
    <cfRule type="duplicateValues" dxfId="141" priority="142"/>
  </conditionalFormatting>
  <conditionalFormatting sqref="J54:O54">
    <cfRule type="duplicateValues" dxfId="140" priority="141"/>
  </conditionalFormatting>
  <conditionalFormatting sqref="J53:O53">
    <cfRule type="duplicateValues" dxfId="139" priority="140"/>
  </conditionalFormatting>
  <conditionalFormatting sqref="J55:O55">
    <cfRule type="duplicateValues" dxfId="138" priority="139"/>
  </conditionalFormatting>
  <conditionalFormatting sqref="J56:O56">
    <cfRule type="duplicateValues" dxfId="137" priority="138"/>
  </conditionalFormatting>
  <conditionalFormatting sqref="J57:O57">
    <cfRule type="duplicateValues" dxfId="136" priority="137"/>
  </conditionalFormatting>
  <conditionalFormatting sqref="J58:O58">
    <cfRule type="duplicateValues" dxfId="135" priority="136"/>
  </conditionalFormatting>
  <conditionalFormatting sqref="J59:O59">
    <cfRule type="duplicateValues" dxfId="134" priority="135"/>
  </conditionalFormatting>
  <conditionalFormatting sqref="J60:O60">
    <cfRule type="duplicateValues" dxfId="133" priority="134"/>
  </conditionalFormatting>
  <conditionalFormatting sqref="J62:O62">
    <cfRule type="duplicateValues" dxfId="132" priority="133"/>
  </conditionalFormatting>
  <conditionalFormatting sqref="J61:O61">
    <cfRule type="duplicateValues" dxfId="131" priority="132"/>
  </conditionalFormatting>
  <conditionalFormatting sqref="J63:O63">
    <cfRule type="duplicateValues" dxfId="130" priority="131"/>
  </conditionalFormatting>
  <conditionalFormatting sqref="J64:O64">
    <cfRule type="duplicateValues" dxfId="129" priority="130"/>
  </conditionalFormatting>
  <conditionalFormatting sqref="J65:O65">
    <cfRule type="duplicateValues" dxfId="128" priority="129"/>
  </conditionalFormatting>
  <conditionalFormatting sqref="J66:O66">
    <cfRule type="duplicateValues" dxfId="127" priority="128"/>
  </conditionalFormatting>
  <conditionalFormatting sqref="J67:O67">
    <cfRule type="duplicateValues" dxfId="126" priority="127"/>
  </conditionalFormatting>
  <conditionalFormatting sqref="J68:O68">
    <cfRule type="duplicateValues" dxfId="125" priority="126"/>
  </conditionalFormatting>
  <conditionalFormatting sqref="J69:O69">
    <cfRule type="duplicateValues" dxfId="124" priority="125"/>
  </conditionalFormatting>
  <conditionalFormatting sqref="J70:O70">
    <cfRule type="duplicateValues" dxfId="123" priority="124"/>
  </conditionalFormatting>
  <conditionalFormatting sqref="J71:O71">
    <cfRule type="duplicateValues" dxfId="122" priority="123"/>
  </conditionalFormatting>
  <conditionalFormatting sqref="J72:O72">
    <cfRule type="duplicateValues" dxfId="121" priority="122"/>
  </conditionalFormatting>
  <conditionalFormatting sqref="J73:O73">
    <cfRule type="duplicateValues" dxfId="120" priority="121"/>
  </conditionalFormatting>
  <conditionalFormatting sqref="J74:O74">
    <cfRule type="duplicateValues" dxfId="119" priority="120"/>
  </conditionalFormatting>
  <conditionalFormatting sqref="J75:O75">
    <cfRule type="duplicateValues" dxfId="118" priority="119"/>
  </conditionalFormatting>
  <conditionalFormatting sqref="J76:O76">
    <cfRule type="duplicateValues" dxfId="117" priority="118"/>
  </conditionalFormatting>
  <conditionalFormatting sqref="J77:O77">
    <cfRule type="duplicateValues" dxfId="116" priority="117"/>
  </conditionalFormatting>
  <conditionalFormatting sqref="J78:O78">
    <cfRule type="duplicateValues" dxfId="115" priority="116"/>
  </conditionalFormatting>
  <conditionalFormatting sqref="J79:O79">
    <cfRule type="duplicateValues" dxfId="114" priority="115"/>
  </conditionalFormatting>
  <conditionalFormatting sqref="J80:O80">
    <cfRule type="duplicateValues" dxfId="113" priority="114"/>
  </conditionalFormatting>
  <conditionalFormatting sqref="J81:O81">
    <cfRule type="duplicateValues" dxfId="112" priority="113"/>
  </conditionalFormatting>
  <conditionalFormatting sqref="J82:O82">
    <cfRule type="duplicateValues" dxfId="111" priority="112"/>
  </conditionalFormatting>
  <conditionalFormatting sqref="J83:O83">
    <cfRule type="duplicateValues" dxfId="110" priority="111"/>
  </conditionalFormatting>
  <conditionalFormatting sqref="J84:O84">
    <cfRule type="duplicateValues" dxfId="109" priority="110"/>
  </conditionalFormatting>
  <conditionalFormatting sqref="J85:O85">
    <cfRule type="duplicateValues" dxfId="108" priority="109"/>
  </conditionalFormatting>
  <conditionalFormatting sqref="J86:O86">
    <cfRule type="duplicateValues" dxfId="107" priority="108"/>
  </conditionalFormatting>
  <conditionalFormatting sqref="J87:O87">
    <cfRule type="duplicateValues" dxfId="106" priority="107"/>
  </conditionalFormatting>
  <conditionalFormatting sqref="J88:O88">
    <cfRule type="duplicateValues" dxfId="105" priority="106"/>
  </conditionalFormatting>
  <conditionalFormatting sqref="J89:O89">
    <cfRule type="duplicateValues" dxfId="104" priority="105"/>
  </conditionalFormatting>
  <conditionalFormatting sqref="J90:O90">
    <cfRule type="duplicateValues" dxfId="103" priority="104"/>
  </conditionalFormatting>
  <conditionalFormatting sqref="J91:O91">
    <cfRule type="duplicateValues" dxfId="102" priority="103"/>
  </conditionalFormatting>
  <conditionalFormatting sqref="J92:O92">
    <cfRule type="duplicateValues" dxfId="101" priority="102"/>
  </conditionalFormatting>
  <conditionalFormatting sqref="J93:O93">
    <cfRule type="duplicateValues" dxfId="100" priority="101"/>
  </conditionalFormatting>
  <conditionalFormatting sqref="J94:O94">
    <cfRule type="duplicateValues" dxfId="99" priority="100"/>
  </conditionalFormatting>
  <conditionalFormatting sqref="J95:O95">
    <cfRule type="duplicateValues" dxfId="98" priority="99"/>
  </conditionalFormatting>
  <conditionalFormatting sqref="J96:O96">
    <cfRule type="duplicateValues" dxfId="97" priority="98"/>
  </conditionalFormatting>
  <conditionalFormatting sqref="J97:O97">
    <cfRule type="duplicateValues" dxfId="96" priority="97"/>
  </conditionalFormatting>
  <conditionalFormatting sqref="J98:O98">
    <cfRule type="duplicateValues" dxfId="95" priority="96"/>
  </conditionalFormatting>
  <conditionalFormatting sqref="J99:O99">
    <cfRule type="duplicateValues" dxfId="94" priority="95"/>
  </conditionalFormatting>
  <conditionalFormatting sqref="J100:O100">
    <cfRule type="duplicateValues" dxfId="93" priority="94"/>
  </conditionalFormatting>
  <conditionalFormatting sqref="J101:O101">
    <cfRule type="duplicateValues" dxfId="92" priority="93"/>
  </conditionalFormatting>
  <conditionalFormatting sqref="J102:O102">
    <cfRule type="duplicateValues" dxfId="91" priority="92"/>
  </conditionalFormatting>
  <conditionalFormatting sqref="J103:O103">
    <cfRule type="duplicateValues" dxfId="90" priority="91"/>
  </conditionalFormatting>
  <conditionalFormatting sqref="J104:O104">
    <cfRule type="duplicateValues" dxfId="89" priority="90"/>
  </conditionalFormatting>
  <conditionalFormatting sqref="J105:O105">
    <cfRule type="duplicateValues" dxfId="88" priority="89"/>
  </conditionalFormatting>
  <conditionalFormatting sqref="J106:O106">
    <cfRule type="duplicateValues" dxfId="87" priority="88"/>
  </conditionalFormatting>
  <conditionalFormatting sqref="J107:O107">
    <cfRule type="duplicateValues" dxfId="86" priority="87"/>
  </conditionalFormatting>
  <conditionalFormatting sqref="J108:O108">
    <cfRule type="duplicateValues" dxfId="85" priority="86"/>
  </conditionalFormatting>
  <conditionalFormatting sqref="J109:O109">
    <cfRule type="duplicateValues" dxfId="84" priority="85"/>
  </conditionalFormatting>
  <conditionalFormatting sqref="J110:O110">
    <cfRule type="duplicateValues" dxfId="83" priority="84"/>
  </conditionalFormatting>
  <conditionalFormatting sqref="J111:O111">
    <cfRule type="duplicateValues" dxfId="82" priority="83"/>
  </conditionalFormatting>
  <conditionalFormatting sqref="J112:O112">
    <cfRule type="duplicateValues" dxfId="81" priority="82"/>
  </conditionalFormatting>
  <conditionalFormatting sqref="J113:O113">
    <cfRule type="duplicateValues" dxfId="80" priority="81"/>
  </conditionalFormatting>
  <conditionalFormatting sqref="J114:O114">
    <cfRule type="duplicateValues" dxfId="79" priority="80"/>
  </conditionalFormatting>
  <conditionalFormatting sqref="J115:O115">
    <cfRule type="duplicateValues" dxfId="78" priority="79"/>
  </conditionalFormatting>
  <conditionalFormatting sqref="J116:O116">
    <cfRule type="duplicateValues" dxfId="77" priority="78"/>
  </conditionalFormatting>
  <conditionalFormatting sqref="J117:O117">
    <cfRule type="duplicateValues" dxfId="76" priority="77"/>
  </conditionalFormatting>
  <conditionalFormatting sqref="J118:O118">
    <cfRule type="duplicateValues" dxfId="75" priority="76"/>
  </conditionalFormatting>
  <conditionalFormatting sqref="J119:O119">
    <cfRule type="duplicateValues" dxfId="74" priority="75"/>
  </conditionalFormatting>
  <conditionalFormatting sqref="J120:O120">
    <cfRule type="duplicateValues" dxfId="73" priority="74"/>
  </conditionalFormatting>
  <conditionalFormatting sqref="J121:O121">
    <cfRule type="duplicateValues" dxfId="72" priority="73"/>
  </conditionalFormatting>
  <conditionalFormatting sqref="J122:O122">
    <cfRule type="duplicateValues" dxfId="71" priority="72"/>
  </conditionalFormatting>
  <conditionalFormatting sqref="J123:O123">
    <cfRule type="duplicateValues" dxfId="70" priority="71"/>
  </conditionalFormatting>
  <conditionalFormatting sqref="J124:O124">
    <cfRule type="duplicateValues" dxfId="69" priority="70"/>
  </conditionalFormatting>
  <conditionalFormatting sqref="J125:O125">
    <cfRule type="duplicateValues" dxfId="68" priority="69"/>
  </conditionalFormatting>
  <conditionalFormatting sqref="J126:O126">
    <cfRule type="duplicateValues" dxfId="67" priority="68"/>
  </conditionalFormatting>
  <conditionalFormatting sqref="J127:O127">
    <cfRule type="duplicateValues" dxfId="66" priority="67"/>
  </conditionalFormatting>
  <conditionalFormatting sqref="J128:O128">
    <cfRule type="duplicateValues" dxfId="65" priority="66"/>
  </conditionalFormatting>
  <conditionalFormatting sqref="J129:O129">
    <cfRule type="duplicateValues" dxfId="64" priority="65"/>
  </conditionalFormatting>
  <conditionalFormatting sqref="J131:O131">
    <cfRule type="duplicateValues" dxfId="63" priority="64"/>
  </conditionalFormatting>
  <conditionalFormatting sqref="J130:O130">
    <cfRule type="duplicateValues" dxfId="62" priority="63"/>
  </conditionalFormatting>
  <conditionalFormatting sqref="J132:O132">
    <cfRule type="duplicateValues" dxfId="61" priority="62"/>
  </conditionalFormatting>
  <conditionalFormatting sqref="J133:O133">
    <cfRule type="duplicateValues" dxfId="60" priority="61"/>
  </conditionalFormatting>
  <conditionalFormatting sqref="J134:O134">
    <cfRule type="duplicateValues" dxfId="59" priority="60"/>
  </conditionalFormatting>
  <conditionalFormatting sqref="J135:O135">
    <cfRule type="duplicateValues" dxfId="58" priority="59"/>
  </conditionalFormatting>
  <conditionalFormatting sqref="J136:O136">
    <cfRule type="duplicateValues" dxfId="57" priority="58"/>
  </conditionalFormatting>
  <conditionalFormatting sqref="J137:O137">
    <cfRule type="duplicateValues" dxfId="56" priority="57"/>
  </conditionalFormatting>
  <conditionalFormatting sqref="J138:O138">
    <cfRule type="duplicateValues" dxfId="55" priority="56"/>
  </conditionalFormatting>
  <conditionalFormatting sqref="J139:O139">
    <cfRule type="duplicateValues" dxfId="54" priority="55"/>
  </conditionalFormatting>
  <conditionalFormatting sqref="J140:O140">
    <cfRule type="duplicateValues" dxfId="53" priority="54"/>
  </conditionalFormatting>
  <conditionalFormatting sqref="J141:O141">
    <cfRule type="duplicateValues" dxfId="52" priority="53"/>
  </conditionalFormatting>
  <conditionalFormatting sqref="J142:O142">
    <cfRule type="duplicateValues" dxfId="51" priority="52"/>
  </conditionalFormatting>
  <conditionalFormatting sqref="J143:O143">
    <cfRule type="duplicateValues" dxfId="50" priority="51"/>
  </conditionalFormatting>
  <conditionalFormatting sqref="J144:O144">
    <cfRule type="duplicateValues" dxfId="49" priority="50"/>
  </conditionalFormatting>
  <conditionalFormatting sqref="J145:O145">
    <cfRule type="duplicateValues" dxfId="48" priority="49"/>
  </conditionalFormatting>
  <conditionalFormatting sqref="J146:O146">
    <cfRule type="duplicateValues" dxfId="47" priority="48"/>
  </conditionalFormatting>
  <conditionalFormatting sqref="J147:O147">
    <cfRule type="duplicateValues" dxfId="46" priority="47"/>
  </conditionalFormatting>
  <conditionalFormatting sqref="J148:O148">
    <cfRule type="duplicateValues" dxfId="45" priority="46"/>
  </conditionalFormatting>
  <conditionalFormatting sqref="J149:O149">
    <cfRule type="duplicateValues" dxfId="44" priority="45"/>
  </conditionalFormatting>
  <conditionalFormatting sqref="J150:O150">
    <cfRule type="duplicateValues" dxfId="43" priority="44"/>
  </conditionalFormatting>
  <conditionalFormatting sqref="J151:O151">
    <cfRule type="duplicateValues" dxfId="42" priority="43"/>
  </conditionalFormatting>
  <conditionalFormatting sqref="J152:O152">
    <cfRule type="duplicateValues" dxfId="41" priority="42"/>
  </conditionalFormatting>
  <conditionalFormatting sqref="J153:O153">
    <cfRule type="duplicateValues" dxfId="40" priority="41"/>
  </conditionalFormatting>
  <conditionalFormatting sqref="J154:O154">
    <cfRule type="duplicateValues" dxfId="39" priority="40"/>
  </conditionalFormatting>
  <conditionalFormatting sqref="J155:O155">
    <cfRule type="duplicateValues" dxfId="38" priority="39"/>
  </conditionalFormatting>
  <conditionalFormatting sqref="J156:O156">
    <cfRule type="duplicateValues" dxfId="37" priority="38"/>
  </conditionalFormatting>
  <conditionalFormatting sqref="J157:O157">
    <cfRule type="duplicateValues" dxfId="36" priority="37"/>
  </conditionalFormatting>
  <conditionalFormatting sqref="J158:O158">
    <cfRule type="duplicateValues" dxfId="35" priority="36"/>
  </conditionalFormatting>
  <conditionalFormatting sqref="J159:O159">
    <cfRule type="duplicateValues" dxfId="34" priority="35"/>
  </conditionalFormatting>
  <conditionalFormatting sqref="J160:O160">
    <cfRule type="duplicateValues" dxfId="33" priority="34"/>
  </conditionalFormatting>
  <conditionalFormatting sqref="J161:O161">
    <cfRule type="duplicateValues" dxfId="32" priority="33"/>
  </conditionalFormatting>
  <conditionalFormatting sqref="J162:O162">
    <cfRule type="duplicateValues" dxfId="31" priority="32"/>
  </conditionalFormatting>
  <conditionalFormatting sqref="J163:O163">
    <cfRule type="duplicateValues" dxfId="30" priority="31"/>
  </conditionalFormatting>
  <conditionalFormatting sqref="J164:O164">
    <cfRule type="duplicateValues" dxfId="29" priority="30"/>
  </conditionalFormatting>
  <conditionalFormatting sqref="J165:O165">
    <cfRule type="duplicateValues" dxfId="28" priority="29"/>
  </conditionalFormatting>
  <conditionalFormatting sqref="J166:O166">
    <cfRule type="duplicateValues" dxfId="27" priority="28"/>
  </conditionalFormatting>
  <conditionalFormatting sqref="J167:O167">
    <cfRule type="duplicateValues" dxfId="26" priority="27"/>
  </conditionalFormatting>
  <conditionalFormatting sqref="J168:O168">
    <cfRule type="duplicateValues" dxfId="25" priority="26"/>
  </conditionalFormatting>
  <conditionalFormatting sqref="J169:O169">
    <cfRule type="duplicateValues" dxfId="24" priority="25"/>
  </conditionalFormatting>
  <conditionalFormatting sqref="J171:O171">
    <cfRule type="duplicateValues" dxfId="23" priority="24"/>
  </conditionalFormatting>
  <conditionalFormatting sqref="J172:O172">
    <cfRule type="duplicateValues" dxfId="22" priority="23"/>
  </conditionalFormatting>
  <conditionalFormatting sqref="J173:O173">
    <cfRule type="duplicateValues" dxfId="21" priority="22"/>
  </conditionalFormatting>
  <conditionalFormatting sqref="J174:O174">
    <cfRule type="duplicateValues" dxfId="20" priority="21"/>
  </conditionalFormatting>
  <conditionalFormatting sqref="J175:O175">
    <cfRule type="duplicateValues" dxfId="19" priority="20"/>
  </conditionalFormatting>
  <conditionalFormatting sqref="J176:O176">
    <cfRule type="duplicateValues" dxfId="18" priority="19"/>
  </conditionalFormatting>
  <conditionalFormatting sqref="J177:O177">
    <cfRule type="duplicateValues" dxfId="17" priority="18"/>
  </conditionalFormatting>
  <conditionalFormatting sqref="J178:O178">
    <cfRule type="duplicateValues" dxfId="16" priority="17"/>
  </conditionalFormatting>
  <conditionalFormatting sqref="J179:O179">
    <cfRule type="duplicateValues" dxfId="15" priority="16"/>
  </conditionalFormatting>
  <conditionalFormatting sqref="J180:O180">
    <cfRule type="duplicateValues" dxfId="14" priority="15"/>
  </conditionalFormatting>
  <conditionalFormatting sqref="J181:O181">
    <cfRule type="duplicateValues" dxfId="13" priority="14"/>
  </conditionalFormatting>
  <conditionalFormatting sqref="J182:O182">
    <cfRule type="duplicateValues" dxfId="12" priority="13"/>
  </conditionalFormatting>
  <conditionalFormatting sqref="J183:O183">
    <cfRule type="duplicateValues" dxfId="11" priority="12"/>
  </conditionalFormatting>
  <conditionalFormatting sqref="J184:O184">
    <cfRule type="duplicateValues" dxfId="10" priority="11"/>
  </conditionalFormatting>
  <conditionalFormatting sqref="J185:O185">
    <cfRule type="duplicateValues" dxfId="9" priority="10"/>
  </conditionalFormatting>
  <conditionalFormatting sqref="J186:O186">
    <cfRule type="duplicateValues" dxfId="8" priority="9"/>
  </conditionalFormatting>
  <conditionalFormatting sqref="J187:O187">
    <cfRule type="duplicateValues" dxfId="7" priority="8"/>
  </conditionalFormatting>
  <conditionalFormatting sqref="J188:O188">
    <cfRule type="duplicateValues" dxfId="6" priority="7"/>
  </conditionalFormatting>
  <conditionalFormatting sqref="J189:O189">
    <cfRule type="duplicateValues" dxfId="5" priority="6"/>
  </conditionalFormatting>
  <conditionalFormatting sqref="J190:O190">
    <cfRule type="duplicateValues" dxfId="4" priority="5"/>
  </conditionalFormatting>
  <conditionalFormatting sqref="J191:O191">
    <cfRule type="duplicateValues" dxfId="3" priority="4"/>
  </conditionalFormatting>
  <conditionalFormatting sqref="J192:O192">
    <cfRule type="duplicateValues" dxfId="2" priority="3"/>
  </conditionalFormatting>
  <conditionalFormatting sqref="J193:O193">
    <cfRule type="duplicateValues" dxfId="1" priority="2"/>
  </conditionalFormatting>
  <conditionalFormatting sqref="P2:R193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命名范围</vt:lpstr>
      </vt:variant>
      <vt:variant>
        <vt:i4>7</vt:i4>
      </vt:variant>
    </vt:vector>
  </HeadingPairs>
  <TitlesOfParts>
    <vt:vector size="27" baseType="lpstr">
      <vt:lpstr>D_马仔表</vt:lpstr>
      <vt:lpstr>D_马仔经验</vt:lpstr>
      <vt:lpstr>马仔辅助经验表</vt:lpstr>
      <vt:lpstr>马仔等级性价比</vt:lpstr>
      <vt:lpstr>D_马仔升级属性</vt:lpstr>
      <vt:lpstr>D_马仔升星灵魂石</vt:lpstr>
      <vt:lpstr>D_马仔升星属性</vt:lpstr>
      <vt:lpstr>D_马仔培养进阶属性</vt:lpstr>
      <vt:lpstr>D_马仔培养宝物</vt:lpstr>
      <vt:lpstr>D_马仔宝物</vt:lpstr>
      <vt:lpstr>价值评估</vt:lpstr>
      <vt:lpstr>D_马仔技能</vt:lpstr>
      <vt:lpstr>技能辅助表</vt:lpstr>
      <vt:lpstr>D_马仔BUF表</vt:lpstr>
      <vt:lpstr>D__马仔援护位开放</vt:lpstr>
      <vt:lpstr>D_马仔追债任务表</vt:lpstr>
      <vt:lpstr>马仔追债辅助表</vt:lpstr>
      <vt:lpstr>D_追债劫掠购买表</vt:lpstr>
      <vt:lpstr>马仔辅助表</vt:lpstr>
      <vt:lpstr>马仔培养辅助表</vt:lpstr>
      <vt:lpstr>马仔宝物合集</vt:lpstr>
      <vt:lpstr>马仔宝物属性</vt:lpstr>
      <vt:lpstr>马仔基本属性表</vt:lpstr>
      <vt:lpstr>马仔培养宝物属性</vt:lpstr>
      <vt:lpstr>马仔培养升级属性表</vt:lpstr>
      <vt:lpstr>马仔升级属性表</vt:lpstr>
      <vt:lpstr>马仔升星属性表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Javy</cp:lastModifiedBy>
  <dcterms:created xsi:type="dcterms:W3CDTF">2006-09-16T00:00:00Z</dcterms:created>
  <dcterms:modified xsi:type="dcterms:W3CDTF">2015-08-01T17:43:55Z</dcterms:modified>
</cp:coreProperties>
</file>