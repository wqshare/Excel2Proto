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古惑仔trunk\gamexlm\excel\"/>
    </mc:Choice>
  </mc:AlternateContent>
  <bookViews>
    <workbookView xWindow="240" yWindow="105" windowWidth="14805" windowHeight="8010"/>
  </bookViews>
  <sheets>
    <sheet name="D_称号" sheetId="1" r:id="rId1"/>
    <sheet name="称号辅助表" sheetId="3" r:id="rId2"/>
    <sheet name="称号估值" sheetId="4" r:id="rId3"/>
  </sheets>
  <externalReferences>
    <externalReference r:id="rId4"/>
  </externalReferences>
  <calcPr calcId="152511"/>
</workbook>
</file>

<file path=xl/calcChain.xml><?xml version="1.0" encoding="utf-8"?>
<calcChain xmlns="http://schemas.openxmlformats.org/spreadsheetml/2006/main">
  <c r="A12" i="4" l="1"/>
  <c r="C12" i="1"/>
  <c r="AB12" i="1"/>
  <c r="AC12" i="1"/>
  <c r="AD12" i="1"/>
  <c r="AE12" i="1"/>
  <c r="E13" i="3"/>
  <c r="E12" i="3" l="1"/>
  <c r="E11" i="3" l="1"/>
  <c r="E10" i="3" l="1"/>
  <c r="E3" i="3" l="1"/>
  <c r="C3" i="1" l="1"/>
  <c r="C4" i="1"/>
  <c r="C5" i="1"/>
  <c r="C6" i="1"/>
  <c r="C7" i="1"/>
  <c r="C8" i="1"/>
  <c r="C9" i="1"/>
  <c r="C10" i="1"/>
  <c r="C11" i="1"/>
  <c r="A3" i="1"/>
  <c r="A4" i="1"/>
  <c r="A5" i="1"/>
  <c r="A6" i="1"/>
  <c r="A7" i="1"/>
  <c r="A8" i="1"/>
  <c r="A9" i="1"/>
  <c r="A10" i="1"/>
  <c r="A11" i="1"/>
  <c r="B4" i="4" l="1"/>
  <c r="B8" i="4"/>
  <c r="B9" i="4"/>
  <c r="A3" i="4"/>
  <c r="A4" i="4"/>
  <c r="A5" i="4"/>
  <c r="A6" i="4"/>
  <c r="A7" i="4"/>
  <c r="A8" i="4"/>
  <c r="A9" i="4"/>
  <c r="A10" i="4"/>
  <c r="A11" i="4"/>
  <c r="E4" i="3"/>
  <c r="E5" i="3"/>
  <c r="E6" i="3"/>
  <c r="E7" i="3"/>
  <c r="E8" i="3"/>
  <c r="E9" i="3"/>
  <c r="G2" i="3" l="1"/>
  <c r="H2" i="3"/>
  <c r="I2" i="3"/>
  <c r="J2" i="3"/>
  <c r="K2" i="3"/>
  <c r="L2" i="3"/>
  <c r="M2" i="3"/>
  <c r="N2" i="3"/>
  <c r="O2" i="3"/>
  <c r="F2" i="3"/>
  <c r="A2" i="4" l="1"/>
  <c r="AB3" i="1" l="1"/>
  <c r="AC3" i="1"/>
  <c r="AD3" i="1"/>
  <c r="AE3" i="1"/>
  <c r="AB4" i="1"/>
  <c r="AC4" i="1"/>
  <c r="AD4" i="1"/>
  <c r="AE4" i="1"/>
  <c r="AB5" i="1"/>
  <c r="AC5" i="1"/>
  <c r="AD5" i="1"/>
  <c r="AE5" i="1"/>
  <c r="AB6" i="1"/>
  <c r="AC6" i="1"/>
  <c r="AD6" i="1"/>
  <c r="AE6" i="1"/>
  <c r="AB7" i="1"/>
  <c r="AC7" i="1"/>
  <c r="AD7" i="1"/>
  <c r="AE7" i="1"/>
  <c r="AB8" i="1"/>
  <c r="AC8" i="1"/>
  <c r="AD8" i="1"/>
  <c r="AE8" i="1"/>
  <c r="AB9" i="1"/>
  <c r="AC9" i="1"/>
  <c r="AD9" i="1"/>
  <c r="AE9" i="1"/>
  <c r="AB10" i="1"/>
  <c r="AC10" i="1"/>
  <c r="AD10" i="1"/>
  <c r="AE10" i="1"/>
  <c r="AB11" i="1"/>
  <c r="AC11" i="1"/>
  <c r="AD11" i="1"/>
  <c r="AE11" i="1"/>
  <c r="AB2" i="1"/>
  <c r="AC2" i="1"/>
  <c r="AD2" i="1"/>
  <c r="AE2" i="1"/>
  <c r="D1" i="3" l="1"/>
  <c r="A2" i="1"/>
  <c r="C2" i="1"/>
  <c r="B1" i="3" l="1"/>
  <c r="M13" i="3" s="1"/>
  <c r="O13" i="3" l="1"/>
  <c r="H13" i="3"/>
  <c r="J13" i="3"/>
  <c r="L13" i="3"/>
  <c r="I13" i="3"/>
  <c r="N13" i="3"/>
  <c r="K13" i="3"/>
  <c r="F13" i="3"/>
  <c r="G13" i="3"/>
  <c r="N9" i="3"/>
  <c r="K9" i="3"/>
  <c r="M9" i="3"/>
  <c r="I9" i="3"/>
  <c r="J9" i="3"/>
  <c r="O9" i="3"/>
  <c r="L9" i="3"/>
  <c r="C12" i="4" l="1"/>
  <c r="U13" i="3" a="1"/>
  <c r="U13" i="3" s="1"/>
  <c r="L12" i="1" s="1"/>
  <c r="R13" i="3" a="1"/>
  <c r="R13" i="3" s="1"/>
  <c r="I12" i="1" s="1"/>
  <c r="T13" i="3" a="1"/>
  <c r="T13" i="3" s="1"/>
  <c r="K12" i="1" s="1"/>
  <c r="Z13" i="3" a="1"/>
  <c r="Z13" i="3" s="1"/>
  <c r="Q12" i="1" s="1"/>
  <c r="V13" i="3" a="1"/>
  <c r="V13" i="3" s="1"/>
  <c r="M12" i="1" s="1"/>
  <c r="Y13" i="3" a="1"/>
  <c r="Y13" i="3" s="1"/>
  <c r="P12" i="1" s="1"/>
  <c r="AA13" i="3" a="1"/>
  <c r="AA13" i="3" s="1"/>
  <c r="R12" i="1" s="1"/>
  <c r="P13" i="3"/>
  <c r="G12" i="1" s="1"/>
  <c r="W13" i="3" a="1"/>
  <c r="W13" i="3" s="1"/>
  <c r="N12" i="1" s="1"/>
  <c r="AI13" i="3" a="1"/>
  <c r="AI13" i="3" s="1"/>
  <c r="Z12" i="1" s="1"/>
  <c r="Q13" i="3" a="1"/>
  <c r="Q13" i="3" s="1"/>
  <c r="H12" i="1" s="1"/>
  <c r="AB13" i="3" a="1"/>
  <c r="AB13" i="3" s="1"/>
  <c r="S12" i="1" s="1"/>
  <c r="AD13" i="3" a="1"/>
  <c r="AD13" i="3" s="1"/>
  <c r="U12" i="1" s="1"/>
  <c r="S13" i="3" a="1"/>
  <c r="S13" i="3" s="1"/>
  <c r="J12" i="1" s="1"/>
  <c r="X13" i="3" a="1"/>
  <c r="X13" i="3" s="1"/>
  <c r="O12" i="1" s="1"/>
  <c r="AF13" i="3" a="1"/>
  <c r="AF13" i="3" s="1"/>
  <c r="W12" i="1" s="1"/>
  <c r="AH13" i="3" a="1"/>
  <c r="AH13" i="3" s="1"/>
  <c r="Y12" i="1" s="1"/>
  <c r="AG13" i="3" a="1"/>
  <c r="AG13" i="3" s="1"/>
  <c r="X12" i="1" s="1"/>
  <c r="AC13" i="3" a="1"/>
  <c r="AC13" i="3" s="1"/>
  <c r="T12" i="1" s="1"/>
  <c r="AJ13" i="3" a="1"/>
  <c r="AJ13" i="3" s="1"/>
  <c r="AA12" i="1" s="1"/>
  <c r="AE13" i="3" a="1"/>
  <c r="AE13" i="3" s="1"/>
  <c r="V12" i="1" s="1"/>
  <c r="J8" i="3"/>
  <c r="K8" i="3"/>
  <c r="I8" i="3"/>
  <c r="M8" i="3"/>
  <c r="N8" i="3"/>
  <c r="L8" i="3"/>
  <c r="O8" i="3"/>
  <c r="O7" i="3"/>
  <c r="J7" i="3"/>
  <c r="I7" i="3"/>
  <c r="N7" i="3"/>
  <c r="L7" i="3"/>
  <c r="K7" i="3"/>
  <c r="M7" i="3"/>
  <c r="K11" i="3"/>
  <c r="N11" i="3"/>
  <c r="L11" i="3"/>
  <c r="O11" i="3"/>
  <c r="M11" i="3"/>
  <c r="I11" i="3"/>
  <c r="J11" i="3"/>
  <c r="O10" i="3" l="1"/>
  <c r="M10" i="3"/>
  <c r="I10" i="3"/>
  <c r="L10" i="3"/>
  <c r="K10" i="3"/>
  <c r="J10" i="3"/>
  <c r="N10" i="3"/>
  <c r="O6" i="3"/>
  <c r="I6" i="3"/>
  <c r="M6" i="3"/>
  <c r="J6" i="3"/>
  <c r="L6" i="3"/>
  <c r="N6" i="3"/>
  <c r="K6" i="3"/>
  <c r="M5" i="3"/>
  <c r="I5" i="3"/>
  <c r="N5" i="3"/>
  <c r="J5" i="3"/>
  <c r="K5" i="3"/>
  <c r="O5" i="3"/>
  <c r="L5" i="3"/>
  <c r="I12" i="3"/>
  <c r="K12" i="3"/>
  <c r="O12" i="3"/>
  <c r="J12" i="3"/>
  <c r="M12" i="3"/>
  <c r="L12" i="3"/>
  <c r="N12" i="3"/>
  <c r="O4" i="3" l="1"/>
  <c r="N4" i="3"/>
  <c r="M4" i="3"/>
  <c r="L4" i="3"/>
  <c r="I4" i="3"/>
  <c r="J4" i="3"/>
  <c r="K4" i="3"/>
  <c r="M3" i="3"/>
  <c r="I3" i="3"/>
  <c r="L3" i="3"/>
  <c r="O3" i="3"/>
  <c r="N3" i="3"/>
  <c r="J3" i="3"/>
  <c r="K3" i="3"/>
  <c r="H7" i="3" l="1"/>
  <c r="H8" i="3"/>
  <c r="H11" i="3"/>
  <c r="H9" i="3" l="1"/>
  <c r="H3" i="3"/>
  <c r="H5" i="3" l="1"/>
  <c r="H4" i="3"/>
  <c r="H6" i="3"/>
  <c r="H10" i="3"/>
  <c r="H12" i="3"/>
  <c r="G9" i="3"/>
  <c r="G7" i="3"/>
  <c r="G11" i="3"/>
  <c r="G8" i="3"/>
  <c r="G3" i="3" l="1"/>
  <c r="G6" i="3"/>
  <c r="G10" i="3"/>
  <c r="G12" i="3"/>
  <c r="G5" i="3"/>
  <c r="G4" i="3"/>
  <c r="F9" i="3" l="1"/>
  <c r="C8" i="4" s="1"/>
  <c r="P9" i="3" l="1"/>
  <c r="G8" i="1" s="1"/>
  <c r="Q9" i="3" a="1"/>
  <c r="Q9" i="3" s="1"/>
  <c r="H8" i="1" s="1"/>
  <c r="Y9" i="3" a="1"/>
  <c r="Y9" i="3" s="1"/>
  <c r="P8" i="1" s="1"/>
  <c r="AG9" i="3" a="1"/>
  <c r="AG9" i="3" s="1"/>
  <c r="X8" i="1" s="1"/>
  <c r="Z9" i="3" a="1"/>
  <c r="Z9" i="3" s="1"/>
  <c r="Q8" i="1" s="1"/>
  <c r="AH9" i="3" a="1"/>
  <c r="AH9" i="3" s="1"/>
  <c r="Y8" i="1" s="1"/>
  <c r="S9" i="3" a="1"/>
  <c r="S9" i="3" s="1"/>
  <c r="J8" i="1" s="1"/>
  <c r="R9" i="3" a="1"/>
  <c r="R9" i="3" s="1"/>
  <c r="I8" i="1" s="1"/>
  <c r="AA9" i="3" a="1"/>
  <c r="AA9" i="3" s="1"/>
  <c r="R8" i="1" s="1"/>
  <c r="AI9" i="3" a="1"/>
  <c r="AI9" i="3" s="1"/>
  <c r="Z8" i="1" s="1"/>
  <c r="AD9" i="3" a="1"/>
  <c r="AD9" i="3" s="1"/>
  <c r="U8" i="1" s="1"/>
  <c r="AF9" i="3" a="1"/>
  <c r="AF9" i="3" s="1"/>
  <c r="W8" i="1" s="1"/>
  <c r="V9" i="3" a="1"/>
  <c r="V9" i="3" s="1"/>
  <c r="M8" i="1" s="1"/>
  <c r="X9" i="3" a="1"/>
  <c r="X9" i="3" s="1"/>
  <c r="O8" i="1" s="1"/>
  <c r="T9" i="3" a="1"/>
  <c r="T9" i="3" s="1"/>
  <c r="K8" i="1" s="1"/>
  <c r="AE9" i="3" a="1"/>
  <c r="AE9" i="3" s="1"/>
  <c r="V8" i="1" s="1"/>
  <c r="U9" i="3" a="1"/>
  <c r="U9" i="3" s="1"/>
  <c r="L8" i="1" s="1"/>
  <c r="W9" i="3" a="1"/>
  <c r="W9" i="3" s="1"/>
  <c r="N8" i="1" s="1"/>
  <c r="AJ9" i="3" a="1"/>
  <c r="AJ9" i="3" s="1"/>
  <c r="AA8" i="1" s="1"/>
  <c r="AB9" i="3" a="1"/>
  <c r="AB9" i="3" s="1"/>
  <c r="S8" i="1" s="1"/>
  <c r="AC9" i="3" a="1"/>
  <c r="AC9" i="3" s="1"/>
  <c r="T8" i="1" s="1"/>
  <c r="F4" i="3"/>
  <c r="C3" i="4" s="1"/>
  <c r="F6" i="3"/>
  <c r="C5" i="4" s="1"/>
  <c r="F10" i="3"/>
  <c r="C9" i="4" s="1"/>
  <c r="F12" i="3"/>
  <c r="C11" i="4" s="1"/>
  <c r="F5" i="3"/>
  <c r="C4" i="4" s="1"/>
  <c r="F3" i="3"/>
  <c r="C2" i="4" s="1"/>
  <c r="F11" i="3"/>
  <c r="C10" i="4" s="1"/>
  <c r="F7" i="3"/>
  <c r="C6" i="4" s="1"/>
  <c r="F8" i="3"/>
  <c r="C7" i="4" s="1"/>
  <c r="P5" i="3" l="1"/>
  <c r="G4" i="1" s="1"/>
  <c r="Q5" i="3" a="1"/>
  <c r="Q5" i="3" s="1"/>
  <c r="H4" i="1" s="1"/>
  <c r="Y5" i="3" a="1"/>
  <c r="Y5" i="3" s="1"/>
  <c r="P4" i="1" s="1"/>
  <c r="AG5" i="3" a="1"/>
  <c r="AG5" i="3" s="1"/>
  <c r="X4" i="1" s="1"/>
  <c r="Z5" i="3" a="1"/>
  <c r="Z5" i="3" s="1"/>
  <c r="Q4" i="1" s="1"/>
  <c r="S5" i="3" a="1"/>
  <c r="S5" i="3" s="1"/>
  <c r="J4" i="1" s="1"/>
  <c r="AI5" i="3" a="1"/>
  <c r="AI5" i="3" s="1"/>
  <c r="Z4" i="1" s="1"/>
  <c r="R5" i="3" a="1"/>
  <c r="R5" i="3" s="1"/>
  <c r="I4" i="1" s="1"/>
  <c r="AH5" i="3" a="1"/>
  <c r="AH5" i="3" s="1"/>
  <c r="Y4" i="1" s="1"/>
  <c r="AA5" i="3" a="1"/>
  <c r="AA5" i="3" s="1"/>
  <c r="R4" i="1" s="1"/>
  <c r="U5" i="3" a="1"/>
  <c r="U5" i="3" s="1"/>
  <c r="L4" i="1" s="1"/>
  <c r="AC5" i="3" a="1"/>
  <c r="AC5" i="3" s="1"/>
  <c r="T4" i="1" s="1"/>
  <c r="AB5" i="3" a="1"/>
  <c r="AB5" i="3" s="1"/>
  <c r="S4" i="1" s="1"/>
  <c r="AE5" i="3" a="1"/>
  <c r="AE5" i="3" s="1"/>
  <c r="V4" i="1" s="1"/>
  <c r="V5" i="3" a="1"/>
  <c r="V5" i="3" s="1"/>
  <c r="M4" i="1" s="1"/>
  <c r="AD5" i="3" a="1"/>
  <c r="AD5" i="3" s="1"/>
  <c r="U4" i="1" s="1"/>
  <c r="T5" i="3" a="1"/>
  <c r="T5" i="3" s="1"/>
  <c r="K4" i="1" s="1"/>
  <c r="AF5" i="3" a="1"/>
  <c r="AF5" i="3" s="1"/>
  <c r="W4" i="1" s="1"/>
  <c r="AJ5" i="3" a="1"/>
  <c r="AJ5" i="3" s="1"/>
  <c r="AA4" i="1" s="1"/>
  <c r="W5" i="3" a="1"/>
  <c r="W5" i="3" s="1"/>
  <c r="N4" i="1" s="1"/>
  <c r="X5" i="3" a="1"/>
  <c r="X5" i="3" s="1"/>
  <c r="O4" i="1" s="1"/>
  <c r="P6" i="3"/>
  <c r="G5" i="1" s="1"/>
  <c r="U6" i="3" a="1"/>
  <c r="U6" i="3" s="1"/>
  <c r="L5" i="1" s="1"/>
  <c r="AC6" i="3" a="1"/>
  <c r="AC6" i="3" s="1"/>
  <c r="T5" i="1" s="1"/>
  <c r="AE6" i="3" a="1"/>
  <c r="AE6" i="3" s="1"/>
  <c r="V5" i="1" s="1"/>
  <c r="V6" i="3" a="1"/>
  <c r="V6" i="3" s="1"/>
  <c r="M5" i="1" s="1"/>
  <c r="AD6" i="3" a="1"/>
  <c r="AD6" i="3" s="1"/>
  <c r="U5" i="1" s="1"/>
  <c r="W6" i="3" a="1"/>
  <c r="W6" i="3" s="1"/>
  <c r="N5" i="1" s="1"/>
  <c r="Q6" i="3" a="1"/>
  <c r="Q6" i="3" s="1"/>
  <c r="H5" i="1" s="1"/>
  <c r="Y6" i="3" a="1"/>
  <c r="Y6" i="3" s="1"/>
  <c r="P5" i="1" s="1"/>
  <c r="AG6" i="3" a="1"/>
  <c r="AG6" i="3" s="1"/>
  <c r="X5" i="1" s="1"/>
  <c r="X6" i="3" a="1"/>
  <c r="X6" i="3" s="1"/>
  <c r="O5" i="1" s="1"/>
  <c r="AF6" i="3" a="1"/>
  <c r="AF6" i="3" s="1"/>
  <c r="W5" i="1" s="1"/>
  <c r="Z6" i="3" a="1"/>
  <c r="Z6" i="3" s="1"/>
  <c r="Q5" i="1" s="1"/>
  <c r="AA6" i="3" a="1"/>
  <c r="AA6" i="3" s="1"/>
  <c r="R5" i="1" s="1"/>
  <c r="AB6" i="3" a="1"/>
  <c r="AB6" i="3" s="1"/>
  <c r="S5" i="1" s="1"/>
  <c r="AH6" i="3" a="1"/>
  <c r="AH6" i="3" s="1"/>
  <c r="Y5" i="1" s="1"/>
  <c r="R6" i="3" a="1"/>
  <c r="R6" i="3" s="1"/>
  <c r="I5" i="1" s="1"/>
  <c r="AI6" i="3" a="1"/>
  <c r="AI6" i="3" s="1"/>
  <c r="Z5" i="1" s="1"/>
  <c r="AJ6" i="3" a="1"/>
  <c r="AJ6" i="3" s="1"/>
  <c r="AA5" i="1" s="1"/>
  <c r="T6" i="3" a="1"/>
  <c r="T6" i="3" s="1"/>
  <c r="K5" i="1" s="1"/>
  <c r="S6" i="3" a="1"/>
  <c r="S6" i="3" s="1"/>
  <c r="J5" i="1" s="1"/>
  <c r="P8" i="3"/>
  <c r="G7" i="1" s="1"/>
  <c r="U8" i="3" a="1"/>
  <c r="U8" i="3" s="1"/>
  <c r="L7" i="1" s="1"/>
  <c r="AC8" i="3" a="1"/>
  <c r="AC8" i="3" s="1"/>
  <c r="T7" i="1" s="1"/>
  <c r="AD8" i="3" a="1"/>
  <c r="AD8" i="3" s="1"/>
  <c r="U7" i="1" s="1"/>
  <c r="W8" i="3" a="1"/>
  <c r="W8" i="3" s="1"/>
  <c r="N7" i="1" s="1"/>
  <c r="V8" i="3" a="1"/>
  <c r="V8" i="3" s="1"/>
  <c r="M7" i="1" s="1"/>
  <c r="AE8" i="3" a="1"/>
  <c r="AE8" i="3" s="1"/>
  <c r="V7" i="1" s="1"/>
  <c r="Y8" i="3" a="1"/>
  <c r="Y8" i="3" s="1"/>
  <c r="P7" i="1" s="1"/>
  <c r="AJ8" i="3" a="1"/>
  <c r="AJ8" i="3" s="1"/>
  <c r="AA7" i="1" s="1"/>
  <c r="AA8" i="3" a="1"/>
  <c r="AA8" i="3" s="1"/>
  <c r="R7" i="1" s="1"/>
  <c r="R8" i="3" a="1"/>
  <c r="R8" i="3" s="1"/>
  <c r="I7" i="1" s="1"/>
  <c r="Z8" i="3" a="1"/>
  <c r="Z8" i="3" s="1"/>
  <c r="Q7" i="1" s="1"/>
  <c r="AB8" i="3" a="1"/>
  <c r="AB8" i="3" s="1"/>
  <c r="S7" i="1" s="1"/>
  <c r="AG8" i="3" a="1"/>
  <c r="AG8" i="3" s="1"/>
  <c r="X7" i="1" s="1"/>
  <c r="Q8" i="3" a="1"/>
  <c r="Q8" i="3" s="1"/>
  <c r="H7" i="1" s="1"/>
  <c r="AF8" i="3" a="1"/>
  <c r="AF8" i="3" s="1"/>
  <c r="W7" i="1" s="1"/>
  <c r="S8" i="3" a="1"/>
  <c r="S8" i="3" s="1"/>
  <c r="J7" i="1" s="1"/>
  <c r="X8" i="3" a="1"/>
  <c r="X8" i="3" s="1"/>
  <c r="O7" i="1" s="1"/>
  <c r="AI8" i="3" a="1"/>
  <c r="AI8" i="3" s="1"/>
  <c r="Z7" i="1" s="1"/>
  <c r="AH8" i="3" a="1"/>
  <c r="AH8" i="3" s="1"/>
  <c r="Y7" i="1" s="1"/>
  <c r="T8" i="3" a="1"/>
  <c r="T8" i="3" s="1"/>
  <c r="K7" i="1" s="1"/>
  <c r="P4" i="3"/>
  <c r="G3" i="1" s="1"/>
  <c r="U4" i="3" a="1"/>
  <c r="U4" i="3" s="1"/>
  <c r="L3" i="1" s="1"/>
  <c r="AC4" i="3" a="1"/>
  <c r="AC4" i="3" s="1"/>
  <c r="T3" i="1" s="1"/>
  <c r="W4" i="3" a="1"/>
  <c r="W4" i="3" s="1"/>
  <c r="N3" i="1" s="1"/>
  <c r="V4" i="3" a="1"/>
  <c r="V4" i="3" s="1"/>
  <c r="M3" i="1" s="1"/>
  <c r="AD4" i="3" a="1"/>
  <c r="AD4" i="3" s="1"/>
  <c r="U3" i="1" s="1"/>
  <c r="AE4" i="3" a="1"/>
  <c r="AE4" i="3" s="1"/>
  <c r="V3" i="1" s="1"/>
  <c r="Q4" i="3" a="1"/>
  <c r="Q4" i="3" s="1"/>
  <c r="H3" i="1" s="1"/>
  <c r="Y4" i="3" a="1"/>
  <c r="Y4" i="3" s="1"/>
  <c r="P3" i="1" s="1"/>
  <c r="AG4" i="3" a="1"/>
  <c r="AG4" i="3" s="1"/>
  <c r="X3" i="1" s="1"/>
  <c r="AF4" i="3" a="1"/>
  <c r="AF4" i="3" s="1"/>
  <c r="W3" i="1" s="1"/>
  <c r="S4" i="3" a="1"/>
  <c r="S4" i="3" s="1"/>
  <c r="J3" i="1" s="1"/>
  <c r="T4" i="3" a="1"/>
  <c r="T4" i="3" s="1"/>
  <c r="K3" i="1" s="1"/>
  <c r="X4" i="3" a="1"/>
  <c r="X4" i="3" s="1"/>
  <c r="O3" i="1" s="1"/>
  <c r="R4" i="3" a="1"/>
  <c r="R4" i="3" s="1"/>
  <c r="I3" i="1" s="1"/>
  <c r="AH4" i="3" a="1"/>
  <c r="AH4" i="3" s="1"/>
  <c r="Y3" i="1" s="1"/>
  <c r="AI4" i="3" a="1"/>
  <c r="AI4" i="3" s="1"/>
  <c r="Z3" i="1" s="1"/>
  <c r="AJ4" i="3" a="1"/>
  <c r="AJ4" i="3" s="1"/>
  <c r="AA3" i="1" s="1"/>
  <c r="Z4" i="3" a="1"/>
  <c r="Z4" i="3" s="1"/>
  <c r="Q3" i="1" s="1"/>
  <c r="AB4" i="3" a="1"/>
  <c r="AB4" i="3" s="1"/>
  <c r="S3" i="1" s="1"/>
  <c r="AA4" i="3" a="1"/>
  <c r="AA4" i="3" s="1"/>
  <c r="R3" i="1" s="1"/>
  <c r="P10" i="3"/>
  <c r="G9" i="1" s="1"/>
  <c r="U10" i="3" a="1"/>
  <c r="U10" i="3" s="1"/>
  <c r="L9" i="1" s="1"/>
  <c r="AC10" i="3" a="1"/>
  <c r="AC10" i="3" s="1"/>
  <c r="T9" i="1" s="1"/>
  <c r="V10" i="3" a="1"/>
  <c r="V10" i="3" s="1"/>
  <c r="M9" i="1" s="1"/>
  <c r="AD10" i="3" a="1"/>
  <c r="AD10" i="3" s="1"/>
  <c r="U9" i="1" s="1"/>
  <c r="W10" i="3" a="1"/>
  <c r="W10" i="3" s="1"/>
  <c r="N9" i="1" s="1"/>
  <c r="AG10" i="3" a="1"/>
  <c r="AG10" i="3" s="1"/>
  <c r="X9" i="1" s="1"/>
  <c r="AI10" i="3" a="1"/>
  <c r="AI10" i="3" s="1"/>
  <c r="Z9" i="1" s="1"/>
  <c r="AJ10" i="3" a="1"/>
  <c r="AJ10" i="3" s="1"/>
  <c r="AA9" i="1" s="1"/>
  <c r="Q10" i="3" a="1"/>
  <c r="Q10" i="3" s="1"/>
  <c r="H9" i="1" s="1"/>
  <c r="X10" i="3" a="1"/>
  <c r="X10" i="3" s="1"/>
  <c r="O9" i="1" s="1"/>
  <c r="AH10" i="3" a="1"/>
  <c r="AH10" i="3" s="1"/>
  <c r="Y9" i="1" s="1"/>
  <c r="Y10" i="3" a="1"/>
  <c r="Y10" i="3" s="1"/>
  <c r="P9" i="1" s="1"/>
  <c r="Z10" i="3" a="1"/>
  <c r="Z10" i="3" s="1"/>
  <c r="Q9" i="1" s="1"/>
  <c r="AB10" i="3" a="1"/>
  <c r="AB10" i="3" s="1"/>
  <c r="S9" i="1" s="1"/>
  <c r="AA10" i="3" a="1"/>
  <c r="AA10" i="3" s="1"/>
  <c r="R9" i="1" s="1"/>
  <c r="R10" i="3" a="1"/>
  <c r="R10" i="3" s="1"/>
  <c r="I9" i="1" s="1"/>
  <c r="AE10" i="3" a="1"/>
  <c r="AE10" i="3" s="1"/>
  <c r="V9" i="1" s="1"/>
  <c r="AF10" i="3" a="1"/>
  <c r="AF10" i="3" s="1"/>
  <c r="W9" i="1" s="1"/>
  <c r="S10" i="3" a="1"/>
  <c r="S10" i="3" s="1"/>
  <c r="J9" i="1" s="1"/>
  <c r="T10" i="3" a="1"/>
  <c r="T10" i="3" s="1"/>
  <c r="K9" i="1" s="1"/>
  <c r="P3" i="3"/>
  <c r="G2" i="1" s="1"/>
  <c r="AJ3" i="3" a="1"/>
  <c r="AJ3" i="3" s="1"/>
  <c r="AA2" i="1" s="1"/>
  <c r="AB3" i="3" a="1"/>
  <c r="AB3" i="3" s="1"/>
  <c r="S2" i="1" s="1"/>
  <c r="T3" i="3" a="1"/>
  <c r="T3" i="3" s="1"/>
  <c r="K2" i="1" s="1"/>
  <c r="AI3" i="3" a="1"/>
  <c r="AI3" i="3" s="1"/>
  <c r="Z2" i="1" s="1"/>
  <c r="S3" i="3" a="1"/>
  <c r="S3" i="3" s="1"/>
  <c r="J2" i="1" s="1"/>
  <c r="AA3" i="3" a="1"/>
  <c r="AA3" i="3" s="1"/>
  <c r="R2" i="1" s="1"/>
  <c r="AH3" i="3" a="1"/>
  <c r="AH3" i="3" s="1"/>
  <c r="Y2" i="1" s="1"/>
  <c r="X3" i="3" a="1"/>
  <c r="X3" i="3" s="1"/>
  <c r="O2" i="1" s="1"/>
  <c r="W3" i="3" a="1"/>
  <c r="W3" i="3" s="1"/>
  <c r="N2" i="1" s="1"/>
  <c r="AF3" i="3" a="1"/>
  <c r="AF3" i="3" s="1"/>
  <c r="W2" i="1" s="1"/>
  <c r="AE3" i="3" a="1"/>
  <c r="AE3" i="3" s="1"/>
  <c r="V2" i="1" s="1"/>
  <c r="AD3" i="3" a="1"/>
  <c r="AD3" i="3" s="1"/>
  <c r="U2" i="1" s="1"/>
  <c r="AG3" i="3" a="1"/>
  <c r="AG3" i="3" s="1"/>
  <c r="X2" i="1" s="1"/>
  <c r="U3" i="3" a="1"/>
  <c r="U3" i="3" s="1"/>
  <c r="L2" i="1" s="1"/>
  <c r="V3" i="3" a="1"/>
  <c r="V3" i="3" s="1"/>
  <c r="M2" i="1" s="1"/>
  <c r="Q3" i="3" a="1"/>
  <c r="Q3" i="3" s="1"/>
  <c r="H2" i="1" s="1"/>
  <c r="AC3" i="3" a="1"/>
  <c r="AC3" i="3" s="1"/>
  <c r="T2" i="1" s="1"/>
  <c r="Z3" i="3" a="1"/>
  <c r="Z3" i="3" s="1"/>
  <c r="Q2" i="1" s="1"/>
  <c r="R3" i="3" a="1"/>
  <c r="R3" i="3" s="1"/>
  <c r="I2" i="1" s="1"/>
  <c r="Y3" i="3" a="1"/>
  <c r="Y3" i="3" s="1"/>
  <c r="P2" i="1" s="1"/>
  <c r="P7" i="3"/>
  <c r="G6" i="1" s="1"/>
  <c r="Q7" i="3" a="1"/>
  <c r="Q7" i="3" s="1"/>
  <c r="H6" i="1" s="1"/>
  <c r="Y7" i="3" a="1"/>
  <c r="Y7" i="3" s="1"/>
  <c r="P6" i="1" s="1"/>
  <c r="AG7" i="3" a="1"/>
  <c r="AG7" i="3" s="1"/>
  <c r="X6" i="1" s="1"/>
  <c r="R7" i="3" a="1"/>
  <c r="R7" i="3" s="1"/>
  <c r="I6" i="1" s="1"/>
  <c r="AH7" i="3" a="1"/>
  <c r="AH7" i="3" s="1"/>
  <c r="Y6" i="1" s="1"/>
  <c r="AA7" i="3" a="1"/>
  <c r="AA7" i="3" s="1"/>
  <c r="R6" i="1" s="1"/>
  <c r="Z7" i="3" a="1"/>
  <c r="Z7" i="3" s="1"/>
  <c r="Q6" i="1" s="1"/>
  <c r="S7" i="3" a="1"/>
  <c r="S7" i="3" s="1"/>
  <c r="J6" i="1" s="1"/>
  <c r="AI7" i="3" a="1"/>
  <c r="AI7" i="3" s="1"/>
  <c r="Z6" i="1" s="1"/>
  <c r="T7" i="3" a="1"/>
  <c r="T7" i="3" s="1"/>
  <c r="K6" i="1" s="1"/>
  <c r="AE7" i="3" a="1"/>
  <c r="AE7" i="3" s="1"/>
  <c r="V6" i="1" s="1"/>
  <c r="V7" i="3" a="1"/>
  <c r="V7" i="3" s="1"/>
  <c r="M6" i="1" s="1"/>
  <c r="W7" i="3" a="1"/>
  <c r="W7" i="3" s="1"/>
  <c r="N6" i="1" s="1"/>
  <c r="AB7" i="3" a="1"/>
  <c r="AB7" i="3" s="1"/>
  <c r="S6" i="1" s="1"/>
  <c r="U7" i="3" a="1"/>
  <c r="U7" i="3" s="1"/>
  <c r="L6" i="1" s="1"/>
  <c r="AF7" i="3" a="1"/>
  <c r="AF7" i="3" s="1"/>
  <c r="W6" i="1" s="1"/>
  <c r="AJ7" i="3" a="1"/>
  <c r="AJ7" i="3" s="1"/>
  <c r="AA6" i="1" s="1"/>
  <c r="X7" i="3" a="1"/>
  <c r="X7" i="3" s="1"/>
  <c r="O6" i="1" s="1"/>
  <c r="AD7" i="3" a="1"/>
  <c r="AD7" i="3" s="1"/>
  <c r="U6" i="1" s="1"/>
  <c r="AC7" i="3" a="1"/>
  <c r="AC7" i="3" s="1"/>
  <c r="T6" i="1" s="1"/>
  <c r="P11" i="3"/>
  <c r="G10" i="1" s="1"/>
  <c r="Q11" i="3" a="1"/>
  <c r="Q11" i="3" s="1"/>
  <c r="H10" i="1" s="1"/>
  <c r="Y11" i="3" a="1"/>
  <c r="Y11" i="3" s="1"/>
  <c r="P10" i="1" s="1"/>
  <c r="AG11" i="3" a="1"/>
  <c r="AG11" i="3" s="1"/>
  <c r="X10" i="1" s="1"/>
  <c r="R11" i="3" a="1"/>
  <c r="R11" i="3" s="1"/>
  <c r="I10" i="1" s="1"/>
  <c r="AH11" i="3" a="1"/>
  <c r="AH11" i="3" s="1"/>
  <c r="Y10" i="1" s="1"/>
  <c r="Z11" i="3" a="1"/>
  <c r="Z11" i="3" s="1"/>
  <c r="Q10" i="1" s="1"/>
  <c r="W11" i="3" a="1"/>
  <c r="W11" i="3" s="1"/>
  <c r="N10" i="1" s="1"/>
  <c r="AI11" i="3" a="1"/>
  <c r="AI11" i="3" s="1"/>
  <c r="Z10" i="1" s="1"/>
  <c r="AC11" i="3" a="1"/>
  <c r="AC11" i="3" s="1"/>
  <c r="T10" i="1" s="1"/>
  <c r="T11" i="3" a="1"/>
  <c r="T11" i="3" s="1"/>
  <c r="K10" i="1" s="1"/>
  <c r="X11" i="3" a="1"/>
  <c r="X11" i="3" s="1"/>
  <c r="O10" i="1" s="1"/>
  <c r="AJ11" i="3" a="1"/>
  <c r="AJ11" i="3" s="1"/>
  <c r="AA10" i="1" s="1"/>
  <c r="AA11" i="3" a="1"/>
  <c r="AA11" i="3" s="1"/>
  <c r="R10" i="1" s="1"/>
  <c r="S11" i="3" a="1"/>
  <c r="S11" i="3" s="1"/>
  <c r="J10" i="1" s="1"/>
  <c r="AB11" i="3" a="1"/>
  <c r="AB11" i="3" s="1"/>
  <c r="S10" i="1" s="1"/>
  <c r="AD11" i="3" a="1"/>
  <c r="AD11" i="3" s="1"/>
  <c r="U10" i="1" s="1"/>
  <c r="AE11" i="3" a="1"/>
  <c r="AE11" i="3" s="1"/>
  <c r="V10" i="1" s="1"/>
  <c r="U11" i="3" a="1"/>
  <c r="U11" i="3" s="1"/>
  <c r="L10" i="1" s="1"/>
  <c r="AF11" i="3" a="1"/>
  <c r="AF11" i="3" s="1"/>
  <c r="W10" i="1" s="1"/>
  <c r="V11" i="3" a="1"/>
  <c r="V11" i="3" s="1"/>
  <c r="M10" i="1" s="1"/>
  <c r="P12" i="3"/>
  <c r="G11" i="1" s="1"/>
  <c r="U12" i="3" a="1"/>
  <c r="U12" i="3" s="1"/>
  <c r="L11" i="1" s="1"/>
  <c r="AC12" i="3" a="1"/>
  <c r="AC12" i="3" s="1"/>
  <c r="T11" i="1" s="1"/>
  <c r="AD12" i="3" a="1"/>
  <c r="AD12" i="3" s="1"/>
  <c r="U11" i="1" s="1"/>
  <c r="V12" i="3" a="1"/>
  <c r="V12" i="3" s="1"/>
  <c r="M11" i="1" s="1"/>
  <c r="Y12" i="3" a="1"/>
  <c r="Y12" i="3" s="1"/>
  <c r="P11" i="1" s="1"/>
  <c r="AI12" i="3" a="1"/>
  <c r="AI12" i="3" s="1"/>
  <c r="Z11" i="1" s="1"/>
  <c r="Q12" i="3" a="1"/>
  <c r="Q12" i="3" s="1"/>
  <c r="H11" i="1" s="1"/>
  <c r="R12" i="3" a="1"/>
  <c r="R12" i="3" s="1"/>
  <c r="I11" i="1" s="1"/>
  <c r="AF12" i="3" a="1"/>
  <c r="AF12" i="3" s="1"/>
  <c r="W11" i="1" s="1"/>
  <c r="Z12" i="3" a="1"/>
  <c r="Z12" i="3" s="1"/>
  <c r="Q11" i="1" s="1"/>
  <c r="AJ12" i="3" a="1"/>
  <c r="AJ12" i="3" s="1"/>
  <c r="AA11" i="1" s="1"/>
  <c r="AA12" i="3" a="1"/>
  <c r="AA12" i="3" s="1"/>
  <c r="R11" i="1" s="1"/>
  <c r="AB12" i="3" a="1"/>
  <c r="AB12" i="3" s="1"/>
  <c r="S11" i="1" s="1"/>
  <c r="AE12" i="3" a="1"/>
  <c r="AE12" i="3" s="1"/>
  <c r="V11" i="1" s="1"/>
  <c r="T12" i="3" a="1"/>
  <c r="T12" i="3" s="1"/>
  <c r="K11" i="1" s="1"/>
  <c r="S12" i="3" a="1"/>
  <c r="S12" i="3" s="1"/>
  <c r="J11" i="1" s="1"/>
  <c r="AG12" i="3" a="1"/>
  <c r="AG12" i="3" s="1"/>
  <c r="X11" i="1" s="1"/>
  <c r="AH12" i="3" a="1"/>
  <c r="AH12" i="3" s="1"/>
  <c r="Y11" i="1" s="1"/>
  <c r="X12" i="3" a="1"/>
  <c r="X12" i="3" s="1"/>
  <c r="O11" i="1" s="1"/>
  <c r="W12" i="3" a="1"/>
  <c r="W12" i="3" s="1"/>
  <c r="N11" i="1" s="1"/>
</calcChain>
</file>

<file path=xl/sharedStrings.xml><?xml version="1.0" encoding="utf-8"?>
<sst xmlns="http://schemas.openxmlformats.org/spreadsheetml/2006/main" count="114" uniqueCount="111">
  <si>
    <t>称号ID</t>
    <phoneticPr fontId="1" type="noConversion"/>
  </si>
  <si>
    <t>激活ID</t>
    <phoneticPr fontId="1" type="noConversion"/>
  </si>
  <si>
    <t>称号名称</t>
    <phoneticPr fontId="1" type="noConversion"/>
  </si>
  <si>
    <t>称号ICON</t>
    <phoneticPr fontId="1" type="noConversion"/>
  </si>
  <si>
    <t>称号描述</t>
    <phoneticPr fontId="1" type="noConversion"/>
  </si>
  <si>
    <t>称号获取条件</t>
    <phoneticPr fontId="1" type="noConversion"/>
  </si>
  <si>
    <t>数量数</t>
    <phoneticPr fontId="1" type="noConversion"/>
  </si>
  <si>
    <t>属性1id</t>
    <phoneticPr fontId="1" type="noConversion"/>
  </si>
  <si>
    <t>属性1数值</t>
    <phoneticPr fontId="1" type="noConversion"/>
  </si>
  <si>
    <t>属性2id</t>
    <phoneticPr fontId="1" type="noConversion"/>
  </si>
  <si>
    <t>属性2数值</t>
    <phoneticPr fontId="1" type="noConversion"/>
  </si>
  <si>
    <t>属性3id</t>
    <phoneticPr fontId="1" type="noConversion"/>
  </si>
  <si>
    <t>属性3数值</t>
    <phoneticPr fontId="1" type="noConversion"/>
  </si>
  <si>
    <t>属性4id</t>
    <phoneticPr fontId="1" type="noConversion"/>
  </si>
  <si>
    <t>属性4数值</t>
    <phoneticPr fontId="1" type="noConversion"/>
  </si>
  <si>
    <t>属性5id</t>
    <phoneticPr fontId="1" type="noConversion"/>
  </si>
  <si>
    <t>属性5数值</t>
    <phoneticPr fontId="1" type="noConversion"/>
  </si>
  <si>
    <t>属性6id</t>
    <phoneticPr fontId="1" type="noConversion"/>
  </si>
  <si>
    <t>属性6数值</t>
    <phoneticPr fontId="1" type="noConversion"/>
  </si>
  <si>
    <t>属性7id</t>
    <phoneticPr fontId="1" type="noConversion"/>
  </si>
  <si>
    <t>属性7数值</t>
    <phoneticPr fontId="1" type="noConversion"/>
  </si>
  <si>
    <t>属性8id</t>
    <phoneticPr fontId="1" type="noConversion"/>
  </si>
  <si>
    <t>属性8数值</t>
    <phoneticPr fontId="1" type="noConversion"/>
  </si>
  <si>
    <t>属性9id</t>
    <phoneticPr fontId="1" type="noConversion"/>
  </si>
  <si>
    <t>属性9数值</t>
    <phoneticPr fontId="1" type="noConversion"/>
  </si>
  <si>
    <t>属性10id</t>
    <phoneticPr fontId="1" type="noConversion"/>
  </si>
  <si>
    <t>属性10数值</t>
    <phoneticPr fontId="1" type="noConversion"/>
  </si>
  <si>
    <t>预估等级</t>
    <phoneticPr fontId="1" type="noConversion"/>
  </si>
  <si>
    <t>档次</t>
    <phoneticPr fontId="1" type="noConversion"/>
  </si>
  <si>
    <t>属性点</t>
    <phoneticPr fontId="1" type="noConversion"/>
  </si>
  <si>
    <t>属性总预估</t>
    <phoneticPr fontId="1" type="noConversion"/>
  </si>
  <si>
    <t>系统名称</t>
    <phoneticPr fontId="1" type="noConversion"/>
  </si>
  <si>
    <t>属性ID9</t>
  </si>
  <si>
    <t>属性值9</t>
  </si>
  <si>
    <t>属性ID10</t>
  </si>
  <si>
    <t>属性值10</t>
  </si>
  <si>
    <t>属性数</t>
    <phoneticPr fontId="1" type="noConversion"/>
  </si>
  <si>
    <t>属性1id</t>
    <phoneticPr fontId="1" type="noConversion"/>
  </si>
  <si>
    <t>属性1数值</t>
    <phoneticPr fontId="1" type="noConversion"/>
  </si>
  <si>
    <t>属性2id</t>
    <phoneticPr fontId="1" type="noConversion"/>
  </si>
  <si>
    <t>属性2数值</t>
    <phoneticPr fontId="1" type="noConversion"/>
  </si>
  <si>
    <t>属性3id</t>
    <phoneticPr fontId="1" type="noConversion"/>
  </si>
  <si>
    <t>属性3数值</t>
    <phoneticPr fontId="1" type="noConversion"/>
  </si>
  <si>
    <t>属性4id</t>
    <phoneticPr fontId="1" type="noConversion"/>
  </si>
  <si>
    <t>属性4数值</t>
    <phoneticPr fontId="1" type="noConversion"/>
  </si>
  <si>
    <t>属性5id</t>
    <phoneticPr fontId="1" type="noConversion"/>
  </si>
  <si>
    <t>属性5数值</t>
    <phoneticPr fontId="1" type="noConversion"/>
  </si>
  <si>
    <t>属性6id</t>
    <phoneticPr fontId="1" type="noConversion"/>
  </si>
  <si>
    <t>属性6数值</t>
    <phoneticPr fontId="1" type="noConversion"/>
  </si>
  <si>
    <t>属性7id</t>
    <phoneticPr fontId="1" type="noConversion"/>
  </si>
  <si>
    <t>属性7数值</t>
    <phoneticPr fontId="1" type="noConversion"/>
  </si>
  <si>
    <t>属性8id</t>
    <phoneticPr fontId="1" type="noConversion"/>
  </si>
  <si>
    <t>属性8数值</t>
    <phoneticPr fontId="1" type="noConversion"/>
  </si>
  <si>
    <t>属性9id</t>
    <phoneticPr fontId="1" type="noConversion"/>
  </si>
  <si>
    <t>属性9数值</t>
    <phoneticPr fontId="1" type="noConversion"/>
  </si>
  <si>
    <t>属性10id</t>
    <phoneticPr fontId="1" type="noConversion"/>
  </si>
  <si>
    <t>属性10数值</t>
    <phoneticPr fontId="1" type="noConversion"/>
  </si>
  <si>
    <t>称号ID</t>
    <phoneticPr fontId="1" type="noConversion"/>
  </si>
  <si>
    <t>称号名称</t>
    <phoneticPr fontId="1" type="noConversion"/>
  </si>
  <si>
    <t>估值</t>
    <phoneticPr fontId="1" type="noConversion"/>
  </si>
  <si>
    <t>扛把子</t>
    <phoneticPr fontId="1" type="noConversion"/>
  </si>
  <si>
    <t>神之手</t>
    <phoneticPr fontId="1" type="noConversion"/>
  </si>
  <si>
    <t>富甲一方</t>
    <phoneticPr fontId="1" type="noConversion"/>
  </si>
  <si>
    <t>59023.png</t>
  </si>
  <si>
    <t>59022.png</t>
  </si>
  <si>
    <t>59024.png</t>
  </si>
  <si>
    <t>59021.png</t>
  </si>
  <si>
    <t>59003.png</t>
  </si>
  <si>
    <t>59005.png</t>
  </si>
  <si>
    <t>59025.png</t>
  </si>
  <si>
    <t>59010.png</t>
  </si>
  <si>
    <t>59011.png</t>
  </si>
  <si>
    <t>59012.png</t>
  </si>
  <si>
    <t>洪兴新星</t>
  </si>
  <si>
    <t>洪兴打仔</t>
  </si>
  <si>
    <t>二路元帅</t>
  </si>
  <si>
    <t>战无不胜</t>
  </si>
  <si>
    <t>猛龙过江</t>
  </si>
  <si>
    <t>壕气冲天</t>
  </si>
  <si>
    <t>富可敌国</t>
  </si>
  <si>
    <t>洪兴新星</t>
    <phoneticPr fontId="1" type="noConversion"/>
  </si>
  <si>
    <t>洪兴打仔</t>
    <phoneticPr fontId="1" type="noConversion"/>
  </si>
  <si>
    <t>二路元帅</t>
    <phoneticPr fontId="1" type="noConversion"/>
  </si>
  <si>
    <t>战无不胜</t>
    <phoneticPr fontId="1" type="noConversion"/>
  </si>
  <si>
    <t>猛龙过江</t>
    <phoneticPr fontId="1" type="noConversion"/>
  </si>
  <si>
    <t>壕气冲天</t>
    <phoneticPr fontId="1" type="noConversion"/>
  </si>
  <si>
    <t>富可敌国</t>
    <phoneticPr fontId="1" type="noConversion"/>
  </si>
  <si>
    <t>刚加入洪兴的新人</t>
    <phoneticPr fontId="1" type="noConversion"/>
  </si>
  <si>
    <t>完成主线任务&lt;双虎覆灭&gt;可以获得</t>
    <phoneticPr fontId="1" type="noConversion"/>
  </si>
  <si>
    <t>洪兴里勇于冲锋陷阵的打手</t>
    <phoneticPr fontId="1" type="noConversion"/>
  </si>
  <si>
    <t>完成主线任务&lt;一决雌雄&gt;可以获得</t>
    <phoneticPr fontId="1" type="noConversion"/>
  </si>
  <si>
    <t>洪兴里的地区话事人</t>
    <phoneticPr fontId="1" type="noConversion"/>
  </si>
  <si>
    <t>完成主线任务&lt;龙争虎斗&gt;可以获得</t>
    <phoneticPr fontId="1" type="noConversion"/>
  </si>
  <si>
    <t>洪兴里仅次于龙头的二当家</t>
    <phoneticPr fontId="1" type="noConversion"/>
  </si>
  <si>
    <t>完成主线任务&lt;讨伐&gt;可以获得</t>
    <phoneticPr fontId="1" type="noConversion"/>
  </si>
  <si>
    <t>地下擂台排名第一的冠军</t>
    <phoneticPr fontId="1" type="noConversion"/>
  </si>
  <si>
    <t>在地下擂台中排名第一可以获得</t>
    <phoneticPr fontId="1" type="noConversion"/>
  </si>
  <si>
    <t>江湖路通关杀手</t>
    <phoneticPr fontId="1" type="noConversion"/>
  </si>
  <si>
    <t>通关江湖路的最后一关，开宝箱后有概率获得</t>
    <phoneticPr fontId="1" type="noConversion"/>
  </si>
  <si>
    <t>受幸运之神庇护的人</t>
    <phoneticPr fontId="1" type="noConversion"/>
  </si>
  <si>
    <t>钻石十连抽中有概率获得</t>
    <phoneticPr fontId="1" type="noConversion"/>
  </si>
  <si>
    <t>您的财富富甲一方</t>
    <phoneticPr fontId="3" type="noConversion"/>
  </si>
  <si>
    <t>累计充值300元可以获得</t>
    <phoneticPr fontId="3" type="noConversion"/>
  </si>
  <si>
    <t>您的财富壕气冲天</t>
    <phoneticPr fontId="3" type="noConversion"/>
  </si>
  <si>
    <t>累计充值700元可以获得</t>
    <phoneticPr fontId="1" type="noConversion"/>
  </si>
  <si>
    <t>您的财富富可敌国</t>
    <phoneticPr fontId="3" type="noConversion"/>
  </si>
  <si>
    <t>累计充值1500元可以获得</t>
    <phoneticPr fontId="1" type="noConversion"/>
  </si>
  <si>
    <t>洪兴小财主</t>
    <phoneticPr fontId="1" type="noConversion"/>
  </si>
  <si>
    <t>首次充值可以获得</t>
    <phoneticPr fontId="1" type="noConversion"/>
  </si>
  <si>
    <t>您是财富小财主</t>
    <phoneticPr fontId="3" type="noConversion"/>
  </si>
  <si>
    <t>59030.png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</si>
</sst>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 "/>
    <numFmt numFmtId="177" formatCode="#,##0.00_ "/>
  </numFmts>
  <fonts count="4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176" fontId="0" fillId="0" borderId="0" xfId="0" applyNumberFormat="1" applyFill="1" applyBorder="1" applyAlignment="1">
      <alignment horizontal="center" vertical="center"/>
    </xf>
    <xf numFmtId="0" fontId="0" fillId="0" borderId="0" xfId="0" applyAlignment="1"/>
    <xf numFmtId="0" fontId="2" fillId="0" borderId="0" xfId="0" applyFont="1" applyAlignment="1"/>
    <xf numFmtId="0" fontId="0" fillId="0" borderId="2" xfId="0" applyBorder="1" applyAlignment="1"/>
    <xf numFmtId="0" fontId="0" fillId="0" borderId="2" xfId="0" applyBorder="1"/>
    <xf numFmtId="0" fontId="0" fillId="0" borderId="1" xfId="0" applyBorder="1"/>
    <xf numFmtId="0" fontId="0" fillId="0" borderId="1" xfId="0" applyBorder="1" applyAlignment="1"/>
    <xf numFmtId="0" fontId="0" fillId="2" borderId="2" xfId="0" applyFill="1" applyBorder="1"/>
    <xf numFmtId="177" fontId="0" fillId="0" borderId="2" xfId="0" applyNumberFormat="1" applyBorder="1" applyAlignment="1"/>
    <xf numFmtId="176" fontId="0" fillId="3" borderId="2" xfId="0" applyNumberFormat="1" applyFill="1" applyBorder="1" applyAlignment="1">
      <alignment horizontal="center" vertical="center"/>
    </xf>
    <xf numFmtId="0" fontId="0" fillId="3" borderId="2" xfId="0" applyFill="1" applyBorder="1" applyAlignment="1"/>
    <xf numFmtId="0" fontId="2" fillId="3" borderId="2" xfId="0" applyFont="1" applyFill="1" applyBorder="1" applyAlignment="1"/>
    <xf numFmtId="0" fontId="0" fillId="0" borderId="3" xfId="0" applyFill="1" applyBorder="1"/>
    <xf numFmtId="176" fontId="0" fillId="3" borderId="3" xfId="0" applyNumberFormat="1" applyFill="1" applyBorder="1" applyAlignment="1">
      <alignment horizontal="center" vertical="center"/>
    </xf>
    <xf numFmtId="0" fontId="2" fillId="3" borderId="3" xfId="0" applyFont="1" applyFill="1" applyBorder="1" applyAlignment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5968;&#20540;&#26694;&#26550;&#25512;&#3163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、规划配置"/>
      <sheetName val="各种公式"/>
      <sheetName val="1、战斗节奏表"/>
      <sheetName val="2、属性成长"/>
      <sheetName val="3、总属性战斗节奏拟合"/>
      <sheetName val="4、人物躶体&amp;总属性表"/>
      <sheetName val="人物总属性查询表"/>
      <sheetName val="5、系统属性规划"/>
      <sheetName val="属性分配验证"/>
      <sheetName val="装备规划"/>
      <sheetName val="时装规划"/>
      <sheetName val="马仔规划"/>
      <sheetName val="称号规划"/>
      <sheetName val="翅膀规划"/>
      <sheetName val="龙魂规划"/>
      <sheetName val="命格规划"/>
      <sheetName val="祥云"/>
      <sheetName val="属性战斗节奏评估"/>
    </sheetNames>
    <definedNames>
      <definedName name="属性定义" refersTo="='0、规划配置'!$B$2:$C$24"/>
      <definedName name="属性权重数组" refersTo="='5、系统属性规划'!$B$45:$O$53"/>
      <definedName name="总属性参考数组" refersTo="='人物总属性查询表'!$B$4:$O$103"/>
    </definedNames>
    <sheetDataSet>
      <sheetData sheetId="0">
        <row r="1">
          <cell r="B1" t="str">
            <v>属性类型</v>
          </cell>
        </row>
        <row r="2">
          <cell r="B2" t="str">
            <v>无属性</v>
          </cell>
          <cell r="C2">
            <v>0</v>
          </cell>
        </row>
        <row r="3">
          <cell r="B3" t="str">
            <v>生命</v>
          </cell>
          <cell r="C3">
            <v>1</v>
          </cell>
        </row>
        <row r="4">
          <cell r="B4" t="str">
            <v>攻击</v>
          </cell>
          <cell r="C4">
            <v>2</v>
          </cell>
        </row>
        <row r="5">
          <cell r="B5" t="str">
            <v>防御</v>
          </cell>
          <cell r="C5">
            <v>3</v>
          </cell>
        </row>
        <row r="6">
          <cell r="B6" t="str">
            <v>无属性</v>
          </cell>
          <cell r="C6">
            <v>4</v>
          </cell>
        </row>
        <row r="7">
          <cell r="B7" t="str">
            <v>无属性</v>
          </cell>
          <cell r="C7">
            <v>5</v>
          </cell>
        </row>
        <row r="8">
          <cell r="B8" t="str">
            <v>命中值</v>
          </cell>
          <cell r="C8">
            <v>6</v>
          </cell>
          <cell r="G8" t="str">
            <v>非R</v>
          </cell>
          <cell r="H8" t="str">
            <v>小R</v>
          </cell>
          <cell r="I8" t="str">
            <v>中R</v>
          </cell>
          <cell r="J8" t="str">
            <v>大R</v>
          </cell>
          <cell r="K8" t="str">
            <v>超R</v>
          </cell>
        </row>
        <row r="9">
          <cell r="B9" t="str">
            <v>闪避值</v>
          </cell>
          <cell r="C9">
            <v>7</v>
          </cell>
          <cell r="F9" t="str">
            <v>属性权重</v>
          </cell>
          <cell r="G9">
            <v>1.2</v>
          </cell>
          <cell r="H9">
            <v>2</v>
          </cell>
          <cell r="I9">
            <v>2.5</v>
          </cell>
          <cell r="J9">
            <v>2.7</v>
          </cell>
          <cell r="K9">
            <v>3</v>
          </cell>
        </row>
        <row r="10">
          <cell r="B10" t="str">
            <v>暴击值</v>
          </cell>
          <cell r="C10">
            <v>8</v>
          </cell>
          <cell r="F10" t="str">
            <v>属性份额</v>
          </cell>
          <cell r="G10">
            <v>0.39999999999999997</v>
          </cell>
          <cell r="H10">
            <v>0.66666666666666663</v>
          </cell>
          <cell r="I10">
            <v>0.83333333333333337</v>
          </cell>
          <cell r="J10">
            <v>0.9</v>
          </cell>
          <cell r="K10">
            <v>1</v>
          </cell>
        </row>
        <row r="11">
          <cell r="B11" t="str">
            <v>韧性值</v>
          </cell>
          <cell r="C11">
            <v>9</v>
          </cell>
        </row>
        <row r="12">
          <cell r="B12" t="str">
            <v>暴击倍数</v>
          </cell>
          <cell r="C12">
            <v>10</v>
          </cell>
        </row>
        <row r="13">
          <cell r="B13" t="str">
            <v>无属性</v>
          </cell>
          <cell r="C13">
            <v>11</v>
          </cell>
        </row>
        <row r="14">
          <cell r="B14" t="str">
            <v>生命加成</v>
          </cell>
          <cell r="C14">
            <v>21</v>
          </cell>
        </row>
        <row r="15">
          <cell r="B15" t="str">
            <v>攻击加成</v>
          </cell>
          <cell r="C15">
            <v>22</v>
          </cell>
        </row>
        <row r="16">
          <cell r="B16" t="str">
            <v>防御加成</v>
          </cell>
          <cell r="C16">
            <v>23</v>
          </cell>
        </row>
        <row r="17">
          <cell r="B17" t="str">
            <v>伤害加深</v>
          </cell>
          <cell r="C17">
            <v>24</v>
          </cell>
        </row>
        <row r="18">
          <cell r="B18" t="str">
            <v>伤害减免</v>
          </cell>
          <cell r="C18">
            <v>25</v>
          </cell>
        </row>
        <row r="27">
          <cell r="B27" t="str">
            <v>职业名称</v>
          </cell>
          <cell r="C27" t="str">
            <v>职业ID</v>
          </cell>
        </row>
        <row r="28">
          <cell r="B28" t="str">
            <v>全职业</v>
          </cell>
          <cell r="C28">
            <v>0</v>
          </cell>
        </row>
        <row r="29">
          <cell r="B29" t="str">
            <v>剑手</v>
          </cell>
          <cell r="C29">
            <v>1</v>
          </cell>
        </row>
        <row r="30">
          <cell r="B30" t="str">
            <v>拳师</v>
          </cell>
          <cell r="C30">
            <v>2</v>
          </cell>
        </row>
        <row r="31">
          <cell r="B31" t="str">
            <v>枪手</v>
          </cell>
          <cell r="C31">
            <v>3</v>
          </cell>
        </row>
        <row r="32">
          <cell r="B32" t="str">
            <v>牧师</v>
          </cell>
          <cell r="C32">
            <v>4</v>
          </cell>
        </row>
      </sheetData>
      <sheetData sheetId="1">
        <row r="3">
          <cell r="M3">
            <v>0.3</v>
          </cell>
        </row>
        <row r="4">
          <cell r="M4">
            <v>1</v>
          </cell>
        </row>
        <row r="5">
          <cell r="M5">
            <v>0.3</v>
          </cell>
        </row>
        <row r="6">
          <cell r="M6">
            <v>0.3</v>
          </cell>
        </row>
        <row r="8">
          <cell r="M8">
            <v>0.1</v>
          </cell>
        </row>
        <row r="9">
          <cell r="M9">
            <v>0.2</v>
          </cell>
        </row>
        <row r="10">
          <cell r="M10">
            <v>0.3</v>
          </cell>
        </row>
        <row r="11">
          <cell r="F11">
            <v>50000</v>
          </cell>
          <cell r="G11">
            <v>50000</v>
          </cell>
          <cell r="H11">
            <v>50000</v>
          </cell>
          <cell r="I11">
            <v>50000</v>
          </cell>
          <cell r="J11">
            <v>50000</v>
          </cell>
          <cell r="K11">
            <v>20000</v>
          </cell>
          <cell r="L11">
            <v>20000</v>
          </cell>
          <cell r="M11">
            <v>10000</v>
          </cell>
          <cell r="N11">
            <v>20000</v>
          </cell>
          <cell r="O11">
            <v>20000</v>
          </cell>
        </row>
        <row r="12">
          <cell r="C12" t="str">
            <v>生命</v>
          </cell>
          <cell r="D12" t="str">
            <v>攻击</v>
          </cell>
          <cell r="E12" t="str">
            <v>防御</v>
          </cell>
          <cell r="F12" t="str">
            <v>闪避值</v>
          </cell>
          <cell r="G12" t="str">
            <v>命中值</v>
          </cell>
          <cell r="H12" t="str">
            <v>暴击值</v>
          </cell>
          <cell r="I12" t="str">
            <v>暴击倍数</v>
          </cell>
          <cell r="J12" t="str">
            <v>韧性值</v>
          </cell>
          <cell r="K12" t="str">
            <v>伤害减免</v>
          </cell>
          <cell r="L12" t="str">
            <v>伤害加深</v>
          </cell>
          <cell r="M12" t="str">
            <v>生命加成</v>
          </cell>
          <cell r="N12" t="str">
            <v>攻击加成</v>
          </cell>
          <cell r="O12" t="str">
            <v>防御加成</v>
          </cell>
        </row>
        <row r="13">
          <cell r="C13">
            <v>0.04</v>
          </cell>
          <cell r="D13">
            <v>1</v>
          </cell>
          <cell r="E13">
            <v>1</v>
          </cell>
          <cell r="F13">
            <v>0.34</v>
          </cell>
          <cell r="G13">
            <v>0.34</v>
          </cell>
          <cell r="H13">
            <v>0.18</v>
          </cell>
          <cell r="I13">
            <v>0.12</v>
          </cell>
          <cell r="J13">
            <v>0.18</v>
          </cell>
          <cell r="K13">
            <v>0.3</v>
          </cell>
          <cell r="L13">
            <v>0.3</v>
          </cell>
          <cell r="M13">
            <v>0.4</v>
          </cell>
          <cell r="N13">
            <v>0.36</v>
          </cell>
          <cell r="O13">
            <v>0.24</v>
          </cell>
        </row>
      </sheetData>
      <sheetData sheetId="2" refreshError="1"/>
      <sheetData sheetId="3">
        <row r="6">
          <cell r="Q6">
            <v>1</v>
          </cell>
        </row>
      </sheetData>
      <sheetData sheetId="4">
        <row r="5">
          <cell r="B5">
            <v>1.3774999999999999</v>
          </cell>
          <cell r="C5">
            <v>1</v>
          </cell>
          <cell r="D5">
            <v>495.65999999999997</v>
          </cell>
          <cell r="E5">
            <v>118.80000000000001</v>
          </cell>
          <cell r="F5">
            <v>52.800000000000004</v>
          </cell>
          <cell r="G5">
            <v>66</v>
          </cell>
          <cell r="H5">
            <v>7.51</v>
          </cell>
        </row>
        <row r="6">
          <cell r="B6">
            <v>1.5049999999999999</v>
          </cell>
          <cell r="C6">
            <v>2</v>
          </cell>
          <cell r="D6">
            <v>577.43999999999994</v>
          </cell>
          <cell r="E6">
            <v>129.6</v>
          </cell>
          <cell r="F6">
            <v>57.6</v>
          </cell>
          <cell r="G6">
            <v>72</v>
          </cell>
          <cell r="H6">
            <v>8.02</v>
          </cell>
        </row>
        <row r="7">
          <cell r="B7">
            <v>1.6325000000000001</v>
          </cell>
          <cell r="C7">
            <v>3</v>
          </cell>
          <cell r="D7">
            <v>665.34000000000015</v>
          </cell>
          <cell r="E7">
            <v>140.4</v>
          </cell>
          <cell r="F7">
            <v>62.400000000000006</v>
          </cell>
          <cell r="G7">
            <v>78</v>
          </cell>
          <cell r="H7">
            <v>8.5300000000000011</v>
          </cell>
        </row>
        <row r="8">
          <cell r="B8">
            <v>1.76</v>
          </cell>
          <cell r="C8">
            <v>4</v>
          </cell>
          <cell r="D8">
            <v>759.3599999999999</v>
          </cell>
          <cell r="E8">
            <v>151.19999999999999</v>
          </cell>
          <cell r="F8">
            <v>67.2</v>
          </cell>
          <cell r="G8">
            <v>84</v>
          </cell>
          <cell r="H8">
            <v>9.0399999999999991</v>
          </cell>
        </row>
        <row r="9">
          <cell r="B9">
            <v>1.8875</v>
          </cell>
          <cell r="C9">
            <v>5</v>
          </cell>
          <cell r="D9">
            <v>859.50000000000011</v>
          </cell>
          <cell r="E9">
            <v>162</v>
          </cell>
          <cell r="F9">
            <v>72</v>
          </cell>
          <cell r="G9">
            <v>90</v>
          </cell>
          <cell r="H9">
            <v>9.5500000000000007</v>
          </cell>
        </row>
        <row r="10">
          <cell r="B10">
            <v>2.0150000000000001</v>
          </cell>
          <cell r="C10">
            <v>6</v>
          </cell>
          <cell r="D10">
            <v>1490.8920000000001</v>
          </cell>
          <cell r="E10">
            <v>266.76</v>
          </cell>
          <cell r="F10">
            <v>118.56</v>
          </cell>
          <cell r="G10">
            <v>148.19999999999999</v>
          </cell>
          <cell r="H10">
            <v>10.06</v>
          </cell>
        </row>
        <row r="11">
          <cell r="B11">
            <v>2.1425000000000001</v>
          </cell>
          <cell r="C11">
            <v>7</v>
          </cell>
          <cell r="D11">
            <v>1795.7769374999998</v>
          </cell>
          <cell r="E11">
            <v>305.80874999999997</v>
          </cell>
          <cell r="F11">
            <v>135.91499999999999</v>
          </cell>
          <cell r="G11">
            <v>169.89374999999998</v>
          </cell>
          <cell r="H11">
            <v>10.57</v>
          </cell>
        </row>
        <row r="12">
          <cell r="B12">
            <v>2.27</v>
          </cell>
          <cell r="C12">
            <v>8</v>
          </cell>
          <cell r="D12">
            <v>2138.9940000000001</v>
          </cell>
          <cell r="E12">
            <v>347.49</v>
          </cell>
          <cell r="F12">
            <v>154.44000000000003</v>
          </cell>
          <cell r="G12">
            <v>193.05</v>
          </cell>
          <cell r="H12">
            <v>11.08</v>
          </cell>
        </row>
        <row r="13">
          <cell r="B13">
            <v>2.3975</v>
          </cell>
          <cell r="C13">
            <v>9</v>
          </cell>
          <cell r="D13">
            <v>2810.0112472826086</v>
          </cell>
          <cell r="E13">
            <v>436.41244565217391</v>
          </cell>
          <cell r="F13">
            <v>193.96108695652174</v>
          </cell>
          <cell r="G13">
            <v>242.45135869565217</v>
          </cell>
          <cell r="H13">
            <v>11.59</v>
          </cell>
        </row>
        <row r="14">
          <cell r="B14">
            <v>2.5249999999999999</v>
          </cell>
          <cell r="C14">
            <v>10</v>
          </cell>
          <cell r="D14">
            <v>3580.6793478260875</v>
          </cell>
          <cell r="E14">
            <v>532.66304347826099</v>
          </cell>
          <cell r="F14">
            <v>236.73913043478265</v>
          </cell>
          <cell r="G14">
            <v>295.92391304347831</v>
          </cell>
          <cell r="H14">
            <v>12.1</v>
          </cell>
        </row>
        <row r="15">
          <cell r="B15">
            <v>2.6524999999999999</v>
          </cell>
          <cell r="C15">
            <v>11</v>
          </cell>
          <cell r="D15">
            <v>4457.2272309782602</v>
          </cell>
          <cell r="E15">
            <v>636.24179347826089</v>
          </cell>
          <cell r="F15">
            <v>282.77413043478259</v>
          </cell>
          <cell r="G15">
            <v>353.46766304347824</v>
          </cell>
          <cell r="H15">
            <v>12.61</v>
          </cell>
        </row>
        <row r="16">
          <cell r="B16">
            <v>2.7800000000000002</v>
          </cell>
          <cell r="C16">
            <v>12</v>
          </cell>
          <cell r="D16">
            <v>5445.8838260869561</v>
          </cell>
          <cell r="E16">
            <v>747.14869565217396</v>
          </cell>
          <cell r="F16">
            <v>332.06608695652176</v>
          </cell>
          <cell r="G16">
            <v>415.08260869565214</v>
          </cell>
          <cell r="H16">
            <v>13.120000000000001</v>
          </cell>
        </row>
        <row r="17">
          <cell r="B17">
            <v>2.9074999999999998</v>
          </cell>
          <cell r="C17">
            <v>13</v>
          </cell>
          <cell r="D17">
            <v>6552.878062499999</v>
          </cell>
          <cell r="E17">
            <v>865.38374999999996</v>
          </cell>
          <cell r="F17">
            <v>384.61500000000001</v>
          </cell>
          <cell r="G17">
            <v>480.76874999999995</v>
          </cell>
          <cell r="H17">
            <v>13.629999999999999</v>
          </cell>
        </row>
        <row r="18">
          <cell r="B18">
            <v>3.0350000000000001</v>
          </cell>
          <cell r="C18">
            <v>14</v>
          </cell>
          <cell r="D18">
            <v>7784.4388695652187</v>
          </cell>
          <cell r="E18">
            <v>990.94695652173925</v>
          </cell>
          <cell r="F18">
            <v>440.42086956521746</v>
          </cell>
          <cell r="G18">
            <v>550.52608695652179</v>
          </cell>
          <cell r="H18">
            <v>14.14</v>
          </cell>
        </row>
        <row r="19">
          <cell r="B19">
            <v>3.1625000000000001</v>
          </cell>
          <cell r="C19">
            <v>15</v>
          </cell>
          <cell r="D19">
            <v>9146.7951766304341</v>
          </cell>
          <cell r="E19">
            <v>1123.8383152173913</v>
          </cell>
          <cell r="F19">
            <v>499.48369565217394</v>
          </cell>
          <cell r="G19">
            <v>624.35461956521738</v>
          </cell>
          <cell r="H19">
            <v>14.65</v>
          </cell>
        </row>
        <row r="20">
          <cell r="B20">
            <v>3.29</v>
          </cell>
          <cell r="C20">
            <v>16</v>
          </cell>
          <cell r="D20">
            <v>10646.17591304348</v>
          </cell>
          <cell r="E20">
            <v>1264.0578260869565</v>
          </cell>
          <cell r="F20">
            <v>561.80347826086961</v>
          </cell>
          <cell r="G20">
            <v>702.25434782608704</v>
          </cell>
          <cell r="H20">
            <v>15.16</v>
          </cell>
        </row>
        <row r="21">
          <cell r="B21">
            <v>3.4175</v>
          </cell>
          <cell r="C21">
            <v>17</v>
          </cell>
          <cell r="D21">
            <v>12288.810008152173</v>
          </cell>
          <cell r="E21">
            <v>1411.6054891304348</v>
          </cell>
          <cell r="F21">
            <v>627.38021739130443</v>
          </cell>
          <cell r="G21">
            <v>784.22527173913045</v>
          </cell>
          <cell r="H21">
            <v>15.67</v>
          </cell>
        </row>
        <row r="22">
          <cell r="B22">
            <v>3.5449999999999999</v>
          </cell>
          <cell r="C22">
            <v>18</v>
          </cell>
          <cell r="D22">
            <v>14080.926391304352</v>
          </cell>
          <cell r="E22">
            <v>1566.4813043478266</v>
          </cell>
          <cell r="F22">
            <v>696.21391304347856</v>
          </cell>
          <cell r="G22">
            <v>870.26739130434817</v>
          </cell>
          <cell r="H22">
            <v>16.18</v>
          </cell>
        </row>
        <row r="23">
          <cell r="B23">
            <v>3.6724999999999999</v>
          </cell>
          <cell r="C23">
            <v>19</v>
          </cell>
          <cell r="D23">
            <v>16028.753991847825</v>
          </cell>
          <cell r="E23">
            <v>1728.6852717391307</v>
          </cell>
          <cell r="F23">
            <v>768.30456521739143</v>
          </cell>
          <cell r="G23">
            <v>960.38070652173917</v>
          </cell>
          <cell r="H23">
            <v>16.689999999999998</v>
          </cell>
        </row>
        <row r="24">
          <cell r="B24">
            <v>3.8</v>
          </cell>
          <cell r="C24">
            <v>20</v>
          </cell>
          <cell r="D24">
            <v>18138.521739130436</v>
          </cell>
          <cell r="E24">
            <v>1898.217391304348</v>
          </cell>
          <cell r="F24">
            <v>843.65217391304361</v>
          </cell>
          <cell r="G24">
            <v>1054.5652173913045</v>
          </cell>
          <cell r="H24">
            <v>17.2</v>
          </cell>
        </row>
        <row r="25">
          <cell r="B25">
            <v>3.9275000000000002</v>
          </cell>
          <cell r="C25">
            <v>21</v>
          </cell>
          <cell r="D25">
            <v>20416.458562500007</v>
          </cell>
          <cell r="E25">
            <v>2075.0776630434789</v>
          </cell>
          <cell r="F25">
            <v>922.25673913043511</v>
          </cell>
          <cell r="G25">
            <v>1152.8209239130438</v>
          </cell>
          <cell r="H25">
            <v>17.71</v>
          </cell>
        </row>
        <row r="26">
          <cell r="B26">
            <v>4.0549999999999997</v>
          </cell>
          <cell r="C26">
            <v>22</v>
          </cell>
          <cell r="D26">
            <v>22868.793391304349</v>
          </cell>
          <cell r="E26">
            <v>2259.266086956522</v>
          </cell>
          <cell r="F26">
            <v>1004.1182608695653</v>
          </cell>
          <cell r="G26">
            <v>1255.1478260869567</v>
          </cell>
          <cell r="H26">
            <v>18.22</v>
          </cell>
        </row>
        <row r="27">
          <cell r="B27">
            <v>4.1825000000000001</v>
          </cell>
          <cell r="C27">
            <v>23</v>
          </cell>
          <cell r="D27">
            <v>25977.209001045157</v>
          </cell>
          <cell r="E27">
            <v>2496.4749707357864</v>
          </cell>
          <cell r="F27">
            <v>1109.5444314381273</v>
          </cell>
          <cell r="G27">
            <v>1386.9305392976592</v>
          </cell>
          <cell r="H27">
            <v>18.73</v>
          </cell>
        </row>
        <row r="28">
          <cell r="B28">
            <v>4.3100000000000005</v>
          </cell>
          <cell r="C28">
            <v>24</v>
          </cell>
          <cell r="D28">
            <v>29327.9727826087</v>
          </cell>
          <cell r="E28">
            <v>2743.781237458194</v>
          </cell>
          <cell r="F28">
            <v>1219.4583277591973</v>
          </cell>
          <cell r="G28">
            <v>1524.3229096989967</v>
          </cell>
          <cell r="H28">
            <v>19.240000000000002</v>
          </cell>
        </row>
        <row r="29">
          <cell r="B29">
            <v>4.4375</v>
          </cell>
          <cell r="C29">
            <v>25</v>
          </cell>
          <cell r="D29">
            <v>32929.667511496664</v>
          </cell>
          <cell r="E29">
            <v>3001.1848871237471</v>
          </cell>
          <cell r="F29">
            <v>1333.8599498327765</v>
          </cell>
          <cell r="G29">
            <v>1667.3249372909704</v>
          </cell>
          <cell r="H29">
            <v>19.75</v>
          </cell>
        </row>
        <row r="30">
          <cell r="B30">
            <v>4.5649999999999995</v>
          </cell>
          <cell r="C30">
            <v>26</v>
          </cell>
          <cell r="D30">
            <v>37257.666363210708</v>
          </cell>
          <cell r="E30">
            <v>3310.1579197324422</v>
          </cell>
          <cell r="F30">
            <v>1471.1812976588633</v>
          </cell>
          <cell r="G30">
            <v>1838.9766220735789</v>
          </cell>
          <cell r="H30">
            <v>20.259999999999998</v>
          </cell>
        </row>
        <row r="31">
          <cell r="B31">
            <v>4.6924999999999999</v>
          </cell>
          <cell r="C31">
            <v>27</v>
          </cell>
          <cell r="D31">
            <v>41903.848113252519</v>
          </cell>
          <cell r="E31">
            <v>3631.5323352842815</v>
          </cell>
          <cell r="F31">
            <v>1614.0143712374586</v>
          </cell>
          <cell r="G31">
            <v>2017.5179640468232</v>
          </cell>
          <cell r="H31">
            <v>20.77</v>
          </cell>
        </row>
        <row r="32">
          <cell r="B32">
            <v>4.82</v>
          </cell>
          <cell r="C32">
            <v>28</v>
          </cell>
          <cell r="D32">
            <v>46878.753937123758</v>
          </cell>
          <cell r="E32">
            <v>3965.3081337792655</v>
          </cell>
          <cell r="F32">
            <v>1762.3591705685624</v>
          </cell>
          <cell r="G32">
            <v>2202.9489632107029</v>
          </cell>
          <cell r="H32">
            <v>21.28</v>
          </cell>
        </row>
        <row r="33">
          <cell r="B33">
            <v>4.9474999999999998</v>
          </cell>
          <cell r="C33">
            <v>29</v>
          </cell>
          <cell r="D33">
            <v>52192.925010326107</v>
          </cell>
          <cell r="E33">
            <v>4311.4853152173928</v>
          </cell>
          <cell r="F33">
            <v>1916.2156956521749</v>
          </cell>
          <cell r="G33">
            <v>2395.2696195652184</v>
          </cell>
          <cell r="H33">
            <v>21.79</v>
          </cell>
        </row>
        <row r="34">
          <cell r="B34">
            <v>5.0750000000000002</v>
          </cell>
          <cell r="C34">
            <v>30</v>
          </cell>
          <cell r="D34">
            <v>58580.113789715739</v>
          </cell>
          <cell r="E34">
            <v>4728.4396780936477</v>
          </cell>
          <cell r="F34">
            <v>2101.5287458193989</v>
          </cell>
          <cell r="G34">
            <v>2626.9109322742484</v>
          </cell>
          <cell r="H34">
            <v>22.3</v>
          </cell>
        </row>
        <row r="35">
          <cell r="B35">
            <v>5.2025000000000006</v>
          </cell>
          <cell r="C35">
            <v>31</v>
          </cell>
          <cell r="D35">
            <v>65439.306328846171</v>
          </cell>
          <cell r="E35">
            <v>5163.9961153846161</v>
          </cell>
          <cell r="F35">
            <v>2295.1093846153849</v>
          </cell>
          <cell r="G35">
            <v>2868.8867307692312</v>
          </cell>
          <cell r="H35">
            <v>22.810000000000002</v>
          </cell>
        </row>
        <row r="36">
          <cell r="B36">
            <v>5.33</v>
          </cell>
          <cell r="C36">
            <v>32</v>
          </cell>
          <cell r="D36">
            <v>72812.7775214047</v>
          </cell>
          <cell r="E36">
            <v>5620.1972357859549</v>
          </cell>
          <cell r="F36">
            <v>2497.8654381270912</v>
          </cell>
          <cell r="G36">
            <v>3122.3317976588637</v>
          </cell>
          <cell r="H36">
            <v>23.32</v>
          </cell>
        </row>
        <row r="37">
          <cell r="B37">
            <v>5.4575000000000005</v>
          </cell>
          <cell r="C37">
            <v>33</v>
          </cell>
          <cell r="D37">
            <v>80692.898434991686</v>
          </cell>
          <cell r="E37">
            <v>6095.1413001672272</v>
          </cell>
          <cell r="F37">
            <v>2708.9516889632123</v>
          </cell>
          <cell r="G37">
            <v>3386.1896112040149</v>
          </cell>
          <cell r="H37">
            <v>23.830000000000002</v>
          </cell>
        </row>
        <row r="38">
          <cell r="B38">
            <v>5.585</v>
          </cell>
          <cell r="C38">
            <v>34</v>
          </cell>
          <cell r="D38">
            <v>89095.600571989969</v>
          </cell>
          <cell r="E38">
            <v>6588.8283085284293</v>
          </cell>
          <cell r="F38">
            <v>2928.3681371237462</v>
          </cell>
          <cell r="G38">
            <v>3660.4601714046826</v>
          </cell>
          <cell r="H38">
            <v>24.34</v>
          </cell>
        </row>
        <row r="39">
          <cell r="B39">
            <v>5.7125000000000004</v>
          </cell>
          <cell r="C39">
            <v>35</v>
          </cell>
          <cell r="D39">
            <v>98036.81543478262</v>
          </cell>
          <cell r="E39">
            <v>7101.2582608695666</v>
          </cell>
          <cell r="F39">
            <v>3156.1147826086963</v>
          </cell>
          <cell r="G39">
            <v>3945.1434782608699</v>
          </cell>
          <cell r="H39">
            <v>24.85</v>
          </cell>
        </row>
        <row r="40">
          <cell r="B40">
            <v>5.84</v>
          </cell>
          <cell r="C40">
            <v>36</v>
          </cell>
          <cell r="D40">
            <v>107532.47452575252</v>
          </cell>
          <cell r="E40">
            <v>7632.4311571906364</v>
          </cell>
          <cell r="F40">
            <v>3392.191625418061</v>
          </cell>
          <cell r="G40">
            <v>4240.2395317725759</v>
          </cell>
          <cell r="H40">
            <v>25.36</v>
          </cell>
        </row>
        <row r="41">
          <cell r="B41">
            <v>5.9675000000000002</v>
          </cell>
          <cell r="C41">
            <v>37</v>
          </cell>
          <cell r="D41">
            <v>117598.50934728263</v>
          </cell>
          <cell r="E41">
            <v>8182.3469974916397</v>
          </cell>
          <cell r="F41">
            <v>3636.59866555184</v>
          </cell>
          <cell r="G41">
            <v>4545.7483319397998</v>
          </cell>
          <cell r="H41">
            <v>25.87</v>
          </cell>
        </row>
        <row r="42">
          <cell r="B42">
            <v>6.0949999999999998</v>
          </cell>
          <cell r="C42">
            <v>38</v>
          </cell>
          <cell r="D42">
            <v>128250.85140175585</v>
          </cell>
          <cell r="E42">
            <v>8751.0057817725756</v>
          </cell>
          <cell r="F42">
            <v>3889.3359030100337</v>
          </cell>
          <cell r="G42">
            <v>4861.6698787625419</v>
          </cell>
          <cell r="H42">
            <v>26.38</v>
          </cell>
        </row>
        <row r="43">
          <cell r="B43">
            <v>6.2225000000000001</v>
          </cell>
          <cell r="C43">
            <v>39</v>
          </cell>
          <cell r="D43">
            <v>139505.43219155521</v>
          </cell>
          <cell r="E43">
            <v>9338.4075100334449</v>
          </cell>
          <cell r="F43">
            <v>4150.4033377926426</v>
          </cell>
          <cell r="G43">
            <v>5188.0041722408032</v>
          </cell>
          <cell r="H43">
            <v>26.89</v>
          </cell>
        </row>
        <row r="44">
          <cell r="B44">
            <v>6.35</v>
          </cell>
          <cell r="C44">
            <v>40</v>
          </cell>
          <cell r="D44">
            <v>152741.95063545156</v>
          </cell>
          <cell r="E44">
            <v>10034.14274247492</v>
          </cell>
          <cell r="F44">
            <v>4459.6189966555203</v>
          </cell>
          <cell r="G44">
            <v>5574.5237458194006</v>
          </cell>
          <cell r="H44">
            <v>27.4</v>
          </cell>
        </row>
        <row r="45">
          <cell r="B45">
            <v>6.4775</v>
          </cell>
          <cell r="C45">
            <v>41</v>
          </cell>
          <cell r="D45">
            <v>166760.21205660541</v>
          </cell>
          <cell r="E45">
            <v>10754.868566889636</v>
          </cell>
          <cell r="F45">
            <v>4779.9415852842822</v>
          </cell>
          <cell r="G45">
            <v>5974.9269816053529</v>
          </cell>
          <cell r="H45">
            <v>27.91</v>
          </cell>
        </row>
        <row r="46">
          <cell r="B46">
            <v>6.6050000000000004</v>
          </cell>
          <cell r="C46">
            <v>42</v>
          </cell>
          <cell r="D46">
            <v>181581.45845819404</v>
          </cell>
          <cell r="E46">
            <v>11500.584983277597</v>
          </cell>
          <cell r="F46">
            <v>5111.3711036789318</v>
          </cell>
          <cell r="G46">
            <v>6389.2138795986639</v>
          </cell>
          <cell r="H46">
            <v>28.42</v>
          </cell>
        </row>
        <row r="47">
          <cell r="B47">
            <v>6.7324999999999999</v>
          </cell>
          <cell r="C47">
            <v>43</v>
          </cell>
          <cell r="D47">
            <v>197226.93184339468</v>
          </cell>
          <cell r="E47">
            <v>12271.291991638798</v>
          </cell>
          <cell r="F47">
            <v>5453.9075518394666</v>
          </cell>
          <cell r="G47">
            <v>6817.3844397993325</v>
          </cell>
          <cell r="H47">
            <v>28.93</v>
          </cell>
        </row>
        <row r="48">
          <cell r="B48">
            <v>6.86</v>
          </cell>
          <cell r="C48">
            <v>44</v>
          </cell>
          <cell r="D48">
            <v>213717.87421538465</v>
          </cell>
          <cell r="E48">
            <v>13066.989591973246</v>
          </cell>
          <cell r="F48">
            <v>5807.5509297658873</v>
          </cell>
          <cell r="G48">
            <v>7259.4386622073589</v>
          </cell>
          <cell r="H48">
            <v>29.44</v>
          </cell>
        </row>
        <row r="49">
          <cell r="B49">
            <v>6.9874999999999998</v>
          </cell>
          <cell r="C49">
            <v>45</v>
          </cell>
          <cell r="D49">
            <v>231075.52757734121</v>
          </cell>
          <cell r="E49">
            <v>13887.677784280941</v>
          </cell>
          <cell r="F49">
            <v>6172.3012374581958</v>
          </cell>
          <cell r="G49">
            <v>7715.3765468227448</v>
          </cell>
          <cell r="H49">
            <v>29.95</v>
          </cell>
        </row>
        <row r="50">
          <cell r="B50">
            <v>7.1150000000000002</v>
          </cell>
          <cell r="C50">
            <v>46</v>
          </cell>
          <cell r="D50">
            <v>249321.13393244156</v>
          </cell>
          <cell r="E50">
            <v>14733.356568561878</v>
          </cell>
          <cell r="F50">
            <v>6548.1584749163903</v>
          </cell>
          <cell r="G50">
            <v>8185.1980936454875</v>
          </cell>
          <cell r="H50">
            <v>30.46</v>
          </cell>
        </row>
        <row r="51">
          <cell r="B51">
            <v>7.2424999999999997</v>
          </cell>
          <cell r="C51">
            <v>47</v>
          </cell>
          <cell r="D51">
            <v>268475.93528386293</v>
          </cell>
          <cell r="E51">
            <v>15604.025944816058</v>
          </cell>
          <cell r="F51">
            <v>6935.1226421404708</v>
          </cell>
          <cell r="G51">
            <v>8668.9033026755878</v>
          </cell>
          <cell r="H51">
            <v>30.97</v>
          </cell>
        </row>
        <row r="52">
          <cell r="B52">
            <v>7.37</v>
          </cell>
          <cell r="C52">
            <v>48</v>
          </cell>
          <cell r="D52">
            <v>288561.17363478272</v>
          </cell>
          <cell r="E52">
            <v>16499.685913043486</v>
          </cell>
          <cell r="F52">
            <v>7333.1937391304382</v>
          </cell>
          <cell r="G52">
            <v>9166.4921739130477</v>
          </cell>
          <cell r="H52">
            <v>31.48</v>
          </cell>
        </row>
        <row r="53">
          <cell r="B53">
            <v>7.4975000000000005</v>
          </cell>
          <cell r="C53">
            <v>49</v>
          </cell>
          <cell r="D53">
            <v>309598.0909883781</v>
          </cell>
          <cell r="E53">
            <v>17420.336473244155</v>
          </cell>
          <cell r="F53">
            <v>7742.3717658862915</v>
          </cell>
          <cell r="G53">
            <v>9677.9647073578635</v>
          </cell>
          <cell r="H53">
            <v>31.990000000000002</v>
          </cell>
        </row>
        <row r="54">
          <cell r="B54">
            <v>7.625</v>
          </cell>
          <cell r="C54">
            <v>50</v>
          </cell>
          <cell r="D54">
            <v>333789.56046195666</v>
          </cell>
          <cell r="E54">
            <v>18486.806425585291</v>
          </cell>
          <cell r="F54">
            <v>8216.3584113712404</v>
          </cell>
          <cell r="G54">
            <v>10270.448014214051</v>
          </cell>
          <cell r="H54">
            <v>32.5</v>
          </cell>
        </row>
        <row r="55">
          <cell r="B55">
            <v>7.7525000000000004</v>
          </cell>
          <cell r="C55">
            <v>51</v>
          </cell>
          <cell r="D55">
            <v>359158.23752035969</v>
          </cell>
          <cell r="E55">
            <v>19584.514617892979</v>
          </cell>
          <cell r="F55">
            <v>8704.228719063547</v>
          </cell>
          <cell r="G55">
            <v>10880.285898829434</v>
          </cell>
          <cell r="H55">
            <v>33.010000000000005</v>
          </cell>
        </row>
        <row r="56">
          <cell r="B56">
            <v>7.88</v>
          </cell>
          <cell r="C56">
            <v>52</v>
          </cell>
          <cell r="D56">
            <v>385730.67466755857</v>
          </cell>
          <cell r="E56">
            <v>20713.461050167229</v>
          </cell>
          <cell r="F56">
            <v>9205.9826889632131</v>
          </cell>
          <cell r="G56">
            <v>11507.478361204016</v>
          </cell>
          <cell r="H56">
            <v>33.519999999999996</v>
          </cell>
        </row>
        <row r="57">
          <cell r="B57">
            <v>8.0075000000000003</v>
          </cell>
          <cell r="C57">
            <v>53</v>
          </cell>
          <cell r="D57">
            <v>413533.42440752522</v>
          </cell>
          <cell r="E57">
            <v>21873.645722408033</v>
          </cell>
          <cell r="F57">
            <v>9721.620321070237</v>
          </cell>
          <cell r="G57">
            <v>12152.025401337796</v>
          </cell>
          <cell r="H57">
            <v>34.03</v>
          </cell>
        </row>
        <row r="58">
          <cell r="B58">
            <v>8.1349999999999998</v>
          </cell>
          <cell r="C58">
            <v>54</v>
          </cell>
          <cell r="D58">
            <v>442593.03924423084</v>
          </cell>
          <cell r="E58">
            <v>23065.068634615389</v>
          </cell>
          <cell r="F58">
            <v>10251.141615384618</v>
          </cell>
          <cell r="G58">
            <v>12813.927019230772</v>
          </cell>
          <cell r="H58">
            <v>34.54</v>
          </cell>
        </row>
        <row r="59">
          <cell r="B59">
            <v>8.2624999999999993</v>
          </cell>
          <cell r="C59">
            <v>55</v>
          </cell>
          <cell r="D59">
            <v>472936.07168164715</v>
          </cell>
          <cell r="E59">
            <v>24287.729786789299</v>
          </cell>
          <cell r="F59">
            <v>10794.546571906356</v>
          </cell>
          <cell r="G59">
            <v>13493.183214882944</v>
          </cell>
          <cell r="H59">
            <v>35.049999999999997</v>
          </cell>
        </row>
        <row r="60">
          <cell r="B60">
            <v>8.39</v>
          </cell>
          <cell r="C60">
            <v>56</v>
          </cell>
          <cell r="D60">
            <v>504589.07422374596</v>
          </cell>
          <cell r="E60">
            <v>25541.629178929772</v>
          </cell>
          <cell r="F60">
            <v>11351.835190635455</v>
          </cell>
          <cell r="G60">
            <v>14189.793988294317</v>
          </cell>
          <cell r="H60">
            <v>35.56</v>
          </cell>
        </row>
        <row r="61">
          <cell r="B61">
            <v>8.5175000000000001</v>
          </cell>
          <cell r="C61">
            <v>57</v>
          </cell>
          <cell r="D61">
            <v>537578.59937449847</v>
          </cell>
          <cell r="E61">
            <v>26826.766811036796</v>
          </cell>
          <cell r="F61">
            <v>11923.007471571909</v>
          </cell>
          <cell r="G61">
            <v>14903.759339464887</v>
          </cell>
          <cell r="H61">
            <v>36.07</v>
          </cell>
        </row>
        <row r="62">
          <cell r="B62">
            <v>8.6449999999999996</v>
          </cell>
          <cell r="C62">
            <v>58</v>
          </cell>
          <cell r="D62">
            <v>571931.19963787636</v>
          </cell>
          <cell r="E62">
            <v>28143.142683110374</v>
          </cell>
          <cell r="F62">
            <v>12508.063414715723</v>
          </cell>
          <cell r="G62">
            <v>15635.079268394653</v>
          </cell>
          <cell r="H62">
            <v>36.58</v>
          </cell>
        </row>
        <row r="63">
          <cell r="B63">
            <v>8.7725000000000009</v>
          </cell>
          <cell r="C63">
            <v>59</v>
          </cell>
          <cell r="D63">
            <v>607673.42751785135</v>
          </cell>
          <cell r="E63">
            <v>29490.756795150512</v>
          </cell>
          <cell r="F63">
            <v>13107.003020066893</v>
          </cell>
          <cell r="G63">
            <v>16383.753775083616</v>
          </cell>
          <cell r="H63">
            <v>37.090000000000003</v>
          </cell>
        </row>
        <row r="64">
          <cell r="B64">
            <v>8.9</v>
          </cell>
          <cell r="C64">
            <v>60</v>
          </cell>
          <cell r="D64">
            <v>648008.34702341165</v>
          </cell>
          <cell r="E64">
            <v>31021.676187290985</v>
          </cell>
          <cell r="F64">
            <v>13787.411638795993</v>
          </cell>
          <cell r="G64">
            <v>17234.26454849499</v>
          </cell>
          <cell r="H64">
            <v>37.6</v>
          </cell>
        </row>
        <row r="65">
          <cell r="B65">
            <v>9.0274999999999999</v>
          </cell>
          <cell r="C65">
            <v>61</v>
          </cell>
          <cell r="D65">
            <v>690004.44706793502</v>
          </cell>
          <cell r="E65">
            <v>32590.081467391312</v>
          </cell>
          <cell r="F65">
            <v>14484.480652173917</v>
          </cell>
          <cell r="G65">
            <v>18105.600815217396</v>
          </cell>
          <cell r="H65">
            <v>38.11</v>
          </cell>
        </row>
        <row r="66">
          <cell r="B66">
            <v>9.1550000000000011</v>
          </cell>
          <cell r="C66">
            <v>62</v>
          </cell>
          <cell r="D66">
            <v>733693.59065618762</v>
          </cell>
          <cell r="E66">
            <v>34195.972635451515</v>
          </cell>
          <cell r="F66">
            <v>15198.210060200676</v>
          </cell>
          <cell r="G66">
            <v>18997.762575250843</v>
          </cell>
          <cell r="H66">
            <v>38.620000000000005</v>
          </cell>
        </row>
        <row r="67">
          <cell r="B67">
            <v>9.2825000000000006</v>
          </cell>
          <cell r="C67">
            <v>63</v>
          </cell>
          <cell r="D67">
            <v>779107.64079293516</v>
          </cell>
          <cell r="E67">
            <v>35839.349691471587</v>
          </cell>
          <cell r="F67">
            <v>15928.599862876261</v>
          </cell>
          <cell r="G67">
            <v>19910.749828595326</v>
          </cell>
          <cell r="H67">
            <v>39.130000000000003</v>
          </cell>
        </row>
        <row r="68">
          <cell r="B68">
            <v>9.41</v>
          </cell>
          <cell r="C68">
            <v>64</v>
          </cell>
          <cell r="D68">
            <v>826278.46048294357</v>
          </cell>
          <cell r="E68">
            <v>37520.21263545152</v>
          </cell>
          <cell r="F68">
            <v>16675.650060200678</v>
          </cell>
          <cell r="G68">
            <v>20844.562575250846</v>
          </cell>
          <cell r="H68">
            <v>39.64</v>
          </cell>
        </row>
        <row r="69">
          <cell r="B69">
            <v>9.5374999999999996</v>
          </cell>
          <cell r="C69">
            <v>65</v>
          </cell>
          <cell r="D69">
            <v>875237.91273097834</v>
          </cell>
          <cell r="E69">
            <v>39238.561467391308</v>
          </cell>
          <cell r="F69">
            <v>17439.360652173917</v>
          </cell>
          <cell r="G69">
            <v>21799.200815217395</v>
          </cell>
          <cell r="H69">
            <v>40.15</v>
          </cell>
        </row>
        <row r="70">
          <cell r="B70">
            <v>9.6650000000000009</v>
          </cell>
          <cell r="C70">
            <v>66</v>
          </cell>
          <cell r="D70">
            <v>926017.86054180656</v>
          </cell>
          <cell r="E70">
            <v>40994.396187290993</v>
          </cell>
          <cell r="F70">
            <v>18219.731638795998</v>
          </cell>
          <cell r="G70">
            <v>22774.664548494995</v>
          </cell>
          <cell r="H70">
            <v>40.660000000000004</v>
          </cell>
        </row>
        <row r="71">
          <cell r="B71">
            <v>9.7925000000000004</v>
          </cell>
          <cell r="C71">
            <v>67</v>
          </cell>
          <cell r="D71">
            <v>978650.16692019301</v>
          </cell>
          <cell r="E71">
            <v>42787.716795150533</v>
          </cell>
          <cell r="F71">
            <v>19016.763020066905</v>
          </cell>
          <cell r="G71">
            <v>23770.953775083628</v>
          </cell>
          <cell r="H71">
            <v>41.17</v>
          </cell>
        </row>
        <row r="72">
          <cell r="B72">
            <v>9.92</v>
          </cell>
          <cell r="C72">
            <v>68</v>
          </cell>
          <cell r="D72">
            <v>1033166.6948709039</v>
          </cell>
          <cell r="E72">
            <v>44618.523290969941</v>
          </cell>
          <cell r="F72">
            <v>19830.45479598664</v>
          </cell>
          <cell r="G72">
            <v>24788.068494983298</v>
          </cell>
          <cell r="H72">
            <v>41.68</v>
          </cell>
        </row>
        <row r="73">
          <cell r="B73">
            <v>10.047499999999999</v>
          </cell>
          <cell r="C73">
            <v>69</v>
          </cell>
          <cell r="D73">
            <v>1089599.307398705</v>
          </cell>
          <cell r="E73">
            <v>46486.815674749203</v>
          </cell>
          <cell r="F73">
            <v>20660.806966555203</v>
          </cell>
          <cell r="G73">
            <v>25826.008708194004</v>
          </cell>
          <cell r="H73">
            <v>42.19</v>
          </cell>
        </row>
        <row r="74">
          <cell r="B74">
            <v>10.175000000000001</v>
          </cell>
          <cell r="C74">
            <v>70</v>
          </cell>
          <cell r="D74">
            <v>1152328.276097409</v>
          </cell>
          <cell r="E74">
            <v>48575.89922658867</v>
          </cell>
          <cell r="F74">
            <v>21589.288545150521</v>
          </cell>
          <cell r="G74">
            <v>26986.610681438149</v>
          </cell>
          <cell r="H74">
            <v>42.7</v>
          </cell>
        </row>
        <row r="75">
          <cell r="B75">
            <v>10.3025</v>
          </cell>
          <cell r="C75">
            <v>71</v>
          </cell>
          <cell r="D75">
            <v>1217290.9066357866</v>
          </cell>
          <cell r="E75">
            <v>50708.716314381301</v>
          </cell>
          <cell r="F75">
            <v>22537.207250836134</v>
          </cell>
          <cell r="G75">
            <v>28171.509063545167</v>
          </cell>
          <cell r="H75">
            <v>43.21</v>
          </cell>
        </row>
        <row r="76">
          <cell r="B76">
            <v>10.43</v>
          </cell>
          <cell r="C76">
            <v>72</v>
          </cell>
          <cell r="D76">
            <v>1284524.3725193988</v>
          </cell>
          <cell r="E76">
            <v>52885.266938127126</v>
          </cell>
          <cell r="F76">
            <v>23504.563083612054</v>
          </cell>
          <cell r="G76">
            <v>29380.703854515068</v>
          </cell>
          <cell r="H76">
            <v>43.72</v>
          </cell>
        </row>
        <row r="77">
          <cell r="B77">
            <v>10.557500000000001</v>
          </cell>
          <cell r="C77">
            <v>73</v>
          </cell>
          <cell r="D77">
            <v>1354065.8472538053</v>
          </cell>
          <cell r="E77">
            <v>55105.551097826123</v>
          </cell>
          <cell r="F77">
            <v>24491.356043478278</v>
          </cell>
          <cell r="G77">
            <v>30614.195054347845</v>
          </cell>
          <cell r="H77">
            <v>44.230000000000004</v>
          </cell>
        </row>
        <row r="78">
          <cell r="B78">
            <v>10.685</v>
          </cell>
          <cell r="C78">
            <v>74</v>
          </cell>
          <cell r="D78">
            <v>1425952.504344566</v>
          </cell>
          <cell r="E78">
            <v>57369.568793478291</v>
          </cell>
          <cell r="F78">
            <v>25497.586130434796</v>
          </cell>
          <cell r="G78">
            <v>31871.982663043495</v>
          </cell>
          <cell r="H78">
            <v>44.74</v>
          </cell>
        </row>
        <row r="79">
          <cell r="B79">
            <v>10.8125</v>
          </cell>
          <cell r="C79">
            <v>75</v>
          </cell>
          <cell r="D79">
            <v>1500221.5172972416</v>
          </cell>
          <cell r="E79">
            <v>59677.320025083645</v>
          </cell>
          <cell r="F79">
            <v>26523.253344481622</v>
          </cell>
          <cell r="G79">
            <v>33154.066680602024</v>
          </cell>
          <cell r="H79">
            <v>45.25</v>
          </cell>
        </row>
        <row r="80">
          <cell r="B80">
            <v>10.94</v>
          </cell>
          <cell r="C80">
            <v>76</v>
          </cell>
          <cell r="D80">
            <v>1576910.059617392</v>
          </cell>
          <cell r="E80">
            <v>62028.804792642171</v>
          </cell>
          <cell r="F80">
            <v>27568.357685618743</v>
          </cell>
          <cell r="G80">
            <v>34460.447107023429</v>
          </cell>
          <cell r="H80">
            <v>45.76</v>
          </cell>
        </row>
        <row r="81">
          <cell r="B81">
            <v>11.067500000000001</v>
          </cell>
          <cell r="C81">
            <v>77</v>
          </cell>
          <cell r="D81">
            <v>1656055.3048105778</v>
          </cell>
          <cell r="E81">
            <v>64424.023096153876</v>
          </cell>
          <cell r="F81">
            <v>28632.899153846167</v>
          </cell>
          <cell r="G81">
            <v>35791.123942307706</v>
          </cell>
          <cell r="H81">
            <v>46.27</v>
          </cell>
        </row>
        <row r="82">
          <cell r="B82">
            <v>11.195</v>
          </cell>
          <cell r="C82">
            <v>78</v>
          </cell>
          <cell r="D82">
            <v>1737694.4263823582</v>
          </cell>
          <cell r="E82">
            <v>66862.974935618739</v>
          </cell>
          <cell r="F82">
            <v>29716.877749163887</v>
          </cell>
          <cell r="G82">
            <v>37146.097186454856</v>
          </cell>
          <cell r="H82">
            <v>46.78</v>
          </cell>
        </row>
        <row r="83">
          <cell r="B83">
            <v>11.3225</v>
          </cell>
          <cell r="C83">
            <v>79</v>
          </cell>
          <cell r="D83">
            <v>1821864.5978382952</v>
          </cell>
          <cell r="E83">
            <v>69345.660311036816</v>
          </cell>
          <cell r="F83">
            <v>30820.29347157192</v>
          </cell>
          <cell r="G83">
            <v>38525.366839464899</v>
          </cell>
          <cell r="H83">
            <v>47.29</v>
          </cell>
        </row>
        <row r="84">
          <cell r="B84">
            <v>11.45</v>
          </cell>
          <cell r="C84">
            <v>80</v>
          </cell>
          <cell r="D84">
            <v>1914300.3150501673</v>
          </cell>
          <cell r="E84">
            <v>72086.622742474923</v>
          </cell>
          <cell r="F84">
            <v>32038.498996655522</v>
          </cell>
          <cell r="G84">
            <v>40048.123745819401</v>
          </cell>
          <cell r="H84">
            <v>47.8</v>
          </cell>
        </row>
        <row r="85">
          <cell r="B85">
            <v>11.577500000000001</v>
          </cell>
          <cell r="C85">
            <v>81</v>
          </cell>
          <cell r="D85">
            <v>2009630.6837489975</v>
          </cell>
          <cell r="E85">
            <v>74877.566357859556</v>
          </cell>
          <cell r="F85">
            <v>33278.918381270916</v>
          </cell>
          <cell r="G85">
            <v>41598.647976588647</v>
          </cell>
          <cell r="H85">
            <v>48.31</v>
          </cell>
        </row>
        <row r="86">
          <cell r="B86">
            <v>11.705</v>
          </cell>
          <cell r="C86">
            <v>82</v>
          </cell>
          <cell r="D86">
            <v>2107898.1879411377</v>
          </cell>
          <cell r="E86">
            <v>77718.491157190656</v>
          </cell>
          <cell r="F86">
            <v>34541.551625418069</v>
          </cell>
          <cell r="G86">
            <v>43176.939531772587</v>
          </cell>
          <cell r="H86">
            <v>48.82</v>
          </cell>
        </row>
        <row r="87">
          <cell r="B87">
            <v>11.8325</v>
          </cell>
          <cell r="C87">
            <v>83</v>
          </cell>
          <cell r="D87">
            <v>2209145.3116329438</v>
          </cell>
          <cell r="E87">
            <v>80609.397140468252</v>
          </cell>
          <cell r="F87">
            <v>35826.398729097004</v>
          </cell>
          <cell r="G87">
            <v>44782.998411371249</v>
          </cell>
          <cell r="H87">
            <v>49.33</v>
          </cell>
        </row>
        <row r="88">
          <cell r="B88">
            <v>11.96</v>
          </cell>
          <cell r="C88">
            <v>84</v>
          </cell>
          <cell r="D88">
            <v>2313414.5388307702</v>
          </cell>
          <cell r="E88">
            <v>83550.284307692331</v>
          </cell>
          <cell r="F88">
            <v>37133.459692307704</v>
          </cell>
          <cell r="G88">
            <v>46416.824615384627</v>
          </cell>
          <cell r="H88">
            <v>49.84</v>
          </cell>
        </row>
        <row r="89">
          <cell r="B89">
            <v>12.0875</v>
          </cell>
          <cell r="C89">
            <v>85</v>
          </cell>
          <cell r="D89">
            <v>2420748.3535409695</v>
          </cell>
          <cell r="E89">
            <v>86541.152658862877</v>
          </cell>
          <cell r="F89">
            <v>38462.734515050164</v>
          </cell>
          <cell r="G89">
            <v>48078.418143812705</v>
          </cell>
          <cell r="H89">
            <v>50.35</v>
          </cell>
        </row>
        <row r="90">
          <cell r="B90">
            <v>12.215</v>
          </cell>
          <cell r="C90">
            <v>86</v>
          </cell>
          <cell r="D90">
            <v>2531189.2397698998</v>
          </cell>
          <cell r="E90">
            <v>89582.002193979948</v>
          </cell>
          <cell r="F90">
            <v>39814.22319732442</v>
          </cell>
          <cell r="G90">
            <v>49767.778996655521</v>
          </cell>
          <cell r="H90">
            <v>50.86</v>
          </cell>
        </row>
        <row r="91">
          <cell r="B91">
            <v>12.342499999999999</v>
          </cell>
          <cell r="C91">
            <v>87</v>
          </cell>
          <cell r="D91">
            <v>2644779.6815239121</v>
          </cell>
          <cell r="E91">
            <v>92672.832913043458</v>
          </cell>
          <cell r="F91">
            <v>41187.925739130427</v>
          </cell>
          <cell r="G91">
            <v>51484.90717391303</v>
          </cell>
          <cell r="H91">
            <v>51.37</v>
          </cell>
        </row>
        <row r="92">
          <cell r="B92">
            <v>12.47</v>
          </cell>
          <cell r="C92">
            <v>88</v>
          </cell>
          <cell r="D92">
            <v>2761562.162809364</v>
          </cell>
          <cell r="E92">
            <v>95813.644816053478</v>
          </cell>
          <cell r="F92">
            <v>42583.842140468216</v>
          </cell>
          <cell r="G92">
            <v>53229.80267558527</v>
          </cell>
          <cell r="H92">
            <v>51.88</v>
          </cell>
        </row>
        <row r="93">
          <cell r="B93">
            <v>12.5975</v>
          </cell>
          <cell r="C93">
            <v>89</v>
          </cell>
          <cell r="D93">
            <v>2881579.1676326082</v>
          </cell>
          <cell r="E93">
            <v>99004.437903010024</v>
          </cell>
          <cell r="F93">
            <v>44001.972401337785</v>
          </cell>
          <cell r="G93">
            <v>55002.465501672232</v>
          </cell>
          <cell r="H93">
            <v>52.39</v>
          </cell>
        </row>
        <row r="94">
          <cell r="B94">
            <v>12.725</v>
          </cell>
          <cell r="C94">
            <v>90</v>
          </cell>
          <cell r="D94">
            <v>3004873.1799999988</v>
          </cell>
          <cell r="E94">
            <v>102245.21217391299</v>
          </cell>
          <cell r="F94">
            <v>45442.316521739114</v>
          </cell>
          <cell r="G94">
            <v>56802.895652173887</v>
          </cell>
          <cell r="H94">
            <v>52.9</v>
          </cell>
        </row>
        <row r="95">
          <cell r="B95">
            <v>12.852500000000001</v>
          </cell>
          <cell r="C95">
            <v>91</v>
          </cell>
          <cell r="D95">
            <v>3131486.6839178922</v>
          </cell>
          <cell r="E95">
            <v>105535.9676287625</v>
          </cell>
          <cell r="F95">
            <v>46904.874501672224</v>
          </cell>
          <cell r="G95">
            <v>58631.09312709028</v>
          </cell>
          <cell r="H95">
            <v>53.410000000000004</v>
          </cell>
        </row>
        <row r="96">
          <cell r="B96">
            <v>12.98</v>
          </cell>
          <cell r="C96">
            <v>92</v>
          </cell>
          <cell r="D96">
            <v>3261462.1633926416</v>
          </cell>
          <cell r="E96">
            <v>108876.7042675585</v>
          </cell>
          <cell r="F96">
            <v>48389.646341137115</v>
          </cell>
          <cell r="G96">
            <v>60487.057926421388</v>
          </cell>
          <cell r="H96">
            <v>53.92</v>
          </cell>
        </row>
        <row r="97">
          <cell r="B97">
            <v>13.1075</v>
          </cell>
          <cell r="C97">
            <v>93</v>
          </cell>
          <cell r="D97">
            <v>3394842.1024305997</v>
          </cell>
          <cell r="E97">
            <v>112267.42209030094</v>
          </cell>
          <cell r="F97">
            <v>49896.632040133751</v>
          </cell>
          <cell r="G97">
            <v>62370.790050167183</v>
          </cell>
          <cell r="H97">
            <v>54.43</v>
          </cell>
        </row>
        <row r="98">
          <cell r="B98">
            <v>13.234999999999999</v>
          </cell>
          <cell r="C98">
            <v>94</v>
          </cell>
          <cell r="D98">
            <v>3531668.985038125</v>
          </cell>
          <cell r="E98">
            <v>115708.1210969899</v>
          </cell>
          <cell r="F98">
            <v>51425.831598662182</v>
          </cell>
          <cell r="G98">
            <v>64282.289498327722</v>
          </cell>
          <cell r="H98">
            <v>54.94</v>
          </cell>
        </row>
        <row r="99">
          <cell r="B99">
            <v>13.362500000000001</v>
          </cell>
          <cell r="C99">
            <v>95</v>
          </cell>
          <cell r="D99">
            <v>3671985.2952215695</v>
          </cell>
          <cell r="E99">
            <v>119198.80128762533</v>
          </cell>
          <cell r="F99">
            <v>52977.245016722372</v>
          </cell>
          <cell r="G99">
            <v>66221.556270902962</v>
          </cell>
          <cell r="H99">
            <v>55.45</v>
          </cell>
        </row>
        <row r="100">
          <cell r="B100">
            <v>13.49</v>
          </cell>
          <cell r="C100">
            <v>96</v>
          </cell>
          <cell r="D100">
            <v>3815833.5169872884</v>
          </cell>
          <cell r="E100">
            <v>122739.46266220728</v>
          </cell>
          <cell r="F100">
            <v>54550.872294314351</v>
          </cell>
          <cell r="G100">
            <v>68188.590367892932</v>
          </cell>
          <cell r="H100">
            <v>55.96</v>
          </cell>
        </row>
        <row r="101">
          <cell r="B101">
            <v>13.6175</v>
          </cell>
          <cell r="C101">
            <v>97</v>
          </cell>
          <cell r="D101">
            <v>3963256.1343416362</v>
          </cell>
          <cell r="E101">
            <v>126330.10522073571</v>
          </cell>
          <cell r="F101">
            <v>56146.713431438096</v>
          </cell>
          <cell r="G101">
            <v>70183.391789297617</v>
          </cell>
          <cell r="H101">
            <v>56.47</v>
          </cell>
        </row>
        <row r="102">
          <cell r="B102">
            <v>13.745000000000001</v>
          </cell>
          <cell r="C102">
            <v>98</v>
          </cell>
          <cell r="D102">
            <v>4114295.6312909662</v>
          </cell>
          <cell r="E102">
            <v>129970.72896321058</v>
          </cell>
          <cell r="F102">
            <v>57764.768428093594</v>
          </cell>
          <cell r="G102">
            <v>72205.960535116988</v>
          </cell>
          <cell r="H102">
            <v>56.980000000000004</v>
          </cell>
        </row>
        <row r="103">
          <cell r="B103">
            <v>13.8725</v>
          </cell>
          <cell r="C103">
            <v>99</v>
          </cell>
          <cell r="D103">
            <v>4268994.4918416347</v>
          </cell>
          <cell r="E103">
            <v>133661.33388963199</v>
          </cell>
          <cell r="F103">
            <v>59405.037284280887</v>
          </cell>
          <cell r="G103">
            <v>74256.296605351105</v>
          </cell>
          <cell r="H103">
            <v>57.49</v>
          </cell>
        </row>
      </sheetData>
      <sheetData sheetId="5">
        <row r="4">
          <cell r="B4" t="str">
            <v>等级</v>
          </cell>
          <cell r="C4" t="str">
            <v>生命</v>
          </cell>
          <cell r="D4" t="str">
            <v>攻击</v>
          </cell>
          <cell r="E4" t="str">
            <v>防御</v>
          </cell>
          <cell r="F4" t="str">
            <v>标准属性价值参考系</v>
          </cell>
        </row>
        <row r="5">
          <cell r="B5">
            <v>1</v>
          </cell>
          <cell r="C5">
            <v>495.65999999999997</v>
          </cell>
          <cell r="D5">
            <v>118.80000000000001</v>
          </cell>
          <cell r="E5">
            <v>52.800000000000004</v>
          </cell>
          <cell r="F5">
            <v>191.42640000000003</v>
          </cell>
        </row>
        <row r="6">
          <cell r="B6">
            <v>2</v>
          </cell>
          <cell r="C6">
            <v>577.43999999999994</v>
          </cell>
          <cell r="D6">
            <v>129.6</v>
          </cell>
          <cell r="E6">
            <v>57.6</v>
          </cell>
          <cell r="F6">
            <v>207.0264</v>
          </cell>
        </row>
        <row r="7">
          <cell r="B7">
            <v>3</v>
          </cell>
          <cell r="C7">
            <v>665.34000000000015</v>
          </cell>
          <cell r="D7">
            <v>140.4</v>
          </cell>
          <cell r="E7">
            <v>62.400000000000006</v>
          </cell>
          <cell r="F7">
            <v>222.62640000000002</v>
          </cell>
        </row>
        <row r="8">
          <cell r="B8">
            <v>4</v>
          </cell>
          <cell r="C8">
            <v>759.3599999999999</v>
          </cell>
          <cell r="D8">
            <v>151.19999999999999</v>
          </cell>
          <cell r="E8">
            <v>67.2</v>
          </cell>
          <cell r="F8">
            <v>238.22640000000001</v>
          </cell>
        </row>
        <row r="9">
          <cell r="B9">
            <v>5</v>
          </cell>
          <cell r="C9">
            <v>859.50000000000011</v>
          </cell>
          <cell r="D9">
            <v>162</v>
          </cell>
          <cell r="E9">
            <v>72</v>
          </cell>
          <cell r="F9">
            <v>253.82640000000001</v>
          </cell>
        </row>
        <row r="10">
          <cell r="B10">
            <v>6</v>
          </cell>
          <cell r="C10">
            <v>965.76</v>
          </cell>
          <cell r="D10">
            <v>172.79999999999998</v>
          </cell>
          <cell r="E10">
            <v>76.8</v>
          </cell>
          <cell r="F10">
            <v>269.4264</v>
          </cell>
        </row>
        <row r="11">
          <cell r="B11">
            <v>7</v>
          </cell>
          <cell r="C11">
            <v>1078.1399999999999</v>
          </cell>
          <cell r="D11">
            <v>183.6</v>
          </cell>
          <cell r="E11">
            <v>81.600000000000009</v>
          </cell>
          <cell r="F11">
            <v>285.02640000000002</v>
          </cell>
        </row>
        <row r="12">
          <cell r="B12">
            <v>8</v>
          </cell>
          <cell r="C12">
            <v>1196.6399999999999</v>
          </cell>
          <cell r="D12">
            <v>194.39999999999998</v>
          </cell>
          <cell r="E12">
            <v>86.4</v>
          </cell>
          <cell r="F12">
            <v>300.62639999999999</v>
          </cell>
        </row>
        <row r="13">
          <cell r="B13">
            <v>9</v>
          </cell>
          <cell r="C13">
            <v>1321.26</v>
          </cell>
          <cell r="D13">
            <v>205.20000000000002</v>
          </cell>
          <cell r="E13">
            <v>91.2</v>
          </cell>
          <cell r="F13">
            <v>316.22640000000001</v>
          </cell>
        </row>
        <row r="14">
          <cell r="B14">
            <v>10</v>
          </cell>
          <cell r="C14">
            <v>1452</v>
          </cell>
          <cell r="D14">
            <v>216.00000000000003</v>
          </cell>
          <cell r="E14">
            <v>96.000000000000014</v>
          </cell>
          <cell r="F14">
            <v>331.82640000000004</v>
          </cell>
        </row>
        <row r="15">
          <cell r="B15">
            <v>11</v>
          </cell>
          <cell r="C15">
            <v>1588.8599999999994</v>
          </cell>
          <cell r="D15">
            <v>226.79999999999995</v>
          </cell>
          <cell r="E15">
            <v>100.79999999999997</v>
          </cell>
          <cell r="F15">
            <v>347.42639999999994</v>
          </cell>
        </row>
        <row r="16">
          <cell r="B16">
            <v>12</v>
          </cell>
          <cell r="C16">
            <v>1731.84</v>
          </cell>
          <cell r="D16">
            <v>237.60000000000002</v>
          </cell>
          <cell r="E16">
            <v>105.60000000000001</v>
          </cell>
          <cell r="F16">
            <v>363.02640000000002</v>
          </cell>
        </row>
        <row r="17">
          <cell r="B17">
            <v>13</v>
          </cell>
          <cell r="C17">
            <v>1880.9399999999998</v>
          </cell>
          <cell r="D17">
            <v>248.4</v>
          </cell>
          <cell r="E17">
            <v>110.4</v>
          </cell>
          <cell r="F17">
            <v>378.62639999999999</v>
          </cell>
        </row>
        <row r="18">
          <cell r="B18">
            <v>14</v>
          </cell>
          <cell r="C18">
            <v>2036.1600000000003</v>
          </cell>
          <cell r="D18">
            <v>259.20000000000005</v>
          </cell>
          <cell r="E18">
            <v>115.20000000000002</v>
          </cell>
          <cell r="F18">
            <v>394.22640000000001</v>
          </cell>
        </row>
        <row r="19">
          <cell r="B19">
            <v>15</v>
          </cell>
          <cell r="C19">
            <v>2197.5</v>
          </cell>
          <cell r="D19">
            <v>270</v>
          </cell>
          <cell r="E19">
            <v>120.00000000000001</v>
          </cell>
          <cell r="F19">
            <v>409.82639999999998</v>
          </cell>
        </row>
        <row r="20">
          <cell r="B20">
            <v>16</v>
          </cell>
          <cell r="C20">
            <v>2364.9600000000005</v>
          </cell>
          <cell r="D20">
            <v>280.8</v>
          </cell>
          <cell r="E20">
            <v>124.80000000000001</v>
          </cell>
          <cell r="F20">
            <v>425.4264</v>
          </cell>
        </row>
        <row r="21">
          <cell r="B21">
            <v>17</v>
          </cell>
          <cell r="C21">
            <v>2538.54</v>
          </cell>
          <cell r="D21">
            <v>291.60000000000002</v>
          </cell>
          <cell r="E21">
            <v>129.60000000000002</v>
          </cell>
          <cell r="F21">
            <v>441.02640000000002</v>
          </cell>
        </row>
        <row r="22">
          <cell r="B22">
            <v>18</v>
          </cell>
          <cell r="C22">
            <v>2718.2400000000007</v>
          </cell>
          <cell r="D22">
            <v>302.40000000000009</v>
          </cell>
          <cell r="E22">
            <v>134.40000000000006</v>
          </cell>
          <cell r="F22">
            <v>456.6264000000001</v>
          </cell>
        </row>
        <row r="23">
          <cell r="B23">
            <v>19</v>
          </cell>
          <cell r="C23">
            <v>2904.06</v>
          </cell>
          <cell r="D23">
            <v>313.2000000000001</v>
          </cell>
          <cell r="E23">
            <v>139.20000000000005</v>
          </cell>
          <cell r="F23">
            <v>472.22640000000013</v>
          </cell>
        </row>
        <row r="24">
          <cell r="B24">
            <v>20</v>
          </cell>
          <cell r="C24">
            <v>3096.0000000000005</v>
          </cell>
          <cell r="D24">
            <v>324.00000000000006</v>
          </cell>
          <cell r="E24">
            <v>144.00000000000003</v>
          </cell>
          <cell r="F24">
            <v>487.82640000000004</v>
          </cell>
        </row>
        <row r="25">
          <cell r="B25">
            <v>21</v>
          </cell>
          <cell r="C25">
            <v>3294.0600000000009</v>
          </cell>
          <cell r="D25">
            <v>334.80000000000007</v>
          </cell>
          <cell r="E25">
            <v>148.80000000000004</v>
          </cell>
          <cell r="F25">
            <v>503.42640000000006</v>
          </cell>
        </row>
        <row r="26">
          <cell r="B26">
            <v>22</v>
          </cell>
          <cell r="C26">
            <v>3498.2400000000007</v>
          </cell>
          <cell r="D26">
            <v>345.60000000000008</v>
          </cell>
          <cell r="E26">
            <v>153.60000000000002</v>
          </cell>
          <cell r="F26">
            <v>519.02640000000008</v>
          </cell>
        </row>
        <row r="27">
          <cell r="B27">
            <v>23</v>
          </cell>
          <cell r="C27">
            <v>3708.5400000000013</v>
          </cell>
          <cell r="D27">
            <v>356.40000000000015</v>
          </cell>
          <cell r="E27">
            <v>158.40000000000006</v>
          </cell>
          <cell r="F27">
            <v>534.62640000000022</v>
          </cell>
        </row>
        <row r="28">
          <cell r="B28">
            <v>24</v>
          </cell>
          <cell r="C28">
            <v>3924.9600000000014</v>
          </cell>
          <cell r="D28">
            <v>367.2000000000001</v>
          </cell>
          <cell r="E28">
            <v>163.20000000000005</v>
          </cell>
          <cell r="F28">
            <v>550.22640000000013</v>
          </cell>
        </row>
        <row r="29">
          <cell r="B29">
            <v>25</v>
          </cell>
          <cell r="C29">
            <v>4147.5000000000009</v>
          </cell>
          <cell r="D29">
            <v>378.00000000000017</v>
          </cell>
          <cell r="E29">
            <v>168.00000000000006</v>
          </cell>
          <cell r="F29">
            <v>565.82640000000015</v>
          </cell>
        </row>
        <row r="30">
          <cell r="B30">
            <v>26</v>
          </cell>
          <cell r="C30">
            <v>4376.1600000000008</v>
          </cell>
          <cell r="D30">
            <v>388.80000000000013</v>
          </cell>
          <cell r="E30">
            <v>172.80000000000007</v>
          </cell>
          <cell r="F30">
            <v>581.42640000000017</v>
          </cell>
        </row>
        <row r="31">
          <cell r="B31">
            <v>27</v>
          </cell>
          <cell r="C31">
            <v>4610.9400000000014</v>
          </cell>
          <cell r="D31">
            <v>399.60000000000008</v>
          </cell>
          <cell r="E31">
            <v>177.60000000000005</v>
          </cell>
          <cell r="F31">
            <v>597.02640000000008</v>
          </cell>
        </row>
        <row r="32">
          <cell r="B32">
            <v>28</v>
          </cell>
          <cell r="C32">
            <v>4851.840000000002</v>
          </cell>
          <cell r="D32">
            <v>410.40000000000015</v>
          </cell>
          <cell r="E32">
            <v>182.40000000000006</v>
          </cell>
          <cell r="F32">
            <v>612.62640000000022</v>
          </cell>
        </row>
        <row r="33">
          <cell r="B33">
            <v>29</v>
          </cell>
          <cell r="C33">
            <v>5098.8600000000015</v>
          </cell>
          <cell r="D33">
            <v>421.2000000000001</v>
          </cell>
          <cell r="E33">
            <v>187.20000000000007</v>
          </cell>
          <cell r="F33">
            <v>628.22640000000013</v>
          </cell>
        </row>
        <row r="34">
          <cell r="B34">
            <v>30</v>
          </cell>
          <cell r="C34">
            <v>5418.9000000000015</v>
          </cell>
          <cell r="D34">
            <v>437.4000000000002</v>
          </cell>
          <cell r="E34">
            <v>194.40000000000006</v>
          </cell>
          <cell r="F34">
            <v>651.62640000000022</v>
          </cell>
        </row>
        <row r="35">
          <cell r="B35">
            <v>31</v>
          </cell>
          <cell r="C35">
            <v>5748.1200000000017</v>
          </cell>
          <cell r="D35">
            <v>453.60000000000008</v>
          </cell>
          <cell r="E35">
            <v>201.60000000000002</v>
          </cell>
          <cell r="F35">
            <v>675.02640000000008</v>
          </cell>
        </row>
        <row r="36">
          <cell r="B36">
            <v>32</v>
          </cell>
          <cell r="C36">
            <v>6086.5200000000023</v>
          </cell>
          <cell r="D36">
            <v>469.80000000000024</v>
          </cell>
          <cell r="E36">
            <v>208.80000000000013</v>
          </cell>
          <cell r="F36">
            <v>698.42640000000029</v>
          </cell>
        </row>
        <row r="37">
          <cell r="B37">
            <v>33</v>
          </cell>
          <cell r="C37">
            <v>6434.1000000000022</v>
          </cell>
          <cell r="D37">
            <v>486.00000000000017</v>
          </cell>
          <cell r="E37">
            <v>216.00000000000009</v>
          </cell>
          <cell r="F37">
            <v>721.82640000000026</v>
          </cell>
        </row>
        <row r="38">
          <cell r="B38">
            <v>34</v>
          </cell>
          <cell r="C38">
            <v>6790.86</v>
          </cell>
          <cell r="D38">
            <v>502.20000000000005</v>
          </cell>
          <cell r="E38">
            <v>223.20000000000002</v>
          </cell>
          <cell r="F38">
            <v>745.22640000000013</v>
          </cell>
        </row>
        <row r="39">
          <cell r="B39">
            <v>35</v>
          </cell>
          <cell r="C39">
            <v>7156.800000000002</v>
          </cell>
          <cell r="D39">
            <v>518.4000000000002</v>
          </cell>
          <cell r="E39">
            <v>230.40000000000006</v>
          </cell>
          <cell r="F39">
            <v>768.62640000000033</v>
          </cell>
        </row>
        <row r="40">
          <cell r="B40">
            <v>36</v>
          </cell>
          <cell r="C40">
            <v>7531.92</v>
          </cell>
          <cell r="D40">
            <v>534.6</v>
          </cell>
          <cell r="E40">
            <v>237.60000000000005</v>
          </cell>
          <cell r="F40">
            <v>792.02640000000008</v>
          </cell>
        </row>
        <row r="41">
          <cell r="B41">
            <v>37</v>
          </cell>
          <cell r="C41">
            <v>7916.2200000000021</v>
          </cell>
          <cell r="D41">
            <v>550.80000000000018</v>
          </cell>
          <cell r="E41">
            <v>244.80000000000007</v>
          </cell>
          <cell r="F41">
            <v>815.42640000000029</v>
          </cell>
        </row>
        <row r="42">
          <cell r="B42">
            <v>38</v>
          </cell>
          <cell r="C42">
            <v>8309.7000000000007</v>
          </cell>
          <cell r="D42">
            <v>567.00000000000011</v>
          </cell>
          <cell r="E42">
            <v>252.00000000000006</v>
          </cell>
          <cell r="F42">
            <v>838.82640000000015</v>
          </cell>
        </row>
        <row r="43">
          <cell r="B43">
            <v>39</v>
          </cell>
          <cell r="C43">
            <v>8712.3600000000024</v>
          </cell>
          <cell r="D43">
            <v>583.20000000000005</v>
          </cell>
          <cell r="E43">
            <v>259.20000000000005</v>
          </cell>
          <cell r="F43">
            <v>862.22640000000013</v>
          </cell>
        </row>
        <row r="44">
          <cell r="B44">
            <v>40</v>
          </cell>
          <cell r="C44">
            <v>9206.4000000000033</v>
          </cell>
          <cell r="D44">
            <v>604.80000000000018</v>
          </cell>
          <cell r="E44">
            <v>268.80000000000013</v>
          </cell>
          <cell r="F44">
            <v>893.42640000000029</v>
          </cell>
        </row>
        <row r="45">
          <cell r="B45">
            <v>41</v>
          </cell>
          <cell r="C45">
            <v>9712.6800000000039</v>
          </cell>
          <cell r="D45">
            <v>626.4000000000002</v>
          </cell>
          <cell r="E45">
            <v>278.40000000000009</v>
          </cell>
          <cell r="F45">
            <v>924.62640000000033</v>
          </cell>
        </row>
        <row r="46">
          <cell r="B46">
            <v>42</v>
          </cell>
          <cell r="C46">
            <v>10231.200000000004</v>
          </cell>
          <cell r="D46">
            <v>648.00000000000034</v>
          </cell>
          <cell r="E46">
            <v>288.00000000000011</v>
          </cell>
          <cell r="F46">
            <v>955.82640000000049</v>
          </cell>
        </row>
        <row r="47">
          <cell r="B47">
            <v>43</v>
          </cell>
          <cell r="C47">
            <v>10761.960000000003</v>
          </cell>
          <cell r="D47">
            <v>669.60000000000014</v>
          </cell>
          <cell r="E47">
            <v>297.60000000000014</v>
          </cell>
          <cell r="F47">
            <v>987.02640000000031</v>
          </cell>
        </row>
        <row r="48">
          <cell r="B48">
            <v>44</v>
          </cell>
          <cell r="C48">
            <v>11304.960000000003</v>
          </cell>
          <cell r="D48">
            <v>691.20000000000016</v>
          </cell>
          <cell r="E48">
            <v>307.2000000000001</v>
          </cell>
          <cell r="F48">
            <v>1018.2264000000002</v>
          </cell>
        </row>
        <row r="49">
          <cell r="B49">
            <v>45</v>
          </cell>
          <cell r="C49">
            <v>11860.200000000004</v>
          </cell>
          <cell r="D49">
            <v>712.80000000000018</v>
          </cell>
          <cell r="E49">
            <v>316.80000000000007</v>
          </cell>
          <cell r="F49">
            <v>1049.4264000000003</v>
          </cell>
        </row>
        <row r="50">
          <cell r="B50">
            <v>46</v>
          </cell>
          <cell r="C50">
            <v>12427.680000000006</v>
          </cell>
          <cell r="D50">
            <v>734.40000000000032</v>
          </cell>
          <cell r="E50">
            <v>326.40000000000015</v>
          </cell>
          <cell r="F50">
            <v>1080.6264000000006</v>
          </cell>
        </row>
        <row r="51">
          <cell r="B51">
            <v>47</v>
          </cell>
          <cell r="C51">
            <v>13007.400000000003</v>
          </cell>
          <cell r="D51">
            <v>756.00000000000023</v>
          </cell>
          <cell r="E51">
            <v>336.00000000000017</v>
          </cell>
          <cell r="F51">
            <v>1111.8264000000004</v>
          </cell>
          <cell r="H51">
            <v>47</v>
          </cell>
          <cell r="I51">
            <v>629787.29123252782</v>
          </cell>
          <cell r="J51">
            <v>38782.80000000001</v>
          </cell>
          <cell r="K51">
            <v>17236.800000000007</v>
          </cell>
          <cell r="L51">
            <v>29375</v>
          </cell>
          <cell r="M51">
            <v>29375</v>
          </cell>
          <cell r="N51">
            <v>29375</v>
          </cell>
          <cell r="O51">
            <v>0.58750000000000002</v>
          </cell>
        </row>
        <row r="52">
          <cell r="B52">
            <v>48</v>
          </cell>
          <cell r="C52">
            <v>13599.360000000006</v>
          </cell>
          <cell r="D52">
            <v>777.60000000000036</v>
          </cell>
          <cell r="E52">
            <v>345.60000000000014</v>
          </cell>
          <cell r="F52">
            <v>1143.0264000000006</v>
          </cell>
          <cell r="H52">
            <v>48</v>
          </cell>
          <cell r="I52">
            <v>656648.39644997043</v>
          </cell>
          <cell r="J52">
            <v>39890.880000000019</v>
          </cell>
          <cell r="K52">
            <v>17729.280000000006</v>
          </cell>
          <cell r="L52">
            <v>30000</v>
          </cell>
          <cell r="M52">
            <v>30000</v>
          </cell>
          <cell r="N52">
            <v>30000</v>
          </cell>
          <cell r="O52">
            <v>0.6</v>
          </cell>
        </row>
        <row r="53">
          <cell r="B53">
            <v>49</v>
          </cell>
          <cell r="C53">
            <v>14203.560000000009</v>
          </cell>
          <cell r="D53">
            <v>799.20000000000039</v>
          </cell>
          <cell r="E53">
            <v>355.20000000000022</v>
          </cell>
          <cell r="F53">
            <v>1174.2264000000007</v>
          </cell>
          <cell r="H53">
            <v>49</v>
          </cell>
          <cell r="I53">
            <v>683909.1868307034</v>
          </cell>
          <cell r="J53">
            <v>40998.960000000021</v>
          </cell>
          <cell r="K53">
            <v>18221.760000000009</v>
          </cell>
          <cell r="L53">
            <v>30625</v>
          </cell>
          <cell r="M53">
            <v>30625</v>
          </cell>
          <cell r="N53">
            <v>30625</v>
          </cell>
          <cell r="O53">
            <v>0.61250000000000004</v>
          </cell>
        </row>
        <row r="54">
          <cell r="B54">
            <v>50</v>
          </cell>
          <cell r="C54">
            <v>14917.500000000005</v>
          </cell>
          <cell r="D54">
            <v>826.20000000000027</v>
          </cell>
          <cell r="E54">
            <v>367.2000000000001</v>
          </cell>
          <cell r="F54">
            <v>1213.2264000000005</v>
          </cell>
          <cell r="H54">
            <v>50</v>
          </cell>
          <cell r="I54">
            <v>716242.40830715036</v>
          </cell>
          <cell r="J54">
            <v>42384.060000000012</v>
          </cell>
          <cell r="K54">
            <v>18837.360000000004</v>
          </cell>
          <cell r="L54">
            <v>31250</v>
          </cell>
          <cell r="M54">
            <v>31250</v>
          </cell>
          <cell r="N54">
            <v>31250</v>
          </cell>
          <cell r="O54">
            <v>0.625</v>
          </cell>
        </row>
        <row r="55">
          <cell r="B55">
            <v>51</v>
          </cell>
          <cell r="C55">
            <v>15646.740000000009</v>
          </cell>
          <cell r="D55">
            <v>853.20000000000027</v>
          </cell>
          <cell r="E55">
            <v>379.20000000000016</v>
          </cell>
          <cell r="F55">
            <v>1252.2264000000005</v>
          </cell>
          <cell r="H55">
            <v>51</v>
          </cell>
          <cell r="I55">
            <v>749077.43558025884</v>
          </cell>
          <cell r="J55">
            <v>43769.160000000011</v>
          </cell>
          <cell r="K55">
            <v>19452.960000000006</v>
          </cell>
          <cell r="L55">
            <v>31875</v>
          </cell>
          <cell r="M55">
            <v>31875</v>
          </cell>
          <cell r="N55">
            <v>31875</v>
          </cell>
          <cell r="O55">
            <v>0.63749999999999996</v>
          </cell>
        </row>
        <row r="56">
          <cell r="B56">
            <v>52</v>
          </cell>
          <cell r="C56">
            <v>16391.280000000002</v>
          </cell>
          <cell r="D56">
            <v>880.20000000000016</v>
          </cell>
          <cell r="E56">
            <v>391.2000000000001</v>
          </cell>
          <cell r="F56">
            <v>1291.2264000000002</v>
          </cell>
          <cell r="H56">
            <v>52</v>
          </cell>
          <cell r="I56">
            <v>782403.60833389161</v>
          </cell>
          <cell r="J56">
            <v>45154.26</v>
          </cell>
          <cell r="K56">
            <v>20068.560000000005</v>
          </cell>
          <cell r="L56">
            <v>32500</v>
          </cell>
          <cell r="M56">
            <v>32500</v>
          </cell>
          <cell r="N56">
            <v>32500</v>
          </cell>
          <cell r="O56">
            <v>0.65</v>
          </cell>
        </row>
        <row r="57">
          <cell r="B57">
            <v>53</v>
          </cell>
          <cell r="C57">
            <v>17151.120000000006</v>
          </cell>
          <cell r="D57">
            <v>907.20000000000027</v>
          </cell>
          <cell r="E57">
            <v>403.2000000000001</v>
          </cell>
          <cell r="F57">
            <v>1330.2264000000005</v>
          </cell>
          <cell r="H57">
            <v>53</v>
          </cell>
          <cell r="I57">
            <v>816210.17890046258</v>
          </cell>
          <cell r="J57">
            <v>46539.360000000008</v>
          </cell>
          <cell r="K57">
            <v>20684.160000000003</v>
          </cell>
          <cell r="L57">
            <v>33125</v>
          </cell>
          <cell r="M57">
            <v>33125</v>
          </cell>
          <cell r="N57">
            <v>33125</v>
          </cell>
          <cell r="O57">
            <v>0.66249999999999998</v>
          </cell>
        </row>
        <row r="58">
          <cell r="B58">
            <v>54</v>
          </cell>
          <cell r="C58">
            <v>17926.260000000002</v>
          </cell>
          <cell r="D58">
            <v>934.20000000000027</v>
          </cell>
          <cell r="E58">
            <v>415.20000000000016</v>
          </cell>
          <cell r="F58">
            <v>1369.2264000000005</v>
          </cell>
          <cell r="H58">
            <v>54</v>
          </cell>
          <cell r="I58">
            <v>850486.3182352474</v>
          </cell>
          <cell r="J58">
            <v>47924.460000000014</v>
          </cell>
          <cell r="K58">
            <v>21299.760000000006</v>
          </cell>
          <cell r="L58">
            <v>33750</v>
          </cell>
          <cell r="M58">
            <v>33750</v>
          </cell>
          <cell r="N58">
            <v>33750</v>
          </cell>
          <cell r="O58">
            <v>0.67500000000000004</v>
          </cell>
        </row>
        <row r="59">
          <cell r="B59">
            <v>55</v>
          </cell>
          <cell r="C59">
            <v>18716.7</v>
          </cell>
          <cell r="D59">
            <v>961.20000000000016</v>
          </cell>
          <cell r="E59">
            <v>427.2000000000001</v>
          </cell>
          <cell r="F59">
            <v>1408.2264000000002</v>
          </cell>
          <cell r="H59">
            <v>55</v>
          </cell>
          <cell r="I59">
            <v>885221.12189069903</v>
          </cell>
          <cell r="J59">
            <v>49309.560000000005</v>
          </cell>
          <cell r="K59">
            <v>21915.360000000004</v>
          </cell>
          <cell r="L59">
            <v>34375</v>
          </cell>
          <cell r="M59">
            <v>34375</v>
          </cell>
          <cell r="N59">
            <v>34375</v>
          </cell>
          <cell r="O59">
            <v>0.6875</v>
          </cell>
        </row>
        <row r="60">
          <cell r="B60">
            <v>56</v>
          </cell>
          <cell r="C60">
            <v>19522.440000000006</v>
          </cell>
          <cell r="D60">
            <v>988.20000000000027</v>
          </cell>
          <cell r="E60">
            <v>439.20000000000016</v>
          </cell>
          <cell r="F60">
            <v>1447.2264000000005</v>
          </cell>
          <cell r="H60">
            <v>56</v>
          </cell>
          <cell r="I60">
            <v>920403.6159907598</v>
          </cell>
          <cell r="J60">
            <v>50694.660000000011</v>
          </cell>
          <cell r="K60">
            <v>22530.960000000006</v>
          </cell>
          <cell r="L60">
            <v>35000</v>
          </cell>
          <cell r="M60">
            <v>35000</v>
          </cell>
          <cell r="N60">
            <v>35000</v>
          </cell>
          <cell r="O60">
            <v>0.7</v>
          </cell>
        </row>
        <row r="61">
          <cell r="B61">
            <v>57</v>
          </cell>
          <cell r="C61">
            <v>20343.480000000003</v>
          </cell>
          <cell r="D61">
            <v>1015.2000000000002</v>
          </cell>
          <cell r="E61">
            <v>451.2000000000001</v>
          </cell>
          <cell r="F61">
            <v>1486.2264000000002</v>
          </cell>
          <cell r="H61">
            <v>57</v>
          </cell>
          <cell r="I61">
            <v>956022.76320517482</v>
          </cell>
          <cell r="J61">
            <v>52079.76</v>
          </cell>
          <cell r="K61">
            <v>23146.560000000005</v>
          </cell>
          <cell r="L61">
            <v>35625</v>
          </cell>
          <cell r="M61">
            <v>35625</v>
          </cell>
          <cell r="N61">
            <v>35625</v>
          </cell>
          <cell r="O61">
            <v>0.71250000000000002</v>
          </cell>
        </row>
        <row r="62">
          <cell r="B62">
            <v>58</v>
          </cell>
          <cell r="C62">
            <v>21179.820000000003</v>
          </cell>
          <cell r="D62">
            <v>1042.2000000000003</v>
          </cell>
          <cell r="E62">
            <v>463.20000000000016</v>
          </cell>
          <cell r="F62">
            <v>1525.2264000000005</v>
          </cell>
          <cell r="H62">
            <v>58</v>
          </cell>
          <cell r="I62">
            <v>992067.46872380655</v>
          </cell>
          <cell r="J62">
            <v>53464.860000000008</v>
          </cell>
          <cell r="K62">
            <v>23762.160000000007</v>
          </cell>
          <cell r="L62">
            <v>36250</v>
          </cell>
          <cell r="M62">
            <v>36250</v>
          </cell>
          <cell r="N62">
            <v>36250</v>
          </cell>
          <cell r="O62">
            <v>0.72499999999999998</v>
          </cell>
        </row>
        <row r="63">
          <cell r="B63">
            <v>59</v>
          </cell>
          <cell r="C63">
            <v>22031.460000000006</v>
          </cell>
          <cell r="D63">
            <v>1069.2000000000003</v>
          </cell>
          <cell r="E63">
            <v>475.2000000000001</v>
          </cell>
          <cell r="F63">
            <v>1564.2264000000002</v>
          </cell>
          <cell r="H63">
            <v>59</v>
          </cell>
          <cell r="I63">
            <v>1028526.5862309474</v>
          </cell>
          <cell r="J63">
            <v>54849.960000000014</v>
          </cell>
          <cell r="K63">
            <v>24377.760000000006</v>
          </cell>
          <cell r="L63">
            <v>36875</v>
          </cell>
          <cell r="M63">
            <v>36875</v>
          </cell>
          <cell r="N63">
            <v>36875</v>
          </cell>
          <cell r="O63">
            <v>0.73750000000000004</v>
          </cell>
        </row>
        <row r="64">
          <cell r="B64">
            <v>60</v>
          </cell>
          <cell r="C64">
            <v>23011.200000000008</v>
          </cell>
          <cell r="D64">
            <v>1101.6000000000004</v>
          </cell>
          <cell r="E64">
            <v>489.60000000000019</v>
          </cell>
          <cell r="F64">
            <v>1611.0264000000004</v>
          </cell>
          <cell r="H64">
            <v>60</v>
          </cell>
          <cell r="I64">
            <v>1070637.145179532</v>
          </cell>
          <cell r="J64">
            <v>56512.080000000016</v>
          </cell>
          <cell r="K64">
            <v>25116.480000000007</v>
          </cell>
          <cell r="L64">
            <v>37500</v>
          </cell>
          <cell r="M64">
            <v>37500</v>
          </cell>
          <cell r="N64">
            <v>37500</v>
          </cell>
          <cell r="O64">
            <v>0.75</v>
          </cell>
        </row>
        <row r="65">
          <cell r="B65">
            <v>61</v>
          </cell>
          <cell r="C65">
            <v>24009.30000000001</v>
          </cell>
          <cell r="D65">
            <v>1134.0000000000005</v>
          </cell>
          <cell r="E65">
            <v>504.00000000000023</v>
          </cell>
          <cell r="F65">
            <v>1657.8264000000006</v>
          </cell>
          <cell r="H65">
            <v>61</v>
          </cell>
          <cell r="I65">
            <v>1113245.589210819</v>
          </cell>
          <cell r="J65">
            <v>58174.200000000019</v>
          </cell>
          <cell r="K65">
            <v>25855.200000000012</v>
          </cell>
          <cell r="L65">
            <v>38125</v>
          </cell>
          <cell r="M65">
            <v>38125</v>
          </cell>
          <cell r="N65">
            <v>38125</v>
          </cell>
          <cell r="O65">
            <v>0.76249999999999996</v>
          </cell>
        </row>
        <row r="66">
          <cell r="B66">
            <v>62</v>
          </cell>
          <cell r="C66">
            <v>25025.760000000009</v>
          </cell>
          <cell r="D66">
            <v>1166.4000000000003</v>
          </cell>
          <cell r="E66">
            <v>518.4000000000002</v>
          </cell>
          <cell r="F66">
            <v>1704.6264000000006</v>
          </cell>
          <cell r="H66">
            <v>62</v>
          </cell>
          <cell r="I66">
            <v>1156338.5581555346</v>
          </cell>
          <cell r="J66">
            <v>59836.320000000014</v>
          </cell>
          <cell r="K66">
            <v>26593.920000000009</v>
          </cell>
          <cell r="L66">
            <v>38750</v>
          </cell>
          <cell r="M66">
            <v>38750</v>
          </cell>
          <cell r="N66">
            <v>38750</v>
          </cell>
          <cell r="O66">
            <v>0.77500000000000002</v>
          </cell>
        </row>
        <row r="67">
          <cell r="B67">
            <v>63</v>
          </cell>
          <cell r="C67">
            <v>26060.580000000016</v>
          </cell>
          <cell r="D67">
            <v>1198.8000000000006</v>
          </cell>
          <cell r="E67">
            <v>532.8000000000003</v>
          </cell>
          <cell r="F67">
            <v>1751.4264000000007</v>
          </cell>
          <cell r="H67">
            <v>63</v>
          </cell>
          <cell r="I67">
            <v>1199902.6492511141</v>
          </cell>
          <cell r="J67">
            <v>61498.440000000031</v>
          </cell>
          <cell r="K67">
            <v>27332.640000000014</v>
          </cell>
          <cell r="L67">
            <v>39375</v>
          </cell>
          <cell r="M67">
            <v>39375</v>
          </cell>
          <cell r="N67">
            <v>39375</v>
          </cell>
          <cell r="O67">
            <v>0.78749999999999998</v>
          </cell>
        </row>
        <row r="68">
          <cell r="B68">
            <v>64</v>
          </cell>
          <cell r="C68">
            <v>27113.760000000017</v>
          </cell>
          <cell r="D68">
            <v>1231.2000000000005</v>
          </cell>
          <cell r="E68">
            <v>547.20000000000039</v>
          </cell>
          <cell r="F68">
            <v>1798.2264000000009</v>
          </cell>
          <cell r="H68">
            <v>64</v>
          </cell>
          <cell r="I68">
            <v>1243924.4243108754</v>
          </cell>
          <cell r="J68">
            <v>63160.560000000019</v>
          </cell>
          <cell r="K68">
            <v>28071.360000000019</v>
          </cell>
          <cell r="L68">
            <v>40000</v>
          </cell>
          <cell r="M68">
            <v>40000</v>
          </cell>
          <cell r="N68">
            <v>40000</v>
          </cell>
          <cell r="O68">
            <v>0.8</v>
          </cell>
        </row>
        <row r="69">
          <cell r="B69">
            <v>65</v>
          </cell>
          <cell r="C69">
            <v>28185.30000000001</v>
          </cell>
          <cell r="D69">
            <v>1263.6000000000004</v>
          </cell>
          <cell r="E69">
            <v>561.60000000000025</v>
          </cell>
          <cell r="F69">
            <v>1845.0264000000006</v>
          </cell>
          <cell r="H69">
            <v>65</v>
          </cell>
          <cell r="I69">
            <v>1288390.416893197</v>
          </cell>
          <cell r="J69">
            <v>64822.680000000015</v>
          </cell>
          <cell r="K69">
            <v>28810.080000000013</v>
          </cell>
          <cell r="L69">
            <v>40625</v>
          </cell>
          <cell r="M69">
            <v>40625</v>
          </cell>
          <cell r="N69">
            <v>40625</v>
          </cell>
          <cell r="O69">
            <v>0.8125</v>
          </cell>
        </row>
        <row r="70">
          <cell r="B70">
            <v>66</v>
          </cell>
          <cell r="C70">
            <v>29275.200000000019</v>
          </cell>
          <cell r="D70">
            <v>1296.0000000000009</v>
          </cell>
          <cell r="E70">
            <v>576.00000000000045</v>
          </cell>
          <cell r="F70">
            <v>1891.8264000000013</v>
          </cell>
          <cell r="H70">
            <v>66</v>
          </cell>
          <cell r="I70">
            <v>1333287.1394706951</v>
          </cell>
          <cell r="J70">
            <v>66484.800000000047</v>
          </cell>
          <cell r="K70">
            <v>29548.800000000021</v>
          </cell>
          <cell r="L70">
            <v>41250</v>
          </cell>
          <cell r="M70">
            <v>41250</v>
          </cell>
          <cell r="N70">
            <v>41250</v>
          </cell>
          <cell r="O70">
            <v>0.82499999999999996</v>
          </cell>
        </row>
        <row r="71">
          <cell r="B71">
            <v>67</v>
          </cell>
          <cell r="C71">
            <v>30383.460000000021</v>
          </cell>
          <cell r="D71">
            <v>1328.400000000001</v>
          </cell>
          <cell r="E71">
            <v>590.40000000000043</v>
          </cell>
          <cell r="F71">
            <v>1938.6264000000015</v>
          </cell>
          <cell r="H71">
            <v>67</v>
          </cell>
          <cell r="I71">
            <v>1378601.0905993942</v>
          </cell>
          <cell r="J71">
            <v>68146.920000000042</v>
          </cell>
          <cell r="K71">
            <v>30287.520000000022</v>
          </cell>
          <cell r="L71">
            <v>41875</v>
          </cell>
          <cell r="M71">
            <v>41875</v>
          </cell>
          <cell r="N71">
            <v>41875</v>
          </cell>
          <cell r="O71">
            <v>0.83750000000000002</v>
          </cell>
        </row>
        <row r="72">
          <cell r="B72">
            <v>68</v>
          </cell>
          <cell r="C72">
            <v>31510.08000000002</v>
          </cell>
          <cell r="D72">
            <v>1360.8000000000011</v>
          </cell>
          <cell r="E72">
            <v>604.80000000000041</v>
          </cell>
          <cell r="F72">
            <v>1985.4264000000014</v>
          </cell>
          <cell r="H72">
            <v>68</v>
          </cell>
          <cell r="I72">
            <v>1424318.7620879104</v>
          </cell>
          <cell r="J72">
            <v>69809.040000000052</v>
          </cell>
          <cell r="K72">
            <v>31026.24000000002</v>
          </cell>
          <cell r="L72">
            <v>42500</v>
          </cell>
          <cell r="M72">
            <v>42500</v>
          </cell>
          <cell r="N72">
            <v>42500</v>
          </cell>
          <cell r="O72">
            <v>0.85</v>
          </cell>
        </row>
        <row r="73">
          <cell r="B73">
            <v>69</v>
          </cell>
          <cell r="C73">
            <v>32655.060000000023</v>
          </cell>
          <cell r="D73">
            <v>1393.200000000001</v>
          </cell>
          <cell r="E73">
            <v>619.2000000000005</v>
          </cell>
          <cell r="F73">
            <v>2032.2264000000014</v>
          </cell>
          <cell r="H73">
            <v>69</v>
          </cell>
          <cell r="I73">
            <v>1470426.6461666226</v>
          </cell>
          <cell r="J73">
            <v>71471.160000000047</v>
          </cell>
          <cell r="K73">
            <v>31764.960000000025</v>
          </cell>
          <cell r="L73">
            <v>43125</v>
          </cell>
          <cell r="M73">
            <v>43125</v>
          </cell>
          <cell r="N73">
            <v>43125</v>
          </cell>
          <cell r="O73">
            <v>0.86250000000000004</v>
          </cell>
        </row>
        <row r="74">
          <cell r="B74">
            <v>70</v>
          </cell>
          <cell r="C74">
            <v>33946.500000000022</v>
          </cell>
          <cell r="D74">
            <v>1431.0000000000011</v>
          </cell>
          <cell r="E74">
            <v>636.00000000000057</v>
          </cell>
          <cell r="F74">
            <v>2086.8264000000017</v>
          </cell>
          <cell r="H74">
            <v>70</v>
          </cell>
          <cell r="I74">
            <v>1522657.1185760058</v>
          </cell>
          <cell r="J74">
            <v>73410.300000000061</v>
          </cell>
          <cell r="K74">
            <v>32626.800000000028</v>
          </cell>
          <cell r="L74">
            <v>43750</v>
          </cell>
          <cell r="M74">
            <v>43750</v>
          </cell>
          <cell r="N74">
            <v>43750</v>
          </cell>
          <cell r="O74">
            <v>0.875</v>
          </cell>
        </row>
        <row r="75">
          <cell r="B75">
            <v>71</v>
          </cell>
          <cell r="C75">
            <v>35259.360000000022</v>
          </cell>
          <cell r="D75">
            <v>1468.8000000000009</v>
          </cell>
          <cell r="E75">
            <v>652.80000000000041</v>
          </cell>
          <cell r="F75">
            <v>2141.4264000000012</v>
          </cell>
          <cell r="H75">
            <v>71</v>
          </cell>
          <cell r="I75">
            <v>1575342.4666299568</v>
          </cell>
          <cell r="J75">
            <v>75349.440000000046</v>
          </cell>
          <cell r="K75">
            <v>33488.640000000021</v>
          </cell>
          <cell r="L75">
            <v>44375</v>
          </cell>
          <cell r="M75">
            <v>44375</v>
          </cell>
          <cell r="N75">
            <v>44375</v>
          </cell>
          <cell r="O75">
            <v>0.88749999999999996</v>
          </cell>
        </row>
        <row r="76">
          <cell r="B76">
            <v>72</v>
          </cell>
          <cell r="C76">
            <v>36593.640000000021</v>
          </cell>
          <cell r="D76">
            <v>1506.600000000001</v>
          </cell>
          <cell r="E76">
            <v>669.60000000000036</v>
          </cell>
          <cell r="F76">
            <v>2196.0264000000016</v>
          </cell>
          <cell r="H76">
            <v>72</v>
          </cell>
          <cell r="I76">
            <v>1628467.0515304436</v>
          </cell>
          <cell r="J76">
            <v>77288.580000000045</v>
          </cell>
          <cell r="K76">
            <v>34350.480000000018</v>
          </cell>
          <cell r="L76">
            <v>45000</v>
          </cell>
          <cell r="M76">
            <v>45000</v>
          </cell>
          <cell r="N76">
            <v>45000</v>
          </cell>
          <cell r="O76">
            <v>0.9</v>
          </cell>
        </row>
        <row r="77">
          <cell r="B77">
            <v>73</v>
          </cell>
          <cell r="C77">
            <v>37949.340000000018</v>
          </cell>
          <cell r="D77">
            <v>1544.4000000000008</v>
          </cell>
          <cell r="E77">
            <v>686.40000000000043</v>
          </cell>
          <cell r="F77">
            <v>2250.626400000001</v>
          </cell>
        </row>
        <row r="78">
          <cell r="B78">
            <v>74</v>
          </cell>
          <cell r="C78">
            <v>39326.460000000021</v>
          </cell>
          <cell r="D78">
            <v>1582.200000000001</v>
          </cell>
          <cell r="E78">
            <v>703.20000000000039</v>
          </cell>
          <cell r="F78">
            <v>2305.2264000000014</v>
          </cell>
        </row>
        <row r="79">
          <cell r="B79">
            <v>75</v>
          </cell>
          <cell r="C79">
            <v>40725.000000000029</v>
          </cell>
          <cell r="D79">
            <v>1620.0000000000011</v>
          </cell>
          <cell r="E79">
            <v>720.00000000000057</v>
          </cell>
          <cell r="F79">
            <v>2359.8264000000017</v>
          </cell>
        </row>
        <row r="80">
          <cell r="B80">
            <v>76</v>
          </cell>
          <cell r="C80">
            <v>42144.960000000021</v>
          </cell>
          <cell r="D80">
            <v>1657.8000000000009</v>
          </cell>
          <cell r="E80">
            <v>736.80000000000041</v>
          </cell>
          <cell r="F80">
            <v>2414.4264000000012</v>
          </cell>
        </row>
        <row r="81">
          <cell r="B81">
            <v>77</v>
          </cell>
          <cell r="C81">
            <v>43586.340000000018</v>
          </cell>
          <cell r="D81">
            <v>1695.6000000000008</v>
          </cell>
          <cell r="E81">
            <v>753.60000000000036</v>
          </cell>
          <cell r="F81">
            <v>2469.0264000000011</v>
          </cell>
        </row>
        <row r="82">
          <cell r="B82">
            <v>78</v>
          </cell>
          <cell r="C82">
            <v>45049.140000000014</v>
          </cell>
          <cell r="D82">
            <v>1733.4000000000005</v>
          </cell>
          <cell r="E82">
            <v>770.40000000000032</v>
          </cell>
          <cell r="F82">
            <v>2523.626400000001</v>
          </cell>
        </row>
        <row r="83">
          <cell r="B83">
            <v>79</v>
          </cell>
          <cell r="C83">
            <v>46533.360000000022</v>
          </cell>
          <cell r="D83">
            <v>1771.2000000000007</v>
          </cell>
          <cell r="E83">
            <v>787.20000000000039</v>
          </cell>
          <cell r="F83">
            <v>2578.2264000000009</v>
          </cell>
        </row>
        <row r="84">
          <cell r="B84">
            <v>80</v>
          </cell>
          <cell r="C84">
            <v>48182.400000000001</v>
          </cell>
          <cell r="D84">
            <v>1814.4000000000003</v>
          </cell>
          <cell r="E84">
            <v>806.4000000000002</v>
          </cell>
          <cell r="F84">
            <v>2640.6264000000006</v>
          </cell>
        </row>
        <row r="85">
          <cell r="B85">
            <v>81</v>
          </cell>
          <cell r="C85">
            <v>49855.92000000002</v>
          </cell>
          <cell r="D85">
            <v>1857.6000000000006</v>
          </cell>
          <cell r="E85">
            <v>825.60000000000036</v>
          </cell>
          <cell r="F85">
            <v>2703.0264000000006</v>
          </cell>
        </row>
        <row r="86">
          <cell r="B86">
            <v>82</v>
          </cell>
          <cell r="C86">
            <v>51553.920000000013</v>
          </cell>
          <cell r="D86">
            <v>1900.8000000000004</v>
          </cell>
          <cell r="E86">
            <v>844.80000000000018</v>
          </cell>
          <cell r="F86">
            <v>2765.4264000000003</v>
          </cell>
        </row>
        <row r="87">
          <cell r="B87">
            <v>83</v>
          </cell>
          <cell r="C87">
            <v>53276.400000000016</v>
          </cell>
          <cell r="D87">
            <v>1944.0000000000005</v>
          </cell>
          <cell r="E87">
            <v>864.00000000000023</v>
          </cell>
          <cell r="F87">
            <v>2827.8264000000008</v>
          </cell>
        </row>
        <row r="88">
          <cell r="B88">
            <v>84</v>
          </cell>
          <cell r="C88">
            <v>55023.360000000022</v>
          </cell>
          <cell r="D88">
            <v>1987.2000000000005</v>
          </cell>
          <cell r="E88">
            <v>883.20000000000027</v>
          </cell>
          <cell r="F88">
            <v>2890.2264000000005</v>
          </cell>
        </row>
        <row r="89">
          <cell r="B89">
            <v>85</v>
          </cell>
          <cell r="C89">
            <v>56794.799999999996</v>
          </cell>
          <cell r="D89">
            <v>2030.4000000000003</v>
          </cell>
          <cell r="E89">
            <v>902.4</v>
          </cell>
          <cell r="F89">
            <v>2952.6264000000006</v>
          </cell>
        </row>
        <row r="90">
          <cell r="B90">
            <v>86</v>
          </cell>
          <cell r="C90">
            <v>58590.720000000001</v>
          </cell>
          <cell r="D90">
            <v>2073.6000000000004</v>
          </cell>
          <cell r="E90">
            <v>921.60000000000014</v>
          </cell>
          <cell r="F90">
            <v>3015.0264000000006</v>
          </cell>
        </row>
        <row r="91">
          <cell r="B91">
            <v>87</v>
          </cell>
          <cell r="C91">
            <v>60411.119999999981</v>
          </cell>
          <cell r="D91">
            <v>2116.7999999999997</v>
          </cell>
          <cell r="E91">
            <v>940.79999999999984</v>
          </cell>
          <cell r="F91">
            <v>3077.4263999999994</v>
          </cell>
        </row>
        <row r="92">
          <cell r="B92">
            <v>88</v>
          </cell>
          <cell r="C92">
            <v>62255.999999999993</v>
          </cell>
          <cell r="D92">
            <v>2159.9999999999995</v>
          </cell>
          <cell r="E92">
            <v>959.99999999999977</v>
          </cell>
          <cell r="F92">
            <v>3139.826399999999</v>
          </cell>
        </row>
        <row r="93">
          <cell r="B93">
            <v>89</v>
          </cell>
          <cell r="C93">
            <v>64125.359999999986</v>
          </cell>
          <cell r="D93">
            <v>2203.1999999999998</v>
          </cell>
          <cell r="E93">
            <v>979.19999999999982</v>
          </cell>
          <cell r="F93">
            <v>3202.2263999999996</v>
          </cell>
        </row>
        <row r="94">
          <cell r="B94">
            <v>90</v>
          </cell>
          <cell r="C94">
            <v>66019.199999999983</v>
          </cell>
          <cell r="D94">
            <v>2246.3999999999992</v>
          </cell>
          <cell r="E94">
            <v>998.39999999999964</v>
          </cell>
          <cell r="F94">
            <v>3264.6263999999987</v>
          </cell>
        </row>
        <row r="95">
          <cell r="B95">
            <v>91</v>
          </cell>
          <cell r="C95">
            <v>67937.519999999975</v>
          </cell>
          <cell r="D95">
            <v>2289.599999999999</v>
          </cell>
          <cell r="E95">
            <v>1017.5999999999996</v>
          </cell>
          <cell r="F95">
            <v>3327.0263999999984</v>
          </cell>
        </row>
        <row r="96">
          <cell r="B96">
            <v>92</v>
          </cell>
          <cell r="C96">
            <v>69880.319999999978</v>
          </cell>
          <cell r="D96">
            <v>2332.7999999999988</v>
          </cell>
          <cell r="E96">
            <v>1036.7999999999997</v>
          </cell>
          <cell r="F96">
            <v>3389.4263999999985</v>
          </cell>
        </row>
        <row r="97">
          <cell r="B97">
            <v>93</v>
          </cell>
          <cell r="C97">
            <v>71847.599999999962</v>
          </cell>
          <cell r="D97">
            <v>2375.9999999999991</v>
          </cell>
          <cell r="E97">
            <v>1055.9999999999995</v>
          </cell>
          <cell r="F97">
            <v>3451.8263999999986</v>
          </cell>
        </row>
        <row r="98">
          <cell r="B98">
            <v>94</v>
          </cell>
          <cell r="C98">
            <v>73839.359999999957</v>
          </cell>
          <cell r="D98">
            <v>2419.1999999999989</v>
          </cell>
          <cell r="E98">
            <v>1075.1999999999996</v>
          </cell>
          <cell r="F98">
            <v>3514.2263999999986</v>
          </cell>
        </row>
        <row r="99">
          <cell r="B99">
            <v>95</v>
          </cell>
          <cell r="C99">
            <v>75855.599999999962</v>
          </cell>
          <cell r="D99">
            <v>2462.3999999999987</v>
          </cell>
          <cell r="E99">
            <v>1094.3999999999994</v>
          </cell>
          <cell r="F99">
            <v>3576.6263999999983</v>
          </cell>
        </row>
        <row r="100">
          <cell r="B100">
            <v>96</v>
          </cell>
          <cell r="C100">
            <v>77896.319999999949</v>
          </cell>
          <cell r="D100">
            <v>2505.5999999999985</v>
          </cell>
          <cell r="E100">
            <v>1113.5999999999992</v>
          </cell>
          <cell r="F100">
            <v>3639.0263999999979</v>
          </cell>
        </row>
        <row r="101">
          <cell r="B101">
            <v>97</v>
          </cell>
          <cell r="C101">
            <v>79961.519999999946</v>
          </cell>
          <cell r="D101">
            <v>2548.7999999999984</v>
          </cell>
          <cell r="E101">
            <v>1132.7999999999993</v>
          </cell>
          <cell r="F101">
            <v>3701.4263999999976</v>
          </cell>
        </row>
        <row r="102">
          <cell r="B102">
            <v>98</v>
          </cell>
          <cell r="C102">
            <v>82051.199999999939</v>
          </cell>
          <cell r="D102">
            <v>2591.9999999999977</v>
          </cell>
          <cell r="E102">
            <v>1151.9999999999991</v>
          </cell>
          <cell r="F102">
            <v>3763.8263999999967</v>
          </cell>
        </row>
        <row r="103">
          <cell r="B103">
            <v>99</v>
          </cell>
          <cell r="C103">
            <v>84165.359999999928</v>
          </cell>
          <cell r="D103">
            <v>2635.199999999998</v>
          </cell>
          <cell r="E103">
            <v>1171.1999999999991</v>
          </cell>
          <cell r="F103">
            <v>3826.2263999999968</v>
          </cell>
        </row>
      </sheetData>
      <sheetData sheetId="6">
        <row r="3">
          <cell r="B3" t="str">
            <v>等级</v>
          </cell>
          <cell r="C3" t="str">
            <v>生命</v>
          </cell>
        </row>
        <row r="4">
          <cell r="B4">
            <v>1</v>
          </cell>
          <cell r="C4">
            <v>25425.628766174996</v>
          </cell>
          <cell r="D4">
            <v>6094.4400000000005</v>
          </cell>
          <cell r="E4">
            <v>2708.64</v>
          </cell>
          <cell r="F4">
            <v>625</v>
          </cell>
          <cell r="G4">
            <v>625</v>
          </cell>
          <cell r="H4">
            <v>625</v>
          </cell>
          <cell r="I4">
            <v>625</v>
          </cell>
          <cell r="J4">
            <v>625</v>
          </cell>
          <cell r="K4">
            <v>250</v>
          </cell>
          <cell r="L4">
            <v>250</v>
          </cell>
          <cell r="M4">
            <v>125.00000000000003</v>
          </cell>
          <cell r="N4">
            <v>250.00000000000006</v>
          </cell>
          <cell r="O4">
            <v>250</v>
          </cell>
        </row>
        <row r="5">
          <cell r="B5">
            <v>2</v>
          </cell>
          <cell r="C5">
            <v>29618.655904799994</v>
          </cell>
          <cell r="D5">
            <v>6648.48</v>
          </cell>
          <cell r="E5">
            <v>2954.88</v>
          </cell>
          <cell r="F5">
            <v>1250</v>
          </cell>
          <cell r="G5">
            <v>1250</v>
          </cell>
          <cell r="H5">
            <v>1250</v>
          </cell>
          <cell r="I5">
            <v>1250</v>
          </cell>
          <cell r="J5">
            <v>1250</v>
          </cell>
          <cell r="K5">
            <v>500</v>
          </cell>
          <cell r="L5">
            <v>500</v>
          </cell>
          <cell r="M5">
            <v>250.00000000000006</v>
          </cell>
          <cell r="N5">
            <v>500.00000000000011</v>
          </cell>
          <cell r="O5">
            <v>500</v>
          </cell>
        </row>
        <row r="6">
          <cell r="B6">
            <v>3</v>
          </cell>
          <cell r="C6">
            <v>34125.023295675004</v>
          </cell>
          <cell r="D6">
            <v>7202.5199999999995</v>
          </cell>
          <cell r="E6">
            <v>3201.12</v>
          </cell>
          <cell r="F6">
            <v>1875</v>
          </cell>
          <cell r="G6">
            <v>1875</v>
          </cell>
          <cell r="H6">
            <v>1875</v>
          </cell>
          <cell r="I6">
            <v>1875</v>
          </cell>
          <cell r="J6">
            <v>1875</v>
          </cell>
          <cell r="K6">
            <v>750</v>
          </cell>
          <cell r="L6">
            <v>750</v>
          </cell>
          <cell r="M6">
            <v>375</v>
          </cell>
          <cell r="N6">
            <v>750</v>
          </cell>
          <cell r="O6">
            <v>750</v>
          </cell>
        </row>
        <row r="7">
          <cell r="B7">
            <v>4</v>
          </cell>
          <cell r="C7">
            <v>38944.673644799994</v>
          </cell>
          <cell r="D7">
            <v>7756.5599999999986</v>
          </cell>
          <cell r="E7">
            <v>3447.36</v>
          </cell>
          <cell r="F7">
            <v>2500</v>
          </cell>
          <cell r="G7">
            <v>2500</v>
          </cell>
          <cell r="H7">
            <v>2500</v>
          </cell>
          <cell r="I7">
            <v>2500</v>
          </cell>
          <cell r="J7">
            <v>2500</v>
          </cell>
          <cell r="K7">
            <v>1000</v>
          </cell>
          <cell r="L7">
            <v>1000</v>
          </cell>
          <cell r="M7">
            <v>500.00000000000011</v>
          </cell>
          <cell r="N7">
            <v>1000.0000000000002</v>
          </cell>
          <cell r="O7">
            <v>1000</v>
          </cell>
        </row>
        <row r="8">
          <cell r="B8">
            <v>5</v>
          </cell>
          <cell r="C8">
            <v>44077.550484375002</v>
          </cell>
          <cell r="D8">
            <v>8310.6</v>
          </cell>
          <cell r="E8">
            <v>3693.6</v>
          </cell>
          <cell r="F8">
            <v>3125</v>
          </cell>
          <cell r="G8">
            <v>3125</v>
          </cell>
          <cell r="H8">
            <v>3125</v>
          </cell>
          <cell r="I8">
            <v>3125</v>
          </cell>
          <cell r="J8">
            <v>3125</v>
          </cell>
          <cell r="K8">
            <v>1250</v>
          </cell>
          <cell r="L8">
            <v>1250</v>
          </cell>
          <cell r="M8">
            <v>625</v>
          </cell>
          <cell r="N8">
            <v>1250</v>
          </cell>
          <cell r="O8">
            <v>1250</v>
          </cell>
        </row>
        <row r="9">
          <cell r="B9">
            <v>6</v>
          </cell>
          <cell r="C9">
            <v>49512.78307926</v>
          </cell>
          <cell r="D9">
            <v>8864.64</v>
          </cell>
          <cell r="E9">
            <v>3939.8399999999997</v>
          </cell>
          <cell r="F9">
            <v>3750</v>
          </cell>
          <cell r="G9">
            <v>3750</v>
          </cell>
          <cell r="H9">
            <v>3750</v>
          </cell>
          <cell r="I9">
            <v>3750</v>
          </cell>
          <cell r="J9">
            <v>3750</v>
          </cell>
          <cell r="K9">
            <v>1500</v>
          </cell>
          <cell r="L9">
            <v>1500</v>
          </cell>
          <cell r="M9">
            <v>750</v>
          </cell>
          <cell r="N9">
            <v>1500</v>
          </cell>
          <cell r="O9">
            <v>1500</v>
          </cell>
        </row>
        <row r="10">
          <cell r="B10">
            <v>7</v>
          </cell>
          <cell r="C10">
            <v>55265.575387068035</v>
          </cell>
          <cell r="D10">
            <v>9418.6799999999985</v>
          </cell>
          <cell r="E10">
            <v>4186.08</v>
          </cell>
          <cell r="F10">
            <v>4375</v>
          </cell>
          <cell r="G10">
            <v>4375</v>
          </cell>
          <cell r="H10">
            <v>4375</v>
          </cell>
          <cell r="I10">
            <v>4375</v>
          </cell>
          <cell r="J10">
            <v>4375</v>
          </cell>
          <cell r="K10">
            <v>1750</v>
          </cell>
          <cell r="L10">
            <v>1750</v>
          </cell>
          <cell r="M10">
            <v>874.99999999999977</v>
          </cell>
          <cell r="N10">
            <v>1749.9999999999995</v>
          </cell>
          <cell r="O10">
            <v>1750</v>
          </cell>
        </row>
        <row r="11">
          <cell r="B11">
            <v>8</v>
          </cell>
          <cell r="C11">
            <v>61329.28024367999</v>
          </cell>
          <cell r="D11">
            <v>9972.7199999999975</v>
          </cell>
          <cell r="E11">
            <v>4432.32</v>
          </cell>
          <cell r="F11">
            <v>5000</v>
          </cell>
          <cell r="G11">
            <v>5000</v>
          </cell>
          <cell r="H11">
            <v>5000</v>
          </cell>
          <cell r="I11">
            <v>5000</v>
          </cell>
          <cell r="J11">
            <v>5000</v>
          </cell>
          <cell r="K11">
            <v>2000</v>
          </cell>
          <cell r="L11">
            <v>2000</v>
          </cell>
          <cell r="M11">
            <v>1000.0000000000002</v>
          </cell>
          <cell r="N11">
            <v>2000.0000000000005</v>
          </cell>
          <cell r="O11">
            <v>2000</v>
          </cell>
        </row>
        <row r="12">
          <cell r="B12">
            <v>9</v>
          </cell>
          <cell r="C12">
            <v>67694.683268459674</v>
          </cell>
          <cell r="D12">
            <v>10526.76</v>
          </cell>
          <cell r="E12">
            <v>4678.5599999999995</v>
          </cell>
          <cell r="F12">
            <v>5625</v>
          </cell>
          <cell r="G12">
            <v>5625</v>
          </cell>
          <cell r="H12">
            <v>5625</v>
          </cell>
          <cell r="I12">
            <v>5625</v>
          </cell>
          <cell r="J12">
            <v>5625</v>
          </cell>
          <cell r="K12">
            <v>2250.0000000000005</v>
          </cell>
          <cell r="L12">
            <v>2250.0000000000005</v>
          </cell>
          <cell r="M12">
            <v>1125</v>
          </cell>
          <cell r="N12">
            <v>2250</v>
          </cell>
          <cell r="O12">
            <v>2250.0000000000005</v>
          </cell>
        </row>
        <row r="13">
          <cell r="B13">
            <v>10</v>
          </cell>
          <cell r="C13">
            <v>74366.304487092377</v>
          </cell>
          <cell r="D13">
            <v>11080.800000000001</v>
          </cell>
          <cell r="E13">
            <v>4924.8</v>
          </cell>
          <cell r="F13">
            <v>6250</v>
          </cell>
          <cell r="G13">
            <v>6250</v>
          </cell>
          <cell r="H13">
            <v>6250</v>
          </cell>
          <cell r="I13">
            <v>6250</v>
          </cell>
          <cell r="J13">
            <v>6250</v>
          </cell>
          <cell r="K13">
            <v>2500</v>
          </cell>
          <cell r="L13">
            <v>2500</v>
          </cell>
          <cell r="M13">
            <v>1250</v>
          </cell>
          <cell r="N13">
            <v>2500</v>
          </cell>
          <cell r="O13">
            <v>2500</v>
          </cell>
        </row>
        <row r="14">
          <cell r="B14">
            <v>11</v>
          </cell>
          <cell r="C14">
            <v>81342.982152175478</v>
          </cell>
          <cell r="D14">
            <v>11634.839999999997</v>
          </cell>
          <cell r="E14">
            <v>5171.0399999999981</v>
          </cell>
          <cell r="F14">
            <v>6875</v>
          </cell>
          <cell r="G14">
            <v>6875</v>
          </cell>
          <cell r="H14">
            <v>6875</v>
          </cell>
          <cell r="I14">
            <v>6875.0000000000009</v>
          </cell>
          <cell r="J14">
            <v>6875</v>
          </cell>
          <cell r="K14">
            <v>2750</v>
          </cell>
          <cell r="L14">
            <v>2750</v>
          </cell>
          <cell r="M14">
            <v>1375</v>
          </cell>
          <cell r="N14">
            <v>2750</v>
          </cell>
          <cell r="O14">
            <v>2750</v>
          </cell>
        </row>
        <row r="15">
          <cell r="B15">
            <v>12</v>
          </cell>
          <cell r="C15">
            <v>88623.487211102605</v>
          </cell>
          <cell r="D15">
            <v>12188.880000000001</v>
          </cell>
          <cell r="E15">
            <v>5417.28</v>
          </cell>
          <cell r="F15">
            <v>7500</v>
          </cell>
          <cell r="G15">
            <v>7500</v>
          </cell>
          <cell r="H15">
            <v>7500</v>
          </cell>
          <cell r="I15">
            <v>7500</v>
          </cell>
          <cell r="J15">
            <v>7500</v>
          </cell>
          <cell r="K15">
            <v>3000</v>
          </cell>
          <cell r="L15">
            <v>3000</v>
          </cell>
          <cell r="M15">
            <v>1500</v>
          </cell>
          <cell r="N15">
            <v>3000</v>
          </cell>
          <cell r="O15">
            <v>3000</v>
          </cell>
        </row>
        <row r="16">
          <cell r="B16">
            <v>13</v>
          </cell>
          <cell r="C16">
            <v>96206.524707572564</v>
          </cell>
          <cell r="D16">
            <v>12742.92</v>
          </cell>
          <cell r="E16">
            <v>5663.5199999999995</v>
          </cell>
          <cell r="F16">
            <v>8125</v>
          </cell>
          <cell r="G16">
            <v>8125</v>
          </cell>
          <cell r="H16">
            <v>8125</v>
          </cell>
          <cell r="I16">
            <v>8125</v>
          </cell>
          <cell r="J16">
            <v>8125</v>
          </cell>
          <cell r="K16">
            <v>3250</v>
          </cell>
          <cell r="L16">
            <v>3250</v>
          </cell>
          <cell r="M16">
            <v>1625</v>
          </cell>
          <cell r="N16">
            <v>3250</v>
          </cell>
          <cell r="O16">
            <v>3250</v>
          </cell>
        </row>
        <row r="17">
          <cell r="B17">
            <v>14</v>
          </cell>
          <cell r="C17">
            <v>104090.73518309872</v>
          </cell>
          <cell r="D17">
            <v>13296.960000000001</v>
          </cell>
          <cell r="E17">
            <v>5909.76</v>
          </cell>
          <cell r="F17">
            <v>8750</v>
          </cell>
          <cell r="G17">
            <v>8750</v>
          </cell>
          <cell r="H17">
            <v>8750</v>
          </cell>
          <cell r="I17">
            <v>8750</v>
          </cell>
          <cell r="J17">
            <v>8750</v>
          </cell>
          <cell r="K17">
            <v>3500</v>
          </cell>
          <cell r="L17">
            <v>3500</v>
          </cell>
          <cell r="M17">
            <v>1749.9999999999995</v>
          </cell>
          <cell r="N17">
            <v>3499.9999999999991</v>
          </cell>
          <cell r="O17">
            <v>3500</v>
          </cell>
        </row>
        <row r="18">
          <cell r="B18">
            <v>15</v>
          </cell>
          <cell r="C18">
            <v>112274.69607851775</v>
          </cell>
          <cell r="D18">
            <v>13851</v>
          </cell>
          <cell r="E18">
            <v>6156</v>
          </cell>
          <cell r="F18">
            <v>9375</v>
          </cell>
          <cell r="G18">
            <v>9375</v>
          </cell>
          <cell r="H18">
            <v>9375</v>
          </cell>
          <cell r="I18">
            <v>9375</v>
          </cell>
          <cell r="J18">
            <v>9375</v>
          </cell>
          <cell r="K18">
            <v>3750</v>
          </cell>
          <cell r="L18">
            <v>3750</v>
          </cell>
          <cell r="M18">
            <v>1875.0000000000002</v>
          </cell>
          <cell r="N18">
            <v>3750.0000000000005</v>
          </cell>
          <cell r="O18">
            <v>3750</v>
          </cell>
        </row>
        <row r="19">
          <cell r="B19">
            <v>16</v>
          </cell>
          <cell r="C19">
            <v>120756.92313549915</v>
          </cell>
          <cell r="D19">
            <v>14405.039999999999</v>
          </cell>
          <cell r="E19">
            <v>6402.24</v>
          </cell>
          <cell r="F19">
            <v>10000</v>
          </cell>
          <cell r="G19">
            <v>10000</v>
          </cell>
          <cell r="H19">
            <v>10000</v>
          </cell>
          <cell r="I19">
            <v>10000</v>
          </cell>
          <cell r="J19">
            <v>10000</v>
          </cell>
          <cell r="K19">
            <v>4000</v>
          </cell>
          <cell r="L19">
            <v>4000</v>
          </cell>
          <cell r="M19">
            <v>2000.0000000000005</v>
          </cell>
          <cell r="N19">
            <v>4000.0000000000009</v>
          </cell>
          <cell r="O19">
            <v>4000</v>
          </cell>
        </row>
        <row r="20">
          <cell r="B20">
            <v>17</v>
          </cell>
          <cell r="C20">
            <v>129535.87179805394</v>
          </cell>
          <cell r="D20">
            <v>14959.08</v>
          </cell>
          <cell r="E20">
            <v>6648.4800000000005</v>
          </cell>
          <cell r="F20">
            <v>10625</v>
          </cell>
          <cell r="G20">
            <v>10625</v>
          </cell>
          <cell r="H20">
            <v>10625</v>
          </cell>
          <cell r="I20">
            <v>10625</v>
          </cell>
          <cell r="J20">
            <v>10625</v>
          </cell>
          <cell r="K20">
            <v>4250</v>
          </cell>
          <cell r="L20">
            <v>4250</v>
          </cell>
          <cell r="M20">
            <v>2125</v>
          </cell>
          <cell r="N20">
            <v>4250</v>
          </cell>
          <cell r="O20">
            <v>4250</v>
          </cell>
        </row>
        <row r="21">
          <cell r="B21">
            <v>18</v>
          </cell>
          <cell r="C21">
            <v>138609.93861404416</v>
          </cell>
          <cell r="D21">
            <v>15513.120000000004</v>
          </cell>
          <cell r="E21">
            <v>6894.720000000003</v>
          </cell>
          <cell r="F21">
            <v>11250</v>
          </cell>
          <cell r="G21">
            <v>11250</v>
          </cell>
          <cell r="H21">
            <v>11250</v>
          </cell>
          <cell r="I21">
            <v>11250</v>
          </cell>
          <cell r="J21">
            <v>11250</v>
          </cell>
          <cell r="K21">
            <v>4500.0000000000009</v>
          </cell>
          <cell r="L21">
            <v>4500.0000000000009</v>
          </cell>
          <cell r="M21">
            <v>2250</v>
          </cell>
          <cell r="N21">
            <v>4500</v>
          </cell>
          <cell r="O21">
            <v>4500.0000000000009</v>
          </cell>
        </row>
        <row r="22">
          <cell r="B22">
            <v>19</v>
          </cell>
          <cell r="C22">
            <v>147977.46263669149</v>
          </cell>
          <cell r="D22">
            <v>16067.160000000003</v>
          </cell>
          <cell r="E22">
            <v>7140.9600000000019</v>
          </cell>
          <cell r="F22">
            <v>11875</v>
          </cell>
          <cell r="G22">
            <v>11875</v>
          </cell>
          <cell r="H22">
            <v>11875</v>
          </cell>
          <cell r="I22">
            <v>11875</v>
          </cell>
          <cell r="J22">
            <v>11875</v>
          </cell>
          <cell r="K22">
            <v>4750</v>
          </cell>
          <cell r="L22">
            <v>4750</v>
          </cell>
          <cell r="M22">
            <v>2375</v>
          </cell>
          <cell r="N22">
            <v>4750</v>
          </cell>
          <cell r="O22">
            <v>4750</v>
          </cell>
        </row>
        <row r="23">
          <cell r="B23">
            <v>20</v>
          </cell>
          <cell r="C23">
            <v>157636.72682608696</v>
          </cell>
          <cell r="D23">
            <v>16621.2</v>
          </cell>
          <cell r="E23">
            <v>7387.2000000000007</v>
          </cell>
          <cell r="F23">
            <v>12500</v>
          </cell>
          <cell r="G23">
            <v>12500</v>
          </cell>
          <cell r="H23">
            <v>12500</v>
          </cell>
          <cell r="I23">
            <v>12500</v>
          </cell>
          <cell r="J23">
            <v>12500</v>
          </cell>
          <cell r="K23">
            <v>5000</v>
          </cell>
          <cell r="L23">
            <v>5000</v>
          </cell>
          <cell r="M23">
            <v>2500</v>
          </cell>
          <cell r="N23">
            <v>5000</v>
          </cell>
          <cell r="O23">
            <v>5000</v>
          </cell>
        </row>
        <row r="24">
          <cell r="B24">
            <v>21</v>
          </cell>
          <cell r="C24">
            <v>167585.95945069948</v>
          </cell>
          <cell r="D24">
            <v>17175.240000000002</v>
          </cell>
          <cell r="E24">
            <v>7633.4400000000014</v>
          </cell>
          <cell r="F24">
            <v>13125</v>
          </cell>
          <cell r="G24">
            <v>13125</v>
          </cell>
          <cell r="H24">
            <v>13125</v>
          </cell>
          <cell r="I24">
            <v>13125</v>
          </cell>
          <cell r="J24">
            <v>13125</v>
          </cell>
          <cell r="K24">
            <v>5250</v>
          </cell>
          <cell r="L24">
            <v>5250</v>
          </cell>
          <cell r="M24">
            <v>2625</v>
          </cell>
          <cell r="N24">
            <v>5250</v>
          </cell>
          <cell r="O24">
            <v>5250</v>
          </cell>
        </row>
        <row r="25">
          <cell r="B25">
            <v>22</v>
          </cell>
          <cell r="C25">
            <v>177823.33548888523</v>
          </cell>
          <cell r="D25">
            <v>17729.280000000002</v>
          </cell>
          <cell r="E25">
            <v>7879.68</v>
          </cell>
          <cell r="F25">
            <v>13750</v>
          </cell>
          <cell r="G25">
            <v>13750</v>
          </cell>
          <cell r="H25">
            <v>13750</v>
          </cell>
          <cell r="I25">
            <v>13750.000000000002</v>
          </cell>
          <cell r="J25">
            <v>13750</v>
          </cell>
          <cell r="K25">
            <v>5500</v>
          </cell>
          <cell r="L25">
            <v>5500</v>
          </cell>
          <cell r="M25">
            <v>2750</v>
          </cell>
          <cell r="N25">
            <v>5500</v>
          </cell>
          <cell r="O25">
            <v>5500</v>
          </cell>
        </row>
        <row r="26">
          <cell r="B26">
            <v>23</v>
          </cell>
          <cell r="C26">
            <v>188311.53354048342</v>
          </cell>
          <cell r="D26">
            <v>18283.320000000007</v>
          </cell>
          <cell r="E26">
            <v>8125.9200000000028</v>
          </cell>
          <cell r="F26">
            <v>14375</v>
          </cell>
          <cell r="G26">
            <v>14375</v>
          </cell>
          <cell r="H26">
            <v>14375</v>
          </cell>
          <cell r="I26">
            <v>14374.999999999998</v>
          </cell>
          <cell r="J26">
            <v>14375</v>
          </cell>
          <cell r="K26">
            <v>5750</v>
          </cell>
          <cell r="L26">
            <v>5750</v>
          </cell>
          <cell r="M26">
            <v>2875</v>
          </cell>
          <cell r="N26">
            <v>5750</v>
          </cell>
          <cell r="O26">
            <v>5750</v>
          </cell>
        </row>
        <row r="27">
          <cell r="B27">
            <v>24</v>
          </cell>
          <cell r="C27">
            <v>199076.94354989222</v>
          </cell>
          <cell r="D27">
            <v>18837.360000000004</v>
          </cell>
          <cell r="E27">
            <v>8372.1600000000017</v>
          </cell>
          <cell r="F27">
            <v>15000</v>
          </cell>
          <cell r="G27">
            <v>15000</v>
          </cell>
          <cell r="H27">
            <v>15000</v>
          </cell>
          <cell r="I27">
            <v>15000</v>
          </cell>
          <cell r="J27">
            <v>15000</v>
          </cell>
          <cell r="K27">
            <v>6000</v>
          </cell>
          <cell r="L27">
            <v>6000</v>
          </cell>
          <cell r="M27">
            <v>3000</v>
          </cell>
          <cell r="N27">
            <v>6000</v>
          </cell>
          <cell r="O27">
            <v>6000</v>
          </cell>
        </row>
        <row r="28">
          <cell r="B28">
            <v>25</v>
          </cell>
          <cell r="C28">
            <v>210116.94081743428</v>
          </cell>
          <cell r="D28">
            <v>19391.400000000009</v>
          </cell>
          <cell r="E28">
            <v>8618.4000000000033</v>
          </cell>
          <cell r="F28">
            <v>15625</v>
          </cell>
          <cell r="G28">
            <v>15625</v>
          </cell>
          <cell r="H28">
            <v>15625</v>
          </cell>
          <cell r="I28">
            <v>15625</v>
          </cell>
          <cell r="J28">
            <v>15625</v>
          </cell>
          <cell r="K28">
            <v>6250</v>
          </cell>
          <cell r="L28">
            <v>6250</v>
          </cell>
          <cell r="M28">
            <v>3125</v>
          </cell>
          <cell r="N28">
            <v>6250</v>
          </cell>
          <cell r="O28">
            <v>6250</v>
          </cell>
        </row>
        <row r="29">
          <cell r="B29">
            <v>26</v>
          </cell>
          <cell r="C29">
            <v>221389.90491364009</v>
          </cell>
          <cell r="D29">
            <v>19945.440000000006</v>
          </cell>
          <cell r="E29">
            <v>8864.6400000000031</v>
          </cell>
          <cell r="F29">
            <v>16250</v>
          </cell>
          <cell r="G29">
            <v>16250</v>
          </cell>
          <cell r="H29">
            <v>16250</v>
          </cell>
          <cell r="I29">
            <v>16250</v>
          </cell>
          <cell r="J29">
            <v>16250</v>
          </cell>
          <cell r="K29">
            <v>6500</v>
          </cell>
          <cell r="L29">
            <v>6500</v>
          </cell>
          <cell r="M29">
            <v>3250</v>
          </cell>
          <cell r="N29">
            <v>6500</v>
          </cell>
          <cell r="O29">
            <v>6500</v>
          </cell>
        </row>
        <row r="30">
          <cell r="B30">
            <v>27</v>
          </cell>
          <cell r="C30">
            <v>232924.97228763651</v>
          </cell>
          <cell r="D30">
            <v>20499.480000000003</v>
          </cell>
          <cell r="E30">
            <v>9110.8800000000028</v>
          </cell>
          <cell r="F30">
            <v>16875</v>
          </cell>
          <cell r="G30">
            <v>16875</v>
          </cell>
          <cell r="H30">
            <v>16875</v>
          </cell>
          <cell r="I30">
            <v>16875</v>
          </cell>
          <cell r="J30">
            <v>16875</v>
          </cell>
          <cell r="K30">
            <v>6750</v>
          </cell>
          <cell r="L30">
            <v>6750</v>
          </cell>
          <cell r="M30">
            <v>3375</v>
          </cell>
          <cell r="N30">
            <v>6750</v>
          </cell>
          <cell r="O30">
            <v>6750</v>
          </cell>
        </row>
        <row r="31">
          <cell r="B31">
            <v>28</v>
          </cell>
          <cell r="C31">
            <v>244718.74472388739</v>
          </cell>
          <cell r="D31">
            <v>21053.520000000008</v>
          </cell>
          <cell r="E31">
            <v>9357.1200000000026</v>
          </cell>
          <cell r="F31">
            <v>17500</v>
          </cell>
          <cell r="G31">
            <v>17500</v>
          </cell>
          <cell r="H31">
            <v>17500</v>
          </cell>
          <cell r="I31">
            <v>17500</v>
          </cell>
          <cell r="J31">
            <v>17500</v>
          </cell>
          <cell r="K31">
            <v>7000</v>
          </cell>
          <cell r="L31">
            <v>7000</v>
          </cell>
          <cell r="M31">
            <v>3499.9999999999991</v>
          </cell>
          <cell r="N31">
            <v>6999.9999999999982</v>
          </cell>
          <cell r="O31">
            <v>7000</v>
          </cell>
        </row>
        <row r="32">
          <cell r="B32">
            <v>29</v>
          </cell>
          <cell r="C32">
            <v>256767.74642320591</v>
          </cell>
          <cell r="D32">
            <v>21607.560000000005</v>
          </cell>
          <cell r="E32">
            <v>9603.3600000000024</v>
          </cell>
          <cell r="F32">
            <v>18125</v>
          </cell>
          <cell r="G32">
            <v>18125</v>
          </cell>
          <cell r="H32">
            <v>18125</v>
          </cell>
          <cell r="I32">
            <v>18125</v>
          </cell>
          <cell r="J32">
            <v>18125</v>
          </cell>
          <cell r="K32">
            <v>7250</v>
          </cell>
          <cell r="L32">
            <v>7250</v>
          </cell>
          <cell r="M32">
            <v>3624.9999999999995</v>
          </cell>
          <cell r="N32">
            <v>7249.9999999999991</v>
          </cell>
          <cell r="O32">
            <v>7250</v>
          </cell>
        </row>
        <row r="33">
          <cell r="B33">
            <v>30</v>
          </cell>
          <cell r="C33">
            <v>272431.78170420078</v>
          </cell>
          <cell r="D33">
            <v>22438.62000000001</v>
          </cell>
          <cell r="E33">
            <v>9972.720000000003</v>
          </cell>
          <cell r="F33">
            <v>18750</v>
          </cell>
          <cell r="G33">
            <v>18750</v>
          </cell>
          <cell r="H33">
            <v>18750</v>
          </cell>
          <cell r="I33">
            <v>18750</v>
          </cell>
          <cell r="J33">
            <v>18750</v>
          </cell>
          <cell r="K33">
            <v>7500</v>
          </cell>
          <cell r="L33">
            <v>7500</v>
          </cell>
          <cell r="M33">
            <v>3750.0000000000005</v>
          </cell>
          <cell r="N33">
            <v>7500.0000000000009</v>
          </cell>
          <cell r="O33">
            <v>7500</v>
          </cell>
        </row>
        <row r="34">
          <cell r="B34">
            <v>31</v>
          </cell>
          <cell r="C34">
            <v>288485.87196386803</v>
          </cell>
          <cell r="D34">
            <v>23269.680000000004</v>
          </cell>
          <cell r="E34">
            <v>10342.08</v>
          </cell>
          <cell r="F34">
            <v>19375</v>
          </cell>
          <cell r="G34">
            <v>19375</v>
          </cell>
          <cell r="H34">
            <v>19375</v>
          </cell>
          <cell r="I34">
            <v>19375</v>
          </cell>
          <cell r="J34">
            <v>19375</v>
          </cell>
          <cell r="K34">
            <v>7750</v>
          </cell>
          <cell r="L34">
            <v>7750</v>
          </cell>
          <cell r="M34">
            <v>3875.0000000000005</v>
          </cell>
          <cell r="N34">
            <v>7750.0000000000009</v>
          </cell>
          <cell r="O34">
            <v>7750</v>
          </cell>
        </row>
        <row r="35">
          <cell r="B35">
            <v>32</v>
          </cell>
          <cell r="C35">
            <v>304922.24811464932</v>
          </cell>
          <cell r="D35">
            <v>24100.740000000013</v>
          </cell>
          <cell r="E35">
            <v>10711.440000000006</v>
          </cell>
          <cell r="F35">
            <v>20000</v>
          </cell>
          <cell r="G35">
            <v>20000</v>
          </cell>
          <cell r="H35">
            <v>20000</v>
          </cell>
          <cell r="I35">
            <v>20000</v>
          </cell>
          <cell r="J35">
            <v>20000</v>
          </cell>
          <cell r="K35">
            <v>8000</v>
          </cell>
          <cell r="L35">
            <v>8000</v>
          </cell>
          <cell r="M35">
            <v>4000.0000000000009</v>
          </cell>
          <cell r="N35">
            <v>8000.0000000000018</v>
          </cell>
          <cell r="O35">
            <v>8000</v>
          </cell>
        </row>
        <row r="36">
          <cell r="B36">
            <v>33</v>
          </cell>
          <cell r="C36">
            <v>321737.88910271024</v>
          </cell>
          <cell r="D36">
            <v>24931.800000000007</v>
          </cell>
          <cell r="E36">
            <v>11080.800000000003</v>
          </cell>
          <cell r="F36">
            <v>20625</v>
          </cell>
          <cell r="G36">
            <v>20625</v>
          </cell>
          <cell r="H36">
            <v>20625</v>
          </cell>
          <cell r="I36">
            <v>20625</v>
          </cell>
          <cell r="J36">
            <v>20625</v>
          </cell>
          <cell r="K36">
            <v>8250</v>
          </cell>
          <cell r="L36">
            <v>8250</v>
          </cell>
          <cell r="M36">
            <v>4125</v>
          </cell>
          <cell r="N36">
            <v>8250</v>
          </cell>
          <cell r="O36">
            <v>8250</v>
          </cell>
        </row>
        <row r="37">
          <cell r="B37">
            <v>34</v>
          </cell>
          <cell r="C37">
            <v>338927.42981737189</v>
          </cell>
          <cell r="D37">
            <v>25762.86</v>
          </cell>
          <cell r="E37">
            <v>11450.16</v>
          </cell>
          <cell r="F37">
            <v>21250</v>
          </cell>
          <cell r="G37">
            <v>21250</v>
          </cell>
          <cell r="H37">
            <v>21250</v>
          </cell>
          <cell r="I37">
            <v>21250</v>
          </cell>
          <cell r="J37">
            <v>21250</v>
          </cell>
          <cell r="K37">
            <v>8500</v>
          </cell>
          <cell r="L37">
            <v>8500</v>
          </cell>
          <cell r="M37">
            <v>4250</v>
          </cell>
          <cell r="N37">
            <v>8500</v>
          </cell>
          <cell r="O37">
            <v>8500</v>
          </cell>
        </row>
        <row r="38">
          <cell r="B38">
            <v>35</v>
          </cell>
          <cell r="C38">
            <v>356485.39997194981</v>
          </cell>
          <cell r="D38">
            <v>26593.920000000009</v>
          </cell>
          <cell r="E38">
            <v>11819.520000000002</v>
          </cell>
          <cell r="F38">
            <v>21875</v>
          </cell>
          <cell r="G38">
            <v>21875</v>
          </cell>
          <cell r="H38">
            <v>21875</v>
          </cell>
          <cell r="I38">
            <v>21875</v>
          </cell>
          <cell r="J38">
            <v>21875</v>
          </cell>
          <cell r="K38">
            <v>8750.0000000000018</v>
          </cell>
          <cell r="L38">
            <v>8750.0000000000018</v>
          </cell>
          <cell r="M38">
            <v>4375</v>
          </cell>
          <cell r="N38">
            <v>8750</v>
          </cell>
          <cell r="O38">
            <v>8750.0000000000018</v>
          </cell>
        </row>
        <row r="39">
          <cell r="B39">
            <v>36</v>
          </cell>
          <cell r="C39">
            <v>374406.22768834064</v>
          </cell>
          <cell r="D39">
            <v>27424.98</v>
          </cell>
          <cell r="E39">
            <v>12188.880000000003</v>
          </cell>
          <cell r="F39">
            <v>22500</v>
          </cell>
          <cell r="G39">
            <v>22500</v>
          </cell>
          <cell r="H39">
            <v>22500</v>
          </cell>
          <cell r="I39">
            <v>22500</v>
          </cell>
          <cell r="J39">
            <v>22500</v>
          </cell>
          <cell r="K39">
            <v>9000.0000000000018</v>
          </cell>
          <cell r="L39">
            <v>9000.0000000000018</v>
          </cell>
          <cell r="M39">
            <v>4500</v>
          </cell>
          <cell r="N39">
            <v>9000</v>
          </cell>
          <cell r="O39">
            <v>9000.0000000000018</v>
          </cell>
        </row>
        <row r="40">
          <cell r="B40">
            <v>37</v>
          </cell>
          <cell r="C40">
            <v>392684.24308161181</v>
          </cell>
          <cell r="D40">
            <v>28256.040000000008</v>
          </cell>
          <cell r="E40">
            <v>12558.240000000003</v>
          </cell>
          <cell r="F40">
            <v>23125</v>
          </cell>
          <cell r="G40">
            <v>23125</v>
          </cell>
          <cell r="H40">
            <v>23125</v>
          </cell>
          <cell r="I40">
            <v>23125</v>
          </cell>
          <cell r="J40">
            <v>23125</v>
          </cell>
          <cell r="K40">
            <v>9250.0000000000018</v>
          </cell>
          <cell r="L40">
            <v>9250.0000000000018</v>
          </cell>
          <cell r="M40">
            <v>4625</v>
          </cell>
          <cell r="N40">
            <v>9250</v>
          </cell>
          <cell r="O40">
            <v>9250.0000000000018</v>
          </cell>
        </row>
        <row r="41">
          <cell r="B41">
            <v>38</v>
          </cell>
          <cell r="C41">
            <v>411313.68184458802</v>
          </cell>
          <cell r="D41">
            <v>29087.100000000006</v>
          </cell>
          <cell r="E41">
            <v>12927.600000000002</v>
          </cell>
          <cell r="F41">
            <v>23750</v>
          </cell>
          <cell r="G41">
            <v>23750</v>
          </cell>
          <cell r="H41">
            <v>23750</v>
          </cell>
          <cell r="I41">
            <v>23750</v>
          </cell>
          <cell r="J41">
            <v>23750</v>
          </cell>
          <cell r="K41">
            <v>9500</v>
          </cell>
          <cell r="L41">
            <v>9500</v>
          </cell>
          <cell r="M41">
            <v>4750</v>
          </cell>
          <cell r="N41">
            <v>9500</v>
          </cell>
          <cell r="O41">
            <v>9500</v>
          </cell>
        </row>
        <row r="42">
          <cell r="B42">
            <v>39</v>
          </cell>
          <cell r="C42">
            <v>430288.68883244053</v>
          </cell>
          <cell r="D42">
            <v>29918.16</v>
          </cell>
          <cell r="E42">
            <v>13296.960000000001</v>
          </cell>
          <cell r="F42">
            <v>24375</v>
          </cell>
          <cell r="G42">
            <v>24375</v>
          </cell>
          <cell r="H42">
            <v>24375</v>
          </cell>
          <cell r="I42">
            <v>24375</v>
          </cell>
          <cell r="J42">
            <v>24375</v>
          </cell>
          <cell r="K42">
            <v>9750</v>
          </cell>
          <cell r="L42">
            <v>9750</v>
          </cell>
          <cell r="M42">
            <v>4875</v>
          </cell>
          <cell r="N42">
            <v>9750</v>
          </cell>
          <cell r="O42">
            <v>9750</v>
          </cell>
        </row>
        <row r="43">
          <cell r="B43">
            <v>40</v>
          </cell>
          <cell r="C43">
            <v>453653.80202247505</v>
          </cell>
          <cell r="D43">
            <v>31026.240000000009</v>
          </cell>
          <cell r="E43">
            <v>13789.440000000006</v>
          </cell>
          <cell r="F43">
            <v>25000</v>
          </cell>
          <cell r="G43">
            <v>25000</v>
          </cell>
          <cell r="H43">
            <v>25000</v>
          </cell>
          <cell r="I43">
            <v>25000</v>
          </cell>
          <cell r="J43">
            <v>25000</v>
          </cell>
          <cell r="K43">
            <v>10000</v>
          </cell>
          <cell r="L43">
            <v>10000</v>
          </cell>
          <cell r="M43">
            <v>5000</v>
          </cell>
          <cell r="N43">
            <v>10000</v>
          </cell>
          <cell r="O43">
            <v>10000</v>
          </cell>
        </row>
        <row r="44">
          <cell r="B44">
            <v>41</v>
          </cell>
          <cell r="C44">
            <v>477484.03763013281</v>
          </cell>
          <cell r="D44">
            <v>32134.320000000007</v>
          </cell>
          <cell r="E44">
            <v>14281.920000000004</v>
          </cell>
          <cell r="F44">
            <v>25625</v>
          </cell>
          <cell r="G44">
            <v>25625</v>
          </cell>
          <cell r="H44">
            <v>25625</v>
          </cell>
          <cell r="I44">
            <v>25624.999999999996</v>
          </cell>
          <cell r="J44">
            <v>25625</v>
          </cell>
          <cell r="K44">
            <v>10250</v>
          </cell>
          <cell r="L44">
            <v>10250</v>
          </cell>
          <cell r="M44">
            <v>5125</v>
          </cell>
          <cell r="N44">
            <v>10250</v>
          </cell>
          <cell r="O44">
            <v>10250</v>
          </cell>
        </row>
        <row r="45">
          <cell r="B45">
            <v>42</v>
          </cell>
          <cell r="C45">
            <v>501771.5696497485</v>
          </cell>
          <cell r="D45">
            <v>33242.400000000016</v>
          </cell>
          <cell r="E45">
            <v>14774.400000000005</v>
          </cell>
          <cell r="F45">
            <v>26250</v>
          </cell>
          <cell r="G45">
            <v>26250</v>
          </cell>
          <cell r="H45">
            <v>26250</v>
          </cell>
          <cell r="I45">
            <v>26250</v>
          </cell>
          <cell r="J45">
            <v>26250</v>
          </cell>
          <cell r="K45">
            <v>10500</v>
          </cell>
          <cell r="L45">
            <v>10500</v>
          </cell>
          <cell r="M45">
            <v>5250</v>
          </cell>
          <cell r="N45">
            <v>10500</v>
          </cell>
          <cell r="O45">
            <v>10500</v>
          </cell>
        </row>
        <row r="46">
          <cell r="B46">
            <v>43</v>
          </cell>
          <cell r="C46">
            <v>526508.46147357661</v>
          </cell>
          <cell r="D46">
            <v>34350.480000000003</v>
          </cell>
          <cell r="E46">
            <v>15266.880000000006</v>
          </cell>
          <cell r="F46">
            <v>26875</v>
          </cell>
          <cell r="G46">
            <v>26875</v>
          </cell>
          <cell r="H46">
            <v>26875</v>
          </cell>
          <cell r="I46">
            <v>26875</v>
          </cell>
          <cell r="J46">
            <v>26875</v>
          </cell>
          <cell r="K46">
            <v>10750</v>
          </cell>
          <cell r="L46">
            <v>10750</v>
          </cell>
          <cell r="M46">
            <v>5375</v>
          </cell>
          <cell r="N46">
            <v>10750</v>
          </cell>
          <cell r="O46">
            <v>10750</v>
          </cell>
        </row>
        <row r="47">
          <cell r="B47">
            <v>44</v>
          </cell>
          <cell r="C47">
            <v>551686.67067124194</v>
          </cell>
          <cell r="D47">
            <v>35458.560000000005</v>
          </cell>
          <cell r="E47">
            <v>15759.360000000004</v>
          </cell>
          <cell r="F47">
            <v>27500</v>
          </cell>
          <cell r="G47">
            <v>27500</v>
          </cell>
          <cell r="H47">
            <v>27500</v>
          </cell>
          <cell r="I47">
            <v>27500.000000000004</v>
          </cell>
          <cell r="J47">
            <v>27500</v>
          </cell>
          <cell r="K47">
            <v>11000</v>
          </cell>
          <cell r="L47">
            <v>11000</v>
          </cell>
          <cell r="M47">
            <v>5500</v>
          </cell>
          <cell r="N47">
            <v>11000</v>
          </cell>
          <cell r="O47">
            <v>11000</v>
          </cell>
        </row>
        <row r="48">
          <cell r="B48">
            <v>45</v>
          </cell>
          <cell r="C48">
            <v>577298.05376919033</v>
          </cell>
          <cell r="D48">
            <v>36566.640000000007</v>
          </cell>
          <cell r="E48">
            <v>16251.840000000002</v>
          </cell>
          <cell r="F48">
            <v>28125</v>
          </cell>
          <cell r="G48">
            <v>28125</v>
          </cell>
          <cell r="H48">
            <v>28125</v>
          </cell>
          <cell r="I48">
            <v>28125</v>
          </cell>
          <cell r="J48">
            <v>28125</v>
          </cell>
          <cell r="K48">
            <v>11250</v>
          </cell>
          <cell r="L48">
            <v>11250</v>
          </cell>
          <cell r="M48">
            <v>5625</v>
          </cell>
          <cell r="N48">
            <v>11250</v>
          </cell>
          <cell r="O48">
            <v>11250</v>
          </cell>
        </row>
        <row r="49">
          <cell r="B49">
            <v>46</v>
          </cell>
          <cell r="C49">
            <v>603334.37103013904</v>
          </cell>
          <cell r="D49">
            <v>37674.720000000016</v>
          </cell>
          <cell r="E49">
            <v>16744.320000000007</v>
          </cell>
          <cell r="F49">
            <v>28750</v>
          </cell>
          <cell r="G49">
            <v>28750</v>
          </cell>
          <cell r="H49">
            <v>28750</v>
          </cell>
          <cell r="I49">
            <v>28749.999999999996</v>
          </cell>
          <cell r="J49">
            <v>28750</v>
          </cell>
          <cell r="K49">
            <v>11500</v>
          </cell>
          <cell r="L49">
            <v>11500</v>
          </cell>
          <cell r="M49">
            <v>5750</v>
          </cell>
          <cell r="N49">
            <v>11500</v>
          </cell>
          <cell r="O49">
            <v>11500</v>
          </cell>
        </row>
        <row r="50">
          <cell r="B50">
            <v>47</v>
          </cell>
          <cell r="C50">
            <v>629787.29123252782</v>
          </cell>
          <cell r="D50">
            <v>38782.80000000001</v>
          </cell>
          <cell r="E50">
            <v>17236.800000000007</v>
          </cell>
          <cell r="F50">
            <v>29375</v>
          </cell>
          <cell r="G50">
            <v>29375</v>
          </cell>
          <cell r="H50">
            <v>29375</v>
          </cell>
          <cell r="I50">
            <v>29375</v>
          </cell>
          <cell r="J50">
            <v>29375</v>
          </cell>
          <cell r="K50">
            <v>11750</v>
          </cell>
          <cell r="L50">
            <v>11750</v>
          </cell>
          <cell r="M50">
            <v>5875</v>
          </cell>
          <cell r="N50">
            <v>11750</v>
          </cell>
          <cell r="O50">
            <v>11750</v>
          </cell>
        </row>
        <row r="51">
          <cell r="B51">
            <v>48</v>
          </cell>
          <cell r="C51">
            <v>656648.39644997043</v>
          </cell>
          <cell r="D51">
            <v>39890.880000000019</v>
          </cell>
          <cell r="E51">
            <v>17729.280000000006</v>
          </cell>
          <cell r="F51">
            <v>30000</v>
          </cell>
          <cell r="G51">
            <v>30000</v>
          </cell>
          <cell r="H51">
            <v>30000</v>
          </cell>
          <cell r="I51">
            <v>30000</v>
          </cell>
          <cell r="J51">
            <v>30000</v>
          </cell>
          <cell r="K51">
            <v>12000</v>
          </cell>
          <cell r="L51">
            <v>12000</v>
          </cell>
          <cell r="M51">
            <v>6000</v>
          </cell>
          <cell r="N51">
            <v>12000</v>
          </cell>
          <cell r="O51">
            <v>12000</v>
          </cell>
        </row>
        <row r="52">
          <cell r="B52">
            <v>49</v>
          </cell>
          <cell r="C52">
            <v>683909.1868307034</v>
          </cell>
          <cell r="D52">
            <v>40998.960000000021</v>
          </cell>
          <cell r="E52">
            <v>18221.760000000009</v>
          </cell>
          <cell r="F52">
            <v>30625</v>
          </cell>
          <cell r="G52">
            <v>30625</v>
          </cell>
          <cell r="H52">
            <v>30625</v>
          </cell>
          <cell r="I52">
            <v>30625.000000000004</v>
          </cell>
          <cell r="J52">
            <v>30625</v>
          </cell>
          <cell r="K52">
            <v>12250</v>
          </cell>
          <cell r="L52">
            <v>12250</v>
          </cell>
          <cell r="M52">
            <v>6125</v>
          </cell>
          <cell r="N52">
            <v>12250</v>
          </cell>
          <cell r="O52">
            <v>12250</v>
          </cell>
        </row>
        <row r="53">
          <cell r="B53">
            <v>50</v>
          </cell>
          <cell r="C53">
            <v>716242.40830715036</v>
          </cell>
          <cell r="D53">
            <v>42384.060000000012</v>
          </cell>
          <cell r="E53">
            <v>18837.360000000004</v>
          </cell>
          <cell r="F53">
            <v>31250</v>
          </cell>
          <cell r="G53">
            <v>31250</v>
          </cell>
          <cell r="H53">
            <v>31250</v>
          </cell>
          <cell r="I53">
            <v>31250</v>
          </cell>
          <cell r="J53">
            <v>31250</v>
          </cell>
          <cell r="K53">
            <v>12500</v>
          </cell>
          <cell r="L53">
            <v>12500</v>
          </cell>
          <cell r="M53">
            <v>6250</v>
          </cell>
          <cell r="N53">
            <v>12500</v>
          </cell>
          <cell r="O53">
            <v>12500</v>
          </cell>
        </row>
        <row r="54">
          <cell r="B54">
            <v>51</v>
          </cell>
          <cell r="C54">
            <v>749077.43558025884</v>
          </cell>
          <cell r="D54">
            <v>43769.160000000011</v>
          </cell>
          <cell r="E54">
            <v>19452.960000000006</v>
          </cell>
          <cell r="F54">
            <v>31875</v>
          </cell>
          <cell r="G54">
            <v>31875</v>
          </cell>
          <cell r="H54">
            <v>31875</v>
          </cell>
          <cell r="I54">
            <v>31874.999999999996</v>
          </cell>
          <cell r="J54">
            <v>31875</v>
          </cell>
          <cell r="K54">
            <v>12750</v>
          </cell>
          <cell r="L54">
            <v>12750</v>
          </cell>
          <cell r="M54">
            <v>6375</v>
          </cell>
          <cell r="N54">
            <v>12750</v>
          </cell>
          <cell r="O54">
            <v>12750</v>
          </cell>
        </row>
        <row r="55">
          <cell r="B55">
            <v>52</v>
          </cell>
          <cell r="C55">
            <v>782403.60833389161</v>
          </cell>
          <cell r="D55">
            <v>45154.26</v>
          </cell>
          <cell r="E55">
            <v>20068.560000000005</v>
          </cell>
          <cell r="F55">
            <v>32500</v>
          </cell>
          <cell r="G55">
            <v>32500</v>
          </cell>
          <cell r="H55">
            <v>32500</v>
          </cell>
          <cell r="I55">
            <v>32500</v>
          </cell>
          <cell r="J55">
            <v>32500</v>
          </cell>
          <cell r="K55">
            <v>13000</v>
          </cell>
          <cell r="L55">
            <v>13000</v>
          </cell>
          <cell r="M55">
            <v>6500</v>
          </cell>
          <cell r="N55">
            <v>13000</v>
          </cell>
          <cell r="O55">
            <v>13000</v>
          </cell>
        </row>
        <row r="56">
          <cell r="B56">
            <v>53</v>
          </cell>
          <cell r="C56">
            <v>816210.17890046258</v>
          </cell>
          <cell r="D56">
            <v>46539.360000000008</v>
          </cell>
          <cell r="E56">
            <v>20684.160000000003</v>
          </cell>
          <cell r="F56">
            <v>33125</v>
          </cell>
          <cell r="G56">
            <v>33125</v>
          </cell>
          <cell r="H56">
            <v>33125</v>
          </cell>
          <cell r="I56">
            <v>33125</v>
          </cell>
          <cell r="J56">
            <v>33125</v>
          </cell>
          <cell r="K56">
            <v>13250</v>
          </cell>
          <cell r="L56">
            <v>13250</v>
          </cell>
          <cell r="M56">
            <v>6625</v>
          </cell>
          <cell r="N56">
            <v>13250</v>
          </cell>
          <cell r="O56">
            <v>13250</v>
          </cell>
        </row>
        <row r="57">
          <cell r="B57">
            <v>54</v>
          </cell>
          <cell r="C57">
            <v>850486.3182352474</v>
          </cell>
          <cell r="D57">
            <v>47924.460000000014</v>
          </cell>
          <cell r="E57">
            <v>21299.760000000006</v>
          </cell>
          <cell r="F57">
            <v>33750</v>
          </cell>
          <cell r="G57">
            <v>33750</v>
          </cell>
          <cell r="H57">
            <v>33750</v>
          </cell>
          <cell r="I57">
            <v>33750</v>
          </cell>
          <cell r="J57">
            <v>33750</v>
          </cell>
          <cell r="K57">
            <v>13500</v>
          </cell>
          <cell r="L57">
            <v>13500</v>
          </cell>
          <cell r="M57">
            <v>6750</v>
          </cell>
          <cell r="N57">
            <v>13500</v>
          </cell>
          <cell r="O57">
            <v>13500</v>
          </cell>
        </row>
        <row r="58">
          <cell r="B58">
            <v>55</v>
          </cell>
          <cell r="C58">
            <v>885221.12189069903</v>
          </cell>
          <cell r="D58">
            <v>49309.560000000005</v>
          </cell>
          <cell r="E58">
            <v>21915.360000000004</v>
          </cell>
          <cell r="F58">
            <v>34375</v>
          </cell>
          <cell r="G58">
            <v>34375</v>
          </cell>
          <cell r="H58">
            <v>34375</v>
          </cell>
          <cell r="I58">
            <v>34375</v>
          </cell>
          <cell r="J58">
            <v>34375</v>
          </cell>
          <cell r="K58">
            <v>13750</v>
          </cell>
          <cell r="L58">
            <v>13750</v>
          </cell>
          <cell r="M58">
            <v>6875</v>
          </cell>
          <cell r="N58">
            <v>13750</v>
          </cell>
          <cell r="O58">
            <v>13750</v>
          </cell>
        </row>
        <row r="59">
          <cell r="B59">
            <v>56</v>
          </cell>
          <cell r="C59">
            <v>920403.6159907598</v>
          </cell>
          <cell r="D59">
            <v>50694.660000000011</v>
          </cell>
          <cell r="E59">
            <v>22530.960000000006</v>
          </cell>
          <cell r="F59">
            <v>35000</v>
          </cell>
          <cell r="G59">
            <v>35000</v>
          </cell>
          <cell r="H59">
            <v>35000</v>
          </cell>
          <cell r="I59">
            <v>35000</v>
          </cell>
          <cell r="J59">
            <v>35000</v>
          </cell>
          <cell r="K59">
            <v>14000</v>
          </cell>
          <cell r="L59">
            <v>14000</v>
          </cell>
          <cell r="M59">
            <v>6999.9999999999982</v>
          </cell>
          <cell r="N59">
            <v>13999.999999999996</v>
          </cell>
          <cell r="O59">
            <v>14000</v>
          </cell>
        </row>
        <row r="60">
          <cell r="B60">
            <v>57</v>
          </cell>
          <cell r="C60">
            <v>956022.76320517482</v>
          </cell>
          <cell r="D60">
            <v>52079.76</v>
          </cell>
          <cell r="E60">
            <v>23146.560000000005</v>
          </cell>
          <cell r="F60">
            <v>35625</v>
          </cell>
          <cell r="G60">
            <v>35625</v>
          </cell>
          <cell r="H60">
            <v>35625</v>
          </cell>
          <cell r="I60">
            <v>35625</v>
          </cell>
          <cell r="J60">
            <v>35625</v>
          </cell>
          <cell r="K60">
            <v>14250</v>
          </cell>
          <cell r="L60">
            <v>14250</v>
          </cell>
          <cell r="M60">
            <v>7125</v>
          </cell>
          <cell r="N60">
            <v>14250</v>
          </cell>
          <cell r="O60">
            <v>14250</v>
          </cell>
        </row>
        <row r="61">
          <cell r="B61">
            <v>58</v>
          </cell>
          <cell r="C61">
            <v>992067.46872380655</v>
          </cell>
          <cell r="D61">
            <v>53464.860000000008</v>
          </cell>
          <cell r="E61">
            <v>23762.160000000007</v>
          </cell>
          <cell r="F61">
            <v>36250</v>
          </cell>
          <cell r="G61">
            <v>36250</v>
          </cell>
          <cell r="H61">
            <v>36250</v>
          </cell>
          <cell r="I61">
            <v>36250</v>
          </cell>
          <cell r="J61">
            <v>36250</v>
          </cell>
          <cell r="K61">
            <v>14500</v>
          </cell>
          <cell r="L61">
            <v>14500</v>
          </cell>
          <cell r="M61">
            <v>7249.9999999999991</v>
          </cell>
          <cell r="N61">
            <v>14499.999999999998</v>
          </cell>
          <cell r="O61">
            <v>14500</v>
          </cell>
        </row>
        <row r="62">
          <cell r="B62">
            <v>59</v>
          </cell>
          <cell r="C62">
            <v>1028526.5862309474</v>
          </cell>
          <cell r="D62">
            <v>54849.960000000014</v>
          </cell>
          <cell r="E62">
            <v>24377.760000000006</v>
          </cell>
          <cell r="F62">
            <v>36875</v>
          </cell>
          <cell r="G62">
            <v>36875</v>
          </cell>
          <cell r="H62">
            <v>36875</v>
          </cell>
          <cell r="I62">
            <v>36875</v>
          </cell>
          <cell r="J62">
            <v>36875</v>
          </cell>
          <cell r="K62">
            <v>14750</v>
          </cell>
          <cell r="L62">
            <v>14750</v>
          </cell>
          <cell r="M62">
            <v>7375</v>
          </cell>
          <cell r="N62">
            <v>14750</v>
          </cell>
          <cell r="O62">
            <v>14750</v>
          </cell>
        </row>
        <row r="63">
          <cell r="B63">
            <v>60</v>
          </cell>
          <cell r="C63">
            <v>1070637.145179532</v>
          </cell>
          <cell r="D63">
            <v>56512.080000000016</v>
          </cell>
          <cell r="E63">
            <v>25116.480000000007</v>
          </cell>
          <cell r="F63">
            <v>37500</v>
          </cell>
          <cell r="G63">
            <v>37500</v>
          </cell>
          <cell r="H63">
            <v>37500</v>
          </cell>
          <cell r="I63">
            <v>37500</v>
          </cell>
          <cell r="J63">
            <v>37500</v>
          </cell>
          <cell r="K63">
            <v>15000</v>
          </cell>
          <cell r="L63">
            <v>15000</v>
          </cell>
          <cell r="M63">
            <v>7500.0000000000009</v>
          </cell>
          <cell r="N63">
            <v>15000.000000000002</v>
          </cell>
          <cell r="O63">
            <v>15000</v>
          </cell>
        </row>
        <row r="64">
          <cell r="B64">
            <v>61</v>
          </cell>
          <cell r="C64">
            <v>1113245.589210819</v>
          </cell>
          <cell r="D64">
            <v>58174.200000000019</v>
          </cell>
          <cell r="E64">
            <v>25855.200000000012</v>
          </cell>
          <cell r="F64">
            <v>38125</v>
          </cell>
          <cell r="G64">
            <v>38125</v>
          </cell>
          <cell r="H64">
            <v>38125</v>
          </cell>
          <cell r="I64">
            <v>38125</v>
          </cell>
          <cell r="J64">
            <v>38125</v>
          </cell>
          <cell r="K64">
            <v>15250</v>
          </cell>
          <cell r="L64">
            <v>15250</v>
          </cell>
          <cell r="M64">
            <v>7625</v>
          </cell>
          <cell r="N64">
            <v>15250</v>
          </cell>
          <cell r="O64">
            <v>15250</v>
          </cell>
        </row>
        <row r="65">
          <cell r="B65">
            <v>62</v>
          </cell>
          <cell r="C65">
            <v>1156338.5581555346</v>
          </cell>
          <cell r="D65">
            <v>59836.320000000014</v>
          </cell>
          <cell r="E65">
            <v>26593.920000000009</v>
          </cell>
          <cell r="F65">
            <v>38750</v>
          </cell>
          <cell r="G65">
            <v>38750</v>
          </cell>
          <cell r="H65">
            <v>38750</v>
          </cell>
          <cell r="I65">
            <v>38750</v>
          </cell>
          <cell r="J65">
            <v>38750</v>
          </cell>
          <cell r="K65">
            <v>15500</v>
          </cell>
          <cell r="L65">
            <v>15500</v>
          </cell>
          <cell r="M65">
            <v>7750.0000000000009</v>
          </cell>
          <cell r="N65">
            <v>15500.000000000002</v>
          </cell>
          <cell r="O65">
            <v>15500</v>
          </cell>
        </row>
        <row r="66">
          <cell r="B66">
            <v>63</v>
          </cell>
          <cell r="C66">
            <v>1199902.6492511141</v>
          </cell>
          <cell r="D66">
            <v>61498.440000000031</v>
          </cell>
          <cell r="E66">
            <v>27332.640000000014</v>
          </cell>
          <cell r="F66">
            <v>39375</v>
          </cell>
          <cell r="G66">
            <v>39375</v>
          </cell>
          <cell r="H66">
            <v>39375</v>
          </cell>
          <cell r="I66">
            <v>39375</v>
          </cell>
          <cell r="J66">
            <v>39375</v>
          </cell>
          <cell r="K66">
            <v>15750</v>
          </cell>
          <cell r="L66">
            <v>15750</v>
          </cell>
          <cell r="M66">
            <v>7875</v>
          </cell>
          <cell r="N66">
            <v>15750</v>
          </cell>
          <cell r="O66">
            <v>15750</v>
          </cell>
        </row>
        <row r="67">
          <cell r="B67">
            <v>64</v>
          </cell>
          <cell r="C67">
            <v>1243924.4243108754</v>
          </cell>
          <cell r="D67">
            <v>63160.560000000019</v>
          </cell>
          <cell r="E67">
            <v>28071.360000000019</v>
          </cell>
          <cell r="F67">
            <v>40000</v>
          </cell>
          <cell r="G67">
            <v>40000</v>
          </cell>
          <cell r="H67">
            <v>40000</v>
          </cell>
          <cell r="I67">
            <v>40000</v>
          </cell>
          <cell r="J67">
            <v>40000</v>
          </cell>
          <cell r="K67">
            <v>16000</v>
          </cell>
          <cell r="L67">
            <v>16000</v>
          </cell>
          <cell r="M67">
            <v>8000.0000000000018</v>
          </cell>
          <cell r="N67">
            <v>16000.000000000004</v>
          </cell>
          <cell r="O67">
            <v>16000</v>
          </cell>
        </row>
        <row r="68">
          <cell r="B68">
            <v>65</v>
          </cell>
          <cell r="C68">
            <v>1288390.416893197</v>
          </cell>
          <cell r="D68">
            <v>64822.680000000015</v>
          </cell>
          <cell r="E68">
            <v>28810.080000000013</v>
          </cell>
          <cell r="F68">
            <v>40625</v>
          </cell>
          <cell r="G68">
            <v>40625</v>
          </cell>
          <cell r="H68">
            <v>40625</v>
          </cell>
          <cell r="I68">
            <v>40625</v>
          </cell>
          <cell r="J68">
            <v>40625</v>
          </cell>
          <cell r="K68">
            <v>16250</v>
          </cell>
          <cell r="L68">
            <v>16250</v>
          </cell>
          <cell r="M68">
            <v>8125</v>
          </cell>
          <cell r="N68">
            <v>16250</v>
          </cell>
          <cell r="O68">
            <v>16250</v>
          </cell>
        </row>
        <row r="69">
          <cell r="B69">
            <v>66</v>
          </cell>
          <cell r="C69">
            <v>1333287.1394706951</v>
          </cell>
          <cell r="D69">
            <v>66484.800000000047</v>
          </cell>
          <cell r="E69">
            <v>29548.800000000021</v>
          </cell>
          <cell r="F69">
            <v>41250</v>
          </cell>
          <cell r="G69">
            <v>41250</v>
          </cell>
          <cell r="H69">
            <v>41250</v>
          </cell>
          <cell r="I69">
            <v>41250</v>
          </cell>
          <cell r="J69">
            <v>41250</v>
          </cell>
          <cell r="K69">
            <v>16500</v>
          </cell>
          <cell r="L69">
            <v>16500</v>
          </cell>
          <cell r="M69">
            <v>8250</v>
          </cell>
          <cell r="N69">
            <v>16500</v>
          </cell>
          <cell r="O69">
            <v>16500</v>
          </cell>
        </row>
        <row r="70">
          <cell r="B70">
            <v>67</v>
          </cell>
          <cell r="C70">
            <v>1378601.0905993942</v>
          </cell>
          <cell r="D70">
            <v>68146.920000000042</v>
          </cell>
          <cell r="E70">
            <v>30287.520000000022</v>
          </cell>
          <cell r="F70">
            <v>41875</v>
          </cell>
          <cell r="G70">
            <v>41875</v>
          </cell>
          <cell r="H70">
            <v>41875</v>
          </cell>
          <cell r="I70">
            <v>41875</v>
          </cell>
          <cell r="J70">
            <v>41875</v>
          </cell>
          <cell r="K70">
            <v>16750</v>
          </cell>
          <cell r="L70">
            <v>16750</v>
          </cell>
          <cell r="M70">
            <v>8375</v>
          </cell>
          <cell r="N70">
            <v>16750</v>
          </cell>
          <cell r="O70">
            <v>16750</v>
          </cell>
        </row>
        <row r="71">
          <cell r="B71">
            <v>68</v>
          </cell>
          <cell r="C71">
            <v>1424318.7620879104</v>
          </cell>
          <cell r="D71">
            <v>69809.040000000052</v>
          </cell>
          <cell r="E71">
            <v>31026.24000000002</v>
          </cell>
          <cell r="F71">
            <v>42500</v>
          </cell>
          <cell r="G71">
            <v>42500</v>
          </cell>
          <cell r="H71">
            <v>42500</v>
          </cell>
          <cell r="I71">
            <v>42500</v>
          </cell>
          <cell r="J71">
            <v>42500</v>
          </cell>
          <cell r="K71">
            <v>17000</v>
          </cell>
          <cell r="L71">
            <v>17000</v>
          </cell>
          <cell r="M71">
            <v>8500</v>
          </cell>
          <cell r="N71">
            <v>17000</v>
          </cell>
          <cell r="O71">
            <v>17000</v>
          </cell>
        </row>
        <row r="72">
          <cell r="B72">
            <v>69</v>
          </cell>
          <cell r="C72">
            <v>1470426.6461666226</v>
          </cell>
          <cell r="D72">
            <v>71471.160000000047</v>
          </cell>
          <cell r="E72">
            <v>31764.960000000025</v>
          </cell>
          <cell r="F72">
            <v>43125</v>
          </cell>
          <cell r="G72">
            <v>43125</v>
          </cell>
          <cell r="H72">
            <v>43125</v>
          </cell>
          <cell r="I72">
            <v>43125</v>
          </cell>
          <cell r="J72">
            <v>43125</v>
          </cell>
          <cell r="K72">
            <v>17250</v>
          </cell>
          <cell r="L72">
            <v>17250</v>
          </cell>
          <cell r="M72">
            <v>8625</v>
          </cell>
          <cell r="N72">
            <v>17250</v>
          </cell>
          <cell r="O72">
            <v>17250</v>
          </cell>
        </row>
        <row r="73">
          <cell r="B73">
            <v>70</v>
          </cell>
          <cell r="C73">
            <v>1522657.1185760058</v>
          </cell>
          <cell r="D73">
            <v>73410.300000000061</v>
          </cell>
          <cell r="E73">
            <v>32626.800000000028</v>
          </cell>
          <cell r="F73">
            <v>43750</v>
          </cell>
          <cell r="G73">
            <v>43750</v>
          </cell>
          <cell r="H73">
            <v>43750</v>
          </cell>
          <cell r="I73">
            <v>43750</v>
          </cell>
          <cell r="J73">
            <v>43750</v>
          </cell>
          <cell r="K73">
            <v>17500.000000000004</v>
          </cell>
          <cell r="L73">
            <v>17500.000000000004</v>
          </cell>
          <cell r="M73">
            <v>8750</v>
          </cell>
          <cell r="N73">
            <v>17500</v>
          </cell>
          <cell r="O73">
            <v>17500.000000000004</v>
          </cell>
        </row>
        <row r="74">
          <cell r="B74">
            <v>71</v>
          </cell>
          <cell r="C74">
            <v>1575342.4666299568</v>
          </cell>
          <cell r="D74">
            <v>75349.440000000046</v>
          </cell>
          <cell r="E74">
            <v>33488.640000000021</v>
          </cell>
          <cell r="F74">
            <v>44375</v>
          </cell>
          <cell r="G74">
            <v>44375</v>
          </cell>
          <cell r="H74">
            <v>44375</v>
          </cell>
          <cell r="I74">
            <v>44375</v>
          </cell>
          <cell r="J74">
            <v>44375</v>
          </cell>
          <cell r="K74">
            <v>17750</v>
          </cell>
          <cell r="L74">
            <v>17750</v>
          </cell>
          <cell r="M74">
            <v>8875</v>
          </cell>
          <cell r="N74">
            <v>17750</v>
          </cell>
          <cell r="O74">
            <v>17750</v>
          </cell>
        </row>
        <row r="75">
          <cell r="B75">
            <v>72</v>
          </cell>
          <cell r="C75">
            <v>1628467.0515304436</v>
          </cell>
          <cell r="D75">
            <v>77288.580000000045</v>
          </cell>
          <cell r="E75">
            <v>34350.480000000018</v>
          </cell>
          <cell r="F75">
            <v>45000</v>
          </cell>
          <cell r="G75">
            <v>45000</v>
          </cell>
          <cell r="H75">
            <v>45000</v>
          </cell>
          <cell r="I75">
            <v>45000</v>
          </cell>
          <cell r="J75">
            <v>45000</v>
          </cell>
          <cell r="K75">
            <v>18000.000000000004</v>
          </cell>
          <cell r="L75">
            <v>18000.000000000004</v>
          </cell>
          <cell r="M75">
            <v>9000</v>
          </cell>
          <cell r="N75">
            <v>18000</v>
          </cell>
          <cell r="O75">
            <v>18000.000000000004</v>
          </cell>
        </row>
        <row r="76">
          <cell r="B76">
            <v>73</v>
          </cell>
          <cell r="C76">
            <v>1682015.2581518283</v>
          </cell>
          <cell r="D76">
            <v>79227.72000000003</v>
          </cell>
          <cell r="E76">
            <v>35212.320000000022</v>
          </cell>
          <cell r="F76">
            <v>45625</v>
          </cell>
          <cell r="G76">
            <v>45625</v>
          </cell>
          <cell r="H76">
            <v>45625</v>
          </cell>
          <cell r="I76">
            <v>45625</v>
          </cell>
          <cell r="J76">
            <v>45625</v>
          </cell>
          <cell r="K76">
            <v>18250</v>
          </cell>
          <cell r="L76">
            <v>18250</v>
          </cell>
          <cell r="M76">
            <v>9125</v>
          </cell>
          <cell r="N76">
            <v>18250</v>
          </cell>
          <cell r="O76">
            <v>18250</v>
          </cell>
        </row>
        <row r="77">
          <cell r="B77">
            <v>74</v>
          </cell>
          <cell r="C77">
            <v>1735971.5034049053</v>
          </cell>
          <cell r="D77">
            <v>81166.860000000044</v>
          </cell>
          <cell r="E77">
            <v>36074.160000000018</v>
          </cell>
          <cell r="F77">
            <v>46250</v>
          </cell>
          <cell r="G77">
            <v>46250</v>
          </cell>
          <cell r="H77">
            <v>46250</v>
          </cell>
          <cell r="I77">
            <v>46250</v>
          </cell>
          <cell r="J77">
            <v>46250</v>
          </cell>
          <cell r="K77">
            <v>18500.000000000004</v>
          </cell>
          <cell r="L77">
            <v>18500.000000000004</v>
          </cell>
          <cell r="M77">
            <v>9250</v>
          </cell>
          <cell r="N77">
            <v>18500</v>
          </cell>
          <cell r="O77">
            <v>18500.000000000004</v>
          </cell>
        </row>
        <row r="78">
          <cell r="B78">
            <v>75</v>
          </cell>
          <cell r="C78">
            <v>1790320.2446009414</v>
          </cell>
          <cell r="D78">
            <v>83106.000000000058</v>
          </cell>
          <cell r="E78">
            <v>36936.000000000029</v>
          </cell>
          <cell r="F78">
            <v>46875</v>
          </cell>
          <cell r="G78">
            <v>46875</v>
          </cell>
          <cell r="H78">
            <v>46875</v>
          </cell>
          <cell r="I78">
            <v>46875</v>
          </cell>
          <cell r="J78">
            <v>46875</v>
          </cell>
          <cell r="K78">
            <v>18750</v>
          </cell>
          <cell r="L78">
            <v>18750</v>
          </cell>
          <cell r="M78">
            <v>9375</v>
          </cell>
          <cell r="N78">
            <v>18750</v>
          </cell>
          <cell r="O78">
            <v>18750</v>
          </cell>
        </row>
        <row r="79">
          <cell r="B79">
            <v>76</v>
          </cell>
          <cell r="C79">
            <v>1845045.987815713</v>
          </cell>
          <cell r="D79">
            <v>85045.140000000043</v>
          </cell>
          <cell r="E79">
            <v>37797.840000000018</v>
          </cell>
          <cell r="F79">
            <v>47500</v>
          </cell>
          <cell r="G79">
            <v>47500</v>
          </cell>
          <cell r="H79">
            <v>47500</v>
          </cell>
          <cell r="I79">
            <v>47500</v>
          </cell>
          <cell r="J79">
            <v>47500</v>
          </cell>
          <cell r="K79">
            <v>19000</v>
          </cell>
          <cell r="L79">
            <v>19000</v>
          </cell>
          <cell r="M79">
            <v>9500</v>
          </cell>
          <cell r="N79">
            <v>19000</v>
          </cell>
          <cell r="O79">
            <v>19000</v>
          </cell>
        </row>
        <row r="80">
          <cell r="B80">
            <v>77</v>
          </cell>
          <cell r="C80">
            <v>1900133.2962535466</v>
          </cell>
          <cell r="D80">
            <v>86984.280000000042</v>
          </cell>
          <cell r="E80">
            <v>38659.680000000015</v>
          </cell>
          <cell r="F80">
            <v>48125</v>
          </cell>
          <cell r="G80">
            <v>48125</v>
          </cell>
          <cell r="H80">
            <v>48125</v>
          </cell>
          <cell r="I80">
            <v>48125</v>
          </cell>
          <cell r="J80">
            <v>48125</v>
          </cell>
          <cell r="K80">
            <v>19250</v>
          </cell>
          <cell r="L80">
            <v>19250</v>
          </cell>
          <cell r="M80">
            <v>9625</v>
          </cell>
          <cell r="N80">
            <v>19250</v>
          </cell>
          <cell r="O80">
            <v>19250</v>
          </cell>
        </row>
        <row r="81">
          <cell r="B81">
            <v>78</v>
          </cell>
          <cell r="C81">
            <v>1955566.7986113571</v>
          </cell>
          <cell r="D81">
            <v>88923.420000000027</v>
          </cell>
          <cell r="E81">
            <v>39521.520000000011</v>
          </cell>
          <cell r="F81">
            <v>48750</v>
          </cell>
          <cell r="G81">
            <v>48750</v>
          </cell>
          <cell r="H81">
            <v>48750</v>
          </cell>
          <cell r="I81">
            <v>48750</v>
          </cell>
          <cell r="J81">
            <v>48750</v>
          </cell>
          <cell r="K81">
            <v>19500</v>
          </cell>
          <cell r="L81">
            <v>19500</v>
          </cell>
          <cell r="M81">
            <v>9750</v>
          </cell>
          <cell r="N81">
            <v>19500</v>
          </cell>
          <cell r="O81">
            <v>19500</v>
          </cell>
        </row>
        <row r="82">
          <cell r="B82">
            <v>79</v>
          </cell>
          <cell r="C82">
            <v>2011331.1974426862</v>
          </cell>
          <cell r="D82">
            <v>90862.560000000027</v>
          </cell>
          <cell r="E82">
            <v>40383.360000000015</v>
          </cell>
          <cell r="F82">
            <v>49375</v>
          </cell>
          <cell r="G82">
            <v>49375</v>
          </cell>
          <cell r="H82">
            <v>49375</v>
          </cell>
          <cell r="I82">
            <v>49375</v>
          </cell>
          <cell r="J82">
            <v>49375</v>
          </cell>
          <cell r="K82">
            <v>19750</v>
          </cell>
          <cell r="L82">
            <v>19750</v>
          </cell>
          <cell r="M82">
            <v>9875</v>
          </cell>
          <cell r="N82">
            <v>19750</v>
          </cell>
          <cell r="O82">
            <v>19750</v>
          </cell>
        </row>
        <row r="83">
          <cell r="B83">
            <v>80</v>
          </cell>
          <cell r="C83">
            <v>2073582.6544695653</v>
          </cell>
          <cell r="D83">
            <v>93078.720000000016</v>
          </cell>
          <cell r="E83">
            <v>41368.320000000007</v>
          </cell>
          <cell r="F83">
            <v>50000</v>
          </cell>
          <cell r="G83">
            <v>50000</v>
          </cell>
          <cell r="H83">
            <v>50000</v>
          </cell>
          <cell r="I83">
            <v>50000</v>
          </cell>
          <cell r="J83">
            <v>50000</v>
          </cell>
          <cell r="K83">
            <v>20000</v>
          </cell>
          <cell r="L83">
            <v>20000</v>
          </cell>
          <cell r="M83">
            <v>10000</v>
          </cell>
          <cell r="N83">
            <v>20000</v>
          </cell>
          <cell r="O83">
            <v>20000</v>
          </cell>
        </row>
        <row r="84">
          <cell r="B84">
            <v>81</v>
          </cell>
          <cell r="C84">
            <v>2136211.7499630288</v>
          </cell>
          <cell r="D84">
            <v>95294.880000000019</v>
          </cell>
          <cell r="E84">
            <v>42353.280000000013</v>
          </cell>
          <cell r="F84">
            <v>50625</v>
          </cell>
          <cell r="G84">
            <v>50625</v>
          </cell>
          <cell r="H84">
            <v>50625</v>
          </cell>
          <cell r="I84">
            <v>50625</v>
          </cell>
          <cell r="J84">
            <v>50625</v>
          </cell>
          <cell r="K84">
            <v>20250</v>
          </cell>
          <cell r="L84">
            <v>20250</v>
          </cell>
          <cell r="M84">
            <v>10125</v>
          </cell>
          <cell r="N84">
            <v>20250</v>
          </cell>
          <cell r="O84">
            <v>20250</v>
          </cell>
        </row>
        <row r="85">
          <cell r="B85">
            <v>82</v>
          </cell>
          <cell r="C85">
            <v>2199201.2744877017</v>
          </cell>
          <cell r="D85">
            <v>97511.040000000023</v>
          </cell>
          <cell r="E85">
            <v>43338.240000000005</v>
          </cell>
          <cell r="F85">
            <v>51250</v>
          </cell>
          <cell r="G85">
            <v>51250</v>
          </cell>
          <cell r="H85">
            <v>51250</v>
          </cell>
          <cell r="I85">
            <v>51249.999999999993</v>
          </cell>
          <cell r="J85">
            <v>51250</v>
          </cell>
          <cell r="K85">
            <v>20500</v>
          </cell>
          <cell r="L85">
            <v>20500</v>
          </cell>
          <cell r="M85">
            <v>10250</v>
          </cell>
          <cell r="N85">
            <v>20500</v>
          </cell>
          <cell r="O85">
            <v>20500</v>
          </cell>
        </row>
        <row r="86">
          <cell r="B86">
            <v>83</v>
          </cell>
          <cell r="C86">
            <v>2262534.1300538229</v>
          </cell>
          <cell r="D86">
            <v>99727.200000000012</v>
          </cell>
          <cell r="E86">
            <v>44323.200000000012</v>
          </cell>
          <cell r="F86">
            <v>51875</v>
          </cell>
          <cell r="G86">
            <v>51875</v>
          </cell>
          <cell r="H86">
            <v>51875</v>
          </cell>
          <cell r="I86">
            <v>51875.000000000007</v>
          </cell>
          <cell r="J86">
            <v>51875</v>
          </cell>
          <cell r="K86">
            <v>20750</v>
          </cell>
          <cell r="L86">
            <v>20750</v>
          </cell>
          <cell r="M86">
            <v>10375</v>
          </cell>
          <cell r="N86">
            <v>20750</v>
          </cell>
          <cell r="O86">
            <v>20750</v>
          </cell>
        </row>
        <row r="87">
          <cell r="B87">
            <v>84</v>
          </cell>
          <cell r="C87">
            <v>2326193.3396761417</v>
          </cell>
          <cell r="D87">
            <v>101943.36000000002</v>
          </cell>
          <cell r="E87">
            <v>45308.160000000011</v>
          </cell>
          <cell r="F87">
            <v>52500</v>
          </cell>
          <cell r="G87">
            <v>52500</v>
          </cell>
          <cell r="H87">
            <v>52500</v>
          </cell>
          <cell r="I87">
            <v>52500</v>
          </cell>
          <cell r="J87">
            <v>52500</v>
          </cell>
          <cell r="K87">
            <v>21000</v>
          </cell>
          <cell r="L87">
            <v>21000</v>
          </cell>
          <cell r="M87">
            <v>10500</v>
          </cell>
          <cell r="N87">
            <v>21000</v>
          </cell>
          <cell r="O87">
            <v>21000</v>
          </cell>
        </row>
        <row r="88">
          <cell r="B88">
            <v>85</v>
          </cell>
          <cell r="C88">
            <v>2390162.056932814</v>
          </cell>
          <cell r="D88">
            <v>104159.52</v>
          </cell>
          <cell r="E88">
            <v>46293.119999999995</v>
          </cell>
          <cell r="F88">
            <v>53125</v>
          </cell>
          <cell r="G88">
            <v>53125</v>
          </cell>
          <cell r="H88">
            <v>53125</v>
          </cell>
          <cell r="I88">
            <v>53125</v>
          </cell>
          <cell r="J88">
            <v>53125</v>
          </cell>
          <cell r="K88">
            <v>21250</v>
          </cell>
          <cell r="L88">
            <v>21250</v>
          </cell>
          <cell r="M88">
            <v>10625</v>
          </cell>
          <cell r="N88">
            <v>21250</v>
          </cell>
          <cell r="O88">
            <v>21250</v>
          </cell>
        </row>
        <row r="89">
          <cell r="B89">
            <v>86</v>
          </cell>
          <cell r="C89">
            <v>2454423.5755243152</v>
          </cell>
          <cell r="D89">
            <v>106375.68000000001</v>
          </cell>
          <cell r="E89">
            <v>47278.080000000002</v>
          </cell>
          <cell r="F89">
            <v>53750</v>
          </cell>
          <cell r="G89">
            <v>53750</v>
          </cell>
          <cell r="H89">
            <v>53750</v>
          </cell>
          <cell r="I89">
            <v>53750</v>
          </cell>
          <cell r="J89">
            <v>53750</v>
          </cell>
          <cell r="K89">
            <v>21500</v>
          </cell>
          <cell r="L89">
            <v>21500</v>
          </cell>
          <cell r="M89">
            <v>10750</v>
          </cell>
          <cell r="N89">
            <v>21500</v>
          </cell>
          <cell r="O89">
            <v>21500</v>
          </cell>
        </row>
        <row r="90">
          <cell r="B90">
            <v>87</v>
          </cell>
          <cell r="C90">
            <v>2518961.3388323309</v>
          </cell>
          <cell r="D90">
            <v>108591.83999999998</v>
          </cell>
          <cell r="E90">
            <v>48263.039999999986</v>
          </cell>
          <cell r="F90">
            <v>54375</v>
          </cell>
          <cell r="G90">
            <v>54375</v>
          </cell>
          <cell r="H90">
            <v>54375</v>
          </cell>
          <cell r="I90">
            <v>54374.999999999993</v>
          </cell>
          <cell r="J90">
            <v>54375</v>
          </cell>
          <cell r="K90">
            <v>21750</v>
          </cell>
          <cell r="L90">
            <v>21750</v>
          </cell>
          <cell r="M90">
            <v>10875</v>
          </cell>
          <cell r="N90">
            <v>21750</v>
          </cell>
          <cell r="O90">
            <v>21750</v>
          </cell>
        </row>
        <row r="91">
          <cell r="B91">
            <v>88</v>
          </cell>
          <cell r="C91">
            <v>2583758.9494786672</v>
          </cell>
          <cell r="D91">
            <v>110807.99999999997</v>
          </cell>
          <cell r="E91">
            <v>49247.999999999985</v>
          </cell>
          <cell r="F91">
            <v>55000</v>
          </cell>
          <cell r="G91">
            <v>55000</v>
          </cell>
          <cell r="H91">
            <v>55000</v>
          </cell>
          <cell r="I91">
            <v>55000.000000000007</v>
          </cell>
          <cell r="J91">
            <v>55000</v>
          </cell>
          <cell r="K91">
            <v>22000</v>
          </cell>
          <cell r="L91">
            <v>22000</v>
          </cell>
          <cell r="M91">
            <v>11000</v>
          </cell>
          <cell r="N91">
            <v>22000</v>
          </cell>
          <cell r="O91">
            <v>22000</v>
          </cell>
        </row>
        <row r="92">
          <cell r="B92">
            <v>89</v>
          </cell>
          <cell r="C92">
            <v>2648800.1788841435</v>
          </cell>
          <cell r="D92">
            <v>113024.15999999999</v>
          </cell>
          <cell r="E92">
            <v>50232.959999999985</v>
          </cell>
          <cell r="F92">
            <v>55625</v>
          </cell>
          <cell r="G92">
            <v>55625</v>
          </cell>
          <cell r="H92">
            <v>55625</v>
          </cell>
          <cell r="I92">
            <v>55625</v>
          </cell>
          <cell r="J92">
            <v>55625</v>
          </cell>
          <cell r="K92">
            <v>22250</v>
          </cell>
          <cell r="L92">
            <v>22250</v>
          </cell>
          <cell r="M92">
            <v>11125</v>
          </cell>
          <cell r="N92">
            <v>22250</v>
          </cell>
          <cell r="O92">
            <v>22250</v>
          </cell>
        </row>
        <row r="93">
          <cell r="B93">
            <v>90</v>
          </cell>
          <cell r="C93">
            <v>2714068.9768274995</v>
          </cell>
          <cell r="D93">
            <v>115240.31999999995</v>
          </cell>
          <cell r="E93">
            <v>51217.919999999976</v>
          </cell>
          <cell r="F93">
            <v>56250</v>
          </cell>
          <cell r="G93">
            <v>56250</v>
          </cell>
          <cell r="H93">
            <v>56250</v>
          </cell>
          <cell r="I93">
            <v>56250</v>
          </cell>
          <cell r="J93">
            <v>56250</v>
          </cell>
          <cell r="K93">
            <v>22500</v>
          </cell>
          <cell r="L93">
            <v>22500</v>
          </cell>
          <cell r="M93">
            <v>11250</v>
          </cell>
          <cell r="N93">
            <v>22500</v>
          </cell>
          <cell r="O93">
            <v>22500</v>
          </cell>
        </row>
        <row r="94">
          <cell r="B94">
            <v>91</v>
          </cell>
          <cell r="C94">
            <v>2779549.4810042954</v>
          </cell>
          <cell r="D94">
            <v>117456.47999999994</v>
          </cell>
          <cell r="E94">
            <v>52202.879999999976</v>
          </cell>
          <cell r="F94">
            <v>56875</v>
          </cell>
          <cell r="G94">
            <v>56875</v>
          </cell>
          <cell r="H94">
            <v>56875</v>
          </cell>
          <cell r="I94">
            <v>56875</v>
          </cell>
          <cell r="J94">
            <v>56875</v>
          </cell>
          <cell r="K94">
            <v>22750</v>
          </cell>
          <cell r="L94">
            <v>22750</v>
          </cell>
          <cell r="M94">
            <v>11375</v>
          </cell>
          <cell r="N94">
            <v>22750</v>
          </cell>
          <cell r="O94">
            <v>22750</v>
          </cell>
        </row>
        <row r="95">
          <cell r="B95">
            <v>92</v>
          </cell>
          <cell r="C95">
            <v>2845226.0265858159</v>
          </cell>
          <cell r="D95">
            <v>119672.63999999993</v>
          </cell>
          <cell r="E95">
            <v>53187.839999999982</v>
          </cell>
          <cell r="F95">
            <v>57500</v>
          </cell>
          <cell r="G95">
            <v>57500</v>
          </cell>
          <cell r="H95">
            <v>57500</v>
          </cell>
          <cell r="I95">
            <v>57499.999999999993</v>
          </cell>
          <cell r="J95">
            <v>57500</v>
          </cell>
          <cell r="K95">
            <v>23000</v>
          </cell>
          <cell r="L95">
            <v>23000</v>
          </cell>
          <cell r="M95">
            <v>11500</v>
          </cell>
          <cell r="N95">
            <v>23000</v>
          </cell>
          <cell r="O95">
            <v>23000</v>
          </cell>
        </row>
        <row r="96">
          <cell r="B96">
            <v>93</v>
          </cell>
          <cell r="C96">
            <v>2911083.1557779629</v>
          </cell>
          <cell r="D96">
            <v>121888.79999999994</v>
          </cell>
          <cell r="E96">
            <v>54172.799999999974</v>
          </cell>
          <cell r="F96">
            <v>58125</v>
          </cell>
          <cell r="G96">
            <v>58125</v>
          </cell>
          <cell r="H96">
            <v>58125</v>
          </cell>
          <cell r="I96">
            <v>58125.000000000007</v>
          </cell>
          <cell r="J96">
            <v>58125</v>
          </cell>
          <cell r="K96">
            <v>23250</v>
          </cell>
          <cell r="L96">
            <v>23250</v>
          </cell>
          <cell r="M96">
            <v>11625</v>
          </cell>
          <cell r="N96">
            <v>23250</v>
          </cell>
          <cell r="O96">
            <v>23250</v>
          </cell>
        </row>
        <row r="97">
          <cell r="B97">
            <v>94</v>
          </cell>
          <cell r="C97">
            <v>2977105.627380169</v>
          </cell>
          <cell r="D97">
            <v>124104.95999999993</v>
          </cell>
          <cell r="E97">
            <v>55157.759999999973</v>
          </cell>
          <cell r="F97">
            <v>58750</v>
          </cell>
          <cell r="G97">
            <v>58750</v>
          </cell>
          <cell r="H97">
            <v>58750</v>
          </cell>
          <cell r="I97">
            <v>58750</v>
          </cell>
          <cell r="J97">
            <v>58750</v>
          </cell>
          <cell r="K97">
            <v>23500</v>
          </cell>
          <cell r="L97">
            <v>23500</v>
          </cell>
          <cell r="M97">
            <v>11750</v>
          </cell>
          <cell r="N97">
            <v>23500</v>
          </cell>
          <cell r="O97">
            <v>23500</v>
          </cell>
        </row>
        <row r="98">
          <cell r="B98">
            <v>95</v>
          </cell>
          <cell r="C98">
            <v>3043278.4263442908</v>
          </cell>
          <cell r="D98">
            <v>126321.11999999992</v>
          </cell>
          <cell r="E98">
            <v>56142.719999999965</v>
          </cell>
          <cell r="F98">
            <v>59375</v>
          </cell>
          <cell r="G98">
            <v>59375</v>
          </cell>
          <cell r="H98">
            <v>59375</v>
          </cell>
          <cell r="I98">
            <v>59375</v>
          </cell>
          <cell r="J98">
            <v>59375</v>
          </cell>
          <cell r="K98">
            <v>23750</v>
          </cell>
          <cell r="L98">
            <v>23750</v>
          </cell>
          <cell r="M98">
            <v>11875</v>
          </cell>
          <cell r="N98">
            <v>23750</v>
          </cell>
          <cell r="O98">
            <v>23750</v>
          </cell>
        </row>
        <row r="99">
          <cell r="B99">
            <v>96</v>
          </cell>
          <cell r="C99">
            <v>3109586.773333509</v>
          </cell>
          <cell r="D99">
            <v>128537.27999999991</v>
          </cell>
          <cell r="E99">
            <v>57127.679999999957</v>
          </cell>
          <cell r="F99">
            <v>60000</v>
          </cell>
          <cell r="G99">
            <v>60000</v>
          </cell>
          <cell r="H99">
            <v>60000</v>
          </cell>
          <cell r="I99">
            <v>60000</v>
          </cell>
          <cell r="J99">
            <v>60000</v>
          </cell>
          <cell r="K99">
            <v>24000</v>
          </cell>
          <cell r="L99">
            <v>24000</v>
          </cell>
          <cell r="M99">
            <v>12000</v>
          </cell>
          <cell r="N99">
            <v>24000</v>
          </cell>
          <cell r="O99">
            <v>24000</v>
          </cell>
        </row>
        <row r="100">
          <cell r="B100">
            <v>97</v>
          </cell>
          <cell r="C100">
            <v>3176016.1342812413</v>
          </cell>
          <cell r="D100">
            <v>130753.43999999992</v>
          </cell>
          <cell r="E100">
            <v>58112.639999999963</v>
          </cell>
          <cell r="F100">
            <v>60625</v>
          </cell>
          <cell r="G100">
            <v>60625</v>
          </cell>
          <cell r="H100">
            <v>60625</v>
          </cell>
          <cell r="I100">
            <v>60624.999999999993</v>
          </cell>
          <cell r="J100">
            <v>60625</v>
          </cell>
          <cell r="K100">
            <v>24250</v>
          </cell>
          <cell r="L100">
            <v>24250</v>
          </cell>
          <cell r="M100">
            <v>12125</v>
          </cell>
          <cell r="N100">
            <v>24250</v>
          </cell>
          <cell r="O100">
            <v>24250</v>
          </cell>
        </row>
        <row r="101">
          <cell r="B101">
            <v>98</v>
          </cell>
          <cell r="C101">
            <v>3242552.229950028</v>
          </cell>
          <cell r="D101">
            <v>132969.59999999989</v>
          </cell>
          <cell r="E101">
            <v>59097.599999999948</v>
          </cell>
          <cell r="F101">
            <v>61250</v>
          </cell>
          <cell r="G101">
            <v>61250</v>
          </cell>
          <cell r="H101">
            <v>61250</v>
          </cell>
          <cell r="I101">
            <v>61250.000000000007</v>
          </cell>
          <cell r="J101">
            <v>61250</v>
          </cell>
          <cell r="K101">
            <v>24500</v>
          </cell>
          <cell r="L101">
            <v>24500</v>
          </cell>
          <cell r="M101">
            <v>12250</v>
          </cell>
          <cell r="N101">
            <v>24500</v>
          </cell>
          <cell r="O101">
            <v>24500</v>
          </cell>
        </row>
        <row r="102">
          <cell r="B102">
            <v>99</v>
          </cell>
          <cell r="C102">
            <v>3309181.0454904428</v>
          </cell>
          <cell r="D102">
            <v>135185.75999999989</v>
          </cell>
          <cell r="E102">
            <v>60082.559999999954</v>
          </cell>
          <cell r="F102">
            <v>61875</v>
          </cell>
          <cell r="G102">
            <v>61875</v>
          </cell>
          <cell r="H102">
            <v>61875</v>
          </cell>
          <cell r="I102">
            <v>61875</v>
          </cell>
          <cell r="J102">
            <v>61875</v>
          </cell>
          <cell r="K102">
            <v>24750</v>
          </cell>
          <cell r="L102">
            <v>24750</v>
          </cell>
          <cell r="M102">
            <v>12375</v>
          </cell>
          <cell r="N102">
            <v>24750</v>
          </cell>
          <cell r="O102">
            <v>24750</v>
          </cell>
        </row>
        <row r="103">
          <cell r="B103">
            <v>100</v>
          </cell>
          <cell r="C103">
            <v>3375888.8399999975</v>
          </cell>
          <cell r="D103">
            <v>137401.9199999999</v>
          </cell>
          <cell r="E103">
            <v>61067.519999999953</v>
          </cell>
          <cell r="F103">
            <v>62500</v>
          </cell>
          <cell r="G103">
            <v>62500</v>
          </cell>
          <cell r="H103">
            <v>62500</v>
          </cell>
          <cell r="I103">
            <v>62500</v>
          </cell>
          <cell r="J103">
            <v>62500</v>
          </cell>
          <cell r="K103">
            <v>25000</v>
          </cell>
          <cell r="L103">
            <v>25000</v>
          </cell>
          <cell r="M103">
            <v>12500</v>
          </cell>
          <cell r="N103">
            <v>25000</v>
          </cell>
          <cell r="O103">
            <v>25000</v>
          </cell>
        </row>
      </sheetData>
      <sheetData sheetId="7">
        <row r="2">
          <cell r="C2" t="str">
            <v>生命</v>
          </cell>
        </row>
        <row r="3">
          <cell r="B3" t="str">
            <v>属性价值比</v>
          </cell>
          <cell r="C3">
            <v>1.3888888888888888E-2</v>
          </cell>
        </row>
        <row r="4">
          <cell r="B4" t="str">
            <v>100级数值投放比</v>
          </cell>
          <cell r="C4">
            <v>72</v>
          </cell>
          <cell r="D4">
            <v>1.6</v>
          </cell>
          <cell r="E4">
            <v>1</v>
          </cell>
          <cell r="F4">
            <v>0.8</v>
          </cell>
          <cell r="G4">
            <v>0.8</v>
          </cell>
          <cell r="H4">
            <v>0.8</v>
          </cell>
          <cell r="I4">
            <v>0.4</v>
          </cell>
          <cell r="J4">
            <v>0.8</v>
          </cell>
          <cell r="K4">
            <v>0.8</v>
          </cell>
        </row>
        <row r="5">
          <cell r="B5" t="str">
            <v>100级数值属性投放比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</row>
        <row r="6">
          <cell r="B6" t="str">
            <v>100级投放值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</row>
        <row r="10">
          <cell r="I10" t="str">
            <v xml:space="preserve"> </v>
          </cell>
        </row>
        <row r="11">
          <cell r="C11">
            <v>2</v>
          </cell>
        </row>
        <row r="12">
          <cell r="C12">
            <v>0.32477482097307919</v>
          </cell>
          <cell r="D12">
            <v>1.3264418285649903E-2</v>
          </cell>
          <cell r="E12">
            <v>1.3264418285649903E-2</v>
          </cell>
          <cell r="F12">
            <v>2</v>
          </cell>
          <cell r="G12">
            <v>2</v>
          </cell>
          <cell r="H12">
            <v>0.16610938359592531</v>
          </cell>
          <cell r="I12">
            <v>0.18064765064314731</v>
          </cell>
          <cell r="J12">
            <v>0.16610938359592531</v>
          </cell>
          <cell r="K12">
            <v>9.9665630157555168E-2</v>
          </cell>
          <cell r="L12">
            <v>9.9665630157555168E-2</v>
          </cell>
          <cell r="M12">
            <v>4.9010270855015817E-2</v>
          </cell>
          <cell r="N12">
            <v>5.5369794531975068E-2</v>
          </cell>
          <cell r="O12">
            <v>0.12458203769694393</v>
          </cell>
        </row>
        <row r="13">
          <cell r="C13">
            <v>24.484663705489183</v>
          </cell>
          <cell r="D13">
            <v>1</v>
          </cell>
          <cell r="E13">
            <v>1</v>
          </cell>
          <cell r="F13">
            <v>150.77932231402096</v>
          </cell>
          <cell r="G13">
            <v>150.77932231402096</v>
          </cell>
          <cell r="H13">
            <v>12.522930144296684</v>
          </cell>
          <cell r="I13">
            <v>13.618965170796882</v>
          </cell>
          <cell r="J13">
            <v>12.522930144296684</v>
          </cell>
          <cell r="K13">
            <v>7.5137580865780089</v>
          </cell>
          <cell r="L13">
            <v>7.5137580865780089</v>
          </cell>
          <cell r="M13">
            <v>3.6948677129729486</v>
          </cell>
          <cell r="N13">
            <v>4.1743100480988922</v>
          </cell>
          <cell r="O13">
            <v>9.3921976082225083</v>
          </cell>
        </row>
        <row r="14">
          <cell r="C14">
            <v>4.0841892379179845E-2</v>
          </cell>
          <cell r="D14">
            <v>1</v>
          </cell>
          <cell r="E14">
            <v>1</v>
          </cell>
          <cell r="F14">
            <v>6.6322091428249515E-3</v>
          </cell>
          <cell r="G14">
            <v>6.6322091428249515E-3</v>
          </cell>
          <cell r="H14">
            <v>7.9853515788829169E-2</v>
          </cell>
          <cell r="I14">
            <v>7.3427017945849354E-2</v>
          </cell>
          <cell r="J14">
            <v>7.9853515788829169E-2</v>
          </cell>
          <cell r="K14">
            <v>0.13308919298138197</v>
          </cell>
          <cell r="L14">
            <v>0.13308919298138197</v>
          </cell>
          <cell r="M14">
            <v>0.27064568414423268</v>
          </cell>
          <cell r="N14">
            <v>0.23956054736648763</v>
          </cell>
          <cell r="O14">
            <v>0.1064713543851056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</row>
        <row r="18">
          <cell r="B18" t="str">
            <v>系统名称</v>
          </cell>
          <cell r="C18" t="str">
            <v>生命权重</v>
          </cell>
          <cell r="D18" t="str">
            <v>攻击权重</v>
          </cell>
          <cell r="E18" t="str">
            <v>防御权重</v>
          </cell>
          <cell r="F18" t="str">
            <v>闪避权重</v>
          </cell>
          <cell r="G18" t="str">
            <v>命中权重</v>
          </cell>
          <cell r="H18" t="str">
            <v>暴击率权重</v>
          </cell>
          <cell r="I18" t="str">
            <v>暴击倍数权重</v>
          </cell>
          <cell r="J18" t="str">
            <v>韧性权重</v>
          </cell>
          <cell r="K18" t="str">
            <v>减伤百分比权重</v>
          </cell>
          <cell r="L18" t="str">
            <v>加伤百分比权重</v>
          </cell>
          <cell r="M18" t="str">
            <v>生命百分比</v>
          </cell>
          <cell r="N18" t="str">
            <v>攻击百分比</v>
          </cell>
          <cell r="O18" t="str">
            <v>防御百分比</v>
          </cell>
        </row>
        <row r="19">
          <cell r="B19" t="str">
            <v>龙魂</v>
          </cell>
          <cell r="C19">
            <v>1.2</v>
          </cell>
          <cell r="D19">
            <v>0.8</v>
          </cell>
          <cell r="E19">
            <v>1</v>
          </cell>
          <cell r="F19">
            <v>1</v>
          </cell>
          <cell r="G19">
            <v>1</v>
          </cell>
          <cell r="H19">
            <v>1.5</v>
          </cell>
          <cell r="I19">
            <v>1.6666666666666667</v>
          </cell>
          <cell r="J19">
            <v>1.5</v>
          </cell>
          <cell r="K19">
            <v>0.5</v>
          </cell>
          <cell r="L19">
            <v>0.5</v>
          </cell>
          <cell r="M19">
            <v>1</v>
          </cell>
          <cell r="N19">
            <v>0</v>
          </cell>
          <cell r="O19">
            <v>0</v>
          </cell>
        </row>
        <row r="20">
          <cell r="B20" t="str">
            <v>装备</v>
          </cell>
          <cell r="C20">
            <v>1</v>
          </cell>
          <cell r="D20">
            <v>1.2</v>
          </cell>
          <cell r="E20">
            <v>1.2</v>
          </cell>
          <cell r="F20">
            <v>1</v>
          </cell>
          <cell r="G20">
            <v>1</v>
          </cell>
          <cell r="H20">
            <v>1</v>
          </cell>
          <cell r="I20">
            <v>0</v>
          </cell>
          <cell r="J20">
            <v>1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</row>
        <row r="21">
          <cell r="B21" t="str">
            <v>命格</v>
          </cell>
          <cell r="C21">
            <v>1</v>
          </cell>
          <cell r="D21">
            <v>1</v>
          </cell>
          <cell r="E21">
            <v>1</v>
          </cell>
          <cell r="F21">
            <v>1.2</v>
          </cell>
          <cell r="G21">
            <v>1.2</v>
          </cell>
          <cell r="H21">
            <v>3</v>
          </cell>
          <cell r="I21">
            <v>3.3333333333333335</v>
          </cell>
          <cell r="J21">
            <v>3</v>
          </cell>
          <cell r="K21">
            <v>1.2</v>
          </cell>
          <cell r="L21">
            <v>1.2</v>
          </cell>
          <cell r="M21">
            <v>1</v>
          </cell>
          <cell r="N21">
            <v>1.3333333333333335</v>
          </cell>
          <cell r="O21">
            <v>3</v>
          </cell>
        </row>
        <row r="22">
          <cell r="B22" t="str">
            <v>称号</v>
          </cell>
          <cell r="C22">
            <v>1</v>
          </cell>
          <cell r="D22">
            <v>1</v>
          </cell>
          <cell r="E22">
            <v>1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</row>
        <row r="23">
          <cell r="B23" t="str">
            <v>时装</v>
          </cell>
          <cell r="C23">
            <v>1</v>
          </cell>
          <cell r="D23">
            <v>1</v>
          </cell>
          <cell r="E23">
            <v>1.2</v>
          </cell>
          <cell r="F23">
            <v>0</v>
          </cell>
          <cell r="G23">
            <v>1</v>
          </cell>
          <cell r="H23">
            <v>0</v>
          </cell>
          <cell r="J23">
            <v>0</v>
          </cell>
          <cell r="K23">
            <v>0</v>
          </cell>
          <cell r="L23">
            <v>0</v>
          </cell>
          <cell r="O23">
            <v>0</v>
          </cell>
        </row>
        <row r="24">
          <cell r="B24" t="str">
            <v>祥云</v>
          </cell>
          <cell r="C24">
            <v>1.2</v>
          </cell>
          <cell r="D24">
            <v>0.8</v>
          </cell>
          <cell r="E24">
            <v>0.8</v>
          </cell>
          <cell r="F24">
            <v>0.7</v>
          </cell>
          <cell r="G24">
            <v>0.7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1</v>
          </cell>
        </row>
        <row r="25">
          <cell r="B25" t="str">
            <v>翅膀</v>
          </cell>
          <cell r="C25">
            <v>0.8</v>
          </cell>
          <cell r="D25">
            <v>1.2</v>
          </cell>
          <cell r="E25">
            <v>0.8</v>
          </cell>
          <cell r="F25">
            <v>0.5</v>
          </cell>
          <cell r="G25">
            <v>0</v>
          </cell>
          <cell r="H25">
            <v>0.6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N25">
            <v>1</v>
          </cell>
        </row>
        <row r="26">
          <cell r="B26" t="str">
            <v>躶体</v>
          </cell>
          <cell r="C26">
            <v>1</v>
          </cell>
          <cell r="D26">
            <v>1</v>
          </cell>
          <cell r="E26">
            <v>1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</row>
        <row r="27">
          <cell r="B27" t="str">
            <v>马仔</v>
          </cell>
          <cell r="C27">
            <v>1</v>
          </cell>
          <cell r="D27">
            <v>1.2</v>
          </cell>
          <cell r="E27">
            <v>1.2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</row>
        <row r="29">
          <cell r="B29" t="str">
            <v>积和运算</v>
          </cell>
          <cell r="C29" t="str">
            <v>总属性真实权重</v>
          </cell>
        </row>
        <row r="30">
          <cell r="C30">
            <v>52.900000000000006</v>
          </cell>
          <cell r="D30">
            <v>56.099999999999994</v>
          </cell>
          <cell r="E30">
            <v>57.699999999999996</v>
          </cell>
          <cell r="F30">
            <v>32</v>
          </cell>
          <cell r="G30">
            <v>32</v>
          </cell>
          <cell r="H30">
            <v>54</v>
          </cell>
          <cell r="I30">
            <v>46.666666666666671</v>
          </cell>
          <cell r="J30">
            <v>54</v>
          </cell>
          <cell r="K30">
            <v>16</v>
          </cell>
          <cell r="L30">
            <v>16</v>
          </cell>
          <cell r="M30">
            <v>18</v>
          </cell>
          <cell r="N30">
            <v>13.333333333333336</v>
          </cell>
          <cell r="O30">
            <v>30</v>
          </cell>
        </row>
        <row r="31">
          <cell r="B31" t="str">
            <v>系统名称</v>
          </cell>
          <cell r="C31" t="str">
            <v>生命权重</v>
          </cell>
          <cell r="D31" t="str">
            <v>攻击权重</v>
          </cell>
          <cell r="E31" t="str">
            <v>防御权重</v>
          </cell>
          <cell r="F31" t="str">
            <v>闪避权重</v>
          </cell>
          <cell r="G31" t="str">
            <v>命中权重</v>
          </cell>
          <cell r="H31" t="str">
            <v>暴击率权重</v>
          </cell>
          <cell r="I31" t="str">
            <v>暴击倍数权重</v>
          </cell>
          <cell r="J31" t="str">
            <v>韧性权重</v>
          </cell>
          <cell r="K31" t="str">
            <v>减伤权重</v>
          </cell>
          <cell r="L31" t="str">
            <v>伤害加深权重</v>
          </cell>
          <cell r="M31" t="str">
            <v>生命百分比</v>
          </cell>
          <cell r="N31" t="str">
            <v>攻击百分比</v>
          </cell>
          <cell r="O31" t="str">
            <v>防御百分比</v>
          </cell>
        </row>
        <row r="32">
          <cell r="B32" t="str">
            <v>龙魂</v>
          </cell>
          <cell r="C32">
            <v>0.18147448015122872</v>
          </cell>
          <cell r="D32">
            <v>0.11408199643493763</v>
          </cell>
          <cell r="E32">
            <v>0.13864818024263434</v>
          </cell>
          <cell r="F32">
            <v>0.25</v>
          </cell>
          <cell r="G32">
            <v>0.25</v>
          </cell>
          <cell r="H32">
            <v>0.22222222222222221</v>
          </cell>
          <cell r="I32">
            <v>0.2857142857142857</v>
          </cell>
          <cell r="J32">
            <v>0.22222222222222221</v>
          </cell>
          <cell r="K32">
            <v>0.25</v>
          </cell>
          <cell r="L32">
            <v>0.25</v>
          </cell>
          <cell r="M32">
            <v>0.44444444444444442</v>
          </cell>
          <cell r="N32">
            <v>0</v>
          </cell>
          <cell r="O32">
            <v>0</v>
          </cell>
        </row>
        <row r="33">
          <cell r="B33" t="str">
            <v>装备</v>
          </cell>
          <cell r="C33">
            <v>0.22684310018903589</v>
          </cell>
          <cell r="D33">
            <v>0.25668449197860965</v>
          </cell>
          <cell r="E33">
            <v>0.24956672443674177</v>
          </cell>
          <cell r="F33">
            <v>0.375</v>
          </cell>
          <cell r="G33">
            <v>0.375</v>
          </cell>
          <cell r="H33">
            <v>0.22222222222222221</v>
          </cell>
          <cell r="I33">
            <v>0</v>
          </cell>
          <cell r="J33">
            <v>0.22222222222222221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</row>
        <row r="34">
          <cell r="B34" t="str">
            <v>命格</v>
          </cell>
          <cell r="C34">
            <v>0.18903591682419657</v>
          </cell>
          <cell r="D34">
            <v>0.17825311942959005</v>
          </cell>
          <cell r="E34">
            <v>0.1733102253032929</v>
          </cell>
          <cell r="F34">
            <v>0.375</v>
          </cell>
          <cell r="G34">
            <v>0.375</v>
          </cell>
          <cell r="H34">
            <v>0.55555555555555558</v>
          </cell>
          <cell r="I34">
            <v>0.7142857142857143</v>
          </cell>
          <cell r="J34">
            <v>0.55555555555555558</v>
          </cell>
          <cell r="K34">
            <v>0.75</v>
          </cell>
          <cell r="L34">
            <v>0.75</v>
          </cell>
          <cell r="M34">
            <v>0.55555555555555558</v>
          </cell>
          <cell r="N34">
            <v>1</v>
          </cell>
          <cell r="O34">
            <v>1</v>
          </cell>
        </row>
        <row r="35">
          <cell r="B35" t="str">
            <v>称号</v>
          </cell>
          <cell r="C35">
            <v>5.6710775047258974E-3</v>
          </cell>
          <cell r="D35">
            <v>5.3475935828877011E-3</v>
          </cell>
          <cell r="E35">
            <v>5.1993067590987872E-3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</row>
        <row r="36">
          <cell r="B36" t="str">
            <v>时装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</row>
        <row r="37">
          <cell r="B37" t="str">
            <v>祥云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</row>
        <row r="38">
          <cell r="B38" t="str">
            <v>翅膀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</row>
        <row r="39">
          <cell r="B39" t="str">
            <v>躶体</v>
          </cell>
          <cell r="C39">
            <v>1.8903591682419656E-2</v>
          </cell>
          <cell r="D39">
            <v>1.7825311942959002E-2</v>
          </cell>
          <cell r="E39">
            <v>1.7331022530329292E-2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</row>
        <row r="40">
          <cell r="B40" t="str">
            <v>马仔</v>
          </cell>
          <cell r="C40">
            <v>0.37807183364839314</v>
          </cell>
          <cell r="D40">
            <v>0.42780748663101609</v>
          </cell>
          <cell r="E40">
            <v>0.41594454072790299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</row>
        <row r="42">
          <cell r="B42" t="str">
            <v>系统总属性总占比</v>
          </cell>
        </row>
        <row r="43">
          <cell r="B43">
            <v>1</v>
          </cell>
          <cell r="C43">
            <v>2</v>
          </cell>
          <cell r="D43">
            <v>3</v>
          </cell>
          <cell r="E43">
            <v>4</v>
          </cell>
          <cell r="F43">
            <v>5</v>
          </cell>
          <cell r="G43">
            <v>6</v>
          </cell>
          <cell r="H43">
            <v>7</v>
          </cell>
          <cell r="I43">
            <v>8</v>
          </cell>
          <cell r="J43">
            <v>9</v>
          </cell>
          <cell r="K43">
            <v>10</v>
          </cell>
          <cell r="L43">
            <v>11</v>
          </cell>
          <cell r="M43">
            <v>12</v>
          </cell>
          <cell r="N43">
            <v>13</v>
          </cell>
          <cell r="O43">
            <v>14</v>
          </cell>
        </row>
        <row r="44">
          <cell r="B44" t="str">
            <v>系统名称</v>
          </cell>
          <cell r="C44" t="str">
            <v>生命权重</v>
          </cell>
          <cell r="D44" t="str">
            <v>攻击权重</v>
          </cell>
          <cell r="E44" t="str">
            <v>防御权重</v>
          </cell>
          <cell r="F44" t="str">
            <v>闪避权重</v>
          </cell>
          <cell r="G44" t="str">
            <v>命中权重</v>
          </cell>
          <cell r="H44" t="str">
            <v>暴击率权重</v>
          </cell>
          <cell r="I44" t="str">
            <v>暴击倍数权重</v>
          </cell>
          <cell r="J44" t="str">
            <v>韧性权重</v>
          </cell>
          <cell r="K44" t="str">
            <v>减伤权重</v>
          </cell>
          <cell r="L44" t="str">
            <v>伤害加深权重</v>
          </cell>
          <cell r="M44" t="str">
            <v>生命百分比</v>
          </cell>
          <cell r="N44" t="str">
            <v>攻击百分比</v>
          </cell>
          <cell r="O44" t="str">
            <v>防御百分比</v>
          </cell>
        </row>
        <row r="45">
          <cell r="B45" t="str">
            <v>龙魂</v>
          </cell>
          <cell r="C45">
            <v>0.18147448015122875</v>
          </cell>
          <cell r="D45">
            <v>0.11408199643493763</v>
          </cell>
          <cell r="E45">
            <v>0.13864818024263434</v>
          </cell>
          <cell r="F45">
            <v>0.25</v>
          </cell>
          <cell r="G45">
            <v>0.25</v>
          </cell>
          <cell r="H45">
            <v>0.22222222222222221</v>
          </cell>
          <cell r="I45">
            <v>0.2857142857142857</v>
          </cell>
          <cell r="J45">
            <v>0.22222222222222221</v>
          </cell>
          <cell r="K45">
            <v>0.25</v>
          </cell>
          <cell r="L45">
            <v>0.25</v>
          </cell>
          <cell r="M45">
            <v>0.44444444444444442</v>
          </cell>
          <cell r="N45">
            <v>0</v>
          </cell>
          <cell r="O45">
            <v>0</v>
          </cell>
        </row>
        <row r="46">
          <cell r="B46" t="str">
            <v>装备</v>
          </cell>
          <cell r="C46">
            <v>0.22684310018903592</v>
          </cell>
          <cell r="D46">
            <v>0.25668449197860965</v>
          </cell>
          <cell r="E46">
            <v>0.24956672443674177</v>
          </cell>
          <cell r="F46">
            <v>0.375</v>
          </cell>
          <cell r="G46">
            <v>0.375</v>
          </cell>
          <cell r="H46">
            <v>0.22222222222222221</v>
          </cell>
          <cell r="I46">
            <v>0</v>
          </cell>
          <cell r="J46">
            <v>0.22222222222222221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</row>
        <row r="47">
          <cell r="B47" t="str">
            <v>命格</v>
          </cell>
          <cell r="C47">
            <v>0.1890359168241966</v>
          </cell>
          <cell r="D47">
            <v>0.17825311942959005</v>
          </cell>
          <cell r="E47">
            <v>0.1733102253032929</v>
          </cell>
          <cell r="F47">
            <v>0.375</v>
          </cell>
          <cell r="G47">
            <v>0.375</v>
          </cell>
          <cell r="H47">
            <v>0.55555555555555558</v>
          </cell>
          <cell r="I47">
            <v>0.5</v>
          </cell>
          <cell r="J47">
            <v>0.55555555555555558</v>
          </cell>
          <cell r="K47">
            <v>0.5</v>
          </cell>
          <cell r="L47">
            <v>0.5</v>
          </cell>
          <cell r="M47">
            <v>0.55555555555555558</v>
          </cell>
          <cell r="N47">
            <v>0.4</v>
          </cell>
          <cell r="O47">
            <v>0.6</v>
          </cell>
        </row>
        <row r="48">
          <cell r="B48" t="str">
            <v>称号</v>
          </cell>
          <cell r="C48">
            <v>5.6710775047258983E-3</v>
          </cell>
          <cell r="D48">
            <v>5.3475935828877011E-3</v>
          </cell>
          <cell r="E48">
            <v>5.1993067590987872E-3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</row>
        <row r="49">
          <cell r="B49" t="str">
            <v>时装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</row>
        <row r="50">
          <cell r="B50" t="str">
            <v>祥云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</row>
        <row r="51">
          <cell r="B51" t="str">
            <v>翅膀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</row>
        <row r="52">
          <cell r="B52" t="str">
            <v>躶体</v>
          </cell>
          <cell r="C52">
            <v>1.890359168241966E-2</v>
          </cell>
          <cell r="D52">
            <v>1.7825311942959002E-2</v>
          </cell>
          <cell r="E52">
            <v>1.7331022530329292E-2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</row>
        <row r="53">
          <cell r="B53" t="str">
            <v>马仔</v>
          </cell>
          <cell r="C53">
            <v>0.3780718336483932</v>
          </cell>
          <cell r="D53">
            <v>0.42780748663101609</v>
          </cell>
          <cell r="E53">
            <v>0.41594454072790299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</row>
        <row r="56">
          <cell r="B56">
            <v>1</v>
          </cell>
          <cell r="C56">
            <v>2</v>
          </cell>
          <cell r="D56">
            <v>3</v>
          </cell>
          <cell r="E56">
            <v>4</v>
          </cell>
          <cell r="F56">
            <v>5</v>
          </cell>
          <cell r="G56">
            <v>6</v>
          </cell>
          <cell r="H56">
            <v>7</v>
          </cell>
          <cell r="I56">
            <v>8</v>
          </cell>
          <cell r="J56">
            <v>9</v>
          </cell>
          <cell r="K56">
            <v>10</v>
          </cell>
          <cell r="L56">
            <v>11</v>
          </cell>
          <cell r="M56">
            <v>12</v>
          </cell>
          <cell r="N56">
            <v>13</v>
          </cell>
          <cell r="O56">
            <v>14</v>
          </cell>
        </row>
        <row r="57">
          <cell r="B57" t="str">
            <v>系统名称</v>
          </cell>
          <cell r="C57" t="str">
            <v>生命权重</v>
          </cell>
          <cell r="D57" t="str">
            <v>攻击权重</v>
          </cell>
          <cell r="E57" t="str">
            <v>防御权重</v>
          </cell>
          <cell r="F57" t="str">
            <v>闪避权重</v>
          </cell>
          <cell r="G57" t="str">
            <v>命中权重</v>
          </cell>
          <cell r="H57" t="str">
            <v>暴击率权重</v>
          </cell>
          <cell r="I57" t="str">
            <v>暴击倍数权重</v>
          </cell>
          <cell r="J57" t="str">
            <v>韧性权重</v>
          </cell>
          <cell r="K57" t="str">
            <v>减伤权重</v>
          </cell>
          <cell r="L57" t="str">
            <v>伤害加深权重</v>
          </cell>
          <cell r="M57" t="str">
            <v>生命百分比</v>
          </cell>
          <cell r="N57" t="str">
            <v>攻击百分比</v>
          </cell>
          <cell r="O57" t="str">
            <v>防御百分比</v>
          </cell>
        </row>
        <row r="58">
          <cell r="B58" t="str">
            <v>龙魂</v>
          </cell>
          <cell r="C58">
            <v>0.1658</v>
          </cell>
          <cell r="D58">
            <v>0.1031</v>
          </cell>
          <cell r="E58">
            <v>0.12559999999999999</v>
          </cell>
          <cell r="F58">
            <v>0.20250000000000001</v>
          </cell>
          <cell r="G58">
            <v>0.25</v>
          </cell>
          <cell r="H58">
            <v>0.2034</v>
          </cell>
          <cell r="I58">
            <v>0.2</v>
          </cell>
          <cell r="J58">
            <v>0.2034</v>
          </cell>
          <cell r="K58">
            <v>0.16669999999999999</v>
          </cell>
          <cell r="L58">
            <v>0.16669999999999999</v>
          </cell>
          <cell r="M58">
            <v>0</v>
          </cell>
          <cell r="N58">
            <v>0</v>
          </cell>
          <cell r="O58">
            <v>0</v>
          </cell>
        </row>
        <row r="59">
          <cell r="B59" t="str">
            <v>装备</v>
          </cell>
          <cell r="C59">
            <v>0.20730000000000001</v>
          </cell>
          <cell r="D59">
            <v>0.2319</v>
          </cell>
          <cell r="E59">
            <v>0.2261</v>
          </cell>
          <cell r="F59">
            <v>0.30380000000000001</v>
          </cell>
          <cell r="G59">
            <v>0.375</v>
          </cell>
          <cell r="H59">
            <v>0.2034</v>
          </cell>
          <cell r="I59">
            <v>0</v>
          </cell>
          <cell r="J59">
            <v>0.2034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</row>
        <row r="60">
          <cell r="B60" t="str">
            <v>命格</v>
          </cell>
          <cell r="C60">
            <v>0.17269999999999999</v>
          </cell>
          <cell r="D60">
            <v>0.161</v>
          </cell>
          <cell r="E60">
            <v>0.157</v>
          </cell>
          <cell r="F60">
            <v>0.30380000000000001</v>
          </cell>
          <cell r="G60">
            <v>0.375</v>
          </cell>
          <cell r="H60">
            <v>0.50849999999999995</v>
          </cell>
          <cell r="I60">
            <v>0.5</v>
          </cell>
          <cell r="J60">
            <v>0.50849999999999995</v>
          </cell>
          <cell r="K60">
            <v>0.5</v>
          </cell>
          <cell r="L60">
            <v>0.5</v>
          </cell>
          <cell r="M60">
            <v>0</v>
          </cell>
          <cell r="N60">
            <v>0.4</v>
          </cell>
          <cell r="O60">
            <v>0.6</v>
          </cell>
        </row>
        <row r="61">
          <cell r="B61" t="str">
            <v>称号</v>
          </cell>
          <cell r="C61">
            <v>5.1999999999999998E-3</v>
          </cell>
          <cell r="D61">
            <v>4.7999999999999996E-3</v>
          </cell>
          <cell r="E61">
            <v>4.7000000000000002E-3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</row>
        <row r="62">
          <cell r="B62" t="str">
            <v>时装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</row>
        <row r="63">
          <cell r="B63" t="str">
            <v>祥云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</row>
        <row r="64">
          <cell r="B64" t="str">
            <v>翅膀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</row>
        <row r="65">
          <cell r="B65" t="str">
            <v>躶体</v>
          </cell>
          <cell r="C65">
            <v>1.7299999999999999E-2</v>
          </cell>
          <cell r="D65">
            <v>1.61E-2</v>
          </cell>
          <cell r="E65">
            <v>1.5699999999999999E-2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</row>
        <row r="66">
          <cell r="B66" t="str">
            <v>马仔</v>
          </cell>
          <cell r="C66">
            <v>0.43180000000000002</v>
          </cell>
          <cell r="D66">
            <v>0.48309999999999997</v>
          </cell>
          <cell r="E66">
            <v>0.47099999999999997</v>
          </cell>
          <cell r="F66">
            <v>0.18990000000000001</v>
          </cell>
          <cell r="G66">
            <v>0</v>
          </cell>
          <cell r="H66">
            <v>8.4699999999999998E-2</v>
          </cell>
          <cell r="I66">
            <v>0.3</v>
          </cell>
          <cell r="J66">
            <v>8.4699999999999998E-2</v>
          </cell>
          <cell r="K66">
            <v>0.33329999999999999</v>
          </cell>
          <cell r="L66">
            <v>0.33329999999999999</v>
          </cell>
          <cell r="M66">
            <v>1</v>
          </cell>
          <cell r="N66">
            <v>0.6</v>
          </cell>
          <cell r="O66">
            <v>0.4</v>
          </cell>
        </row>
      </sheetData>
      <sheetData sheetId="8" refreshError="1"/>
      <sheetData sheetId="9">
        <row r="4">
          <cell r="D4" t="str">
            <v>45级紫装</v>
          </cell>
          <cell r="E4" t="str">
            <v>45级橙装</v>
          </cell>
        </row>
        <row r="5">
          <cell r="D5" t="str">
            <v>60级紫装</v>
          </cell>
          <cell r="E5" t="str">
            <v>60级橙装</v>
          </cell>
          <cell r="F5" t="str">
            <v>60级红装</v>
          </cell>
        </row>
        <row r="6">
          <cell r="D6" t="str">
            <v>70级紫装</v>
          </cell>
          <cell r="E6" t="str">
            <v>70级橙装</v>
          </cell>
          <cell r="F6" t="str">
            <v>70级红装</v>
          </cell>
        </row>
        <row r="7">
          <cell r="E7" t="str">
            <v>80级橙装</v>
          </cell>
          <cell r="F7" t="str">
            <v>80级红装</v>
          </cell>
        </row>
        <row r="8">
          <cell r="F8" t="str">
            <v>装备总套数</v>
          </cell>
        </row>
        <row r="10">
          <cell r="B10">
            <v>15</v>
          </cell>
          <cell r="D10" t="str">
            <v>一、</v>
          </cell>
          <cell r="E10" t="str">
            <v>升星</v>
          </cell>
          <cell r="F10">
            <v>5</v>
          </cell>
        </row>
        <row r="11">
          <cell r="B11">
            <v>12</v>
          </cell>
          <cell r="E11" t="str">
            <v>强化</v>
          </cell>
          <cell r="F11">
            <v>12</v>
          </cell>
        </row>
        <row r="12">
          <cell r="B12">
            <v>10</v>
          </cell>
          <cell r="E12" t="str">
            <v>装备</v>
          </cell>
          <cell r="F12">
            <v>1</v>
          </cell>
        </row>
        <row r="13">
          <cell r="B13">
            <v>100</v>
          </cell>
        </row>
        <row r="14">
          <cell r="B14">
            <v>6</v>
          </cell>
        </row>
        <row r="15">
          <cell r="B15" t="str">
            <v>装备</v>
          </cell>
        </row>
        <row r="16">
          <cell r="B16">
            <v>0.1</v>
          </cell>
        </row>
        <row r="18">
          <cell r="C18" t="str">
            <v>装备等级</v>
          </cell>
          <cell r="D18" t="str">
            <v>权重</v>
          </cell>
          <cell r="E18" t="str">
            <v>属性权重</v>
          </cell>
          <cell r="F18" t="str">
            <v>百分比</v>
          </cell>
        </row>
        <row r="19">
          <cell r="C19">
            <v>1</v>
          </cell>
          <cell r="D19">
            <v>0</v>
          </cell>
          <cell r="E19">
            <v>0</v>
          </cell>
          <cell r="F19">
            <v>0</v>
          </cell>
        </row>
        <row r="20">
          <cell r="C20">
            <v>5</v>
          </cell>
          <cell r="D20">
            <v>5</v>
          </cell>
          <cell r="E20">
            <v>0.60000000000000009</v>
          </cell>
          <cell r="F20">
            <v>0.05</v>
          </cell>
        </row>
        <row r="21">
          <cell r="C21">
            <v>15</v>
          </cell>
          <cell r="D21">
            <v>10</v>
          </cell>
          <cell r="E21">
            <v>1.2000000000000002</v>
          </cell>
          <cell r="F21">
            <v>0.1</v>
          </cell>
        </row>
        <row r="22">
          <cell r="C22">
            <v>30</v>
          </cell>
          <cell r="D22">
            <v>20</v>
          </cell>
          <cell r="E22">
            <v>2</v>
          </cell>
          <cell r="F22">
            <v>0.2</v>
          </cell>
        </row>
        <row r="23">
          <cell r="C23">
            <v>45</v>
          </cell>
          <cell r="D23">
            <v>40</v>
          </cell>
          <cell r="E23">
            <v>4</v>
          </cell>
          <cell r="F23">
            <v>0.4</v>
          </cell>
        </row>
        <row r="24">
          <cell r="C24">
            <v>60</v>
          </cell>
          <cell r="D24">
            <v>60</v>
          </cell>
          <cell r="E24">
            <v>6</v>
          </cell>
          <cell r="F24">
            <v>0.6</v>
          </cell>
        </row>
        <row r="25">
          <cell r="C25">
            <v>70</v>
          </cell>
          <cell r="D25">
            <v>80</v>
          </cell>
          <cell r="E25">
            <v>9</v>
          </cell>
          <cell r="F25">
            <v>0.8</v>
          </cell>
        </row>
        <row r="26">
          <cell r="C26">
            <v>80</v>
          </cell>
          <cell r="D26">
            <v>100</v>
          </cell>
          <cell r="E26">
            <v>12</v>
          </cell>
          <cell r="F26">
            <v>1</v>
          </cell>
        </row>
        <row r="27">
          <cell r="C27">
            <v>90</v>
          </cell>
          <cell r="D27">
            <v>100</v>
          </cell>
          <cell r="E27">
            <v>12</v>
          </cell>
          <cell r="F27">
            <v>1</v>
          </cell>
        </row>
        <row r="28">
          <cell r="C28">
            <v>100</v>
          </cell>
          <cell r="D28">
            <v>100</v>
          </cell>
          <cell r="E28">
            <v>12</v>
          </cell>
          <cell r="F28">
            <v>1</v>
          </cell>
        </row>
        <row r="34">
          <cell r="K34">
            <v>0.12</v>
          </cell>
          <cell r="L34">
            <v>0.18000000000000002</v>
          </cell>
          <cell r="M34">
            <v>0.26</v>
          </cell>
          <cell r="N34">
            <v>0.34</v>
          </cell>
          <cell r="O34">
            <v>0.4</v>
          </cell>
        </row>
        <row r="49">
          <cell r="D49" t="str">
            <v>装备总属性推导</v>
          </cell>
        </row>
        <row r="50">
          <cell r="C50" t="str">
            <v>装备属性（含附加属性）</v>
          </cell>
          <cell r="D50" t="str">
            <v>搜索值</v>
          </cell>
          <cell r="E50" t="str">
            <v>装备等级</v>
          </cell>
          <cell r="F50" t="str">
            <v>品质</v>
          </cell>
        </row>
        <row r="51">
          <cell r="D51" t="str">
            <v>50</v>
          </cell>
          <cell r="E51">
            <v>5</v>
          </cell>
          <cell r="F51">
            <v>0</v>
          </cell>
          <cell r="G51">
            <v>0.01</v>
          </cell>
          <cell r="H51">
            <v>391.98159819840561</v>
          </cell>
          <cell r="I51">
            <v>19.90988663101605</v>
          </cell>
          <cell r="J51">
            <v>8.6034634315424618</v>
          </cell>
          <cell r="K51">
            <v>15.625</v>
          </cell>
          <cell r="L51">
            <v>15.625</v>
          </cell>
          <cell r="M51">
            <v>9.2592592592592595</v>
          </cell>
          <cell r="N51">
            <v>0</v>
          </cell>
          <cell r="O51">
            <v>9.2592592592592595</v>
          </cell>
        </row>
        <row r="52">
          <cell r="D52" t="str">
            <v>51</v>
          </cell>
          <cell r="E52">
            <v>5</v>
          </cell>
          <cell r="F52">
            <v>1</v>
          </cell>
          <cell r="G52">
            <v>1.4999999999999999E-2</v>
          </cell>
          <cell r="H52">
            <v>587.97239729760838</v>
          </cell>
          <cell r="I52">
            <v>29.864829946524072</v>
          </cell>
          <cell r="J52">
            <v>12.905195147313693</v>
          </cell>
          <cell r="K52">
            <v>23.4375</v>
          </cell>
          <cell r="L52">
            <v>23.4375</v>
          </cell>
          <cell r="M52">
            <v>13.888888888888888</v>
          </cell>
          <cell r="N52">
            <v>0</v>
          </cell>
          <cell r="O52">
            <v>13.888888888888888</v>
          </cell>
        </row>
        <row r="53">
          <cell r="D53" t="str">
            <v>151</v>
          </cell>
          <cell r="E53">
            <v>15</v>
          </cell>
          <cell r="F53">
            <v>1</v>
          </cell>
          <cell r="G53">
            <v>0.03</v>
          </cell>
          <cell r="H53">
            <v>1175.9447945952168</v>
          </cell>
          <cell r="I53">
            <v>59.729659893048144</v>
          </cell>
          <cell r="J53">
            <v>25.810390294627386</v>
          </cell>
          <cell r="K53">
            <v>46.875</v>
          </cell>
          <cell r="L53">
            <v>46.875</v>
          </cell>
          <cell r="M53">
            <v>27.777777777777775</v>
          </cell>
          <cell r="N53">
            <v>0</v>
          </cell>
          <cell r="O53">
            <v>27.777777777777775</v>
          </cell>
        </row>
        <row r="54">
          <cell r="D54" t="str">
            <v>152</v>
          </cell>
          <cell r="E54">
            <v>15</v>
          </cell>
          <cell r="F54">
            <v>2</v>
          </cell>
          <cell r="G54">
            <v>4.3333333333333335E-2</v>
          </cell>
          <cell r="H54">
            <v>1698.5869255264242</v>
          </cell>
          <cell r="I54">
            <v>86.276175401069551</v>
          </cell>
          <cell r="J54">
            <v>37.281674870017333</v>
          </cell>
          <cell r="K54">
            <v>67.708333333333329</v>
          </cell>
          <cell r="L54">
            <v>67.708333333333329</v>
          </cell>
          <cell r="M54">
            <v>40.123456790123463</v>
          </cell>
          <cell r="N54">
            <v>0</v>
          </cell>
          <cell r="O54">
            <v>40.123456790123463</v>
          </cell>
        </row>
        <row r="55">
          <cell r="D55" t="str">
            <v>153</v>
          </cell>
          <cell r="E55">
            <v>15</v>
          </cell>
          <cell r="F55">
            <v>3</v>
          </cell>
          <cell r="G55">
            <v>5.6666666666666664E-2</v>
          </cell>
          <cell r="H55">
            <v>2221.2290564576315</v>
          </cell>
          <cell r="I55">
            <v>112.82269090909095</v>
          </cell>
          <cell r="J55">
            <v>48.752959445407278</v>
          </cell>
          <cell r="K55">
            <v>88.541666666666671</v>
          </cell>
          <cell r="L55">
            <v>88.541666666666671</v>
          </cell>
          <cell r="M55">
            <v>52.469135802469133</v>
          </cell>
          <cell r="N55">
            <v>0</v>
          </cell>
          <cell r="O55">
            <v>52.469135802469133</v>
          </cell>
        </row>
        <row r="56">
          <cell r="D56" t="str">
            <v>154</v>
          </cell>
          <cell r="E56">
            <v>15</v>
          </cell>
          <cell r="F56">
            <v>4</v>
          </cell>
          <cell r="G56">
            <v>6.6666666666666666E-2</v>
          </cell>
          <cell r="H56">
            <v>2613.2106546560367</v>
          </cell>
          <cell r="I56">
            <v>132.73257754010697</v>
          </cell>
          <cell r="J56">
            <v>57.35642287694975</v>
          </cell>
          <cell r="K56">
            <v>104.16666666666667</v>
          </cell>
          <cell r="L56">
            <v>104.16666666666667</v>
          </cell>
          <cell r="M56">
            <v>61.728395061728399</v>
          </cell>
          <cell r="N56">
            <v>0</v>
          </cell>
          <cell r="O56">
            <v>61.728395061728399</v>
          </cell>
        </row>
        <row r="57">
          <cell r="D57" t="str">
            <v>301</v>
          </cell>
          <cell r="E57">
            <v>30</v>
          </cell>
          <cell r="F57">
            <v>1</v>
          </cell>
          <cell r="G57">
            <v>0.06</v>
          </cell>
          <cell r="H57">
            <v>2351.8895891904335</v>
          </cell>
          <cell r="I57">
            <v>119.45931978609629</v>
          </cell>
          <cell r="J57">
            <v>51.620780589254771</v>
          </cell>
          <cell r="K57">
            <v>93.75</v>
          </cell>
          <cell r="L57">
            <v>93.75</v>
          </cell>
          <cell r="M57">
            <v>55.55555555555555</v>
          </cell>
          <cell r="N57">
            <v>0</v>
          </cell>
          <cell r="O57">
            <v>55.55555555555555</v>
          </cell>
        </row>
        <row r="58">
          <cell r="D58" t="str">
            <v>302</v>
          </cell>
          <cell r="E58">
            <v>30</v>
          </cell>
          <cell r="F58">
            <v>2</v>
          </cell>
          <cell r="G58">
            <v>8.666666666666667E-2</v>
          </cell>
          <cell r="H58">
            <v>3397.1738510528485</v>
          </cell>
          <cell r="I58">
            <v>172.5523508021391</v>
          </cell>
          <cell r="J58">
            <v>74.563349740034667</v>
          </cell>
          <cell r="K58">
            <v>135.41666666666666</v>
          </cell>
          <cell r="L58">
            <v>135.41666666666666</v>
          </cell>
          <cell r="M58">
            <v>80.246913580246925</v>
          </cell>
          <cell r="N58">
            <v>0</v>
          </cell>
          <cell r="O58">
            <v>80.246913580246925</v>
          </cell>
        </row>
        <row r="59">
          <cell r="D59" t="str">
            <v>303</v>
          </cell>
          <cell r="E59">
            <v>30</v>
          </cell>
          <cell r="F59">
            <v>3</v>
          </cell>
          <cell r="G59">
            <v>0.11333333333333333</v>
          </cell>
          <cell r="H59">
            <v>4442.458112915263</v>
          </cell>
          <cell r="I59">
            <v>225.6453818181819</v>
          </cell>
          <cell r="J59">
            <v>97.505918890814556</v>
          </cell>
          <cell r="K59">
            <v>177.08333333333334</v>
          </cell>
          <cell r="L59">
            <v>177.08333333333334</v>
          </cell>
          <cell r="M59">
            <v>104.93827160493827</v>
          </cell>
          <cell r="N59">
            <v>0</v>
          </cell>
          <cell r="O59">
            <v>104.93827160493827</v>
          </cell>
        </row>
        <row r="60">
          <cell r="D60" t="str">
            <v>304</v>
          </cell>
          <cell r="E60">
            <v>30</v>
          </cell>
          <cell r="F60">
            <v>4</v>
          </cell>
          <cell r="G60">
            <v>0.13333333333333333</v>
          </cell>
          <cell r="H60">
            <v>5226.4213093120734</v>
          </cell>
          <cell r="I60">
            <v>265.46515508021395</v>
          </cell>
          <cell r="J60">
            <v>114.7128457538995</v>
          </cell>
          <cell r="K60">
            <v>208.33333333333334</v>
          </cell>
          <cell r="L60">
            <v>208.33333333333334</v>
          </cell>
          <cell r="M60">
            <v>123.4567901234568</v>
          </cell>
          <cell r="N60">
            <v>0</v>
          </cell>
          <cell r="O60">
            <v>123.4567901234568</v>
          </cell>
        </row>
        <row r="61">
          <cell r="D61" t="str">
            <v>451</v>
          </cell>
          <cell r="E61">
            <v>45</v>
          </cell>
          <cell r="F61">
            <v>1</v>
          </cell>
          <cell r="G61">
            <v>0.12</v>
          </cell>
          <cell r="H61">
            <v>4703.7791783808671</v>
          </cell>
          <cell r="I61">
            <v>238.91863957219257</v>
          </cell>
          <cell r="J61">
            <v>103.24156117850954</v>
          </cell>
          <cell r="K61">
            <v>187.5</v>
          </cell>
          <cell r="L61">
            <v>187.5</v>
          </cell>
          <cell r="M61">
            <v>111.1111111111111</v>
          </cell>
          <cell r="N61">
            <v>0</v>
          </cell>
          <cell r="O61">
            <v>111.1111111111111</v>
          </cell>
        </row>
        <row r="62">
          <cell r="D62" t="str">
            <v>452</v>
          </cell>
          <cell r="E62">
            <v>45</v>
          </cell>
          <cell r="F62">
            <v>2</v>
          </cell>
          <cell r="G62">
            <v>0.17333333333333334</v>
          </cell>
          <cell r="H62">
            <v>6794.347702105697</v>
          </cell>
          <cell r="I62">
            <v>345.1047016042782</v>
          </cell>
          <cell r="J62">
            <v>149.12669948006933</v>
          </cell>
          <cell r="K62">
            <v>270.83333333333331</v>
          </cell>
          <cell r="L62">
            <v>270.83333333333331</v>
          </cell>
          <cell r="M62">
            <v>160.49382716049385</v>
          </cell>
          <cell r="N62">
            <v>0</v>
          </cell>
          <cell r="O62">
            <v>160.49382716049385</v>
          </cell>
        </row>
        <row r="63">
          <cell r="D63" t="str">
            <v>453</v>
          </cell>
          <cell r="E63">
            <v>45</v>
          </cell>
          <cell r="F63">
            <v>3</v>
          </cell>
          <cell r="G63">
            <v>0.22666666666666666</v>
          </cell>
          <cell r="H63">
            <v>8884.9162258305259</v>
          </cell>
          <cell r="I63">
            <v>451.29076363636381</v>
          </cell>
          <cell r="J63">
            <v>195.01183778162911</v>
          </cell>
          <cell r="K63">
            <v>354.16666666666669</v>
          </cell>
          <cell r="L63">
            <v>354.16666666666669</v>
          </cell>
          <cell r="M63">
            <v>209.87654320987653</v>
          </cell>
          <cell r="N63">
            <v>0</v>
          </cell>
          <cell r="O63">
            <v>209.87654320987653</v>
          </cell>
        </row>
        <row r="64">
          <cell r="D64" t="str">
            <v>454</v>
          </cell>
          <cell r="E64">
            <v>45</v>
          </cell>
          <cell r="F64">
            <v>4</v>
          </cell>
          <cell r="G64">
            <v>0.26666666666666666</v>
          </cell>
          <cell r="H64">
            <v>10452.842618624147</v>
          </cell>
          <cell r="I64">
            <v>530.93031016042789</v>
          </cell>
          <cell r="J64">
            <v>229.425691507799</v>
          </cell>
          <cell r="K64">
            <v>416.66666666666669</v>
          </cell>
          <cell r="L64">
            <v>416.66666666666669</v>
          </cell>
          <cell r="M64">
            <v>246.9135802469136</v>
          </cell>
          <cell r="N64">
            <v>0</v>
          </cell>
          <cell r="O64">
            <v>246.9135802469136</v>
          </cell>
        </row>
        <row r="65">
          <cell r="D65" t="str">
            <v>601</v>
          </cell>
          <cell r="E65">
            <v>60</v>
          </cell>
          <cell r="F65">
            <v>1</v>
          </cell>
          <cell r="G65">
            <v>0.18</v>
          </cell>
          <cell r="H65">
            <v>7055.6687675713001</v>
          </cell>
          <cell r="I65">
            <v>358.37795935828882</v>
          </cell>
          <cell r="J65">
            <v>154.86234176776432</v>
          </cell>
          <cell r="K65">
            <v>281.25</v>
          </cell>
          <cell r="L65">
            <v>281.25</v>
          </cell>
          <cell r="M65">
            <v>166.66666666666666</v>
          </cell>
          <cell r="N65">
            <v>0</v>
          </cell>
          <cell r="O65">
            <v>166.66666666666666</v>
          </cell>
        </row>
        <row r="66">
          <cell r="D66" t="str">
            <v>602</v>
          </cell>
          <cell r="E66">
            <v>60</v>
          </cell>
          <cell r="F66">
            <v>2</v>
          </cell>
          <cell r="G66">
            <v>0.26</v>
          </cell>
          <cell r="H66">
            <v>10191.521553158544</v>
          </cell>
          <cell r="I66">
            <v>517.65705240641728</v>
          </cell>
          <cell r="J66">
            <v>223.69004922010402</v>
          </cell>
          <cell r="K66">
            <v>406.25</v>
          </cell>
          <cell r="L66">
            <v>406.25</v>
          </cell>
          <cell r="M66">
            <v>240.74074074074076</v>
          </cell>
          <cell r="N66">
            <v>0</v>
          </cell>
          <cell r="O66">
            <v>240.74074074074076</v>
          </cell>
        </row>
        <row r="67">
          <cell r="D67" t="str">
            <v>603</v>
          </cell>
          <cell r="E67">
            <v>60</v>
          </cell>
          <cell r="F67">
            <v>3</v>
          </cell>
          <cell r="G67">
            <v>0.33999999999999997</v>
          </cell>
          <cell r="H67">
            <v>13327.374338745787</v>
          </cell>
          <cell r="I67">
            <v>676.93614545454557</v>
          </cell>
          <cell r="J67">
            <v>292.51775667244368</v>
          </cell>
          <cell r="K67">
            <v>531.24999999999989</v>
          </cell>
          <cell r="L67">
            <v>531.24999999999989</v>
          </cell>
          <cell r="M67">
            <v>314.81481481481478</v>
          </cell>
          <cell r="N67">
            <v>0</v>
          </cell>
          <cell r="O67">
            <v>314.81481481481478</v>
          </cell>
        </row>
        <row r="68">
          <cell r="D68" t="str">
            <v>604</v>
          </cell>
          <cell r="E68">
            <v>60</v>
          </cell>
          <cell r="F68">
            <v>4</v>
          </cell>
          <cell r="G68">
            <v>0.39999999999999997</v>
          </cell>
          <cell r="H68">
            <v>15679.263927936221</v>
          </cell>
          <cell r="I68">
            <v>796.3954652406419</v>
          </cell>
          <cell r="J68">
            <v>344.13853726169845</v>
          </cell>
          <cell r="K68">
            <v>624.99999999999989</v>
          </cell>
          <cell r="L68">
            <v>624.99999999999989</v>
          </cell>
          <cell r="M68">
            <v>370.37037037037038</v>
          </cell>
          <cell r="N68">
            <v>0</v>
          </cell>
          <cell r="O68">
            <v>370.37037037037038</v>
          </cell>
        </row>
        <row r="69">
          <cell r="D69" t="str">
            <v>701</v>
          </cell>
          <cell r="E69">
            <v>70</v>
          </cell>
          <cell r="F69">
            <v>1</v>
          </cell>
          <cell r="G69">
            <v>0.24</v>
          </cell>
          <cell r="H69">
            <v>9407.5583567617341</v>
          </cell>
          <cell r="I69">
            <v>477.83727914438515</v>
          </cell>
          <cell r="J69">
            <v>206.48312235701908</v>
          </cell>
          <cell r="K69">
            <v>375</v>
          </cell>
          <cell r="L69">
            <v>375</v>
          </cell>
          <cell r="M69">
            <v>222.2222222222222</v>
          </cell>
          <cell r="N69">
            <v>0</v>
          </cell>
          <cell r="O69">
            <v>222.2222222222222</v>
          </cell>
        </row>
        <row r="70">
          <cell r="D70" t="str">
            <v>702</v>
          </cell>
          <cell r="E70">
            <v>70</v>
          </cell>
          <cell r="F70">
            <v>2</v>
          </cell>
          <cell r="G70">
            <v>0.34666666666666668</v>
          </cell>
          <cell r="H70">
            <v>13588.695404211394</v>
          </cell>
          <cell r="I70">
            <v>690.20940320855641</v>
          </cell>
          <cell r="J70">
            <v>298.25339896013867</v>
          </cell>
          <cell r="K70">
            <v>541.66666666666663</v>
          </cell>
          <cell r="L70">
            <v>541.66666666666663</v>
          </cell>
          <cell r="M70">
            <v>320.9876543209877</v>
          </cell>
          <cell r="N70">
            <v>0</v>
          </cell>
          <cell r="O70">
            <v>320.9876543209877</v>
          </cell>
        </row>
        <row r="71">
          <cell r="D71" t="str">
            <v>703</v>
          </cell>
          <cell r="E71">
            <v>70</v>
          </cell>
          <cell r="F71">
            <v>3</v>
          </cell>
          <cell r="G71">
            <v>0.45333333333333331</v>
          </cell>
          <cell r="H71">
            <v>17769.832451661052</v>
          </cell>
          <cell r="I71">
            <v>902.58152727272761</v>
          </cell>
          <cell r="J71">
            <v>390.02367556325822</v>
          </cell>
          <cell r="K71">
            <v>708.33333333333337</v>
          </cell>
          <cell r="L71">
            <v>708.33333333333337</v>
          </cell>
          <cell r="M71">
            <v>419.75308641975306</v>
          </cell>
          <cell r="N71">
            <v>0</v>
          </cell>
          <cell r="O71">
            <v>419.75308641975306</v>
          </cell>
        </row>
        <row r="72">
          <cell r="D72" t="str">
            <v>704</v>
          </cell>
          <cell r="E72">
            <v>70</v>
          </cell>
          <cell r="F72">
            <v>4</v>
          </cell>
          <cell r="G72">
            <v>0.53333333333333333</v>
          </cell>
          <cell r="H72">
            <v>20905.685237248294</v>
          </cell>
          <cell r="I72">
            <v>1061.8606203208558</v>
          </cell>
          <cell r="J72">
            <v>458.851383015598</v>
          </cell>
          <cell r="K72">
            <v>833.33333333333337</v>
          </cell>
          <cell r="L72">
            <v>833.33333333333337</v>
          </cell>
          <cell r="M72">
            <v>493.82716049382719</v>
          </cell>
          <cell r="N72">
            <v>0</v>
          </cell>
          <cell r="O72">
            <v>493.82716049382719</v>
          </cell>
        </row>
        <row r="73">
          <cell r="D73" t="str">
            <v>801</v>
          </cell>
          <cell r="E73">
            <v>80</v>
          </cell>
          <cell r="F73">
            <v>1</v>
          </cell>
          <cell r="G73">
            <v>0.3</v>
          </cell>
          <cell r="H73">
            <v>11759.447945952166</v>
          </cell>
          <cell r="I73">
            <v>597.29659893048142</v>
          </cell>
          <cell r="J73">
            <v>258.10390294627388</v>
          </cell>
          <cell r="K73">
            <v>468.75</v>
          </cell>
          <cell r="L73">
            <v>468.75</v>
          </cell>
          <cell r="M73">
            <v>277.77777777777777</v>
          </cell>
          <cell r="N73">
            <v>0</v>
          </cell>
          <cell r="O73">
            <v>277.77777777777777</v>
          </cell>
        </row>
        <row r="74">
          <cell r="D74" t="str">
            <v>802</v>
          </cell>
          <cell r="E74">
            <v>80</v>
          </cell>
          <cell r="F74">
            <v>2</v>
          </cell>
          <cell r="G74">
            <v>0.43333333333333335</v>
          </cell>
          <cell r="H74">
            <v>16985.869255264242</v>
          </cell>
          <cell r="I74">
            <v>862.76175401069543</v>
          </cell>
          <cell r="J74">
            <v>372.81674870017338</v>
          </cell>
          <cell r="K74">
            <v>677.08333333333337</v>
          </cell>
          <cell r="L74">
            <v>677.08333333333337</v>
          </cell>
          <cell r="M74">
            <v>401.23456790123458</v>
          </cell>
          <cell r="N74">
            <v>0</v>
          </cell>
          <cell r="O74">
            <v>401.23456790123458</v>
          </cell>
        </row>
        <row r="75">
          <cell r="D75" t="str">
            <v>803</v>
          </cell>
          <cell r="E75">
            <v>80</v>
          </cell>
          <cell r="F75">
            <v>3</v>
          </cell>
          <cell r="G75">
            <v>0.56666666666666665</v>
          </cell>
          <cell r="H75">
            <v>22212.290564576313</v>
          </cell>
          <cell r="I75">
            <v>1128.2269090909094</v>
          </cell>
          <cell r="J75">
            <v>487.52959445407282</v>
          </cell>
          <cell r="K75">
            <v>885.41666666666663</v>
          </cell>
          <cell r="L75">
            <v>885.41666666666663</v>
          </cell>
          <cell r="M75">
            <v>524.69135802469134</v>
          </cell>
          <cell r="N75">
            <v>0</v>
          </cell>
          <cell r="O75">
            <v>524.69135802469134</v>
          </cell>
        </row>
        <row r="76">
          <cell r="D76" t="str">
            <v>804</v>
          </cell>
          <cell r="E76">
            <v>80</v>
          </cell>
          <cell r="F76">
            <v>4</v>
          </cell>
          <cell r="G76">
            <v>0.66666666666666663</v>
          </cell>
          <cell r="H76">
            <v>26132.106546560371</v>
          </cell>
          <cell r="I76">
            <v>1327.3257754010699</v>
          </cell>
          <cell r="J76">
            <v>573.56422876949739</v>
          </cell>
          <cell r="K76">
            <v>1041.6666666666667</v>
          </cell>
          <cell r="L76">
            <v>1041.6666666666667</v>
          </cell>
          <cell r="M76">
            <v>617.28395061728395</v>
          </cell>
          <cell r="N76">
            <v>0</v>
          </cell>
          <cell r="O76">
            <v>617.28395061728395</v>
          </cell>
        </row>
        <row r="79">
          <cell r="C79" t="str">
            <v>装备强化每级属性</v>
          </cell>
          <cell r="D79" t="str">
            <v>搜索值</v>
          </cell>
          <cell r="E79" t="str">
            <v>装备等级</v>
          </cell>
          <cell r="F79" t="str">
            <v>品质</v>
          </cell>
          <cell r="G79" t="str">
            <v>属性</v>
          </cell>
        </row>
        <row r="80">
          <cell r="D80" t="str">
            <v>50</v>
          </cell>
          <cell r="E80">
            <v>5</v>
          </cell>
          <cell r="F80">
            <v>0</v>
          </cell>
          <cell r="G80">
            <v>0.12</v>
          </cell>
          <cell r="H80">
            <v>58.79723972976084</v>
          </cell>
          <cell r="I80">
            <v>2.9864829946524072</v>
          </cell>
          <cell r="J80">
            <v>1.2905195147313693</v>
          </cell>
          <cell r="K80">
            <v>2.34375</v>
          </cell>
          <cell r="L80">
            <v>2.34375</v>
          </cell>
          <cell r="M80">
            <v>1.3888888888888888</v>
          </cell>
          <cell r="N80">
            <v>0</v>
          </cell>
          <cell r="O80">
            <v>1.3888888888888888</v>
          </cell>
        </row>
        <row r="81">
          <cell r="D81" t="str">
            <v>51</v>
          </cell>
          <cell r="E81">
            <v>5</v>
          </cell>
          <cell r="F81">
            <v>1</v>
          </cell>
          <cell r="G81">
            <v>0.18000000000000002</v>
          </cell>
          <cell r="H81">
            <v>88.195859594641263</v>
          </cell>
          <cell r="I81">
            <v>4.4797244919786117</v>
          </cell>
          <cell r="J81">
            <v>1.9357792720970539</v>
          </cell>
          <cell r="K81">
            <v>3.5156250000000009</v>
          </cell>
          <cell r="L81">
            <v>3.5156250000000009</v>
          </cell>
          <cell r="M81">
            <v>2.0833333333333335</v>
          </cell>
          <cell r="N81">
            <v>0</v>
          </cell>
          <cell r="O81">
            <v>2.0833333333333335</v>
          </cell>
        </row>
        <row r="82">
          <cell r="D82" t="str">
            <v>151</v>
          </cell>
          <cell r="E82">
            <v>15</v>
          </cell>
          <cell r="F82">
            <v>1</v>
          </cell>
          <cell r="G82">
            <v>0.36000000000000004</v>
          </cell>
          <cell r="H82">
            <v>176.39171918928253</v>
          </cell>
          <cell r="I82">
            <v>8.9594489839572233</v>
          </cell>
          <cell r="J82">
            <v>3.8715585441941078</v>
          </cell>
          <cell r="K82">
            <v>7.0312500000000018</v>
          </cell>
          <cell r="L82">
            <v>7.0312500000000018</v>
          </cell>
          <cell r="M82">
            <v>4.166666666666667</v>
          </cell>
          <cell r="N82">
            <v>0</v>
          </cell>
          <cell r="O82">
            <v>4.166666666666667</v>
          </cell>
        </row>
        <row r="83">
          <cell r="D83" t="str">
            <v>152</v>
          </cell>
          <cell r="E83">
            <v>15</v>
          </cell>
          <cell r="F83">
            <v>2</v>
          </cell>
          <cell r="G83">
            <v>0.52</v>
          </cell>
          <cell r="H83">
            <v>254.78803882896358</v>
          </cell>
          <cell r="I83">
            <v>12.941426310160432</v>
          </cell>
          <cell r="J83">
            <v>5.5922512305026002</v>
          </cell>
          <cell r="K83">
            <v>10.15625</v>
          </cell>
          <cell r="L83">
            <v>10.15625</v>
          </cell>
          <cell r="M83">
            <v>6.018518518518519</v>
          </cell>
          <cell r="N83">
            <v>0</v>
          </cell>
          <cell r="O83">
            <v>6.018518518518519</v>
          </cell>
        </row>
        <row r="84">
          <cell r="D84" t="str">
            <v>153</v>
          </cell>
          <cell r="E84">
            <v>15</v>
          </cell>
          <cell r="F84">
            <v>3</v>
          </cell>
          <cell r="G84">
            <v>0.68</v>
          </cell>
          <cell r="H84">
            <v>333.18435846864475</v>
          </cell>
          <cell r="I84">
            <v>16.923403636363641</v>
          </cell>
          <cell r="J84">
            <v>7.3129439168110935</v>
          </cell>
          <cell r="K84">
            <v>13.281250000000004</v>
          </cell>
          <cell r="L84">
            <v>13.281250000000004</v>
          </cell>
          <cell r="M84">
            <v>7.8703703703703711</v>
          </cell>
          <cell r="N84">
            <v>0</v>
          </cell>
          <cell r="O84">
            <v>7.8703703703703711</v>
          </cell>
        </row>
        <row r="85">
          <cell r="D85" t="str">
            <v>154</v>
          </cell>
          <cell r="E85">
            <v>15</v>
          </cell>
          <cell r="F85">
            <v>4</v>
          </cell>
          <cell r="G85">
            <v>0.8</v>
          </cell>
          <cell r="H85">
            <v>391.98159819840561</v>
          </cell>
          <cell r="I85">
            <v>19.90988663101605</v>
          </cell>
          <cell r="J85">
            <v>8.6034634315424618</v>
          </cell>
          <cell r="K85">
            <v>15.625</v>
          </cell>
          <cell r="L85">
            <v>15.625</v>
          </cell>
          <cell r="M85">
            <v>9.2592592592592595</v>
          </cell>
          <cell r="N85">
            <v>0</v>
          </cell>
          <cell r="O85">
            <v>9.2592592592592595</v>
          </cell>
        </row>
        <row r="86">
          <cell r="D86" t="str">
            <v>301</v>
          </cell>
          <cell r="E86">
            <v>30</v>
          </cell>
          <cell r="F86">
            <v>1</v>
          </cell>
          <cell r="G86">
            <v>0.72000000000000008</v>
          </cell>
          <cell r="H86">
            <v>352.78343837856505</v>
          </cell>
          <cell r="I86">
            <v>17.918897967914447</v>
          </cell>
          <cell r="J86">
            <v>7.7431170883882157</v>
          </cell>
          <cell r="K86">
            <v>14.062500000000004</v>
          </cell>
          <cell r="L86">
            <v>14.062500000000004</v>
          </cell>
          <cell r="M86">
            <v>8.3333333333333339</v>
          </cell>
          <cell r="N86">
            <v>0</v>
          </cell>
          <cell r="O86">
            <v>8.3333333333333339</v>
          </cell>
        </row>
        <row r="87">
          <cell r="D87" t="str">
            <v>302</v>
          </cell>
          <cell r="E87">
            <v>30</v>
          </cell>
          <cell r="F87">
            <v>2</v>
          </cell>
          <cell r="G87">
            <v>1.04</v>
          </cell>
          <cell r="H87">
            <v>509.57607765792716</v>
          </cell>
          <cell r="I87">
            <v>25.882852620320865</v>
          </cell>
          <cell r="J87">
            <v>11.1845024610052</v>
          </cell>
          <cell r="K87">
            <v>20.3125</v>
          </cell>
          <cell r="L87">
            <v>20.3125</v>
          </cell>
          <cell r="M87">
            <v>12.037037037037038</v>
          </cell>
          <cell r="N87">
            <v>0</v>
          </cell>
          <cell r="O87">
            <v>12.037037037037038</v>
          </cell>
        </row>
        <row r="88">
          <cell r="D88" t="str">
            <v>303</v>
          </cell>
          <cell r="E88">
            <v>30</v>
          </cell>
          <cell r="F88">
            <v>3</v>
          </cell>
          <cell r="G88">
            <v>1.36</v>
          </cell>
          <cell r="H88">
            <v>666.36871693728949</v>
          </cell>
          <cell r="I88">
            <v>33.846807272727283</v>
          </cell>
          <cell r="J88">
            <v>14.625887833622187</v>
          </cell>
          <cell r="K88">
            <v>26.562500000000007</v>
          </cell>
          <cell r="L88">
            <v>26.562500000000007</v>
          </cell>
          <cell r="M88">
            <v>15.740740740740742</v>
          </cell>
          <cell r="N88">
            <v>0</v>
          </cell>
          <cell r="O88">
            <v>15.740740740740742</v>
          </cell>
        </row>
        <row r="89">
          <cell r="D89" t="str">
            <v>304</v>
          </cell>
          <cell r="E89">
            <v>30</v>
          </cell>
          <cell r="F89">
            <v>4</v>
          </cell>
          <cell r="G89">
            <v>1.6</v>
          </cell>
          <cell r="H89">
            <v>783.96319639681121</v>
          </cell>
          <cell r="I89">
            <v>39.819773262032101</v>
          </cell>
          <cell r="J89">
            <v>17.206926863084924</v>
          </cell>
          <cell r="K89">
            <v>31.25</v>
          </cell>
          <cell r="L89">
            <v>31.25</v>
          </cell>
          <cell r="M89">
            <v>18.518518518518519</v>
          </cell>
          <cell r="N89">
            <v>0</v>
          </cell>
          <cell r="O89">
            <v>18.518518518518519</v>
          </cell>
        </row>
        <row r="90">
          <cell r="D90" t="str">
            <v>451</v>
          </cell>
          <cell r="E90">
            <v>45</v>
          </cell>
          <cell r="F90">
            <v>1</v>
          </cell>
          <cell r="G90">
            <v>1.4400000000000002</v>
          </cell>
          <cell r="H90">
            <v>705.5668767571301</v>
          </cell>
          <cell r="I90">
            <v>35.837795935828893</v>
          </cell>
          <cell r="J90">
            <v>15.486234176776431</v>
          </cell>
          <cell r="K90">
            <v>28.125000000000007</v>
          </cell>
          <cell r="L90">
            <v>28.125000000000007</v>
          </cell>
          <cell r="M90">
            <v>16.666666666666668</v>
          </cell>
          <cell r="N90">
            <v>0</v>
          </cell>
          <cell r="O90">
            <v>16.666666666666668</v>
          </cell>
        </row>
        <row r="91">
          <cell r="D91" t="str">
            <v>452</v>
          </cell>
          <cell r="E91">
            <v>45</v>
          </cell>
          <cell r="F91">
            <v>2</v>
          </cell>
          <cell r="G91">
            <v>2.08</v>
          </cell>
          <cell r="H91">
            <v>1019.1521553158543</v>
          </cell>
          <cell r="I91">
            <v>51.765705240641729</v>
          </cell>
          <cell r="J91">
            <v>22.369004922010401</v>
          </cell>
          <cell r="K91">
            <v>40.625</v>
          </cell>
          <cell r="L91">
            <v>40.625</v>
          </cell>
          <cell r="M91">
            <v>24.074074074074076</v>
          </cell>
          <cell r="N91">
            <v>0</v>
          </cell>
          <cell r="O91">
            <v>24.074074074074076</v>
          </cell>
        </row>
        <row r="92">
          <cell r="D92" t="str">
            <v>453</v>
          </cell>
          <cell r="E92">
            <v>45</v>
          </cell>
          <cell r="F92">
            <v>3</v>
          </cell>
          <cell r="G92">
            <v>2.72</v>
          </cell>
          <cell r="H92">
            <v>1332.737433874579</v>
          </cell>
          <cell r="I92">
            <v>67.693614545454565</v>
          </cell>
          <cell r="J92">
            <v>29.251775667244374</v>
          </cell>
          <cell r="K92">
            <v>53.125000000000014</v>
          </cell>
          <cell r="L92">
            <v>53.125000000000014</v>
          </cell>
          <cell r="M92">
            <v>31.481481481481485</v>
          </cell>
          <cell r="N92">
            <v>0</v>
          </cell>
          <cell r="O92">
            <v>31.481481481481485</v>
          </cell>
        </row>
        <row r="93">
          <cell r="D93" t="str">
            <v>454</v>
          </cell>
          <cell r="E93">
            <v>45</v>
          </cell>
          <cell r="F93">
            <v>4</v>
          </cell>
          <cell r="G93">
            <v>3.2</v>
          </cell>
          <cell r="H93">
            <v>1567.9263927936224</v>
          </cell>
          <cell r="I93">
            <v>79.639546524064201</v>
          </cell>
          <cell r="J93">
            <v>34.413853726169847</v>
          </cell>
          <cell r="K93">
            <v>62.5</v>
          </cell>
          <cell r="L93">
            <v>62.5</v>
          </cell>
          <cell r="M93">
            <v>37.037037037037038</v>
          </cell>
          <cell r="N93">
            <v>0</v>
          </cell>
          <cell r="O93">
            <v>37.037037037037038</v>
          </cell>
        </row>
        <row r="94">
          <cell r="D94" t="str">
            <v>601</v>
          </cell>
          <cell r="E94">
            <v>60</v>
          </cell>
          <cell r="F94">
            <v>1</v>
          </cell>
          <cell r="G94">
            <v>2.16</v>
          </cell>
          <cell r="H94">
            <v>1058.3503151356949</v>
          </cell>
          <cell r="I94">
            <v>53.75669390374334</v>
          </cell>
          <cell r="J94">
            <v>23.229351265164645</v>
          </cell>
          <cell r="K94">
            <v>42.1875</v>
          </cell>
          <cell r="L94">
            <v>42.1875</v>
          </cell>
          <cell r="M94">
            <v>25.000000000000004</v>
          </cell>
          <cell r="N94">
            <v>0</v>
          </cell>
          <cell r="O94">
            <v>25.000000000000004</v>
          </cell>
        </row>
        <row r="95">
          <cell r="D95" t="str">
            <v>602</v>
          </cell>
          <cell r="E95">
            <v>60</v>
          </cell>
          <cell r="F95">
            <v>2</v>
          </cell>
          <cell r="G95">
            <v>3.12</v>
          </cell>
          <cell r="H95">
            <v>1528.7282329737818</v>
          </cell>
          <cell r="I95">
            <v>77.648557860962597</v>
          </cell>
          <cell r="J95">
            <v>33.553507383015599</v>
          </cell>
          <cell r="K95">
            <v>60.9375</v>
          </cell>
          <cell r="L95">
            <v>60.9375</v>
          </cell>
          <cell r="M95">
            <v>36.111111111111114</v>
          </cell>
          <cell r="N95">
            <v>0</v>
          </cell>
          <cell r="O95">
            <v>36.111111111111114</v>
          </cell>
        </row>
        <row r="96">
          <cell r="D96" t="str">
            <v>603</v>
          </cell>
          <cell r="E96">
            <v>60</v>
          </cell>
          <cell r="F96">
            <v>3</v>
          </cell>
          <cell r="G96">
            <v>4.08</v>
          </cell>
          <cell r="H96">
            <v>1999.1061508118685</v>
          </cell>
          <cell r="I96">
            <v>101.54042181818185</v>
          </cell>
          <cell r="J96">
            <v>43.877663500866561</v>
          </cell>
          <cell r="K96">
            <v>79.6875</v>
          </cell>
          <cell r="L96">
            <v>79.6875</v>
          </cell>
          <cell r="M96">
            <v>47.222222222222221</v>
          </cell>
          <cell r="N96">
            <v>0</v>
          </cell>
          <cell r="O96">
            <v>47.222222222222221</v>
          </cell>
        </row>
        <row r="97">
          <cell r="D97" t="str">
            <v>604</v>
          </cell>
          <cell r="E97">
            <v>60</v>
          </cell>
          <cell r="F97">
            <v>4</v>
          </cell>
          <cell r="G97">
            <v>4.8</v>
          </cell>
          <cell r="H97">
            <v>2351.8895891904331</v>
          </cell>
          <cell r="I97">
            <v>119.45931978609629</v>
          </cell>
          <cell r="J97">
            <v>51.620780589254778</v>
          </cell>
          <cell r="K97">
            <v>93.75</v>
          </cell>
          <cell r="L97">
            <v>93.75</v>
          </cell>
          <cell r="M97">
            <v>55.555555555555557</v>
          </cell>
          <cell r="N97">
            <v>0</v>
          </cell>
          <cell r="O97">
            <v>55.555555555555557</v>
          </cell>
        </row>
        <row r="98">
          <cell r="D98" t="str">
            <v>701</v>
          </cell>
          <cell r="E98">
            <v>70</v>
          </cell>
          <cell r="F98">
            <v>1</v>
          </cell>
          <cell r="G98">
            <v>2.8800000000000003</v>
          </cell>
          <cell r="H98">
            <v>1411.1337535142602</v>
          </cell>
          <cell r="I98">
            <v>71.675591871657787</v>
          </cell>
          <cell r="J98">
            <v>30.972468353552863</v>
          </cell>
          <cell r="K98">
            <v>56.250000000000014</v>
          </cell>
          <cell r="L98">
            <v>56.250000000000014</v>
          </cell>
          <cell r="M98">
            <v>33.333333333333336</v>
          </cell>
          <cell r="N98">
            <v>0</v>
          </cell>
          <cell r="O98">
            <v>33.333333333333336</v>
          </cell>
        </row>
        <row r="99">
          <cell r="D99" t="str">
            <v>702</v>
          </cell>
          <cell r="E99">
            <v>70</v>
          </cell>
          <cell r="F99">
            <v>2</v>
          </cell>
          <cell r="G99">
            <v>4.16</v>
          </cell>
          <cell r="H99">
            <v>2038.3043106317086</v>
          </cell>
          <cell r="I99">
            <v>103.53141048128346</v>
          </cell>
          <cell r="J99">
            <v>44.738009844020802</v>
          </cell>
          <cell r="K99">
            <v>81.25</v>
          </cell>
          <cell r="L99">
            <v>81.25</v>
          </cell>
          <cell r="M99">
            <v>48.148148148148152</v>
          </cell>
          <cell r="N99">
            <v>0</v>
          </cell>
          <cell r="O99">
            <v>48.148148148148152</v>
          </cell>
        </row>
        <row r="100">
          <cell r="D100" t="str">
            <v>703</v>
          </cell>
          <cell r="E100">
            <v>70</v>
          </cell>
          <cell r="F100">
            <v>3</v>
          </cell>
          <cell r="G100">
            <v>5.44</v>
          </cell>
          <cell r="H100">
            <v>2665.474867749158</v>
          </cell>
          <cell r="I100">
            <v>135.38722909090913</v>
          </cell>
          <cell r="J100">
            <v>58.503551334488748</v>
          </cell>
          <cell r="K100">
            <v>106.25000000000003</v>
          </cell>
          <cell r="L100">
            <v>106.25000000000003</v>
          </cell>
          <cell r="M100">
            <v>62.962962962962969</v>
          </cell>
          <cell r="N100">
            <v>0</v>
          </cell>
          <cell r="O100">
            <v>62.962962962962969</v>
          </cell>
        </row>
        <row r="101">
          <cell r="D101" t="str">
            <v>704</v>
          </cell>
          <cell r="E101">
            <v>70</v>
          </cell>
          <cell r="F101">
            <v>4</v>
          </cell>
          <cell r="G101">
            <v>6.4</v>
          </cell>
          <cell r="H101">
            <v>3135.8527855872449</v>
          </cell>
          <cell r="I101">
            <v>159.2790930481284</v>
          </cell>
          <cell r="J101">
            <v>68.827707452339695</v>
          </cell>
          <cell r="K101">
            <v>125</v>
          </cell>
          <cell r="L101">
            <v>125</v>
          </cell>
          <cell r="M101">
            <v>74.074074074074076</v>
          </cell>
          <cell r="N101">
            <v>0</v>
          </cell>
          <cell r="O101">
            <v>74.074074074074076</v>
          </cell>
        </row>
        <row r="102">
          <cell r="D102" t="str">
            <v>801</v>
          </cell>
          <cell r="E102">
            <v>80</v>
          </cell>
          <cell r="F102">
            <v>1</v>
          </cell>
          <cell r="G102">
            <v>3.6</v>
          </cell>
          <cell r="H102">
            <v>1763.9171918928248</v>
          </cell>
          <cell r="I102">
            <v>89.594489839572219</v>
          </cell>
          <cell r="J102">
            <v>38.715585441941087</v>
          </cell>
          <cell r="K102">
            <v>70.3125</v>
          </cell>
          <cell r="L102">
            <v>70.3125</v>
          </cell>
          <cell r="M102">
            <v>41.666666666666671</v>
          </cell>
          <cell r="N102">
            <v>0</v>
          </cell>
          <cell r="O102">
            <v>41.666666666666671</v>
          </cell>
        </row>
        <row r="103">
          <cell r="D103" t="str">
            <v>802</v>
          </cell>
          <cell r="E103">
            <v>80</v>
          </cell>
          <cell r="F103">
            <v>2</v>
          </cell>
          <cell r="G103">
            <v>5.2</v>
          </cell>
          <cell r="H103">
            <v>2547.8803882896364</v>
          </cell>
          <cell r="I103">
            <v>129.41426310160432</v>
          </cell>
          <cell r="J103">
            <v>55.922512305026011</v>
          </cell>
          <cell r="K103">
            <v>101.5625</v>
          </cell>
          <cell r="L103">
            <v>101.5625</v>
          </cell>
          <cell r="M103">
            <v>60.185185185185183</v>
          </cell>
          <cell r="N103">
            <v>0</v>
          </cell>
          <cell r="O103">
            <v>60.185185185185183</v>
          </cell>
        </row>
      </sheetData>
      <sheetData sheetId="10" refreshError="1"/>
      <sheetData sheetId="11">
        <row r="1">
          <cell r="B1">
            <v>19</v>
          </cell>
        </row>
        <row r="2">
          <cell r="B2">
            <v>20</v>
          </cell>
        </row>
        <row r="7">
          <cell r="N7">
            <v>8.8888888888888882E-4</v>
          </cell>
          <cell r="O7">
            <v>1.7777777777777776E-3</v>
          </cell>
        </row>
        <row r="9">
          <cell r="B9" t="str">
            <v>马仔</v>
          </cell>
        </row>
        <row r="21">
          <cell r="N21">
            <v>6.6666666666666662E-3</v>
          </cell>
          <cell r="O21">
            <v>6.6666666666666662E-3</v>
          </cell>
        </row>
        <row r="23">
          <cell r="B23" t="str">
            <v>马仔品阶</v>
          </cell>
          <cell r="C23" t="str">
            <v>品阶权重</v>
          </cell>
        </row>
        <row r="24">
          <cell r="B24">
            <v>1</v>
          </cell>
          <cell r="C24">
            <v>1</v>
          </cell>
          <cell r="I24">
            <v>1.111111111111111E-2</v>
          </cell>
          <cell r="J24">
            <v>0.66666666666666663</v>
          </cell>
        </row>
        <row r="25">
          <cell r="B25">
            <v>2</v>
          </cell>
          <cell r="C25">
            <v>2</v>
          </cell>
          <cell r="I25">
            <v>2.222222222222222E-2</v>
          </cell>
          <cell r="J25">
            <v>0.66666666666666663</v>
          </cell>
        </row>
        <row r="26">
          <cell r="B26">
            <v>3</v>
          </cell>
          <cell r="C26">
            <v>4</v>
          </cell>
          <cell r="I26">
            <v>4.4444444444444439E-2</v>
          </cell>
          <cell r="J26">
            <v>0.66666666666666663</v>
          </cell>
        </row>
        <row r="27">
          <cell r="B27">
            <v>4</v>
          </cell>
          <cell r="C27">
            <v>6</v>
          </cell>
          <cell r="I27">
            <v>6.6666666666666666E-2</v>
          </cell>
          <cell r="J27">
            <v>0.66666666666666663</v>
          </cell>
        </row>
        <row r="31">
          <cell r="N31">
            <v>5.5555555555555559E-2</v>
          </cell>
          <cell r="O31">
            <v>0.11111111111111112</v>
          </cell>
        </row>
        <row r="50">
          <cell r="N50">
            <v>0</v>
          </cell>
        </row>
      </sheetData>
      <sheetData sheetId="12">
        <row r="1">
          <cell r="B1">
            <v>0.3</v>
          </cell>
        </row>
        <row r="3">
          <cell r="B3" t="str">
            <v>称号</v>
          </cell>
        </row>
        <row r="4">
          <cell r="D4">
            <v>0</v>
          </cell>
          <cell r="E4">
            <v>0</v>
          </cell>
          <cell r="F4">
            <v>0</v>
          </cell>
        </row>
        <row r="5">
          <cell r="D5">
            <v>1</v>
          </cell>
          <cell r="E5">
            <v>0.19380669946781492</v>
          </cell>
          <cell r="F5">
            <v>5.8142009840344476E-2</v>
          </cell>
        </row>
        <row r="6">
          <cell r="D6">
            <v>2</v>
          </cell>
          <cell r="E6">
            <v>0.2325680393613779</v>
          </cell>
          <cell r="F6">
            <v>6.9770411808413368E-2</v>
          </cell>
        </row>
        <row r="7">
          <cell r="D7">
            <v>3</v>
          </cell>
          <cell r="E7">
            <v>0.27908164723365347</v>
          </cell>
          <cell r="F7">
            <v>8.3724494170096045E-2</v>
          </cell>
        </row>
        <row r="8">
          <cell r="D8">
            <v>4</v>
          </cell>
          <cell r="E8">
            <v>0.33489797668038418</v>
          </cell>
          <cell r="F8">
            <v>0.10046939300411525</v>
          </cell>
        </row>
        <row r="9">
          <cell r="D9">
            <v>5</v>
          </cell>
          <cell r="E9">
            <v>0.40187757201646102</v>
          </cell>
          <cell r="F9">
            <v>0.12056327160493829</v>
          </cell>
        </row>
        <row r="10">
          <cell r="D10">
            <v>6</v>
          </cell>
          <cell r="E10">
            <v>0.48225308641975323</v>
          </cell>
          <cell r="F10">
            <v>0.14467592592592596</v>
          </cell>
        </row>
        <row r="11">
          <cell r="D11">
            <v>7</v>
          </cell>
          <cell r="E11">
            <v>0.57870370370370383</v>
          </cell>
          <cell r="F11">
            <v>0.17361111111111113</v>
          </cell>
        </row>
        <row r="12">
          <cell r="D12">
            <v>8</v>
          </cell>
          <cell r="E12">
            <v>0.69444444444444453</v>
          </cell>
          <cell r="F12">
            <v>0.20833333333333334</v>
          </cell>
        </row>
        <row r="13">
          <cell r="D13">
            <v>9</v>
          </cell>
          <cell r="E13">
            <v>0.83333333333333337</v>
          </cell>
          <cell r="F13">
            <v>0.25</v>
          </cell>
        </row>
        <row r="14">
          <cell r="D14">
            <v>10</v>
          </cell>
          <cell r="E14">
            <v>1</v>
          </cell>
          <cell r="F14">
            <v>0.3</v>
          </cell>
        </row>
      </sheetData>
      <sheetData sheetId="13" refreshError="1"/>
      <sheetData sheetId="14">
        <row r="2">
          <cell r="B2">
            <v>8</v>
          </cell>
        </row>
        <row r="3">
          <cell r="B3" t="str">
            <v>龙魂</v>
          </cell>
        </row>
        <row r="37">
          <cell r="E37">
            <v>1</v>
          </cell>
          <cell r="F37">
            <v>52264.213093120743</v>
          </cell>
          <cell r="G37">
            <v>1474.8064171122999</v>
          </cell>
          <cell r="H37">
            <v>796.61698440207999</v>
          </cell>
          <cell r="I37">
            <v>2083.333333333333</v>
          </cell>
          <cell r="J37">
            <v>2083.333333333333</v>
          </cell>
          <cell r="K37">
            <v>1851.8518518518517</v>
          </cell>
          <cell r="L37">
            <v>1190.4761904761904</v>
          </cell>
          <cell r="M37">
            <v>1851.8518518518517</v>
          </cell>
          <cell r="N37">
            <v>0</v>
          </cell>
          <cell r="O37">
            <v>0</v>
          </cell>
        </row>
        <row r="38">
          <cell r="E38">
            <v>2</v>
          </cell>
          <cell r="F38">
            <v>52264.213093120743</v>
          </cell>
          <cell r="G38">
            <v>1474.8064171122999</v>
          </cell>
          <cell r="H38">
            <v>796.61698440207999</v>
          </cell>
          <cell r="I38">
            <v>2083.333333333333</v>
          </cell>
          <cell r="J38">
            <v>2083.333333333333</v>
          </cell>
          <cell r="K38">
            <v>1851.8518518518517</v>
          </cell>
          <cell r="L38">
            <v>1190.4761904761904</v>
          </cell>
          <cell r="M38">
            <v>1851.8518518518517</v>
          </cell>
          <cell r="N38">
            <v>0</v>
          </cell>
          <cell r="O38">
            <v>0</v>
          </cell>
        </row>
        <row r="39">
          <cell r="E39">
            <v>3</v>
          </cell>
          <cell r="F39">
            <v>52264.213093120743</v>
          </cell>
          <cell r="G39">
            <v>1474.8064171122999</v>
          </cell>
          <cell r="H39">
            <v>796.61698440207999</v>
          </cell>
          <cell r="I39">
            <v>2083.333333333333</v>
          </cell>
          <cell r="J39">
            <v>2083.333333333333</v>
          </cell>
          <cell r="K39">
            <v>1851.8518518518517</v>
          </cell>
          <cell r="L39">
            <v>1190.4761904761904</v>
          </cell>
          <cell r="M39">
            <v>1851.8518518518517</v>
          </cell>
          <cell r="N39">
            <v>0</v>
          </cell>
          <cell r="O39">
            <v>0</v>
          </cell>
        </row>
        <row r="40">
          <cell r="E40">
            <v>4</v>
          </cell>
          <cell r="F40">
            <v>52264.213093120743</v>
          </cell>
          <cell r="G40">
            <v>1474.8064171122999</v>
          </cell>
          <cell r="H40">
            <v>796.61698440207999</v>
          </cell>
          <cell r="I40">
            <v>2083.333333333333</v>
          </cell>
          <cell r="J40">
            <v>2083.333333333333</v>
          </cell>
          <cell r="K40">
            <v>1851.8518518518517</v>
          </cell>
          <cell r="L40">
            <v>1190.4761904761904</v>
          </cell>
          <cell r="M40">
            <v>1851.8518518518517</v>
          </cell>
          <cell r="N40">
            <v>0</v>
          </cell>
          <cell r="O40">
            <v>0</v>
          </cell>
        </row>
        <row r="41">
          <cell r="E41">
            <v>5</v>
          </cell>
          <cell r="F41">
            <v>52264.213093120743</v>
          </cell>
          <cell r="G41">
            <v>1474.8064171122999</v>
          </cell>
          <cell r="H41">
            <v>796.61698440207999</v>
          </cell>
          <cell r="I41">
            <v>2083.333333333333</v>
          </cell>
          <cell r="J41">
            <v>2083.333333333333</v>
          </cell>
          <cell r="K41">
            <v>1851.8518518518517</v>
          </cell>
          <cell r="L41">
            <v>1190.4761904761904</v>
          </cell>
          <cell r="M41">
            <v>1851.8518518518517</v>
          </cell>
          <cell r="N41">
            <v>0</v>
          </cell>
          <cell r="O41">
            <v>0</v>
          </cell>
        </row>
        <row r="42">
          <cell r="E42">
            <v>6</v>
          </cell>
          <cell r="F42">
            <v>52264.213093120743</v>
          </cell>
          <cell r="G42">
            <v>1474.8064171122999</v>
          </cell>
          <cell r="H42">
            <v>796.61698440207999</v>
          </cell>
          <cell r="I42">
            <v>2083.333333333333</v>
          </cell>
          <cell r="J42">
            <v>2083.333333333333</v>
          </cell>
          <cell r="K42">
            <v>1851.8518518518517</v>
          </cell>
          <cell r="L42">
            <v>1190.4761904761904</v>
          </cell>
          <cell r="M42">
            <v>1851.8518518518517</v>
          </cell>
          <cell r="N42">
            <v>0</v>
          </cell>
          <cell r="O42">
            <v>0</v>
          </cell>
        </row>
        <row r="43">
          <cell r="E43" t="str">
            <v>ALL</v>
          </cell>
          <cell r="F43">
            <v>313585.27855872444</v>
          </cell>
          <cell r="G43">
            <v>8848.8385026737997</v>
          </cell>
          <cell r="H43">
            <v>4779.7019064124797</v>
          </cell>
          <cell r="I43">
            <v>12499.999999999996</v>
          </cell>
          <cell r="J43">
            <v>12499.999999999996</v>
          </cell>
          <cell r="K43">
            <v>11111.111111111111</v>
          </cell>
          <cell r="L43">
            <v>7142.8571428571431</v>
          </cell>
          <cell r="M43">
            <v>11111.111111111111</v>
          </cell>
          <cell r="N43">
            <v>0</v>
          </cell>
          <cell r="O43">
            <v>0</v>
          </cell>
        </row>
        <row r="65">
          <cell r="F65">
            <v>2726.8285092062993</v>
          </cell>
          <cell r="G65">
            <v>0</v>
          </cell>
          <cell r="H65">
            <v>136.56291161178513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</row>
        <row r="66">
          <cell r="F66">
            <v>4090.2427638094487</v>
          </cell>
          <cell r="G66">
            <v>252.82395721925138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</row>
        <row r="67">
          <cell r="F67">
            <v>8180.4855276188973</v>
          </cell>
          <cell r="G67">
            <v>0</v>
          </cell>
          <cell r="H67">
            <v>273.12582322357025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</row>
        <row r="68">
          <cell r="F68">
            <v>9543.8997822220481</v>
          </cell>
          <cell r="G68">
            <v>505.64791443850277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</row>
        <row r="69">
          <cell r="F69">
            <v>16360.971055237795</v>
          </cell>
          <cell r="G69">
            <v>0</v>
          </cell>
          <cell r="H69">
            <v>546.2516464471405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</row>
        <row r="70">
          <cell r="F70">
            <v>21814.628073650394</v>
          </cell>
          <cell r="G70">
            <v>1011.2958288770055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</row>
      </sheetData>
      <sheetData sheetId="15">
        <row r="1">
          <cell r="B1">
            <v>8</v>
          </cell>
        </row>
        <row r="2">
          <cell r="B2">
            <v>8</v>
          </cell>
        </row>
        <row r="3">
          <cell r="B3">
            <v>7</v>
          </cell>
        </row>
        <row r="4">
          <cell r="B4" t="str">
            <v>命格</v>
          </cell>
        </row>
        <row r="6">
          <cell r="D6">
            <v>1</v>
          </cell>
          <cell r="E6">
            <v>0.125</v>
          </cell>
          <cell r="F6">
            <v>0.125</v>
          </cell>
        </row>
        <row r="7">
          <cell r="D7">
            <v>7</v>
          </cell>
          <cell r="E7">
            <v>0.875</v>
          </cell>
          <cell r="F7">
            <v>0.875</v>
          </cell>
        </row>
        <row r="8">
          <cell r="D8">
            <v>1</v>
          </cell>
          <cell r="F8">
            <v>0.125</v>
          </cell>
          <cell r="G8">
            <v>1</v>
          </cell>
        </row>
        <row r="12">
          <cell r="C12" t="str">
            <v>品质ID</v>
          </cell>
          <cell r="D12" t="str">
            <v>品质颜色</v>
          </cell>
          <cell r="E12" t="str">
            <v>占比系数</v>
          </cell>
          <cell r="F12" t="str">
            <v>百分比</v>
          </cell>
          <cell r="G12" t="str">
            <v>命格属性</v>
          </cell>
          <cell r="H12" t="str">
            <v>每级别命格属性</v>
          </cell>
        </row>
        <row r="13">
          <cell r="C13">
            <v>1</v>
          </cell>
          <cell r="D13" t="str">
            <v>绿</v>
          </cell>
          <cell r="E13">
            <v>1</v>
          </cell>
          <cell r="F13">
            <v>9.5259868922420346E-2</v>
          </cell>
          <cell r="G13">
            <v>1.1907483615302543E-2</v>
          </cell>
          <cell r="H13">
            <v>1.1907483615302543E-2</v>
          </cell>
        </row>
        <row r="14">
          <cell r="C14">
            <v>2</v>
          </cell>
          <cell r="D14" t="str">
            <v>蓝</v>
          </cell>
          <cell r="E14">
            <v>1.8</v>
          </cell>
          <cell r="F14">
            <v>0.17146776406035663</v>
          </cell>
          <cell r="G14">
            <v>2.1433470507544579E-2</v>
          </cell>
          <cell r="H14">
            <v>2.1433470507544579E-2</v>
          </cell>
        </row>
        <row r="15">
          <cell r="C15">
            <v>3</v>
          </cell>
          <cell r="D15" t="str">
            <v>紫</v>
          </cell>
          <cell r="E15">
            <v>3.24</v>
          </cell>
          <cell r="F15">
            <v>0.30864197530864196</v>
          </cell>
          <cell r="G15">
            <v>3.8580246913580245E-2</v>
          </cell>
          <cell r="H15">
            <v>3.8580246913580245E-2</v>
          </cell>
        </row>
        <row r="16">
          <cell r="C16">
            <v>4</v>
          </cell>
          <cell r="D16" t="str">
            <v>橙</v>
          </cell>
          <cell r="E16">
            <v>5.8320000000000007</v>
          </cell>
          <cell r="F16">
            <v>0.55555555555555547</v>
          </cell>
          <cell r="G16">
            <v>6.9444444444444434E-2</v>
          </cell>
          <cell r="H16">
            <v>6.9444444444444434E-2</v>
          </cell>
        </row>
        <row r="17">
          <cell r="C17">
            <v>5</v>
          </cell>
          <cell r="D17" t="str">
            <v>红</v>
          </cell>
          <cell r="E17">
            <v>10.497600000000002</v>
          </cell>
          <cell r="F17">
            <v>1</v>
          </cell>
          <cell r="G17">
            <v>0.125</v>
          </cell>
          <cell r="H17">
            <v>0.125</v>
          </cell>
        </row>
      </sheetData>
      <sheetData sheetId="16" refreshError="1"/>
      <sheetData sheetId="17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12"/>
  <sheetViews>
    <sheetView tabSelected="1" workbookViewId="0">
      <selection activeCell="I14" sqref="I14"/>
    </sheetView>
  </sheetViews>
  <sheetFormatPr defaultRowHeight="13.5" x14ac:dyDescent="0.15"/>
  <cols>
    <col min="2" max="2" width="7.5" bestFit="1" customWidth="1"/>
    <col min="3" max="3" width="11" bestFit="1" customWidth="1"/>
    <col min="4" max="4" width="10.5" bestFit="1" customWidth="1"/>
    <col min="5" max="6" width="45.625" bestFit="1" customWidth="1"/>
    <col min="8" max="8" width="10.5" bestFit="1" customWidth="1"/>
    <col min="9" max="9" width="12.75" bestFit="1" customWidth="1"/>
  </cols>
  <sheetData>
    <row r="1" spans="1:31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36</v>
      </c>
      <c r="H1" t="s">
        <v>37</v>
      </c>
      <c r="I1" t="s">
        <v>38</v>
      </c>
      <c r="J1" t="s">
        <v>39</v>
      </c>
      <c r="K1" t="s">
        <v>40</v>
      </c>
      <c r="L1" t="s">
        <v>41</v>
      </c>
      <c r="M1" t="s">
        <v>42</v>
      </c>
      <c r="N1" t="s">
        <v>43</v>
      </c>
      <c r="O1" t="s">
        <v>44</v>
      </c>
      <c r="P1" t="s">
        <v>45</v>
      </c>
      <c r="Q1" t="s">
        <v>46</v>
      </c>
      <c r="R1" t="s">
        <v>47</v>
      </c>
      <c r="S1" t="s">
        <v>48</v>
      </c>
      <c r="T1" t="s">
        <v>49</v>
      </c>
      <c r="U1" t="s">
        <v>50</v>
      </c>
      <c r="V1" t="s">
        <v>51</v>
      </c>
      <c r="W1" t="s">
        <v>52</v>
      </c>
      <c r="X1" t="s">
        <v>53</v>
      </c>
      <c r="Y1" t="s">
        <v>54</v>
      </c>
      <c r="Z1" t="s">
        <v>55</v>
      </c>
      <c r="AA1" t="s">
        <v>56</v>
      </c>
      <c r="AB1" t="s">
        <v>32</v>
      </c>
      <c r="AC1" t="s">
        <v>33</v>
      </c>
      <c r="AD1" t="s">
        <v>34</v>
      </c>
      <c r="AE1" t="s">
        <v>35</v>
      </c>
    </row>
    <row r="2" spans="1:31" x14ac:dyDescent="0.15">
      <c r="A2">
        <f>称号辅助表!A3</f>
        <v>59001</v>
      </c>
      <c r="B2" s="1">
        <v>83003</v>
      </c>
      <c r="C2" t="str">
        <f>称号辅助表!B3</f>
        <v>洪兴新星</v>
      </c>
      <c r="D2" t="s">
        <v>63</v>
      </c>
      <c r="E2" s="2" t="s">
        <v>87</v>
      </c>
      <c r="F2" s="2" t="s">
        <v>88</v>
      </c>
      <c r="G2">
        <f>称号辅助表!P3</f>
        <v>3</v>
      </c>
      <c r="H2">
        <f ca="1">IF(称号辅助表!Q3=0,0,VLOOKUP(称号辅助表!Q3,[1]!属性定义,2,FALSE))</f>
        <v>1</v>
      </c>
      <c r="I2">
        <f ca="1">称号辅助表!R3</f>
        <v>169.48667232765331</v>
      </c>
      <c r="J2">
        <f ca="1">IF(称号辅助表!S3=0,0,VLOOKUP(称号辅助表!S3,[1]!属性定义,2,FALSE))</f>
        <v>2</v>
      </c>
      <c r="K2">
        <f ca="1">称号辅助表!T3</f>
        <v>23.813502673796801</v>
      </c>
      <c r="L2">
        <f ca="1">IF(称号辅助表!U3=0,0,VLOOKUP(称号辅助表!U3,[1]!属性定义,2,FALSE))</f>
        <v>3</v>
      </c>
      <c r="M2">
        <f ca="1">称号辅助表!V3</f>
        <v>10.29029462738302</v>
      </c>
      <c r="N2">
        <f ca="1">IF(称号辅助表!W3=0,0,VLOOKUP(称号辅助表!W3,[1]!属性定义,2,FALSE))</f>
        <v>0</v>
      </c>
      <c r="O2">
        <f ca="1">称号辅助表!X3</f>
        <v>0</v>
      </c>
      <c r="P2">
        <f ca="1">IF(称号辅助表!Y3=0,0,VLOOKUP(称号辅助表!Y3,[1]!属性定义,2,FALSE))</f>
        <v>0</v>
      </c>
      <c r="Q2">
        <f ca="1">称号辅助表!Z3</f>
        <v>0</v>
      </c>
      <c r="R2">
        <f ca="1">IF(称号辅助表!AA3=0,0,VLOOKUP(称号辅助表!AA3,[1]!属性定义,2,FALSE))</f>
        <v>0</v>
      </c>
      <c r="S2">
        <f ca="1">称号辅助表!AB3</f>
        <v>0</v>
      </c>
      <c r="T2">
        <f ca="1">IF(称号辅助表!AC3=0,0,VLOOKUP(称号辅助表!AC3,[1]!属性定义,2,FALSE))</f>
        <v>0</v>
      </c>
      <c r="U2">
        <f ca="1">称号辅助表!AD3</f>
        <v>0</v>
      </c>
      <c r="V2">
        <f ca="1">IF(称号辅助表!AE3=0,0,VLOOKUP(称号辅助表!AE3,[1]!属性定义,2,FALSE))</f>
        <v>0</v>
      </c>
      <c r="W2">
        <f ca="1">称号辅助表!AF3</f>
        <v>0</v>
      </c>
      <c r="X2">
        <f ca="1">IF(称号辅助表!AG3=0,0,VLOOKUP(称号辅助表!AG3,[1]!属性定义,2,FALSE))</f>
        <v>0</v>
      </c>
      <c r="Y2">
        <f ca="1">称号辅助表!AH3</f>
        <v>0</v>
      </c>
      <c r="Z2">
        <f ca="1">IF(称号辅助表!AI3=0,0,VLOOKUP(称号辅助表!AI3,[1]!属性定义,2,FALSE))</f>
        <v>0</v>
      </c>
      <c r="AA2">
        <f ca="1">称号辅助表!AJ3</f>
        <v>0</v>
      </c>
      <c r="AB2">
        <f>IF(称号辅助表!AK3=0,0,VLOOKUP(称号辅助表!AK3,[1]!属性定义,2,FALSE))</f>
        <v>0</v>
      </c>
      <c r="AC2">
        <f>称号辅助表!AL3</f>
        <v>0</v>
      </c>
      <c r="AD2">
        <f>IF(称号辅助表!AM3=0,0,VLOOKUP(称号辅助表!AM3,[1]!属性定义,2,FALSE))</f>
        <v>0</v>
      </c>
      <c r="AE2">
        <f>称号辅助表!AN3</f>
        <v>0</v>
      </c>
    </row>
    <row r="3" spans="1:31" x14ac:dyDescent="0.15">
      <c r="A3">
        <f>称号辅助表!A4</f>
        <v>59002</v>
      </c>
      <c r="B3" s="1">
        <v>83004</v>
      </c>
      <c r="C3" t="str">
        <f>称号辅助表!B4</f>
        <v>洪兴打仔</v>
      </c>
      <c r="D3" t="s">
        <v>64</v>
      </c>
      <c r="E3" s="2" t="s">
        <v>89</v>
      </c>
      <c r="F3" s="2" t="s">
        <v>90</v>
      </c>
      <c r="G3">
        <f>称号辅助表!P4</f>
        <v>3</v>
      </c>
      <c r="H3">
        <f ca="1">IF(称号辅助表!Q4=0,0,VLOOKUP(称号辅助表!Q4,[1]!属性定义,2,FALSE))</f>
        <v>1</v>
      </c>
      <c r="I3">
        <f ca="1">称号辅助表!R4</f>
        <v>359.26653140353471</v>
      </c>
      <c r="J3">
        <f ca="1">IF(称号辅助表!S4=0,0,VLOOKUP(称号辅助表!S4,[1]!属性定义,2,FALSE))</f>
        <v>2</v>
      </c>
      <c r="K3">
        <f ca="1">称号辅助表!T4</f>
        <v>35.7202540106952</v>
      </c>
      <c r="L3">
        <f ca="1">IF(称号辅助表!U4=0,0,VLOOKUP(称号辅助表!U4,[1]!属性定义,2,FALSE))</f>
        <v>3</v>
      </c>
      <c r="M3">
        <f ca="1">称号辅助表!V4</f>
        <v>15.435441941074529</v>
      </c>
      <c r="N3">
        <f ca="1">IF(称号辅助表!W4=0,0,VLOOKUP(称号辅助表!W4,[1]!属性定义,2,FALSE))</f>
        <v>0</v>
      </c>
      <c r="O3">
        <f ca="1">称号辅助表!X4</f>
        <v>0</v>
      </c>
      <c r="P3">
        <f ca="1">IF(称号辅助表!Y4=0,0,VLOOKUP(称号辅助表!Y4,[1]!属性定义,2,FALSE))</f>
        <v>0</v>
      </c>
      <c r="Q3">
        <f ca="1">称号辅助表!Z4</f>
        <v>0</v>
      </c>
      <c r="R3">
        <f ca="1">IF(称号辅助表!AA4=0,0,VLOOKUP(称号辅助表!AA4,[1]!属性定义,2,FALSE))</f>
        <v>0</v>
      </c>
      <c r="S3">
        <f ca="1">称号辅助表!AB4</f>
        <v>0</v>
      </c>
      <c r="T3">
        <f ca="1">IF(称号辅助表!AC4=0,0,VLOOKUP(称号辅助表!AC4,[1]!属性定义,2,FALSE))</f>
        <v>0</v>
      </c>
      <c r="U3">
        <f ca="1">称号辅助表!AD4</f>
        <v>0</v>
      </c>
      <c r="V3">
        <f ca="1">IF(称号辅助表!AE4=0,0,VLOOKUP(称号辅助表!AE4,[1]!属性定义,2,FALSE))</f>
        <v>0</v>
      </c>
      <c r="W3">
        <f ca="1">称号辅助表!AF4</f>
        <v>0</v>
      </c>
      <c r="X3">
        <f ca="1">IF(称号辅助表!AG4=0,0,VLOOKUP(称号辅助表!AG4,[1]!属性定义,2,FALSE))</f>
        <v>0</v>
      </c>
      <c r="Y3">
        <f ca="1">称号辅助表!AH4</f>
        <v>0</v>
      </c>
      <c r="Z3">
        <f ca="1">IF(称号辅助表!AI4=0,0,VLOOKUP(称号辅助表!AI4,[1]!属性定义,2,FALSE))</f>
        <v>0</v>
      </c>
      <c r="AA3">
        <f ca="1">称号辅助表!AJ4</f>
        <v>0</v>
      </c>
      <c r="AB3">
        <f>IF(称号辅助表!AK4=0,0,VLOOKUP(称号辅助表!AK4,[1]!属性定义,2,FALSE))</f>
        <v>0</v>
      </c>
      <c r="AC3">
        <f>称号辅助表!AL4</f>
        <v>0</v>
      </c>
      <c r="AD3">
        <f>IF(称号辅助表!AM4=0,0,VLOOKUP(称号辅助表!AM4,[1]!属性定义,2,FALSE))</f>
        <v>0</v>
      </c>
      <c r="AE3">
        <f>称号辅助表!AN4</f>
        <v>0</v>
      </c>
    </row>
    <row r="4" spans="1:31" x14ac:dyDescent="0.15">
      <c r="A4">
        <f>称号辅助表!A5</f>
        <v>59003</v>
      </c>
      <c r="B4" s="1">
        <v>83005</v>
      </c>
      <c r="C4" t="str">
        <f>称号辅助表!B5</f>
        <v>扛把子</v>
      </c>
      <c r="D4" t="s">
        <v>65</v>
      </c>
      <c r="E4" s="2" t="s">
        <v>91</v>
      </c>
      <c r="F4" s="2" t="s">
        <v>92</v>
      </c>
      <c r="G4">
        <f>称号辅助表!P5</f>
        <v>3</v>
      </c>
      <c r="H4">
        <f ca="1">IF(称号辅助表!Q5=0,0,VLOOKUP(称号辅助表!Q5,[1]!属性定义,2,FALSE))</f>
        <v>1</v>
      </c>
      <c r="I4">
        <f ca="1">称号辅助表!R5</f>
        <v>620.89351401551642</v>
      </c>
      <c r="J4">
        <f ca="1">IF(称号辅助表!S5=0,0,VLOOKUP(称号辅助表!S5,[1]!属性定义,2,FALSE))</f>
        <v>2</v>
      </c>
      <c r="K4">
        <f ca="1">称号辅助表!T5</f>
        <v>48.222342914438542</v>
      </c>
      <c r="L4">
        <f ca="1">IF(称号辅助表!U5=0,0,VLOOKUP(称号辅助表!U5,[1]!属性定义,2,FALSE))</f>
        <v>3</v>
      </c>
      <c r="M4">
        <f ca="1">称号辅助表!V5</f>
        <v>20.837846620450616</v>
      </c>
      <c r="N4">
        <f ca="1">IF(称号辅助表!W5=0,0,VLOOKUP(称号辅助表!W5,[1]!属性定义,2,FALSE))</f>
        <v>0</v>
      </c>
      <c r="O4">
        <f ca="1">称号辅助表!X5</f>
        <v>0</v>
      </c>
      <c r="P4">
        <f ca="1">IF(称号辅助表!Y5=0,0,VLOOKUP(称号辅助表!Y5,[1]!属性定义,2,FALSE))</f>
        <v>0</v>
      </c>
      <c r="Q4">
        <f ca="1">称号辅助表!Z5</f>
        <v>0</v>
      </c>
      <c r="R4">
        <f ca="1">IF(称号辅助表!AA5=0,0,VLOOKUP(称号辅助表!AA5,[1]!属性定义,2,FALSE))</f>
        <v>0</v>
      </c>
      <c r="S4">
        <f ca="1">称号辅助表!AB5</f>
        <v>0</v>
      </c>
      <c r="T4">
        <f ca="1">IF(称号辅助表!AC5=0,0,VLOOKUP(称号辅助表!AC5,[1]!属性定义,2,FALSE))</f>
        <v>0</v>
      </c>
      <c r="U4">
        <f ca="1">称号辅助表!AD5</f>
        <v>0</v>
      </c>
      <c r="V4">
        <f ca="1">IF(称号辅助表!AE5=0,0,VLOOKUP(称号辅助表!AE5,[1]!属性定义,2,FALSE))</f>
        <v>0</v>
      </c>
      <c r="W4">
        <f ca="1">称号辅助表!AF5</f>
        <v>0</v>
      </c>
      <c r="X4">
        <f ca="1">IF(称号辅助表!AG5=0,0,VLOOKUP(称号辅助表!AG5,[1]!属性定义,2,FALSE))</f>
        <v>0</v>
      </c>
      <c r="Y4">
        <f ca="1">称号辅助表!AH5</f>
        <v>0</v>
      </c>
      <c r="Z4">
        <f ca="1">IF(称号辅助表!AI5=0,0,VLOOKUP(称号辅助表!AI5,[1]!属性定义,2,FALSE))</f>
        <v>0</v>
      </c>
      <c r="AA4">
        <f ca="1">称号辅助表!AJ5</f>
        <v>0</v>
      </c>
      <c r="AB4">
        <f>IF(称号辅助表!AK5=0,0,VLOOKUP(称号辅助表!AK5,[1]!属性定义,2,FALSE))</f>
        <v>0</v>
      </c>
      <c r="AC4">
        <f>称号辅助表!AL5</f>
        <v>0</v>
      </c>
      <c r="AD4">
        <f>IF(称号辅助表!AM5=0,0,VLOOKUP(称号辅助表!AM5,[1]!属性定义,2,FALSE))</f>
        <v>0</v>
      </c>
      <c r="AE4">
        <f>称号辅助表!AN5</f>
        <v>0</v>
      </c>
    </row>
    <row r="5" spans="1:31" x14ac:dyDescent="0.15">
      <c r="A5">
        <f>称号辅助表!A6</f>
        <v>59004</v>
      </c>
      <c r="B5" s="1">
        <v>83006</v>
      </c>
      <c r="C5" t="str">
        <f>称号辅助表!B6</f>
        <v>二路元帅</v>
      </c>
      <c r="D5" t="s">
        <v>66</v>
      </c>
      <c r="E5" s="2" t="s">
        <v>93</v>
      </c>
      <c r="F5" s="2" t="s">
        <v>94</v>
      </c>
      <c r="G5">
        <f>称号辅助表!P6</f>
        <v>3</v>
      </c>
      <c r="H5">
        <f ca="1">IF(称号辅助表!Q6=0,0,VLOOKUP(称号辅助表!Q6,[1]!属性定义,2,FALSE))</f>
        <v>1</v>
      </c>
      <c r="I5">
        <f ca="1">称号辅助表!R6</f>
        <v>1033.9127891842829</v>
      </c>
      <c r="J5">
        <f ca="1">IF(称号辅助表!S6=0,0,VLOOKUP(称号辅助表!S6,[1]!属性定义,2,FALSE))</f>
        <v>2</v>
      </c>
      <c r="K5">
        <f ca="1">称号辅助表!T6</f>
        <v>66.677807486631053</v>
      </c>
      <c r="L5">
        <f ca="1">IF(称号辅助表!U6=0,0,VLOOKUP(称号辅助表!U6,[1]!属性定义,2,FALSE))</f>
        <v>3</v>
      </c>
      <c r="M5">
        <f ca="1">称号辅助表!V6</f>
        <v>28.812824956672465</v>
      </c>
      <c r="N5">
        <f ca="1">IF(称号辅助表!W6=0,0,VLOOKUP(称号辅助表!W6,[1]!属性定义,2,FALSE))</f>
        <v>0</v>
      </c>
      <c r="O5">
        <f ca="1">称号辅助表!X6</f>
        <v>0</v>
      </c>
      <c r="P5">
        <f ca="1">IF(称号辅助表!Y6=0,0,VLOOKUP(称号辅助表!Y6,[1]!属性定义,2,FALSE))</f>
        <v>0</v>
      </c>
      <c r="Q5">
        <f ca="1">称号辅助表!Z6</f>
        <v>0</v>
      </c>
      <c r="R5">
        <f ca="1">IF(称号辅助表!AA6=0,0,VLOOKUP(称号辅助表!AA6,[1]!属性定义,2,FALSE))</f>
        <v>0</v>
      </c>
      <c r="S5">
        <f ca="1">称号辅助表!AB6</f>
        <v>0</v>
      </c>
      <c r="T5">
        <f ca="1">IF(称号辅助表!AC6=0,0,VLOOKUP(称号辅助表!AC6,[1]!属性定义,2,FALSE))</f>
        <v>0</v>
      </c>
      <c r="U5">
        <f ca="1">称号辅助表!AD6</f>
        <v>0</v>
      </c>
      <c r="V5">
        <f ca="1">IF(称号辅助表!AE6=0,0,VLOOKUP(称号辅助表!AE6,[1]!属性定义,2,FALSE))</f>
        <v>0</v>
      </c>
      <c r="W5">
        <f ca="1">称号辅助表!AF6</f>
        <v>0</v>
      </c>
      <c r="X5">
        <f ca="1">IF(称号辅助表!AG6=0,0,VLOOKUP(称号辅助表!AG6,[1]!属性定义,2,FALSE))</f>
        <v>0</v>
      </c>
      <c r="Y5">
        <f ca="1">称号辅助表!AH6</f>
        <v>0</v>
      </c>
      <c r="Z5">
        <f ca="1">IF(称号辅助表!AI6=0,0,VLOOKUP(称号辅助表!AI6,[1]!属性定义,2,FALSE))</f>
        <v>0</v>
      </c>
      <c r="AA5">
        <f ca="1">称号辅助表!AJ6</f>
        <v>0</v>
      </c>
      <c r="AB5">
        <f>IF(称号辅助表!AK6=0,0,VLOOKUP(称号辅助表!AK6,[1]!属性定义,2,FALSE))</f>
        <v>0</v>
      </c>
      <c r="AC5">
        <f>称号辅助表!AL6</f>
        <v>0</v>
      </c>
      <c r="AD5">
        <f>IF(称号辅助表!AM6=0,0,VLOOKUP(称号辅助表!AM6,[1]!属性定义,2,FALSE))</f>
        <v>0</v>
      </c>
      <c r="AE5">
        <f>称号辅助表!AN6</f>
        <v>0</v>
      </c>
    </row>
    <row r="6" spans="1:31" x14ac:dyDescent="0.15">
      <c r="A6">
        <f>称号辅助表!A7</f>
        <v>59005</v>
      </c>
      <c r="B6" s="1">
        <v>83007</v>
      </c>
      <c r="C6" t="str">
        <f>称号辅助表!B7</f>
        <v>战无不胜</v>
      </c>
      <c r="D6" t="s">
        <v>67</v>
      </c>
      <c r="E6" s="2" t="s">
        <v>95</v>
      </c>
      <c r="F6" s="2" t="s">
        <v>96</v>
      </c>
      <c r="G6">
        <f>称号辅助表!P7</f>
        <v>3</v>
      </c>
      <c r="H6">
        <f ca="1">IF(称号辅助表!Q7=0,0,VLOOKUP(称号辅助表!Q7,[1]!属性定义,2,FALSE))</f>
        <v>1</v>
      </c>
      <c r="I6">
        <f ca="1">称号辅助表!R7</f>
        <v>4997.1681322726517</v>
      </c>
      <c r="J6">
        <f ca="1">IF(称号辅助表!S7=0,0,VLOOKUP(称号辅助表!S7,[1]!属性定义,2,FALSE))</f>
        <v>2</v>
      </c>
      <c r="K6">
        <f ca="1">称号辅助表!T7</f>
        <v>227.18081550802165</v>
      </c>
      <c r="L6">
        <f ca="1">IF(称号辅助表!U7=0,0,VLOOKUP(称号辅助表!U7,[1]!属性定义,2,FALSE))</f>
        <v>3</v>
      </c>
      <c r="M6">
        <f ca="1">称号辅助表!V7</f>
        <v>98.169410745234075</v>
      </c>
      <c r="N6">
        <f ca="1">IF(称号辅助表!W7=0,0,VLOOKUP(称号辅助表!W7,[1]!属性定义,2,FALSE))</f>
        <v>0</v>
      </c>
      <c r="O6">
        <f ca="1">称号辅助表!X7</f>
        <v>0</v>
      </c>
      <c r="P6">
        <f ca="1">IF(称号辅助表!Y7=0,0,VLOOKUP(称号辅助表!Y7,[1]!属性定义,2,FALSE))</f>
        <v>0</v>
      </c>
      <c r="Q6">
        <f ca="1">称号辅助表!Z7</f>
        <v>0</v>
      </c>
      <c r="R6">
        <f ca="1">IF(称号辅助表!AA7=0,0,VLOOKUP(称号辅助表!AA7,[1]!属性定义,2,FALSE))</f>
        <v>0</v>
      </c>
      <c r="S6">
        <f ca="1">称号辅助表!AB7</f>
        <v>0</v>
      </c>
      <c r="T6">
        <f ca="1">IF(称号辅助表!AC7=0,0,VLOOKUP(称号辅助表!AC7,[1]!属性定义,2,FALSE))</f>
        <v>0</v>
      </c>
      <c r="U6">
        <f ca="1">称号辅助表!AD7</f>
        <v>0</v>
      </c>
      <c r="V6">
        <f ca="1">IF(称号辅助表!AE7=0,0,VLOOKUP(称号辅助表!AE7,[1]!属性定义,2,FALSE))</f>
        <v>0</v>
      </c>
      <c r="W6">
        <f ca="1">称号辅助表!AF7</f>
        <v>0</v>
      </c>
      <c r="X6">
        <f ca="1">IF(称号辅助表!AG7=0,0,VLOOKUP(称号辅助表!AG7,[1]!属性定义,2,FALSE))</f>
        <v>0</v>
      </c>
      <c r="Y6">
        <f ca="1">称号辅助表!AH7</f>
        <v>0</v>
      </c>
      <c r="Z6">
        <f ca="1">IF(称号辅助表!AI7=0,0,VLOOKUP(称号辅助表!AI7,[1]!属性定义,2,FALSE))</f>
        <v>0</v>
      </c>
      <c r="AA6">
        <f ca="1">称号辅助表!AJ7</f>
        <v>0</v>
      </c>
      <c r="AB6">
        <f>IF(称号辅助表!AK7=0,0,VLOOKUP(称号辅助表!AK7,[1]!属性定义,2,FALSE))</f>
        <v>0</v>
      </c>
      <c r="AC6">
        <f>称号辅助表!AL7</f>
        <v>0</v>
      </c>
      <c r="AD6">
        <f>IF(称号辅助表!AM7=0,0,VLOOKUP(称号辅助表!AM7,[1]!属性定义,2,FALSE))</f>
        <v>0</v>
      </c>
      <c r="AE6">
        <f>称号辅助表!AN7</f>
        <v>0</v>
      </c>
    </row>
    <row r="7" spans="1:31" x14ac:dyDescent="0.15">
      <c r="A7">
        <f>称号辅助表!A8</f>
        <v>59006</v>
      </c>
      <c r="B7" s="1">
        <v>83008</v>
      </c>
      <c r="C7" t="str">
        <f>称号辅助表!B8</f>
        <v>猛龙过江</v>
      </c>
      <c r="D7" t="s">
        <v>68</v>
      </c>
      <c r="E7" s="2" t="s">
        <v>97</v>
      </c>
      <c r="F7" s="2" t="s">
        <v>98</v>
      </c>
      <c r="G7">
        <f>称号辅助表!P8</f>
        <v>3</v>
      </c>
      <c r="H7">
        <f ca="1">IF(称号辅助表!Q8=0,0,VLOOKUP(称号辅助表!Q8,[1]!属性定义,2,FALSE))</f>
        <v>1</v>
      </c>
      <c r="I7">
        <f ca="1">称号辅助表!R8</f>
        <v>1632.3729302024592</v>
      </c>
      <c r="J7">
        <f ca="1">IF(称号辅助表!S8=0,0,VLOOKUP(称号辅助表!S8,[1]!属性定义,2,FALSE))</f>
        <v>2</v>
      </c>
      <c r="K7">
        <f ca="1">称号辅助表!T8</f>
        <v>91.086647727272791</v>
      </c>
      <c r="L7">
        <f ca="1">IF(称号辅助表!U8=0,0,VLOOKUP(称号辅助表!U8,[1]!属性定义,2,FALSE))</f>
        <v>3</v>
      </c>
      <c r="M7">
        <f ca="1">称号辅助表!V8</f>
        <v>39.360376949740051</v>
      </c>
      <c r="N7">
        <f ca="1">IF(称号辅助表!W8=0,0,VLOOKUP(称号辅助表!W8,[1]!属性定义,2,FALSE))</f>
        <v>0</v>
      </c>
      <c r="O7">
        <f ca="1">称号辅助表!X8</f>
        <v>0</v>
      </c>
      <c r="P7">
        <f ca="1">IF(称号辅助表!Y8=0,0,VLOOKUP(称号辅助表!Y8,[1]!属性定义,2,FALSE))</f>
        <v>0</v>
      </c>
      <c r="Q7">
        <f ca="1">称号辅助表!Z8</f>
        <v>0</v>
      </c>
      <c r="R7">
        <f ca="1">IF(称号辅助表!AA8=0,0,VLOOKUP(称号辅助表!AA8,[1]!属性定义,2,FALSE))</f>
        <v>0</v>
      </c>
      <c r="S7">
        <f ca="1">称号辅助表!AB8</f>
        <v>0</v>
      </c>
      <c r="T7">
        <f ca="1">IF(称号辅助表!AC8=0,0,VLOOKUP(称号辅助表!AC8,[1]!属性定义,2,FALSE))</f>
        <v>0</v>
      </c>
      <c r="U7">
        <f ca="1">称号辅助表!AD8</f>
        <v>0</v>
      </c>
      <c r="V7">
        <f ca="1">IF(称号辅助表!AE8=0,0,VLOOKUP(称号辅助表!AE8,[1]!属性定义,2,FALSE))</f>
        <v>0</v>
      </c>
      <c r="W7">
        <f ca="1">称号辅助表!AF8</f>
        <v>0</v>
      </c>
      <c r="X7">
        <f ca="1">IF(称号辅助表!AG8=0,0,VLOOKUP(称号辅助表!AG8,[1]!属性定义,2,FALSE))</f>
        <v>0</v>
      </c>
      <c r="Y7">
        <f ca="1">称号辅助表!AH8</f>
        <v>0</v>
      </c>
      <c r="Z7">
        <f ca="1">IF(称号辅助表!AI8=0,0,VLOOKUP(称号辅助表!AI8,[1]!属性定义,2,FALSE))</f>
        <v>0</v>
      </c>
      <c r="AA7">
        <f ca="1">称号辅助表!AJ8</f>
        <v>0</v>
      </c>
      <c r="AB7">
        <f>IF(称号辅助表!AK8=0,0,VLOOKUP(称号辅助表!AK8,[1]!属性定义,2,FALSE))</f>
        <v>0</v>
      </c>
      <c r="AC7">
        <f>称号辅助表!AL8</f>
        <v>0</v>
      </c>
      <c r="AD7">
        <f>IF(称号辅助表!AM8=0,0,VLOOKUP(称号辅助表!AM8,[1]!属性定义,2,FALSE))</f>
        <v>0</v>
      </c>
      <c r="AE7">
        <f>称号辅助表!AN8</f>
        <v>0</v>
      </c>
    </row>
    <row r="8" spans="1:31" x14ac:dyDescent="0.15">
      <c r="A8">
        <f>称号辅助表!A9</f>
        <v>59007</v>
      </c>
      <c r="B8" s="1">
        <v>83009</v>
      </c>
      <c r="C8" t="str">
        <f>称号辅助表!B9</f>
        <v>神之手</v>
      </c>
      <c r="D8" t="s">
        <v>69</v>
      </c>
      <c r="E8" s="3" t="s">
        <v>99</v>
      </c>
      <c r="F8" s="3" t="s">
        <v>100</v>
      </c>
      <c r="G8">
        <f>称号辅助表!P9</f>
        <v>3</v>
      </c>
      <c r="H8">
        <f ca="1">IF(称号辅助表!Q9=0,0,VLOOKUP(称号辅助表!Q9,[1]!属性定义,2,FALSE))</f>
        <v>1</v>
      </c>
      <c r="I8">
        <f ca="1">称号辅助表!R9</f>
        <v>2928.0797790082952</v>
      </c>
      <c r="J8">
        <f ca="1">IF(称号辅助表!S9=0,0,VLOOKUP(称号辅助表!S9,[1]!属性定义,2,FALSE))</f>
        <v>2</v>
      </c>
      <c r="K8">
        <f ca="1">称号辅助表!T9</f>
        <v>145.73863636363646</v>
      </c>
      <c r="L8">
        <f ca="1">IF(称号辅助表!U9=0,0,VLOOKUP(称号辅助表!U9,[1]!属性定义,2,FALSE))</f>
        <v>3</v>
      </c>
      <c r="M8">
        <f ca="1">称号辅助表!V9</f>
        <v>62.976603119584091</v>
      </c>
      <c r="N8">
        <f ca="1">IF(称号辅助表!W9=0,0,VLOOKUP(称号辅助表!W9,[1]!属性定义,2,FALSE))</f>
        <v>0</v>
      </c>
      <c r="O8">
        <f ca="1">称号辅助表!X9</f>
        <v>0</v>
      </c>
      <c r="P8">
        <f ca="1">IF(称号辅助表!Y9=0,0,VLOOKUP(称号辅助表!Y9,[1]!属性定义,2,FALSE))</f>
        <v>0</v>
      </c>
      <c r="Q8">
        <f ca="1">称号辅助表!Z9</f>
        <v>0</v>
      </c>
      <c r="R8">
        <f ca="1">IF(称号辅助表!AA9=0,0,VLOOKUP(称号辅助表!AA9,[1]!属性定义,2,FALSE))</f>
        <v>0</v>
      </c>
      <c r="S8">
        <f ca="1">称号辅助表!AB9</f>
        <v>0</v>
      </c>
      <c r="T8">
        <f ca="1">IF(称号辅助表!AC9=0,0,VLOOKUP(称号辅助表!AC9,[1]!属性定义,2,FALSE))</f>
        <v>0</v>
      </c>
      <c r="U8">
        <f ca="1">称号辅助表!AD9</f>
        <v>0</v>
      </c>
      <c r="V8">
        <f ca="1">IF(称号辅助表!AE9=0,0,VLOOKUP(称号辅助表!AE9,[1]!属性定义,2,FALSE))</f>
        <v>0</v>
      </c>
      <c r="W8">
        <f ca="1">称号辅助表!AF9</f>
        <v>0</v>
      </c>
      <c r="X8">
        <f ca="1">IF(称号辅助表!AG9=0,0,VLOOKUP(称号辅助表!AG9,[1]!属性定义,2,FALSE))</f>
        <v>0</v>
      </c>
      <c r="Y8">
        <f ca="1">称号辅助表!AH9</f>
        <v>0</v>
      </c>
      <c r="Z8">
        <f ca="1">IF(称号辅助表!AI9=0,0,VLOOKUP(称号辅助表!AI9,[1]!属性定义,2,FALSE))</f>
        <v>0</v>
      </c>
      <c r="AA8">
        <f ca="1">称号辅助表!AJ9</f>
        <v>0</v>
      </c>
      <c r="AB8">
        <f>IF(称号辅助表!AK9=0,0,VLOOKUP(称号辅助表!AK9,[1]!属性定义,2,FALSE))</f>
        <v>0</v>
      </c>
      <c r="AC8">
        <f>称号辅助表!AL9</f>
        <v>0</v>
      </c>
      <c r="AD8">
        <f>IF(称号辅助表!AM9=0,0,VLOOKUP(称号辅助表!AM9,[1]!属性定义,2,FALSE))</f>
        <v>0</v>
      </c>
      <c r="AE8">
        <f>称号辅助表!AN9</f>
        <v>0</v>
      </c>
    </row>
    <row r="9" spans="1:31" x14ac:dyDescent="0.15">
      <c r="A9">
        <f>称号辅助表!A10</f>
        <v>59008</v>
      </c>
      <c r="B9" s="1">
        <v>83010</v>
      </c>
      <c r="C9" t="str">
        <f>称号辅助表!B10</f>
        <v>富甲一方</v>
      </c>
      <c r="D9" t="s">
        <v>70</v>
      </c>
      <c r="E9" s="3" t="s">
        <v>101</v>
      </c>
      <c r="F9" s="3" t="s">
        <v>102</v>
      </c>
      <c r="G9">
        <f>称号辅助表!P10</f>
        <v>3</v>
      </c>
      <c r="H9">
        <f ca="1">IF(称号辅助表!Q10=0,0,VLOOKUP(称号辅助表!Q10,[1]!属性定义,2,FALSE))</f>
        <v>1</v>
      </c>
      <c r="I9">
        <f ca="1">称号辅助表!R10</f>
        <v>1360.310775168716</v>
      </c>
      <c r="J9">
        <f ca="1">IF(称号辅助表!S10=0,0,VLOOKUP(称号辅助表!S10,[1]!属性定义,2,FALSE))</f>
        <v>2</v>
      </c>
      <c r="K9">
        <f ca="1">称号辅助表!T10</f>
        <v>75.905539772727323</v>
      </c>
      <c r="L9">
        <f ca="1">IF(称号辅助表!U10=0,0,VLOOKUP(称号辅助表!U10,[1]!属性定义,2,FALSE))</f>
        <v>3</v>
      </c>
      <c r="M9">
        <f ca="1">称号辅助表!V10</f>
        <v>32.800314124783384</v>
      </c>
      <c r="N9">
        <f ca="1">IF(称号辅助表!W10=0,0,VLOOKUP(称号辅助表!W10,[1]!属性定义,2,FALSE))</f>
        <v>0</v>
      </c>
      <c r="O9">
        <f ca="1">称号辅助表!X10</f>
        <v>0</v>
      </c>
      <c r="P9">
        <f ca="1">IF(称号辅助表!Y10=0,0,VLOOKUP(称号辅助表!Y10,[1]!属性定义,2,FALSE))</f>
        <v>0</v>
      </c>
      <c r="Q9">
        <f ca="1">称号辅助表!Z10</f>
        <v>0</v>
      </c>
      <c r="R9">
        <f ca="1">IF(称号辅助表!AA10=0,0,VLOOKUP(称号辅助表!AA10,[1]!属性定义,2,FALSE))</f>
        <v>0</v>
      </c>
      <c r="S9">
        <f ca="1">称号辅助表!AB10</f>
        <v>0</v>
      </c>
      <c r="T9">
        <f ca="1">IF(称号辅助表!AC10=0,0,VLOOKUP(称号辅助表!AC10,[1]!属性定义,2,FALSE))</f>
        <v>0</v>
      </c>
      <c r="U9">
        <f ca="1">称号辅助表!AD10</f>
        <v>0</v>
      </c>
      <c r="V9">
        <f ca="1">IF(称号辅助表!AE10=0,0,VLOOKUP(称号辅助表!AE10,[1]!属性定义,2,FALSE))</f>
        <v>0</v>
      </c>
      <c r="W9">
        <f ca="1">称号辅助表!AF10</f>
        <v>0</v>
      </c>
      <c r="X9">
        <f ca="1">IF(称号辅助表!AG10=0,0,VLOOKUP(称号辅助表!AG10,[1]!属性定义,2,FALSE))</f>
        <v>0</v>
      </c>
      <c r="Y9">
        <f ca="1">称号辅助表!AH10</f>
        <v>0</v>
      </c>
      <c r="Z9">
        <f ca="1">IF(称号辅助表!AI10=0,0,VLOOKUP(称号辅助表!AI10,[1]!属性定义,2,FALSE))</f>
        <v>0</v>
      </c>
      <c r="AA9">
        <f ca="1">称号辅助表!AJ10</f>
        <v>0</v>
      </c>
      <c r="AB9">
        <f>IF(称号辅助表!AK10=0,0,VLOOKUP(称号辅助表!AK10,[1]!属性定义,2,FALSE))</f>
        <v>0</v>
      </c>
      <c r="AC9">
        <f>称号辅助表!AL10</f>
        <v>0</v>
      </c>
      <c r="AD9">
        <f>IF(称号辅助表!AM10=0,0,VLOOKUP(称号辅助表!AM10,[1]!属性定义,2,FALSE))</f>
        <v>0</v>
      </c>
      <c r="AE9">
        <f>称号辅助表!AN10</f>
        <v>0</v>
      </c>
    </row>
    <row r="10" spans="1:31" x14ac:dyDescent="0.15">
      <c r="A10">
        <f>称号辅助表!A11</f>
        <v>59009</v>
      </c>
      <c r="B10" s="1">
        <v>83011</v>
      </c>
      <c r="C10" t="str">
        <f>称号辅助表!B11</f>
        <v>壕气冲天</v>
      </c>
      <c r="D10" t="s">
        <v>71</v>
      </c>
      <c r="E10" s="3" t="s">
        <v>103</v>
      </c>
      <c r="F10" s="3" t="s">
        <v>104</v>
      </c>
      <c r="G10">
        <f>称号辅助表!P11</f>
        <v>3</v>
      </c>
      <c r="H10">
        <f ca="1">IF(称号辅助表!Q11=0,0,VLOOKUP(称号辅助表!Q11,[1]!属性定义,2,FALSE))</f>
        <v>1</v>
      </c>
      <c r="I10">
        <f ca="1">称号辅助表!R11</f>
        <v>2440.066482506913</v>
      </c>
      <c r="J10">
        <f ca="1">IF(称号辅助表!S11=0,0,VLOOKUP(称号辅助表!S11,[1]!属性定义,2,FALSE))</f>
        <v>2</v>
      </c>
      <c r="K10">
        <f ca="1">称号辅助表!T11</f>
        <v>121.4488636363637</v>
      </c>
      <c r="L10">
        <f ca="1">IF(称号辅助表!U11=0,0,VLOOKUP(称号辅助表!U11,[1]!属性定义,2,FALSE))</f>
        <v>3</v>
      </c>
      <c r="M10">
        <f ca="1">称号辅助表!V11</f>
        <v>52.480502599653406</v>
      </c>
      <c r="N10">
        <f ca="1">IF(称号辅助表!W11=0,0,VLOOKUP(称号辅助表!W11,[1]!属性定义,2,FALSE))</f>
        <v>0</v>
      </c>
      <c r="O10">
        <f ca="1">称号辅助表!X11</f>
        <v>0</v>
      </c>
      <c r="P10">
        <f ca="1">IF(称号辅助表!Y11=0,0,VLOOKUP(称号辅助表!Y11,[1]!属性定义,2,FALSE))</f>
        <v>0</v>
      </c>
      <c r="Q10">
        <f ca="1">称号辅助表!Z11</f>
        <v>0</v>
      </c>
      <c r="R10">
        <f ca="1">IF(称号辅助表!AA11=0,0,VLOOKUP(称号辅助表!AA11,[1]!属性定义,2,FALSE))</f>
        <v>0</v>
      </c>
      <c r="S10">
        <f ca="1">称号辅助表!AB11</f>
        <v>0</v>
      </c>
      <c r="T10">
        <f ca="1">IF(称号辅助表!AC11=0,0,VLOOKUP(称号辅助表!AC11,[1]!属性定义,2,FALSE))</f>
        <v>0</v>
      </c>
      <c r="U10">
        <f ca="1">称号辅助表!AD11</f>
        <v>0</v>
      </c>
      <c r="V10">
        <f ca="1">IF(称号辅助表!AE11=0,0,VLOOKUP(称号辅助表!AE11,[1]!属性定义,2,FALSE))</f>
        <v>0</v>
      </c>
      <c r="W10">
        <f ca="1">称号辅助表!AF11</f>
        <v>0</v>
      </c>
      <c r="X10">
        <f ca="1">IF(称号辅助表!AG11=0,0,VLOOKUP(称号辅助表!AG11,[1]!属性定义,2,FALSE))</f>
        <v>0</v>
      </c>
      <c r="Y10">
        <f ca="1">称号辅助表!AH11</f>
        <v>0</v>
      </c>
      <c r="Z10">
        <f ca="1">IF(称号辅助表!AI11=0,0,VLOOKUP(称号辅助表!AI11,[1]!属性定义,2,FALSE))</f>
        <v>0</v>
      </c>
      <c r="AA10">
        <f ca="1">称号辅助表!AJ11</f>
        <v>0</v>
      </c>
      <c r="AB10">
        <f>IF(称号辅助表!AK11=0,0,VLOOKUP(称号辅助表!AK11,[1]!属性定义,2,FALSE))</f>
        <v>0</v>
      </c>
      <c r="AC10">
        <f>称号辅助表!AL11</f>
        <v>0</v>
      </c>
      <c r="AD10">
        <f>IF(称号辅助表!AM11=0,0,VLOOKUP(称号辅助表!AM11,[1]!属性定义,2,FALSE))</f>
        <v>0</v>
      </c>
      <c r="AE10">
        <f>称号辅助表!AN11</f>
        <v>0</v>
      </c>
    </row>
    <row r="11" spans="1:31" x14ac:dyDescent="0.15">
      <c r="A11">
        <f>称号辅助表!A12</f>
        <v>59010</v>
      </c>
      <c r="B11" s="1">
        <v>83012</v>
      </c>
      <c r="C11" t="str">
        <f>称号辅助表!B12</f>
        <v>富可敌国</v>
      </c>
      <c r="D11" t="s">
        <v>72</v>
      </c>
      <c r="E11" s="3" t="s">
        <v>105</v>
      </c>
      <c r="F11" s="3" t="s">
        <v>106</v>
      </c>
      <c r="G11">
        <f>称号辅助表!P12</f>
        <v>3</v>
      </c>
      <c r="H11">
        <f ca="1">IF(称号辅助表!Q12=0,0,VLOOKUP(称号辅助表!Q12,[1]!属性定义,2,FALSE))</f>
        <v>1</v>
      </c>
      <c r="I11">
        <f ca="1">称号辅助表!R12</f>
        <v>4164.3067768938763</v>
      </c>
      <c r="J11">
        <f ca="1">IF(称号辅助表!S12=0,0,VLOOKUP(称号辅助表!S12,[1]!属性定义,2,FALSE))</f>
        <v>2</v>
      </c>
      <c r="K11">
        <f ca="1">称号辅助表!T12</f>
        <v>189.31734625668474</v>
      </c>
      <c r="L11">
        <f ca="1">IF(称号辅助表!U12=0,0,VLOOKUP(称号辅助表!U12,[1]!属性定义,2,FALSE))</f>
        <v>3</v>
      </c>
      <c r="M11">
        <f ca="1">称号辅助表!V12</f>
        <v>81.807842287695067</v>
      </c>
      <c r="N11">
        <f ca="1">IF(称号辅助表!W12=0,0,VLOOKUP(称号辅助表!W12,[1]!属性定义,2,FALSE))</f>
        <v>0</v>
      </c>
      <c r="O11">
        <f ca="1">称号辅助表!X12</f>
        <v>0</v>
      </c>
      <c r="P11">
        <f ca="1">IF(称号辅助表!Y12=0,0,VLOOKUP(称号辅助表!Y12,[1]!属性定义,2,FALSE))</f>
        <v>0</v>
      </c>
      <c r="Q11">
        <f ca="1">称号辅助表!Z12</f>
        <v>0</v>
      </c>
      <c r="R11">
        <f ca="1">IF(称号辅助表!AA12=0,0,VLOOKUP(称号辅助表!AA12,[1]!属性定义,2,FALSE))</f>
        <v>0</v>
      </c>
      <c r="S11">
        <f ca="1">称号辅助表!AB12</f>
        <v>0</v>
      </c>
      <c r="T11">
        <f ca="1">IF(称号辅助表!AC12=0,0,VLOOKUP(称号辅助表!AC12,[1]!属性定义,2,FALSE))</f>
        <v>0</v>
      </c>
      <c r="U11">
        <f ca="1">称号辅助表!AD12</f>
        <v>0</v>
      </c>
      <c r="V11">
        <f ca="1">IF(称号辅助表!AE12=0,0,VLOOKUP(称号辅助表!AE12,[1]!属性定义,2,FALSE))</f>
        <v>0</v>
      </c>
      <c r="W11">
        <f ca="1">称号辅助表!AF12</f>
        <v>0</v>
      </c>
      <c r="X11">
        <f ca="1">IF(称号辅助表!AG12=0,0,VLOOKUP(称号辅助表!AG12,[1]!属性定义,2,FALSE))</f>
        <v>0</v>
      </c>
      <c r="Y11">
        <f ca="1">称号辅助表!AH12</f>
        <v>0</v>
      </c>
      <c r="Z11">
        <f ca="1">IF(称号辅助表!AI12=0,0,VLOOKUP(称号辅助表!AI12,[1]!属性定义,2,FALSE))</f>
        <v>0</v>
      </c>
      <c r="AA11">
        <f ca="1">称号辅助表!AJ12</f>
        <v>0</v>
      </c>
      <c r="AB11">
        <f>IF(称号辅助表!AK12=0,0,VLOOKUP(称号辅助表!AK12,[1]!属性定义,2,FALSE))</f>
        <v>0</v>
      </c>
      <c r="AC11">
        <f>称号辅助表!AL12</f>
        <v>0</v>
      </c>
      <c r="AD11">
        <f>IF(称号辅助表!AM12=0,0,VLOOKUP(称号辅助表!AM12,[1]!属性定义,2,FALSE))</f>
        <v>0</v>
      </c>
      <c r="AE11">
        <f>称号辅助表!AN12</f>
        <v>0</v>
      </c>
    </row>
    <row r="12" spans="1:31" x14ac:dyDescent="0.15">
      <c r="A12">
        <v>59030</v>
      </c>
      <c r="B12" s="1">
        <v>83023</v>
      </c>
      <c r="C12" t="str">
        <f>称号辅助表!B13</f>
        <v>洪兴小财主</v>
      </c>
      <c r="D12" t="s">
        <v>110</v>
      </c>
      <c r="E12" s="3" t="s">
        <v>109</v>
      </c>
      <c r="F12" s="3" t="s">
        <v>108</v>
      </c>
      <c r="G12">
        <f>称号辅助表!P13</f>
        <v>3</v>
      </c>
      <c r="H12">
        <f ca="1">IF(称号辅助表!Q13=0,0,VLOOKUP(称号辅助表!Q13,[1]!属性定义,2,FALSE))</f>
        <v>1</v>
      </c>
      <c r="I12">
        <f ca="1">称号辅助表!R13</f>
        <v>717.99499248908546</v>
      </c>
      <c r="J12">
        <f ca="1">IF(称号辅助表!S13=0,0,VLOOKUP(称号辅助表!S13,[1]!属性定义,2,FALSE))</f>
        <v>2</v>
      </c>
      <c r="K12">
        <f ca="1">称号辅助表!T13</f>
        <v>46.304032976827131</v>
      </c>
      <c r="L12">
        <f ca="1">IF(称号辅助表!U13=0,0,VLOOKUP(称号辅助表!U13,[1]!属性定义,2,FALSE))</f>
        <v>3</v>
      </c>
      <c r="M12">
        <f ca="1">称号辅助表!V13</f>
        <v>20.008906219911438</v>
      </c>
      <c r="N12">
        <f ca="1">IF(称号辅助表!W13=0,0,VLOOKUP(称号辅助表!W13,[1]!属性定义,2,FALSE))</f>
        <v>0</v>
      </c>
      <c r="O12">
        <f ca="1">称号辅助表!X13</f>
        <v>0</v>
      </c>
      <c r="P12">
        <f ca="1">IF(称号辅助表!Y13=0,0,VLOOKUP(称号辅助表!Y13,[1]!属性定义,2,FALSE))</f>
        <v>0</v>
      </c>
      <c r="Q12">
        <f ca="1">称号辅助表!Z13</f>
        <v>0</v>
      </c>
      <c r="R12">
        <f ca="1">IF(称号辅助表!AA13=0,0,VLOOKUP(称号辅助表!AA13,[1]!属性定义,2,FALSE))</f>
        <v>0</v>
      </c>
      <c r="S12">
        <f ca="1">称号辅助表!AB13</f>
        <v>0</v>
      </c>
      <c r="T12">
        <f ca="1">IF(称号辅助表!AC13=0,0,VLOOKUP(称号辅助表!AC13,[1]!属性定义,2,FALSE))</f>
        <v>0</v>
      </c>
      <c r="U12">
        <f ca="1">称号辅助表!AD13</f>
        <v>0</v>
      </c>
      <c r="V12">
        <f ca="1">IF(称号辅助表!AE13=0,0,VLOOKUP(称号辅助表!AE13,[1]!属性定义,2,FALSE))</f>
        <v>0</v>
      </c>
      <c r="W12">
        <f ca="1">称号辅助表!AF13</f>
        <v>0</v>
      </c>
      <c r="X12">
        <f ca="1">IF(称号辅助表!AG13=0,0,VLOOKUP(称号辅助表!AG13,[1]!属性定义,2,FALSE))</f>
        <v>0</v>
      </c>
      <c r="Y12">
        <f ca="1">称号辅助表!AH13</f>
        <v>0</v>
      </c>
      <c r="Z12">
        <f ca="1">IF(称号辅助表!AI13=0,0,VLOOKUP(称号辅助表!AI13,[1]!属性定义,2,FALSE))</f>
        <v>0</v>
      </c>
      <c r="AA12">
        <f ca="1">称号辅助表!AJ13</f>
        <v>0</v>
      </c>
      <c r="AB12">
        <f>IF(称号辅助表!AK13=0,0,VLOOKUP(称号辅助表!AK13,[1]!属性定义,2,FALSE))</f>
        <v>0</v>
      </c>
      <c r="AC12">
        <f>称号辅助表!AL13</f>
        <v>0</v>
      </c>
      <c r="AD12">
        <f>IF(称号辅助表!AM13=0,0,VLOOKUP(称号辅助表!AM13,[1]!属性定义,2,FALSE))</f>
        <v>0</v>
      </c>
      <c r="AE12">
        <f>称号辅助表!AN13</f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13"/>
  <sheetViews>
    <sheetView workbookViewId="0">
      <selection activeCell="D10" sqref="D10"/>
    </sheetView>
  </sheetViews>
  <sheetFormatPr defaultRowHeight="13.5" x14ac:dyDescent="0.15"/>
  <cols>
    <col min="1" max="2" width="11.625" bestFit="1" customWidth="1"/>
    <col min="4" max="17" width="11.625" customWidth="1"/>
    <col min="18" max="18" width="10.5" bestFit="1" customWidth="1"/>
    <col min="19" max="19" width="17.375" customWidth="1"/>
    <col min="20" max="20" width="11.5" customWidth="1"/>
  </cols>
  <sheetData>
    <row r="1" spans="1:36" x14ac:dyDescent="0.15">
      <c r="A1" s="6" t="s">
        <v>30</v>
      </c>
      <c r="B1" s="6">
        <f>[1]称号规划!$B$1</f>
        <v>0.3</v>
      </c>
      <c r="C1" s="6" t="s">
        <v>31</v>
      </c>
      <c r="D1" s="6" t="str">
        <f>[1]称号规划!$B$3</f>
        <v>称号</v>
      </c>
      <c r="F1" s="7">
        <v>2</v>
      </c>
      <c r="G1" s="7">
        <v>3</v>
      </c>
      <c r="H1" s="7">
        <v>4</v>
      </c>
      <c r="I1" s="7">
        <v>5</v>
      </c>
      <c r="J1" s="7">
        <v>6</v>
      </c>
      <c r="K1" s="7">
        <v>7</v>
      </c>
      <c r="L1" s="7">
        <v>8</v>
      </c>
      <c r="M1" s="7">
        <v>9</v>
      </c>
      <c r="N1" s="7">
        <v>10</v>
      </c>
      <c r="O1" s="7">
        <v>11</v>
      </c>
      <c r="Q1">
        <v>1</v>
      </c>
      <c r="R1">
        <v>1</v>
      </c>
      <c r="S1">
        <v>2</v>
      </c>
      <c r="T1">
        <v>2</v>
      </c>
      <c r="U1">
        <v>3</v>
      </c>
      <c r="V1">
        <v>3</v>
      </c>
      <c r="W1">
        <v>4</v>
      </c>
      <c r="X1">
        <v>4</v>
      </c>
      <c r="Y1">
        <v>5</v>
      </c>
      <c r="Z1">
        <v>5</v>
      </c>
      <c r="AA1">
        <v>6</v>
      </c>
      <c r="AB1">
        <v>6</v>
      </c>
      <c r="AC1">
        <v>7</v>
      </c>
      <c r="AD1">
        <v>7</v>
      </c>
      <c r="AE1">
        <v>8</v>
      </c>
      <c r="AF1">
        <v>8</v>
      </c>
      <c r="AG1">
        <v>9</v>
      </c>
      <c r="AH1">
        <v>9</v>
      </c>
      <c r="AI1">
        <v>10</v>
      </c>
      <c r="AJ1">
        <v>10</v>
      </c>
    </row>
    <row r="2" spans="1:36" x14ac:dyDescent="0.15">
      <c r="A2" s="5" t="s">
        <v>0</v>
      </c>
      <c r="B2" s="5" t="s">
        <v>2</v>
      </c>
      <c r="C2" s="5" t="s">
        <v>27</v>
      </c>
      <c r="D2" s="5" t="s">
        <v>28</v>
      </c>
      <c r="E2" s="5" t="s">
        <v>29</v>
      </c>
      <c r="F2" s="8" t="str">
        <f>[1]各种公式!C12</f>
        <v>生命</v>
      </c>
      <c r="G2" s="8" t="str">
        <f>[1]各种公式!D12</f>
        <v>攻击</v>
      </c>
      <c r="H2" s="8" t="str">
        <f>[1]各种公式!E12</f>
        <v>防御</v>
      </c>
      <c r="I2" s="8" t="str">
        <f>[1]各种公式!F12</f>
        <v>闪避值</v>
      </c>
      <c r="J2" s="8" t="str">
        <f>[1]各种公式!G12</f>
        <v>命中值</v>
      </c>
      <c r="K2" s="8" t="str">
        <f>[1]各种公式!H12</f>
        <v>暴击值</v>
      </c>
      <c r="L2" s="8" t="str">
        <f>[1]各种公式!I12</f>
        <v>暴击倍数</v>
      </c>
      <c r="M2" s="8" t="str">
        <f>[1]各种公式!J12</f>
        <v>韧性值</v>
      </c>
      <c r="N2" s="8" t="str">
        <f>[1]各种公式!K12</f>
        <v>伤害减免</v>
      </c>
      <c r="O2" s="8" t="str">
        <f>[1]各种公式!L12</f>
        <v>伤害加深</v>
      </c>
      <c r="P2" t="s">
        <v>6</v>
      </c>
      <c r="Q2" t="s">
        <v>7</v>
      </c>
      <c r="R2" t="s">
        <v>8</v>
      </c>
      <c r="S2" t="s">
        <v>9</v>
      </c>
      <c r="T2" t="s">
        <v>10</v>
      </c>
      <c r="U2" t="s">
        <v>11</v>
      </c>
      <c r="V2" t="s">
        <v>12</v>
      </c>
      <c r="W2" t="s">
        <v>13</v>
      </c>
      <c r="X2" t="s">
        <v>14</v>
      </c>
      <c r="Y2" t="s">
        <v>15</v>
      </c>
      <c r="Z2" t="s">
        <v>16</v>
      </c>
      <c r="AA2" t="s">
        <v>17</v>
      </c>
      <c r="AB2" t="s">
        <v>18</v>
      </c>
      <c r="AC2" t="s">
        <v>19</v>
      </c>
      <c r="AD2" t="s">
        <v>20</v>
      </c>
      <c r="AE2" t="s">
        <v>21</v>
      </c>
      <c r="AF2" t="s">
        <v>22</v>
      </c>
      <c r="AG2" t="s">
        <v>23</v>
      </c>
      <c r="AH2" t="s">
        <v>24</v>
      </c>
      <c r="AI2" t="s">
        <v>25</v>
      </c>
      <c r="AJ2" t="s">
        <v>26</v>
      </c>
    </row>
    <row r="3" spans="1:36" x14ac:dyDescent="0.15">
      <c r="A3" s="5">
        <v>59001</v>
      </c>
      <c r="B3" s="5" t="s">
        <v>80</v>
      </c>
      <c r="C3" s="10">
        <v>10</v>
      </c>
      <c r="D3" s="11">
        <v>5</v>
      </c>
      <c r="E3" s="4">
        <f>VLOOKUP(D3,[1]称号规划!$D$4:$F$14,3,FALSE)</f>
        <v>0.12056327160493829</v>
      </c>
      <c r="F3" s="9">
        <f>VLOOKUP($C3,[1]!总属性参考数组,F$1,FALSE)*VLOOKUP($D$1,[1]!属性权重数组,F$1,FALSE)*$E3/$B$1</f>
        <v>169.48667232765331</v>
      </c>
      <c r="G3" s="9">
        <f>VLOOKUP($C3,[1]!总属性参考数组,G$1,FALSE)*VLOOKUP($D$1,[1]!属性权重数组,G$1,FALSE)*$E3/$B$1</f>
        <v>23.813502673796801</v>
      </c>
      <c r="H3" s="9">
        <f>VLOOKUP($C3,[1]!总属性参考数组,H$1,FALSE)*VLOOKUP($D$1,[1]!属性权重数组,H$1,FALSE)*$E3/$B$1</f>
        <v>10.29029462738302</v>
      </c>
      <c r="I3" s="9">
        <f>VLOOKUP($C3,[1]!总属性参考数组,I$1,FALSE)*VLOOKUP($D$1,[1]!属性权重数组,I$1,FALSE)*$E3/$B$1</f>
        <v>0</v>
      </c>
      <c r="J3" s="9">
        <f>VLOOKUP($C3,[1]!总属性参考数组,J$1,FALSE)*VLOOKUP($D$1,[1]!属性权重数组,J$1,FALSE)*$E3/$B$1</f>
        <v>0</v>
      </c>
      <c r="K3" s="9">
        <f>VLOOKUP($C3,[1]!总属性参考数组,K$1,FALSE)*VLOOKUP($D$1,[1]!属性权重数组,K$1,FALSE)*$E3/$B$1</f>
        <v>0</v>
      </c>
      <c r="L3" s="9">
        <f>VLOOKUP($C3,[1]!总属性参考数组,L$1,FALSE)*VLOOKUP($D$1,[1]!属性权重数组,L$1,FALSE)*$E3/$B$1</f>
        <v>0</v>
      </c>
      <c r="M3" s="9">
        <f>VLOOKUP($C3,[1]!总属性参考数组,M$1,FALSE)*VLOOKUP($D$1,[1]!属性权重数组,M$1,FALSE)*$E3/$B$1</f>
        <v>0</v>
      </c>
      <c r="N3" s="9">
        <f>VLOOKUP($C3,[1]!总属性参考数组,N$1,FALSE)*VLOOKUP($D$1,[1]!属性权重数组,N$1,FALSE)*$E3/$B$1</f>
        <v>0</v>
      </c>
      <c r="O3" s="9">
        <f>VLOOKUP($C3,[1]!总属性参考数组,O$1,FALSE)*VLOOKUP($D$1,[1]!属性权重数组,O$1,FALSE)*$E3/$B$1</f>
        <v>0</v>
      </c>
      <c r="P3" s="2">
        <f>COUNTIF(F3:O3,"&gt;0")</f>
        <v>3</v>
      </c>
      <c r="Q3" s="2" t="str">
        <f t="array" aca="1" ref="Q3" ca="1">IF(ISERROR(OFFSET($E$2,0,SMALL(IF($F3:$O3&gt;0,COLUMN($A:$J),99999),Q$1))),0,OFFSET($E$2,0,SMALL(IF($F3:$O3&gt;0,COLUMN($A:$J),99999),Q$1)))</f>
        <v>生命</v>
      </c>
      <c r="R3" s="2">
        <f t="array" aca="1" ref="R3" ca="1">IF(ISERROR(OFFSET($E3,0,SMALL(IF($F3:$O3&gt;0,COLUMN($A:$J),99999),R$1))),0,OFFSET($E3,0,SMALL(IF($F3:$O3&gt;0,COLUMN($A:$J),99999),R$1)))</f>
        <v>169.48667232765331</v>
      </c>
      <c r="S3" s="2" t="str">
        <f t="array" aca="1" ref="S3" ca="1">IF(ISERROR(OFFSET($E$2,0,SMALL(IF($F3:$O3&gt;0,COLUMN($A:$J),99999),S$1))),0,OFFSET($E$2,0,SMALL(IF($F3:$O3&gt;0,COLUMN($A:$J),99999),S$1)))</f>
        <v>攻击</v>
      </c>
      <c r="T3" s="2">
        <f t="array" aca="1" ref="T3" ca="1">IF(ISERROR(OFFSET($E3,0,SMALL(IF($F3:$O3&gt;0,COLUMN($A:$J),99999),T$1))),0,OFFSET($E3,0,SMALL(IF($F3:$O3&gt;0,COLUMN($A:$J),99999),T$1)))</f>
        <v>23.813502673796801</v>
      </c>
      <c r="U3" s="2" t="str">
        <f t="array" aca="1" ref="U3" ca="1">IF(ISERROR(OFFSET($E$2,0,SMALL(IF($F3:$O3&gt;0,COLUMN($A:$J),99999),U$1))),0,OFFSET($E$2,0,SMALL(IF($F3:$O3&gt;0,COLUMN($A:$J),99999),U$1)))</f>
        <v>防御</v>
      </c>
      <c r="V3" s="2">
        <f t="array" aca="1" ref="V3" ca="1">IF(ISERROR(OFFSET($E3,0,SMALL(IF($F3:$O3&gt;0,COLUMN($A:$J),99999),V$1))),0,OFFSET($E3,0,SMALL(IF($F3:$O3&gt;0,COLUMN($A:$J),99999),V$1)))</f>
        <v>10.29029462738302</v>
      </c>
      <c r="W3" s="2">
        <f t="array" aca="1" ref="W3" ca="1">IF(ISERROR(OFFSET($E$2,0,SMALL(IF($F3:$O3&gt;0,COLUMN($A:$J),99999),W$1))),0,OFFSET($E$2,0,SMALL(IF($F3:$O3&gt;0,COLUMN($A:$J),99999),W$1)))</f>
        <v>0</v>
      </c>
      <c r="X3" s="2">
        <f t="array" aca="1" ref="X3" ca="1">IF(ISERROR(OFFSET($E3,0,SMALL(IF($F3:$O3&gt;0,COLUMN($A:$J),99999),X$1))),0,OFFSET($E3,0,SMALL(IF($F3:$O3&gt;0,COLUMN($A:$J),99999),X$1)))</f>
        <v>0</v>
      </c>
      <c r="Y3" s="2">
        <f t="array" aca="1" ref="Y3" ca="1">IF(ISERROR(OFFSET($E$2,0,SMALL(IF($F3:$O3&gt;0,COLUMN($A:$J),99999),Y$1))),0,OFFSET($E$2,0,SMALL(IF($F3:$O3&gt;0,COLUMN($A:$J),99999),Y$1)))</f>
        <v>0</v>
      </c>
      <c r="Z3" s="2">
        <f t="array" aca="1" ref="Z3" ca="1">IF(ISERROR(OFFSET($E3,0,SMALL(IF($F3:$O3&gt;0,COLUMN($A:$J),99999),Z$1))),0,OFFSET($E3,0,SMALL(IF($F3:$O3&gt;0,COLUMN($A:$J),99999),Z$1)))</f>
        <v>0</v>
      </c>
      <c r="AA3" s="2">
        <f t="array" aca="1" ref="AA3" ca="1">IF(ISERROR(OFFSET($E$2,0,SMALL(IF($F3:$O3&gt;0,COLUMN($A:$J),99999),AA$1))),0,OFFSET($E$2,0,SMALL(IF($F3:$O3&gt;0,COLUMN($A:$J),99999),AA$1)))</f>
        <v>0</v>
      </c>
      <c r="AB3" s="2">
        <f t="array" aca="1" ref="AB3" ca="1">IF(ISERROR(OFFSET($E3,0,SMALL(IF($F3:$O3&gt;0,COLUMN($A:$J),99999),AB$1))),0,OFFSET($E3,0,SMALL(IF($F3:$O3&gt;0,COLUMN($A:$J),99999),AB$1)))</f>
        <v>0</v>
      </c>
      <c r="AC3" s="2">
        <f t="array" aca="1" ref="AC3" ca="1">IF(ISERROR(OFFSET($E$2,0,SMALL(IF($F3:$O3&gt;0,COLUMN($A:$J),99999),AC$1))),0,OFFSET($E$2,0,SMALL(IF($F3:$O3&gt;0,COLUMN($A:$J),99999),AC$1)))</f>
        <v>0</v>
      </c>
      <c r="AD3" s="2">
        <f t="array" aca="1" ref="AD3" ca="1">IF(ISERROR(OFFSET($E3,0,SMALL(IF($F3:$O3&gt;0,COLUMN($A:$J),99999),AD$1))),0,OFFSET($E3,0,SMALL(IF($F3:$O3&gt;0,COLUMN($A:$J),99999),AD$1)))</f>
        <v>0</v>
      </c>
      <c r="AE3" s="2">
        <f t="array" aca="1" ref="AE3" ca="1">IF(ISERROR(OFFSET($E$2,0,SMALL(IF($F3:$O3&gt;0,COLUMN($A:$J),99999),AE$1))),0,OFFSET($E$2,0,SMALL(IF($F3:$O3&gt;0,COLUMN($A:$J),99999),AE$1)))</f>
        <v>0</v>
      </c>
      <c r="AF3" s="2">
        <f t="array" aca="1" ref="AF3" ca="1">IF(ISERROR(OFFSET($E3,0,SMALL(IF($F3:$O3&gt;0,COLUMN($A:$J),99999),AF$1))),0,OFFSET($E3,0,SMALL(IF($F3:$O3&gt;0,COLUMN($A:$J),99999),AF$1)))</f>
        <v>0</v>
      </c>
      <c r="AG3" s="2">
        <f t="array" aca="1" ref="AG3" ca="1">IF(ISERROR(OFFSET($E$2,0,SMALL(IF($F3:$O3&gt;0,COLUMN($A:$J),99999),AG$1))),0,OFFSET($E$2,0,SMALL(IF($F3:$O3&gt;0,COLUMN($A:$J),99999),AG$1)))</f>
        <v>0</v>
      </c>
      <c r="AH3" s="2">
        <f t="array" aca="1" ref="AH3" ca="1">IF(ISERROR(OFFSET($E3,0,SMALL(IF($F3:$O3&gt;0,COLUMN($A:$J),99999),AH$1))),0,OFFSET($E3,0,SMALL(IF($F3:$O3&gt;0,COLUMN($A:$J),99999),AH$1)))</f>
        <v>0</v>
      </c>
      <c r="AI3" s="2">
        <f t="array" aca="1" ref="AI3" ca="1">IF(ISERROR(OFFSET($E$2,0,SMALL(IF($F3:$O3&gt;0,COLUMN($A:$J),99999),AI$1))),0,OFFSET($E$2,0,SMALL(IF($F3:$O3&gt;0,COLUMN($A:$J),99999),AI$1)))</f>
        <v>0</v>
      </c>
      <c r="AJ3" s="2">
        <f t="array" aca="1" ref="AJ3" ca="1">IF(ISERROR(OFFSET($E3,0,SMALL(IF($F3:$O3&gt;0,COLUMN($A:$J),99999),AJ$1))),0,OFFSET($E3,0,SMALL(IF($F3:$O3&gt;0,COLUMN($A:$J),99999),AJ$1)))</f>
        <v>0</v>
      </c>
    </row>
    <row r="4" spans="1:36" x14ac:dyDescent="0.15">
      <c r="A4" s="5">
        <v>59002</v>
      </c>
      <c r="B4" s="5" t="s">
        <v>81</v>
      </c>
      <c r="C4" s="10">
        <v>20</v>
      </c>
      <c r="D4" s="11">
        <v>5</v>
      </c>
      <c r="E4" s="4">
        <f>VLOOKUP(D4,[1]称号规划!$D$4:$F$14,3,FALSE)</f>
        <v>0.12056327160493829</v>
      </c>
      <c r="F4" s="9">
        <f>VLOOKUP($C4,[1]!总属性参考数组,F$1,FALSE)*VLOOKUP($D$1,[1]!属性权重数组,F$1,FALSE)*$E4/$B$1</f>
        <v>359.26653140353471</v>
      </c>
      <c r="G4" s="9">
        <f>VLOOKUP($C4,[1]!总属性参考数组,G$1,FALSE)*VLOOKUP($D$1,[1]!属性权重数组,G$1,FALSE)*$E4/$B$1</f>
        <v>35.7202540106952</v>
      </c>
      <c r="H4" s="9">
        <f>VLOOKUP($C4,[1]!总属性参考数组,H$1,FALSE)*VLOOKUP($D$1,[1]!属性权重数组,H$1,FALSE)*$E4/$B$1</f>
        <v>15.435441941074529</v>
      </c>
      <c r="I4" s="9">
        <f>VLOOKUP($C4,[1]!总属性参考数组,I$1,FALSE)*VLOOKUP($D$1,[1]!属性权重数组,I$1,FALSE)*$E4/$B$1</f>
        <v>0</v>
      </c>
      <c r="J4" s="9">
        <f>VLOOKUP($C4,[1]!总属性参考数组,J$1,FALSE)*VLOOKUP($D$1,[1]!属性权重数组,J$1,FALSE)*$E4/$B$1</f>
        <v>0</v>
      </c>
      <c r="K4" s="9">
        <f>VLOOKUP($C4,[1]!总属性参考数组,K$1,FALSE)*VLOOKUP($D$1,[1]!属性权重数组,K$1,FALSE)*$E4/$B$1</f>
        <v>0</v>
      </c>
      <c r="L4" s="9">
        <f>VLOOKUP($C4,[1]!总属性参考数组,L$1,FALSE)*VLOOKUP($D$1,[1]!属性权重数组,L$1,FALSE)*$E4/$B$1</f>
        <v>0</v>
      </c>
      <c r="M4" s="9">
        <f>VLOOKUP($C4,[1]!总属性参考数组,M$1,FALSE)*VLOOKUP($D$1,[1]!属性权重数组,M$1,FALSE)*$E4/$B$1</f>
        <v>0</v>
      </c>
      <c r="N4" s="9">
        <f>VLOOKUP($C4,[1]!总属性参考数组,N$1,FALSE)*VLOOKUP($D$1,[1]!属性权重数组,N$1,FALSE)*$E4/$B$1</f>
        <v>0</v>
      </c>
      <c r="O4" s="9">
        <f>VLOOKUP($C4,[1]!总属性参考数组,O$1,FALSE)*VLOOKUP($D$1,[1]!属性权重数组,O$1,FALSE)*$E4/$B$1</f>
        <v>0</v>
      </c>
      <c r="P4" s="2">
        <f t="shared" ref="P4:P12" si="0">COUNTIF(F4:O4,"&gt;0")</f>
        <v>3</v>
      </c>
      <c r="Q4" s="2" t="str">
        <f t="array" aca="1" ref="Q4" ca="1">IF(ISERROR(OFFSET($E$2,0,SMALL(IF($F4:$O4&gt;0,COLUMN($A:$J),99999),Q$1))),0,OFFSET($E$2,0,SMALL(IF($F4:$O4&gt;0,COLUMN($A:$J),99999),Q$1)))</f>
        <v>生命</v>
      </c>
      <c r="R4" s="2">
        <f t="array" aca="1" ref="R4" ca="1">IF(ISERROR(OFFSET($E4,0,SMALL(IF($F4:$O4&gt;0,COLUMN($A:$J),99999),R$1))),0,OFFSET($E4,0,SMALL(IF($F4:$O4&gt;0,COLUMN($A:$J),99999),R$1)))</f>
        <v>359.26653140353471</v>
      </c>
      <c r="S4" s="2" t="str">
        <f t="array" aca="1" ref="S4" ca="1">IF(ISERROR(OFFSET($E$2,0,SMALL(IF($F4:$O4&gt;0,COLUMN($A:$J),99999),S$1))),0,OFFSET($E$2,0,SMALL(IF($F4:$O4&gt;0,COLUMN($A:$J),99999),S$1)))</f>
        <v>攻击</v>
      </c>
      <c r="T4" s="2">
        <f t="array" aca="1" ref="T4" ca="1">IF(ISERROR(OFFSET($E4,0,SMALL(IF($F4:$O4&gt;0,COLUMN($A:$J),99999),T$1))),0,OFFSET($E4,0,SMALL(IF($F4:$O4&gt;0,COLUMN($A:$J),99999),T$1)))</f>
        <v>35.7202540106952</v>
      </c>
      <c r="U4" s="2" t="str">
        <f t="array" aca="1" ref="U4" ca="1">IF(ISERROR(OFFSET($E$2,0,SMALL(IF($F4:$O4&gt;0,COLUMN($A:$J),99999),U$1))),0,OFFSET($E$2,0,SMALL(IF($F4:$O4&gt;0,COLUMN($A:$J),99999),U$1)))</f>
        <v>防御</v>
      </c>
      <c r="V4" s="2">
        <f t="array" aca="1" ref="V4" ca="1">IF(ISERROR(OFFSET($E4,0,SMALL(IF($F4:$O4&gt;0,COLUMN($A:$J),99999),V$1))),0,OFFSET($E4,0,SMALL(IF($F4:$O4&gt;0,COLUMN($A:$J),99999),V$1)))</f>
        <v>15.435441941074529</v>
      </c>
      <c r="W4" s="2">
        <f t="array" aca="1" ref="W4" ca="1">IF(ISERROR(OFFSET($E$2,0,SMALL(IF($F4:$O4&gt;0,COLUMN($A:$J),99999),W$1))),0,OFFSET($E$2,0,SMALL(IF($F4:$O4&gt;0,COLUMN($A:$J),99999),W$1)))</f>
        <v>0</v>
      </c>
      <c r="X4" s="2">
        <f t="array" aca="1" ref="X4" ca="1">IF(ISERROR(OFFSET($E4,0,SMALL(IF($F4:$O4&gt;0,COLUMN($A:$J),99999),X$1))),0,OFFSET($E4,0,SMALL(IF($F4:$O4&gt;0,COLUMN($A:$J),99999),X$1)))</f>
        <v>0</v>
      </c>
      <c r="Y4" s="2">
        <f t="array" aca="1" ref="Y4" ca="1">IF(ISERROR(OFFSET($E$2,0,SMALL(IF($F4:$O4&gt;0,COLUMN($A:$J),99999),Y$1))),0,OFFSET($E$2,0,SMALL(IF($F4:$O4&gt;0,COLUMN($A:$J),99999),Y$1)))</f>
        <v>0</v>
      </c>
      <c r="Z4" s="2">
        <f t="array" aca="1" ref="Z4" ca="1">IF(ISERROR(OFFSET($E4,0,SMALL(IF($F4:$O4&gt;0,COLUMN($A:$J),99999),Z$1))),0,OFFSET($E4,0,SMALL(IF($F4:$O4&gt;0,COLUMN($A:$J),99999),Z$1)))</f>
        <v>0</v>
      </c>
      <c r="AA4" s="2">
        <f t="array" aca="1" ref="AA4" ca="1">IF(ISERROR(OFFSET($E$2,0,SMALL(IF($F4:$O4&gt;0,COLUMN($A:$J),99999),AA$1))),0,OFFSET($E$2,0,SMALL(IF($F4:$O4&gt;0,COLUMN($A:$J),99999),AA$1)))</f>
        <v>0</v>
      </c>
      <c r="AB4" s="2">
        <f t="array" aca="1" ref="AB4" ca="1">IF(ISERROR(OFFSET($E4,0,SMALL(IF($F4:$O4&gt;0,COLUMN($A:$J),99999),AB$1))),0,OFFSET($E4,0,SMALL(IF($F4:$O4&gt;0,COLUMN($A:$J),99999),AB$1)))</f>
        <v>0</v>
      </c>
      <c r="AC4" s="2">
        <f t="array" aca="1" ref="AC4" ca="1">IF(ISERROR(OFFSET($E$2,0,SMALL(IF($F4:$O4&gt;0,COLUMN($A:$J),99999),AC$1))),0,OFFSET($E$2,0,SMALL(IF($F4:$O4&gt;0,COLUMN($A:$J),99999),AC$1)))</f>
        <v>0</v>
      </c>
      <c r="AD4" s="2">
        <f t="array" aca="1" ref="AD4" ca="1">IF(ISERROR(OFFSET($E4,0,SMALL(IF($F4:$O4&gt;0,COLUMN($A:$J),99999),AD$1))),0,OFFSET($E4,0,SMALL(IF($F4:$O4&gt;0,COLUMN($A:$J),99999),AD$1)))</f>
        <v>0</v>
      </c>
      <c r="AE4" s="2">
        <f t="array" aca="1" ref="AE4" ca="1">IF(ISERROR(OFFSET($E$2,0,SMALL(IF($F4:$O4&gt;0,COLUMN($A:$J),99999),AE$1))),0,OFFSET($E$2,0,SMALL(IF($F4:$O4&gt;0,COLUMN($A:$J),99999),AE$1)))</f>
        <v>0</v>
      </c>
      <c r="AF4" s="2">
        <f t="array" aca="1" ref="AF4" ca="1">IF(ISERROR(OFFSET($E4,0,SMALL(IF($F4:$O4&gt;0,COLUMN($A:$J),99999),AF$1))),0,OFFSET($E4,0,SMALL(IF($F4:$O4&gt;0,COLUMN($A:$J),99999),AF$1)))</f>
        <v>0</v>
      </c>
      <c r="AG4" s="2">
        <f t="array" aca="1" ref="AG4" ca="1">IF(ISERROR(OFFSET($E$2,0,SMALL(IF($F4:$O4&gt;0,COLUMN($A:$J),99999),AG$1))),0,OFFSET($E$2,0,SMALL(IF($F4:$O4&gt;0,COLUMN($A:$J),99999),AG$1)))</f>
        <v>0</v>
      </c>
      <c r="AH4" s="2">
        <f t="array" aca="1" ref="AH4" ca="1">IF(ISERROR(OFFSET($E4,0,SMALL(IF($F4:$O4&gt;0,COLUMN($A:$J),99999),AH$1))),0,OFFSET($E4,0,SMALL(IF($F4:$O4&gt;0,COLUMN($A:$J),99999),AH$1)))</f>
        <v>0</v>
      </c>
      <c r="AI4" s="2">
        <f t="array" aca="1" ref="AI4" ca="1">IF(ISERROR(OFFSET($E$2,0,SMALL(IF($F4:$O4&gt;0,COLUMN($A:$J),99999),AI$1))),0,OFFSET($E$2,0,SMALL(IF($F4:$O4&gt;0,COLUMN($A:$J),99999),AI$1)))</f>
        <v>0</v>
      </c>
      <c r="AJ4" s="2">
        <f t="array" aca="1" ref="AJ4" ca="1">IF(ISERROR(OFFSET($E4,0,SMALL(IF($F4:$O4&gt;0,COLUMN($A:$J),99999),AJ$1))),0,OFFSET($E4,0,SMALL(IF($F4:$O4&gt;0,COLUMN($A:$J),99999),AJ$1)))</f>
        <v>0</v>
      </c>
    </row>
    <row r="5" spans="1:36" x14ac:dyDescent="0.15">
      <c r="A5" s="5">
        <v>59003</v>
      </c>
      <c r="B5" s="5" t="s">
        <v>60</v>
      </c>
      <c r="C5" s="10">
        <v>30</v>
      </c>
      <c r="D5" s="11">
        <v>5</v>
      </c>
      <c r="E5" s="4">
        <f>VLOOKUP(D5,[1]称号规划!$D$4:$F$14,3,FALSE)</f>
        <v>0.12056327160493829</v>
      </c>
      <c r="F5" s="9">
        <f>VLOOKUP($C5,[1]!总属性参考数组,F$1,FALSE)*VLOOKUP($D$1,[1]!属性权重数组,F$1,FALSE)*$E5/$B$1</f>
        <v>620.89351401551642</v>
      </c>
      <c r="G5" s="9">
        <f>VLOOKUP($C5,[1]!总属性参考数组,G$1,FALSE)*VLOOKUP($D$1,[1]!属性权重数组,G$1,FALSE)*$E5/$B$1</f>
        <v>48.222342914438542</v>
      </c>
      <c r="H5" s="9">
        <f>VLOOKUP($C5,[1]!总属性参考数组,H$1,FALSE)*VLOOKUP($D$1,[1]!属性权重数组,H$1,FALSE)*$E5/$B$1</f>
        <v>20.837846620450616</v>
      </c>
      <c r="I5" s="9">
        <f>VLOOKUP($C5,[1]!总属性参考数组,I$1,FALSE)*VLOOKUP($D$1,[1]!属性权重数组,I$1,FALSE)*$E5/$B$1</f>
        <v>0</v>
      </c>
      <c r="J5" s="9">
        <f>VLOOKUP($C5,[1]!总属性参考数组,J$1,FALSE)*VLOOKUP($D$1,[1]!属性权重数组,J$1,FALSE)*$E5/$B$1</f>
        <v>0</v>
      </c>
      <c r="K5" s="9">
        <f>VLOOKUP($C5,[1]!总属性参考数组,K$1,FALSE)*VLOOKUP($D$1,[1]!属性权重数组,K$1,FALSE)*$E5/$B$1</f>
        <v>0</v>
      </c>
      <c r="L5" s="9">
        <f>VLOOKUP($C5,[1]!总属性参考数组,L$1,FALSE)*VLOOKUP($D$1,[1]!属性权重数组,L$1,FALSE)*$E5/$B$1</f>
        <v>0</v>
      </c>
      <c r="M5" s="9">
        <f>VLOOKUP($C5,[1]!总属性参考数组,M$1,FALSE)*VLOOKUP($D$1,[1]!属性权重数组,M$1,FALSE)*$E5/$B$1</f>
        <v>0</v>
      </c>
      <c r="N5" s="9">
        <f>VLOOKUP($C5,[1]!总属性参考数组,N$1,FALSE)*VLOOKUP($D$1,[1]!属性权重数组,N$1,FALSE)*$E5/$B$1</f>
        <v>0</v>
      </c>
      <c r="O5" s="9">
        <f>VLOOKUP($C5,[1]!总属性参考数组,O$1,FALSE)*VLOOKUP($D$1,[1]!属性权重数组,O$1,FALSE)*$E5/$B$1</f>
        <v>0</v>
      </c>
      <c r="P5" s="2">
        <f t="shared" si="0"/>
        <v>3</v>
      </c>
      <c r="Q5" s="2" t="str">
        <f t="array" aca="1" ref="Q5" ca="1">IF(ISERROR(OFFSET($E$2,0,SMALL(IF($F5:$O5&gt;0,COLUMN($A:$J),99999),Q$1))),0,OFFSET($E$2,0,SMALL(IF($F5:$O5&gt;0,COLUMN($A:$J),99999),Q$1)))</f>
        <v>生命</v>
      </c>
      <c r="R5" s="2">
        <f t="array" aca="1" ref="R5" ca="1">IF(ISERROR(OFFSET($E5,0,SMALL(IF($F5:$O5&gt;0,COLUMN($A:$J),99999),R$1))),0,OFFSET($E5,0,SMALL(IF($F5:$O5&gt;0,COLUMN($A:$J),99999),R$1)))</f>
        <v>620.89351401551642</v>
      </c>
      <c r="S5" s="2" t="str">
        <f t="array" aca="1" ref="S5" ca="1">IF(ISERROR(OFFSET($E$2,0,SMALL(IF($F5:$O5&gt;0,COLUMN($A:$J),99999),S$1))),0,OFFSET($E$2,0,SMALL(IF($F5:$O5&gt;0,COLUMN($A:$J),99999),S$1)))</f>
        <v>攻击</v>
      </c>
      <c r="T5" s="2">
        <f t="array" aca="1" ref="T5" ca="1">IF(ISERROR(OFFSET($E5,0,SMALL(IF($F5:$O5&gt;0,COLUMN($A:$J),99999),T$1))),0,OFFSET($E5,0,SMALL(IF($F5:$O5&gt;0,COLUMN($A:$J),99999),T$1)))</f>
        <v>48.222342914438542</v>
      </c>
      <c r="U5" s="2" t="str">
        <f t="array" aca="1" ref="U5" ca="1">IF(ISERROR(OFFSET($E$2,0,SMALL(IF($F5:$O5&gt;0,COLUMN($A:$J),99999),U$1))),0,OFFSET($E$2,0,SMALL(IF($F5:$O5&gt;0,COLUMN($A:$J),99999),U$1)))</f>
        <v>防御</v>
      </c>
      <c r="V5" s="2">
        <f t="array" aca="1" ref="V5" ca="1">IF(ISERROR(OFFSET($E5,0,SMALL(IF($F5:$O5&gt;0,COLUMN($A:$J),99999),V$1))),0,OFFSET($E5,0,SMALL(IF($F5:$O5&gt;0,COLUMN($A:$J),99999),V$1)))</f>
        <v>20.837846620450616</v>
      </c>
      <c r="W5" s="2">
        <f t="array" aca="1" ref="W5" ca="1">IF(ISERROR(OFFSET($E$2,0,SMALL(IF($F5:$O5&gt;0,COLUMN($A:$J),99999),W$1))),0,OFFSET($E$2,0,SMALL(IF($F5:$O5&gt;0,COLUMN($A:$J),99999),W$1)))</f>
        <v>0</v>
      </c>
      <c r="X5" s="2">
        <f t="array" aca="1" ref="X5" ca="1">IF(ISERROR(OFFSET($E5,0,SMALL(IF($F5:$O5&gt;0,COLUMN($A:$J),99999),X$1))),0,OFFSET($E5,0,SMALL(IF($F5:$O5&gt;0,COLUMN($A:$J),99999),X$1)))</f>
        <v>0</v>
      </c>
      <c r="Y5" s="2">
        <f t="array" aca="1" ref="Y5" ca="1">IF(ISERROR(OFFSET($E$2,0,SMALL(IF($F5:$O5&gt;0,COLUMN($A:$J),99999),Y$1))),0,OFFSET($E$2,0,SMALL(IF($F5:$O5&gt;0,COLUMN($A:$J),99999),Y$1)))</f>
        <v>0</v>
      </c>
      <c r="Z5" s="2">
        <f t="array" aca="1" ref="Z5" ca="1">IF(ISERROR(OFFSET($E5,0,SMALL(IF($F5:$O5&gt;0,COLUMN($A:$J),99999),Z$1))),0,OFFSET($E5,0,SMALL(IF($F5:$O5&gt;0,COLUMN($A:$J),99999),Z$1)))</f>
        <v>0</v>
      </c>
      <c r="AA5" s="2">
        <f t="array" aca="1" ref="AA5" ca="1">IF(ISERROR(OFFSET($E$2,0,SMALL(IF($F5:$O5&gt;0,COLUMN($A:$J),99999),AA$1))),0,OFFSET($E$2,0,SMALL(IF($F5:$O5&gt;0,COLUMN($A:$J),99999),AA$1)))</f>
        <v>0</v>
      </c>
      <c r="AB5" s="2">
        <f t="array" aca="1" ref="AB5" ca="1">IF(ISERROR(OFFSET($E5,0,SMALL(IF($F5:$O5&gt;0,COLUMN($A:$J),99999),AB$1))),0,OFFSET($E5,0,SMALL(IF($F5:$O5&gt;0,COLUMN($A:$J),99999),AB$1)))</f>
        <v>0</v>
      </c>
      <c r="AC5" s="2">
        <f t="array" aca="1" ref="AC5" ca="1">IF(ISERROR(OFFSET($E$2,0,SMALL(IF($F5:$O5&gt;0,COLUMN($A:$J),99999),AC$1))),0,OFFSET($E$2,0,SMALL(IF($F5:$O5&gt;0,COLUMN($A:$J),99999),AC$1)))</f>
        <v>0</v>
      </c>
      <c r="AD5" s="2">
        <f t="array" aca="1" ref="AD5" ca="1">IF(ISERROR(OFFSET($E5,0,SMALL(IF($F5:$O5&gt;0,COLUMN($A:$J),99999),AD$1))),0,OFFSET($E5,0,SMALL(IF($F5:$O5&gt;0,COLUMN($A:$J),99999),AD$1)))</f>
        <v>0</v>
      </c>
      <c r="AE5" s="2">
        <f t="array" aca="1" ref="AE5" ca="1">IF(ISERROR(OFFSET($E$2,0,SMALL(IF($F5:$O5&gt;0,COLUMN($A:$J),99999),AE$1))),0,OFFSET($E$2,0,SMALL(IF($F5:$O5&gt;0,COLUMN($A:$J),99999),AE$1)))</f>
        <v>0</v>
      </c>
      <c r="AF5" s="2">
        <f t="array" aca="1" ref="AF5" ca="1">IF(ISERROR(OFFSET($E5,0,SMALL(IF($F5:$O5&gt;0,COLUMN($A:$J),99999),AF$1))),0,OFFSET($E5,0,SMALL(IF($F5:$O5&gt;0,COLUMN($A:$J),99999),AF$1)))</f>
        <v>0</v>
      </c>
      <c r="AG5" s="2">
        <f t="array" aca="1" ref="AG5" ca="1">IF(ISERROR(OFFSET($E$2,0,SMALL(IF($F5:$O5&gt;0,COLUMN($A:$J),99999),AG$1))),0,OFFSET($E$2,0,SMALL(IF($F5:$O5&gt;0,COLUMN($A:$J),99999),AG$1)))</f>
        <v>0</v>
      </c>
      <c r="AH5" s="2">
        <f t="array" aca="1" ref="AH5" ca="1">IF(ISERROR(OFFSET($E5,0,SMALL(IF($F5:$O5&gt;0,COLUMN($A:$J),99999),AH$1))),0,OFFSET($E5,0,SMALL(IF($F5:$O5&gt;0,COLUMN($A:$J),99999),AH$1)))</f>
        <v>0</v>
      </c>
      <c r="AI5" s="2">
        <f t="array" aca="1" ref="AI5" ca="1">IF(ISERROR(OFFSET($E$2,0,SMALL(IF($F5:$O5&gt;0,COLUMN($A:$J),99999),AI$1))),0,OFFSET($E$2,0,SMALL(IF($F5:$O5&gt;0,COLUMN($A:$J),99999),AI$1)))</f>
        <v>0</v>
      </c>
      <c r="AJ5" s="2">
        <f t="array" aca="1" ref="AJ5" ca="1">IF(ISERROR(OFFSET($E5,0,SMALL(IF($F5:$O5&gt;0,COLUMN($A:$J),99999),AJ$1))),0,OFFSET($E5,0,SMALL(IF($F5:$O5&gt;0,COLUMN($A:$J),99999),AJ$1)))</f>
        <v>0</v>
      </c>
    </row>
    <row r="6" spans="1:36" x14ac:dyDescent="0.15">
      <c r="A6" s="5">
        <v>59004</v>
      </c>
      <c r="B6" s="5" t="s">
        <v>82</v>
      </c>
      <c r="C6" s="10">
        <v>40</v>
      </c>
      <c r="D6" s="11">
        <v>5</v>
      </c>
      <c r="E6" s="4">
        <f>VLOOKUP(D6,[1]称号规划!$D$4:$F$14,3,FALSE)</f>
        <v>0.12056327160493829</v>
      </c>
      <c r="F6" s="9">
        <f>VLOOKUP($C6,[1]!总属性参考数组,F$1,FALSE)*VLOOKUP($D$1,[1]!属性权重数组,F$1,FALSE)*$E6/$B$1</f>
        <v>1033.9127891842829</v>
      </c>
      <c r="G6" s="9">
        <f>VLOOKUP($C6,[1]!总属性参考数组,G$1,FALSE)*VLOOKUP($D$1,[1]!属性权重数组,G$1,FALSE)*$E6/$B$1</f>
        <v>66.677807486631053</v>
      </c>
      <c r="H6" s="9">
        <f>VLOOKUP($C6,[1]!总属性参考数组,H$1,FALSE)*VLOOKUP($D$1,[1]!属性权重数组,H$1,FALSE)*$E6/$B$1</f>
        <v>28.812824956672465</v>
      </c>
      <c r="I6" s="9">
        <f>VLOOKUP($C6,[1]!总属性参考数组,I$1,FALSE)*VLOOKUP($D$1,[1]!属性权重数组,I$1,FALSE)*$E6/$B$1</f>
        <v>0</v>
      </c>
      <c r="J6" s="9">
        <f>VLOOKUP($C6,[1]!总属性参考数组,J$1,FALSE)*VLOOKUP($D$1,[1]!属性权重数组,J$1,FALSE)*$E6/$B$1</f>
        <v>0</v>
      </c>
      <c r="K6" s="9">
        <f>VLOOKUP($C6,[1]!总属性参考数组,K$1,FALSE)*VLOOKUP($D$1,[1]!属性权重数组,K$1,FALSE)*$E6/$B$1</f>
        <v>0</v>
      </c>
      <c r="L6" s="9">
        <f>VLOOKUP($C6,[1]!总属性参考数组,L$1,FALSE)*VLOOKUP($D$1,[1]!属性权重数组,L$1,FALSE)*$E6/$B$1</f>
        <v>0</v>
      </c>
      <c r="M6" s="9">
        <f>VLOOKUP($C6,[1]!总属性参考数组,M$1,FALSE)*VLOOKUP($D$1,[1]!属性权重数组,M$1,FALSE)*$E6/$B$1</f>
        <v>0</v>
      </c>
      <c r="N6" s="9">
        <f>VLOOKUP($C6,[1]!总属性参考数组,N$1,FALSE)*VLOOKUP($D$1,[1]!属性权重数组,N$1,FALSE)*$E6/$B$1</f>
        <v>0</v>
      </c>
      <c r="O6" s="9">
        <f>VLOOKUP($C6,[1]!总属性参考数组,O$1,FALSE)*VLOOKUP($D$1,[1]!属性权重数组,O$1,FALSE)*$E6/$B$1</f>
        <v>0</v>
      </c>
      <c r="P6" s="2">
        <f t="shared" si="0"/>
        <v>3</v>
      </c>
      <c r="Q6" s="2" t="str">
        <f t="array" aca="1" ref="Q6" ca="1">IF(ISERROR(OFFSET($E$2,0,SMALL(IF($F6:$O6&gt;0,COLUMN($A:$J),99999),Q$1))),0,OFFSET($E$2,0,SMALL(IF($F6:$O6&gt;0,COLUMN($A:$J),99999),Q$1)))</f>
        <v>生命</v>
      </c>
      <c r="R6" s="2">
        <f t="array" aca="1" ref="R6" ca="1">IF(ISERROR(OFFSET($E6,0,SMALL(IF($F6:$O6&gt;0,COLUMN($A:$J),99999),R$1))),0,OFFSET($E6,0,SMALL(IF($F6:$O6&gt;0,COLUMN($A:$J),99999),R$1)))</f>
        <v>1033.9127891842829</v>
      </c>
      <c r="S6" s="2" t="str">
        <f t="array" aca="1" ref="S6" ca="1">IF(ISERROR(OFFSET($E$2,0,SMALL(IF($F6:$O6&gt;0,COLUMN($A:$J),99999),S$1))),0,OFFSET($E$2,0,SMALL(IF($F6:$O6&gt;0,COLUMN($A:$J),99999),S$1)))</f>
        <v>攻击</v>
      </c>
      <c r="T6" s="2">
        <f t="array" aca="1" ref="T6" ca="1">IF(ISERROR(OFFSET($E6,0,SMALL(IF($F6:$O6&gt;0,COLUMN($A:$J),99999),T$1))),0,OFFSET($E6,0,SMALL(IF($F6:$O6&gt;0,COLUMN($A:$J),99999),T$1)))</f>
        <v>66.677807486631053</v>
      </c>
      <c r="U6" s="2" t="str">
        <f t="array" aca="1" ref="U6" ca="1">IF(ISERROR(OFFSET($E$2,0,SMALL(IF($F6:$O6&gt;0,COLUMN($A:$J),99999),U$1))),0,OFFSET($E$2,0,SMALL(IF($F6:$O6&gt;0,COLUMN($A:$J),99999),U$1)))</f>
        <v>防御</v>
      </c>
      <c r="V6" s="2">
        <f t="array" aca="1" ref="V6" ca="1">IF(ISERROR(OFFSET($E6,0,SMALL(IF($F6:$O6&gt;0,COLUMN($A:$J),99999),V$1))),0,OFFSET($E6,0,SMALL(IF($F6:$O6&gt;0,COLUMN($A:$J),99999),V$1)))</f>
        <v>28.812824956672465</v>
      </c>
      <c r="W6" s="2">
        <f t="array" aca="1" ref="W6" ca="1">IF(ISERROR(OFFSET($E$2,0,SMALL(IF($F6:$O6&gt;0,COLUMN($A:$J),99999),W$1))),0,OFFSET($E$2,0,SMALL(IF($F6:$O6&gt;0,COLUMN($A:$J),99999),W$1)))</f>
        <v>0</v>
      </c>
      <c r="X6" s="2">
        <f t="array" aca="1" ref="X6" ca="1">IF(ISERROR(OFFSET($E6,0,SMALL(IF($F6:$O6&gt;0,COLUMN($A:$J),99999),X$1))),0,OFFSET($E6,0,SMALL(IF($F6:$O6&gt;0,COLUMN($A:$J),99999),X$1)))</f>
        <v>0</v>
      </c>
      <c r="Y6" s="2">
        <f t="array" aca="1" ref="Y6" ca="1">IF(ISERROR(OFFSET($E$2,0,SMALL(IF($F6:$O6&gt;0,COLUMN($A:$J),99999),Y$1))),0,OFFSET($E$2,0,SMALL(IF($F6:$O6&gt;0,COLUMN($A:$J),99999),Y$1)))</f>
        <v>0</v>
      </c>
      <c r="Z6" s="2">
        <f t="array" aca="1" ref="Z6" ca="1">IF(ISERROR(OFFSET($E6,0,SMALL(IF($F6:$O6&gt;0,COLUMN($A:$J),99999),Z$1))),0,OFFSET($E6,0,SMALL(IF($F6:$O6&gt;0,COLUMN($A:$J),99999),Z$1)))</f>
        <v>0</v>
      </c>
      <c r="AA6" s="2">
        <f t="array" aca="1" ref="AA6" ca="1">IF(ISERROR(OFFSET($E$2,0,SMALL(IF($F6:$O6&gt;0,COLUMN($A:$J),99999),AA$1))),0,OFFSET($E$2,0,SMALL(IF($F6:$O6&gt;0,COLUMN($A:$J),99999),AA$1)))</f>
        <v>0</v>
      </c>
      <c r="AB6" s="2">
        <f t="array" aca="1" ref="AB6" ca="1">IF(ISERROR(OFFSET($E6,0,SMALL(IF($F6:$O6&gt;0,COLUMN($A:$J),99999),AB$1))),0,OFFSET($E6,0,SMALL(IF($F6:$O6&gt;0,COLUMN($A:$J),99999),AB$1)))</f>
        <v>0</v>
      </c>
      <c r="AC6" s="2">
        <f t="array" aca="1" ref="AC6" ca="1">IF(ISERROR(OFFSET($E$2,0,SMALL(IF($F6:$O6&gt;0,COLUMN($A:$J),99999),AC$1))),0,OFFSET($E$2,0,SMALL(IF($F6:$O6&gt;0,COLUMN($A:$J),99999),AC$1)))</f>
        <v>0</v>
      </c>
      <c r="AD6" s="2">
        <f t="array" aca="1" ref="AD6" ca="1">IF(ISERROR(OFFSET($E6,0,SMALL(IF($F6:$O6&gt;0,COLUMN($A:$J),99999),AD$1))),0,OFFSET($E6,0,SMALL(IF($F6:$O6&gt;0,COLUMN($A:$J),99999),AD$1)))</f>
        <v>0</v>
      </c>
      <c r="AE6" s="2">
        <f t="array" aca="1" ref="AE6" ca="1">IF(ISERROR(OFFSET($E$2,0,SMALL(IF($F6:$O6&gt;0,COLUMN($A:$J),99999),AE$1))),0,OFFSET($E$2,0,SMALL(IF($F6:$O6&gt;0,COLUMN($A:$J),99999),AE$1)))</f>
        <v>0</v>
      </c>
      <c r="AF6" s="2">
        <f t="array" aca="1" ref="AF6" ca="1">IF(ISERROR(OFFSET($E6,0,SMALL(IF($F6:$O6&gt;0,COLUMN($A:$J),99999),AF$1))),0,OFFSET($E6,0,SMALL(IF($F6:$O6&gt;0,COLUMN($A:$J),99999),AF$1)))</f>
        <v>0</v>
      </c>
      <c r="AG6" s="2">
        <f t="array" aca="1" ref="AG6" ca="1">IF(ISERROR(OFFSET($E$2,0,SMALL(IF($F6:$O6&gt;0,COLUMN($A:$J),99999),AG$1))),0,OFFSET($E$2,0,SMALL(IF($F6:$O6&gt;0,COLUMN($A:$J),99999),AG$1)))</f>
        <v>0</v>
      </c>
      <c r="AH6" s="2">
        <f t="array" aca="1" ref="AH6" ca="1">IF(ISERROR(OFFSET($E6,0,SMALL(IF($F6:$O6&gt;0,COLUMN($A:$J),99999),AH$1))),0,OFFSET($E6,0,SMALL(IF($F6:$O6&gt;0,COLUMN($A:$J),99999),AH$1)))</f>
        <v>0</v>
      </c>
      <c r="AI6" s="2">
        <f t="array" aca="1" ref="AI6" ca="1">IF(ISERROR(OFFSET($E$2,0,SMALL(IF($F6:$O6&gt;0,COLUMN($A:$J),99999),AI$1))),0,OFFSET($E$2,0,SMALL(IF($F6:$O6&gt;0,COLUMN($A:$J),99999),AI$1)))</f>
        <v>0</v>
      </c>
      <c r="AJ6" s="2">
        <f t="array" aca="1" ref="AJ6" ca="1">IF(ISERROR(OFFSET($E6,0,SMALL(IF($F6:$O6&gt;0,COLUMN($A:$J),99999),AJ$1))),0,OFFSET($E6,0,SMALL(IF($F6:$O6&gt;0,COLUMN($A:$J),99999),AJ$1)))</f>
        <v>0</v>
      </c>
    </row>
    <row r="7" spans="1:36" x14ac:dyDescent="0.15">
      <c r="A7" s="5">
        <v>59005</v>
      </c>
      <c r="B7" s="5" t="s">
        <v>83</v>
      </c>
      <c r="C7" s="10">
        <v>70</v>
      </c>
      <c r="D7" s="11">
        <v>7</v>
      </c>
      <c r="E7" s="4">
        <f>VLOOKUP(D7,[1]称号规划!$D$4:$F$14,3,FALSE)</f>
        <v>0.17361111111111113</v>
      </c>
      <c r="F7" s="9">
        <f>VLOOKUP($C7,[1]!总属性参考数组,F$1,FALSE)*VLOOKUP($D$1,[1]!属性权重数组,F$1,FALSE)*$E7/$B$1</f>
        <v>4997.1681322726517</v>
      </c>
      <c r="G7" s="9">
        <f>VLOOKUP($C7,[1]!总属性参考数组,G$1,FALSE)*VLOOKUP($D$1,[1]!属性权重数组,G$1,FALSE)*$E7/$B$1</f>
        <v>227.18081550802165</v>
      </c>
      <c r="H7" s="9">
        <f>VLOOKUP($C7,[1]!总属性参考数组,H$1,FALSE)*VLOOKUP($D$1,[1]!属性权重数组,H$1,FALSE)*$E7/$B$1</f>
        <v>98.169410745234075</v>
      </c>
      <c r="I7" s="9">
        <f>VLOOKUP($C7,[1]!总属性参考数组,I$1,FALSE)*VLOOKUP($D$1,[1]!属性权重数组,I$1,FALSE)*$E7/$B$1</f>
        <v>0</v>
      </c>
      <c r="J7" s="9">
        <f>VLOOKUP($C7,[1]!总属性参考数组,J$1,FALSE)*VLOOKUP($D$1,[1]!属性权重数组,J$1,FALSE)*$E7/$B$1</f>
        <v>0</v>
      </c>
      <c r="K7" s="9">
        <f>VLOOKUP($C7,[1]!总属性参考数组,K$1,FALSE)*VLOOKUP($D$1,[1]!属性权重数组,K$1,FALSE)*$E7/$B$1</f>
        <v>0</v>
      </c>
      <c r="L7" s="9">
        <f>VLOOKUP($C7,[1]!总属性参考数组,L$1,FALSE)*VLOOKUP($D$1,[1]!属性权重数组,L$1,FALSE)*$E7/$B$1</f>
        <v>0</v>
      </c>
      <c r="M7" s="9">
        <f>VLOOKUP($C7,[1]!总属性参考数组,M$1,FALSE)*VLOOKUP($D$1,[1]!属性权重数组,M$1,FALSE)*$E7/$B$1</f>
        <v>0</v>
      </c>
      <c r="N7" s="9">
        <f>VLOOKUP($C7,[1]!总属性参考数组,N$1,FALSE)*VLOOKUP($D$1,[1]!属性权重数组,N$1,FALSE)*$E7/$B$1</f>
        <v>0</v>
      </c>
      <c r="O7" s="9">
        <f>VLOOKUP($C7,[1]!总属性参考数组,O$1,FALSE)*VLOOKUP($D$1,[1]!属性权重数组,O$1,FALSE)*$E7/$B$1</f>
        <v>0</v>
      </c>
      <c r="P7" s="2">
        <f t="shared" si="0"/>
        <v>3</v>
      </c>
      <c r="Q7" s="2" t="str">
        <f t="array" aca="1" ref="Q7" ca="1">IF(ISERROR(OFFSET($E$2,0,SMALL(IF($F7:$O7&gt;0,COLUMN($A:$J),99999),Q$1))),0,OFFSET($E$2,0,SMALL(IF($F7:$O7&gt;0,COLUMN($A:$J),99999),Q$1)))</f>
        <v>生命</v>
      </c>
      <c r="R7" s="2">
        <f t="array" aca="1" ref="R7" ca="1">IF(ISERROR(OFFSET($E7,0,SMALL(IF($F7:$O7&gt;0,COLUMN($A:$J),99999),R$1))),0,OFFSET($E7,0,SMALL(IF($F7:$O7&gt;0,COLUMN($A:$J),99999),R$1)))</f>
        <v>4997.1681322726517</v>
      </c>
      <c r="S7" s="2" t="str">
        <f t="array" aca="1" ref="S7" ca="1">IF(ISERROR(OFFSET($E$2,0,SMALL(IF($F7:$O7&gt;0,COLUMN($A:$J),99999),S$1))),0,OFFSET($E$2,0,SMALL(IF($F7:$O7&gt;0,COLUMN($A:$J),99999),S$1)))</f>
        <v>攻击</v>
      </c>
      <c r="T7" s="2">
        <f t="array" aca="1" ref="T7" ca="1">IF(ISERROR(OFFSET($E7,0,SMALL(IF($F7:$O7&gt;0,COLUMN($A:$J),99999),T$1))),0,OFFSET($E7,0,SMALL(IF($F7:$O7&gt;0,COLUMN($A:$J),99999),T$1)))</f>
        <v>227.18081550802165</v>
      </c>
      <c r="U7" s="2" t="str">
        <f t="array" aca="1" ref="U7" ca="1">IF(ISERROR(OFFSET($E$2,0,SMALL(IF($F7:$O7&gt;0,COLUMN($A:$J),99999),U$1))),0,OFFSET($E$2,0,SMALL(IF($F7:$O7&gt;0,COLUMN($A:$J),99999),U$1)))</f>
        <v>防御</v>
      </c>
      <c r="V7" s="2">
        <f t="array" aca="1" ref="V7" ca="1">IF(ISERROR(OFFSET($E7,0,SMALL(IF($F7:$O7&gt;0,COLUMN($A:$J),99999),V$1))),0,OFFSET($E7,0,SMALL(IF($F7:$O7&gt;0,COLUMN($A:$J),99999),V$1)))</f>
        <v>98.169410745234075</v>
      </c>
      <c r="W7" s="2">
        <f t="array" aca="1" ref="W7" ca="1">IF(ISERROR(OFFSET($E$2,0,SMALL(IF($F7:$O7&gt;0,COLUMN($A:$J),99999),W$1))),0,OFFSET($E$2,0,SMALL(IF($F7:$O7&gt;0,COLUMN($A:$J),99999),W$1)))</f>
        <v>0</v>
      </c>
      <c r="X7" s="2">
        <f t="array" aca="1" ref="X7" ca="1">IF(ISERROR(OFFSET($E7,0,SMALL(IF($F7:$O7&gt;0,COLUMN($A:$J),99999),X$1))),0,OFFSET($E7,0,SMALL(IF($F7:$O7&gt;0,COLUMN($A:$J),99999),X$1)))</f>
        <v>0</v>
      </c>
      <c r="Y7" s="2">
        <f t="array" aca="1" ref="Y7" ca="1">IF(ISERROR(OFFSET($E$2,0,SMALL(IF($F7:$O7&gt;0,COLUMN($A:$J),99999),Y$1))),0,OFFSET($E$2,0,SMALL(IF($F7:$O7&gt;0,COLUMN($A:$J),99999),Y$1)))</f>
        <v>0</v>
      </c>
      <c r="Z7" s="2">
        <f t="array" aca="1" ref="Z7" ca="1">IF(ISERROR(OFFSET($E7,0,SMALL(IF($F7:$O7&gt;0,COLUMN($A:$J),99999),Z$1))),0,OFFSET($E7,0,SMALL(IF($F7:$O7&gt;0,COLUMN($A:$J),99999),Z$1)))</f>
        <v>0</v>
      </c>
      <c r="AA7" s="2">
        <f t="array" aca="1" ref="AA7" ca="1">IF(ISERROR(OFFSET($E$2,0,SMALL(IF($F7:$O7&gt;0,COLUMN($A:$J),99999),AA$1))),0,OFFSET($E$2,0,SMALL(IF($F7:$O7&gt;0,COLUMN($A:$J),99999),AA$1)))</f>
        <v>0</v>
      </c>
      <c r="AB7" s="2">
        <f t="array" aca="1" ref="AB7" ca="1">IF(ISERROR(OFFSET($E7,0,SMALL(IF($F7:$O7&gt;0,COLUMN($A:$J),99999),AB$1))),0,OFFSET($E7,0,SMALL(IF($F7:$O7&gt;0,COLUMN($A:$J),99999),AB$1)))</f>
        <v>0</v>
      </c>
      <c r="AC7" s="2">
        <f t="array" aca="1" ref="AC7" ca="1">IF(ISERROR(OFFSET($E$2,0,SMALL(IF($F7:$O7&gt;0,COLUMN($A:$J),99999),AC$1))),0,OFFSET($E$2,0,SMALL(IF($F7:$O7&gt;0,COLUMN($A:$J),99999),AC$1)))</f>
        <v>0</v>
      </c>
      <c r="AD7" s="2">
        <f t="array" aca="1" ref="AD7" ca="1">IF(ISERROR(OFFSET($E7,0,SMALL(IF($F7:$O7&gt;0,COLUMN($A:$J),99999),AD$1))),0,OFFSET($E7,0,SMALL(IF($F7:$O7&gt;0,COLUMN($A:$J),99999),AD$1)))</f>
        <v>0</v>
      </c>
      <c r="AE7" s="2">
        <f t="array" aca="1" ref="AE7" ca="1">IF(ISERROR(OFFSET($E$2,0,SMALL(IF($F7:$O7&gt;0,COLUMN($A:$J),99999),AE$1))),0,OFFSET($E$2,0,SMALL(IF($F7:$O7&gt;0,COLUMN($A:$J),99999),AE$1)))</f>
        <v>0</v>
      </c>
      <c r="AF7" s="2">
        <f t="array" aca="1" ref="AF7" ca="1">IF(ISERROR(OFFSET($E7,0,SMALL(IF($F7:$O7&gt;0,COLUMN($A:$J),99999),AF$1))),0,OFFSET($E7,0,SMALL(IF($F7:$O7&gt;0,COLUMN($A:$J),99999),AF$1)))</f>
        <v>0</v>
      </c>
      <c r="AG7" s="2">
        <f t="array" aca="1" ref="AG7" ca="1">IF(ISERROR(OFFSET($E$2,0,SMALL(IF($F7:$O7&gt;0,COLUMN($A:$J),99999),AG$1))),0,OFFSET($E$2,0,SMALL(IF($F7:$O7&gt;0,COLUMN($A:$J),99999),AG$1)))</f>
        <v>0</v>
      </c>
      <c r="AH7" s="2">
        <f t="array" aca="1" ref="AH7" ca="1">IF(ISERROR(OFFSET($E7,0,SMALL(IF($F7:$O7&gt;0,COLUMN($A:$J),99999),AH$1))),0,OFFSET($E7,0,SMALL(IF($F7:$O7&gt;0,COLUMN($A:$J),99999),AH$1)))</f>
        <v>0</v>
      </c>
      <c r="AI7" s="2">
        <f t="array" aca="1" ref="AI7" ca="1">IF(ISERROR(OFFSET($E$2,0,SMALL(IF($F7:$O7&gt;0,COLUMN($A:$J),99999),AI$1))),0,OFFSET($E$2,0,SMALL(IF($F7:$O7&gt;0,COLUMN($A:$J),99999),AI$1)))</f>
        <v>0</v>
      </c>
      <c r="AJ7" s="2">
        <f t="array" aca="1" ref="AJ7" ca="1">IF(ISERROR(OFFSET($E7,0,SMALL(IF($F7:$O7&gt;0,COLUMN($A:$J),99999),AJ$1))),0,OFFSET($E7,0,SMALL(IF($F7:$O7&gt;0,COLUMN($A:$J),99999),AJ$1)))</f>
        <v>0</v>
      </c>
    </row>
    <row r="8" spans="1:36" x14ac:dyDescent="0.15">
      <c r="A8" s="5">
        <v>59006</v>
      </c>
      <c r="B8" s="5" t="s">
        <v>84</v>
      </c>
      <c r="C8" s="10">
        <v>50</v>
      </c>
      <c r="D8" s="11">
        <v>5</v>
      </c>
      <c r="E8" s="4">
        <f>VLOOKUP(D8,[1]称号规划!$D$4:$F$14,3,FALSE)</f>
        <v>0.12056327160493829</v>
      </c>
      <c r="F8" s="9">
        <f>VLOOKUP($C8,[1]!总属性参考数组,F$1,FALSE)*VLOOKUP($D$1,[1]!属性权重数组,F$1,FALSE)*$E8/$B$1</f>
        <v>1632.3729302024592</v>
      </c>
      <c r="G8" s="9">
        <f>VLOOKUP($C8,[1]!总属性参考数组,G$1,FALSE)*VLOOKUP($D$1,[1]!属性权重数组,G$1,FALSE)*$E8/$B$1</f>
        <v>91.086647727272791</v>
      </c>
      <c r="H8" s="9">
        <f>VLOOKUP($C8,[1]!总属性参考数组,H$1,FALSE)*VLOOKUP($D$1,[1]!属性权重数组,H$1,FALSE)*$E8/$B$1</f>
        <v>39.360376949740051</v>
      </c>
      <c r="I8" s="9">
        <f>VLOOKUP($C8,[1]!总属性参考数组,I$1,FALSE)*VLOOKUP($D$1,[1]!属性权重数组,I$1,FALSE)*$E8/$B$1</f>
        <v>0</v>
      </c>
      <c r="J8" s="9">
        <f>VLOOKUP($C8,[1]!总属性参考数组,J$1,FALSE)*VLOOKUP($D$1,[1]!属性权重数组,J$1,FALSE)*$E8/$B$1</f>
        <v>0</v>
      </c>
      <c r="K8" s="9">
        <f>VLOOKUP($C8,[1]!总属性参考数组,K$1,FALSE)*VLOOKUP($D$1,[1]!属性权重数组,K$1,FALSE)*$E8/$B$1</f>
        <v>0</v>
      </c>
      <c r="L8" s="9">
        <f>VLOOKUP($C8,[1]!总属性参考数组,L$1,FALSE)*VLOOKUP($D$1,[1]!属性权重数组,L$1,FALSE)*$E8/$B$1</f>
        <v>0</v>
      </c>
      <c r="M8" s="9">
        <f>VLOOKUP($C8,[1]!总属性参考数组,M$1,FALSE)*VLOOKUP($D$1,[1]!属性权重数组,M$1,FALSE)*$E8/$B$1</f>
        <v>0</v>
      </c>
      <c r="N8" s="9">
        <f>VLOOKUP($C8,[1]!总属性参考数组,N$1,FALSE)*VLOOKUP($D$1,[1]!属性权重数组,N$1,FALSE)*$E8/$B$1</f>
        <v>0</v>
      </c>
      <c r="O8" s="9">
        <f>VLOOKUP($C8,[1]!总属性参考数组,O$1,FALSE)*VLOOKUP($D$1,[1]!属性权重数组,O$1,FALSE)*$E8/$B$1</f>
        <v>0</v>
      </c>
      <c r="P8" s="2">
        <f t="shared" si="0"/>
        <v>3</v>
      </c>
      <c r="Q8" s="2" t="str">
        <f t="array" aca="1" ref="Q8" ca="1">IF(ISERROR(OFFSET($E$2,0,SMALL(IF($F8:$O8&gt;0,COLUMN($A:$J),99999),Q$1))),0,OFFSET($E$2,0,SMALL(IF($F8:$O8&gt;0,COLUMN($A:$J),99999),Q$1)))</f>
        <v>生命</v>
      </c>
      <c r="R8" s="2">
        <f t="array" aca="1" ref="R8" ca="1">IF(ISERROR(OFFSET($E8,0,SMALL(IF($F8:$O8&gt;0,COLUMN($A:$J),99999),R$1))),0,OFFSET($E8,0,SMALL(IF($F8:$O8&gt;0,COLUMN($A:$J),99999),R$1)))</f>
        <v>1632.3729302024592</v>
      </c>
      <c r="S8" s="2" t="str">
        <f t="array" aca="1" ref="S8" ca="1">IF(ISERROR(OFFSET($E$2,0,SMALL(IF($F8:$O8&gt;0,COLUMN($A:$J),99999),S$1))),0,OFFSET($E$2,0,SMALL(IF($F8:$O8&gt;0,COLUMN($A:$J),99999),S$1)))</f>
        <v>攻击</v>
      </c>
      <c r="T8" s="2">
        <f t="array" aca="1" ref="T8" ca="1">IF(ISERROR(OFFSET($E8,0,SMALL(IF($F8:$O8&gt;0,COLUMN($A:$J),99999),T$1))),0,OFFSET($E8,0,SMALL(IF($F8:$O8&gt;0,COLUMN($A:$J),99999),T$1)))</f>
        <v>91.086647727272791</v>
      </c>
      <c r="U8" s="2" t="str">
        <f t="array" aca="1" ref="U8" ca="1">IF(ISERROR(OFFSET($E$2,0,SMALL(IF($F8:$O8&gt;0,COLUMN($A:$J),99999),U$1))),0,OFFSET($E$2,0,SMALL(IF($F8:$O8&gt;0,COLUMN($A:$J),99999),U$1)))</f>
        <v>防御</v>
      </c>
      <c r="V8" s="2">
        <f t="array" aca="1" ref="V8" ca="1">IF(ISERROR(OFFSET($E8,0,SMALL(IF($F8:$O8&gt;0,COLUMN($A:$J),99999),V$1))),0,OFFSET($E8,0,SMALL(IF($F8:$O8&gt;0,COLUMN($A:$J),99999),V$1)))</f>
        <v>39.360376949740051</v>
      </c>
      <c r="W8" s="2">
        <f t="array" aca="1" ref="W8" ca="1">IF(ISERROR(OFFSET($E$2,0,SMALL(IF($F8:$O8&gt;0,COLUMN($A:$J),99999),W$1))),0,OFFSET($E$2,0,SMALL(IF($F8:$O8&gt;0,COLUMN($A:$J),99999),W$1)))</f>
        <v>0</v>
      </c>
      <c r="X8" s="2">
        <f t="array" aca="1" ref="X8" ca="1">IF(ISERROR(OFFSET($E8,0,SMALL(IF($F8:$O8&gt;0,COLUMN($A:$J),99999),X$1))),0,OFFSET($E8,0,SMALL(IF($F8:$O8&gt;0,COLUMN($A:$J),99999),X$1)))</f>
        <v>0</v>
      </c>
      <c r="Y8" s="2">
        <f t="array" aca="1" ref="Y8" ca="1">IF(ISERROR(OFFSET($E$2,0,SMALL(IF($F8:$O8&gt;0,COLUMN($A:$J),99999),Y$1))),0,OFFSET($E$2,0,SMALL(IF($F8:$O8&gt;0,COLUMN($A:$J),99999),Y$1)))</f>
        <v>0</v>
      </c>
      <c r="Z8" s="2">
        <f t="array" aca="1" ref="Z8" ca="1">IF(ISERROR(OFFSET($E8,0,SMALL(IF($F8:$O8&gt;0,COLUMN($A:$J),99999),Z$1))),0,OFFSET($E8,0,SMALL(IF($F8:$O8&gt;0,COLUMN($A:$J),99999),Z$1)))</f>
        <v>0</v>
      </c>
      <c r="AA8" s="2">
        <f t="array" aca="1" ref="AA8" ca="1">IF(ISERROR(OFFSET($E$2,0,SMALL(IF($F8:$O8&gt;0,COLUMN($A:$J),99999),AA$1))),0,OFFSET($E$2,0,SMALL(IF($F8:$O8&gt;0,COLUMN($A:$J),99999),AA$1)))</f>
        <v>0</v>
      </c>
      <c r="AB8" s="2">
        <f t="array" aca="1" ref="AB8" ca="1">IF(ISERROR(OFFSET($E8,0,SMALL(IF($F8:$O8&gt;0,COLUMN($A:$J),99999),AB$1))),0,OFFSET($E8,0,SMALL(IF($F8:$O8&gt;0,COLUMN($A:$J),99999),AB$1)))</f>
        <v>0</v>
      </c>
      <c r="AC8" s="2">
        <f t="array" aca="1" ref="AC8" ca="1">IF(ISERROR(OFFSET($E$2,0,SMALL(IF($F8:$O8&gt;0,COLUMN($A:$J),99999),AC$1))),0,OFFSET($E$2,0,SMALL(IF($F8:$O8&gt;0,COLUMN($A:$J),99999),AC$1)))</f>
        <v>0</v>
      </c>
      <c r="AD8" s="2">
        <f t="array" aca="1" ref="AD8" ca="1">IF(ISERROR(OFFSET($E8,0,SMALL(IF($F8:$O8&gt;0,COLUMN($A:$J),99999),AD$1))),0,OFFSET($E8,0,SMALL(IF($F8:$O8&gt;0,COLUMN($A:$J),99999),AD$1)))</f>
        <v>0</v>
      </c>
      <c r="AE8" s="2">
        <f t="array" aca="1" ref="AE8" ca="1">IF(ISERROR(OFFSET($E$2,0,SMALL(IF($F8:$O8&gt;0,COLUMN($A:$J),99999),AE$1))),0,OFFSET($E$2,0,SMALL(IF($F8:$O8&gt;0,COLUMN($A:$J),99999),AE$1)))</f>
        <v>0</v>
      </c>
      <c r="AF8" s="2">
        <f t="array" aca="1" ref="AF8" ca="1">IF(ISERROR(OFFSET($E8,0,SMALL(IF($F8:$O8&gt;0,COLUMN($A:$J),99999),AF$1))),0,OFFSET($E8,0,SMALL(IF($F8:$O8&gt;0,COLUMN($A:$J),99999),AF$1)))</f>
        <v>0</v>
      </c>
      <c r="AG8" s="2">
        <f t="array" aca="1" ref="AG8" ca="1">IF(ISERROR(OFFSET($E$2,0,SMALL(IF($F8:$O8&gt;0,COLUMN($A:$J),99999),AG$1))),0,OFFSET($E$2,0,SMALL(IF($F8:$O8&gt;0,COLUMN($A:$J),99999),AG$1)))</f>
        <v>0</v>
      </c>
      <c r="AH8" s="2">
        <f t="array" aca="1" ref="AH8" ca="1">IF(ISERROR(OFFSET($E8,0,SMALL(IF($F8:$O8&gt;0,COLUMN($A:$J),99999),AH$1))),0,OFFSET($E8,0,SMALL(IF($F8:$O8&gt;0,COLUMN($A:$J),99999),AH$1)))</f>
        <v>0</v>
      </c>
      <c r="AI8" s="2">
        <f t="array" aca="1" ref="AI8" ca="1">IF(ISERROR(OFFSET($E$2,0,SMALL(IF($F8:$O8&gt;0,COLUMN($A:$J),99999),AI$1))),0,OFFSET($E$2,0,SMALL(IF($F8:$O8&gt;0,COLUMN($A:$J),99999),AI$1)))</f>
        <v>0</v>
      </c>
      <c r="AJ8" s="2">
        <f t="array" aca="1" ref="AJ8" ca="1">IF(ISERROR(OFFSET($E8,0,SMALL(IF($F8:$O8&gt;0,COLUMN($A:$J),99999),AJ$1))),0,OFFSET($E8,0,SMALL(IF($F8:$O8&gt;0,COLUMN($A:$J),99999),AJ$1)))</f>
        <v>0</v>
      </c>
    </row>
    <row r="9" spans="1:36" x14ac:dyDescent="0.15">
      <c r="A9" s="5">
        <v>59007</v>
      </c>
      <c r="B9" s="5" t="s">
        <v>61</v>
      </c>
      <c r="C9" s="10">
        <v>60</v>
      </c>
      <c r="D9" s="12">
        <v>6</v>
      </c>
      <c r="E9" s="4">
        <f>VLOOKUP(D9,[1]称号规划!$D$4:$F$14,3,FALSE)</f>
        <v>0.14467592592592596</v>
      </c>
      <c r="F9" s="9">
        <f>VLOOKUP($C9,[1]!总属性参考数组,F$1,FALSE)*VLOOKUP($D$1,[1]!属性权重数组,F$1,FALSE)*$E9/$B$1</f>
        <v>2928.0797790082952</v>
      </c>
      <c r="G9" s="9">
        <f>VLOOKUP($C9,[1]!总属性参考数组,G$1,FALSE)*VLOOKUP($D$1,[1]!属性权重数组,G$1,FALSE)*$E9/$B$1</f>
        <v>145.73863636363646</v>
      </c>
      <c r="H9" s="9">
        <f>VLOOKUP($C9,[1]!总属性参考数组,H$1,FALSE)*VLOOKUP($D$1,[1]!属性权重数组,H$1,FALSE)*$E9/$B$1</f>
        <v>62.976603119584091</v>
      </c>
      <c r="I9" s="9">
        <f>VLOOKUP($C9,[1]!总属性参考数组,I$1,FALSE)*VLOOKUP($D$1,[1]!属性权重数组,I$1,FALSE)*$E9/$B$1</f>
        <v>0</v>
      </c>
      <c r="J9" s="9">
        <f>VLOOKUP($C9,[1]!总属性参考数组,J$1,FALSE)*VLOOKUP($D$1,[1]!属性权重数组,J$1,FALSE)*$E9/$B$1</f>
        <v>0</v>
      </c>
      <c r="K9" s="9">
        <f>VLOOKUP($C9,[1]!总属性参考数组,K$1,FALSE)*VLOOKUP($D$1,[1]!属性权重数组,K$1,FALSE)*$E9/$B$1</f>
        <v>0</v>
      </c>
      <c r="L9" s="9">
        <f>VLOOKUP($C9,[1]!总属性参考数组,L$1,FALSE)*VLOOKUP($D$1,[1]!属性权重数组,L$1,FALSE)*$E9/$B$1</f>
        <v>0</v>
      </c>
      <c r="M9" s="9">
        <f>VLOOKUP($C9,[1]!总属性参考数组,M$1,FALSE)*VLOOKUP($D$1,[1]!属性权重数组,M$1,FALSE)*$E9/$B$1</f>
        <v>0</v>
      </c>
      <c r="N9" s="9">
        <f>VLOOKUP($C9,[1]!总属性参考数组,N$1,FALSE)*VLOOKUP($D$1,[1]!属性权重数组,N$1,FALSE)*$E9/$B$1</f>
        <v>0</v>
      </c>
      <c r="O9" s="9">
        <f>VLOOKUP($C9,[1]!总属性参考数组,O$1,FALSE)*VLOOKUP($D$1,[1]!属性权重数组,O$1,FALSE)*$E9/$B$1</f>
        <v>0</v>
      </c>
      <c r="P9" s="2">
        <f t="shared" si="0"/>
        <v>3</v>
      </c>
      <c r="Q9" s="2" t="str">
        <f t="array" aca="1" ref="Q9" ca="1">IF(ISERROR(OFFSET($E$2,0,SMALL(IF($F9:$O9&gt;0,COLUMN($A:$J),99999),Q$1))),0,OFFSET($E$2,0,SMALL(IF($F9:$O9&gt;0,COLUMN($A:$J),99999),Q$1)))</f>
        <v>生命</v>
      </c>
      <c r="R9" s="2">
        <f t="array" aca="1" ref="R9" ca="1">IF(ISERROR(OFFSET($E9,0,SMALL(IF($F9:$O9&gt;0,COLUMN($A:$J),99999),R$1))),0,OFFSET($E9,0,SMALL(IF($F9:$O9&gt;0,COLUMN($A:$J),99999),R$1)))</f>
        <v>2928.0797790082952</v>
      </c>
      <c r="S9" s="2" t="str">
        <f t="array" aca="1" ref="S9" ca="1">IF(ISERROR(OFFSET($E$2,0,SMALL(IF($F9:$O9&gt;0,COLUMN($A:$J),99999),S$1))),0,OFFSET($E$2,0,SMALL(IF($F9:$O9&gt;0,COLUMN($A:$J),99999),S$1)))</f>
        <v>攻击</v>
      </c>
      <c r="T9" s="2">
        <f t="array" aca="1" ref="T9" ca="1">IF(ISERROR(OFFSET($E9,0,SMALL(IF($F9:$O9&gt;0,COLUMN($A:$J),99999),T$1))),0,OFFSET($E9,0,SMALL(IF($F9:$O9&gt;0,COLUMN($A:$J),99999),T$1)))</f>
        <v>145.73863636363646</v>
      </c>
      <c r="U9" s="2" t="str">
        <f t="array" aca="1" ref="U9" ca="1">IF(ISERROR(OFFSET($E$2,0,SMALL(IF($F9:$O9&gt;0,COLUMN($A:$J),99999),U$1))),0,OFFSET($E$2,0,SMALL(IF($F9:$O9&gt;0,COLUMN($A:$J),99999),U$1)))</f>
        <v>防御</v>
      </c>
      <c r="V9" s="2">
        <f t="array" aca="1" ref="V9" ca="1">IF(ISERROR(OFFSET($E9,0,SMALL(IF($F9:$O9&gt;0,COLUMN($A:$J),99999),V$1))),0,OFFSET($E9,0,SMALL(IF($F9:$O9&gt;0,COLUMN($A:$J),99999),V$1)))</f>
        <v>62.976603119584091</v>
      </c>
      <c r="W9" s="2">
        <f t="array" aca="1" ref="W9" ca="1">IF(ISERROR(OFFSET($E$2,0,SMALL(IF($F9:$O9&gt;0,COLUMN($A:$J),99999),W$1))),0,OFFSET($E$2,0,SMALL(IF($F9:$O9&gt;0,COLUMN($A:$J),99999),W$1)))</f>
        <v>0</v>
      </c>
      <c r="X9" s="2">
        <f t="array" aca="1" ref="X9" ca="1">IF(ISERROR(OFFSET($E9,0,SMALL(IF($F9:$O9&gt;0,COLUMN($A:$J),99999),X$1))),0,OFFSET($E9,0,SMALL(IF($F9:$O9&gt;0,COLUMN($A:$J),99999),X$1)))</f>
        <v>0</v>
      </c>
      <c r="Y9" s="2">
        <f t="array" aca="1" ref="Y9" ca="1">IF(ISERROR(OFFSET($E$2,0,SMALL(IF($F9:$O9&gt;0,COLUMN($A:$J),99999),Y$1))),0,OFFSET($E$2,0,SMALL(IF($F9:$O9&gt;0,COLUMN($A:$J),99999),Y$1)))</f>
        <v>0</v>
      </c>
      <c r="Z9" s="2">
        <f t="array" aca="1" ref="Z9" ca="1">IF(ISERROR(OFFSET($E9,0,SMALL(IF($F9:$O9&gt;0,COLUMN($A:$J),99999),Z$1))),0,OFFSET($E9,0,SMALL(IF($F9:$O9&gt;0,COLUMN($A:$J),99999),Z$1)))</f>
        <v>0</v>
      </c>
      <c r="AA9" s="2">
        <f t="array" aca="1" ref="AA9" ca="1">IF(ISERROR(OFFSET($E$2,0,SMALL(IF($F9:$O9&gt;0,COLUMN($A:$J),99999),AA$1))),0,OFFSET($E$2,0,SMALL(IF($F9:$O9&gt;0,COLUMN($A:$J),99999),AA$1)))</f>
        <v>0</v>
      </c>
      <c r="AB9" s="2">
        <f t="array" aca="1" ref="AB9" ca="1">IF(ISERROR(OFFSET($E9,0,SMALL(IF($F9:$O9&gt;0,COLUMN($A:$J),99999),AB$1))),0,OFFSET($E9,0,SMALL(IF($F9:$O9&gt;0,COLUMN($A:$J),99999),AB$1)))</f>
        <v>0</v>
      </c>
      <c r="AC9" s="2">
        <f t="array" aca="1" ref="AC9" ca="1">IF(ISERROR(OFFSET($E$2,0,SMALL(IF($F9:$O9&gt;0,COLUMN($A:$J),99999),AC$1))),0,OFFSET($E$2,0,SMALL(IF($F9:$O9&gt;0,COLUMN($A:$J),99999),AC$1)))</f>
        <v>0</v>
      </c>
      <c r="AD9" s="2">
        <f t="array" aca="1" ref="AD9" ca="1">IF(ISERROR(OFFSET($E9,0,SMALL(IF($F9:$O9&gt;0,COLUMN($A:$J),99999),AD$1))),0,OFFSET($E9,0,SMALL(IF($F9:$O9&gt;0,COLUMN($A:$J),99999),AD$1)))</f>
        <v>0</v>
      </c>
      <c r="AE9" s="2">
        <f t="array" aca="1" ref="AE9" ca="1">IF(ISERROR(OFFSET($E$2,0,SMALL(IF($F9:$O9&gt;0,COLUMN($A:$J),99999),AE$1))),0,OFFSET($E$2,0,SMALL(IF($F9:$O9&gt;0,COLUMN($A:$J),99999),AE$1)))</f>
        <v>0</v>
      </c>
      <c r="AF9" s="2">
        <f t="array" aca="1" ref="AF9" ca="1">IF(ISERROR(OFFSET($E9,0,SMALL(IF($F9:$O9&gt;0,COLUMN($A:$J),99999),AF$1))),0,OFFSET($E9,0,SMALL(IF($F9:$O9&gt;0,COLUMN($A:$J),99999),AF$1)))</f>
        <v>0</v>
      </c>
      <c r="AG9" s="2">
        <f t="array" aca="1" ref="AG9" ca="1">IF(ISERROR(OFFSET($E$2,0,SMALL(IF($F9:$O9&gt;0,COLUMN($A:$J),99999),AG$1))),0,OFFSET($E$2,0,SMALL(IF($F9:$O9&gt;0,COLUMN($A:$J),99999),AG$1)))</f>
        <v>0</v>
      </c>
      <c r="AH9" s="2">
        <f t="array" aca="1" ref="AH9" ca="1">IF(ISERROR(OFFSET($E9,0,SMALL(IF($F9:$O9&gt;0,COLUMN($A:$J),99999),AH$1))),0,OFFSET($E9,0,SMALL(IF($F9:$O9&gt;0,COLUMN($A:$J),99999),AH$1)))</f>
        <v>0</v>
      </c>
      <c r="AI9" s="2">
        <f t="array" aca="1" ref="AI9" ca="1">IF(ISERROR(OFFSET($E$2,0,SMALL(IF($F9:$O9&gt;0,COLUMN($A:$J),99999),AI$1))),0,OFFSET($E$2,0,SMALL(IF($F9:$O9&gt;0,COLUMN($A:$J),99999),AI$1)))</f>
        <v>0</v>
      </c>
      <c r="AJ9" s="2">
        <f t="array" aca="1" ref="AJ9" ca="1">IF(ISERROR(OFFSET($E9,0,SMALL(IF($F9:$O9&gt;0,COLUMN($A:$J),99999),AJ$1))),0,OFFSET($E9,0,SMALL(IF($F9:$O9&gt;0,COLUMN($A:$J),99999),AJ$1)))</f>
        <v>0</v>
      </c>
    </row>
    <row r="10" spans="1:36" x14ac:dyDescent="0.15">
      <c r="A10" s="5">
        <v>59008</v>
      </c>
      <c r="B10" s="5" t="s">
        <v>62</v>
      </c>
      <c r="C10" s="10">
        <v>50</v>
      </c>
      <c r="D10" s="12">
        <v>4</v>
      </c>
      <c r="E10" s="4">
        <f>VLOOKUP(D10,[1]称号规划!$D$4:$F$14,3,FALSE)</f>
        <v>0.10046939300411525</v>
      </c>
      <c r="F10" s="9">
        <f>VLOOKUP($C10,[1]!总属性参考数组,F$1,FALSE)*VLOOKUP($D$1,[1]!属性权重数组,F$1,FALSE)*$E10/$B$1</f>
        <v>1360.310775168716</v>
      </c>
      <c r="G10" s="9">
        <f>VLOOKUP($C10,[1]!总属性参考数组,G$1,FALSE)*VLOOKUP($D$1,[1]!属性权重数组,G$1,FALSE)*$E10/$B$1</f>
        <v>75.905539772727323</v>
      </c>
      <c r="H10" s="9">
        <f>VLOOKUP($C10,[1]!总属性参考数组,H$1,FALSE)*VLOOKUP($D$1,[1]!属性权重数组,H$1,FALSE)*$E10/$B$1</f>
        <v>32.800314124783384</v>
      </c>
      <c r="I10" s="9">
        <f>VLOOKUP($C10,[1]!总属性参考数组,I$1,FALSE)*VLOOKUP($D$1,[1]!属性权重数组,I$1,FALSE)*$E10/$B$1</f>
        <v>0</v>
      </c>
      <c r="J10" s="9">
        <f>VLOOKUP($C10,[1]!总属性参考数组,J$1,FALSE)*VLOOKUP($D$1,[1]!属性权重数组,J$1,FALSE)*$E10/$B$1</f>
        <v>0</v>
      </c>
      <c r="K10" s="9">
        <f>VLOOKUP($C10,[1]!总属性参考数组,K$1,FALSE)*VLOOKUP($D$1,[1]!属性权重数组,K$1,FALSE)*$E10/$B$1</f>
        <v>0</v>
      </c>
      <c r="L10" s="9">
        <f>VLOOKUP($C10,[1]!总属性参考数组,L$1,FALSE)*VLOOKUP($D$1,[1]!属性权重数组,L$1,FALSE)*$E10/$B$1</f>
        <v>0</v>
      </c>
      <c r="M10" s="9">
        <f>VLOOKUP($C10,[1]!总属性参考数组,M$1,FALSE)*VLOOKUP($D$1,[1]!属性权重数组,M$1,FALSE)*$E10/$B$1</f>
        <v>0</v>
      </c>
      <c r="N10" s="9">
        <f>VLOOKUP($C10,[1]!总属性参考数组,N$1,FALSE)*VLOOKUP($D$1,[1]!属性权重数组,N$1,FALSE)*$E10/$B$1</f>
        <v>0</v>
      </c>
      <c r="O10" s="9">
        <f>VLOOKUP($C10,[1]!总属性参考数组,O$1,FALSE)*VLOOKUP($D$1,[1]!属性权重数组,O$1,FALSE)*$E10/$B$1</f>
        <v>0</v>
      </c>
      <c r="P10" s="2">
        <f t="shared" si="0"/>
        <v>3</v>
      </c>
      <c r="Q10" s="2" t="str">
        <f t="array" aca="1" ref="Q10" ca="1">IF(ISERROR(OFFSET($E$2,0,SMALL(IF($F10:$O10&gt;0,COLUMN($A:$J),99999),Q$1))),0,OFFSET($E$2,0,SMALL(IF($F10:$O10&gt;0,COLUMN($A:$J),99999),Q$1)))</f>
        <v>生命</v>
      </c>
      <c r="R10" s="2">
        <f t="array" aca="1" ref="R10" ca="1">IF(ISERROR(OFFSET($E10,0,SMALL(IF($F10:$O10&gt;0,COLUMN($A:$J),99999),R$1))),0,OFFSET($E10,0,SMALL(IF($F10:$O10&gt;0,COLUMN($A:$J),99999),R$1)))</f>
        <v>1360.310775168716</v>
      </c>
      <c r="S10" s="2" t="str">
        <f t="array" aca="1" ref="S10" ca="1">IF(ISERROR(OFFSET($E$2,0,SMALL(IF($F10:$O10&gt;0,COLUMN($A:$J),99999),S$1))),0,OFFSET($E$2,0,SMALL(IF($F10:$O10&gt;0,COLUMN($A:$J),99999),S$1)))</f>
        <v>攻击</v>
      </c>
      <c r="T10" s="2">
        <f t="array" aca="1" ref="T10" ca="1">IF(ISERROR(OFFSET($E10,0,SMALL(IF($F10:$O10&gt;0,COLUMN($A:$J),99999),T$1))),0,OFFSET($E10,0,SMALL(IF($F10:$O10&gt;0,COLUMN($A:$J),99999),T$1)))</f>
        <v>75.905539772727323</v>
      </c>
      <c r="U10" s="2" t="str">
        <f t="array" aca="1" ref="U10" ca="1">IF(ISERROR(OFFSET($E$2,0,SMALL(IF($F10:$O10&gt;0,COLUMN($A:$J),99999),U$1))),0,OFFSET($E$2,0,SMALL(IF($F10:$O10&gt;0,COLUMN($A:$J),99999),U$1)))</f>
        <v>防御</v>
      </c>
      <c r="V10" s="2">
        <f t="array" aca="1" ref="V10" ca="1">IF(ISERROR(OFFSET($E10,0,SMALL(IF($F10:$O10&gt;0,COLUMN($A:$J),99999),V$1))),0,OFFSET($E10,0,SMALL(IF($F10:$O10&gt;0,COLUMN($A:$J),99999),V$1)))</f>
        <v>32.800314124783384</v>
      </c>
      <c r="W10" s="2">
        <f t="array" aca="1" ref="W10" ca="1">IF(ISERROR(OFFSET($E$2,0,SMALL(IF($F10:$O10&gt;0,COLUMN($A:$J),99999),W$1))),0,OFFSET($E$2,0,SMALL(IF($F10:$O10&gt;0,COLUMN($A:$J),99999),W$1)))</f>
        <v>0</v>
      </c>
      <c r="X10" s="2">
        <f t="array" aca="1" ref="X10" ca="1">IF(ISERROR(OFFSET($E10,0,SMALL(IF($F10:$O10&gt;0,COLUMN($A:$J),99999),X$1))),0,OFFSET($E10,0,SMALL(IF($F10:$O10&gt;0,COLUMN($A:$J),99999),X$1)))</f>
        <v>0</v>
      </c>
      <c r="Y10" s="2">
        <f t="array" aca="1" ref="Y10" ca="1">IF(ISERROR(OFFSET($E$2,0,SMALL(IF($F10:$O10&gt;0,COLUMN($A:$J),99999),Y$1))),0,OFFSET($E$2,0,SMALL(IF($F10:$O10&gt;0,COLUMN($A:$J),99999),Y$1)))</f>
        <v>0</v>
      </c>
      <c r="Z10" s="2">
        <f t="array" aca="1" ref="Z10" ca="1">IF(ISERROR(OFFSET($E10,0,SMALL(IF($F10:$O10&gt;0,COLUMN($A:$J),99999),Z$1))),0,OFFSET($E10,0,SMALL(IF($F10:$O10&gt;0,COLUMN($A:$J),99999),Z$1)))</f>
        <v>0</v>
      </c>
      <c r="AA10" s="2">
        <f t="array" aca="1" ref="AA10" ca="1">IF(ISERROR(OFFSET($E$2,0,SMALL(IF($F10:$O10&gt;0,COLUMN($A:$J),99999),AA$1))),0,OFFSET($E$2,0,SMALL(IF($F10:$O10&gt;0,COLUMN($A:$J),99999),AA$1)))</f>
        <v>0</v>
      </c>
      <c r="AB10" s="2">
        <f t="array" aca="1" ref="AB10" ca="1">IF(ISERROR(OFFSET($E10,0,SMALL(IF($F10:$O10&gt;0,COLUMN($A:$J),99999),AB$1))),0,OFFSET($E10,0,SMALL(IF($F10:$O10&gt;0,COLUMN($A:$J),99999),AB$1)))</f>
        <v>0</v>
      </c>
      <c r="AC10" s="2">
        <f t="array" aca="1" ref="AC10" ca="1">IF(ISERROR(OFFSET($E$2,0,SMALL(IF($F10:$O10&gt;0,COLUMN($A:$J),99999),AC$1))),0,OFFSET($E$2,0,SMALL(IF($F10:$O10&gt;0,COLUMN($A:$J),99999),AC$1)))</f>
        <v>0</v>
      </c>
      <c r="AD10" s="2">
        <f t="array" aca="1" ref="AD10" ca="1">IF(ISERROR(OFFSET($E10,0,SMALL(IF($F10:$O10&gt;0,COLUMN($A:$J),99999),AD$1))),0,OFFSET($E10,0,SMALL(IF($F10:$O10&gt;0,COLUMN($A:$J),99999),AD$1)))</f>
        <v>0</v>
      </c>
      <c r="AE10" s="2">
        <f t="array" aca="1" ref="AE10" ca="1">IF(ISERROR(OFFSET($E$2,0,SMALL(IF($F10:$O10&gt;0,COLUMN($A:$J),99999),AE$1))),0,OFFSET($E$2,0,SMALL(IF($F10:$O10&gt;0,COLUMN($A:$J),99999),AE$1)))</f>
        <v>0</v>
      </c>
      <c r="AF10" s="2">
        <f t="array" aca="1" ref="AF10" ca="1">IF(ISERROR(OFFSET($E10,0,SMALL(IF($F10:$O10&gt;0,COLUMN($A:$J),99999),AF$1))),0,OFFSET($E10,0,SMALL(IF($F10:$O10&gt;0,COLUMN($A:$J),99999),AF$1)))</f>
        <v>0</v>
      </c>
      <c r="AG10" s="2">
        <f t="array" aca="1" ref="AG10" ca="1">IF(ISERROR(OFFSET($E$2,0,SMALL(IF($F10:$O10&gt;0,COLUMN($A:$J),99999),AG$1))),0,OFFSET($E$2,0,SMALL(IF($F10:$O10&gt;0,COLUMN($A:$J),99999),AG$1)))</f>
        <v>0</v>
      </c>
      <c r="AH10" s="2">
        <f t="array" aca="1" ref="AH10" ca="1">IF(ISERROR(OFFSET($E10,0,SMALL(IF($F10:$O10&gt;0,COLUMN($A:$J),99999),AH$1))),0,OFFSET($E10,0,SMALL(IF($F10:$O10&gt;0,COLUMN($A:$J),99999),AH$1)))</f>
        <v>0</v>
      </c>
      <c r="AI10" s="2">
        <f t="array" aca="1" ref="AI10" ca="1">IF(ISERROR(OFFSET($E$2,0,SMALL(IF($F10:$O10&gt;0,COLUMN($A:$J),99999),AI$1))),0,OFFSET($E$2,0,SMALL(IF($F10:$O10&gt;0,COLUMN($A:$J),99999),AI$1)))</f>
        <v>0</v>
      </c>
      <c r="AJ10" s="2">
        <f t="array" aca="1" ref="AJ10" ca="1">IF(ISERROR(OFFSET($E10,0,SMALL(IF($F10:$O10&gt;0,COLUMN($A:$J),99999),AJ$1))),0,OFFSET($E10,0,SMALL(IF($F10:$O10&gt;0,COLUMN($A:$J),99999),AJ$1)))</f>
        <v>0</v>
      </c>
    </row>
    <row r="11" spans="1:36" x14ac:dyDescent="0.15">
      <c r="A11" s="5">
        <v>59009</v>
      </c>
      <c r="B11" s="5" t="s">
        <v>85</v>
      </c>
      <c r="C11" s="10">
        <v>60</v>
      </c>
      <c r="D11" s="12">
        <v>5</v>
      </c>
      <c r="E11" s="4">
        <f>VLOOKUP(D11,[1]称号规划!$D$4:$F$14,3,FALSE)</f>
        <v>0.12056327160493829</v>
      </c>
      <c r="F11" s="9">
        <f>VLOOKUP($C11,[1]!总属性参考数组,F$1,FALSE)*VLOOKUP($D$1,[1]!属性权重数组,F$1,FALSE)*$E11/$B$1</f>
        <v>2440.066482506913</v>
      </c>
      <c r="G11" s="9">
        <f>VLOOKUP($C11,[1]!总属性参考数组,G$1,FALSE)*VLOOKUP($D$1,[1]!属性权重数组,G$1,FALSE)*$E11/$B$1</f>
        <v>121.4488636363637</v>
      </c>
      <c r="H11" s="9">
        <f>VLOOKUP($C11,[1]!总属性参考数组,H$1,FALSE)*VLOOKUP($D$1,[1]!属性权重数组,H$1,FALSE)*$E11/$B$1</f>
        <v>52.480502599653406</v>
      </c>
      <c r="I11" s="9">
        <f>VLOOKUP($C11,[1]!总属性参考数组,I$1,FALSE)*VLOOKUP($D$1,[1]!属性权重数组,I$1,FALSE)*$E11/$B$1</f>
        <v>0</v>
      </c>
      <c r="J11" s="9">
        <f>VLOOKUP($C11,[1]!总属性参考数组,J$1,FALSE)*VLOOKUP($D$1,[1]!属性权重数组,J$1,FALSE)*$E11/$B$1</f>
        <v>0</v>
      </c>
      <c r="K11" s="9">
        <f>VLOOKUP($C11,[1]!总属性参考数组,K$1,FALSE)*VLOOKUP($D$1,[1]!属性权重数组,K$1,FALSE)*$E11/$B$1</f>
        <v>0</v>
      </c>
      <c r="L11" s="9">
        <f>VLOOKUP($C11,[1]!总属性参考数组,L$1,FALSE)*VLOOKUP($D$1,[1]!属性权重数组,L$1,FALSE)*$E11/$B$1</f>
        <v>0</v>
      </c>
      <c r="M11" s="9">
        <f>VLOOKUP($C11,[1]!总属性参考数组,M$1,FALSE)*VLOOKUP($D$1,[1]!属性权重数组,M$1,FALSE)*$E11/$B$1</f>
        <v>0</v>
      </c>
      <c r="N11" s="9">
        <f>VLOOKUP($C11,[1]!总属性参考数组,N$1,FALSE)*VLOOKUP($D$1,[1]!属性权重数组,N$1,FALSE)*$E11/$B$1</f>
        <v>0</v>
      </c>
      <c r="O11" s="9">
        <f>VLOOKUP($C11,[1]!总属性参考数组,O$1,FALSE)*VLOOKUP($D$1,[1]!属性权重数组,O$1,FALSE)*$E11/$B$1</f>
        <v>0</v>
      </c>
      <c r="P11" s="2">
        <f t="shared" si="0"/>
        <v>3</v>
      </c>
      <c r="Q11" s="2" t="str">
        <f t="array" aca="1" ref="Q11" ca="1">IF(ISERROR(OFFSET($E$2,0,SMALL(IF($F11:$O11&gt;0,COLUMN($A:$J),99999),Q$1))),0,OFFSET($E$2,0,SMALL(IF($F11:$O11&gt;0,COLUMN($A:$J),99999),Q$1)))</f>
        <v>生命</v>
      </c>
      <c r="R11" s="2">
        <f t="array" aca="1" ref="R11" ca="1">IF(ISERROR(OFFSET($E11,0,SMALL(IF($F11:$O11&gt;0,COLUMN($A:$J),99999),R$1))),0,OFFSET($E11,0,SMALL(IF($F11:$O11&gt;0,COLUMN($A:$J),99999),R$1)))</f>
        <v>2440.066482506913</v>
      </c>
      <c r="S11" s="2" t="str">
        <f t="array" aca="1" ref="S11" ca="1">IF(ISERROR(OFFSET($E$2,0,SMALL(IF($F11:$O11&gt;0,COLUMN($A:$J),99999),S$1))),0,OFFSET($E$2,0,SMALL(IF($F11:$O11&gt;0,COLUMN($A:$J),99999),S$1)))</f>
        <v>攻击</v>
      </c>
      <c r="T11" s="2">
        <f t="array" aca="1" ref="T11" ca="1">IF(ISERROR(OFFSET($E11,0,SMALL(IF($F11:$O11&gt;0,COLUMN($A:$J),99999),T$1))),0,OFFSET($E11,0,SMALL(IF($F11:$O11&gt;0,COLUMN($A:$J),99999),T$1)))</f>
        <v>121.4488636363637</v>
      </c>
      <c r="U11" s="2" t="str">
        <f t="array" aca="1" ref="U11" ca="1">IF(ISERROR(OFFSET($E$2,0,SMALL(IF($F11:$O11&gt;0,COLUMN($A:$J),99999),U$1))),0,OFFSET($E$2,0,SMALL(IF($F11:$O11&gt;0,COLUMN($A:$J),99999),U$1)))</f>
        <v>防御</v>
      </c>
      <c r="V11" s="2">
        <f t="array" aca="1" ref="V11" ca="1">IF(ISERROR(OFFSET($E11,0,SMALL(IF($F11:$O11&gt;0,COLUMN($A:$J),99999),V$1))),0,OFFSET($E11,0,SMALL(IF($F11:$O11&gt;0,COLUMN($A:$J),99999),V$1)))</f>
        <v>52.480502599653406</v>
      </c>
      <c r="W11" s="2">
        <f t="array" aca="1" ref="W11" ca="1">IF(ISERROR(OFFSET($E$2,0,SMALL(IF($F11:$O11&gt;0,COLUMN($A:$J),99999),W$1))),0,OFFSET($E$2,0,SMALL(IF($F11:$O11&gt;0,COLUMN($A:$J),99999),W$1)))</f>
        <v>0</v>
      </c>
      <c r="X11" s="2">
        <f t="array" aca="1" ref="X11" ca="1">IF(ISERROR(OFFSET($E11,0,SMALL(IF($F11:$O11&gt;0,COLUMN($A:$J),99999),X$1))),0,OFFSET($E11,0,SMALL(IF($F11:$O11&gt;0,COLUMN($A:$J),99999),X$1)))</f>
        <v>0</v>
      </c>
      <c r="Y11" s="2">
        <f t="array" aca="1" ref="Y11" ca="1">IF(ISERROR(OFFSET($E$2,0,SMALL(IF($F11:$O11&gt;0,COLUMN($A:$J),99999),Y$1))),0,OFFSET($E$2,0,SMALL(IF($F11:$O11&gt;0,COLUMN($A:$J),99999),Y$1)))</f>
        <v>0</v>
      </c>
      <c r="Z11" s="2">
        <f t="array" aca="1" ref="Z11" ca="1">IF(ISERROR(OFFSET($E11,0,SMALL(IF($F11:$O11&gt;0,COLUMN($A:$J),99999),Z$1))),0,OFFSET($E11,0,SMALL(IF($F11:$O11&gt;0,COLUMN($A:$J),99999),Z$1)))</f>
        <v>0</v>
      </c>
      <c r="AA11" s="2">
        <f t="array" aca="1" ref="AA11" ca="1">IF(ISERROR(OFFSET($E$2,0,SMALL(IF($F11:$O11&gt;0,COLUMN($A:$J),99999),AA$1))),0,OFFSET($E$2,0,SMALL(IF($F11:$O11&gt;0,COLUMN($A:$J),99999),AA$1)))</f>
        <v>0</v>
      </c>
      <c r="AB11" s="2">
        <f t="array" aca="1" ref="AB11" ca="1">IF(ISERROR(OFFSET($E11,0,SMALL(IF($F11:$O11&gt;0,COLUMN($A:$J),99999),AB$1))),0,OFFSET($E11,0,SMALL(IF($F11:$O11&gt;0,COLUMN($A:$J),99999),AB$1)))</f>
        <v>0</v>
      </c>
      <c r="AC11" s="2">
        <f t="array" aca="1" ref="AC11" ca="1">IF(ISERROR(OFFSET($E$2,0,SMALL(IF($F11:$O11&gt;0,COLUMN($A:$J),99999),AC$1))),0,OFFSET($E$2,0,SMALL(IF($F11:$O11&gt;0,COLUMN($A:$J),99999),AC$1)))</f>
        <v>0</v>
      </c>
      <c r="AD11" s="2">
        <f t="array" aca="1" ref="AD11" ca="1">IF(ISERROR(OFFSET($E11,0,SMALL(IF($F11:$O11&gt;0,COLUMN($A:$J),99999),AD$1))),0,OFFSET($E11,0,SMALL(IF($F11:$O11&gt;0,COLUMN($A:$J),99999),AD$1)))</f>
        <v>0</v>
      </c>
      <c r="AE11" s="2">
        <f t="array" aca="1" ref="AE11" ca="1">IF(ISERROR(OFFSET($E$2,0,SMALL(IF($F11:$O11&gt;0,COLUMN($A:$J),99999),AE$1))),0,OFFSET($E$2,0,SMALL(IF($F11:$O11&gt;0,COLUMN($A:$J),99999),AE$1)))</f>
        <v>0</v>
      </c>
      <c r="AF11" s="2">
        <f t="array" aca="1" ref="AF11" ca="1">IF(ISERROR(OFFSET($E11,0,SMALL(IF($F11:$O11&gt;0,COLUMN($A:$J),99999),AF$1))),0,OFFSET($E11,0,SMALL(IF($F11:$O11&gt;0,COLUMN($A:$J),99999),AF$1)))</f>
        <v>0</v>
      </c>
      <c r="AG11" s="2">
        <f t="array" aca="1" ref="AG11" ca="1">IF(ISERROR(OFFSET($E$2,0,SMALL(IF($F11:$O11&gt;0,COLUMN($A:$J),99999),AG$1))),0,OFFSET($E$2,0,SMALL(IF($F11:$O11&gt;0,COLUMN($A:$J),99999),AG$1)))</f>
        <v>0</v>
      </c>
      <c r="AH11" s="2">
        <f t="array" aca="1" ref="AH11" ca="1">IF(ISERROR(OFFSET($E11,0,SMALL(IF($F11:$O11&gt;0,COLUMN($A:$J),99999),AH$1))),0,OFFSET($E11,0,SMALL(IF($F11:$O11&gt;0,COLUMN($A:$J),99999),AH$1)))</f>
        <v>0</v>
      </c>
      <c r="AI11" s="2">
        <f t="array" aca="1" ref="AI11" ca="1">IF(ISERROR(OFFSET($E$2,0,SMALL(IF($F11:$O11&gt;0,COLUMN($A:$J),99999),AI$1))),0,OFFSET($E$2,0,SMALL(IF($F11:$O11&gt;0,COLUMN($A:$J),99999),AI$1)))</f>
        <v>0</v>
      </c>
      <c r="AJ11" s="2">
        <f t="array" aca="1" ref="AJ11" ca="1">IF(ISERROR(OFFSET($E11,0,SMALL(IF($F11:$O11&gt;0,COLUMN($A:$J),99999),AJ$1))),0,OFFSET($E11,0,SMALL(IF($F11:$O11&gt;0,COLUMN($A:$J),99999),AJ$1)))</f>
        <v>0</v>
      </c>
    </row>
    <row r="12" spans="1:36" x14ac:dyDescent="0.15">
      <c r="A12" s="5">
        <v>59010</v>
      </c>
      <c r="B12" s="5" t="s">
        <v>86</v>
      </c>
      <c r="C12" s="10">
        <v>70</v>
      </c>
      <c r="D12" s="12">
        <v>6</v>
      </c>
      <c r="E12" s="4">
        <f>VLOOKUP(D12,[1]称号规划!$D$4:$F$14,3,FALSE)</f>
        <v>0.14467592592592596</v>
      </c>
      <c r="F12" s="9">
        <f>VLOOKUP($C12,[1]!总属性参考数组,F$1,FALSE)*VLOOKUP($D$1,[1]!属性权重数组,F$1,FALSE)*$E12/$B$1</f>
        <v>4164.3067768938763</v>
      </c>
      <c r="G12" s="9">
        <f>VLOOKUP($C12,[1]!总属性参考数组,G$1,FALSE)*VLOOKUP($D$1,[1]!属性权重数组,G$1,FALSE)*$E12/$B$1</f>
        <v>189.31734625668474</v>
      </c>
      <c r="H12" s="9">
        <f>VLOOKUP($C12,[1]!总属性参考数组,H$1,FALSE)*VLOOKUP($D$1,[1]!属性权重数组,H$1,FALSE)*$E12/$B$1</f>
        <v>81.807842287695067</v>
      </c>
      <c r="I12" s="9">
        <f>VLOOKUP($C12,[1]!总属性参考数组,I$1,FALSE)*VLOOKUP($D$1,[1]!属性权重数组,I$1,FALSE)*$E12/$B$1</f>
        <v>0</v>
      </c>
      <c r="J12" s="9">
        <f>VLOOKUP($C12,[1]!总属性参考数组,J$1,FALSE)*VLOOKUP($D$1,[1]!属性权重数组,J$1,FALSE)*$E12/$B$1</f>
        <v>0</v>
      </c>
      <c r="K12" s="9">
        <f>VLOOKUP($C12,[1]!总属性参考数组,K$1,FALSE)*VLOOKUP($D$1,[1]!属性权重数组,K$1,FALSE)*$E12/$B$1</f>
        <v>0</v>
      </c>
      <c r="L12" s="9">
        <f>VLOOKUP($C12,[1]!总属性参考数组,L$1,FALSE)*VLOOKUP($D$1,[1]!属性权重数组,L$1,FALSE)*$E12/$B$1</f>
        <v>0</v>
      </c>
      <c r="M12" s="9">
        <f>VLOOKUP($C12,[1]!总属性参考数组,M$1,FALSE)*VLOOKUP($D$1,[1]!属性权重数组,M$1,FALSE)*$E12/$B$1</f>
        <v>0</v>
      </c>
      <c r="N12" s="9">
        <f>VLOOKUP($C12,[1]!总属性参考数组,N$1,FALSE)*VLOOKUP($D$1,[1]!属性权重数组,N$1,FALSE)*$E12/$B$1</f>
        <v>0</v>
      </c>
      <c r="O12" s="9">
        <f>VLOOKUP($C12,[1]!总属性参考数组,O$1,FALSE)*VLOOKUP($D$1,[1]!属性权重数组,O$1,FALSE)*$E12/$B$1</f>
        <v>0</v>
      </c>
      <c r="P12" s="2">
        <f t="shared" si="0"/>
        <v>3</v>
      </c>
      <c r="Q12" s="2" t="str">
        <f t="array" aca="1" ref="Q12" ca="1">IF(ISERROR(OFFSET($E$2,0,SMALL(IF($F12:$O12&gt;0,COLUMN($A:$J),99999),Q$1))),0,OFFSET($E$2,0,SMALL(IF($F12:$O12&gt;0,COLUMN($A:$J),99999),Q$1)))</f>
        <v>生命</v>
      </c>
      <c r="R12" s="2">
        <f t="array" aca="1" ref="R12" ca="1">IF(ISERROR(OFFSET($E12,0,SMALL(IF($F12:$O12&gt;0,COLUMN($A:$J),99999),R$1))),0,OFFSET($E12,0,SMALL(IF($F12:$O12&gt;0,COLUMN($A:$J),99999),R$1)))</f>
        <v>4164.3067768938763</v>
      </c>
      <c r="S12" s="2" t="str">
        <f t="array" aca="1" ref="S12" ca="1">IF(ISERROR(OFFSET($E$2,0,SMALL(IF($F12:$O12&gt;0,COLUMN($A:$J),99999),S$1))),0,OFFSET($E$2,0,SMALL(IF($F12:$O12&gt;0,COLUMN($A:$J),99999),S$1)))</f>
        <v>攻击</v>
      </c>
      <c r="T12" s="2">
        <f t="array" aca="1" ref="T12" ca="1">IF(ISERROR(OFFSET($E12,0,SMALL(IF($F12:$O12&gt;0,COLUMN($A:$J),99999),T$1))),0,OFFSET($E12,0,SMALL(IF($F12:$O12&gt;0,COLUMN($A:$J),99999),T$1)))</f>
        <v>189.31734625668474</v>
      </c>
      <c r="U12" s="2" t="str">
        <f t="array" aca="1" ref="U12" ca="1">IF(ISERROR(OFFSET($E$2,0,SMALL(IF($F12:$O12&gt;0,COLUMN($A:$J),99999),U$1))),0,OFFSET($E$2,0,SMALL(IF($F12:$O12&gt;0,COLUMN($A:$J),99999),U$1)))</f>
        <v>防御</v>
      </c>
      <c r="V12" s="2">
        <f t="array" aca="1" ref="V12" ca="1">IF(ISERROR(OFFSET($E12,0,SMALL(IF($F12:$O12&gt;0,COLUMN($A:$J),99999),V$1))),0,OFFSET($E12,0,SMALL(IF($F12:$O12&gt;0,COLUMN($A:$J),99999),V$1)))</f>
        <v>81.807842287695067</v>
      </c>
      <c r="W12" s="2">
        <f t="array" aca="1" ref="W12" ca="1">IF(ISERROR(OFFSET($E$2,0,SMALL(IF($F12:$O12&gt;0,COLUMN($A:$J),99999),W$1))),0,OFFSET($E$2,0,SMALL(IF($F12:$O12&gt;0,COLUMN($A:$J),99999),W$1)))</f>
        <v>0</v>
      </c>
      <c r="X12" s="2">
        <f t="array" aca="1" ref="X12" ca="1">IF(ISERROR(OFFSET($E12,0,SMALL(IF($F12:$O12&gt;0,COLUMN($A:$J),99999),X$1))),0,OFFSET($E12,0,SMALL(IF($F12:$O12&gt;0,COLUMN($A:$J),99999),X$1)))</f>
        <v>0</v>
      </c>
      <c r="Y12" s="2">
        <f t="array" aca="1" ref="Y12" ca="1">IF(ISERROR(OFFSET($E$2,0,SMALL(IF($F12:$O12&gt;0,COLUMN($A:$J),99999),Y$1))),0,OFFSET($E$2,0,SMALL(IF($F12:$O12&gt;0,COLUMN($A:$J),99999),Y$1)))</f>
        <v>0</v>
      </c>
      <c r="Z12" s="2">
        <f t="array" aca="1" ref="Z12" ca="1">IF(ISERROR(OFFSET($E12,0,SMALL(IF($F12:$O12&gt;0,COLUMN($A:$J),99999),Z$1))),0,OFFSET($E12,0,SMALL(IF($F12:$O12&gt;0,COLUMN($A:$J),99999),Z$1)))</f>
        <v>0</v>
      </c>
      <c r="AA12" s="2">
        <f t="array" aca="1" ref="AA12" ca="1">IF(ISERROR(OFFSET($E$2,0,SMALL(IF($F12:$O12&gt;0,COLUMN($A:$J),99999),AA$1))),0,OFFSET($E$2,0,SMALL(IF($F12:$O12&gt;0,COLUMN($A:$J),99999),AA$1)))</f>
        <v>0</v>
      </c>
      <c r="AB12" s="2">
        <f t="array" aca="1" ref="AB12" ca="1">IF(ISERROR(OFFSET($E12,0,SMALL(IF($F12:$O12&gt;0,COLUMN($A:$J),99999),AB$1))),0,OFFSET($E12,0,SMALL(IF($F12:$O12&gt;0,COLUMN($A:$J),99999),AB$1)))</f>
        <v>0</v>
      </c>
      <c r="AC12" s="2">
        <f t="array" aca="1" ref="AC12" ca="1">IF(ISERROR(OFFSET($E$2,0,SMALL(IF($F12:$O12&gt;0,COLUMN($A:$J),99999),AC$1))),0,OFFSET($E$2,0,SMALL(IF($F12:$O12&gt;0,COLUMN($A:$J),99999),AC$1)))</f>
        <v>0</v>
      </c>
      <c r="AD12" s="2">
        <f t="array" aca="1" ref="AD12" ca="1">IF(ISERROR(OFFSET($E12,0,SMALL(IF($F12:$O12&gt;0,COLUMN($A:$J),99999),AD$1))),0,OFFSET($E12,0,SMALL(IF($F12:$O12&gt;0,COLUMN($A:$J),99999),AD$1)))</f>
        <v>0</v>
      </c>
      <c r="AE12" s="2">
        <f t="array" aca="1" ref="AE12" ca="1">IF(ISERROR(OFFSET($E$2,0,SMALL(IF($F12:$O12&gt;0,COLUMN($A:$J),99999),AE$1))),0,OFFSET($E$2,0,SMALL(IF($F12:$O12&gt;0,COLUMN($A:$J),99999),AE$1)))</f>
        <v>0</v>
      </c>
      <c r="AF12" s="2">
        <f t="array" aca="1" ref="AF12" ca="1">IF(ISERROR(OFFSET($E12,0,SMALL(IF($F12:$O12&gt;0,COLUMN($A:$J),99999),AF$1))),0,OFFSET($E12,0,SMALL(IF($F12:$O12&gt;0,COLUMN($A:$J),99999),AF$1)))</f>
        <v>0</v>
      </c>
      <c r="AG12" s="2">
        <f t="array" aca="1" ref="AG12" ca="1">IF(ISERROR(OFFSET($E$2,0,SMALL(IF($F12:$O12&gt;0,COLUMN($A:$J),99999),AG$1))),0,OFFSET($E$2,0,SMALL(IF($F12:$O12&gt;0,COLUMN($A:$J),99999),AG$1)))</f>
        <v>0</v>
      </c>
      <c r="AH12" s="2">
        <f t="array" aca="1" ref="AH12" ca="1">IF(ISERROR(OFFSET($E12,0,SMALL(IF($F12:$O12&gt;0,COLUMN($A:$J),99999),AH$1))),0,OFFSET($E12,0,SMALL(IF($F12:$O12&gt;0,COLUMN($A:$J),99999),AH$1)))</f>
        <v>0</v>
      </c>
      <c r="AI12" s="2">
        <f t="array" aca="1" ref="AI12" ca="1">IF(ISERROR(OFFSET($E$2,0,SMALL(IF($F12:$O12&gt;0,COLUMN($A:$J),99999),AI$1))),0,OFFSET($E$2,0,SMALL(IF($F12:$O12&gt;0,COLUMN($A:$J),99999),AI$1)))</f>
        <v>0</v>
      </c>
      <c r="AJ12" s="2">
        <f t="array" aca="1" ref="AJ12" ca="1">IF(ISERROR(OFFSET($E12,0,SMALL(IF($F12:$O12&gt;0,COLUMN($A:$J),99999),AJ$1))),0,OFFSET($E12,0,SMALL(IF($F12:$O12&gt;0,COLUMN($A:$J),99999),AJ$1)))</f>
        <v>0</v>
      </c>
    </row>
    <row r="13" spans="1:36" x14ac:dyDescent="0.15">
      <c r="A13" s="13">
        <v>59011</v>
      </c>
      <c r="B13" s="13" t="s">
        <v>107</v>
      </c>
      <c r="C13" s="14">
        <v>40</v>
      </c>
      <c r="D13" s="15">
        <v>3</v>
      </c>
      <c r="E13" s="4">
        <f>VLOOKUP(D13,[1]称号规划!$D$4:$F$14,3,FALSE)</f>
        <v>8.3724494170096045E-2</v>
      </c>
      <c r="F13" s="9">
        <f>VLOOKUP($C13,[1]!总属性参考数组,F$1,FALSE)*VLOOKUP($D$1,[1]!属性权重数组,F$1,FALSE)*$E13/$B$1</f>
        <v>717.99499248908546</v>
      </c>
      <c r="G13" s="9">
        <f>VLOOKUP($C13,[1]!总属性参考数组,G$1,FALSE)*VLOOKUP($D$1,[1]!属性权重数组,G$1,FALSE)*$E13/$B$1</f>
        <v>46.304032976827131</v>
      </c>
      <c r="H13" s="9">
        <f>VLOOKUP($C13,[1]!总属性参考数组,H$1,FALSE)*VLOOKUP($D$1,[1]!属性权重数组,H$1,FALSE)*$E13/$B$1</f>
        <v>20.008906219911438</v>
      </c>
      <c r="I13" s="9">
        <f>VLOOKUP($C13,[1]!总属性参考数组,I$1,FALSE)*VLOOKUP($D$1,[1]!属性权重数组,I$1,FALSE)*$E13/$B$1</f>
        <v>0</v>
      </c>
      <c r="J13" s="9">
        <f>VLOOKUP($C13,[1]!总属性参考数组,J$1,FALSE)*VLOOKUP($D$1,[1]!属性权重数组,J$1,FALSE)*$E13/$B$1</f>
        <v>0</v>
      </c>
      <c r="K13" s="9">
        <f>VLOOKUP($C13,[1]!总属性参考数组,K$1,FALSE)*VLOOKUP($D$1,[1]!属性权重数组,K$1,FALSE)*$E13/$B$1</f>
        <v>0</v>
      </c>
      <c r="L13" s="9">
        <f>VLOOKUP($C13,[1]!总属性参考数组,L$1,FALSE)*VLOOKUP($D$1,[1]!属性权重数组,L$1,FALSE)*$E13/$B$1</f>
        <v>0</v>
      </c>
      <c r="M13" s="9">
        <f>VLOOKUP($C13,[1]!总属性参考数组,M$1,FALSE)*VLOOKUP($D$1,[1]!属性权重数组,M$1,FALSE)*$E13/$B$1</f>
        <v>0</v>
      </c>
      <c r="N13" s="9">
        <f>VLOOKUP($C13,[1]!总属性参考数组,N$1,FALSE)*VLOOKUP($D$1,[1]!属性权重数组,N$1,FALSE)*$E13/$B$1</f>
        <v>0</v>
      </c>
      <c r="O13" s="9">
        <f>VLOOKUP($C13,[1]!总属性参考数组,O$1,FALSE)*VLOOKUP($D$1,[1]!属性权重数组,O$1,FALSE)*$E13/$B$1</f>
        <v>0</v>
      </c>
      <c r="P13" s="2">
        <f>COUNTIF(F13:O13,"&gt;0")</f>
        <v>3</v>
      </c>
      <c r="Q13" s="2" t="str">
        <f t="array" aca="1" ref="Q13" ca="1">IF(ISERROR(OFFSET($E$2,0,SMALL(IF($F13:$O13&gt;0,COLUMN($A:$J),99999),Q$1))),0,OFFSET($E$2,0,SMALL(IF($F13:$O13&gt;0,COLUMN($A:$J),99999),Q$1)))</f>
        <v>生命</v>
      </c>
      <c r="R13" s="2">
        <f t="array" aca="1" ref="R13" ca="1">IF(ISERROR(OFFSET($E13,0,SMALL(IF($F13:$O13&gt;0,COLUMN($A:$J),99999),R$1))),0,OFFSET($E13,0,SMALL(IF($F13:$O13&gt;0,COLUMN($A:$J),99999),R$1)))</f>
        <v>717.99499248908546</v>
      </c>
      <c r="S13" s="2" t="str">
        <f t="array" aca="1" ref="S13" ca="1">IF(ISERROR(OFFSET($E$2,0,SMALL(IF($F13:$O13&gt;0,COLUMN($A:$J),99999),S$1))),0,OFFSET($E$2,0,SMALL(IF($F13:$O13&gt;0,COLUMN($A:$J),99999),S$1)))</f>
        <v>攻击</v>
      </c>
      <c r="T13" s="2">
        <f t="array" aca="1" ref="T13" ca="1">IF(ISERROR(OFFSET($E13,0,SMALL(IF($F13:$O13&gt;0,COLUMN($A:$J),99999),T$1))),0,OFFSET($E13,0,SMALL(IF($F13:$O13&gt;0,COLUMN($A:$J),99999),T$1)))</f>
        <v>46.304032976827131</v>
      </c>
      <c r="U13" s="2" t="str">
        <f t="array" aca="1" ref="U13" ca="1">IF(ISERROR(OFFSET($E$2,0,SMALL(IF($F13:$O13&gt;0,COLUMN($A:$J),99999),U$1))),0,OFFSET($E$2,0,SMALL(IF($F13:$O13&gt;0,COLUMN($A:$J),99999),U$1)))</f>
        <v>防御</v>
      </c>
      <c r="V13" s="2">
        <f t="array" aca="1" ref="V13" ca="1">IF(ISERROR(OFFSET($E13,0,SMALL(IF($F13:$O13&gt;0,COLUMN($A:$J),99999),V$1))),0,OFFSET($E13,0,SMALL(IF($F13:$O13&gt;0,COLUMN($A:$J),99999),V$1)))</f>
        <v>20.008906219911438</v>
      </c>
      <c r="W13" s="2">
        <f t="array" aca="1" ref="W13" ca="1">IF(ISERROR(OFFSET($E$2,0,SMALL(IF($F13:$O13&gt;0,COLUMN($A:$J),99999),W$1))),0,OFFSET($E$2,0,SMALL(IF($F13:$O13&gt;0,COLUMN($A:$J),99999),W$1)))</f>
        <v>0</v>
      </c>
      <c r="X13" s="2">
        <f t="array" aca="1" ref="X13" ca="1">IF(ISERROR(OFFSET($E13,0,SMALL(IF($F13:$O13&gt;0,COLUMN($A:$J),99999),X$1))),0,OFFSET($E13,0,SMALL(IF($F13:$O13&gt;0,COLUMN($A:$J),99999),X$1)))</f>
        <v>0</v>
      </c>
      <c r="Y13" s="2">
        <f t="array" aca="1" ref="Y13" ca="1">IF(ISERROR(OFFSET($E$2,0,SMALL(IF($F13:$O13&gt;0,COLUMN($A:$J),99999),Y$1))),0,OFFSET($E$2,0,SMALL(IF($F13:$O13&gt;0,COLUMN($A:$J),99999),Y$1)))</f>
        <v>0</v>
      </c>
      <c r="Z13" s="2">
        <f t="array" aca="1" ref="Z13" ca="1">IF(ISERROR(OFFSET($E13,0,SMALL(IF($F13:$O13&gt;0,COLUMN($A:$J),99999),Z$1))),0,OFFSET($E13,0,SMALL(IF($F13:$O13&gt;0,COLUMN($A:$J),99999),Z$1)))</f>
        <v>0</v>
      </c>
      <c r="AA13" s="2">
        <f t="array" aca="1" ref="AA13" ca="1">IF(ISERROR(OFFSET($E$2,0,SMALL(IF($F13:$O13&gt;0,COLUMN($A:$J),99999),AA$1))),0,OFFSET($E$2,0,SMALL(IF($F13:$O13&gt;0,COLUMN($A:$J),99999),AA$1)))</f>
        <v>0</v>
      </c>
      <c r="AB13" s="2">
        <f t="array" aca="1" ref="AB13" ca="1">IF(ISERROR(OFFSET($E13,0,SMALL(IF($F13:$O13&gt;0,COLUMN($A:$J),99999),AB$1))),0,OFFSET($E13,0,SMALL(IF($F13:$O13&gt;0,COLUMN($A:$J),99999),AB$1)))</f>
        <v>0</v>
      </c>
      <c r="AC13" s="2">
        <f t="array" aca="1" ref="AC13" ca="1">IF(ISERROR(OFFSET($E$2,0,SMALL(IF($F13:$O13&gt;0,COLUMN($A:$J),99999),AC$1))),0,OFFSET($E$2,0,SMALL(IF($F13:$O13&gt;0,COLUMN($A:$J),99999),AC$1)))</f>
        <v>0</v>
      </c>
      <c r="AD13" s="2">
        <f t="array" aca="1" ref="AD13" ca="1">IF(ISERROR(OFFSET($E13,0,SMALL(IF($F13:$O13&gt;0,COLUMN($A:$J),99999),AD$1))),0,OFFSET($E13,0,SMALL(IF($F13:$O13&gt;0,COLUMN($A:$J),99999),AD$1)))</f>
        <v>0</v>
      </c>
      <c r="AE13" s="2">
        <f t="array" aca="1" ref="AE13" ca="1">IF(ISERROR(OFFSET($E$2,0,SMALL(IF($F13:$O13&gt;0,COLUMN($A:$J),99999),AE$1))),0,OFFSET($E$2,0,SMALL(IF($F13:$O13&gt;0,COLUMN($A:$J),99999),AE$1)))</f>
        <v>0</v>
      </c>
      <c r="AF13" s="2">
        <f t="array" aca="1" ref="AF13" ca="1">IF(ISERROR(OFFSET($E13,0,SMALL(IF($F13:$O13&gt;0,COLUMN($A:$J),99999),AF$1))),0,OFFSET($E13,0,SMALL(IF($F13:$O13&gt;0,COLUMN($A:$J),99999),AF$1)))</f>
        <v>0</v>
      </c>
      <c r="AG13" s="2">
        <f t="array" aca="1" ref="AG13" ca="1">IF(ISERROR(OFFSET($E$2,0,SMALL(IF($F13:$O13&gt;0,COLUMN($A:$J),99999),AG$1))),0,OFFSET($E$2,0,SMALL(IF($F13:$O13&gt;0,COLUMN($A:$J),99999),AG$1)))</f>
        <v>0</v>
      </c>
      <c r="AH13" s="2">
        <f t="array" aca="1" ref="AH13" ca="1">IF(ISERROR(OFFSET($E13,0,SMALL(IF($F13:$O13&gt;0,COLUMN($A:$J),99999),AH$1))),0,OFFSET($E13,0,SMALL(IF($F13:$O13&gt;0,COLUMN($A:$J),99999),AH$1)))</f>
        <v>0</v>
      </c>
      <c r="AI13" s="2">
        <f t="array" aca="1" ref="AI13" ca="1">IF(ISERROR(OFFSET($E$2,0,SMALL(IF($F13:$O13&gt;0,COLUMN($A:$J),99999),AI$1))),0,OFFSET($E$2,0,SMALL(IF($F13:$O13&gt;0,COLUMN($A:$J),99999),AI$1)))</f>
        <v>0</v>
      </c>
      <c r="AJ13" s="2">
        <f t="array" aca="1" ref="AJ13" ca="1">IF(ISERROR(OFFSET($E13,0,SMALL(IF($F13:$O13&gt;0,COLUMN($A:$J),99999),AJ$1))),0,OFFSET($E13,0,SMALL(IF($F13:$O13&gt;0,COLUMN($A:$J),99999),AJ$1)))</f>
        <v>0</v>
      </c>
    </row>
  </sheetData>
  <phoneticPr fontId="1" type="noConversion"/>
  <pageMargins left="0.7" right="0.7" top="0.75" bottom="0.75" header="0.3" footer="0.3"/>
  <ignoredErrors>
    <ignoredError sqref="R3:R12 T3:T12 V3:V12 X3:X12 AH3:AH12 AF3:AF12 AD3:AD12 AB3:AB12 Z3:Z1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2"/>
  <sheetViews>
    <sheetView workbookViewId="0">
      <selection activeCell="C15" sqref="C15"/>
    </sheetView>
  </sheetViews>
  <sheetFormatPr defaultRowHeight="13.5" x14ac:dyDescent="0.15"/>
  <cols>
    <col min="2" max="2" width="11" bestFit="1" customWidth="1"/>
    <col min="3" max="3" width="13.875" customWidth="1"/>
  </cols>
  <sheetData>
    <row r="1" spans="1:3" x14ac:dyDescent="0.15">
      <c r="A1" t="s">
        <v>57</v>
      </c>
      <c r="B1" t="s">
        <v>58</v>
      </c>
      <c r="C1" t="s">
        <v>59</v>
      </c>
    </row>
    <row r="2" spans="1:3" x14ac:dyDescent="0.15">
      <c r="A2">
        <f>称号辅助表!A3</f>
        <v>59001</v>
      </c>
      <c r="B2" t="s">
        <v>73</v>
      </c>
      <c r="C2">
        <f>SUMPRODUCT(称号辅助表!F3:O3,[1]各种公式!$C$13:$L$13)</f>
        <v>40.883264194285957</v>
      </c>
    </row>
    <row r="3" spans="1:3" x14ac:dyDescent="0.15">
      <c r="A3">
        <f>称号辅助表!A4</f>
        <v>59002</v>
      </c>
      <c r="B3" t="s">
        <v>74</v>
      </c>
      <c r="C3">
        <f>SUMPRODUCT(称号辅助表!F4:O4,[1]各种公式!$C$13:$L$13)</f>
        <v>65.526357207911119</v>
      </c>
    </row>
    <row r="4" spans="1:3" x14ac:dyDescent="0.15">
      <c r="A4">
        <f>称号辅助表!A5</f>
        <v>59003</v>
      </c>
      <c r="B4" t="str">
        <f>称号辅助表!B5</f>
        <v>扛把子</v>
      </c>
      <c r="C4">
        <f>SUMPRODUCT(称号辅助表!F5:O5,[1]各种公式!$C$13:$L$13)</f>
        <v>93.895930095509812</v>
      </c>
    </row>
    <row r="5" spans="1:3" x14ac:dyDescent="0.15">
      <c r="A5">
        <f>称号辅助表!A6</f>
        <v>59004</v>
      </c>
      <c r="B5" t="s">
        <v>75</v>
      </c>
      <c r="C5">
        <f>SUMPRODUCT(称号辅助表!F6:O6,[1]各种公式!$C$13:$L$13)</f>
        <v>136.84714401067484</v>
      </c>
    </row>
    <row r="6" spans="1:3" x14ac:dyDescent="0.15">
      <c r="A6">
        <f>称号辅助表!A7</f>
        <v>59005</v>
      </c>
      <c r="B6" t="s">
        <v>76</v>
      </c>
      <c r="C6">
        <f>SUMPRODUCT(称号辅助表!F7:O7,[1]各种公式!$C$13:$L$13)</f>
        <v>525.2369515441618</v>
      </c>
    </row>
    <row r="7" spans="1:3" x14ac:dyDescent="0.15">
      <c r="A7">
        <f>称号辅助表!A8</f>
        <v>59006</v>
      </c>
      <c r="B7" t="s">
        <v>77</v>
      </c>
      <c r="C7">
        <f>SUMPRODUCT(称号辅助表!F8:O8,[1]各种公式!$C$13:$L$13)</f>
        <v>195.7419418851112</v>
      </c>
    </row>
    <row r="8" spans="1:3" x14ac:dyDescent="0.15">
      <c r="A8">
        <f>称号辅助表!A9</f>
        <v>59007</v>
      </c>
      <c r="B8" t="str">
        <f>称号辅助表!B9</f>
        <v>神之手</v>
      </c>
      <c r="C8">
        <f>SUMPRODUCT(称号辅助表!F9:O9,[1]各种公式!$C$13:$L$13)</f>
        <v>325.83843064355233</v>
      </c>
    </row>
    <row r="9" spans="1:3" x14ac:dyDescent="0.15">
      <c r="A9">
        <f>称号辅助表!A10</f>
        <v>59008</v>
      </c>
      <c r="B9" t="str">
        <f>称号辅助表!B10</f>
        <v>富甲一方</v>
      </c>
      <c r="C9">
        <f>SUMPRODUCT(称号辅助表!F10:O10,[1]各种公式!$C$13:$L$13)</f>
        <v>163.11828490425933</v>
      </c>
    </row>
    <row r="10" spans="1:3" x14ac:dyDescent="0.15">
      <c r="A10">
        <f>称号辅助表!A11</f>
        <v>59009</v>
      </c>
      <c r="B10" t="s">
        <v>78</v>
      </c>
      <c r="C10">
        <f>SUMPRODUCT(称号辅助表!F11:O11,[1]各种公式!$C$13:$L$13)</f>
        <v>271.53202553629359</v>
      </c>
    </row>
    <row r="11" spans="1:3" x14ac:dyDescent="0.15">
      <c r="A11">
        <f>称号辅助表!A12</f>
        <v>59010</v>
      </c>
      <c r="B11" t="s">
        <v>79</v>
      </c>
      <c r="C11">
        <f>SUMPRODUCT(称号辅助表!F12:O12,[1]各种公式!$C$13:$L$13)</f>
        <v>437.69745962013485</v>
      </c>
    </row>
    <row r="12" spans="1:3" x14ac:dyDescent="0.15">
      <c r="A12">
        <f>称号辅助表!A13</f>
        <v>59011</v>
      </c>
      <c r="B12" t="s">
        <v>107</v>
      </c>
      <c r="C12">
        <f>SUMPRODUCT(称号辅助表!F13:O13,[1]各种公式!$C$13:$L$13)</f>
        <v>95.032738896301993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D_称号</vt:lpstr>
      <vt:lpstr>称号辅助表</vt:lpstr>
      <vt:lpstr>称号估值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Javy</cp:lastModifiedBy>
  <dcterms:created xsi:type="dcterms:W3CDTF">2006-09-16T00:00:00Z</dcterms:created>
  <dcterms:modified xsi:type="dcterms:W3CDTF">2015-08-01T17:44:24Z</dcterms:modified>
</cp:coreProperties>
</file>