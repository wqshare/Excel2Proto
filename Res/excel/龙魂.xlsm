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activeTab="2"/>
  </bookViews>
  <sheets>
    <sheet name="D_龙魂表" sheetId="1" r:id="rId1"/>
    <sheet name="D_龙魂整图属性" sheetId="4" r:id="rId2"/>
    <sheet name="龙魂辅助表" sheetId="3" r:id="rId3"/>
    <sheet name="消耗&amp;估值" sheetId="6" r:id="rId4"/>
    <sheet name="龙魂整图属性辅助表" sheetId="5" r:id="rId5"/>
  </sheets>
  <externalReferences>
    <externalReference r:id="rId6"/>
    <externalReference r:id="rId7"/>
  </externalReferences>
  <definedNames>
    <definedName name="_xlnm._FilterDatabase" localSheetId="2" hidden="1">龙魂辅助表!$G$5:$G$96</definedName>
  </definedNames>
  <calcPr calcId="152511"/>
</workbook>
</file>

<file path=xl/calcChain.xml><?xml version="1.0" encoding="utf-8"?>
<calcChain xmlns="http://schemas.openxmlformats.org/spreadsheetml/2006/main">
  <c r="X7" i="3" l="1"/>
  <c r="X8" i="3"/>
  <c r="X9" i="3"/>
  <c r="X10" i="3"/>
  <c r="X11" i="3"/>
  <c r="X15" i="3"/>
  <c r="X16" i="3"/>
  <c r="X17" i="3"/>
  <c r="X18" i="3"/>
  <c r="X19" i="3"/>
  <c r="X22" i="3"/>
  <c r="X23" i="3"/>
  <c r="X24" i="3"/>
  <c r="X25" i="3"/>
  <c r="X29" i="3"/>
  <c r="X30" i="3"/>
  <c r="X31" i="3"/>
  <c r="X33" i="3"/>
  <c r="X37" i="3"/>
  <c r="X38" i="3"/>
  <c r="X42" i="3"/>
  <c r="X43" i="3"/>
  <c r="X44" i="3"/>
  <c r="X45" i="3"/>
  <c r="X46" i="3"/>
  <c r="X51" i="3"/>
  <c r="X52" i="3"/>
  <c r="X57" i="3"/>
  <c r="X58" i="3"/>
  <c r="X59" i="3"/>
  <c r="X60" i="3"/>
  <c r="X61" i="3"/>
  <c r="X62" i="3"/>
  <c r="X63" i="3"/>
  <c r="X64" i="3"/>
  <c r="X70" i="3"/>
  <c r="X71" i="3"/>
  <c r="X72" i="3"/>
  <c r="X77" i="3"/>
  <c r="X78" i="3"/>
  <c r="X6" i="3"/>
  <c r="J2" i="1" l="1"/>
  <c r="AG6" i="3" l="1"/>
  <c r="C5" i="6" l="1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4" i="6"/>
  <c r="F7" i="3" l="1"/>
  <c r="Y3" i="3"/>
  <c r="W7" i="3"/>
  <c r="W8" i="3"/>
  <c r="AD8" i="3" s="1"/>
  <c r="Y8" i="3" s="1"/>
  <c r="W9" i="3"/>
  <c r="W10" i="3"/>
  <c r="W11" i="3"/>
  <c r="W16" i="3"/>
  <c r="AD16" i="3" s="1"/>
  <c r="Y16" i="3" s="1"/>
  <c r="W17" i="3"/>
  <c r="W18" i="3"/>
  <c r="W19" i="3"/>
  <c r="W23" i="3"/>
  <c r="W24" i="3"/>
  <c r="W25" i="3"/>
  <c r="W30" i="3"/>
  <c r="AD30" i="3" s="1"/>
  <c r="Y30" i="3" s="1"/>
  <c r="W31" i="3"/>
  <c r="W38" i="3"/>
  <c r="W43" i="3"/>
  <c r="W44" i="3"/>
  <c r="W45" i="3"/>
  <c r="W46" i="3"/>
  <c r="W52" i="3"/>
  <c r="W58" i="3"/>
  <c r="W59" i="3"/>
  <c r="W60" i="3"/>
  <c r="W61" i="3"/>
  <c r="W62" i="3"/>
  <c r="AD62" i="3" s="1"/>
  <c r="Y62" i="3" s="1"/>
  <c r="W63" i="3"/>
  <c r="AD63" i="3" s="1"/>
  <c r="Y63" i="3" s="1"/>
  <c r="W64" i="3"/>
  <c r="W71" i="3"/>
  <c r="W72" i="3"/>
  <c r="W78" i="3"/>
  <c r="W6" i="3"/>
  <c r="I7" i="3"/>
  <c r="I8" i="3"/>
  <c r="I9" i="3"/>
  <c r="I10" i="3"/>
  <c r="I11" i="3"/>
  <c r="I16" i="3"/>
  <c r="I17" i="3"/>
  <c r="I18" i="3"/>
  <c r="I19" i="3"/>
  <c r="I23" i="3"/>
  <c r="I24" i="3"/>
  <c r="I25" i="3"/>
  <c r="I30" i="3"/>
  <c r="I31" i="3"/>
  <c r="I38" i="3"/>
  <c r="I43" i="3"/>
  <c r="I44" i="3"/>
  <c r="I45" i="3"/>
  <c r="I46" i="3"/>
  <c r="I52" i="3"/>
  <c r="I58" i="3"/>
  <c r="I59" i="3"/>
  <c r="I60" i="3"/>
  <c r="I61" i="3"/>
  <c r="I62" i="3"/>
  <c r="I63" i="3"/>
  <c r="I64" i="3"/>
  <c r="I71" i="3"/>
  <c r="I72" i="3"/>
  <c r="I78" i="3"/>
  <c r="I6" i="3"/>
  <c r="AD44" i="3" l="1"/>
  <c r="Y44" i="3" s="1"/>
  <c r="AD19" i="3"/>
  <c r="Y19" i="3" s="1"/>
  <c r="AB19" i="3" s="1"/>
  <c r="AD18" i="3"/>
  <c r="Y18" i="3" s="1"/>
  <c r="AD59" i="3"/>
  <c r="Y59" i="3" s="1"/>
  <c r="AB59" i="3" s="1"/>
  <c r="AD23" i="3"/>
  <c r="Y23" i="3" s="1"/>
  <c r="AB23" i="3" s="1"/>
  <c r="AD38" i="3"/>
  <c r="Y38" i="3" s="1"/>
  <c r="AD17" i="3"/>
  <c r="Y17" i="3" s="1"/>
  <c r="AD7" i="3"/>
  <c r="Y7" i="3" s="1"/>
  <c r="AB7" i="3" s="1"/>
  <c r="AD61" i="3"/>
  <c r="Y61" i="3" s="1"/>
  <c r="AB61" i="3" s="1"/>
  <c r="AD43" i="3"/>
  <c r="Y43" i="3" s="1"/>
  <c r="AB43" i="3" s="1"/>
  <c r="AD60" i="3"/>
  <c r="Y60" i="3" s="1"/>
  <c r="AD78" i="3"/>
  <c r="Y78" i="3" s="1"/>
  <c r="AB78" i="3" s="1"/>
  <c r="AD31" i="3"/>
  <c r="Y31" i="3" s="1"/>
  <c r="AB31" i="3" s="1"/>
  <c r="AD72" i="3"/>
  <c r="Y72" i="3" s="1"/>
  <c r="AB62" i="3"/>
  <c r="AB63" i="3"/>
  <c r="AB8" i="3"/>
  <c r="AB30" i="3"/>
  <c r="AD45" i="3"/>
  <c r="Y45" i="3" s="1"/>
  <c r="AD25" i="3"/>
  <c r="Y25" i="3" s="1"/>
  <c r="AD71" i="3"/>
  <c r="Y71" i="3" s="1"/>
  <c r="AD52" i="3"/>
  <c r="Y52" i="3" s="1"/>
  <c r="AD10" i="3"/>
  <c r="Y10" i="3" s="1"/>
  <c r="AD58" i="3"/>
  <c r="Y58" i="3" s="1"/>
  <c r="AD11" i="3"/>
  <c r="Y11" i="3" s="1"/>
  <c r="AD64" i="3"/>
  <c r="Y64" i="3" s="1"/>
  <c r="AD46" i="3"/>
  <c r="Y46" i="3" s="1"/>
  <c r="AD24" i="3"/>
  <c r="Y24" i="3" s="1"/>
  <c r="AD9" i="3"/>
  <c r="Y9" i="3" s="1"/>
  <c r="AD6" i="3"/>
  <c r="Y6" i="3" s="1"/>
  <c r="AP103" i="3"/>
  <c r="AH98" i="3"/>
  <c r="AB9" i="3" l="1"/>
  <c r="AB71" i="3"/>
  <c r="AB17" i="3"/>
  <c r="AB44" i="3"/>
  <c r="AB24" i="3"/>
  <c r="AB25" i="3"/>
  <c r="AB46" i="3"/>
  <c r="AB45" i="3"/>
  <c r="AB16" i="3"/>
  <c r="AB38" i="3"/>
  <c r="AB60" i="3"/>
  <c r="AB64" i="3"/>
  <c r="AB11" i="3"/>
  <c r="AB72" i="3"/>
  <c r="AB18" i="3"/>
  <c r="AB58" i="3"/>
  <c r="AB10" i="3"/>
  <c r="D2" i="3"/>
  <c r="AB52" i="3" l="1"/>
  <c r="BY98" i="3"/>
  <c r="BZ98" i="3"/>
  <c r="CA98" i="3"/>
  <c r="CB98" i="3"/>
  <c r="CC98" i="3"/>
  <c r="CD98" i="3"/>
  <c r="CE98" i="3"/>
  <c r="BX98" i="3"/>
  <c r="AP108" i="3"/>
  <c r="CE5" i="3"/>
  <c r="CD5" i="3"/>
  <c r="CC5" i="3"/>
  <c r="CB5" i="3"/>
  <c r="CA5" i="3"/>
  <c r="BZ5" i="3"/>
  <c r="BY5" i="3"/>
  <c r="BX5" i="3"/>
  <c r="AH109" i="3"/>
  <c r="AI109" i="3"/>
  <c r="AJ109" i="3"/>
  <c r="AN109" i="3"/>
  <c r="AK109" i="3"/>
  <c r="AL109" i="3"/>
  <c r="AO109" i="3"/>
  <c r="AP107" i="3" l="1"/>
  <c r="AM109" i="3"/>
  <c r="AP109" i="3"/>
  <c r="M11" i="5"/>
  <c r="P5" i="3" l="1"/>
  <c r="AI98" i="3"/>
  <c r="AJ98" i="3"/>
  <c r="AK98" i="3"/>
  <c r="AL98" i="3"/>
  <c r="AM98" i="3"/>
  <c r="AN98" i="3"/>
  <c r="AO98" i="3"/>
  <c r="AG15" i="3"/>
  <c r="F12" i="3" l="1"/>
  <c r="F11" i="3"/>
  <c r="I7" i="1" l="1"/>
  <c r="K7" i="1"/>
  <c r="J7" i="1" s="1"/>
  <c r="AA11" i="3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4" i="6"/>
  <c r="Y5" i="5" l="1"/>
  <c r="Z5" i="5"/>
  <c r="AA5" i="5"/>
  <c r="AB5" i="5"/>
  <c r="AC5" i="5"/>
  <c r="AB4" i="5"/>
  <c r="AC4" i="5"/>
  <c r="AA4" i="5"/>
  <c r="Y4" i="5"/>
  <c r="Z4" i="5"/>
  <c r="Q4" i="5"/>
  <c r="R4" i="5"/>
  <c r="S4" i="5"/>
  <c r="T4" i="5"/>
  <c r="U4" i="5"/>
  <c r="V4" i="5"/>
  <c r="W4" i="5"/>
  <c r="X4" i="5"/>
  <c r="R5" i="5"/>
  <c r="S5" i="5"/>
  <c r="T5" i="5"/>
  <c r="U5" i="5"/>
  <c r="V5" i="5"/>
  <c r="W5" i="5"/>
  <c r="X5" i="5"/>
  <c r="Q5" i="5"/>
  <c r="J2" i="3"/>
  <c r="R11" i="5" l="1"/>
  <c r="S11" i="5"/>
  <c r="H11" i="5"/>
  <c r="I11" i="5"/>
  <c r="J11" i="5"/>
  <c r="K11" i="5"/>
  <c r="L11" i="5"/>
  <c r="N11" i="5"/>
  <c r="O11" i="5"/>
  <c r="P11" i="5"/>
  <c r="Q11" i="5"/>
  <c r="G11" i="5"/>
  <c r="J1" i="3" l="1"/>
  <c r="K5" i="3"/>
  <c r="L5" i="3"/>
  <c r="M5" i="3"/>
  <c r="N5" i="3"/>
  <c r="O5" i="3"/>
  <c r="AN5" i="3"/>
  <c r="AN99" i="3" s="1"/>
  <c r="Q5" i="3"/>
  <c r="J5" i="3"/>
  <c r="AO5" i="3" l="1"/>
  <c r="AO99" i="3" s="1"/>
  <c r="AM5" i="3"/>
  <c r="AM99" i="3" s="1"/>
  <c r="AJ5" i="3"/>
  <c r="AJ99" i="3" s="1"/>
  <c r="AL5" i="3"/>
  <c r="AL99" i="3" s="1"/>
  <c r="AI5" i="3"/>
  <c r="AI99" i="3" s="1"/>
  <c r="AK5" i="3"/>
  <c r="AK99" i="3" s="1"/>
  <c r="AH5" i="3"/>
  <c r="AH99" i="3" s="1"/>
  <c r="AG7" i="3"/>
  <c r="AG8" i="3"/>
  <c r="AG9" i="3"/>
  <c r="AG10" i="3"/>
  <c r="AG11" i="3"/>
  <c r="AG12" i="3"/>
  <c r="AG13" i="3"/>
  <c r="AG14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K1" i="3" l="1"/>
  <c r="L1" i="3"/>
  <c r="M1" i="3"/>
  <c r="N1" i="3"/>
  <c r="O1" i="3"/>
  <c r="P1" i="3"/>
  <c r="Q1" i="3"/>
  <c r="K2" i="3"/>
  <c r="L2" i="3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60" i="1"/>
  <c r="E62" i="1"/>
  <c r="E65" i="1"/>
  <c r="E68" i="1"/>
  <c r="E69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2" i="1"/>
  <c r="C11" i="1"/>
  <c r="C18" i="1"/>
  <c r="C23" i="1"/>
  <c r="C25" i="1"/>
  <c r="C29" i="1"/>
  <c r="C33" i="1"/>
  <c r="C38" i="1"/>
  <c r="C47" i="1"/>
  <c r="C53" i="1"/>
  <c r="C62" i="1"/>
  <c r="C63" i="1"/>
  <c r="C66" i="1"/>
  <c r="C73" i="1"/>
  <c r="C81" i="1"/>
  <c r="C83" i="1"/>
  <c r="C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2" i="1"/>
  <c r="D88" i="6" l="1"/>
  <c r="D32" i="6"/>
  <c r="D79" i="6"/>
  <c r="D55" i="6"/>
  <c r="D15" i="6"/>
  <c r="D86" i="6"/>
  <c r="D70" i="6"/>
  <c r="D62" i="6"/>
  <c r="D54" i="6"/>
  <c r="D46" i="6"/>
  <c r="D38" i="6"/>
  <c r="D30" i="6"/>
  <c r="D22" i="6"/>
  <c r="D14" i="6"/>
  <c r="D6" i="6"/>
  <c r="D85" i="6"/>
  <c r="D77" i="6"/>
  <c r="D69" i="6"/>
  <c r="D61" i="6"/>
  <c r="D53" i="6"/>
  <c r="D45" i="6"/>
  <c r="D37" i="6"/>
  <c r="D29" i="6"/>
  <c r="D21" i="6"/>
  <c r="D13" i="6"/>
  <c r="D5" i="6"/>
  <c r="D64" i="6"/>
  <c r="D24" i="6"/>
  <c r="D47" i="6"/>
  <c r="D23" i="6"/>
  <c r="D78" i="6"/>
  <c r="D52" i="6"/>
  <c r="D28" i="6"/>
  <c r="D72" i="6"/>
  <c r="D40" i="6"/>
  <c r="D8" i="6"/>
  <c r="D4" i="6"/>
  <c r="D71" i="6"/>
  <c r="D39" i="6"/>
  <c r="D7" i="6"/>
  <c r="D68" i="6"/>
  <c r="D44" i="6"/>
  <c r="D12" i="6"/>
  <c r="D83" i="6"/>
  <c r="D67" i="6"/>
  <c r="D51" i="6"/>
  <c r="D43" i="6"/>
  <c r="D19" i="6"/>
  <c r="D66" i="6"/>
  <c r="D50" i="6"/>
  <c r="D42" i="6"/>
  <c r="D34" i="6"/>
  <c r="D26" i="6"/>
  <c r="D18" i="6"/>
  <c r="D10" i="6"/>
  <c r="D80" i="6"/>
  <c r="D48" i="6"/>
  <c r="D16" i="6"/>
  <c r="D87" i="6"/>
  <c r="D63" i="6"/>
  <c r="D31" i="6"/>
  <c r="D84" i="6"/>
  <c r="D36" i="6"/>
  <c r="D20" i="6"/>
  <c r="D91" i="6"/>
  <c r="D75" i="6"/>
  <c r="D35" i="6"/>
  <c r="D11" i="6"/>
  <c r="D82" i="6"/>
  <c r="D89" i="6"/>
  <c r="D81" i="6"/>
  <c r="D73" i="6"/>
  <c r="D65" i="6"/>
  <c r="D57" i="6"/>
  <c r="D49" i="6"/>
  <c r="D33" i="6"/>
  <c r="D25" i="6"/>
  <c r="D17" i="6"/>
  <c r="D9" i="6"/>
  <c r="F8" i="3"/>
  <c r="F9" i="3"/>
  <c r="F10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" i="3"/>
  <c r="G78" i="3"/>
  <c r="G77" i="3"/>
  <c r="G76" i="3"/>
  <c r="G75" i="3"/>
  <c r="G74" i="3"/>
  <c r="G71" i="3"/>
  <c r="G70" i="3"/>
  <c r="G68" i="3"/>
  <c r="G67" i="3"/>
  <c r="G65" i="3"/>
  <c r="G63" i="3"/>
  <c r="W37" i="3" l="1"/>
  <c r="AD37" i="3" s="1"/>
  <c r="Y37" i="3" s="1"/>
  <c r="I37" i="3"/>
  <c r="W29" i="3"/>
  <c r="AD29" i="3" s="1"/>
  <c r="Y29" i="3" s="1"/>
  <c r="I29" i="3"/>
  <c r="W57" i="3"/>
  <c r="AD57" i="3" s="1"/>
  <c r="Y57" i="3" s="1"/>
  <c r="I57" i="3"/>
  <c r="W33" i="3"/>
  <c r="AD33" i="3" s="1"/>
  <c r="Y33" i="3" s="1"/>
  <c r="I33" i="3"/>
  <c r="W22" i="3"/>
  <c r="AD22" i="3" s="1"/>
  <c r="Y22" i="3" s="1"/>
  <c r="I22" i="3"/>
  <c r="I42" i="3"/>
  <c r="W42" i="3"/>
  <c r="AD42" i="3" s="1"/>
  <c r="Y42" i="3" s="1"/>
  <c r="W15" i="3"/>
  <c r="AD15" i="3" s="1"/>
  <c r="Y15" i="3" s="1"/>
  <c r="I15" i="3"/>
  <c r="W51" i="3"/>
  <c r="AD51" i="3" s="1"/>
  <c r="Y51" i="3" s="1"/>
  <c r="I51" i="3"/>
  <c r="E63" i="1"/>
  <c r="E64" i="1"/>
  <c r="E61" i="1"/>
  <c r="E72" i="1"/>
  <c r="E70" i="1"/>
  <c r="E71" i="1"/>
  <c r="E66" i="1"/>
  <c r="E59" i="1"/>
  <c r="E67" i="1"/>
  <c r="E73" i="1"/>
  <c r="E74" i="1"/>
  <c r="B55" i="3"/>
  <c r="D51" i="1"/>
  <c r="B58" i="3"/>
  <c r="D54" i="1"/>
  <c r="B50" i="3"/>
  <c r="D46" i="1"/>
  <c r="B42" i="3"/>
  <c r="D38" i="1"/>
  <c r="B34" i="3"/>
  <c r="D30" i="1"/>
  <c r="D22" i="1"/>
  <c r="B18" i="3"/>
  <c r="D14" i="1"/>
  <c r="B10" i="3"/>
  <c r="D6" i="1"/>
  <c r="B57" i="3"/>
  <c r="D53" i="1"/>
  <c r="B49" i="3"/>
  <c r="D45" i="1"/>
  <c r="B41" i="3"/>
  <c r="D37" i="1"/>
  <c r="B33" i="3"/>
  <c r="D29" i="1"/>
  <c r="B25" i="3"/>
  <c r="D21" i="1"/>
  <c r="B17" i="3"/>
  <c r="D13" i="1"/>
  <c r="B9" i="3"/>
  <c r="D5" i="1"/>
  <c r="B56" i="3"/>
  <c r="D52" i="1"/>
  <c r="B48" i="3"/>
  <c r="D44" i="1"/>
  <c r="B40" i="3"/>
  <c r="D36" i="1"/>
  <c r="B32" i="3"/>
  <c r="D28" i="1"/>
  <c r="B24" i="3"/>
  <c r="D20" i="1"/>
  <c r="B16" i="3"/>
  <c r="D12" i="1"/>
  <c r="B8" i="3"/>
  <c r="D4" i="1"/>
  <c r="B47" i="3"/>
  <c r="D43" i="1"/>
  <c r="B31" i="3"/>
  <c r="D27" i="1"/>
  <c r="B23" i="3"/>
  <c r="D19" i="1"/>
  <c r="B15" i="3"/>
  <c r="D11" i="1"/>
  <c r="B7" i="3"/>
  <c r="D3" i="1"/>
  <c r="B62" i="3"/>
  <c r="D58" i="1"/>
  <c r="B54" i="3"/>
  <c r="D50" i="1"/>
  <c r="B46" i="3"/>
  <c r="D42" i="1"/>
  <c r="B38" i="3"/>
  <c r="D34" i="1"/>
  <c r="B30" i="3"/>
  <c r="D26" i="1"/>
  <c r="B22" i="3"/>
  <c r="D18" i="1"/>
  <c r="B14" i="3"/>
  <c r="D10" i="1"/>
  <c r="B61" i="3"/>
  <c r="D57" i="1"/>
  <c r="B45" i="3"/>
  <c r="D41" i="1"/>
  <c r="B29" i="3"/>
  <c r="D25" i="1"/>
  <c r="B13" i="3"/>
  <c r="D9" i="1"/>
  <c r="B60" i="3"/>
  <c r="D56" i="1"/>
  <c r="B52" i="3"/>
  <c r="D48" i="1"/>
  <c r="B44" i="3"/>
  <c r="D40" i="1"/>
  <c r="B36" i="3"/>
  <c r="D32" i="1"/>
  <c r="B28" i="3"/>
  <c r="D24" i="1"/>
  <c r="B20" i="3"/>
  <c r="D16" i="1"/>
  <c r="B12" i="3"/>
  <c r="D8" i="1"/>
  <c r="D2" i="1"/>
  <c r="B39" i="3"/>
  <c r="D35" i="1"/>
  <c r="B53" i="3"/>
  <c r="D49" i="1"/>
  <c r="B37" i="3"/>
  <c r="D33" i="1"/>
  <c r="B21" i="3"/>
  <c r="D17" i="1"/>
  <c r="B59" i="3"/>
  <c r="D55" i="1"/>
  <c r="B51" i="3"/>
  <c r="D47" i="1"/>
  <c r="B43" i="3"/>
  <c r="D39" i="1"/>
  <c r="B35" i="3"/>
  <c r="D31" i="1"/>
  <c r="B27" i="3"/>
  <c r="D23" i="1"/>
  <c r="B19" i="3"/>
  <c r="D15" i="1"/>
  <c r="B11" i="3"/>
  <c r="D7" i="1"/>
  <c r="F66" i="3"/>
  <c r="B26" i="3"/>
  <c r="F70" i="3"/>
  <c r="F94" i="3"/>
  <c r="F89" i="3"/>
  <c r="F83" i="3"/>
  <c r="F82" i="3"/>
  <c r="F78" i="3"/>
  <c r="F90" i="3"/>
  <c r="F75" i="3"/>
  <c r="B75" i="3" s="1"/>
  <c r="F86" i="3"/>
  <c r="F68" i="3"/>
  <c r="F73" i="3"/>
  <c r="B73" i="3" s="1"/>
  <c r="F81" i="3"/>
  <c r="F74" i="3"/>
  <c r="B74" i="3" s="1"/>
  <c r="F65" i="3"/>
  <c r="F96" i="3"/>
  <c r="F88" i="3"/>
  <c r="F80" i="3"/>
  <c r="F72" i="3"/>
  <c r="F64" i="3"/>
  <c r="F95" i="3"/>
  <c r="F87" i="3"/>
  <c r="F79" i="3"/>
  <c r="F71" i="3"/>
  <c r="F63" i="3"/>
  <c r="F93" i="3"/>
  <c r="F85" i="3"/>
  <c r="F77" i="3"/>
  <c r="F69" i="3"/>
  <c r="F92" i="3"/>
  <c r="F84" i="3"/>
  <c r="F76" i="3"/>
  <c r="B76" i="3" s="1"/>
  <c r="F91" i="3"/>
  <c r="F67" i="3"/>
  <c r="AB15" i="3" l="1"/>
  <c r="AB57" i="3"/>
  <c r="AB29" i="3"/>
  <c r="AB51" i="3"/>
  <c r="AB33" i="3"/>
  <c r="AB37" i="3"/>
  <c r="W77" i="3"/>
  <c r="AD77" i="3" s="1"/>
  <c r="Y77" i="3" s="1"/>
  <c r="I77" i="3"/>
  <c r="W70" i="3"/>
  <c r="AD70" i="3" s="1"/>
  <c r="Y70" i="3" s="1"/>
  <c r="I70" i="3"/>
  <c r="I94" i="3"/>
  <c r="W94" i="3"/>
  <c r="X94" i="3" s="1"/>
  <c r="I93" i="3"/>
  <c r="W93" i="3"/>
  <c r="X93" i="3" s="1"/>
  <c r="I80" i="3"/>
  <c r="W80" i="3"/>
  <c r="X80" i="3" s="1"/>
  <c r="I85" i="3"/>
  <c r="W85" i="3"/>
  <c r="X85" i="3" s="1"/>
  <c r="I79" i="3"/>
  <c r="W79" i="3"/>
  <c r="X79" i="3" s="1"/>
  <c r="I92" i="3"/>
  <c r="W92" i="3"/>
  <c r="X92" i="3" s="1"/>
  <c r="I96" i="3"/>
  <c r="W96" i="3"/>
  <c r="X96" i="3" s="1"/>
  <c r="I95" i="3"/>
  <c r="W95" i="3"/>
  <c r="X95" i="3" s="1"/>
  <c r="I81" i="3"/>
  <c r="W81" i="3"/>
  <c r="X81" i="3" s="1"/>
  <c r="AA6" i="3"/>
  <c r="A22" i="1"/>
  <c r="B24" i="6" s="1"/>
  <c r="A46" i="1"/>
  <c r="B48" i="6" s="1"/>
  <c r="A24" i="1"/>
  <c r="B26" i="6" s="1"/>
  <c r="A28" i="1"/>
  <c r="B30" i="6" s="1"/>
  <c r="A37" i="1"/>
  <c r="B39" i="6" s="1"/>
  <c r="A52" i="1"/>
  <c r="B54" i="6" s="1"/>
  <c r="A17" i="1"/>
  <c r="B19" i="6" s="1"/>
  <c r="A32" i="1"/>
  <c r="B34" i="6" s="1"/>
  <c r="A10" i="1"/>
  <c r="B12" i="6" s="1"/>
  <c r="B86" i="3"/>
  <c r="B88" i="3"/>
  <c r="B90" i="3"/>
  <c r="B83" i="3"/>
  <c r="B91" i="3"/>
  <c r="B84" i="3"/>
  <c r="B89" i="3"/>
  <c r="B87" i="3"/>
  <c r="B82" i="3"/>
  <c r="B79" i="3"/>
  <c r="B72" i="3"/>
  <c r="B78" i="3"/>
  <c r="B77" i="3"/>
  <c r="B96" i="3"/>
  <c r="B92" i="3"/>
  <c r="B85" i="3"/>
  <c r="B94" i="3"/>
  <c r="B95" i="3"/>
  <c r="B93" i="3"/>
  <c r="B80" i="3"/>
  <c r="B81" i="3"/>
  <c r="D70" i="1"/>
  <c r="D65" i="1"/>
  <c r="E20" i="3"/>
  <c r="A15" i="1"/>
  <c r="E52" i="3"/>
  <c r="A47" i="1"/>
  <c r="E54" i="3"/>
  <c r="A49" i="1"/>
  <c r="E21" i="3"/>
  <c r="A16" i="1"/>
  <c r="E53" i="3"/>
  <c r="A48" i="1"/>
  <c r="E46" i="3"/>
  <c r="A41" i="1"/>
  <c r="E31" i="3"/>
  <c r="A26" i="1"/>
  <c r="E63" i="3"/>
  <c r="A58" i="1"/>
  <c r="E32" i="3"/>
  <c r="A27" i="1"/>
  <c r="E25" i="3"/>
  <c r="A20" i="1"/>
  <c r="E34" i="3"/>
  <c r="A29" i="1"/>
  <c r="E11" i="3"/>
  <c r="A6" i="1"/>
  <c r="E43" i="3"/>
  <c r="A38" i="1"/>
  <c r="D73" i="1"/>
  <c r="D60" i="1"/>
  <c r="D69" i="1"/>
  <c r="E28" i="3"/>
  <c r="A23" i="1"/>
  <c r="E39" i="3"/>
  <c r="A34" i="1"/>
  <c r="E19" i="3"/>
  <c r="A14" i="1"/>
  <c r="D63" i="1"/>
  <c r="D66" i="1"/>
  <c r="D59" i="1"/>
  <c r="D71" i="1"/>
  <c r="E36" i="3"/>
  <c r="A31" i="1"/>
  <c r="E14" i="3"/>
  <c r="A9" i="1"/>
  <c r="E47" i="3"/>
  <c r="A42" i="1"/>
  <c r="E16" i="3"/>
  <c r="A11" i="1"/>
  <c r="E9" i="3"/>
  <c r="A4" i="1"/>
  <c r="E41" i="3"/>
  <c r="A36" i="1"/>
  <c r="E18" i="3"/>
  <c r="A13" i="1"/>
  <c r="E50" i="3"/>
  <c r="A45" i="1"/>
  <c r="E59" i="3"/>
  <c r="A54" i="1"/>
  <c r="D68" i="1"/>
  <c r="D64" i="1"/>
  <c r="E60" i="3"/>
  <c r="A55" i="1"/>
  <c r="E40" i="3"/>
  <c r="A35" i="1"/>
  <c r="E61" i="3"/>
  <c r="A56" i="1"/>
  <c r="E62" i="3"/>
  <c r="A57" i="1"/>
  <c r="E8" i="3"/>
  <c r="A3" i="1"/>
  <c r="E48" i="3"/>
  <c r="A43" i="1"/>
  <c r="E10" i="3"/>
  <c r="A5" i="1"/>
  <c r="D72" i="1"/>
  <c r="D67" i="1"/>
  <c r="D62" i="1"/>
  <c r="D61" i="1"/>
  <c r="D74" i="1"/>
  <c r="E12" i="3"/>
  <c r="A7" i="1"/>
  <c r="E44" i="3"/>
  <c r="A39" i="1"/>
  <c r="E38" i="3"/>
  <c r="A33" i="1"/>
  <c r="E13" i="3"/>
  <c r="A8" i="1"/>
  <c r="E45" i="3"/>
  <c r="A40" i="1"/>
  <c r="E30" i="3"/>
  <c r="A25" i="1"/>
  <c r="E23" i="3"/>
  <c r="A18" i="1"/>
  <c r="E55" i="3"/>
  <c r="A50" i="1"/>
  <c r="E24" i="3"/>
  <c r="A19" i="1"/>
  <c r="E17" i="3"/>
  <c r="A12" i="1"/>
  <c r="E49" i="3"/>
  <c r="A44" i="1"/>
  <c r="E26" i="3"/>
  <c r="A21" i="1"/>
  <c r="E58" i="3"/>
  <c r="A53" i="1"/>
  <c r="E35" i="3"/>
  <c r="A30" i="1"/>
  <c r="E56" i="3"/>
  <c r="A51" i="1"/>
  <c r="D86" i="1"/>
  <c r="D75" i="1"/>
  <c r="D83" i="1"/>
  <c r="D91" i="1"/>
  <c r="D79" i="1"/>
  <c r="D85" i="1"/>
  <c r="D92" i="1"/>
  <c r="D80" i="1"/>
  <c r="D88" i="1"/>
  <c r="D78" i="1"/>
  <c r="D77" i="1"/>
  <c r="D81" i="1"/>
  <c r="D90" i="1"/>
  <c r="D89" i="1"/>
  <c r="D76" i="1"/>
  <c r="D82" i="1"/>
  <c r="D87" i="1"/>
  <c r="D84" i="1"/>
  <c r="B66" i="3"/>
  <c r="B70" i="3"/>
  <c r="B63" i="3"/>
  <c r="B69" i="3"/>
  <c r="B64" i="3"/>
  <c r="B68" i="3"/>
  <c r="B67" i="3"/>
  <c r="A72" i="1"/>
  <c r="B65" i="3"/>
  <c r="B71" i="3"/>
  <c r="AB22" i="3" l="1"/>
  <c r="K18" i="1" s="1"/>
  <c r="J18" i="1" s="1"/>
  <c r="AB42" i="3"/>
  <c r="K38" i="1" s="1"/>
  <c r="J38" i="1" s="1"/>
  <c r="AB70" i="3"/>
  <c r="AD95" i="3"/>
  <c r="AD80" i="3"/>
  <c r="AD96" i="3"/>
  <c r="AD92" i="3"/>
  <c r="AD93" i="3"/>
  <c r="AD85" i="3"/>
  <c r="AD81" i="3"/>
  <c r="AD79" i="3"/>
  <c r="AD94" i="3"/>
  <c r="W87" i="3"/>
  <c r="X87" i="3" s="1"/>
  <c r="W65" i="3"/>
  <c r="X65" i="3" s="1"/>
  <c r="W34" i="3"/>
  <c r="X34" i="3" s="1"/>
  <c r="W53" i="3"/>
  <c r="X53" i="3" s="1"/>
  <c r="W32" i="3"/>
  <c r="X32" i="3" s="1"/>
  <c r="W73" i="3"/>
  <c r="X73" i="3" s="1"/>
  <c r="W26" i="3"/>
  <c r="X26" i="3" s="1"/>
  <c r="W12" i="3"/>
  <c r="X12" i="3" s="1"/>
  <c r="W20" i="3"/>
  <c r="X20" i="3" s="1"/>
  <c r="W27" i="3"/>
  <c r="X27" i="3" s="1"/>
  <c r="W39" i="3"/>
  <c r="X39" i="3" s="1"/>
  <c r="W67" i="3"/>
  <c r="X67" i="3" s="1"/>
  <c r="W47" i="3"/>
  <c r="X47" i="3" s="1"/>
  <c r="I87" i="3"/>
  <c r="I65" i="3"/>
  <c r="I34" i="3"/>
  <c r="I32" i="3"/>
  <c r="I73" i="3"/>
  <c r="I26" i="3"/>
  <c r="I53" i="3"/>
  <c r="I12" i="3"/>
  <c r="I20" i="3"/>
  <c r="I27" i="3"/>
  <c r="I47" i="3"/>
  <c r="I67" i="3"/>
  <c r="I39" i="3"/>
  <c r="G92" i="1"/>
  <c r="G75" i="1"/>
  <c r="G91" i="1"/>
  <c r="G78" i="1"/>
  <c r="G87" i="1"/>
  <c r="G82" i="1"/>
  <c r="I14" i="1"/>
  <c r="K14" i="1"/>
  <c r="J14" i="1" s="1"/>
  <c r="I21" i="1"/>
  <c r="K21" i="1"/>
  <c r="J21" i="1" s="1"/>
  <c r="I25" i="1"/>
  <c r="K25" i="1"/>
  <c r="J25" i="1" s="1"/>
  <c r="I33" i="1"/>
  <c r="K33" i="1"/>
  <c r="J33" i="1" s="1"/>
  <c r="I39" i="1"/>
  <c r="K39" i="1"/>
  <c r="J39" i="1" s="1"/>
  <c r="I59" i="1"/>
  <c r="K59" i="1"/>
  <c r="J59" i="1" s="1"/>
  <c r="I20" i="1"/>
  <c r="K20" i="1"/>
  <c r="J20" i="1" s="1"/>
  <c r="I41" i="1"/>
  <c r="K41" i="1"/>
  <c r="J41" i="1" s="1"/>
  <c r="I3" i="1"/>
  <c r="K3" i="1"/>
  <c r="J3" i="1" s="1"/>
  <c r="I27" i="1"/>
  <c r="K27" i="1"/>
  <c r="J27" i="1" s="1"/>
  <c r="I54" i="1"/>
  <c r="K54" i="1"/>
  <c r="J54" i="1" s="1"/>
  <c r="I6" i="1"/>
  <c r="K6" i="1"/>
  <c r="J6" i="1" s="1"/>
  <c r="I15" i="1"/>
  <c r="K15" i="1"/>
  <c r="J15" i="1" s="1"/>
  <c r="I19" i="1"/>
  <c r="K19" i="1"/>
  <c r="J19" i="1" s="1"/>
  <c r="I4" i="1"/>
  <c r="K4" i="1"/>
  <c r="J4" i="1" s="1"/>
  <c r="I57" i="1"/>
  <c r="K57" i="1"/>
  <c r="J57" i="1" s="1"/>
  <c r="I29" i="1"/>
  <c r="K29" i="1"/>
  <c r="J29" i="1" s="1"/>
  <c r="I18" i="1"/>
  <c r="I42" i="1"/>
  <c r="K42" i="1"/>
  <c r="J42" i="1" s="1"/>
  <c r="I47" i="1"/>
  <c r="K47" i="1"/>
  <c r="J47" i="1" s="1"/>
  <c r="I55" i="1"/>
  <c r="K55" i="1"/>
  <c r="J55" i="1" s="1"/>
  <c r="I74" i="1"/>
  <c r="K74" i="1"/>
  <c r="J74" i="1" s="1"/>
  <c r="I26" i="1"/>
  <c r="K26" i="1"/>
  <c r="J26" i="1" s="1"/>
  <c r="I38" i="1"/>
  <c r="I53" i="1"/>
  <c r="K53" i="1"/>
  <c r="J53" i="1" s="1"/>
  <c r="I12" i="1"/>
  <c r="K12" i="1"/>
  <c r="J12" i="1" s="1"/>
  <c r="I58" i="1"/>
  <c r="K58" i="1"/>
  <c r="J58" i="1" s="1"/>
  <c r="I48" i="1"/>
  <c r="K48" i="1"/>
  <c r="J48" i="1" s="1"/>
  <c r="I40" i="1"/>
  <c r="K40" i="1"/>
  <c r="J40" i="1" s="1"/>
  <c r="I34" i="1"/>
  <c r="K34" i="1"/>
  <c r="J34" i="1" s="1"/>
  <c r="I67" i="1"/>
  <c r="K67" i="1"/>
  <c r="J67" i="1" s="1"/>
  <c r="I56" i="1"/>
  <c r="K56" i="1"/>
  <c r="J56" i="1" s="1"/>
  <c r="I11" i="1"/>
  <c r="K11" i="1"/>
  <c r="J11" i="1" s="1"/>
  <c r="I13" i="1"/>
  <c r="K13" i="1"/>
  <c r="J13" i="1" s="1"/>
  <c r="I5" i="1"/>
  <c r="K5" i="1"/>
  <c r="J5" i="1" s="1"/>
  <c r="AA33" i="3"/>
  <c r="AA43" i="3"/>
  <c r="AA30" i="3"/>
  <c r="AA10" i="3"/>
  <c r="AA71" i="3"/>
  <c r="AA42" i="3"/>
  <c r="AA24" i="3"/>
  <c r="AA45" i="3"/>
  <c r="AA31" i="3"/>
  <c r="AA62" i="3"/>
  <c r="AA78" i="3"/>
  <c r="AA58" i="3"/>
  <c r="AA22" i="3"/>
  <c r="AA63" i="3"/>
  <c r="AA18" i="3"/>
  <c r="AA57" i="3"/>
  <c r="AA19" i="3"/>
  <c r="AA7" i="3"/>
  <c r="AA25" i="3"/>
  <c r="AA16" i="3"/>
  <c r="AA46" i="3"/>
  <c r="AA23" i="3"/>
  <c r="AA51" i="3"/>
  <c r="AA29" i="3"/>
  <c r="AA59" i="3"/>
  <c r="AA8" i="3"/>
  <c r="AA52" i="3"/>
  <c r="AA44" i="3"/>
  <c r="AA60" i="3"/>
  <c r="AA61" i="3"/>
  <c r="AA15" i="3"/>
  <c r="AA37" i="3"/>
  <c r="AA17" i="3"/>
  <c r="AA38" i="3"/>
  <c r="AA9" i="3"/>
  <c r="C46" i="1"/>
  <c r="C45" i="1"/>
  <c r="C34" i="1"/>
  <c r="C39" i="1"/>
  <c r="C28" i="1"/>
  <c r="C49" i="1"/>
  <c r="C16" i="1"/>
  <c r="A65" i="1"/>
  <c r="B67" i="6" s="1"/>
  <c r="C4" i="1"/>
  <c r="C56" i="1"/>
  <c r="C14" i="1"/>
  <c r="C43" i="1"/>
  <c r="C24" i="1"/>
  <c r="C51" i="1"/>
  <c r="C36" i="1"/>
  <c r="C13" i="1"/>
  <c r="C40" i="1"/>
  <c r="C7" i="1"/>
  <c r="C17" i="1"/>
  <c r="C58" i="1"/>
  <c r="C37" i="1"/>
  <c r="C10" i="1"/>
  <c r="C22" i="1"/>
  <c r="C42" i="1"/>
  <c r="C12" i="1"/>
  <c r="C52" i="1"/>
  <c r="C19" i="1"/>
  <c r="C31" i="1"/>
  <c r="C26" i="1"/>
  <c r="C59" i="1"/>
  <c r="A61" i="1"/>
  <c r="B63" i="6" s="1"/>
  <c r="A62" i="1"/>
  <c r="B64" i="6" s="1"/>
  <c r="C54" i="1"/>
  <c r="C20" i="1"/>
  <c r="C41" i="1"/>
  <c r="C8" i="1"/>
  <c r="C30" i="1"/>
  <c r="C27" i="1"/>
  <c r="C50" i="1"/>
  <c r="C9" i="1"/>
  <c r="C21" i="1"/>
  <c r="C48" i="1"/>
  <c r="C44" i="1"/>
  <c r="C35" i="1"/>
  <c r="C6" i="1"/>
  <c r="C57" i="1"/>
  <c r="C55" i="1"/>
  <c r="C5" i="1"/>
  <c r="C32" i="1"/>
  <c r="C15" i="1"/>
  <c r="B35" i="6"/>
  <c r="B29" i="6"/>
  <c r="B5" i="6"/>
  <c r="B32" i="6"/>
  <c r="B27" i="6"/>
  <c r="B41" i="6"/>
  <c r="B8" i="6"/>
  <c r="B60" i="6"/>
  <c r="B18" i="6"/>
  <c r="B59" i="6"/>
  <c r="B38" i="6"/>
  <c r="B11" i="6"/>
  <c r="B53" i="6"/>
  <c r="B40" i="6"/>
  <c r="B17" i="6"/>
  <c r="B15" i="6"/>
  <c r="B14" i="6"/>
  <c r="B21" i="6"/>
  <c r="B9" i="6"/>
  <c r="B28" i="6"/>
  <c r="B56" i="6"/>
  <c r="B6" i="6"/>
  <c r="B16" i="6"/>
  <c r="B46" i="6"/>
  <c r="B50" i="6"/>
  <c r="B57" i="6"/>
  <c r="B7" i="6"/>
  <c r="B33" i="6"/>
  <c r="B74" i="6"/>
  <c r="B23" i="6"/>
  <c r="B52" i="6"/>
  <c r="B10" i="6"/>
  <c r="B22" i="6"/>
  <c r="B43" i="6"/>
  <c r="B49" i="6"/>
  <c r="B20" i="6"/>
  <c r="B44" i="6"/>
  <c r="B25" i="6"/>
  <c r="B55" i="6"/>
  <c r="B42" i="6"/>
  <c r="B31" i="6"/>
  <c r="B51" i="6"/>
  <c r="B58" i="6"/>
  <c r="B45" i="6"/>
  <c r="B37" i="6"/>
  <c r="B47" i="6"/>
  <c r="B13" i="6"/>
  <c r="B36" i="6"/>
  <c r="E73" i="3"/>
  <c r="A68" i="1"/>
  <c r="E76" i="3"/>
  <c r="A71" i="1"/>
  <c r="E79" i="3"/>
  <c r="A74" i="1"/>
  <c r="E64" i="3"/>
  <c r="A59" i="1"/>
  <c r="E71" i="3"/>
  <c r="A66" i="1"/>
  <c r="E68" i="3"/>
  <c r="A63" i="1"/>
  <c r="E75" i="3"/>
  <c r="A70" i="1"/>
  <c r="E65" i="3"/>
  <c r="A60" i="1"/>
  <c r="E74" i="3"/>
  <c r="A69" i="1"/>
  <c r="E78" i="3"/>
  <c r="A73" i="1"/>
  <c r="E69" i="3"/>
  <c r="A64" i="1"/>
  <c r="E72" i="3"/>
  <c r="A67" i="1"/>
  <c r="A92" i="1"/>
  <c r="A87" i="1"/>
  <c r="A82" i="1"/>
  <c r="A80" i="1"/>
  <c r="E89" i="3"/>
  <c r="A84" i="1"/>
  <c r="E94" i="3"/>
  <c r="A89" i="1"/>
  <c r="E93" i="3"/>
  <c r="A88" i="1"/>
  <c r="E86" i="3"/>
  <c r="A81" i="1"/>
  <c r="E90" i="3"/>
  <c r="A85" i="1"/>
  <c r="E96" i="3"/>
  <c r="A91" i="1"/>
  <c r="E88" i="3"/>
  <c r="A83" i="1"/>
  <c r="E95" i="3"/>
  <c r="A90" i="1"/>
  <c r="E91" i="3"/>
  <c r="A86" i="1"/>
  <c r="E83" i="3"/>
  <c r="A78" i="1"/>
  <c r="E80" i="3"/>
  <c r="A75" i="1"/>
  <c r="E84" i="3"/>
  <c r="A79" i="1"/>
  <c r="E81" i="3"/>
  <c r="A76" i="1"/>
  <c r="E82" i="3"/>
  <c r="A77" i="1"/>
  <c r="B6" i="3"/>
  <c r="AD12" i="3" l="1"/>
  <c r="Y12" i="3" s="1"/>
  <c r="I40" i="3"/>
  <c r="I74" i="3"/>
  <c r="I54" i="3"/>
  <c r="I35" i="3"/>
  <c r="I66" i="3"/>
  <c r="I21" i="3"/>
  <c r="I48" i="3"/>
  <c r="I28" i="3"/>
  <c r="Y94" i="3"/>
  <c r="I90" i="1" s="1"/>
  <c r="Y95" i="3"/>
  <c r="AB95" i="3" s="1"/>
  <c r="Y80" i="3"/>
  <c r="AB80" i="3" s="1"/>
  <c r="Y79" i="3"/>
  <c r="AB79" i="3" s="1"/>
  <c r="K75" i="1" s="1"/>
  <c r="J75" i="1" s="1"/>
  <c r="Y92" i="3"/>
  <c r="AB92" i="3" s="1"/>
  <c r="Y96" i="3"/>
  <c r="AB96" i="3" s="1"/>
  <c r="K92" i="1" s="1"/>
  <c r="J92" i="1" s="1"/>
  <c r="Y81" i="3"/>
  <c r="I77" i="1" s="1"/>
  <c r="Y85" i="3"/>
  <c r="AB85" i="3" s="1"/>
  <c r="Y93" i="3"/>
  <c r="AB93" i="3" s="1"/>
  <c r="AB77" i="3"/>
  <c r="K73" i="1" s="1"/>
  <c r="J73" i="1" s="1"/>
  <c r="I68" i="3"/>
  <c r="AD47" i="3"/>
  <c r="AD53" i="3"/>
  <c r="AD39" i="3"/>
  <c r="AD20" i="3"/>
  <c r="AD87" i="3"/>
  <c r="AD32" i="3"/>
  <c r="AD67" i="3"/>
  <c r="AD34" i="3"/>
  <c r="AD27" i="3"/>
  <c r="AD65" i="3"/>
  <c r="AD26" i="3"/>
  <c r="AD73" i="3"/>
  <c r="I13" i="3"/>
  <c r="W48" i="3"/>
  <c r="X48" i="3" s="1"/>
  <c r="W68" i="3"/>
  <c r="X68" i="3" s="1"/>
  <c r="W54" i="3"/>
  <c r="X54" i="3" s="1"/>
  <c r="W40" i="3"/>
  <c r="X40" i="3" s="1"/>
  <c r="W28" i="3"/>
  <c r="X28" i="3" s="1"/>
  <c r="W66" i="3"/>
  <c r="X66" i="3" s="1"/>
  <c r="W13" i="3"/>
  <c r="X13" i="3" s="1"/>
  <c r="W74" i="3"/>
  <c r="X74" i="3" s="1"/>
  <c r="W35" i="3"/>
  <c r="X35" i="3" s="1"/>
  <c r="W21" i="3"/>
  <c r="X21" i="3" s="1"/>
  <c r="I82" i="3"/>
  <c r="W82" i="3"/>
  <c r="X82" i="3" s="1"/>
  <c r="I88" i="3"/>
  <c r="W88" i="3"/>
  <c r="X88" i="3" s="1"/>
  <c r="I86" i="3"/>
  <c r="W86" i="3"/>
  <c r="X86" i="3" s="1"/>
  <c r="G79" i="1"/>
  <c r="G84" i="1"/>
  <c r="G76" i="1"/>
  <c r="G80" i="1"/>
  <c r="G90" i="1"/>
  <c r="G86" i="1"/>
  <c r="G83" i="1"/>
  <c r="G81" i="1"/>
  <c r="G77" i="1"/>
  <c r="G89" i="1"/>
  <c r="G85" i="1"/>
  <c r="G88" i="1"/>
  <c r="G60" i="1"/>
  <c r="G65" i="1"/>
  <c r="G70" i="1"/>
  <c r="G58" i="1"/>
  <c r="G68" i="1"/>
  <c r="G73" i="1"/>
  <c r="G61" i="1"/>
  <c r="G71" i="1"/>
  <c r="G69" i="1"/>
  <c r="G67" i="1"/>
  <c r="G62" i="1"/>
  <c r="G66" i="1"/>
  <c r="G63" i="1"/>
  <c r="G74" i="1"/>
  <c r="G64" i="1"/>
  <c r="G59" i="1"/>
  <c r="G72" i="1"/>
  <c r="G52" i="1"/>
  <c r="G49" i="1"/>
  <c r="G50" i="1"/>
  <c r="G55" i="1"/>
  <c r="G45" i="1"/>
  <c r="G57" i="1"/>
  <c r="G53" i="1"/>
  <c r="G42" i="1"/>
  <c r="G46" i="1"/>
  <c r="G44" i="1"/>
  <c r="G47" i="1"/>
  <c r="G43" i="1"/>
  <c r="G48" i="1"/>
  <c r="G51" i="1"/>
  <c r="G56" i="1"/>
  <c r="G54" i="1"/>
  <c r="G41" i="1"/>
  <c r="G30" i="1"/>
  <c r="G35" i="1"/>
  <c r="G40" i="1"/>
  <c r="G33" i="1"/>
  <c r="G34" i="1"/>
  <c r="G27" i="1"/>
  <c r="G32" i="1"/>
  <c r="G38" i="1"/>
  <c r="G31" i="1"/>
  <c r="G37" i="1"/>
  <c r="G28" i="1"/>
  <c r="G39" i="1"/>
  <c r="G36" i="1"/>
  <c r="G26" i="1"/>
  <c r="G29" i="1"/>
  <c r="G21" i="1"/>
  <c r="G19" i="1"/>
  <c r="G15" i="1"/>
  <c r="G20" i="1"/>
  <c r="G14" i="1"/>
  <c r="G22" i="1"/>
  <c r="G23" i="1"/>
  <c r="G16" i="1"/>
  <c r="G25" i="1"/>
  <c r="G13" i="1"/>
  <c r="G24" i="1"/>
  <c r="G12" i="1"/>
  <c r="G17" i="1"/>
  <c r="G18" i="1"/>
  <c r="I68" i="1"/>
  <c r="I73" i="1"/>
  <c r="I66" i="1"/>
  <c r="K66" i="1"/>
  <c r="J66" i="1" s="1"/>
  <c r="I60" i="1"/>
  <c r="K60" i="1"/>
  <c r="J60" i="1" s="1"/>
  <c r="AA70" i="3"/>
  <c r="AA72" i="3"/>
  <c r="AA77" i="3"/>
  <c r="AA64" i="3"/>
  <c r="K68" i="1"/>
  <c r="J68" i="1" s="1"/>
  <c r="C70" i="1"/>
  <c r="C69" i="1"/>
  <c r="C61" i="1"/>
  <c r="C68" i="1"/>
  <c r="C60" i="1"/>
  <c r="C71" i="1"/>
  <c r="C67" i="1"/>
  <c r="C65" i="1"/>
  <c r="C75" i="1"/>
  <c r="C74" i="1"/>
  <c r="C64" i="1"/>
  <c r="C72" i="1"/>
  <c r="B71" i="6"/>
  <c r="B70" i="6"/>
  <c r="B68" i="6"/>
  <c r="B75" i="6"/>
  <c r="B65" i="6"/>
  <c r="B73" i="6"/>
  <c r="B66" i="6"/>
  <c r="B72" i="6"/>
  <c r="B76" i="6"/>
  <c r="B69" i="6"/>
  <c r="B62" i="6"/>
  <c r="B61" i="6"/>
  <c r="B89" i="6"/>
  <c r="C76" i="1"/>
  <c r="C89" i="1"/>
  <c r="B94" i="6"/>
  <c r="B80" i="6"/>
  <c r="C92" i="1"/>
  <c r="C90" i="1"/>
  <c r="B78" i="6"/>
  <c r="B88" i="6"/>
  <c r="B87" i="6"/>
  <c r="B86" i="6"/>
  <c r="C77" i="1"/>
  <c r="B79" i="6"/>
  <c r="B93" i="6"/>
  <c r="B91" i="6"/>
  <c r="B77" i="6"/>
  <c r="B85" i="6"/>
  <c r="B90" i="6"/>
  <c r="B81" i="6"/>
  <c r="B92" i="6"/>
  <c r="B83" i="6"/>
  <c r="B82" i="6"/>
  <c r="C91" i="1"/>
  <c r="B84" i="6"/>
  <c r="C78" i="1"/>
  <c r="C79" i="1"/>
  <c r="C80" i="1"/>
  <c r="C82" i="1"/>
  <c r="C84" i="1"/>
  <c r="C87" i="1"/>
  <c r="C86" i="1"/>
  <c r="C85" i="1"/>
  <c r="E7" i="3"/>
  <c r="A2" i="1"/>
  <c r="B4" i="6" s="1"/>
  <c r="I75" i="3" l="1"/>
  <c r="I49" i="3"/>
  <c r="I55" i="3"/>
  <c r="I89" i="3"/>
  <c r="I83" i="3"/>
  <c r="I69" i="3"/>
  <c r="I36" i="3"/>
  <c r="I41" i="3"/>
  <c r="Y67" i="3"/>
  <c r="I63" i="1" s="1"/>
  <c r="Y87" i="3"/>
  <c r="AB87" i="3" s="1"/>
  <c r="Y73" i="3"/>
  <c r="AB73" i="3" s="1"/>
  <c r="Y65" i="3"/>
  <c r="AB65" i="3" s="1"/>
  <c r="K61" i="1" s="1"/>
  <c r="J61" i="1" s="1"/>
  <c r="Y53" i="3"/>
  <c r="AB53" i="3" s="1"/>
  <c r="Y47" i="3"/>
  <c r="AB47" i="3" s="1"/>
  <c r="K43" i="1" s="1"/>
  <c r="J43" i="1" s="1"/>
  <c r="Y39" i="3"/>
  <c r="AB39" i="3" s="1"/>
  <c r="Y34" i="3"/>
  <c r="AB34" i="3" s="1"/>
  <c r="Y32" i="3"/>
  <c r="AB32" i="3" s="1"/>
  <c r="Y27" i="3"/>
  <c r="AB27" i="3" s="1"/>
  <c r="K23" i="1" s="1"/>
  <c r="J23" i="1" s="1"/>
  <c r="Y26" i="3"/>
  <c r="AB26" i="3" s="1"/>
  <c r="K22" i="1" s="1"/>
  <c r="J22" i="1" s="1"/>
  <c r="Y20" i="3"/>
  <c r="AB20" i="3" s="1"/>
  <c r="AA94" i="3"/>
  <c r="AA85" i="3"/>
  <c r="AA96" i="3"/>
  <c r="I89" i="1"/>
  <c r="AA80" i="3"/>
  <c r="AB94" i="3"/>
  <c r="K90" i="1" s="1"/>
  <c r="J90" i="1" s="1"/>
  <c r="AB81" i="3"/>
  <c r="K77" i="1" s="1"/>
  <c r="J77" i="1" s="1"/>
  <c r="AA79" i="3"/>
  <c r="AB12" i="3"/>
  <c r="K89" i="1"/>
  <c r="J89" i="1" s="1"/>
  <c r="K76" i="1"/>
  <c r="J76" i="1" s="1"/>
  <c r="AA81" i="3"/>
  <c r="I76" i="1"/>
  <c r="I91" i="1"/>
  <c r="I92" i="1"/>
  <c r="AA92" i="3"/>
  <c r="K88" i="1"/>
  <c r="J88" i="1" s="1"/>
  <c r="AA93" i="3"/>
  <c r="I88" i="1"/>
  <c r="K81" i="1"/>
  <c r="J81" i="1" s="1"/>
  <c r="AA95" i="3"/>
  <c r="I75" i="1"/>
  <c r="K91" i="1"/>
  <c r="J91" i="1" s="1"/>
  <c r="I81" i="1"/>
  <c r="AD13" i="3"/>
  <c r="AD88" i="3"/>
  <c r="AD66" i="3"/>
  <c r="AD28" i="3"/>
  <c r="AD40" i="3"/>
  <c r="AD21" i="3"/>
  <c r="AD48" i="3"/>
  <c r="AD82" i="3"/>
  <c r="AD35" i="3"/>
  <c r="AD54" i="3"/>
  <c r="AD86" i="3"/>
  <c r="AD74" i="3"/>
  <c r="AD68" i="3"/>
  <c r="I14" i="3"/>
  <c r="W83" i="3"/>
  <c r="X83" i="3" s="1"/>
  <c r="W14" i="3"/>
  <c r="X14" i="3" s="1"/>
  <c r="W55" i="3"/>
  <c r="X55" i="3" s="1"/>
  <c r="W75" i="3"/>
  <c r="X75" i="3" s="1"/>
  <c r="W69" i="3"/>
  <c r="X69" i="3" s="1"/>
  <c r="W41" i="3"/>
  <c r="X41" i="3" s="1"/>
  <c r="W36" i="3"/>
  <c r="X36" i="3" s="1"/>
  <c r="W49" i="3"/>
  <c r="X49" i="3" s="1"/>
  <c r="W89" i="3"/>
  <c r="X89" i="3" s="1"/>
  <c r="C3" i="1"/>
  <c r="P2" i="3"/>
  <c r="O2" i="3"/>
  <c r="I76" i="3" l="1"/>
  <c r="I56" i="3"/>
  <c r="I84" i="3"/>
  <c r="I90" i="3"/>
  <c r="I50" i="3"/>
  <c r="Y82" i="3"/>
  <c r="I78" i="1" s="1"/>
  <c r="Y88" i="3"/>
  <c r="AB88" i="3" s="1"/>
  <c r="Y68" i="3"/>
  <c r="AA68" i="3" s="1"/>
  <c r="Y74" i="3"/>
  <c r="AB74" i="3" s="1"/>
  <c r="Y86" i="3"/>
  <c r="AB86" i="3" s="1"/>
  <c r="Y66" i="3"/>
  <c r="I62" i="1" s="1"/>
  <c r="Y48" i="3"/>
  <c r="AA48" i="3" s="1"/>
  <c r="Y54" i="3"/>
  <c r="AB54" i="3" s="1"/>
  <c r="K50" i="1" s="1"/>
  <c r="J50" i="1" s="1"/>
  <c r="Y35" i="3"/>
  <c r="I31" i="1" s="1"/>
  <c r="Y40" i="3"/>
  <c r="I36" i="1" s="1"/>
  <c r="Y21" i="3"/>
  <c r="AB21" i="3" s="1"/>
  <c r="Y28" i="3"/>
  <c r="AB28" i="3" s="1"/>
  <c r="Y13" i="3"/>
  <c r="AB13" i="3" s="1"/>
  <c r="AA87" i="3"/>
  <c r="I49" i="1"/>
  <c r="I83" i="1"/>
  <c r="AB67" i="3"/>
  <c r="K63" i="1" s="1"/>
  <c r="J63" i="1" s="1"/>
  <c r="AA32" i="3"/>
  <c r="I61" i="1"/>
  <c r="AA39" i="3"/>
  <c r="K49" i="1"/>
  <c r="J49" i="1" s="1"/>
  <c r="I30" i="1"/>
  <c r="I43" i="1"/>
  <c r="K83" i="1"/>
  <c r="J83" i="1" s="1"/>
  <c r="K28" i="1"/>
  <c r="J28" i="1" s="1"/>
  <c r="AA53" i="3"/>
  <c r="K30" i="1"/>
  <c r="J30" i="1" s="1"/>
  <c r="K35" i="1"/>
  <c r="J35" i="1" s="1"/>
  <c r="AA73" i="3"/>
  <c r="I35" i="1"/>
  <c r="AA20" i="3"/>
  <c r="I69" i="1"/>
  <c r="AA12" i="3"/>
  <c r="I22" i="1"/>
  <c r="I8" i="1"/>
  <c r="I28" i="1"/>
  <c r="I16" i="1"/>
  <c r="I23" i="1"/>
  <c r="K69" i="1"/>
  <c r="J69" i="1" s="1"/>
  <c r="AA26" i="3"/>
  <c r="AD69" i="3"/>
  <c r="AD75" i="3"/>
  <c r="AD55" i="3"/>
  <c r="AD14" i="3"/>
  <c r="AD83" i="3"/>
  <c r="AD89" i="3"/>
  <c r="AD49" i="3"/>
  <c r="AD36" i="3"/>
  <c r="AD41" i="3"/>
  <c r="W84" i="3"/>
  <c r="X84" i="3" s="1"/>
  <c r="W50" i="3"/>
  <c r="X50" i="3" s="1"/>
  <c r="W56" i="3"/>
  <c r="X56" i="3" s="1"/>
  <c r="W76" i="3"/>
  <c r="X76" i="3" s="1"/>
  <c r="W90" i="3"/>
  <c r="X90" i="3" s="1"/>
  <c r="K16" i="1"/>
  <c r="J16" i="1" s="1"/>
  <c r="K8" i="1"/>
  <c r="J8" i="1" s="1"/>
  <c r="AA65" i="3"/>
  <c r="AA27" i="3"/>
  <c r="AA34" i="3"/>
  <c r="AA67" i="3"/>
  <c r="AA47" i="3"/>
  <c r="Q2" i="3"/>
  <c r="I91" i="3" l="1"/>
  <c r="Y75" i="3"/>
  <c r="AB75" i="3" s="1"/>
  <c r="Y69" i="3"/>
  <c r="AB69" i="3" s="1"/>
  <c r="Y89" i="3"/>
  <c r="AB89" i="3" s="1"/>
  <c r="K85" i="1" s="1"/>
  <c r="J85" i="1" s="1"/>
  <c r="Y83" i="3"/>
  <c r="I79" i="1" s="1"/>
  <c r="Y55" i="3"/>
  <c r="AB55" i="3" s="1"/>
  <c r="K51" i="1" s="1"/>
  <c r="J51" i="1" s="1"/>
  <c r="Y49" i="3"/>
  <c r="AB49" i="3" s="1"/>
  <c r="K45" i="1" s="1"/>
  <c r="J45" i="1" s="1"/>
  <c r="Y41" i="3"/>
  <c r="AB41" i="3" s="1"/>
  <c r="Y36" i="3"/>
  <c r="AB36" i="3" s="1"/>
  <c r="K32" i="1" s="1"/>
  <c r="J32" i="1" s="1"/>
  <c r="Y14" i="3"/>
  <c r="AB14" i="3" s="1"/>
  <c r="AA21" i="3"/>
  <c r="AA40" i="3"/>
  <c r="I84" i="1"/>
  <c r="I70" i="1"/>
  <c r="I82" i="1"/>
  <c r="AB66" i="3"/>
  <c r="K62" i="1" s="1"/>
  <c r="J62" i="1" s="1"/>
  <c r="AB40" i="3"/>
  <c r="K36" i="1" s="1"/>
  <c r="J36" i="1" s="1"/>
  <c r="AA35" i="3"/>
  <c r="AB35" i="3"/>
  <c r="K31" i="1" s="1"/>
  <c r="J31" i="1" s="1"/>
  <c r="AB68" i="3"/>
  <c r="K64" i="1" s="1"/>
  <c r="J64" i="1" s="1"/>
  <c r="AB82" i="3"/>
  <c r="K78" i="1" s="1"/>
  <c r="J78" i="1" s="1"/>
  <c r="AB48" i="3"/>
  <c r="K44" i="1" s="1"/>
  <c r="J44" i="1" s="1"/>
  <c r="I44" i="1"/>
  <c r="K82" i="1"/>
  <c r="J82" i="1" s="1"/>
  <c r="K17" i="1"/>
  <c r="J17" i="1" s="1"/>
  <c r="K84" i="1"/>
  <c r="J84" i="1" s="1"/>
  <c r="AA13" i="3"/>
  <c r="AA82" i="3"/>
  <c r="AA28" i="3"/>
  <c r="I9" i="1"/>
  <c r="AA88" i="3"/>
  <c r="I50" i="1"/>
  <c r="AA86" i="3"/>
  <c r="AA54" i="3"/>
  <c r="I24" i="1"/>
  <c r="K9" i="1"/>
  <c r="J9" i="1" s="1"/>
  <c r="I17" i="1"/>
  <c r="K70" i="1"/>
  <c r="J70" i="1" s="1"/>
  <c r="AA66" i="3"/>
  <c r="I64" i="1"/>
  <c r="AD90" i="3"/>
  <c r="AD76" i="3"/>
  <c r="AD56" i="3"/>
  <c r="AD50" i="3"/>
  <c r="AD84" i="3"/>
  <c r="W91" i="3"/>
  <c r="X91" i="3" s="1"/>
  <c r="AA74" i="3"/>
  <c r="K24" i="1"/>
  <c r="J24" i="1" s="1"/>
  <c r="Y84" i="3" l="1"/>
  <c r="AB84" i="3" s="1"/>
  <c r="K80" i="1" s="1"/>
  <c r="J80" i="1" s="1"/>
  <c r="Y76" i="3"/>
  <c r="AB76" i="3" s="1"/>
  <c r="Y90" i="3"/>
  <c r="AB90" i="3" s="1"/>
  <c r="Y50" i="3"/>
  <c r="AB50" i="3" s="1"/>
  <c r="Y56" i="3"/>
  <c r="AB56" i="3" s="1"/>
  <c r="AB83" i="3"/>
  <c r="K79" i="1" s="1"/>
  <c r="J79" i="1" s="1"/>
  <c r="I65" i="1"/>
  <c r="I10" i="1"/>
  <c r="AA41" i="3"/>
  <c r="I37" i="1"/>
  <c r="I32" i="1"/>
  <c r="AA55" i="3"/>
  <c r="I45" i="1"/>
  <c r="I85" i="1"/>
  <c r="AA14" i="3"/>
  <c r="I51" i="1"/>
  <c r="AA83" i="3"/>
  <c r="K10" i="1"/>
  <c r="J10" i="1" s="1"/>
  <c r="AA36" i="3"/>
  <c r="AA69" i="3"/>
  <c r="AA75" i="3"/>
  <c r="I71" i="1"/>
  <c r="AD91" i="3"/>
  <c r="K65" i="1"/>
  <c r="J65" i="1" s="1"/>
  <c r="K37" i="1"/>
  <c r="J37" i="1" s="1"/>
  <c r="AA49" i="3"/>
  <c r="AA89" i="3"/>
  <c r="K71" i="1"/>
  <c r="J71" i="1" s="1"/>
  <c r="M2" i="3"/>
  <c r="Y91" i="3" l="1"/>
  <c r="AB91" i="3" s="1"/>
  <c r="AA56" i="3"/>
  <c r="K52" i="1"/>
  <c r="J52" i="1" s="1"/>
  <c r="I80" i="1"/>
  <c r="AA84" i="3"/>
  <c r="I72" i="1"/>
  <c r="I52" i="1"/>
  <c r="AA76" i="3"/>
  <c r="AA50" i="3"/>
  <c r="I46" i="1"/>
  <c r="AA90" i="3"/>
  <c r="I86" i="1"/>
  <c r="K86" i="1"/>
  <c r="J86" i="1" s="1"/>
  <c r="K46" i="1"/>
  <c r="J46" i="1" s="1"/>
  <c r="K72" i="1"/>
  <c r="J72" i="1" s="1"/>
  <c r="N2" i="3"/>
  <c r="I87" i="1" l="1"/>
  <c r="AA91" i="3"/>
  <c r="K87" i="1"/>
  <c r="J87" i="1" s="1"/>
  <c r="R13" i="5" l="1" a="1"/>
  <c r="J50" i="3" l="1"/>
  <c r="J66" i="3"/>
  <c r="J91" i="3"/>
  <c r="J47" i="3"/>
  <c r="J55" i="3"/>
  <c r="J79" i="3"/>
  <c r="J7" i="3"/>
  <c r="J52" i="3"/>
  <c r="J78" i="3"/>
  <c r="J87" i="3"/>
  <c r="J51" i="3"/>
  <c r="J80" i="3"/>
  <c r="J36" i="3"/>
  <c r="J24" i="3"/>
  <c r="J75" i="3"/>
  <c r="J86" i="3"/>
  <c r="J31" i="3"/>
  <c r="J11" i="3"/>
  <c r="J16" i="3"/>
  <c r="J83" i="3"/>
  <c r="J23" i="3"/>
  <c r="J53" i="3"/>
  <c r="J13" i="3"/>
  <c r="J30" i="3"/>
  <c r="S30" i="3" s="1" a="1"/>
  <c r="S30" i="3" s="1"/>
  <c r="M26" i="1" s="1"/>
  <c r="J38" i="3"/>
  <c r="J45" i="3"/>
  <c r="J73" i="3"/>
  <c r="J29" i="3"/>
  <c r="J65" i="3"/>
  <c r="J25" i="3"/>
  <c r="J61" i="3"/>
  <c r="J84" i="3"/>
  <c r="J69" i="3"/>
  <c r="J63" i="3"/>
  <c r="J49" i="3"/>
  <c r="J62" i="3"/>
  <c r="J48" i="3"/>
  <c r="J72" i="3"/>
  <c r="J58" i="3"/>
  <c r="J67" i="3"/>
  <c r="J90" i="3"/>
  <c r="J43" i="3"/>
  <c r="J56" i="3"/>
  <c r="J71" i="3"/>
  <c r="AH100" i="3"/>
  <c r="AH101" i="3" s="1"/>
  <c r="J18" i="3"/>
  <c r="J37" i="3"/>
  <c r="J10" i="3"/>
  <c r="J27" i="3"/>
  <c r="J64" i="3"/>
  <c r="J6" i="3"/>
  <c r="J44" i="3"/>
  <c r="J33" i="3"/>
  <c r="J12" i="3"/>
  <c r="J92" i="3"/>
  <c r="J68" i="3"/>
  <c r="S68" i="3" s="1" a="1"/>
  <c r="S68" i="3" s="1"/>
  <c r="M64" i="1" s="1"/>
  <c r="J42" i="3"/>
  <c r="J54" i="3"/>
  <c r="J89" i="3"/>
  <c r="J26" i="3"/>
  <c r="J15" i="3"/>
  <c r="J20" i="3"/>
  <c r="J34" i="3"/>
  <c r="J32" i="3"/>
  <c r="J60" i="3"/>
  <c r="J14" i="3"/>
  <c r="J19" i="3"/>
  <c r="J77" i="3"/>
  <c r="J59" i="3"/>
  <c r="J35" i="3"/>
  <c r="J22" i="3"/>
  <c r="J8" i="3"/>
  <c r="J76" i="3"/>
  <c r="J57" i="3"/>
  <c r="J74" i="3"/>
  <c r="J28" i="3"/>
  <c r="J9" i="3"/>
  <c r="J81" i="3"/>
  <c r="J40" i="3"/>
  <c r="J46" i="3"/>
  <c r="J88" i="3"/>
  <c r="J82" i="3"/>
  <c r="J95" i="3"/>
  <c r="J96" i="3"/>
  <c r="J85" i="3"/>
  <c r="J41" i="3"/>
  <c r="J21" i="3"/>
  <c r="J17" i="3"/>
  <c r="J94" i="3"/>
  <c r="J93" i="3"/>
  <c r="J70" i="3"/>
  <c r="J39" i="3"/>
  <c r="S32" i="3" l="1" a="1"/>
  <c r="S32" i="3" s="1"/>
  <c r="M28" i="1" s="1"/>
  <c r="S88" i="3" a="1"/>
  <c r="S88" i="3" s="1"/>
  <c r="M84" i="1" s="1"/>
  <c r="S63" i="3" a="1"/>
  <c r="S63" i="3" s="1"/>
  <c r="M59" i="1" s="1"/>
  <c r="S96" i="3" a="1"/>
  <c r="S96" i="3" s="1"/>
  <c r="M92" i="1" s="1"/>
  <c r="S85" i="3" a="1"/>
  <c r="S85" i="3" s="1"/>
  <c r="M81" i="1" s="1"/>
  <c r="S27" i="3" a="1"/>
  <c r="S27" i="3" s="1"/>
  <c r="M23" i="1" s="1"/>
  <c r="S13" i="3" a="1"/>
  <c r="S13" i="3" s="1"/>
  <c r="M9" i="1" s="1"/>
  <c r="S7" i="3" a="1"/>
  <c r="S7" i="3" s="1"/>
  <c r="M3" i="1" s="1"/>
  <c r="S70" i="3" a="1"/>
  <c r="S70" i="3" s="1"/>
  <c r="M66" i="1" s="1"/>
  <c r="S83" i="3" a="1"/>
  <c r="S83" i="3" s="1"/>
  <c r="M79" i="1" s="1"/>
  <c r="S77" i="3" a="1"/>
  <c r="S77" i="3" s="1"/>
  <c r="M73" i="1" s="1"/>
  <c r="S80" i="3" a="1"/>
  <c r="S80" i="3" s="1"/>
  <c r="M76" i="1" s="1"/>
  <c r="S55" i="3" a="1"/>
  <c r="S55" i="3" s="1"/>
  <c r="M51" i="1" s="1"/>
  <c r="S18" i="3" a="1"/>
  <c r="S18" i="3" s="1"/>
  <c r="M14" i="1" s="1"/>
  <c r="S57" i="3" a="1"/>
  <c r="S57" i="3" s="1"/>
  <c r="M53" i="1" s="1"/>
  <c r="S43" i="3" a="1"/>
  <c r="S43" i="3" s="1"/>
  <c r="M39" i="1" s="1"/>
  <c r="S9" i="3" a="1"/>
  <c r="S9" i="3" s="1"/>
  <c r="M5" i="1" s="1"/>
  <c r="S24" i="3" a="1"/>
  <c r="S24" i="3" s="1"/>
  <c r="M20" i="1" s="1"/>
  <c r="S21" i="3" a="1"/>
  <c r="S21" i="3" s="1"/>
  <c r="M17" i="1" s="1"/>
  <c r="S41" i="3" a="1"/>
  <c r="S41" i="3" s="1"/>
  <c r="M37" i="1" s="1"/>
  <c r="S74" i="3" a="1"/>
  <c r="S74" i="3" s="1"/>
  <c r="M70" i="1" s="1"/>
  <c r="S60" i="3" a="1"/>
  <c r="S60" i="3" s="1"/>
  <c r="M56" i="1" s="1"/>
  <c r="S50" i="3" a="1"/>
  <c r="S50" i="3" s="1"/>
  <c r="M46" i="1" s="1"/>
  <c r="S37" i="3" a="1"/>
  <c r="S37" i="3" s="1"/>
  <c r="M33" i="1" s="1"/>
  <c r="S46" i="3" a="1"/>
  <c r="S46" i="3" s="1"/>
  <c r="M42" i="1" s="1"/>
  <c r="R14" i="5" l="1"/>
  <c r="R17" i="5"/>
  <c r="R12" i="5"/>
  <c r="R16" i="5"/>
  <c r="R13" i="5"/>
  <c r="R15" i="5"/>
  <c r="Q12" i="5"/>
  <c r="Q14" i="5"/>
  <c r="Q13" i="5"/>
  <c r="Q17" i="5"/>
  <c r="Q16" i="5"/>
  <c r="Q15" i="5"/>
  <c r="S14" i="5"/>
  <c r="S13" i="5"/>
  <c r="S15" i="5"/>
  <c r="S17" i="5"/>
  <c r="S12" i="5"/>
  <c r="S16" i="5"/>
  <c r="N13" i="5" l="1"/>
  <c r="N17" i="5"/>
  <c r="N16" i="5"/>
  <c r="N15" i="5"/>
  <c r="N12" i="5"/>
  <c r="N14" i="5"/>
  <c r="K12" i="5"/>
  <c r="K16" i="5"/>
  <c r="K13" i="5"/>
  <c r="K15" i="5"/>
  <c r="K17" i="5"/>
  <c r="K14" i="5"/>
  <c r="J12" i="5"/>
  <c r="J16" i="5"/>
  <c r="J13" i="5"/>
  <c r="J15" i="5"/>
  <c r="J14" i="5"/>
  <c r="J17" i="5"/>
  <c r="L13" i="5"/>
  <c r="L15" i="5"/>
  <c r="L17" i="5"/>
  <c r="L14" i="5"/>
  <c r="L16" i="5"/>
  <c r="L12" i="5"/>
  <c r="O21" i="3" l="1"/>
  <c r="O56" i="3"/>
  <c r="O39" i="3"/>
  <c r="O8" i="3"/>
  <c r="O13" i="3"/>
  <c r="O34" i="3"/>
  <c r="O57" i="3"/>
  <c r="O86" i="3"/>
  <c r="O82" i="3"/>
  <c r="O23" i="3"/>
  <c r="O63" i="3"/>
  <c r="O92" i="3"/>
  <c r="O17" i="3"/>
  <c r="O36" i="3"/>
  <c r="O71" i="3"/>
  <c r="O68" i="3"/>
  <c r="O27" i="3"/>
  <c r="AM100" i="3"/>
  <c r="AM101" i="3" s="1"/>
  <c r="O12" i="3"/>
  <c r="O35" i="3"/>
  <c r="O90" i="3"/>
  <c r="O70" i="3"/>
  <c r="O60" i="3"/>
  <c r="O15" i="3"/>
  <c r="O28" i="3"/>
  <c r="O64" i="3"/>
  <c r="O25" i="3"/>
  <c r="O69" i="3"/>
  <c r="O53" i="3"/>
  <c r="O31" i="3"/>
  <c r="O85" i="3"/>
  <c r="O48" i="3"/>
  <c r="O49" i="3"/>
  <c r="O95" i="3"/>
  <c r="O33" i="3"/>
  <c r="O81" i="3"/>
  <c r="O20" i="3"/>
  <c r="O11" i="3"/>
  <c r="O44" i="3"/>
  <c r="O80" i="3"/>
  <c r="O88" i="3"/>
  <c r="O18" i="3"/>
  <c r="O30" i="3"/>
  <c r="O67" i="3"/>
  <c r="O93" i="3"/>
  <c r="O72" i="3"/>
  <c r="O37" i="3"/>
  <c r="O75" i="3"/>
  <c r="O52" i="3"/>
  <c r="O77" i="3"/>
  <c r="O55" i="3"/>
  <c r="O96" i="3"/>
  <c r="O6" i="3"/>
  <c r="O42" i="3"/>
  <c r="O62" i="3"/>
  <c r="O73" i="3"/>
  <c r="O43" i="3"/>
  <c r="O59" i="3"/>
  <c r="O83" i="3"/>
  <c r="O19" i="3"/>
  <c r="O32" i="3"/>
  <c r="O45" i="3"/>
  <c r="O22" i="3"/>
  <c r="O65" i="3"/>
  <c r="O94" i="3"/>
  <c r="O76" i="3"/>
  <c r="O10" i="3"/>
  <c r="O66" i="3"/>
  <c r="O7" i="3"/>
  <c r="O78" i="3"/>
  <c r="O91" i="3"/>
  <c r="O14" i="3"/>
  <c r="O46" i="3"/>
  <c r="O38" i="3"/>
  <c r="O61" i="3"/>
  <c r="O79" i="3"/>
  <c r="O16" i="3"/>
  <c r="O54" i="3"/>
  <c r="O51" i="3"/>
  <c r="O47" i="3"/>
  <c r="O41" i="3"/>
  <c r="O74" i="3"/>
  <c r="O50" i="3"/>
  <c r="O87" i="3"/>
  <c r="O26" i="3"/>
  <c r="O29" i="3"/>
  <c r="O84" i="3"/>
  <c r="O58" i="3"/>
  <c r="O9" i="3"/>
  <c r="O40" i="3"/>
  <c r="O24" i="3"/>
  <c r="O89" i="3"/>
  <c r="N74" i="3"/>
  <c r="AL100" i="3"/>
  <c r="AL101" i="3" s="1"/>
  <c r="N6" i="3"/>
  <c r="N66" i="3"/>
  <c r="N51" i="3"/>
  <c r="N70" i="3"/>
  <c r="N95" i="3"/>
  <c r="N64" i="3"/>
  <c r="N73" i="3"/>
  <c r="N7" i="3"/>
  <c r="N39" i="3"/>
  <c r="N63" i="3"/>
  <c r="N87" i="3"/>
  <c r="N89" i="3"/>
  <c r="N61" i="3"/>
  <c r="N30" i="3"/>
  <c r="N49" i="3"/>
  <c r="N48" i="3"/>
  <c r="N83" i="3"/>
  <c r="N42" i="3"/>
  <c r="N76" i="3"/>
  <c r="N54" i="3"/>
  <c r="N60" i="3"/>
  <c r="N9" i="3"/>
  <c r="N37" i="3"/>
  <c r="N92" i="3"/>
  <c r="N31" i="3"/>
  <c r="N86" i="3"/>
  <c r="N40" i="3"/>
  <c r="N22" i="3"/>
  <c r="N96" i="3"/>
  <c r="N88" i="3"/>
  <c r="N29" i="3"/>
  <c r="N53" i="3"/>
  <c r="N90" i="3"/>
  <c r="N65" i="3"/>
  <c r="N77" i="3"/>
  <c r="N91" i="3"/>
  <c r="N78" i="3"/>
  <c r="N41" i="3"/>
  <c r="N11" i="3"/>
  <c r="N81" i="3"/>
  <c r="N21" i="3"/>
  <c r="N75" i="3"/>
  <c r="N82" i="3"/>
  <c r="N46" i="3"/>
  <c r="N79" i="3"/>
  <c r="N59" i="3"/>
  <c r="N94" i="3"/>
  <c r="N44" i="3"/>
  <c r="N36" i="3"/>
  <c r="N14" i="3"/>
  <c r="N55" i="3"/>
  <c r="N34" i="3"/>
  <c r="N35" i="3"/>
  <c r="N57" i="3"/>
  <c r="N85" i="3"/>
  <c r="N24" i="3"/>
  <c r="N13" i="3"/>
  <c r="N43" i="3"/>
  <c r="N80" i="3"/>
  <c r="N15" i="3"/>
  <c r="N12" i="3"/>
  <c r="N16" i="3"/>
  <c r="N50" i="3"/>
  <c r="N8" i="3"/>
  <c r="N32" i="3"/>
  <c r="N20" i="3"/>
  <c r="N56" i="3"/>
  <c r="N26" i="3"/>
  <c r="N10" i="3"/>
  <c r="N47" i="3"/>
  <c r="N67" i="3"/>
  <c r="N18" i="3"/>
  <c r="N25" i="3"/>
  <c r="N69" i="3"/>
  <c r="N62" i="3"/>
  <c r="N27" i="3"/>
  <c r="N58" i="3"/>
  <c r="N19" i="3"/>
  <c r="N45" i="3"/>
  <c r="N23" i="3"/>
  <c r="N52" i="3"/>
  <c r="N72" i="3"/>
  <c r="N71" i="3"/>
  <c r="N28" i="3"/>
  <c r="N68" i="3"/>
  <c r="N84" i="3"/>
  <c r="N33" i="3"/>
  <c r="N38" i="3"/>
  <c r="N93" i="3"/>
  <c r="N17" i="3"/>
  <c r="Q43" i="3"/>
  <c r="Q61" i="3"/>
  <c r="AO100" i="3"/>
  <c r="AO101" i="3" s="1"/>
  <c r="Q89" i="3"/>
  <c r="Q93" i="3"/>
  <c r="Q24" i="3"/>
  <c r="Q76" i="3"/>
  <c r="Q34" i="3"/>
  <c r="Q44" i="3"/>
  <c r="Q8" i="3"/>
  <c r="Q95" i="3"/>
  <c r="Q59" i="3"/>
  <c r="Q55" i="3"/>
  <c r="Q57" i="3"/>
  <c r="Q40" i="3"/>
  <c r="Q47" i="3"/>
  <c r="Q73" i="3"/>
  <c r="Q18" i="3"/>
  <c r="Q80" i="3"/>
  <c r="Q50" i="3"/>
  <c r="Q53" i="3"/>
  <c r="Q32" i="3"/>
  <c r="Q68" i="3"/>
  <c r="Q41" i="3"/>
  <c r="Q17" i="3"/>
  <c r="Q38" i="3"/>
  <c r="Q94" i="3"/>
  <c r="Q81" i="3"/>
  <c r="Q82" i="3"/>
  <c r="Q56" i="3"/>
  <c r="Q28" i="3"/>
  <c r="Q71" i="3"/>
  <c r="Q21" i="3"/>
  <c r="Q14" i="3"/>
  <c r="Q23" i="3"/>
  <c r="Q42" i="3"/>
  <c r="Q84" i="3"/>
  <c r="Q64" i="3"/>
  <c r="Q85" i="3"/>
  <c r="Q92" i="3"/>
  <c r="Q74" i="3"/>
  <c r="Q26" i="3"/>
  <c r="Q22" i="3"/>
  <c r="Q51" i="3"/>
  <c r="Q31" i="3"/>
  <c r="Q30" i="3"/>
  <c r="Q58" i="3"/>
  <c r="Q35" i="3"/>
  <c r="Q70" i="3"/>
  <c r="Q63" i="3"/>
  <c r="Q49" i="3"/>
  <c r="Q15" i="3"/>
  <c r="Q33" i="3"/>
  <c r="Q86" i="3"/>
  <c r="Q11" i="3"/>
  <c r="Q79" i="3"/>
  <c r="Q37" i="3"/>
  <c r="Q36" i="3"/>
  <c r="Q12" i="3"/>
  <c r="Q67" i="3"/>
  <c r="Q60" i="3"/>
  <c r="Q29" i="3"/>
  <c r="Q48" i="3"/>
  <c r="Q96" i="3"/>
  <c r="Q54" i="3"/>
  <c r="Q9" i="3"/>
  <c r="Q27" i="3"/>
  <c r="Q91" i="3"/>
  <c r="Q6" i="3"/>
  <c r="Q75" i="3"/>
  <c r="Q45" i="3"/>
  <c r="Q10" i="3"/>
  <c r="Q90" i="3"/>
  <c r="Q16" i="3"/>
  <c r="Q46" i="3"/>
  <c r="Q69" i="3"/>
  <c r="Q25" i="3"/>
  <c r="Q19" i="3"/>
  <c r="Q77" i="3"/>
  <c r="Q65" i="3"/>
  <c r="Q78" i="3"/>
  <c r="Q72" i="3"/>
  <c r="Q83" i="3"/>
  <c r="Q7" i="3"/>
  <c r="Q52" i="3"/>
  <c r="Q66" i="3"/>
  <c r="Q88" i="3"/>
  <c r="Q87" i="3"/>
  <c r="Q13" i="3"/>
  <c r="Q39" i="3"/>
  <c r="Q62" i="3"/>
  <c r="Q20" i="3"/>
  <c r="M78" i="3"/>
  <c r="M68" i="3"/>
  <c r="M55" i="3"/>
  <c r="M21" i="3"/>
  <c r="M88" i="3"/>
  <c r="M7" i="3"/>
  <c r="M61" i="3"/>
  <c r="M45" i="3"/>
  <c r="M74" i="3"/>
  <c r="M18" i="3"/>
  <c r="M92" i="3"/>
  <c r="M72" i="3"/>
  <c r="M64" i="3"/>
  <c r="M28" i="3"/>
  <c r="M17" i="3"/>
  <c r="M19" i="3"/>
  <c r="M36" i="3"/>
  <c r="AK100" i="3"/>
  <c r="AK101" i="3" s="1"/>
  <c r="M82" i="3"/>
  <c r="M62" i="3"/>
  <c r="M14" i="3"/>
  <c r="M89" i="3"/>
  <c r="M8" i="3"/>
  <c r="M29" i="3"/>
  <c r="M20" i="3"/>
  <c r="M32" i="3"/>
  <c r="M46" i="3"/>
  <c r="M47" i="3"/>
  <c r="M15" i="3"/>
  <c r="M23" i="3"/>
  <c r="M83" i="3"/>
  <c r="M51" i="3"/>
  <c r="M26" i="3"/>
  <c r="M69" i="3"/>
  <c r="M27" i="3"/>
  <c r="M79" i="3"/>
  <c r="M91" i="3"/>
  <c r="M31" i="3"/>
  <c r="M48" i="3"/>
  <c r="M30" i="3"/>
  <c r="M49" i="3"/>
  <c r="M90" i="3"/>
  <c r="M34" i="3"/>
  <c r="M80" i="3"/>
  <c r="M57" i="3"/>
  <c r="M22" i="3"/>
  <c r="M33" i="3"/>
  <c r="M58" i="3"/>
  <c r="M38" i="3"/>
  <c r="M16" i="3"/>
  <c r="M93" i="3"/>
  <c r="M59" i="3"/>
  <c r="M41" i="3"/>
  <c r="M54" i="3"/>
  <c r="M39" i="3"/>
  <c r="M76" i="3"/>
  <c r="M9" i="3"/>
  <c r="M35" i="3"/>
  <c r="M96" i="3"/>
  <c r="M71" i="3"/>
  <c r="M94" i="3"/>
  <c r="M24" i="3"/>
  <c r="M50" i="3"/>
  <c r="M86" i="3"/>
  <c r="M13" i="3"/>
  <c r="M70" i="3"/>
  <c r="M81" i="3"/>
  <c r="M87" i="3"/>
  <c r="M12" i="3"/>
  <c r="M63" i="3"/>
  <c r="M73" i="3"/>
  <c r="M66" i="3"/>
  <c r="M65" i="3"/>
  <c r="M52" i="3"/>
  <c r="M6" i="3"/>
  <c r="M11" i="3"/>
  <c r="M77" i="3"/>
  <c r="M42" i="3"/>
  <c r="M53" i="3"/>
  <c r="M43" i="3"/>
  <c r="M84" i="3"/>
  <c r="M67" i="3"/>
  <c r="M25" i="3"/>
  <c r="M60" i="3"/>
  <c r="M44" i="3"/>
  <c r="M56" i="3"/>
  <c r="M10" i="3"/>
  <c r="M95" i="3"/>
  <c r="M40" i="3"/>
  <c r="M37" i="3"/>
  <c r="M85" i="3"/>
  <c r="M75" i="3"/>
  <c r="I12" i="5" l="1"/>
  <c r="I15" i="5"/>
  <c r="I13" i="5"/>
  <c r="I17" i="5"/>
  <c r="I14" i="5"/>
  <c r="H17" i="5"/>
  <c r="I16" i="5"/>
  <c r="L31" i="3" l="1"/>
  <c r="L48" i="3"/>
  <c r="L77" i="3"/>
  <c r="L10" i="3"/>
  <c r="L87" i="3"/>
  <c r="L74" i="3"/>
  <c r="L40" i="3"/>
  <c r="L15" i="3"/>
  <c r="L45" i="3"/>
  <c r="L61" i="3"/>
  <c r="L43" i="3"/>
  <c r="L78" i="3"/>
  <c r="L79" i="3"/>
  <c r="L13" i="3"/>
  <c r="L62" i="3"/>
  <c r="L24" i="3"/>
  <c r="L25" i="3"/>
  <c r="L85" i="3"/>
  <c r="L39" i="3"/>
  <c r="L89" i="3"/>
  <c r="L32" i="3"/>
  <c r="L60" i="3"/>
  <c r="AJ100" i="3"/>
  <c r="AJ101" i="3" s="1"/>
  <c r="L56" i="3"/>
  <c r="L51" i="3"/>
  <c r="L47" i="3"/>
  <c r="L8" i="3"/>
  <c r="L12" i="3"/>
  <c r="L91" i="3"/>
  <c r="L50" i="3"/>
  <c r="L82" i="3"/>
  <c r="L41" i="3"/>
  <c r="L28" i="3"/>
  <c r="L38" i="3"/>
  <c r="L86" i="3"/>
  <c r="L57" i="3"/>
  <c r="L34" i="3"/>
  <c r="L26" i="3"/>
  <c r="L64" i="3"/>
  <c r="L22" i="3"/>
  <c r="L17" i="3"/>
  <c r="L65" i="3"/>
  <c r="L53" i="3"/>
  <c r="L66" i="3"/>
  <c r="L69" i="3"/>
  <c r="L37" i="3"/>
  <c r="L9" i="3"/>
  <c r="L7" i="3"/>
  <c r="L58" i="3"/>
  <c r="L81" i="3"/>
  <c r="L63" i="3"/>
  <c r="L11" i="3"/>
  <c r="L21" i="3"/>
  <c r="L27" i="3"/>
  <c r="L35" i="3"/>
  <c r="L29" i="3"/>
  <c r="L95" i="3"/>
  <c r="L49" i="3"/>
  <c r="L68" i="3"/>
  <c r="L71" i="3"/>
  <c r="L94" i="3"/>
  <c r="L70" i="3"/>
  <c r="L83" i="3"/>
  <c r="L76" i="3"/>
  <c r="L55" i="3"/>
  <c r="L33" i="3"/>
  <c r="L59" i="3"/>
  <c r="L42" i="3"/>
  <c r="L19" i="3"/>
  <c r="L73" i="3"/>
  <c r="L54" i="3"/>
  <c r="L84" i="3"/>
  <c r="L14" i="3"/>
  <c r="L67" i="3"/>
  <c r="L20" i="3"/>
  <c r="L88" i="3"/>
  <c r="L36" i="3"/>
  <c r="L6" i="3"/>
  <c r="L46" i="3"/>
  <c r="L96" i="3"/>
  <c r="L30" i="3"/>
  <c r="L92" i="3"/>
  <c r="L93" i="3"/>
  <c r="L80" i="3"/>
  <c r="L18" i="3"/>
  <c r="L23" i="3"/>
  <c r="L44" i="3"/>
  <c r="L75" i="3"/>
  <c r="L16" i="3"/>
  <c r="L72" i="3"/>
  <c r="L52" i="3"/>
  <c r="L90" i="3"/>
  <c r="G15" i="5"/>
  <c r="G14" i="5"/>
  <c r="G13" i="5"/>
  <c r="G12" i="5"/>
  <c r="G17" i="5"/>
  <c r="G16" i="5"/>
  <c r="H14" i="5"/>
  <c r="H15" i="5"/>
  <c r="H13" i="5"/>
  <c r="H16" i="5"/>
  <c r="H12" i="5"/>
  <c r="AI100" i="3" l="1"/>
  <c r="AI101" i="3" s="1"/>
  <c r="K89" i="3"/>
  <c r="K35" i="3"/>
  <c r="K24" i="3"/>
  <c r="K92" i="3"/>
  <c r="K22" i="3"/>
  <c r="K10" i="3"/>
  <c r="K52" i="3"/>
  <c r="K17" i="3"/>
  <c r="K79" i="3"/>
  <c r="K39" i="3"/>
  <c r="K48" i="3"/>
  <c r="K16" i="3"/>
  <c r="K7" i="3"/>
  <c r="K29" i="3"/>
  <c r="K53" i="3"/>
  <c r="K47" i="3"/>
  <c r="K49" i="3"/>
  <c r="K93" i="3"/>
  <c r="K74" i="3"/>
  <c r="K21" i="3"/>
  <c r="K54" i="3"/>
  <c r="K34" i="3"/>
  <c r="K82" i="3"/>
  <c r="K59" i="3"/>
  <c r="K76" i="3"/>
  <c r="K19" i="3"/>
  <c r="K45" i="3"/>
  <c r="K83" i="3"/>
  <c r="K11" i="3"/>
  <c r="K78" i="3"/>
  <c r="K8" i="3"/>
  <c r="K38" i="3"/>
  <c r="K69" i="3"/>
  <c r="K28" i="3"/>
  <c r="K86" i="3"/>
  <c r="K70" i="3"/>
  <c r="K64" i="3"/>
  <c r="K46" i="3"/>
  <c r="K20" i="3"/>
  <c r="K18" i="3"/>
  <c r="K73" i="3"/>
  <c r="K30" i="3"/>
  <c r="K27" i="3"/>
  <c r="K51" i="3"/>
  <c r="K72" i="3"/>
  <c r="K31" i="3"/>
  <c r="K33" i="3"/>
  <c r="K96" i="3"/>
  <c r="K94" i="3"/>
  <c r="K81" i="3"/>
  <c r="K12" i="3"/>
  <c r="K42" i="3"/>
  <c r="K77" i="3"/>
  <c r="K9" i="3"/>
  <c r="K65" i="3"/>
  <c r="K57" i="3"/>
  <c r="K85" i="3"/>
  <c r="K25" i="3"/>
  <c r="K43" i="3"/>
  <c r="K37" i="3"/>
  <c r="K88" i="3"/>
  <c r="K61" i="3"/>
  <c r="K41" i="3"/>
  <c r="K14" i="3"/>
  <c r="K90" i="3"/>
  <c r="K50" i="3"/>
  <c r="K63" i="3"/>
  <c r="K91" i="3"/>
  <c r="K58" i="3"/>
  <c r="K62" i="3"/>
  <c r="K55" i="3"/>
  <c r="K75" i="3"/>
  <c r="K67" i="3"/>
  <c r="K84" i="3"/>
  <c r="K66" i="3"/>
  <c r="K23" i="3"/>
  <c r="K26" i="3"/>
  <c r="K95" i="3"/>
  <c r="K6" i="3"/>
  <c r="K56" i="3"/>
  <c r="K15" i="3"/>
  <c r="K13" i="3"/>
  <c r="K60" i="3"/>
  <c r="K71" i="3"/>
  <c r="K68" i="3"/>
  <c r="K40" i="3"/>
  <c r="K36" i="3"/>
  <c r="K44" i="3"/>
  <c r="K32" i="3"/>
  <c r="K80" i="3"/>
  <c r="K87" i="3"/>
  <c r="S8" i="3" l="1" a="1"/>
  <c r="S8" i="3" s="1"/>
  <c r="M4" i="1" s="1"/>
  <c r="S62" i="3" a="1"/>
  <c r="S62" i="3" s="1"/>
  <c r="M58" i="1" s="1"/>
  <c r="S58" i="3" a="1"/>
  <c r="S58" i="3" s="1"/>
  <c r="M54" i="1" s="1"/>
  <c r="S64" i="3" a="1"/>
  <c r="S64" i="3" s="1"/>
  <c r="M60" i="1" s="1"/>
  <c r="S22" i="3" a="1"/>
  <c r="S22" i="3" s="1"/>
  <c r="M18" i="1" s="1"/>
  <c r="S91" i="3" a="1"/>
  <c r="S91" i="3" s="1"/>
  <c r="M87" i="1" s="1"/>
  <c r="S92" i="3" a="1"/>
  <c r="S92" i="3" s="1"/>
  <c r="M88" i="1" s="1"/>
  <c r="S87" i="3" a="1"/>
  <c r="S87" i="3" s="1"/>
  <c r="M83" i="1" s="1"/>
  <c r="S66" i="3" a="1"/>
  <c r="S66" i="3" s="1"/>
  <c r="M62" i="1" s="1"/>
  <c r="S12" i="3" a="1"/>
  <c r="S12" i="3" s="1"/>
  <c r="M8" i="1" s="1"/>
  <c r="S86" i="3" a="1"/>
  <c r="S86" i="3" s="1"/>
  <c r="M82" i="1" s="1"/>
  <c r="S45" i="3" a="1"/>
  <c r="S45" i="3" s="1"/>
  <c r="M41" i="1" s="1"/>
  <c r="S48" i="3" a="1"/>
  <c r="S48" i="3" s="1"/>
  <c r="M44" i="1" s="1"/>
  <c r="S6" i="3" a="1"/>
  <c r="S6" i="3" s="1"/>
  <c r="M2" i="1" s="1"/>
  <c r="S33" i="3" a="1"/>
  <c r="S33" i="3" s="1"/>
  <c r="M29" i="1" s="1"/>
  <c r="S53" i="3" a="1"/>
  <c r="S53" i="3" s="1"/>
  <c r="M49" i="1" s="1"/>
  <c r="S78" i="3" a="1"/>
  <c r="S78" i="3" s="1"/>
  <c r="M74" i="1" s="1"/>
  <c r="S26" i="3" a="1"/>
  <c r="S26" i="3" s="1"/>
  <c r="M22" i="1" s="1"/>
  <c r="S72" i="3" a="1"/>
  <c r="S72" i="3" s="1"/>
  <c r="M68" i="1" s="1"/>
  <c r="S71" i="3" a="1"/>
  <c r="S71" i="3" s="1"/>
  <c r="M67" i="1" s="1"/>
  <c r="S84" i="3" a="1"/>
  <c r="S84" i="3" s="1"/>
  <c r="M80" i="1" s="1"/>
  <c r="S25" i="3" a="1"/>
  <c r="S25" i="3" s="1"/>
  <c r="M21" i="1" s="1"/>
  <c r="S81" i="3" a="1"/>
  <c r="S81" i="3" s="1"/>
  <c r="M77" i="1" s="1"/>
  <c r="S28" i="3" a="1"/>
  <c r="S28" i="3" s="1"/>
  <c r="M24" i="1" s="1"/>
  <c r="S19" i="3" a="1"/>
  <c r="S19" i="3" s="1"/>
  <c r="M15" i="1" s="1"/>
  <c r="S93" i="3" a="1"/>
  <c r="S93" i="3" s="1"/>
  <c r="M89" i="1" s="1"/>
  <c r="S39" i="3" a="1"/>
  <c r="S39" i="3" s="1"/>
  <c r="M35" i="1" s="1"/>
  <c r="S35" i="3" a="1"/>
  <c r="S35" i="3" s="1"/>
  <c r="M31" i="1" s="1"/>
  <c r="S36" i="3" a="1"/>
  <c r="S36" i="3" s="1"/>
  <c r="M32" i="1" s="1"/>
  <c r="S52" i="3" a="1"/>
  <c r="S52" i="3" s="1"/>
  <c r="M48" i="1" s="1"/>
  <c r="S34" i="3" a="1"/>
  <c r="S34" i="3" s="1"/>
  <c r="M30" i="1" s="1"/>
  <c r="S54" i="3" a="1"/>
  <c r="S54" i="3" s="1"/>
  <c r="M50" i="1" s="1"/>
  <c r="S15" i="3" a="1"/>
  <c r="S15" i="3" s="1"/>
  <c r="M11" i="1" s="1"/>
  <c r="S67" i="3" a="1"/>
  <c r="S67" i="3" s="1"/>
  <c r="M63" i="1" s="1"/>
  <c r="S90" i="3" a="1"/>
  <c r="S90" i="3" s="1"/>
  <c r="M86" i="1" s="1"/>
  <c r="S94" i="3" a="1"/>
  <c r="S94" i="3" s="1"/>
  <c r="M90" i="1" s="1"/>
  <c r="S73" i="3" a="1"/>
  <c r="S73" i="3" s="1"/>
  <c r="M69" i="1" s="1"/>
  <c r="S76" i="3" a="1"/>
  <c r="S76" i="3" s="1"/>
  <c r="M72" i="1" s="1"/>
  <c r="S49" i="3" a="1"/>
  <c r="S49" i="3" s="1"/>
  <c r="M45" i="1" s="1"/>
  <c r="S79" i="3" a="1"/>
  <c r="S79" i="3" s="1"/>
  <c r="M75" i="1" s="1"/>
  <c r="S89" i="3" a="1"/>
  <c r="S89" i="3" s="1"/>
  <c r="M85" i="1" s="1"/>
  <c r="S20" i="3" a="1"/>
  <c r="S20" i="3" s="1"/>
  <c r="M16" i="1" s="1"/>
  <c r="S95" i="3" a="1"/>
  <c r="S95" i="3" s="1"/>
  <c r="M91" i="1" s="1"/>
  <c r="S31" i="3" a="1"/>
  <c r="S31" i="3" s="1"/>
  <c r="M27" i="1" s="1"/>
  <c r="S10" i="3" a="1"/>
  <c r="S10" i="3" s="1"/>
  <c r="M6" i="1" s="1"/>
  <c r="S11" i="3" a="1"/>
  <c r="S11" i="3" s="1"/>
  <c r="M7" i="1" s="1"/>
  <c r="S23" i="3" a="1"/>
  <c r="S23" i="3" s="1"/>
  <c r="M19" i="1" s="1"/>
  <c r="S51" i="3" a="1"/>
  <c r="S51" i="3" s="1"/>
  <c r="M47" i="1" s="1"/>
  <c r="S44" i="3" a="1"/>
  <c r="S44" i="3" s="1"/>
  <c r="M40" i="1" s="1"/>
  <c r="S56" i="3" a="1"/>
  <c r="S56" i="3" s="1"/>
  <c r="M52" i="1" s="1"/>
  <c r="S75" i="3" a="1"/>
  <c r="S75" i="3" s="1"/>
  <c r="M71" i="1" s="1"/>
  <c r="S14" i="3" a="1"/>
  <c r="S14" i="3" s="1"/>
  <c r="M10" i="1" s="1"/>
  <c r="S38" i="3" a="1"/>
  <c r="S38" i="3" s="1"/>
  <c r="M34" i="1" s="1"/>
  <c r="S59" i="3" a="1"/>
  <c r="S59" i="3" s="1"/>
  <c r="M55" i="1" s="1"/>
  <c r="S47" i="3" a="1"/>
  <c r="S47" i="3" s="1"/>
  <c r="M43" i="1" s="1"/>
  <c r="S17" i="3" a="1"/>
  <c r="S17" i="3" s="1"/>
  <c r="M13" i="1" s="1"/>
  <c r="M17" i="5" l="1"/>
  <c r="M16" i="5"/>
  <c r="M15" i="5"/>
  <c r="M12" i="5"/>
  <c r="M13" i="5"/>
  <c r="M14" i="5"/>
  <c r="P53" i="3" l="1"/>
  <c r="P10" i="3"/>
  <c r="P64" i="3"/>
  <c r="P19" i="3"/>
  <c r="P80" i="3"/>
  <c r="P72" i="3"/>
  <c r="P39" i="3"/>
  <c r="P33" i="3"/>
  <c r="P77" i="3"/>
  <c r="P92" i="3"/>
  <c r="P26" i="3"/>
  <c r="P93" i="3"/>
  <c r="P48" i="3"/>
  <c r="P60" i="3"/>
  <c r="P16" i="3"/>
  <c r="P76" i="3"/>
  <c r="P23" i="3"/>
  <c r="P24" i="3"/>
  <c r="P78" i="3"/>
  <c r="P63" i="3"/>
  <c r="P43" i="3"/>
  <c r="P28" i="3"/>
  <c r="P57" i="3"/>
  <c r="P11" i="3"/>
  <c r="P44" i="3"/>
  <c r="P35" i="3"/>
  <c r="P58" i="3"/>
  <c r="P65" i="3"/>
  <c r="P89" i="3"/>
  <c r="P62" i="3"/>
  <c r="P55" i="3"/>
  <c r="P67" i="3"/>
  <c r="P66" i="3"/>
  <c r="P12" i="3"/>
  <c r="P20" i="3"/>
  <c r="P86" i="3"/>
  <c r="P84" i="3"/>
  <c r="P83" i="3"/>
  <c r="P68" i="3"/>
  <c r="P70" i="3"/>
  <c r="P50" i="3"/>
  <c r="P71" i="3"/>
  <c r="P42" i="3"/>
  <c r="P47" i="3"/>
  <c r="P7" i="3"/>
  <c r="P30" i="3"/>
  <c r="P14" i="3"/>
  <c r="P91" i="3"/>
  <c r="P38" i="3"/>
  <c r="P34" i="3"/>
  <c r="P96" i="3"/>
  <c r="P81" i="3"/>
  <c r="P32" i="3"/>
  <c r="P8" i="3"/>
  <c r="P6" i="3"/>
  <c r="P45" i="3"/>
  <c r="P46" i="3"/>
  <c r="P37" i="3"/>
  <c r="P54" i="3"/>
  <c r="P17" i="3"/>
  <c r="P18" i="3"/>
  <c r="P90" i="3"/>
  <c r="AN100" i="3"/>
  <c r="AN101" i="3" s="1"/>
  <c r="P82" i="3"/>
  <c r="P51" i="3"/>
  <c r="P74" i="3"/>
  <c r="P94" i="3"/>
  <c r="P41" i="3"/>
  <c r="P15" i="3"/>
  <c r="P29" i="3"/>
  <c r="P13" i="3"/>
  <c r="P31" i="3"/>
  <c r="P75" i="3"/>
  <c r="P49" i="3"/>
  <c r="P27" i="3"/>
  <c r="P95" i="3"/>
  <c r="P21" i="3"/>
  <c r="P25" i="3"/>
  <c r="P85" i="3"/>
  <c r="P87" i="3"/>
  <c r="P9" i="3"/>
  <c r="P88" i="3"/>
  <c r="P69" i="3"/>
  <c r="P59" i="3"/>
  <c r="P52" i="3"/>
  <c r="P40" i="3"/>
  <c r="P79" i="3"/>
  <c r="P22" i="3"/>
  <c r="P73" i="3"/>
  <c r="P36" i="3"/>
  <c r="P61" i="3"/>
  <c r="P56" i="3"/>
  <c r="R36" i="3" l="1"/>
  <c r="L32" i="1" s="1"/>
  <c r="T36" i="3"/>
  <c r="N32" i="1" s="1"/>
  <c r="V36" i="3"/>
  <c r="V74" i="3"/>
  <c r="T74" i="3"/>
  <c r="N70" i="1" s="1"/>
  <c r="R74" i="3"/>
  <c r="L70" i="1" s="1"/>
  <c r="V71" i="3"/>
  <c r="R71" i="3"/>
  <c r="L67" i="1" s="1"/>
  <c r="T71" i="3"/>
  <c r="N67" i="1" s="1"/>
  <c r="T24" i="3"/>
  <c r="N20" i="1" s="1"/>
  <c r="V24" i="3"/>
  <c r="R24" i="3"/>
  <c r="L20" i="1" s="1"/>
  <c r="V75" i="3"/>
  <c r="R75" i="3"/>
  <c r="L71" i="1" s="1"/>
  <c r="T75" i="3"/>
  <c r="N71" i="1" s="1"/>
  <c r="V38" i="3"/>
  <c r="R38" i="3"/>
  <c r="L34" i="1" s="1"/>
  <c r="T38" i="3"/>
  <c r="N34" i="1" s="1"/>
  <c r="T44" i="3"/>
  <c r="N40" i="1" s="1"/>
  <c r="R44" i="3"/>
  <c r="L40" i="1" s="1"/>
  <c r="V44" i="3"/>
  <c r="T53" i="3"/>
  <c r="N49" i="1" s="1"/>
  <c r="V53" i="3"/>
  <c r="R53" i="3"/>
  <c r="L49" i="1" s="1"/>
  <c r="R87" i="3"/>
  <c r="L83" i="1" s="1"/>
  <c r="V87" i="3"/>
  <c r="T87" i="3"/>
  <c r="N83" i="1" s="1"/>
  <c r="T45" i="3"/>
  <c r="N41" i="1" s="1"/>
  <c r="R45" i="3"/>
  <c r="L41" i="1" s="1"/>
  <c r="V45" i="3"/>
  <c r="V67" i="3"/>
  <c r="R67" i="3"/>
  <c r="L63" i="1" s="1"/>
  <c r="T67" i="3"/>
  <c r="N63" i="1" s="1"/>
  <c r="T33" i="3"/>
  <c r="N29" i="1" s="1"/>
  <c r="V33" i="3"/>
  <c r="R33" i="3"/>
  <c r="L29" i="1" s="1"/>
  <c r="V85" i="3"/>
  <c r="T85" i="3"/>
  <c r="N81" i="1" s="1"/>
  <c r="R85" i="3"/>
  <c r="L81" i="1" s="1"/>
  <c r="R6" i="3"/>
  <c r="L2" i="1" s="1"/>
  <c r="T6" i="3"/>
  <c r="N2" i="1" s="1"/>
  <c r="V6" i="3"/>
  <c r="T14" i="3"/>
  <c r="N10" i="1" s="1"/>
  <c r="V14" i="3"/>
  <c r="R14" i="3"/>
  <c r="L10" i="1" s="1"/>
  <c r="T68" i="3"/>
  <c r="N64" i="1" s="1"/>
  <c r="R68" i="3"/>
  <c r="L64" i="1" s="1"/>
  <c r="V68" i="3"/>
  <c r="V55" i="3"/>
  <c r="R55" i="3"/>
  <c r="L51" i="1" s="1"/>
  <c r="T55" i="3"/>
  <c r="N51" i="1" s="1"/>
  <c r="R57" i="3"/>
  <c r="L53" i="1" s="1"/>
  <c r="T57" i="3"/>
  <c r="N53" i="1" s="1"/>
  <c r="V57" i="3"/>
  <c r="T16" i="3"/>
  <c r="N12" i="1" s="1"/>
  <c r="R16" i="3"/>
  <c r="L12" i="1" s="1"/>
  <c r="V16" i="3"/>
  <c r="S16" i="3" a="1"/>
  <c r="S16" i="3" s="1"/>
  <c r="M12" i="1" s="1"/>
  <c r="T39" i="3"/>
  <c r="N35" i="1" s="1"/>
  <c r="V39" i="3"/>
  <c r="R39" i="3"/>
  <c r="L35" i="1" s="1"/>
  <c r="R40" i="3"/>
  <c r="L36" i="1" s="1"/>
  <c r="V40" i="3"/>
  <c r="S40" i="3" a="1"/>
  <c r="S40" i="3" s="1"/>
  <c r="M36" i="1" s="1"/>
  <c r="T40" i="3"/>
  <c r="N36" i="1" s="1"/>
  <c r="R25" i="3"/>
  <c r="L21" i="1" s="1"/>
  <c r="V25" i="3"/>
  <c r="T25" i="3"/>
  <c r="N21" i="1" s="1"/>
  <c r="T29" i="3"/>
  <c r="N25" i="1" s="1"/>
  <c r="V29" i="3"/>
  <c r="S29" i="3" a="1"/>
  <c r="S29" i="3" s="1"/>
  <c r="M25" i="1" s="1"/>
  <c r="R29" i="3"/>
  <c r="L25" i="1" s="1"/>
  <c r="V90" i="3"/>
  <c r="R90" i="3"/>
  <c r="L86" i="1" s="1"/>
  <c r="T90" i="3"/>
  <c r="N86" i="1" s="1"/>
  <c r="R8" i="3"/>
  <c r="L4" i="1" s="1"/>
  <c r="V8" i="3"/>
  <c r="T8" i="3"/>
  <c r="N4" i="1" s="1"/>
  <c r="T30" i="3"/>
  <c r="N26" i="1" s="1"/>
  <c r="R30" i="3"/>
  <c r="L26" i="1" s="1"/>
  <c r="V30" i="3"/>
  <c r="V83" i="3"/>
  <c r="R83" i="3"/>
  <c r="L79" i="1" s="1"/>
  <c r="T83" i="3"/>
  <c r="N79" i="1" s="1"/>
  <c r="V62" i="3"/>
  <c r="T62" i="3"/>
  <c r="N58" i="1" s="1"/>
  <c r="R62" i="3"/>
  <c r="L58" i="1" s="1"/>
  <c r="T28" i="3"/>
  <c r="N24" i="1" s="1"/>
  <c r="V28" i="3"/>
  <c r="R28" i="3"/>
  <c r="L24" i="1" s="1"/>
  <c r="V60" i="3"/>
  <c r="R60" i="3"/>
  <c r="L56" i="1" s="1"/>
  <c r="T60" i="3"/>
  <c r="N56" i="1" s="1"/>
  <c r="V72" i="3"/>
  <c r="T72" i="3"/>
  <c r="N68" i="1" s="1"/>
  <c r="R72" i="3"/>
  <c r="L68" i="1" s="1"/>
  <c r="R49" i="3"/>
  <c r="L45" i="1" s="1"/>
  <c r="T49" i="3"/>
  <c r="N45" i="1" s="1"/>
  <c r="V49" i="3"/>
  <c r="T34" i="3"/>
  <c r="N30" i="1" s="1"/>
  <c r="R34" i="3"/>
  <c r="L30" i="1" s="1"/>
  <c r="V34" i="3"/>
  <c r="T35" i="3"/>
  <c r="N31" i="1" s="1"/>
  <c r="R35" i="3"/>
  <c r="L31" i="1" s="1"/>
  <c r="V35" i="3"/>
  <c r="V10" i="3"/>
  <c r="T10" i="3"/>
  <c r="N6" i="1" s="1"/>
  <c r="R10" i="3"/>
  <c r="L6" i="1" s="1"/>
  <c r="R9" i="3"/>
  <c r="L5" i="1" s="1"/>
  <c r="V9" i="3"/>
  <c r="T9" i="3"/>
  <c r="N5" i="1" s="1"/>
  <c r="R46" i="3"/>
  <c r="L42" i="1" s="1"/>
  <c r="T46" i="3"/>
  <c r="N42" i="1" s="1"/>
  <c r="V46" i="3"/>
  <c r="V66" i="3"/>
  <c r="T66" i="3"/>
  <c r="N62" i="1" s="1"/>
  <c r="R66" i="3"/>
  <c r="L62" i="1" s="1"/>
  <c r="T77" i="3"/>
  <c r="N73" i="1" s="1"/>
  <c r="V77" i="3"/>
  <c r="R77" i="3"/>
  <c r="L73" i="1" s="1"/>
  <c r="R22" i="3"/>
  <c r="L18" i="1" s="1"/>
  <c r="T22" i="3"/>
  <c r="N18" i="1" s="1"/>
  <c r="V22" i="3"/>
  <c r="S82" i="3" a="1"/>
  <c r="S82" i="3" s="1"/>
  <c r="M78" i="1" s="1"/>
  <c r="R82" i="3"/>
  <c r="L78" i="1" s="1"/>
  <c r="V82" i="3"/>
  <c r="T82" i="3"/>
  <c r="N78" i="1" s="1"/>
  <c r="T70" i="3"/>
  <c r="N66" i="1" s="1"/>
  <c r="R70" i="3"/>
  <c r="L66" i="1" s="1"/>
  <c r="V70" i="3"/>
  <c r="T76" i="3"/>
  <c r="N72" i="1" s="1"/>
  <c r="R76" i="3"/>
  <c r="L72" i="1" s="1"/>
  <c r="V76" i="3"/>
  <c r="V79" i="3"/>
  <c r="R79" i="3"/>
  <c r="L75" i="1" s="1"/>
  <c r="T79" i="3"/>
  <c r="N75" i="1" s="1"/>
  <c r="T52" i="3"/>
  <c r="N48" i="1" s="1"/>
  <c r="V52" i="3"/>
  <c r="R52" i="3"/>
  <c r="L48" i="1" s="1"/>
  <c r="R15" i="3"/>
  <c r="L11" i="1" s="1"/>
  <c r="T15" i="3"/>
  <c r="N11" i="1" s="1"/>
  <c r="V15" i="3"/>
  <c r="T32" i="3"/>
  <c r="N28" i="1" s="1"/>
  <c r="V32" i="3"/>
  <c r="R32" i="3"/>
  <c r="L28" i="1" s="1"/>
  <c r="V84" i="3"/>
  <c r="T84" i="3"/>
  <c r="N80" i="1" s="1"/>
  <c r="R84" i="3"/>
  <c r="L80" i="1" s="1"/>
  <c r="R43" i="3"/>
  <c r="L39" i="1" s="1"/>
  <c r="T43" i="3"/>
  <c r="N39" i="1" s="1"/>
  <c r="V43" i="3"/>
  <c r="T80" i="3"/>
  <c r="N76" i="1" s="1"/>
  <c r="R80" i="3"/>
  <c r="L76" i="1" s="1"/>
  <c r="V80" i="3"/>
  <c r="V56" i="3"/>
  <c r="R56" i="3"/>
  <c r="L52" i="1" s="1"/>
  <c r="T56" i="3"/>
  <c r="N52" i="1" s="1"/>
  <c r="R59" i="3"/>
  <c r="L55" i="1" s="1"/>
  <c r="T59" i="3"/>
  <c r="N55" i="1" s="1"/>
  <c r="V59" i="3"/>
  <c r="V95" i="3"/>
  <c r="T95" i="3"/>
  <c r="N91" i="1" s="1"/>
  <c r="R95" i="3"/>
  <c r="L91" i="1" s="1"/>
  <c r="R41" i="3"/>
  <c r="L37" i="1" s="1"/>
  <c r="T41" i="3"/>
  <c r="N37" i="1" s="1"/>
  <c r="V41" i="3"/>
  <c r="V17" i="3"/>
  <c r="T17" i="3"/>
  <c r="N13" i="1" s="1"/>
  <c r="R17" i="3"/>
  <c r="L13" i="1" s="1"/>
  <c r="R81" i="3"/>
  <c r="L77" i="1" s="1"/>
  <c r="V81" i="3"/>
  <c r="T81" i="3"/>
  <c r="N77" i="1" s="1"/>
  <c r="V47" i="3"/>
  <c r="R47" i="3"/>
  <c r="L43" i="1" s="1"/>
  <c r="T47" i="3"/>
  <c r="N43" i="1" s="1"/>
  <c r="R86" i="3"/>
  <c r="L82" i="1" s="1"/>
  <c r="T86" i="3"/>
  <c r="N82" i="1" s="1"/>
  <c r="V86" i="3"/>
  <c r="S65" i="3" a="1"/>
  <c r="S65" i="3" s="1"/>
  <c r="M61" i="1" s="1"/>
  <c r="R65" i="3"/>
  <c r="L61" i="1" s="1"/>
  <c r="T65" i="3"/>
  <c r="N61" i="1" s="1"/>
  <c r="V65" i="3"/>
  <c r="T63" i="3"/>
  <c r="N59" i="1" s="1"/>
  <c r="V63" i="3"/>
  <c r="R63" i="3"/>
  <c r="L59" i="1" s="1"/>
  <c r="R93" i="3"/>
  <c r="L89" i="1" s="1"/>
  <c r="T93" i="3"/>
  <c r="N89" i="1" s="1"/>
  <c r="V93" i="3"/>
  <c r="T19" i="3"/>
  <c r="N15" i="1" s="1"/>
  <c r="R19" i="3"/>
  <c r="L15" i="1" s="1"/>
  <c r="V19" i="3"/>
  <c r="R88" i="3"/>
  <c r="L84" i="1" s="1"/>
  <c r="V88" i="3"/>
  <c r="T88" i="3"/>
  <c r="N84" i="1" s="1"/>
  <c r="T37" i="3"/>
  <c r="N33" i="1" s="1"/>
  <c r="R37" i="3"/>
  <c r="L33" i="1" s="1"/>
  <c r="V37" i="3"/>
  <c r="V12" i="3"/>
  <c r="T12" i="3"/>
  <c r="N8" i="1" s="1"/>
  <c r="R12" i="3"/>
  <c r="L8" i="1" s="1"/>
  <c r="V92" i="3"/>
  <c r="T92" i="3"/>
  <c r="N88" i="1" s="1"/>
  <c r="R92" i="3"/>
  <c r="L88" i="1" s="1"/>
  <c r="T73" i="3"/>
  <c r="N69" i="1" s="1"/>
  <c r="R73" i="3"/>
  <c r="L69" i="1" s="1"/>
  <c r="V73" i="3"/>
  <c r="T51" i="3"/>
  <c r="N47" i="1" s="1"/>
  <c r="R51" i="3"/>
  <c r="L47" i="1" s="1"/>
  <c r="V51" i="3"/>
  <c r="V50" i="3"/>
  <c r="R50" i="3"/>
  <c r="L46" i="1" s="1"/>
  <c r="T50" i="3"/>
  <c r="N46" i="1" s="1"/>
  <c r="V23" i="3"/>
  <c r="T23" i="3"/>
  <c r="N19" i="1" s="1"/>
  <c r="R23" i="3"/>
  <c r="L19" i="1" s="1"/>
  <c r="T31" i="3"/>
  <c r="N27" i="1" s="1"/>
  <c r="R31" i="3"/>
  <c r="L27" i="1" s="1"/>
  <c r="V31" i="3"/>
  <c r="V91" i="3"/>
  <c r="T91" i="3"/>
  <c r="N87" i="1" s="1"/>
  <c r="R91" i="3"/>
  <c r="L87" i="1" s="1"/>
  <c r="T11" i="3"/>
  <c r="N7" i="1" s="1"/>
  <c r="V11" i="3"/>
  <c r="R11" i="3"/>
  <c r="L7" i="1" s="1"/>
  <c r="R13" i="3"/>
  <c r="L9" i="1" s="1"/>
  <c r="T13" i="3"/>
  <c r="N9" i="1" s="1"/>
  <c r="V13" i="3"/>
  <c r="AN102" i="3"/>
  <c r="AN104" i="3" s="1"/>
  <c r="AN105" i="3" s="1"/>
  <c r="AJ102" i="3"/>
  <c r="AJ104" i="3" s="1"/>
  <c r="AJ105" i="3" s="1"/>
  <c r="AI102" i="3"/>
  <c r="AI104" i="3" s="1"/>
  <c r="AI105" i="3" s="1"/>
  <c r="AL102" i="3"/>
  <c r="AL104" i="3" s="1"/>
  <c r="AL105" i="3" s="1"/>
  <c r="AK102" i="3"/>
  <c r="AK104" i="3" s="1"/>
  <c r="AK105" i="3" s="1"/>
  <c r="AH102" i="3"/>
  <c r="AM102" i="3"/>
  <c r="AM104" i="3" s="1"/>
  <c r="AM105" i="3" s="1"/>
  <c r="AO102" i="3"/>
  <c r="AO104" i="3" s="1"/>
  <c r="AO105" i="3" s="1"/>
  <c r="T21" i="3"/>
  <c r="N17" i="1" s="1"/>
  <c r="R21" i="3"/>
  <c r="L17" i="1" s="1"/>
  <c r="V21" i="3"/>
  <c r="R18" i="3"/>
  <c r="L14" i="1" s="1"/>
  <c r="V18" i="3"/>
  <c r="T18" i="3"/>
  <c r="N14" i="1" s="1"/>
  <c r="V7" i="3"/>
  <c r="R7" i="3"/>
  <c r="L3" i="1" s="1"/>
  <c r="T7" i="3"/>
  <c r="N3" i="1" s="1"/>
  <c r="T89" i="3"/>
  <c r="N85" i="1" s="1"/>
  <c r="R89" i="3"/>
  <c r="L85" i="1" s="1"/>
  <c r="V89" i="3"/>
  <c r="T48" i="3"/>
  <c r="N44" i="1" s="1"/>
  <c r="V48" i="3"/>
  <c r="R48" i="3"/>
  <c r="L44" i="1" s="1"/>
  <c r="T61" i="3"/>
  <c r="N57" i="1" s="1"/>
  <c r="R61" i="3"/>
  <c r="L57" i="1" s="1"/>
  <c r="V61" i="3"/>
  <c r="S61" i="3" a="1"/>
  <c r="S61" i="3" s="1"/>
  <c r="M57" i="1" s="1"/>
  <c r="R69" i="3"/>
  <c r="L65" i="1" s="1"/>
  <c r="V69" i="3"/>
  <c r="T69" i="3"/>
  <c r="N65" i="1" s="1"/>
  <c r="S69" i="3" a="1"/>
  <c r="S69" i="3" s="1"/>
  <c r="M65" i="1" s="1"/>
  <c r="T27" i="3"/>
  <c r="N23" i="1" s="1"/>
  <c r="R27" i="3"/>
  <c r="L23" i="1" s="1"/>
  <c r="V27" i="3"/>
  <c r="V94" i="3"/>
  <c r="R94" i="3"/>
  <c r="L90" i="1" s="1"/>
  <c r="T94" i="3"/>
  <c r="N90" i="1" s="1"/>
  <c r="R54" i="3"/>
  <c r="L50" i="1" s="1"/>
  <c r="T54" i="3"/>
  <c r="N50" i="1" s="1"/>
  <c r="V54" i="3"/>
  <c r="T96" i="3"/>
  <c r="N92" i="1" s="1"/>
  <c r="V96" i="3"/>
  <c r="R96" i="3"/>
  <c r="L92" i="1" s="1"/>
  <c r="S42" i="3" a="1"/>
  <c r="S42" i="3" s="1"/>
  <c r="M38" i="1" s="1"/>
  <c r="V42" i="3"/>
  <c r="T42" i="3"/>
  <c r="N38" i="1" s="1"/>
  <c r="R42" i="3"/>
  <c r="L38" i="1" s="1"/>
  <c r="T20" i="3"/>
  <c r="N16" i="1" s="1"/>
  <c r="V20" i="3"/>
  <c r="R20" i="3"/>
  <c r="L16" i="1" s="1"/>
  <c r="T58" i="3"/>
  <c r="N54" i="1" s="1"/>
  <c r="V58" i="3"/>
  <c r="R58" i="3"/>
  <c r="L54" i="1" s="1"/>
  <c r="T78" i="3"/>
  <c r="N74" i="1" s="1"/>
  <c r="V78" i="3"/>
  <c r="R78" i="3"/>
  <c r="L74" i="1" s="1"/>
  <c r="R26" i="3"/>
  <c r="L22" i="1" s="1"/>
  <c r="V26" i="3"/>
  <c r="T26" i="3"/>
  <c r="N22" i="1" s="1"/>
  <c r="T64" i="3"/>
  <c r="N60" i="1" s="1"/>
  <c r="V64" i="3"/>
  <c r="R64" i="3"/>
  <c r="L60" i="1" s="1"/>
  <c r="F16" i="6" l="1"/>
  <c r="F57" i="6"/>
  <c r="F66" i="6"/>
  <c r="F36" i="6"/>
  <c r="F56" i="6"/>
  <c r="F87" i="6"/>
  <c r="F9" i="6"/>
  <c r="F17" i="6"/>
  <c r="F15" i="6"/>
  <c r="F41" i="6"/>
  <c r="F75" i="6"/>
  <c r="F38" i="6"/>
  <c r="F65" i="6"/>
  <c r="F51" i="6"/>
  <c r="F69" i="6"/>
  <c r="F19" i="6"/>
  <c r="F10" i="6"/>
  <c r="F32" i="6"/>
  <c r="F55" i="6"/>
  <c r="F24" i="6"/>
  <c r="F94" i="6"/>
  <c r="F25" i="6"/>
  <c r="F59" i="6"/>
  <c r="F21" i="6"/>
  <c r="F35" i="6"/>
  <c r="F45" i="6"/>
  <c r="F74" i="6"/>
  <c r="F60" i="6"/>
  <c r="F6" i="6"/>
  <c r="F83" i="6"/>
  <c r="F42" i="6"/>
  <c r="F73" i="6"/>
  <c r="F7" i="6"/>
  <c r="F27" i="6"/>
  <c r="F43" i="6"/>
  <c r="F18" i="6"/>
  <c r="F91" i="6"/>
  <c r="F37" i="6"/>
  <c r="F12" i="6"/>
  <c r="F72" i="6"/>
  <c r="F40" i="6"/>
  <c r="F92" i="6"/>
  <c r="F63" i="6"/>
  <c r="F77" i="6"/>
  <c r="F70" i="6"/>
  <c r="F52" i="6"/>
  <c r="F11" i="6"/>
  <c r="F89" i="6"/>
  <c r="F79" i="6"/>
  <c r="F54" i="6"/>
  <c r="F20" i="6"/>
  <c r="F64" i="6"/>
  <c r="F47" i="6"/>
  <c r="F58" i="6"/>
  <c r="F23" i="6"/>
  <c r="F31" i="6"/>
  <c r="F22" i="6"/>
  <c r="F34" i="6"/>
  <c r="F62" i="6"/>
  <c r="F30" i="6"/>
  <c r="F71" i="6"/>
  <c r="F39" i="6"/>
  <c r="F80" i="6"/>
  <c r="F76" i="6"/>
  <c r="F29" i="6"/>
  <c r="F48" i="6"/>
  <c r="F84" i="6"/>
  <c r="F78" i="6"/>
  <c r="F82" i="6"/>
  <c r="F50" i="6"/>
  <c r="F68" i="6"/>
  <c r="F44" i="6"/>
  <c r="F8" i="6"/>
  <c r="F81" i="6"/>
  <c r="F85" i="6"/>
  <c r="F67" i="6"/>
  <c r="F61" i="6"/>
  <c r="F13" i="6"/>
  <c r="F5" i="6"/>
  <c r="F46" i="6"/>
  <c r="F49" i="6"/>
  <c r="F90" i="6"/>
  <c r="F86" i="6"/>
  <c r="F93" i="6"/>
  <c r="F33" i="6"/>
  <c r="F26" i="6"/>
  <c r="F28" i="6"/>
  <c r="F88" i="6"/>
  <c r="F14" i="6"/>
  <c r="F53" i="6"/>
  <c r="F4" i="6"/>
  <c r="AH104" i="3"/>
  <c r="AP102" i="3"/>
  <c r="AP105" i="3" l="1"/>
  <c r="AH105" i="3"/>
  <c r="AP104" i="3"/>
  <c r="O14" i="5" l="1"/>
  <c r="O15" i="5" l="1"/>
  <c r="O17" i="5"/>
  <c r="O12" i="5"/>
  <c r="O13" i="5"/>
  <c r="O16" i="5"/>
  <c r="P15" i="5" l="1"/>
  <c r="P12" i="5"/>
  <c r="P13" i="5"/>
  <c r="P16" i="5"/>
  <c r="P14" i="5"/>
  <c r="P17" i="5"/>
  <c r="AE13" i="5" l="1" a="1"/>
  <c r="AE13" i="5" s="1"/>
  <c r="AA13" i="5" a="1"/>
  <c r="AA13" i="5" s="1"/>
  <c r="G3" i="4" s="1"/>
  <c r="AB13" i="5" a="1"/>
  <c r="AB13" i="5" s="1"/>
  <c r="H3" i="4" s="1"/>
  <c r="AG13" i="5" a="1"/>
  <c r="AG13" i="5" s="1"/>
  <c r="X13" i="5" a="1"/>
  <c r="X13" i="5" s="1"/>
  <c r="D3" i="4" s="1"/>
  <c r="AI13" i="5" a="1"/>
  <c r="AI13" i="5" s="1"/>
  <c r="AH13" i="5" a="1"/>
  <c r="AH13" i="5" s="1"/>
  <c r="AF13" i="5" a="1"/>
  <c r="AF13" i="5" s="1"/>
  <c r="T13" i="5"/>
  <c r="W13" i="5"/>
  <c r="C3" i="4" s="1"/>
  <c r="AD13" i="5" a="1"/>
  <c r="AD13" i="5" s="1"/>
  <c r="Y13" i="5" a="1"/>
  <c r="Y13" i="5" s="1"/>
  <c r="E3" i="4" s="1"/>
  <c r="AJ13" i="5" a="1"/>
  <c r="AJ13" i="5" s="1"/>
  <c r="AC13" i="5" a="1"/>
  <c r="AC13" i="5" s="1"/>
  <c r="I3" i="4" s="1"/>
  <c r="Z13" i="5" a="1"/>
  <c r="Z13" i="5" s="1"/>
  <c r="F3" i="4" s="1"/>
  <c r="AK13" i="5" a="1"/>
  <c r="AK13" i="5" s="1"/>
  <c r="AF16" i="5" a="1"/>
  <c r="AF16" i="5" s="1"/>
  <c r="X16" i="5" a="1"/>
  <c r="X16" i="5" s="1"/>
  <c r="D6" i="4" s="1"/>
  <c r="AG16" i="5" a="1"/>
  <c r="AG16" i="5" s="1"/>
  <c r="T16" i="5"/>
  <c r="AD16" i="5" a="1"/>
  <c r="AD16" i="5" s="1"/>
  <c r="AK16" i="5" a="1"/>
  <c r="AK16" i="5" s="1"/>
  <c r="AJ16" i="5" a="1"/>
  <c r="AJ16" i="5" s="1"/>
  <c r="AC16" i="5" a="1"/>
  <c r="AC16" i="5" s="1"/>
  <c r="I6" i="4" s="1"/>
  <c r="AH16" i="5" a="1"/>
  <c r="AH16" i="5" s="1"/>
  <c r="W16" i="5"/>
  <c r="C6" i="4" s="1"/>
  <c r="Z16" i="5" a="1"/>
  <c r="Z16" i="5" s="1"/>
  <c r="F6" i="4" s="1"/>
  <c r="AA16" i="5" a="1"/>
  <c r="AA16" i="5" s="1"/>
  <c r="G6" i="4" s="1"/>
  <c r="AB16" i="5" a="1"/>
  <c r="AB16" i="5" s="1"/>
  <c r="H6" i="4" s="1"/>
  <c r="AE16" i="5" a="1"/>
  <c r="AE16" i="5" s="1"/>
  <c r="Y16" i="5" a="1"/>
  <c r="Y16" i="5" s="1"/>
  <c r="E6" i="4" s="1"/>
  <c r="AI16" i="5" a="1"/>
  <c r="AI16" i="5" s="1"/>
  <c r="X15" i="5" a="1"/>
  <c r="X15" i="5" s="1"/>
  <c r="D5" i="4" s="1"/>
  <c r="AK15" i="5" a="1"/>
  <c r="AK15" i="5" s="1"/>
  <c r="Z15" i="5" a="1"/>
  <c r="Z15" i="5" s="1"/>
  <c r="F5" i="4" s="1"/>
  <c r="AJ15" i="5" a="1"/>
  <c r="AJ15" i="5" s="1"/>
  <c r="AD15" i="5" a="1"/>
  <c r="AD15" i="5" s="1"/>
  <c r="T15" i="5"/>
  <c r="AA15" i="5" a="1"/>
  <c r="AA15" i="5" s="1"/>
  <c r="G5" i="4" s="1"/>
  <c r="AI15" i="5" a="1"/>
  <c r="AI15" i="5" s="1"/>
  <c r="W15" i="5"/>
  <c r="C5" i="4" s="1"/>
  <c r="AE15" i="5" a="1"/>
  <c r="AE15" i="5" s="1"/>
  <c r="AF15" i="5" a="1"/>
  <c r="AF15" i="5" s="1"/>
  <c r="AG15" i="5" a="1"/>
  <c r="AG15" i="5" s="1"/>
  <c r="AC15" i="5" a="1"/>
  <c r="AC15" i="5" s="1"/>
  <c r="I5" i="4" s="1"/>
  <c r="AB15" i="5" a="1"/>
  <c r="AB15" i="5" s="1"/>
  <c r="H5" i="4" s="1"/>
  <c r="Y15" i="5" a="1"/>
  <c r="Y15" i="5" s="1"/>
  <c r="E5" i="4" s="1"/>
  <c r="AH15" i="5" a="1"/>
  <c r="AH15" i="5" s="1"/>
  <c r="AJ14" i="5" a="1"/>
  <c r="AJ14" i="5" s="1"/>
  <c r="AB14" i="5" a="1"/>
  <c r="AB14" i="5" s="1"/>
  <c r="H4" i="4" s="1"/>
  <c r="AF14" i="5" a="1"/>
  <c r="AF14" i="5" s="1"/>
  <c r="AA14" i="5" a="1"/>
  <c r="AA14" i="5" s="1"/>
  <c r="G4" i="4" s="1"/>
  <c r="AG14" i="5" a="1"/>
  <c r="AG14" i="5" s="1"/>
  <c r="AI14" i="5" a="1"/>
  <c r="AI14" i="5" s="1"/>
  <c r="AE14" i="5" a="1"/>
  <c r="AE14" i="5" s="1"/>
  <c r="AH14" i="5" a="1"/>
  <c r="AH14" i="5" s="1"/>
  <c r="T14" i="5"/>
  <c r="AK14" i="5" a="1"/>
  <c r="AK14" i="5" s="1"/>
  <c r="AD14" i="5" a="1"/>
  <c r="AD14" i="5" s="1"/>
  <c r="Z14" i="5" a="1"/>
  <c r="Z14" i="5" s="1"/>
  <c r="F4" i="4" s="1"/>
  <c r="AC14" i="5" a="1"/>
  <c r="AC14" i="5" s="1"/>
  <c r="I4" i="4" s="1"/>
  <c r="Y14" i="5" a="1"/>
  <c r="Y14" i="5" s="1"/>
  <c r="E4" i="4" s="1"/>
  <c r="W14" i="5"/>
  <c r="C4" i="4" s="1"/>
  <c r="X14" i="5" a="1"/>
  <c r="X14" i="5" s="1"/>
  <c r="D4" i="4" s="1"/>
  <c r="T12" i="5"/>
  <c r="AD12" i="5" a="1"/>
  <c r="AD12" i="5" s="1"/>
  <c r="W12" i="5"/>
  <c r="C2" i="4" s="1"/>
  <c r="AB12" i="5" a="1"/>
  <c r="AB12" i="5" s="1"/>
  <c r="H2" i="4" s="1"/>
  <c r="AF12" i="5" a="1"/>
  <c r="AF12" i="5" s="1"/>
  <c r="AI12" i="5" a="1"/>
  <c r="AI12" i="5" s="1"/>
  <c r="AC12" i="5" a="1"/>
  <c r="AC12" i="5" s="1"/>
  <c r="I2" i="4" s="1"/>
  <c r="AG12" i="5" a="1"/>
  <c r="AG12" i="5" s="1"/>
  <c r="AE12" i="5" a="1"/>
  <c r="AE12" i="5" s="1"/>
  <c r="Y12" i="5" a="1"/>
  <c r="Y12" i="5" s="1"/>
  <c r="E2" i="4" s="1"/>
  <c r="AJ12" i="5" a="1"/>
  <c r="AJ12" i="5" s="1"/>
  <c r="AK12" i="5" a="1"/>
  <c r="AK12" i="5" s="1"/>
  <c r="AA12" i="5" a="1"/>
  <c r="AA12" i="5" s="1"/>
  <c r="G2" i="4" s="1"/>
  <c r="Z12" i="5" a="1"/>
  <c r="Z12" i="5" s="1"/>
  <c r="F2" i="4" s="1"/>
  <c r="AH12" i="5" a="1"/>
  <c r="AH12" i="5" s="1"/>
  <c r="X12" i="5" a="1"/>
  <c r="X12" i="5" s="1"/>
  <c r="D2" i="4" s="1"/>
  <c r="Z17" i="5" a="1"/>
  <c r="Z17" i="5" s="1"/>
  <c r="F7" i="4" s="1"/>
  <c r="AF17" i="5" a="1"/>
  <c r="AF17" i="5" s="1"/>
  <c r="AJ17" i="5" a="1"/>
  <c r="AJ17" i="5" s="1"/>
  <c r="AB17" i="5" a="1"/>
  <c r="AB17" i="5" s="1"/>
  <c r="H7" i="4" s="1"/>
  <c r="W17" i="5"/>
  <c r="C7" i="4" s="1"/>
  <c r="AA17" i="5" a="1"/>
  <c r="AA17" i="5" s="1"/>
  <c r="G7" i="4" s="1"/>
  <c r="AK17" i="5" a="1"/>
  <c r="AK17" i="5" s="1"/>
  <c r="Y17" i="5" a="1"/>
  <c r="Y17" i="5" s="1"/>
  <c r="E7" i="4" s="1"/>
  <c r="AG17" i="5" a="1"/>
  <c r="AG17" i="5" s="1"/>
  <c r="AH17" i="5" a="1"/>
  <c r="AH17" i="5" s="1"/>
  <c r="X17" i="5" a="1"/>
  <c r="X17" i="5" s="1"/>
  <c r="D7" i="4" s="1"/>
  <c r="AC17" i="5" a="1"/>
  <c r="AC17" i="5" s="1"/>
  <c r="I7" i="4" s="1"/>
  <c r="T17" i="5"/>
  <c r="AI17" i="5" a="1"/>
  <c r="AI17" i="5" s="1"/>
  <c r="AD17" i="5" a="1"/>
  <c r="AD17" i="5" s="1"/>
  <c r="AE17" i="5" a="1"/>
  <c r="AE17" i="5" s="1"/>
  <c r="J4" i="6" l="1"/>
  <c r="J9" i="6"/>
  <c r="J13" i="6"/>
  <c r="U16" i="5"/>
  <c r="U17" i="5"/>
  <c r="J14" i="6"/>
  <c r="U13" i="5"/>
  <c r="J10" i="6"/>
  <c r="U14" i="5"/>
  <c r="J11" i="6"/>
  <c r="U15" i="5"/>
  <c r="J12" i="6"/>
  <c r="U10" i="3" l="1"/>
  <c r="AE10" i="3"/>
  <c r="AE9" i="3"/>
  <c r="U9" i="3"/>
  <c r="U19" i="3"/>
  <c r="AE19" i="3"/>
  <c r="AE8" i="3"/>
  <c r="U8" i="3"/>
  <c r="U57" i="3" l="1"/>
  <c r="AE57" i="3"/>
  <c r="AE52" i="3"/>
  <c r="U52" i="3"/>
  <c r="U51" i="3"/>
  <c r="AE51" i="3"/>
  <c r="U48" i="3"/>
  <c r="AE48" i="3"/>
  <c r="Z47" i="3" s="1"/>
  <c r="U47" i="3"/>
  <c r="AE47" i="3"/>
  <c r="Z49" i="3" s="1"/>
  <c r="U49" i="3"/>
  <c r="AE49" i="3"/>
  <c r="Z48" i="3" s="1"/>
  <c r="AE21" i="3"/>
  <c r="Z20" i="3" s="1"/>
  <c r="U21" i="3"/>
  <c r="U34" i="3"/>
  <c r="AE34" i="3"/>
  <c r="Z35" i="3" s="1"/>
  <c r="AE38" i="3"/>
  <c r="U38" i="3"/>
  <c r="AE23" i="3"/>
  <c r="U23" i="3"/>
  <c r="AE37" i="3"/>
  <c r="U37" i="3"/>
  <c r="AE35" i="3"/>
  <c r="Z34" i="3" s="1"/>
  <c r="U35" i="3"/>
  <c r="U33" i="3"/>
  <c r="AE33" i="3"/>
  <c r="U22" i="3"/>
  <c r="AE22" i="3"/>
  <c r="U53" i="3"/>
  <c r="AE53" i="3"/>
  <c r="Z53" i="3" s="1"/>
  <c r="AE32" i="3"/>
  <c r="Z32" i="3" s="1"/>
  <c r="U32" i="3"/>
  <c r="AE20" i="3"/>
  <c r="Z21" i="3" s="1"/>
  <c r="U20" i="3"/>
  <c r="H31" i="1" l="1"/>
  <c r="G33" i="6"/>
  <c r="AC35" i="3"/>
  <c r="AC53" i="3"/>
  <c r="G51" i="6"/>
  <c r="H49" i="1"/>
  <c r="AC34" i="3"/>
  <c r="H30" i="1"/>
  <c r="G32" i="6"/>
  <c r="G18" i="6"/>
  <c r="H16" i="1"/>
  <c r="AC20" i="3"/>
  <c r="G46" i="6"/>
  <c r="AC48" i="3"/>
  <c r="H44" i="1"/>
  <c r="H28" i="1"/>
  <c r="AC32" i="3"/>
  <c r="G30" i="6"/>
  <c r="H45" i="1"/>
  <c r="G47" i="6"/>
  <c r="AC49" i="3"/>
  <c r="H43" i="1"/>
  <c r="AC47" i="3"/>
  <c r="G45" i="6"/>
  <c r="AC21" i="3"/>
  <c r="G19" i="6"/>
  <c r="H17" i="1"/>
  <c r="AE7" i="3" l="1"/>
  <c r="U7" i="3"/>
  <c r="AE80" i="3"/>
  <c r="U80" i="3"/>
  <c r="U13" i="3"/>
  <c r="AE13" i="3"/>
  <c r="Z12" i="3" s="1"/>
  <c r="AE28" i="3"/>
  <c r="Z28" i="3" s="1"/>
  <c r="U28" i="3"/>
  <c r="U18" i="3"/>
  <c r="AE18" i="3"/>
  <c r="U45" i="3"/>
  <c r="AE45" i="3"/>
  <c r="U64" i="3"/>
  <c r="AE64" i="3"/>
  <c r="AE6" i="3"/>
  <c r="U6" i="3"/>
  <c r="AE25" i="3"/>
  <c r="U25" i="3"/>
  <c r="AE63" i="3"/>
  <c r="U63" i="3"/>
  <c r="AE24" i="3"/>
  <c r="U24" i="3"/>
  <c r="AE17" i="3"/>
  <c r="U17" i="3"/>
  <c r="AE46" i="3"/>
  <c r="U46" i="3"/>
  <c r="U31" i="3"/>
  <c r="AE31" i="3"/>
  <c r="AE11" i="3"/>
  <c r="U11" i="3"/>
  <c r="U81" i="3"/>
  <c r="AE81" i="3"/>
  <c r="AE62" i="3"/>
  <c r="U62" i="3"/>
  <c r="U75" i="3"/>
  <c r="AE75" i="3"/>
  <c r="Z75" i="3" s="1"/>
  <c r="AE61" i="3"/>
  <c r="U61" i="3"/>
  <c r="AE30" i="3"/>
  <c r="U30" i="3"/>
  <c r="U54" i="3" l="1"/>
  <c r="AE54" i="3"/>
  <c r="Z55" i="3" s="1"/>
  <c r="AE14" i="3"/>
  <c r="Z14" i="3" s="1"/>
  <c r="U14" i="3"/>
  <c r="U73" i="3"/>
  <c r="AE73" i="3"/>
  <c r="Z73" i="3" s="1"/>
  <c r="AE58" i="3"/>
  <c r="U58" i="3"/>
  <c r="U67" i="3"/>
  <c r="AE67" i="3"/>
  <c r="Z67" i="3" s="1"/>
  <c r="U87" i="3"/>
  <c r="AE87" i="3"/>
  <c r="Z87" i="3" s="1"/>
  <c r="AE95" i="3"/>
  <c r="U95" i="3"/>
  <c r="AE12" i="3"/>
  <c r="Z13" i="3" s="1"/>
  <c r="U12" i="3"/>
  <c r="AC12" i="3"/>
  <c r="G10" i="6"/>
  <c r="H8" i="1"/>
  <c r="U74" i="3"/>
  <c r="AE74" i="3"/>
  <c r="Z74" i="3" s="1"/>
  <c r="U86" i="3"/>
  <c r="AE86" i="3"/>
  <c r="Z86" i="3" s="1"/>
  <c r="AE50" i="3"/>
  <c r="Z50" i="3" s="1"/>
  <c r="U50" i="3"/>
  <c r="U16" i="3"/>
  <c r="AE16" i="3"/>
  <c r="U85" i="3"/>
  <c r="AE85" i="3"/>
  <c r="AE70" i="3"/>
  <c r="U70" i="3"/>
  <c r="AE39" i="3"/>
  <c r="U39" i="3"/>
  <c r="AE90" i="3"/>
  <c r="Z90" i="3" s="1"/>
  <c r="U90" i="3"/>
  <c r="AE15" i="3"/>
  <c r="U15" i="3"/>
  <c r="U41" i="3"/>
  <c r="AE41" i="3"/>
  <c r="AE77" i="3"/>
  <c r="U77" i="3"/>
  <c r="U66" i="3"/>
  <c r="AE66" i="3"/>
  <c r="Z66" i="3" s="1"/>
  <c r="U76" i="3"/>
  <c r="AE76" i="3"/>
  <c r="Z76" i="3" s="1"/>
  <c r="AE29" i="3"/>
  <c r="U29" i="3"/>
  <c r="AE82" i="3"/>
  <c r="Z82" i="3" s="1"/>
  <c r="U82" i="3"/>
  <c r="U65" i="3"/>
  <c r="AE65" i="3"/>
  <c r="Z65" i="3" s="1"/>
  <c r="AE36" i="3"/>
  <c r="Z36" i="3" s="1"/>
  <c r="U36" i="3"/>
  <c r="AE69" i="3"/>
  <c r="Z69" i="3" s="1"/>
  <c r="U69" i="3"/>
  <c r="U94" i="3"/>
  <c r="AE94" i="3"/>
  <c r="AE92" i="3"/>
  <c r="U92" i="3"/>
  <c r="AE40" i="3"/>
  <c r="U40" i="3"/>
  <c r="AE43" i="3"/>
  <c r="U43" i="3"/>
  <c r="G73" i="6"/>
  <c r="H71" i="1"/>
  <c r="AC75" i="3"/>
  <c r="AE59" i="3"/>
  <c r="U59" i="3"/>
  <c r="AE27" i="3"/>
  <c r="Z27" i="3" s="1"/>
  <c r="U27" i="3"/>
  <c r="U42" i="3"/>
  <c r="AE42" i="3"/>
  <c r="AC28" i="3"/>
  <c r="H24" i="1"/>
  <c r="G26" i="6"/>
  <c r="AE68" i="3"/>
  <c r="Z68" i="3" s="1"/>
  <c r="U68" i="3"/>
  <c r="U79" i="3"/>
  <c r="AE79" i="3"/>
  <c r="U89" i="3"/>
  <c r="AE89" i="3"/>
  <c r="Z89" i="3" s="1"/>
  <c r="AE26" i="3"/>
  <c r="Z26" i="3" s="1"/>
  <c r="U26" i="3"/>
  <c r="U93" i="3"/>
  <c r="AE93" i="3"/>
  <c r="U55" i="3"/>
  <c r="AE55" i="3"/>
  <c r="Z54" i="3" s="1"/>
  <c r="U56" i="3"/>
  <c r="AE56" i="3"/>
  <c r="Z56" i="3" s="1"/>
  <c r="U91" i="3"/>
  <c r="AE91" i="3"/>
  <c r="Z91" i="3" s="1"/>
  <c r="U88" i="3"/>
  <c r="AE88" i="3"/>
  <c r="Z88" i="3" s="1"/>
  <c r="AE84" i="3"/>
  <c r="Z84" i="3" s="1"/>
  <c r="U84" i="3"/>
  <c r="AE78" i="3"/>
  <c r="U78" i="3"/>
  <c r="AE72" i="3"/>
  <c r="U72" i="3"/>
  <c r="AE44" i="3"/>
  <c r="U44" i="3"/>
  <c r="U71" i="3"/>
  <c r="AE71" i="3"/>
  <c r="U83" i="3"/>
  <c r="AE83" i="3"/>
  <c r="Z83" i="3" s="1"/>
  <c r="AE60" i="3"/>
  <c r="U60" i="3"/>
  <c r="AE96" i="3"/>
  <c r="U96" i="3"/>
  <c r="Z8" i="3" l="1"/>
  <c r="G6" i="6" s="1"/>
  <c r="Z30" i="3"/>
  <c r="AC30" i="3" s="1"/>
  <c r="Z7" i="3"/>
  <c r="G5" i="6" s="1"/>
  <c r="Z10" i="3"/>
  <c r="G8" i="6" s="1"/>
  <c r="Z72" i="3"/>
  <c r="H68" i="1" s="1"/>
  <c r="Z57" i="3"/>
  <c r="AC57" i="3" s="1"/>
  <c r="Z45" i="3"/>
  <c r="AC45" i="3" s="1"/>
  <c r="G86" i="6"/>
  <c r="H84" i="1"/>
  <c r="AC88" i="3"/>
  <c r="Z39" i="3"/>
  <c r="Z63" i="3"/>
  <c r="Z40" i="3"/>
  <c r="H87" i="1"/>
  <c r="AC91" i="3"/>
  <c r="G89" i="6"/>
  <c r="Z9" i="3"/>
  <c r="H22" i="1"/>
  <c r="G24" i="6"/>
  <c r="AC26" i="3"/>
  <c r="Z71" i="3"/>
  <c r="Z51" i="3"/>
  <c r="G63" i="6"/>
  <c r="AC65" i="3"/>
  <c r="H61" i="1"/>
  <c r="AC66" i="3"/>
  <c r="H62" i="1"/>
  <c r="G64" i="6"/>
  <c r="Z19" i="3"/>
  <c r="Z29" i="3"/>
  <c r="Z17" i="3"/>
  <c r="Z23" i="3"/>
  <c r="Z25" i="3"/>
  <c r="Z16" i="3"/>
  <c r="Z18" i="3"/>
  <c r="Z22" i="3"/>
  <c r="Z24" i="3"/>
  <c r="Z44" i="3"/>
  <c r="AC73" i="3"/>
  <c r="G71" i="6"/>
  <c r="H69" i="1"/>
  <c r="H64" i="1"/>
  <c r="AC68" i="3"/>
  <c r="G66" i="6"/>
  <c r="Z78" i="3"/>
  <c r="H85" i="1"/>
  <c r="AC89" i="3"/>
  <c r="G87" i="6"/>
  <c r="Z52" i="3"/>
  <c r="G88" i="6"/>
  <c r="H86" i="1"/>
  <c r="AC90" i="3"/>
  <c r="AC67" i="3"/>
  <c r="G65" i="6"/>
  <c r="H63" i="1"/>
  <c r="Z43" i="3"/>
  <c r="G34" i="6"/>
  <c r="H32" i="1"/>
  <c r="AC36" i="3"/>
  <c r="Z11" i="3"/>
  <c r="H79" i="1"/>
  <c r="G81" i="6"/>
  <c r="AC83" i="3"/>
  <c r="G54" i="6"/>
  <c r="AC56" i="3"/>
  <c r="H52" i="1"/>
  <c r="Z15" i="3"/>
  <c r="Z77" i="3"/>
  <c r="Z58" i="3"/>
  <c r="Z31" i="3"/>
  <c r="H72" i="1"/>
  <c r="G74" i="6"/>
  <c r="AC76" i="3"/>
  <c r="Z37" i="3"/>
  <c r="H50" i="1"/>
  <c r="AC54" i="3"/>
  <c r="G52" i="6"/>
  <c r="Z64" i="3"/>
  <c r="Z80" i="3"/>
  <c r="Z94" i="3"/>
  <c r="Z79" i="3"/>
  <c r="Z81" i="3"/>
  <c r="Z93" i="3"/>
  <c r="Z85" i="3"/>
  <c r="Z92" i="3"/>
  <c r="Z95" i="3"/>
  <c r="Z96" i="3"/>
  <c r="Z46" i="3"/>
  <c r="G80" i="6"/>
  <c r="AC82" i="3"/>
  <c r="H78" i="1"/>
  <c r="AC50" i="3"/>
  <c r="G48" i="6"/>
  <c r="H46" i="1"/>
  <c r="Z33" i="3"/>
  <c r="G12" i="6"/>
  <c r="H10" i="1"/>
  <c r="AC14" i="3"/>
  <c r="AC87" i="3"/>
  <c r="H83" i="1"/>
  <c r="G85" i="6"/>
  <c r="Z6" i="3"/>
  <c r="Z70" i="3"/>
  <c r="G67" i="6"/>
  <c r="H65" i="1"/>
  <c r="AC69" i="3"/>
  <c r="Z60" i="3"/>
  <c r="AC86" i="3"/>
  <c r="G84" i="6"/>
  <c r="H82" i="1"/>
  <c r="H9" i="1"/>
  <c r="G11" i="6"/>
  <c r="AC13" i="3"/>
  <c r="Z41" i="3"/>
  <c r="G53" i="6"/>
  <c r="AC55" i="3"/>
  <c r="H51" i="1"/>
  <c r="H70" i="1"/>
  <c r="AC74" i="3"/>
  <c r="G72" i="6"/>
  <c r="G82" i="6"/>
  <c r="AC84" i="3"/>
  <c r="H80" i="1"/>
  <c r="Z62" i="3"/>
  <c r="AC27" i="3"/>
  <c r="G25" i="6"/>
  <c r="H23" i="1"/>
  <c r="Z61" i="3"/>
  <c r="Z59" i="3"/>
  <c r="Z38" i="3"/>
  <c r="Z42" i="3"/>
  <c r="AC10" i="3" l="1"/>
  <c r="G70" i="6"/>
  <c r="AC72" i="3"/>
  <c r="H4" i="1"/>
  <c r="AC8" i="3"/>
  <c r="H6" i="1"/>
  <c r="G55" i="6"/>
  <c r="H53" i="1"/>
  <c r="H3" i="1"/>
  <c r="AC7" i="3"/>
  <c r="G28" i="6"/>
  <c r="H26" i="1"/>
  <c r="G43" i="6"/>
  <c r="H41" i="1"/>
  <c r="H77" i="1"/>
  <c r="G79" i="6"/>
  <c r="AC81" i="3"/>
  <c r="H74" i="1"/>
  <c r="AC78" i="3"/>
  <c r="G76" i="6"/>
  <c r="G39" i="6"/>
  <c r="AC41" i="3"/>
  <c r="H37" i="1"/>
  <c r="H42" i="1"/>
  <c r="G44" i="6"/>
  <c r="AC46" i="3"/>
  <c r="H90" i="1"/>
  <c r="AC94" i="3"/>
  <c r="G92" i="6"/>
  <c r="G15" i="6"/>
  <c r="H13" i="1"/>
  <c r="AC17" i="3"/>
  <c r="H5" i="1"/>
  <c r="AC9" i="3"/>
  <c r="G7" i="6"/>
  <c r="G21" i="6"/>
  <c r="AC23" i="3"/>
  <c r="H19" i="1"/>
  <c r="G31" i="6"/>
  <c r="AC33" i="3"/>
  <c r="H29" i="1"/>
  <c r="H92" i="1"/>
  <c r="G94" i="6"/>
  <c r="AC96" i="3"/>
  <c r="G78" i="6"/>
  <c r="AC80" i="3"/>
  <c r="H76" i="1"/>
  <c r="H40" i="1"/>
  <c r="G42" i="6"/>
  <c r="AC44" i="3"/>
  <c r="H25" i="1"/>
  <c r="AC29" i="3"/>
  <c r="G27" i="6"/>
  <c r="H47" i="1"/>
  <c r="AC51" i="3"/>
  <c r="G49" i="6"/>
  <c r="H57" i="1"/>
  <c r="AC61" i="3"/>
  <c r="G59" i="6"/>
  <c r="G93" i="6"/>
  <c r="H91" i="1"/>
  <c r="AC95" i="3"/>
  <c r="H60" i="1"/>
  <c r="AC64" i="3"/>
  <c r="G62" i="6"/>
  <c r="H27" i="1"/>
  <c r="G29" i="6"/>
  <c r="AC31" i="3"/>
  <c r="AC24" i="3"/>
  <c r="G22" i="6"/>
  <c r="H20" i="1"/>
  <c r="AC19" i="3"/>
  <c r="H15" i="1"/>
  <c r="G17" i="6"/>
  <c r="G69" i="6"/>
  <c r="H67" i="1"/>
  <c r="AC71" i="3"/>
  <c r="H36" i="1"/>
  <c r="G38" i="6"/>
  <c r="AC40" i="3"/>
  <c r="G57" i="6"/>
  <c r="AC59" i="3"/>
  <c r="H55" i="1"/>
  <c r="G23" i="6"/>
  <c r="H21" i="1"/>
  <c r="AC25" i="3"/>
  <c r="G77" i="6"/>
  <c r="H75" i="1"/>
  <c r="AC79" i="3"/>
  <c r="G90" i="6"/>
  <c r="H88" i="1"/>
  <c r="AC92" i="3"/>
  <c r="G50" i="6"/>
  <c r="H48" i="1"/>
  <c r="AC52" i="3"/>
  <c r="H18" i="1"/>
  <c r="AC22" i="3"/>
  <c r="G20" i="6"/>
  <c r="AC63" i="3"/>
  <c r="G61" i="6"/>
  <c r="H59" i="1"/>
  <c r="H58" i="1"/>
  <c r="G60" i="6"/>
  <c r="AC62" i="3"/>
  <c r="G56" i="6"/>
  <c r="AC58" i="3"/>
  <c r="H54" i="1"/>
  <c r="H38" i="1"/>
  <c r="G40" i="6"/>
  <c r="AC42" i="3"/>
  <c r="G4" i="6"/>
  <c r="AC6" i="3"/>
  <c r="J2" i="6"/>
  <c r="H81" i="1"/>
  <c r="AC85" i="3"/>
  <c r="G83" i="6"/>
  <c r="AC77" i="3"/>
  <c r="G75" i="6"/>
  <c r="H73" i="1"/>
  <c r="H7" i="1"/>
  <c r="AC11" i="3"/>
  <c r="G9" i="6"/>
  <c r="H14" i="1"/>
  <c r="G16" i="6"/>
  <c r="AC18" i="3"/>
  <c r="H35" i="1"/>
  <c r="AC39" i="3"/>
  <c r="G37" i="6"/>
  <c r="AC37" i="3"/>
  <c r="H33" i="1"/>
  <c r="G35" i="6"/>
  <c r="AC60" i="3"/>
  <c r="G58" i="6"/>
  <c r="H56" i="1"/>
  <c r="G68" i="6"/>
  <c r="H66" i="1"/>
  <c r="AC70" i="3"/>
  <c r="H39" i="1"/>
  <c r="G41" i="6"/>
  <c r="AC43" i="3"/>
  <c r="AC38" i="3"/>
  <c r="H34" i="1"/>
  <c r="G36" i="6"/>
  <c r="H89" i="1"/>
  <c r="AC93" i="3"/>
  <c r="G91" i="6"/>
  <c r="H11" i="1"/>
  <c r="G13" i="6"/>
  <c r="AC15" i="3"/>
  <c r="G14" i="6"/>
  <c r="H12" i="1"/>
  <c r="AC16" i="3"/>
  <c r="K11" i="6" l="1"/>
  <c r="K12" i="6"/>
  <c r="J17" i="6"/>
  <c r="K9" i="6"/>
  <c r="J16" i="6"/>
  <c r="K13" i="6"/>
  <c r="K14" i="6"/>
  <c r="K10" i="6"/>
  <c r="L12" i="6" l="1"/>
  <c r="L11" i="6"/>
  <c r="L13" i="6"/>
  <c r="K17" i="6"/>
  <c r="L9" i="6"/>
  <c r="J3" i="6"/>
  <c r="K16" i="6"/>
  <c r="L10" i="6"/>
  <c r="L14" i="6"/>
  <c r="J5" i="6" l="1"/>
</calcChain>
</file>

<file path=xl/sharedStrings.xml><?xml version="1.0" encoding="utf-8"?>
<sst xmlns="http://schemas.openxmlformats.org/spreadsheetml/2006/main" count="410" uniqueCount="144">
  <si>
    <t>龙魂名称</t>
    <phoneticPr fontId="1" type="noConversion"/>
  </si>
  <si>
    <t>前置点</t>
    <phoneticPr fontId="1" type="noConversion"/>
  </si>
  <si>
    <t>龙纹等级</t>
    <phoneticPr fontId="1" type="noConversion"/>
  </si>
  <si>
    <t>龙纹类型</t>
    <phoneticPr fontId="1" type="noConversion"/>
  </si>
  <si>
    <t>龙纹图ID</t>
    <phoneticPr fontId="1" type="noConversion"/>
  </si>
  <si>
    <t>开启等级</t>
    <phoneticPr fontId="1" type="noConversion"/>
  </si>
  <si>
    <t>数组数</t>
    <phoneticPr fontId="1" type="noConversion"/>
  </si>
  <si>
    <t>属性类型</t>
    <phoneticPr fontId="1" type="noConversion"/>
  </si>
  <si>
    <t>属性数值</t>
    <phoneticPr fontId="1" type="noConversion"/>
  </si>
  <si>
    <t>赑屃</t>
  </si>
  <si>
    <t>鸱吻</t>
  </si>
  <si>
    <t>蒲牢</t>
  </si>
  <si>
    <t>睚眦</t>
  </si>
  <si>
    <t>饕餮</t>
    <phoneticPr fontId="2" type="noConversion"/>
  </si>
  <si>
    <t>蚣蝮</t>
  </si>
  <si>
    <t>狴犴</t>
  </si>
  <si>
    <t>狻猊</t>
  </si>
  <si>
    <t>椒图</t>
  </si>
  <si>
    <t>貔貅</t>
  </si>
  <si>
    <t>犼</t>
  </si>
  <si>
    <t>螭</t>
  </si>
  <si>
    <t>麒麟</t>
  </si>
  <si>
    <t>蟠螭</t>
  </si>
  <si>
    <t>蒲牢</t>
    <phoneticPr fontId="2" type="noConversion"/>
  </si>
  <si>
    <t>螭</t>
    <phoneticPr fontId="2" type="noConversion"/>
  </si>
  <si>
    <t>蒲牢</t>
    <phoneticPr fontId="2" type="noConversion"/>
  </si>
  <si>
    <t>饕餮</t>
    <phoneticPr fontId="2" type="noConversion"/>
  </si>
  <si>
    <t>蒲牢</t>
    <phoneticPr fontId="2" type="noConversion"/>
  </si>
  <si>
    <t>饕餮</t>
    <phoneticPr fontId="2" type="noConversion"/>
  </si>
  <si>
    <t>张数</t>
    <phoneticPr fontId="1" type="noConversion"/>
  </si>
  <si>
    <t>估值系数</t>
    <phoneticPr fontId="1" type="noConversion"/>
  </si>
  <si>
    <t>龙魂ID</t>
    <phoneticPr fontId="1" type="noConversion"/>
  </si>
  <si>
    <t>龙纹点ID</t>
    <phoneticPr fontId="2" type="noConversion"/>
  </si>
  <si>
    <t>龙纹点名称</t>
    <phoneticPr fontId="2" type="noConversion"/>
  </si>
  <si>
    <t>前置点</t>
    <phoneticPr fontId="2" type="noConversion"/>
  </si>
  <si>
    <t>龙纹等级</t>
    <phoneticPr fontId="2" type="noConversion"/>
  </si>
  <si>
    <t>龙纹点类型</t>
    <phoneticPr fontId="2" type="noConversion"/>
  </si>
  <si>
    <t>龙纹图ID</t>
    <phoneticPr fontId="2" type="noConversion"/>
  </si>
  <si>
    <t>等级开启</t>
    <phoneticPr fontId="2" type="noConversion"/>
  </si>
  <si>
    <t>需要龙魂</t>
    <phoneticPr fontId="2" type="noConversion"/>
  </si>
  <si>
    <t>数组数</t>
    <phoneticPr fontId="2" type="noConversion"/>
  </si>
  <si>
    <t>属性1类型</t>
    <phoneticPr fontId="2" type="noConversion"/>
  </si>
  <si>
    <t>属性1数值</t>
    <phoneticPr fontId="2" type="noConversion"/>
  </si>
  <si>
    <t>属性2类型</t>
    <phoneticPr fontId="2" type="noConversion"/>
  </si>
  <si>
    <t>属性2数值</t>
    <phoneticPr fontId="2" type="noConversion"/>
  </si>
  <si>
    <t>属性3类型</t>
    <phoneticPr fontId="2" type="noConversion"/>
  </si>
  <si>
    <t>属性3数值</t>
    <phoneticPr fontId="2" type="noConversion"/>
  </si>
  <si>
    <t>属性4类型</t>
    <phoneticPr fontId="2" type="noConversion"/>
  </si>
  <si>
    <t>属性4数值</t>
    <phoneticPr fontId="2" type="noConversion"/>
  </si>
  <si>
    <t>椒图</t>
    <phoneticPr fontId="1" type="noConversion"/>
  </si>
  <si>
    <t>属性估值</t>
    <phoneticPr fontId="1" type="noConversion"/>
  </si>
  <si>
    <t>龙纹图ID</t>
    <phoneticPr fontId="2" type="noConversion"/>
  </si>
  <si>
    <t>龙纹图名称</t>
    <phoneticPr fontId="2" type="noConversion"/>
  </si>
  <si>
    <t>数组数</t>
    <phoneticPr fontId="2" type="noConversion"/>
  </si>
  <si>
    <t>属性1类型</t>
    <phoneticPr fontId="2" type="noConversion"/>
  </si>
  <si>
    <t>属性1数值</t>
    <phoneticPr fontId="2" type="noConversion"/>
  </si>
  <si>
    <t>属性2类型</t>
  </si>
  <si>
    <t>属性2数值</t>
  </si>
  <si>
    <t>属性3类型</t>
  </si>
  <si>
    <t>属性3数值</t>
  </si>
  <si>
    <t>属性4类型</t>
  </si>
  <si>
    <t>属性4数值</t>
  </si>
  <si>
    <t>属性5类型</t>
  </si>
  <si>
    <t>属性5数值</t>
  </si>
  <si>
    <t>属性6类型</t>
  </si>
  <si>
    <t>属性6数值</t>
  </si>
  <si>
    <t>属性7类型</t>
  </si>
  <si>
    <t>属性7数值</t>
  </si>
  <si>
    <t>龙魂ID</t>
    <phoneticPr fontId="1" type="noConversion"/>
  </si>
  <si>
    <t>龙魂名字</t>
    <phoneticPr fontId="1" type="noConversion"/>
  </si>
  <si>
    <t>龙魂总量</t>
    <phoneticPr fontId="1" type="noConversion"/>
  </si>
  <si>
    <t>属性价值总量</t>
    <phoneticPr fontId="1" type="noConversion"/>
  </si>
  <si>
    <t>属性估值</t>
    <phoneticPr fontId="1" type="noConversion"/>
  </si>
  <si>
    <t>龙魂/属性</t>
    <phoneticPr fontId="1" type="noConversion"/>
  </si>
  <si>
    <t>张数</t>
    <phoneticPr fontId="1" type="noConversion"/>
  </si>
  <si>
    <t>属性价值</t>
    <phoneticPr fontId="1" type="noConversion"/>
  </si>
  <si>
    <t>龙魂需求量</t>
    <phoneticPr fontId="1" type="noConversion"/>
  </si>
  <si>
    <t>龙魂需求</t>
    <phoneticPr fontId="1" type="noConversion"/>
  </si>
  <si>
    <t>主线龙魂</t>
    <phoneticPr fontId="1" type="noConversion"/>
  </si>
  <si>
    <t>支线龙魂</t>
    <phoneticPr fontId="1" type="noConversion"/>
  </si>
  <si>
    <t>主线投入收益</t>
    <phoneticPr fontId="1" type="noConversion"/>
  </si>
  <si>
    <t>支线投入收益</t>
    <phoneticPr fontId="1" type="noConversion"/>
  </si>
  <si>
    <t>龙魂ID</t>
  </si>
  <si>
    <t>龙魂名称</t>
  </si>
  <si>
    <t>张数</t>
  </si>
  <si>
    <t>前置点</t>
  </si>
  <si>
    <t>龙纹等级</t>
  </si>
  <si>
    <t>龙纹类型</t>
  </si>
  <si>
    <t>龙纹图ID</t>
  </si>
  <si>
    <t>开启等级</t>
  </si>
  <si>
    <t>生命</t>
  </si>
  <si>
    <t>攻击</t>
  </si>
  <si>
    <t>防御</t>
  </si>
  <si>
    <t>闪避值</t>
  </si>
  <si>
    <t>命中值</t>
  </si>
  <si>
    <t>暴击值</t>
  </si>
  <si>
    <t>暴击倍数百分比</t>
  </si>
  <si>
    <t>韧性值</t>
  </si>
  <si>
    <t>数组数</t>
  </si>
  <si>
    <t>属性类型</t>
  </si>
  <si>
    <t>属性数值</t>
  </si>
  <si>
    <t>属性估值</t>
  </si>
  <si>
    <t>龙魂消耗</t>
  </si>
  <si>
    <t>饕餮</t>
  </si>
  <si>
    <t>无用</t>
    <phoneticPr fontId="1" type="noConversion"/>
  </si>
  <si>
    <t>参考等级</t>
    <phoneticPr fontId="1" type="noConversion"/>
  </si>
  <si>
    <t>总属性</t>
    <phoneticPr fontId="1" type="noConversion"/>
  </si>
  <si>
    <t>属性价值</t>
    <phoneticPr fontId="1" type="noConversion"/>
  </si>
  <si>
    <t>期望消耗</t>
    <phoneticPr fontId="1" type="noConversion"/>
  </si>
  <si>
    <t>成功机率</t>
    <phoneticPr fontId="1" type="noConversion"/>
  </si>
  <si>
    <t>每次消耗</t>
    <phoneticPr fontId="1" type="noConversion"/>
  </si>
  <si>
    <t>最大次数</t>
    <phoneticPr fontId="1" type="noConversion"/>
  </si>
  <si>
    <t>最大消耗</t>
    <phoneticPr fontId="1" type="noConversion"/>
  </si>
  <si>
    <t>成功系数</t>
    <phoneticPr fontId="1" type="noConversion"/>
  </si>
  <si>
    <t>期望次数</t>
    <phoneticPr fontId="1" type="noConversion"/>
  </si>
  <si>
    <t>龙魂价值</t>
    <phoneticPr fontId="1" type="noConversion"/>
  </si>
  <si>
    <t>成功机率</t>
    <phoneticPr fontId="1" type="noConversion"/>
  </si>
  <si>
    <t>青龙图</t>
    <phoneticPr fontId="2" type="noConversion"/>
  </si>
  <si>
    <t>苍龙图</t>
    <phoneticPr fontId="2" type="noConversion"/>
  </si>
  <si>
    <t>黄龙图</t>
    <phoneticPr fontId="2" type="noConversion"/>
  </si>
  <si>
    <t>碧龙图</t>
    <phoneticPr fontId="2" type="noConversion"/>
  </si>
  <si>
    <t>升龙图</t>
    <phoneticPr fontId="2" type="noConversion"/>
  </si>
  <si>
    <t>天龙图</t>
    <phoneticPr fontId="2" type="noConversion"/>
  </si>
  <si>
    <t>鱼龙</t>
  </si>
  <si>
    <t>蛟龙</t>
  </si>
  <si>
    <t>角龙</t>
  </si>
  <si>
    <t>应龙</t>
  </si>
  <si>
    <t>鱼龙</t>
    <phoneticPr fontId="2" type="noConversion"/>
  </si>
  <si>
    <t>鱼龙</t>
    <phoneticPr fontId="1" type="noConversion"/>
  </si>
  <si>
    <t>鱼龙</t>
    <phoneticPr fontId="1" type="noConversion"/>
  </si>
  <si>
    <t>蛟龙</t>
    <phoneticPr fontId="1" type="noConversion"/>
  </si>
  <si>
    <t>蛟龙</t>
    <phoneticPr fontId="1" type="noConversion"/>
  </si>
  <si>
    <t>角龙</t>
    <phoneticPr fontId="2" type="noConversion"/>
  </si>
  <si>
    <t>角龙</t>
    <phoneticPr fontId="1" type="noConversion"/>
  </si>
  <si>
    <t>应龙</t>
    <phoneticPr fontId="2" type="noConversion"/>
  </si>
  <si>
    <t>应龙</t>
    <phoneticPr fontId="1" type="noConversion"/>
  </si>
  <si>
    <t>蛟龙</t>
    <phoneticPr fontId="1" type="noConversion"/>
  </si>
  <si>
    <t>苍龙图</t>
    <phoneticPr fontId="2" type="noConversion"/>
  </si>
  <si>
    <t>碧龙图</t>
    <phoneticPr fontId="2" type="noConversion"/>
  </si>
  <si>
    <t>天龙图</t>
    <phoneticPr fontId="2" type="noConversion"/>
  </si>
  <si>
    <t>ALL</t>
    <phoneticPr fontId="1" type="noConversion"/>
  </si>
  <si>
    <t>参考消耗</t>
    <phoneticPr fontId="1" type="noConversion"/>
  </si>
  <si>
    <t>主支线</t>
    <phoneticPr fontId="1" type="noConversion"/>
  </si>
  <si>
    <t>最小次数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</si>
</sst>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0" xfId="0" applyFill="1" applyBorder="1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3" borderId="1" xfId="0" applyFill="1" applyBorder="1"/>
    <xf numFmtId="0" fontId="0" fillId="4" borderId="1" xfId="0" applyFill="1" applyBorder="1"/>
    <xf numFmtId="0" fontId="0" fillId="0" borderId="1" xfId="0" applyNumberFormat="1" applyBorder="1" applyAlignment="1">
      <alignment vertical="center"/>
    </xf>
    <xf numFmtId="0" fontId="0" fillId="0" borderId="1" xfId="0" applyNumberFormat="1" applyBorder="1"/>
    <xf numFmtId="0" fontId="0" fillId="0" borderId="0" xfId="0" applyNumberFormat="1"/>
    <xf numFmtId="0" fontId="0" fillId="5" borderId="0" xfId="0" applyFill="1"/>
    <xf numFmtId="0" fontId="0" fillId="0" borderId="0" xfId="0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0" fillId="0" borderId="2" xfId="0" applyFill="1" applyBorder="1"/>
    <xf numFmtId="0" fontId="0" fillId="0" borderId="1" xfId="0" applyFill="1" applyBorder="1" applyAlignment="1">
      <alignment horizontal="center" vertical="center"/>
    </xf>
    <xf numFmtId="0" fontId="0" fillId="6" borderId="1" xfId="0" applyFill="1" applyBorder="1" applyAlignment="1">
      <alignment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/>
    <xf numFmtId="0" fontId="4" fillId="2" borderId="0" xfId="0" applyFont="1" applyFill="1" applyBorder="1"/>
    <xf numFmtId="0" fontId="0" fillId="0" borderId="0" xfId="0" applyBorder="1"/>
  </cellXfs>
  <cellStyles count="1">
    <cellStyle name="常规" xfId="0" builtinId="0"/>
  </cellStyles>
  <dxfs count="6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auto="1"/>
      </font>
      <fill>
        <patternFill>
          <bgColor theme="4" tint="0.59996337778862885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</sheetNames>
    <definedNames>
      <definedName name="龙魂分图属性" refersTo="='龙魂规划'!$E$37:$O$43"/>
      <definedName name="属性定义" refersTo="='0、规划配置'!$B$2:$C$24"/>
    </definedNames>
    <sheetDataSet>
      <sheetData sheetId="0">
        <row r="2">
          <cell r="B2" t="str">
            <v>无属性</v>
          </cell>
          <cell r="C2">
            <v>0</v>
          </cell>
        </row>
        <row r="3">
          <cell r="B3" t="str">
            <v>生命</v>
          </cell>
          <cell r="C3">
            <v>1</v>
          </cell>
        </row>
        <row r="4">
          <cell r="B4" t="str">
            <v>攻击</v>
          </cell>
          <cell r="C4">
            <v>2</v>
          </cell>
        </row>
        <row r="5">
          <cell r="B5" t="str">
            <v>防御</v>
          </cell>
          <cell r="C5">
            <v>3</v>
          </cell>
        </row>
        <row r="6">
          <cell r="B6" t="str">
            <v>无属性</v>
          </cell>
          <cell r="C6">
            <v>4</v>
          </cell>
        </row>
        <row r="7">
          <cell r="B7" t="str">
            <v>无属性</v>
          </cell>
          <cell r="C7">
            <v>5</v>
          </cell>
        </row>
        <row r="8">
          <cell r="B8" t="str">
            <v>命中值</v>
          </cell>
          <cell r="C8">
            <v>6</v>
          </cell>
        </row>
        <row r="9">
          <cell r="B9" t="str">
            <v>闪避值</v>
          </cell>
          <cell r="C9">
            <v>7</v>
          </cell>
        </row>
        <row r="10">
          <cell r="B10" t="str">
            <v>暴击值</v>
          </cell>
          <cell r="C10">
            <v>8</v>
          </cell>
        </row>
        <row r="11">
          <cell r="B11" t="str">
            <v>韧性值</v>
          </cell>
          <cell r="C11">
            <v>9</v>
          </cell>
        </row>
        <row r="12">
          <cell r="B12" t="str">
            <v>暴击倍数</v>
          </cell>
          <cell r="C12">
            <v>10</v>
          </cell>
        </row>
        <row r="13">
          <cell r="B13" t="str">
            <v>无属性</v>
          </cell>
          <cell r="C13">
            <v>11</v>
          </cell>
        </row>
        <row r="14">
          <cell r="B14" t="str">
            <v>生命加成</v>
          </cell>
          <cell r="C14">
            <v>21</v>
          </cell>
        </row>
        <row r="15">
          <cell r="B15" t="str">
            <v>攻击加成</v>
          </cell>
          <cell r="C15">
            <v>22</v>
          </cell>
        </row>
        <row r="16">
          <cell r="B16" t="str">
            <v>防御加成</v>
          </cell>
          <cell r="C16">
            <v>23</v>
          </cell>
        </row>
        <row r="17">
          <cell r="B17" t="str">
            <v>伤害加深</v>
          </cell>
          <cell r="C17">
            <v>24</v>
          </cell>
        </row>
        <row r="18">
          <cell r="B18" t="str">
            <v>伤害减免</v>
          </cell>
          <cell r="C18">
            <v>25</v>
          </cell>
        </row>
      </sheetData>
      <sheetData sheetId="1"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  <row r="14">
          <cell r="C14" t="str">
            <v>星级=剩余血量百分比*100*（剩余血量百分比*100*（剩余血量百分比*100）^0.5*0.0002+0.25+（剩余血量百分比*100）*0.002）+100-0.65*时间{30S,150s}</v>
          </cell>
        </row>
        <row r="17">
          <cell r="C17" t="str">
            <v>生命*0.04+</v>
          </cell>
        </row>
      </sheetData>
      <sheetData sheetId="2">
        <row r="2">
          <cell r="C2" t="str">
            <v>每次循环冷却时间</v>
          </cell>
        </row>
        <row r="3">
          <cell r="C3" t="str">
            <v>普通攻击时间</v>
          </cell>
        </row>
        <row r="4">
          <cell r="C4" t="str">
            <v>技能跟普攻比值</v>
          </cell>
        </row>
      </sheetData>
      <sheetData sheetId="3">
        <row r="3">
          <cell r="B3" t="str">
            <v>膨胀系数</v>
          </cell>
          <cell r="C3">
            <v>51.3</v>
          </cell>
        </row>
        <row r="4">
          <cell r="B4" t="str">
            <v>DPS属性膨胀率</v>
          </cell>
          <cell r="C4" t="str">
            <v>DPS投放系数</v>
          </cell>
        </row>
        <row r="5">
          <cell r="B5">
            <v>0</v>
          </cell>
          <cell r="C5">
            <v>0.05</v>
          </cell>
        </row>
        <row r="6">
          <cell r="B6">
            <v>0.1</v>
          </cell>
          <cell r="C6">
            <v>0.1</v>
          </cell>
        </row>
        <row r="7">
          <cell r="B7">
            <v>0.2</v>
          </cell>
        </row>
        <row r="8">
          <cell r="B8">
            <v>0.30000000000000004</v>
          </cell>
        </row>
        <row r="9">
          <cell r="B9">
            <v>0.4</v>
          </cell>
        </row>
        <row r="10">
          <cell r="B10">
            <v>0.5</v>
          </cell>
        </row>
        <row r="11">
          <cell r="B11">
            <v>0.6</v>
          </cell>
        </row>
        <row r="12">
          <cell r="B12">
            <v>0.7</v>
          </cell>
        </row>
        <row r="13">
          <cell r="B13">
            <v>0.79999999999999993</v>
          </cell>
        </row>
        <row r="14">
          <cell r="B14">
            <v>0.89999999999999991</v>
          </cell>
        </row>
        <row r="15">
          <cell r="B15">
            <v>0.99999999999999989</v>
          </cell>
          <cell r="C15">
            <v>0.1</v>
          </cell>
        </row>
        <row r="16">
          <cell r="B16">
            <v>1.0999999999999999</v>
          </cell>
        </row>
        <row r="17">
          <cell r="B17">
            <v>1.2</v>
          </cell>
        </row>
        <row r="18">
          <cell r="B18">
            <v>1.3</v>
          </cell>
        </row>
        <row r="19">
          <cell r="B19">
            <v>1.4000000000000001</v>
          </cell>
        </row>
        <row r="20">
          <cell r="B20">
            <v>1.5000000000000002</v>
          </cell>
        </row>
        <row r="21">
          <cell r="B21">
            <v>1.6000000000000003</v>
          </cell>
        </row>
        <row r="22">
          <cell r="B22">
            <v>1.7000000000000004</v>
          </cell>
        </row>
        <row r="23">
          <cell r="B23">
            <v>1.8000000000000005</v>
          </cell>
        </row>
        <row r="24">
          <cell r="B24">
            <v>1.9000000000000006</v>
          </cell>
        </row>
        <row r="37">
          <cell r="E37">
            <v>3122.3317976588637</v>
          </cell>
          <cell r="G37">
            <v>0.7466666666666667</v>
          </cell>
          <cell r="H37">
            <v>3.7124999999999999</v>
          </cell>
          <cell r="I37">
            <v>1.2820512820512819</v>
          </cell>
          <cell r="J37">
            <v>4.3478260869565218E-3</v>
          </cell>
          <cell r="K37">
            <v>0</v>
          </cell>
          <cell r="L37">
            <v>0</v>
          </cell>
          <cell r="M37">
            <v>0</v>
          </cell>
          <cell r="N37">
            <v>1</v>
          </cell>
          <cell r="O37">
            <v>5.2173913043478262</v>
          </cell>
        </row>
        <row r="38">
          <cell r="E38">
            <v>3386.1896112040149</v>
          </cell>
          <cell r="G38">
            <v>0.85333333333333339</v>
          </cell>
          <cell r="H38">
            <v>3.8343749999999996</v>
          </cell>
          <cell r="I38">
            <v>1.4102564102564101</v>
          </cell>
          <cell r="J38">
            <v>8.6956521739130436E-3</v>
          </cell>
          <cell r="K38">
            <v>0</v>
          </cell>
          <cell r="L38">
            <v>0</v>
          </cell>
          <cell r="M38">
            <v>0</v>
          </cell>
          <cell r="N38">
            <v>1</v>
          </cell>
          <cell r="O38">
            <v>5.4347826086956523</v>
          </cell>
        </row>
        <row r="39">
          <cell r="E39">
            <v>3660.4601714046826</v>
          </cell>
          <cell r="G39">
            <v>0.96000000000000008</v>
          </cell>
          <cell r="H39">
            <v>3.9562499999999998</v>
          </cell>
          <cell r="I39">
            <v>1.5384615384615383</v>
          </cell>
          <cell r="J39">
            <v>1.3043478260869566E-2</v>
          </cell>
          <cell r="K39">
            <v>0</v>
          </cell>
          <cell r="L39">
            <v>0</v>
          </cell>
          <cell r="M39">
            <v>0</v>
          </cell>
          <cell r="N39">
            <v>1</v>
          </cell>
          <cell r="O39">
            <v>5.6521739130434785</v>
          </cell>
        </row>
        <row r="40">
          <cell r="E40">
            <v>3945.1434782608699</v>
          </cell>
          <cell r="G40">
            <v>1.0666666666666667</v>
          </cell>
          <cell r="H40">
            <v>4.078125</v>
          </cell>
          <cell r="I40">
            <v>1.6666666666666665</v>
          </cell>
          <cell r="J40">
            <v>1.7391304347826087E-2</v>
          </cell>
          <cell r="K40">
            <v>0</v>
          </cell>
          <cell r="L40">
            <v>0</v>
          </cell>
          <cell r="M40">
            <v>0</v>
          </cell>
          <cell r="N40">
            <v>1</v>
          </cell>
          <cell r="O40">
            <v>5.8695652173913038</v>
          </cell>
        </row>
        <row r="41">
          <cell r="E41">
            <v>4240.2395317725759</v>
          </cell>
          <cell r="G41">
            <v>1.1733333333333333</v>
          </cell>
          <cell r="H41">
            <v>4.2</v>
          </cell>
          <cell r="I41">
            <v>1.7948717948717947</v>
          </cell>
          <cell r="J41">
            <v>2.1739130434782608E-2</v>
          </cell>
          <cell r="K41">
            <v>0</v>
          </cell>
          <cell r="L41">
            <v>0</v>
          </cell>
          <cell r="M41">
            <v>0</v>
          </cell>
          <cell r="N41">
            <v>1</v>
          </cell>
          <cell r="O41">
            <v>6.0869565217391299</v>
          </cell>
        </row>
        <row r="42">
          <cell r="E42">
            <v>4545.7483319397998</v>
          </cell>
          <cell r="G42">
            <v>1.28</v>
          </cell>
          <cell r="H42">
            <v>4.3218749999999995</v>
          </cell>
          <cell r="I42">
            <v>1.9230769230769229</v>
          </cell>
          <cell r="J42">
            <v>2.6086956521739132E-2</v>
          </cell>
          <cell r="K42">
            <v>0</v>
          </cell>
          <cell r="L42">
            <v>0</v>
          </cell>
          <cell r="M42">
            <v>0</v>
          </cell>
          <cell r="N42">
            <v>1</v>
          </cell>
          <cell r="O42">
            <v>6.3043478260869561</v>
          </cell>
        </row>
        <row r="43">
          <cell r="E43">
            <v>4861.6698787625419</v>
          </cell>
          <cell r="G43">
            <v>1.3866666666666667</v>
          </cell>
          <cell r="H43">
            <v>4.4437499999999996</v>
          </cell>
          <cell r="I43">
            <v>2.0512820512820511</v>
          </cell>
          <cell r="J43">
            <v>3.0434782608695653E-2</v>
          </cell>
          <cell r="K43">
            <v>0</v>
          </cell>
          <cell r="L43">
            <v>0</v>
          </cell>
          <cell r="M43">
            <v>0</v>
          </cell>
          <cell r="N43">
            <v>1</v>
          </cell>
          <cell r="O43">
            <v>6.5217391304347823</v>
          </cell>
        </row>
      </sheetData>
      <sheetData sheetId="4">
        <row r="3">
          <cell r="C3">
            <v>1</v>
          </cell>
        </row>
        <row r="4">
          <cell r="B4" t="str">
            <v>技能个数</v>
          </cell>
          <cell r="C4" t="str">
            <v>角色等级</v>
          </cell>
        </row>
        <row r="5">
          <cell r="B5">
            <v>1.3774999999999999</v>
          </cell>
          <cell r="C5">
            <v>1</v>
          </cell>
        </row>
        <row r="6">
          <cell r="B6">
            <v>1.5049999999999999</v>
          </cell>
          <cell r="C6">
            <v>2</v>
          </cell>
        </row>
        <row r="7">
          <cell r="B7">
            <v>1.6325000000000001</v>
          </cell>
          <cell r="C7">
            <v>3</v>
          </cell>
        </row>
        <row r="8">
          <cell r="B8">
            <v>1.76</v>
          </cell>
          <cell r="C8">
            <v>4</v>
          </cell>
        </row>
        <row r="9">
          <cell r="B9">
            <v>1.8875</v>
          </cell>
          <cell r="C9">
            <v>5</v>
          </cell>
        </row>
        <row r="10">
          <cell r="B10">
            <v>2.0150000000000001</v>
          </cell>
          <cell r="C10">
            <v>6</v>
          </cell>
        </row>
        <row r="11">
          <cell r="B11">
            <v>2.1425000000000001</v>
          </cell>
          <cell r="C11">
            <v>7</v>
          </cell>
        </row>
        <row r="12">
          <cell r="B12">
            <v>2.27</v>
          </cell>
          <cell r="C12">
            <v>8</v>
          </cell>
        </row>
        <row r="13">
          <cell r="B13">
            <v>2.3975</v>
          </cell>
          <cell r="C13">
            <v>9</v>
          </cell>
        </row>
        <row r="14">
          <cell r="B14">
            <v>2.5249999999999999</v>
          </cell>
          <cell r="C14">
            <v>10</v>
          </cell>
        </row>
        <row r="15">
          <cell r="B15">
            <v>2.6524999999999999</v>
          </cell>
          <cell r="C15">
            <v>11</v>
          </cell>
        </row>
        <row r="16">
          <cell r="B16">
            <v>2.7800000000000002</v>
          </cell>
          <cell r="C16">
            <v>12</v>
          </cell>
        </row>
        <row r="17">
          <cell r="B17">
            <v>2.9074999999999998</v>
          </cell>
          <cell r="C17">
            <v>13</v>
          </cell>
        </row>
        <row r="18">
          <cell r="B18">
            <v>3.0350000000000001</v>
          </cell>
          <cell r="C18">
            <v>14</v>
          </cell>
        </row>
        <row r="19">
          <cell r="B19">
            <v>3.1625000000000001</v>
          </cell>
          <cell r="C19">
            <v>15</v>
          </cell>
        </row>
        <row r="20">
          <cell r="B20">
            <v>3.29</v>
          </cell>
          <cell r="C20">
            <v>16</v>
          </cell>
        </row>
        <row r="21">
          <cell r="B21">
            <v>3.4175</v>
          </cell>
          <cell r="C21">
            <v>17</v>
          </cell>
        </row>
        <row r="22">
          <cell r="B22">
            <v>3.5449999999999999</v>
          </cell>
          <cell r="C22">
            <v>18</v>
          </cell>
        </row>
        <row r="23">
          <cell r="B23">
            <v>3.6724999999999999</v>
          </cell>
          <cell r="C23">
            <v>19</v>
          </cell>
        </row>
        <row r="24">
          <cell r="B24">
            <v>3.8</v>
          </cell>
          <cell r="C24">
            <v>20</v>
          </cell>
        </row>
        <row r="37">
          <cell r="E37">
            <v>6095.1413001672272</v>
          </cell>
          <cell r="F37">
            <v>2708.9516889632123</v>
          </cell>
          <cell r="G37">
            <v>3386.1896112040149</v>
          </cell>
          <cell r="H37">
            <v>23.830000000000002</v>
          </cell>
          <cell r="I37">
            <v>0</v>
          </cell>
          <cell r="J37">
            <v>20625</v>
          </cell>
          <cell r="K37">
            <v>20625</v>
          </cell>
          <cell r="L37">
            <v>20625</v>
          </cell>
          <cell r="M37">
            <v>20625</v>
          </cell>
          <cell r="N37">
            <v>20625</v>
          </cell>
          <cell r="O37">
            <v>8250</v>
          </cell>
        </row>
        <row r="38">
          <cell r="E38">
            <v>6588.8283085284293</v>
          </cell>
          <cell r="F38">
            <v>2928.3681371237462</v>
          </cell>
          <cell r="G38">
            <v>3660.4601714046826</v>
          </cell>
          <cell r="H38">
            <v>24.34</v>
          </cell>
          <cell r="I38">
            <v>0</v>
          </cell>
          <cell r="J38">
            <v>21250</v>
          </cell>
          <cell r="K38">
            <v>21250</v>
          </cell>
          <cell r="L38">
            <v>21250</v>
          </cell>
          <cell r="M38">
            <v>21250</v>
          </cell>
          <cell r="N38">
            <v>21250</v>
          </cell>
          <cell r="O38">
            <v>8500</v>
          </cell>
        </row>
        <row r="39">
          <cell r="E39">
            <v>7101.2582608695666</v>
          </cell>
          <cell r="F39">
            <v>3156.1147826086963</v>
          </cell>
          <cell r="G39">
            <v>3945.1434782608699</v>
          </cell>
          <cell r="H39">
            <v>24.85</v>
          </cell>
          <cell r="I39">
            <v>0</v>
          </cell>
          <cell r="J39">
            <v>21875</v>
          </cell>
          <cell r="K39">
            <v>21875</v>
          </cell>
          <cell r="L39">
            <v>21875</v>
          </cell>
          <cell r="M39">
            <v>21875</v>
          </cell>
          <cell r="N39">
            <v>21875</v>
          </cell>
          <cell r="O39">
            <v>8750</v>
          </cell>
        </row>
        <row r="40">
          <cell r="E40">
            <v>7632.4311571906364</v>
          </cell>
          <cell r="F40">
            <v>3392.191625418061</v>
          </cell>
          <cell r="G40">
            <v>4240.2395317725759</v>
          </cell>
          <cell r="H40">
            <v>25.36</v>
          </cell>
          <cell r="I40">
            <v>0</v>
          </cell>
          <cell r="J40">
            <v>22500</v>
          </cell>
          <cell r="K40">
            <v>22500</v>
          </cell>
          <cell r="L40">
            <v>22500</v>
          </cell>
          <cell r="M40">
            <v>22500</v>
          </cell>
          <cell r="N40">
            <v>22500</v>
          </cell>
          <cell r="O40">
            <v>9000</v>
          </cell>
        </row>
        <row r="41">
          <cell r="E41">
            <v>8182.3469974916397</v>
          </cell>
          <cell r="F41">
            <v>3636.59866555184</v>
          </cell>
          <cell r="G41">
            <v>4545.7483319397998</v>
          </cell>
          <cell r="H41">
            <v>25.87</v>
          </cell>
          <cell r="I41">
            <v>0</v>
          </cell>
          <cell r="J41">
            <v>23125</v>
          </cell>
          <cell r="K41">
            <v>23125</v>
          </cell>
          <cell r="L41">
            <v>23125</v>
          </cell>
          <cell r="M41">
            <v>23125</v>
          </cell>
          <cell r="N41">
            <v>23125</v>
          </cell>
          <cell r="O41">
            <v>9250</v>
          </cell>
        </row>
        <row r="42">
          <cell r="E42">
            <v>8751.0057817725756</v>
          </cell>
          <cell r="F42">
            <v>3889.3359030100337</v>
          </cell>
          <cell r="G42">
            <v>4861.6698787625419</v>
          </cell>
          <cell r="H42">
            <v>26.38</v>
          </cell>
          <cell r="I42">
            <v>0</v>
          </cell>
          <cell r="J42">
            <v>23750</v>
          </cell>
          <cell r="K42">
            <v>23750</v>
          </cell>
          <cell r="L42">
            <v>23750</v>
          </cell>
          <cell r="M42">
            <v>23750</v>
          </cell>
          <cell r="N42">
            <v>23750</v>
          </cell>
          <cell r="O42">
            <v>9500</v>
          </cell>
        </row>
        <row r="43">
          <cell r="E43">
            <v>9338.4075100334449</v>
          </cell>
          <cell r="F43">
            <v>4150.4033377926426</v>
          </cell>
          <cell r="G43">
            <v>5188.0041722408032</v>
          </cell>
          <cell r="H43">
            <v>26.89</v>
          </cell>
          <cell r="I43">
            <v>0</v>
          </cell>
          <cell r="J43">
            <v>24375</v>
          </cell>
          <cell r="K43">
            <v>24375</v>
          </cell>
          <cell r="L43">
            <v>24375</v>
          </cell>
          <cell r="M43">
            <v>24375</v>
          </cell>
          <cell r="N43">
            <v>24375</v>
          </cell>
          <cell r="O43">
            <v>9750</v>
          </cell>
        </row>
      </sheetData>
      <sheetData sheetId="5">
        <row r="4">
          <cell r="B4" t="str">
            <v>等级</v>
          </cell>
          <cell r="C4" t="str">
            <v>生命</v>
          </cell>
        </row>
        <row r="5">
          <cell r="B5">
            <v>1</v>
          </cell>
          <cell r="C5">
            <v>495.65999999999997</v>
          </cell>
        </row>
        <row r="6">
          <cell r="B6">
            <v>2</v>
          </cell>
          <cell r="C6">
            <v>577.43999999999994</v>
          </cell>
        </row>
        <row r="7">
          <cell r="B7">
            <v>3</v>
          </cell>
          <cell r="C7">
            <v>665.34000000000015</v>
          </cell>
        </row>
        <row r="8">
          <cell r="B8">
            <v>4</v>
          </cell>
          <cell r="C8">
            <v>759.3599999999999</v>
          </cell>
        </row>
        <row r="9">
          <cell r="B9">
            <v>5</v>
          </cell>
          <cell r="C9">
            <v>859.50000000000011</v>
          </cell>
        </row>
        <row r="10">
          <cell r="B10">
            <v>6</v>
          </cell>
          <cell r="C10">
            <v>965.76</v>
          </cell>
        </row>
        <row r="11">
          <cell r="B11">
            <v>7</v>
          </cell>
          <cell r="C11">
            <v>1078.1399999999999</v>
          </cell>
        </row>
        <row r="12">
          <cell r="B12">
            <v>8</v>
          </cell>
          <cell r="C12">
            <v>1196.6399999999999</v>
          </cell>
        </row>
        <row r="13">
          <cell r="B13">
            <v>9</v>
          </cell>
          <cell r="C13">
            <v>1321.26</v>
          </cell>
        </row>
        <row r="14">
          <cell r="B14">
            <v>10</v>
          </cell>
          <cell r="C14">
            <v>1452</v>
          </cell>
        </row>
        <row r="15">
          <cell r="B15">
            <v>11</v>
          </cell>
          <cell r="C15">
            <v>1588.8599999999994</v>
          </cell>
        </row>
        <row r="16">
          <cell r="B16">
            <v>12</v>
          </cell>
          <cell r="C16">
            <v>1731.84</v>
          </cell>
        </row>
        <row r="17">
          <cell r="B17">
            <v>13</v>
          </cell>
          <cell r="C17">
            <v>1880.9399999999998</v>
          </cell>
        </row>
        <row r="18">
          <cell r="B18">
            <v>14</v>
          </cell>
          <cell r="C18">
            <v>2036.1600000000003</v>
          </cell>
        </row>
        <row r="19">
          <cell r="B19">
            <v>15</v>
          </cell>
          <cell r="C19">
            <v>2197.5</v>
          </cell>
        </row>
        <row r="20">
          <cell r="B20">
            <v>16</v>
          </cell>
          <cell r="C20">
            <v>2364.9600000000005</v>
          </cell>
        </row>
        <row r="21">
          <cell r="B21">
            <v>17</v>
          </cell>
          <cell r="C21">
            <v>2538.54</v>
          </cell>
        </row>
        <row r="22">
          <cell r="B22">
            <v>18</v>
          </cell>
          <cell r="C22">
            <v>2718.2400000000007</v>
          </cell>
        </row>
        <row r="23">
          <cell r="B23">
            <v>19</v>
          </cell>
          <cell r="C23">
            <v>2904.06</v>
          </cell>
        </row>
        <row r="24">
          <cell r="B24">
            <v>20</v>
          </cell>
          <cell r="C24">
            <v>3096.0000000000005</v>
          </cell>
        </row>
        <row r="37">
          <cell r="E37">
            <v>216.00000000000009</v>
          </cell>
          <cell r="F37">
            <v>721.82640000000026</v>
          </cell>
          <cell r="H37">
            <v>33</v>
          </cell>
          <cell r="I37">
            <v>321737.88910271024</v>
          </cell>
          <cell r="J37">
            <v>24931.800000000007</v>
          </cell>
          <cell r="K37">
            <v>11080.800000000003</v>
          </cell>
          <cell r="L37">
            <v>20625</v>
          </cell>
          <cell r="M37">
            <v>20625</v>
          </cell>
          <cell r="N37">
            <v>20625</v>
          </cell>
          <cell r="O37">
            <v>0.41249999999999998</v>
          </cell>
        </row>
        <row r="38">
          <cell r="E38">
            <v>223.20000000000002</v>
          </cell>
          <cell r="F38">
            <v>745.22640000000013</v>
          </cell>
          <cell r="H38">
            <v>34</v>
          </cell>
          <cell r="I38">
            <v>338927.42981737189</v>
          </cell>
          <cell r="J38">
            <v>25762.86</v>
          </cell>
          <cell r="K38">
            <v>11450.16</v>
          </cell>
          <cell r="L38">
            <v>21250</v>
          </cell>
          <cell r="M38">
            <v>21250</v>
          </cell>
          <cell r="N38">
            <v>21250</v>
          </cell>
          <cell r="O38">
            <v>0.42499999999999999</v>
          </cell>
        </row>
        <row r="39">
          <cell r="E39">
            <v>230.40000000000006</v>
          </cell>
          <cell r="F39">
            <v>768.62640000000033</v>
          </cell>
          <cell r="H39">
            <v>35</v>
          </cell>
          <cell r="I39">
            <v>356485.39997194981</v>
          </cell>
          <cell r="J39">
            <v>26593.920000000009</v>
          </cell>
          <cell r="K39">
            <v>11819.520000000002</v>
          </cell>
          <cell r="L39">
            <v>21875</v>
          </cell>
          <cell r="M39">
            <v>21875</v>
          </cell>
          <cell r="N39">
            <v>21875</v>
          </cell>
          <cell r="O39">
            <v>0.4375</v>
          </cell>
        </row>
        <row r="40">
          <cell r="E40">
            <v>237.60000000000005</v>
          </cell>
          <cell r="F40">
            <v>792.02640000000008</v>
          </cell>
          <cell r="H40">
            <v>36</v>
          </cell>
          <cell r="I40">
            <v>374406.22768834064</v>
          </cell>
          <cell r="J40">
            <v>27424.98</v>
          </cell>
          <cell r="K40">
            <v>12188.880000000003</v>
          </cell>
          <cell r="L40">
            <v>22500</v>
          </cell>
          <cell r="M40">
            <v>22500</v>
          </cell>
          <cell r="N40">
            <v>22500</v>
          </cell>
          <cell r="O40">
            <v>0.45</v>
          </cell>
        </row>
        <row r="41">
          <cell r="E41">
            <v>244.80000000000007</v>
          </cell>
          <cell r="F41">
            <v>815.42640000000029</v>
          </cell>
          <cell r="H41">
            <v>37</v>
          </cell>
          <cell r="I41">
            <v>392684.24308161181</v>
          </cell>
          <cell r="J41">
            <v>28256.040000000008</v>
          </cell>
          <cell r="K41">
            <v>12558.240000000003</v>
          </cell>
          <cell r="L41">
            <v>23125</v>
          </cell>
          <cell r="M41">
            <v>23125</v>
          </cell>
          <cell r="N41">
            <v>23125</v>
          </cell>
          <cell r="O41">
            <v>0.46250000000000002</v>
          </cell>
        </row>
        <row r="42">
          <cell r="E42">
            <v>252.00000000000006</v>
          </cell>
          <cell r="F42">
            <v>838.82640000000015</v>
          </cell>
          <cell r="H42">
            <v>38</v>
          </cell>
          <cell r="I42">
            <v>411313.68184458802</v>
          </cell>
          <cell r="J42">
            <v>29087.100000000006</v>
          </cell>
          <cell r="K42">
            <v>12927.600000000002</v>
          </cell>
          <cell r="L42">
            <v>23750</v>
          </cell>
          <cell r="M42">
            <v>23750</v>
          </cell>
          <cell r="N42">
            <v>23750</v>
          </cell>
          <cell r="O42">
            <v>0.47499999999999998</v>
          </cell>
        </row>
        <row r="43">
          <cell r="E43">
            <v>259.20000000000005</v>
          </cell>
          <cell r="F43">
            <v>862.22640000000013</v>
          </cell>
          <cell r="H43">
            <v>39</v>
          </cell>
          <cell r="I43">
            <v>430288.68883244053</v>
          </cell>
          <cell r="J43">
            <v>29918.16</v>
          </cell>
          <cell r="K43">
            <v>13296.960000000001</v>
          </cell>
          <cell r="L43">
            <v>24375</v>
          </cell>
          <cell r="M43">
            <v>24375</v>
          </cell>
          <cell r="N43">
            <v>24375</v>
          </cell>
          <cell r="O43">
            <v>0.48749999999999999</v>
          </cell>
        </row>
      </sheetData>
      <sheetData sheetId="6">
        <row r="3">
          <cell r="B3" t="str">
            <v>等级</v>
          </cell>
          <cell r="C3" t="str">
            <v>生命</v>
          </cell>
        </row>
        <row r="4">
          <cell r="B4">
            <v>1</v>
          </cell>
          <cell r="C4">
            <v>25425.628766174996</v>
          </cell>
        </row>
        <row r="5">
          <cell r="B5">
            <v>2</v>
          </cell>
          <cell r="C5">
            <v>29618.655904799994</v>
          </cell>
        </row>
        <row r="6">
          <cell r="B6">
            <v>3</v>
          </cell>
          <cell r="C6">
            <v>34125.023295675004</v>
          </cell>
        </row>
        <row r="7">
          <cell r="B7">
            <v>4</v>
          </cell>
          <cell r="C7">
            <v>38944.673644799994</v>
          </cell>
        </row>
        <row r="8">
          <cell r="B8">
            <v>5</v>
          </cell>
          <cell r="C8">
            <v>44077.550484375002</v>
          </cell>
        </row>
        <row r="9">
          <cell r="B9">
            <v>6</v>
          </cell>
          <cell r="C9">
            <v>49512.78307926</v>
          </cell>
        </row>
        <row r="10">
          <cell r="B10">
            <v>7</v>
          </cell>
          <cell r="C10">
            <v>55265.575387068035</v>
          </cell>
        </row>
        <row r="11">
          <cell r="B11">
            <v>8</v>
          </cell>
          <cell r="C11">
            <v>61329.28024367999</v>
          </cell>
        </row>
        <row r="12">
          <cell r="B12">
            <v>9</v>
          </cell>
          <cell r="C12">
            <v>67694.683268459674</v>
          </cell>
        </row>
        <row r="13">
          <cell r="B13">
            <v>10</v>
          </cell>
          <cell r="C13">
            <v>74366.304487092377</v>
          </cell>
        </row>
        <row r="14">
          <cell r="B14">
            <v>11</v>
          </cell>
          <cell r="C14">
            <v>81342.982152175478</v>
          </cell>
        </row>
        <row r="15">
          <cell r="B15">
            <v>12</v>
          </cell>
          <cell r="C15">
            <v>88623.487211102605</v>
          </cell>
        </row>
        <row r="16">
          <cell r="B16">
            <v>13</v>
          </cell>
          <cell r="C16">
            <v>96206.524707572564</v>
          </cell>
        </row>
        <row r="17">
          <cell r="B17">
            <v>14</v>
          </cell>
          <cell r="C17">
            <v>104090.73518309872</v>
          </cell>
        </row>
        <row r="18">
          <cell r="B18">
            <v>15</v>
          </cell>
          <cell r="C18">
            <v>112274.69607851775</v>
          </cell>
        </row>
        <row r="19">
          <cell r="B19">
            <v>16</v>
          </cell>
          <cell r="C19">
            <v>120756.92313549915</v>
          </cell>
        </row>
        <row r="20">
          <cell r="B20">
            <v>17</v>
          </cell>
          <cell r="C20">
            <v>129535.87179805394</v>
          </cell>
        </row>
        <row r="21">
          <cell r="B21">
            <v>18</v>
          </cell>
          <cell r="C21">
            <v>138609.93861404416</v>
          </cell>
        </row>
        <row r="22">
          <cell r="B22">
            <v>19</v>
          </cell>
          <cell r="C22">
            <v>147977.46263669149</v>
          </cell>
        </row>
        <row r="23">
          <cell r="B23">
            <v>20</v>
          </cell>
          <cell r="C23">
            <v>157636.72682608696</v>
          </cell>
        </row>
        <row r="24">
          <cell r="B24">
            <v>21</v>
          </cell>
          <cell r="C24">
            <v>167585.95945069948</v>
          </cell>
        </row>
        <row r="37">
          <cell r="E37">
            <v>11450.16</v>
          </cell>
          <cell r="F37">
            <v>21250</v>
          </cell>
          <cell r="G37">
            <v>21250</v>
          </cell>
          <cell r="H37">
            <v>21250</v>
          </cell>
          <cell r="I37">
            <v>21250</v>
          </cell>
          <cell r="J37">
            <v>21250</v>
          </cell>
          <cell r="K37">
            <v>8500</v>
          </cell>
          <cell r="L37">
            <v>8500</v>
          </cell>
          <cell r="M37">
            <v>4250</v>
          </cell>
          <cell r="N37">
            <v>8500</v>
          </cell>
          <cell r="O37">
            <v>8500</v>
          </cell>
        </row>
        <row r="38">
          <cell r="E38">
            <v>11819.520000000002</v>
          </cell>
          <cell r="F38">
            <v>21875</v>
          </cell>
          <cell r="G38">
            <v>21875</v>
          </cell>
          <cell r="H38">
            <v>21875</v>
          </cell>
          <cell r="I38">
            <v>21875</v>
          </cell>
          <cell r="J38">
            <v>21875</v>
          </cell>
          <cell r="K38">
            <v>8750.0000000000018</v>
          </cell>
          <cell r="L38">
            <v>8750.0000000000018</v>
          </cell>
          <cell r="M38">
            <v>4375</v>
          </cell>
          <cell r="N38">
            <v>8750</v>
          </cell>
          <cell r="O38">
            <v>8750.0000000000018</v>
          </cell>
        </row>
        <row r="39">
          <cell r="E39">
            <v>12188.880000000003</v>
          </cell>
          <cell r="F39">
            <v>22500</v>
          </cell>
          <cell r="G39">
            <v>22500</v>
          </cell>
          <cell r="H39">
            <v>22500</v>
          </cell>
          <cell r="I39">
            <v>22500</v>
          </cell>
          <cell r="J39">
            <v>22500</v>
          </cell>
          <cell r="K39">
            <v>9000.0000000000018</v>
          </cell>
          <cell r="L39">
            <v>9000.0000000000018</v>
          </cell>
          <cell r="M39">
            <v>4500</v>
          </cell>
          <cell r="N39">
            <v>9000</v>
          </cell>
          <cell r="O39">
            <v>9000.0000000000018</v>
          </cell>
        </row>
        <row r="40">
          <cell r="E40">
            <v>12558.240000000003</v>
          </cell>
          <cell r="F40">
            <v>23125</v>
          </cell>
          <cell r="G40">
            <v>23125</v>
          </cell>
          <cell r="H40">
            <v>23125</v>
          </cell>
          <cell r="I40">
            <v>23125</v>
          </cell>
          <cell r="J40">
            <v>23125</v>
          </cell>
          <cell r="K40">
            <v>9250.0000000000018</v>
          </cell>
          <cell r="L40">
            <v>9250.0000000000018</v>
          </cell>
          <cell r="M40">
            <v>4625</v>
          </cell>
          <cell r="N40">
            <v>9250</v>
          </cell>
          <cell r="O40">
            <v>9250.0000000000018</v>
          </cell>
        </row>
        <row r="41">
          <cell r="E41">
            <v>12927.600000000002</v>
          </cell>
          <cell r="F41">
            <v>23750</v>
          </cell>
          <cell r="G41">
            <v>23750</v>
          </cell>
          <cell r="H41">
            <v>23750</v>
          </cell>
          <cell r="I41">
            <v>23750</v>
          </cell>
          <cell r="J41">
            <v>23750</v>
          </cell>
          <cell r="K41">
            <v>9500</v>
          </cell>
          <cell r="L41">
            <v>9500</v>
          </cell>
          <cell r="M41">
            <v>4750</v>
          </cell>
          <cell r="N41">
            <v>9500</v>
          </cell>
          <cell r="O41">
            <v>9500</v>
          </cell>
        </row>
        <row r="42">
          <cell r="E42">
            <v>13296.960000000001</v>
          </cell>
          <cell r="F42">
            <v>24375</v>
          </cell>
          <cell r="G42">
            <v>24375</v>
          </cell>
          <cell r="H42">
            <v>24375</v>
          </cell>
          <cell r="I42">
            <v>24375</v>
          </cell>
          <cell r="J42">
            <v>24375</v>
          </cell>
          <cell r="K42">
            <v>9750</v>
          </cell>
          <cell r="L42">
            <v>9750</v>
          </cell>
          <cell r="M42">
            <v>4875</v>
          </cell>
          <cell r="N42">
            <v>9750</v>
          </cell>
          <cell r="O42">
            <v>9750</v>
          </cell>
        </row>
        <row r="43">
          <cell r="E43">
            <v>13789.440000000006</v>
          </cell>
          <cell r="F43">
            <v>25000</v>
          </cell>
          <cell r="G43">
            <v>25000</v>
          </cell>
          <cell r="H43">
            <v>25000</v>
          </cell>
          <cell r="I43">
            <v>25000</v>
          </cell>
          <cell r="J43">
            <v>25000</v>
          </cell>
          <cell r="K43">
            <v>10000</v>
          </cell>
          <cell r="L43">
            <v>10000</v>
          </cell>
          <cell r="M43">
            <v>5000</v>
          </cell>
          <cell r="N43">
            <v>10000</v>
          </cell>
          <cell r="O43">
            <v>10000</v>
          </cell>
        </row>
      </sheetData>
      <sheetData sheetId="7">
        <row r="2">
          <cell r="C2" t="str">
            <v>生命</v>
          </cell>
        </row>
        <row r="3">
          <cell r="B3" t="str">
            <v>属性价值比</v>
          </cell>
          <cell r="C3">
            <v>1.3888888888888888E-2</v>
          </cell>
        </row>
        <row r="4">
          <cell r="B4" t="str">
            <v>100级数值投放比</v>
          </cell>
          <cell r="C4">
            <v>72</v>
          </cell>
        </row>
        <row r="5">
          <cell r="B5" t="str">
            <v>100级数值属性投放比</v>
          </cell>
          <cell r="C5">
            <v>0</v>
          </cell>
        </row>
        <row r="6">
          <cell r="B6" t="str">
            <v>100级投放值</v>
          </cell>
          <cell r="C6">
            <v>0</v>
          </cell>
        </row>
        <row r="11">
          <cell r="C11">
            <v>2</v>
          </cell>
        </row>
        <row r="12">
          <cell r="C12">
            <v>0.32477482097307919</v>
          </cell>
        </row>
        <row r="13">
          <cell r="C13">
            <v>24.484663705489183</v>
          </cell>
        </row>
        <row r="14">
          <cell r="C14">
            <v>4.0841892379179845E-2</v>
          </cell>
        </row>
        <row r="17">
          <cell r="C17">
            <v>0</v>
          </cell>
        </row>
        <row r="18">
          <cell r="B18" t="str">
            <v>系统名称</v>
          </cell>
          <cell r="C18" t="str">
            <v>生命权重</v>
          </cell>
        </row>
        <row r="19">
          <cell r="B19" t="str">
            <v>龙魂</v>
          </cell>
          <cell r="C19">
            <v>1.2</v>
          </cell>
        </row>
        <row r="20">
          <cell r="B20" t="str">
            <v>装备</v>
          </cell>
          <cell r="C20">
            <v>1</v>
          </cell>
        </row>
        <row r="21">
          <cell r="B21" t="str">
            <v>命格</v>
          </cell>
          <cell r="C21">
            <v>1</v>
          </cell>
        </row>
        <row r="22">
          <cell r="B22" t="str">
            <v>称号</v>
          </cell>
          <cell r="C22">
            <v>1</v>
          </cell>
        </row>
        <row r="23">
          <cell r="B23" t="str">
            <v>时装</v>
          </cell>
          <cell r="C23">
            <v>1</v>
          </cell>
        </row>
        <row r="24">
          <cell r="B24" t="str">
            <v>祥云</v>
          </cell>
          <cell r="C24">
            <v>1.2</v>
          </cell>
        </row>
        <row r="37"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E39">
            <v>1.7331022530329292E-2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E40">
            <v>0.41594454072790299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3">
          <cell r="E43">
            <v>4</v>
          </cell>
          <cell r="F43">
            <v>5</v>
          </cell>
          <cell r="G43">
            <v>6</v>
          </cell>
          <cell r="H43">
            <v>7</v>
          </cell>
          <cell r="I43">
            <v>8</v>
          </cell>
          <cell r="J43">
            <v>9</v>
          </cell>
          <cell r="K43">
            <v>10</v>
          </cell>
          <cell r="L43">
            <v>11</v>
          </cell>
          <cell r="M43">
            <v>12</v>
          </cell>
          <cell r="N43">
            <v>13</v>
          </cell>
          <cell r="O43">
            <v>14</v>
          </cell>
        </row>
      </sheetData>
      <sheetData sheetId="8">
        <row r="2">
          <cell r="B2" t="str">
            <v>总属性80级</v>
          </cell>
          <cell r="C2">
            <v>2073582.6544695653</v>
          </cell>
        </row>
        <row r="3">
          <cell r="B3" t="str">
            <v>龙纹</v>
          </cell>
          <cell r="C3">
            <v>229739.12710775033</v>
          </cell>
        </row>
        <row r="4">
          <cell r="B4" t="str">
            <v>装备</v>
          </cell>
          <cell r="C4" t="e">
            <v>#REF!</v>
          </cell>
        </row>
        <row r="5">
          <cell r="B5" t="str">
            <v>命格</v>
          </cell>
          <cell r="C5">
            <v>638164.24196597305</v>
          </cell>
        </row>
        <row r="6">
          <cell r="B6" t="str">
            <v>称号</v>
          </cell>
          <cell r="C6">
            <v>19144.927258979194</v>
          </cell>
        </row>
        <row r="7">
          <cell r="B7" t="str">
            <v>时装</v>
          </cell>
          <cell r="C7" t="e">
            <v>#DIV/0!</v>
          </cell>
        </row>
        <row r="8">
          <cell r="B8" t="str">
            <v>祥云</v>
          </cell>
          <cell r="C8" t="e">
            <v>#DIV/0!</v>
          </cell>
        </row>
        <row r="9">
          <cell r="B9" t="str">
            <v>翅膀</v>
          </cell>
          <cell r="C9" t="e">
            <v>#DIV/0!</v>
          </cell>
        </row>
        <row r="10">
          <cell r="B10" t="str">
            <v>躶体</v>
          </cell>
          <cell r="C10">
            <v>86303.999999999942</v>
          </cell>
        </row>
        <row r="11">
          <cell r="B11" t="str">
            <v>马仔</v>
          </cell>
          <cell r="C11">
            <v>1276328.4839319463</v>
          </cell>
        </row>
        <row r="12">
          <cell r="B12" t="str">
            <v>总和</v>
          </cell>
          <cell r="C12" t="e">
            <v>#REF!</v>
          </cell>
        </row>
        <row r="14">
          <cell r="B14" t="str">
            <v>平砍下数</v>
          </cell>
          <cell r="C14">
            <v>40.099915190552863</v>
          </cell>
        </row>
        <row r="15">
          <cell r="B15" t="str">
            <v>平砍伤害</v>
          </cell>
          <cell r="C15">
            <v>51710.400000000009</v>
          </cell>
        </row>
        <row r="17">
          <cell r="B17" t="str">
            <v>生命百分比验证</v>
          </cell>
        </row>
        <row r="18">
          <cell r="B18" t="str">
            <v>龙纹</v>
          </cell>
          <cell r="C18" t="e">
            <v>#REF!</v>
          </cell>
        </row>
        <row r="19">
          <cell r="B19" t="str">
            <v>装备</v>
          </cell>
          <cell r="C19" t="e">
            <v>#REF!</v>
          </cell>
        </row>
        <row r="20">
          <cell r="B20" t="str">
            <v>命格</v>
          </cell>
          <cell r="C20" t="e">
            <v>#REF!</v>
          </cell>
        </row>
        <row r="21">
          <cell r="B21" t="str">
            <v>称号</v>
          </cell>
          <cell r="C21" t="e">
            <v>#REF!</v>
          </cell>
        </row>
        <row r="22">
          <cell r="B22" t="str">
            <v>时装</v>
          </cell>
          <cell r="C22" t="e">
            <v>#DIV/0!</v>
          </cell>
        </row>
        <row r="23">
          <cell r="B23" t="str">
            <v>祥云</v>
          </cell>
          <cell r="C23" t="e">
            <v>#DIV/0!</v>
          </cell>
        </row>
        <row r="24">
          <cell r="B24" t="str">
            <v>翅膀</v>
          </cell>
          <cell r="C24" t="e">
            <v>#DIV/0!</v>
          </cell>
        </row>
      </sheetData>
      <sheetData sheetId="9">
        <row r="2">
          <cell r="B2" t="str">
            <v>15级蓝装</v>
          </cell>
        </row>
        <row r="3">
          <cell r="B3" t="str">
            <v>30级蓝装</v>
          </cell>
        </row>
        <row r="10">
          <cell r="B10">
            <v>15</v>
          </cell>
        </row>
        <row r="11">
          <cell r="B11">
            <v>12</v>
          </cell>
        </row>
        <row r="12">
          <cell r="B12">
            <v>10</v>
          </cell>
        </row>
        <row r="13">
          <cell r="B13">
            <v>100</v>
          </cell>
        </row>
        <row r="14">
          <cell r="B14">
            <v>6</v>
          </cell>
        </row>
        <row r="15">
          <cell r="B15" t="str">
            <v>装备</v>
          </cell>
        </row>
        <row r="16">
          <cell r="B16">
            <v>0.1</v>
          </cell>
        </row>
        <row r="18">
          <cell r="C18" t="str">
            <v>装备等级</v>
          </cell>
        </row>
        <row r="19">
          <cell r="C19">
            <v>1</v>
          </cell>
        </row>
        <row r="20">
          <cell r="C20">
            <v>5</v>
          </cell>
        </row>
        <row r="21">
          <cell r="C21">
            <v>15</v>
          </cell>
        </row>
        <row r="22">
          <cell r="C22">
            <v>30</v>
          </cell>
        </row>
        <row r="23">
          <cell r="C23">
            <v>45</v>
          </cell>
        </row>
        <row r="24">
          <cell r="C24">
            <v>60</v>
          </cell>
        </row>
        <row r="37">
          <cell r="J37">
            <v>45</v>
          </cell>
          <cell r="K37">
            <v>0.96</v>
          </cell>
          <cell r="L37">
            <v>1.4400000000000002</v>
          </cell>
          <cell r="M37">
            <v>2.08</v>
          </cell>
          <cell r="N37">
            <v>2.72</v>
          </cell>
          <cell r="O37">
            <v>3.2</v>
          </cell>
        </row>
        <row r="38">
          <cell r="J38">
            <v>60</v>
          </cell>
          <cell r="K38">
            <v>1.44</v>
          </cell>
          <cell r="L38">
            <v>2.16</v>
          </cell>
          <cell r="M38">
            <v>3.12</v>
          </cell>
          <cell r="N38">
            <v>4.08</v>
          </cell>
          <cell r="O38">
            <v>4.8</v>
          </cell>
        </row>
        <row r="39">
          <cell r="J39">
            <v>70</v>
          </cell>
          <cell r="K39">
            <v>1.92</v>
          </cell>
          <cell r="L39">
            <v>2.8800000000000003</v>
          </cell>
          <cell r="M39">
            <v>4.16</v>
          </cell>
          <cell r="N39">
            <v>5.44</v>
          </cell>
          <cell r="O39">
            <v>6.4</v>
          </cell>
        </row>
        <row r="40">
          <cell r="J40">
            <v>80</v>
          </cell>
          <cell r="K40">
            <v>2.4</v>
          </cell>
          <cell r="L40">
            <v>3.6</v>
          </cell>
          <cell r="M40">
            <v>5.2</v>
          </cell>
          <cell r="N40">
            <v>6.8</v>
          </cell>
          <cell r="O40">
            <v>8</v>
          </cell>
        </row>
        <row r="41">
          <cell r="J41">
            <v>90</v>
          </cell>
          <cell r="K41">
            <v>2.4</v>
          </cell>
          <cell r="L41">
            <v>3.6</v>
          </cell>
          <cell r="M41">
            <v>5.2</v>
          </cell>
          <cell r="N41">
            <v>6.8</v>
          </cell>
          <cell r="O41">
            <v>8</v>
          </cell>
        </row>
        <row r="42">
          <cell r="J42">
            <v>100</v>
          </cell>
          <cell r="K42">
            <v>2.4</v>
          </cell>
          <cell r="L42">
            <v>3.6</v>
          </cell>
          <cell r="M42">
            <v>5.2</v>
          </cell>
          <cell r="N42">
            <v>6.8</v>
          </cell>
          <cell r="O42">
            <v>8</v>
          </cell>
        </row>
      </sheetData>
      <sheetData sheetId="10">
        <row r="2">
          <cell r="B2">
            <v>0</v>
          </cell>
        </row>
        <row r="3">
          <cell r="B3" t="str">
            <v>时装</v>
          </cell>
        </row>
        <row r="4">
          <cell r="C4" t="str">
            <v>一、</v>
          </cell>
        </row>
        <row r="12">
          <cell r="C12" t="str">
            <v>二、</v>
          </cell>
        </row>
      </sheetData>
      <sheetData sheetId="11">
        <row r="2">
          <cell r="B2">
            <v>20</v>
          </cell>
        </row>
        <row r="3">
          <cell r="B3">
            <v>5</v>
          </cell>
        </row>
        <row r="4">
          <cell r="B4">
            <v>4</v>
          </cell>
        </row>
        <row r="5">
          <cell r="B5">
            <v>100</v>
          </cell>
        </row>
        <row r="6">
          <cell r="B6">
            <v>10</v>
          </cell>
        </row>
        <row r="7">
          <cell r="B7">
            <v>10</v>
          </cell>
        </row>
        <row r="8">
          <cell r="B8">
            <v>4</v>
          </cell>
        </row>
        <row r="9">
          <cell r="B9" t="str">
            <v>马仔</v>
          </cell>
        </row>
        <row r="13">
          <cell r="C13" t="str">
            <v>预估占比</v>
          </cell>
        </row>
        <row r="14">
          <cell r="B14" t="str">
            <v>马仔培养</v>
          </cell>
          <cell r="C14">
            <v>1</v>
          </cell>
        </row>
        <row r="15">
          <cell r="B15" t="str">
            <v>马仔等级</v>
          </cell>
          <cell r="C15">
            <v>8</v>
          </cell>
        </row>
        <row r="16">
          <cell r="B16" t="str">
            <v>马仔升星</v>
          </cell>
          <cell r="C16">
            <v>50</v>
          </cell>
        </row>
        <row r="17">
          <cell r="B17" t="str">
            <v>马仔躶体</v>
          </cell>
          <cell r="C17">
            <v>1</v>
          </cell>
        </row>
        <row r="18">
          <cell r="B18" t="str">
            <v>马仔装备</v>
          </cell>
          <cell r="C18">
            <v>10</v>
          </cell>
        </row>
        <row r="23">
          <cell r="B23" t="str">
            <v>马仔品阶</v>
          </cell>
          <cell r="C23" t="str">
            <v>品阶权重</v>
          </cell>
        </row>
        <row r="24">
          <cell r="B24">
            <v>1</v>
          </cell>
          <cell r="C24">
            <v>1</v>
          </cell>
        </row>
        <row r="37">
          <cell r="M37">
            <v>4</v>
          </cell>
          <cell r="N37">
            <v>0.55555555555555558</v>
          </cell>
          <cell r="O37">
            <v>1.1111111111111112</v>
          </cell>
        </row>
        <row r="39">
          <cell r="F39" t="str">
            <v>躶体</v>
          </cell>
          <cell r="G39" t="str">
            <v>等级</v>
          </cell>
          <cell r="H39" t="str">
            <v>培养</v>
          </cell>
          <cell r="I39" t="str">
            <v>升星</v>
          </cell>
          <cell r="K39">
            <v>2</v>
          </cell>
          <cell r="L39">
            <v>3</v>
          </cell>
          <cell r="M39">
            <v>4</v>
          </cell>
          <cell r="N39">
            <v>5</v>
          </cell>
          <cell r="O39">
            <v>6</v>
          </cell>
        </row>
        <row r="40">
          <cell r="E40" t="str">
            <v>马仔期望个数</v>
          </cell>
          <cell r="F40" t="str">
            <v>马仔等级</v>
          </cell>
          <cell r="G40" t="str">
            <v>马仔培养等级</v>
          </cell>
          <cell r="H40" t="str">
            <v>马仔升星等级</v>
          </cell>
          <cell r="I40" t="str">
            <v>马仔品质评估</v>
          </cell>
          <cell r="J40" t="str">
            <v>总属性</v>
          </cell>
          <cell r="K40" t="str">
            <v>生命</v>
          </cell>
          <cell r="L40" t="str">
            <v>攻击</v>
          </cell>
          <cell r="M40" t="str">
            <v>防御</v>
          </cell>
          <cell r="N40" t="str">
            <v>闪避值</v>
          </cell>
          <cell r="O40" t="str">
            <v>命中值</v>
          </cell>
        </row>
        <row r="41"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</row>
        <row r="43"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</sheetData>
      <sheetData sheetId="12">
        <row r="2">
          <cell r="B2">
            <v>10</v>
          </cell>
        </row>
        <row r="3">
          <cell r="B3" t="str">
            <v>称号</v>
          </cell>
        </row>
      </sheetData>
      <sheetData sheetId="13">
        <row r="2">
          <cell r="B2">
            <v>20</v>
          </cell>
        </row>
        <row r="3">
          <cell r="B3">
            <v>0</v>
          </cell>
        </row>
        <row r="4">
          <cell r="B4" t="str">
            <v>翅膀</v>
          </cell>
          <cell r="C4" t="str">
            <v>一、</v>
          </cell>
        </row>
        <row r="13">
          <cell r="C13" t="str">
            <v>二、</v>
          </cell>
        </row>
      </sheetData>
      <sheetData sheetId="14">
        <row r="2">
          <cell r="B2">
            <v>8</v>
          </cell>
        </row>
        <row r="3">
          <cell r="B3" t="str">
            <v>龙魂</v>
          </cell>
        </row>
        <row r="37">
          <cell r="E37">
            <v>1</v>
          </cell>
          <cell r="F37">
            <v>52264.213093120743</v>
          </cell>
          <cell r="G37">
            <v>1474.8064171122999</v>
          </cell>
          <cell r="H37">
            <v>796.61698440207999</v>
          </cell>
          <cell r="I37">
            <v>2083.333333333333</v>
          </cell>
          <cell r="J37">
            <v>2083.333333333333</v>
          </cell>
          <cell r="K37">
            <v>1851.8518518518517</v>
          </cell>
          <cell r="L37">
            <v>1190.4761904761904</v>
          </cell>
          <cell r="M37">
            <v>1851.8518518518517</v>
          </cell>
          <cell r="N37">
            <v>0</v>
          </cell>
          <cell r="O37">
            <v>0</v>
          </cell>
        </row>
        <row r="38">
          <cell r="E38">
            <v>2</v>
          </cell>
          <cell r="F38">
            <v>52264.213093120743</v>
          </cell>
          <cell r="G38">
            <v>1474.8064171122999</v>
          </cell>
          <cell r="H38">
            <v>796.61698440207999</v>
          </cell>
          <cell r="I38">
            <v>2083.333333333333</v>
          </cell>
          <cell r="J38">
            <v>2083.333333333333</v>
          </cell>
          <cell r="K38">
            <v>1851.8518518518517</v>
          </cell>
          <cell r="L38">
            <v>1190.4761904761904</v>
          </cell>
          <cell r="M38">
            <v>1851.8518518518517</v>
          </cell>
          <cell r="N38">
            <v>0</v>
          </cell>
          <cell r="O38">
            <v>0</v>
          </cell>
        </row>
        <row r="39">
          <cell r="E39">
            <v>3</v>
          </cell>
          <cell r="F39">
            <v>52264.213093120743</v>
          </cell>
          <cell r="G39">
            <v>1474.8064171122999</v>
          </cell>
          <cell r="H39">
            <v>796.61698440207999</v>
          </cell>
          <cell r="I39">
            <v>2083.333333333333</v>
          </cell>
          <cell r="J39">
            <v>2083.333333333333</v>
          </cell>
          <cell r="K39">
            <v>1851.8518518518517</v>
          </cell>
          <cell r="L39">
            <v>1190.4761904761904</v>
          </cell>
          <cell r="M39">
            <v>1851.8518518518517</v>
          </cell>
          <cell r="N39">
            <v>0</v>
          </cell>
          <cell r="O39">
            <v>0</v>
          </cell>
        </row>
        <row r="40">
          <cell r="E40">
            <v>4</v>
          </cell>
          <cell r="F40">
            <v>52264.213093120743</v>
          </cell>
          <cell r="G40">
            <v>1474.8064171122999</v>
          </cell>
          <cell r="H40">
            <v>796.61698440207999</v>
          </cell>
          <cell r="I40">
            <v>2083.333333333333</v>
          </cell>
          <cell r="J40">
            <v>2083.333333333333</v>
          </cell>
          <cell r="K40">
            <v>1851.8518518518517</v>
          </cell>
          <cell r="L40">
            <v>1190.4761904761904</v>
          </cell>
          <cell r="M40">
            <v>1851.8518518518517</v>
          </cell>
          <cell r="N40">
            <v>0</v>
          </cell>
          <cell r="O40">
            <v>0</v>
          </cell>
        </row>
        <row r="41">
          <cell r="E41">
            <v>5</v>
          </cell>
          <cell r="F41">
            <v>52264.213093120743</v>
          </cell>
          <cell r="G41">
            <v>1474.8064171122999</v>
          </cell>
          <cell r="H41">
            <v>796.61698440207999</v>
          </cell>
          <cell r="I41">
            <v>2083.333333333333</v>
          </cell>
          <cell r="J41">
            <v>2083.333333333333</v>
          </cell>
          <cell r="K41">
            <v>1851.8518518518517</v>
          </cell>
          <cell r="L41">
            <v>1190.4761904761904</v>
          </cell>
          <cell r="M41">
            <v>1851.8518518518517</v>
          </cell>
          <cell r="N41">
            <v>0</v>
          </cell>
          <cell r="O41">
            <v>0</v>
          </cell>
        </row>
        <row r="42">
          <cell r="E42">
            <v>6</v>
          </cell>
          <cell r="F42">
            <v>52264.213093120743</v>
          </cell>
          <cell r="G42">
            <v>1474.8064171122999</v>
          </cell>
          <cell r="H42">
            <v>796.61698440207999</v>
          </cell>
          <cell r="I42">
            <v>2083.333333333333</v>
          </cell>
          <cell r="J42">
            <v>2083.333333333333</v>
          </cell>
          <cell r="K42">
            <v>1851.8518518518517</v>
          </cell>
          <cell r="L42">
            <v>1190.4761904761904</v>
          </cell>
          <cell r="M42">
            <v>1851.8518518518517</v>
          </cell>
          <cell r="N42">
            <v>0</v>
          </cell>
          <cell r="O42">
            <v>0</v>
          </cell>
        </row>
        <row r="43">
          <cell r="E43" t="str">
            <v>ALL</v>
          </cell>
          <cell r="F43">
            <v>313585.27855872444</v>
          </cell>
          <cell r="G43">
            <v>8848.8385026737997</v>
          </cell>
          <cell r="H43">
            <v>4779.7019064124797</v>
          </cell>
          <cell r="I43">
            <v>12499.999999999996</v>
          </cell>
          <cell r="J43">
            <v>12499.999999999996</v>
          </cell>
          <cell r="K43">
            <v>11111.111111111111</v>
          </cell>
          <cell r="L43">
            <v>7142.8571428571431</v>
          </cell>
          <cell r="M43">
            <v>11111.111111111111</v>
          </cell>
          <cell r="N43">
            <v>0</v>
          </cell>
          <cell r="O43">
            <v>0</v>
          </cell>
        </row>
        <row r="65">
          <cell r="F65">
            <v>2726.8285092062993</v>
          </cell>
          <cell r="G65">
            <v>0</v>
          </cell>
          <cell r="H65">
            <v>136.56291161178513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F66">
            <v>4090.2427638094487</v>
          </cell>
          <cell r="G66">
            <v>252.82395721925138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F67">
            <v>8180.4855276188973</v>
          </cell>
          <cell r="G67">
            <v>0</v>
          </cell>
          <cell r="H67">
            <v>273.12582322357025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F68">
            <v>9543.8997822220481</v>
          </cell>
          <cell r="G68">
            <v>505.64791443850277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F69">
            <v>16360.971055237795</v>
          </cell>
          <cell r="G69">
            <v>0</v>
          </cell>
          <cell r="H69">
            <v>546.2516464471405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F70">
            <v>21814.628073650394</v>
          </cell>
          <cell r="G70">
            <v>1011.2958288770055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</sheetData>
      <sheetData sheetId="15">
        <row r="2">
          <cell r="B2">
            <v>8</v>
          </cell>
        </row>
        <row r="3">
          <cell r="B3">
            <v>7</v>
          </cell>
        </row>
        <row r="4">
          <cell r="B4" t="str">
            <v>命格</v>
          </cell>
        </row>
        <row r="6">
          <cell r="B6" t="str">
            <v>一、</v>
          </cell>
          <cell r="C6" t="str">
            <v>初始</v>
          </cell>
        </row>
        <row r="7">
          <cell r="C7" t="str">
            <v>等级</v>
          </cell>
        </row>
        <row r="8">
          <cell r="C8" t="str">
            <v>每级别</v>
          </cell>
        </row>
        <row r="12">
          <cell r="B12" t="str">
            <v>二、</v>
          </cell>
          <cell r="C12" t="str">
            <v>品质ID</v>
          </cell>
        </row>
        <row r="13">
          <cell r="C13">
            <v>1</v>
          </cell>
        </row>
        <row r="14">
          <cell r="C14">
            <v>2</v>
          </cell>
        </row>
        <row r="15">
          <cell r="C15">
            <v>3</v>
          </cell>
        </row>
        <row r="16">
          <cell r="C16">
            <v>4</v>
          </cell>
        </row>
        <row r="17">
          <cell r="C17">
            <v>5</v>
          </cell>
        </row>
        <row r="20">
          <cell r="B20" t="str">
            <v>三、</v>
          </cell>
        </row>
        <row r="21">
          <cell r="C21" t="str">
            <v>角色等级</v>
          </cell>
        </row>
        <row r="22">
          <cell r="C22">
            <v>0</v>
          </cell>
        </row>
        <row r="23">
          <cell r="C23">
            <v>10</v>
          </cell>
        </row>
        <row r="24">
          <cell r="C24">
            <v>20</v>
          </cell>
        </row>
      </sheetData>
      <sheetData sheetId="16">
        <row r="2">
          <cell r="B2">
            <v>5</v>
          </cell>
        </row>
        <row r="3">
          <cell r="B3" t="str">
            <v>祥云</v>
          </cell>
        </row>
        <row r="5">
          <cell r="C5" t="str">
            <v>一、</v>
          </cell>
        </row>
      </sheetData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7"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G18">
            <v>2</v>
          </cell>
          <cell r="H18">
            <v>3.9445677061810437E-3</v>
          </cell>
          <cell r="I18">
            <v>3.995139087029519E-3</v>
          </cell>
          <cell r="J18">
            <v>0</v>
          </cell>
          <cell r="K18">
            <v>0</v>
          </cell>
          <cell r="L18">
            <v>0</v>
          </cell>
        </row>
        <row r="19">
          <cell r="G19">
            <v>3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G20">
            <v>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G21">
            <v>5</v>
          </cell>
          <cell r="H21">
            <v>1.1429132071755332E-2</v>
          </cell>
          <cell r="I21">
            <v>1.1429132071755332E-2</v>
          </cell>
          <cell r="J21">
            <v>0</v>
          </cell>
          <cell r="K21">
            <v>0</v>
          </cell>
          <cell r="L21">
            <v>0</v>
          </cell>
        </row>
        <row r="22">
          <cell r="G22">
            <v>6</v>
          </cell>
          <cell r="H22">
            <v>-3.0342828509084953E-3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G23">
            <v>7</v>
          </cell>
          <cell r="H23">
            <v>1.3805986971633653E-2</v>
          </cell>
          <cell r="I23">
            <v>1.3805986971633653E-2</v>
          </cell>
          <cell r="J23">
            <v>0</v>
          </cell>
          <cell r="K23">
            <v>0</v>
          </cell>
          <cell r="L23">
            <v>0</v>
          </cell>
        </row>
        <row r="24">
          <cell r="G24">
            <v>8</v>
          </cell>
          <cell r="H24">
            <v>7.6362785081197128E-3</v>
          </cell>
          <cell r="I24">
            <v>3.6411394210901942E-3</v>
          </cell>
          <cell r="J24">
            <v>0</v>
          </cell>
          <cell r="K24">
            <v>0</v>
          </cell>
          <cell r="L24">
            <v>0</v>
          </cell>
        </row>
        <row r="25">
          <cell r="G25">
            <v>9</v>
          </cell>
          <cell r="H25">
            <v>1.8256268486299448E-2</v>
          </cell>
          <cell r="I25">
            <v>1.8256268486299448E-2</v>
          </cell>
          <cell r="J25">
            <v>0</v>
          </cell>
          <cell r="K25">
            <v>0</v>
          </cell>
          <cell r="L25">
            <v>0</v>
          </cell>
        </row>
        <row r="26">
          <cell r="G26">
            <v>10</v>
          </cell>
          <cell r="H26">
            <v>4.5927052792990482E-3</v>
          </cell>
          <cell r="I26">
            <v>-9.942449890350688E-3</v>
          </cell>
          <cell r="J26">
            <v>0</v>
          </cell>
          <cell r="K26">
            <v>0</v>
          </cell>
          <cell r="L26">
            <v>0</v>
          </cell>
        </row>
        <row r="27">
          <cell r="G27">
            <v>11</v>
          </cell>
          <cell r="H27">
            <v>1.6755803876123999E-2</v>
          </cell>
          <cell r="I27">
            <v>5.0469288783506023E-3</v>
          </cell>
          <cell r="J27">
            <v>0</v>
          </cell>
          <cell r="K27">
            <v>0</v>
          </cell>
          <cell r="L27">
            <v>0</v>
          </cell>
        </row>
        <row r="28">
          <cell r="G28">
            <v>12</v>
          </cell>
          <cell r="H28">
            <v>1.2163098596824953E-2</v>
          </cell>
          <cell r="I28">
            <v>-2.3468219284330301E-2</v>
          </cell>
          <cell r="J28">
            <v>0</v>
          </cell>
          <cell r="K28">
            <v>0</v>
          </cell>
          <cell r="L28">
            <v>0</v>
          </cell>
        </row>
        <row r="29">
          <cell r="G29">
            <v>13</v>
          </cell>
          <cell r="H29">
            <v>-2.5386052258103531E-2</v>
          </cell>
          <cell r="I29">
            <v>0</v>
          </cell>
          <cell r="J29">
            <v>1</v>
          </cell>
          <cell r="K29">
            <v>20</v>
          </cell>
          <cell r="L29">
            <v>-7.6767422028505079</v>
          </cell>
        </row>
        <row r="30">
          <cell r="G30">
            <v>14</v>
          </cell>
          <cell r="H30">
            <v>2.7303885231876761E-2</v>
          </cell>
          <cell r="I30">
            <v>0</v>
          </cell>
          <cell r="J30">
            <v>2</v>
          </cell>
          <cell r="K30">
            <v>20</v>
          </cell>
          <cell r="L30">
            <v>8.1911655695630277</v>
          </cell>
        </row>
        <row r="31">
          <cell r="G31">
            <v>15</v>
          </cell>
          <cell r="H31">
            <v>1.3677177260330133E-2</v>
          </cell>
          <cell r="I31">
            <v>0</v>
          </cell>
          <cell r="J31">
            <v>3</v>
          </cell>
          <cell r="K31">
            <v>20</v>
          </cell>
          <cell r="L31">
            <v>4.0703279526742477</v>
          </cell>
        </row>
        <row r="32">
          <cell r="G32">
            <v>16</v>
          </cell>
          <cell r="H32">
            <v>4.4917667017320362E-2</v>
          </cell>
          <cell r="I32">
            <v>0</v>
          </cell>
          <cell r="J32">
            <v>4</v>
          </cell>
          <cell r="K32">
            <v>20</v>
          </cell>
          <cell r="L32">
            <v>13.25969530351297</v>
          </cell>
        </row>
        <row r="33">
          <cell r="G33">
            <v>17</v>
          </cell>
          <cell r="H33">
            <v>4.3454057642598687E-2</v>
          </cell>
          <cell r="I33">
            <v>0</v>
          </cell>
          <cell r="J33">
            <v>5</v>
          </cell>
          <cell r="K33">
            <v>20</v>
          </cell>
          <cell r="L33">
            <v>12.723348077752895</v>
          </cell>
        </row>
        <row r="34">
          <cell r="G34">
            <v>18</v>
          </cell>
          <cell r="H34">
            <v>6.8941048478269235E-2</v>
          </cell>
          <cell r="I34">
            <v>0</v>
          </cell>
          <cell r="J34">
            <v>6</v>
          </cell>
          <cell r="K34">
            <v>20</v>
          </cell>
          <cell r="L34">
            <v>20.020480478089382</v>
          </cell>
        </row>
        <row r="35">
          <cell r="G35">
            <v>19</v>
          </cell>
          <cell r="H35">
            <v>3.8306190186681077E-2</v>
          </cell>
          <cell r="I35">
            <v>0</v>
          </cell>
          <cell r="J35">
            <v>7</v>
          </cell>
          <cell r="K35">
            <v>20</v>
          </cell>
          <cell r="L35">
            <v>11.03218277376415</v>
          </cell>
        </row>
        <row r="36">
          <cell r="G36">
            <v>20</v>
          </cell>
          <cell r="H36">
            <v>6.3916494665177695E-2</v>
          </cell>
          <cell r="I36">
            <v>0</v>
          </cell>
          <cell r="J36">
            <v>8</v>
          </cell>
          <cell r="K36">
            <v>20</v>
          </cell>
          <cell r="L36">
            <v>18.254550876374751</v>
          </cell>
        </row>
        <row r="37">
          <cell r="G37">
            <v>21</v>
          </cell>
          <cell r="H37">
            <v>7.7918689713971548E-2</v>
          </cell>
          <cell r="I37">
            <v>0</v>
          </cell>
          <cell r="J37">
            <v>9</v>
          </cell>
          <cell r="K37">
            <v>20</v>
          </cell>
          <cell r="L37">
            <v>22.066572926996738</v>
          </cell>
        </row>
        <row r="38">
          <cell r="G38">
            <v>22</v>
          </cell>
          <cell r="H38">
            <v>9.4338529951046357E-2</v>
          </cell>
          <cell r="I38">
            <v>0</v>
          </cell>
          <cell r="J38">
            <v>10</v>
          </cell>
          <cell r="K38">
            <v>20</v>
          </cell>
          <cell r="L38">
            <v>26.490259210253814</v>
          </cell>
        </row>
        <row r="39">
          <cell r="G39">
            <v>23</v>
          </cell>
          <cell r="H39">
            <v>0.16349325585749946</v>
          </cell>
          <cell r="I39">
            <v>0</v>
          </cell>
          <cell r="J39">
            <v>11</v>
          </cell>
          <cell r="K39">
            <v>20</v>
          </cell>
          <cell r="L39">
            <v>45.516522430727846</v>
          </cell>
        </row>
        <row r="40">
          <cell r="G40">
            <v>24</v>
          </cell>
          <cell r="H40">
            <v>0.13538813054373336</v>
          </cell>
          <cell r="I40">
            <v>0</v>
          </cell>
          <cell r="J40">
            <v>12</v>
          </cell>
          <cell r="K40">
            <v>20</v>
          </cell>
          <cell r="L40">
            <v>37.3671240300704</v>
          </cell>
        </row>
        <row r="41">
          <cell r="G41">
            <v>25</v>
          </cell>
          <cell r="H41">
            <v>0.21602667109452101</v>
          </cell>
          <cell r="I41">
            <v>0</v>
          </cell>
          <cell r="J41">
            <v>13</v>
          </cell>
          <cell r="K41">
            <v>20</v>
          </cell>
          <cell r="L41">
            <v>59.104897211460937</v>
          </cell>
        </row>
        <row r="42">
          <cell r="G42">
            <v>26</v>
          </cell>
          <cell r="H42">
            <v>0.21673181760776961</v>
          </cell>
          <cell r="I42">
            <v>0</v>
          </cell>
          <cell r="J42">
            <v>14</v>
          </cell>
          <cell r="K42">
            <v>20</v>
          </cell>
          <cell r="L42">
            <v>58.777668935227112</v>
          </cell>
        </row>
        <row r="43">
          <cell r="G43">
            <v>27</v>
          </cell>
          <cell r="H43">
            <v>0.28120235596192833</v>
          </cell>
          <cell r="I43">
            <v>0.22327960665936386</v>
          </cell>
          <cell r="J43">
            <v>15</v>
          </cell>
          <cell r="K43">
            <v>20</v>
          </cell>
          <cell r="L43">
            <v>75.587193282566332</v>
          </cell>
        </row>
        <row r="44">
          <cell r="G44">
            <v>28</v>
          </cell>
          <cell r="H44">
            <v>0.21325645264961574</v>
          </cell>
          <cell r="I44">
            <v>0.10496609525786471</v>
          </cell>
          <cell r="J44">
            <v>16</v>
          </cell>
          <cell r="K44">
            <v>20</v>
          </cell>
          <cell r="L44">
            <v>56.811518985857631</v>
          </cell>
        </row>
        <row r="45">
          <cell r="G45">
            <v>29</v>
          </cell>
          <cell r="H45">
            <v>0.27752552057141772</v>
          </cell>
          <cell r="I45">
            <v>0.20197410843763797</v>
          </cell>
          <cell r="J45">
            <v>17</v>
          </cell>
          <cell r="K45">
            <v>20</v>
          </cell>
          <cell r="L45">
            <v>73.266737430854278</v>
          </cell>
        </row>
        <row r="46">
          <cell r="G46">
            <v>30</v>
          </cell>
          <cell r="H46">
            <v>0.31240528000596091</v>
          </cell>
          <cell r="I46">
            <v>0.24705904283657248</v>
          </cell>
          <cell r="J46">
            <v>18</v>
          </cell>
          <cell r="K46">
            <v>20</v>
          </cell>
          <cell r="L46">
            <v>81.725221249559382</v>
          </cell>
        </row>
        <row r="47">
          <cell r="G47">
            <v>31</v>
          </cell>
          <cell r="H47">
            <v>0.40479480609621937</v>
          </cell>
          <cell r="I47">
            <v>0.35201515299786718</v>
          </cell>
          <cell r="J47">
            <v>19</v>
          </cell>
          <cell r="K47">
            <v>20</v>
          </cell>
          <cell r="L47">
            <v>104.92281374014007</v>
          </cell>
        </row>
        <row r="48">
          <cell r="G48">
            <v>32</v>
          </cell>
          <cell r="H48">
            <v>0.50924825289467257</v>
          </cell>
          <cell r="I48">
            <v>0.46400855023894211</v>
          </cell>
          <cell r="J48">
            <v>20</v>
          </cell>
          <cell r="K48">
            <v>20</v>
          </cell>
          <cell r="L48">
            <v>130.77495134335192</v>
          </cell>
        </row>
        <row r="49">
          <cell r="G49">
            <v>33</v>
          </cell>
          <cell r="H49">
            <v>0.45998724333621055</v>
          </cell>
          <cell r="I49">
            <v>0.41097756545916919</v>
          </cell>
          <cell r="J49">
            <v>21</v>
          </cell>
          <cell r="K49">
            <v>20</v>
          </cell>
          <cell r="L49">
            <v>117.02075470473197</v>
          </cell>
        </row>
        <row r="50">
          <cell r="G50">
            <v>34</v>
          </cell>
          <cell r="H50">
            <v>0.6317473144191339</v>
          </cell>
          <cell r="I50">
            <v>0.58776427017050703</v>
          </cell>
          <cell r="J50">
            <v>22</v>
          </cell>
          <cell r="K50">
            <v>20</v>
          </cell>
          <cell r="L50">
            <v>159.20032323362176</v>
          </cell>
        </row>
        <row r="51">
          <cell r="G51">
            <v>35</v>
          </cell>
          <cell r="H51">
            <v>0.60282897688048043</v>
          </cell>
          <cell r="I51">
            <v>0.56615479075265474</v>
          </cell>
          <cell r="J51">
            <v>23</v>
          </cell>
          <cell r="K51">
            <v>20</v>
          </cell>
          <cell r="L51">
            <v>150.4661126293679</v>
          </cell>
        </row>
        <row r="52">
          <cell r="G52">
            <v>36</v>
          </cell>
          <cell r="H52">
            <v>0.72482388247729956</v>
          </cell>
          <cell r="I52">
            <v>0.6928818493982255</v>
          </cell>
          <cell r="J52">
            <v>24</v>
          </cell>
          <cell r="K52">
            <v>20</v>
          </cell>
          <cell r="L52">
            <v>179.17646374838847</v>
          </cell>
        </row>
        <row r="53">
          <cell r="G53">
            <v>37</v>
          </cell>
          <cell r="H53">
            <v>0.62033794316086177</v>
          </cell>
          <cell r="I53">
            <v>0.59312806313053945</v>
          </cell>
          <cell r="J53">
            <v>25</v>
          </cell>
          <cell r="K53">
            <v>20</v>
          </cell>
          <cell r="L53">
            <v>151.85872848577895</v>
          </cell>
        </row>
        <row r="54">
          <cell r="G54">
            <v>38</v>
          </cell>
          <cell r="H54">
            <v>0.81241603540969376</v>
          </cell>
          <cell r="I54">
            <v>0.78993830842812307</v>
          </cell>
          <cell r="J54">
            <v>26</v>
          </cell>
          <cell r="K54">
            <v>20</v>
          </cell>
          <cell r="L54">
            <v>196.92964698330977</v>
          </cell>
        </row>
        <row r="55">
          <cell r="G55">
            <v>39</v>
          </cell>
          <cell r="H55">
            <v>0.82344195201328518</v>
          </cell>
          <cell r="I55">
            <v>0.80569637808046635</v>
          </cell>
          <cell r="J55">
            <v>27</v>
          </cell>
          <cell r="K55">
            <v>20</v>
          </cell>
          <cell r="L55">
            <v>197.62606848318845</v>
          </cell>
        </row>
        <row r="56">
          <cell r="G56">
            <v>40</v>
          </cell>
          <cell r="H56">
            <v>0.97359582615639106</v>
          </cell>
          <cell r="I56">
            <v>0.96060699133404548</v>
          </cell>
          <cell r="J56">
            <v>28</v>
          </cell>
          <cell r="K56">
            <v>24</v>
          </cell>
          <cell r="L56">
            <v>280.39559793304062</v>
          </cell>
        </row>
        <row r="57">
          <cell r="G57">
            <v>41</v>
          </cell>
          <cell r="H57">
            <v>1.1458513919640054</v>
          </cell>
          <cell r="I57">
            <v>1.1375857698043312</v>
          </cell>
          <cell r="J57">
            <v>29</v>
          </cell>
          <cell r="K57">
            <v>24</v>
          </cell>
          <cell r="L57">
            <v>330.00520088563354</v>
          </cell>
        </row>
        <row r="58">
          <cell r="G58">
            <v>42</v>
          </cell>
          <cell r="H58">
            <v>1.0838356097031341</v>
          </cell>
          <cell r="I58">
            <v>1.080293200206131</v>
          </cell>
          <cell r="J58">
            <v>30</v>
          </cell>
          <cell r="K58">
            <v>24</v>
          </cell>
          <cell r="L58">
            <v>312.14465559450264</v>
          </cell>
        </row>
        <row r="59">
          <cell r="G59">
            <v>43</v>
          </cell>
          <cell r="H59">
            <v>1.3593878364433654</v>
          </cell>
          <cell r="I59">
            <v>1.3570262301120297</v>
          </cell>
          <cell r="J59">
            <v>31</v>
          </cell>
          <cell r="K59">
            <v>24</v>
          </cell>
          <cell r="L59">
            <v>391.50369689568925</v>
          </cell>
        </row>
        <row r="60">
          <cell r="G60">
            <v>44</v>
          </cell>
          <cell r="H60">
            <v>1.3870658626466179</v>
          </cell>
          <cell r="I60">
            <v>1.3894274689779536</v>
          </cell>
          <cell r="J60">
            <v>32</v>
          </cell>
          <cell r="K60">
            <v>24</v>
          </cell>
          <cell r="L60">
            <v>399.47496844222599</v>
          </cell>
        </row>
        <row r="61">
          <cell r="G61">
            <v>45</v>
          </cell>
          <cell r="H61">
            <v>1.6016886460383921</v>
          </cell>
          <cell r="I61">
            <v>1.6087734650323986</v>
          </cell>
          <cell r="J61">
            <v>33</v>
          </cell>
          <cell r="K61">
            <v>24</v>
          </cell>
          <cell r="L61">
            <v>461.28633005905692</v>
          </cell>
        </row>
        <row r="62">
          <cell r="G62">
            <v>46</v>
          </cell>
          <cell r="H62">
            <v>1.4367540598579178</v>
          </cell>
          <cell r="I62">
            <v>1.4485620915145954</v>
          </cell>
          <cell r="J62">
            <v>34</v>
          </cell>
          <cell r="K62">
            <v>24</v>
          </cell>
          <cell r="L62">
            <v>413.78516923908035</v>
          </cell>
        </row>
        <row r="63">
          <cell r="G63">
            <v>47</v>
          </cell>
          <cell r="H63">
            <v>1.7664343037123595</v>
          </cell>
          <cell r="I63">
            <v>1.779423138534705</v>
          </cell>
          <cell r="J63">
            <v>35</v>
          </cell>
          <cell r="K63">
            <v>24</v>
          </cell>
          <cell r="L63">
            <v>508.73307946915952</v>
          </cell>
        </row>
        <row r="64">
          <cell r="G64">
            <v>48</v>
          </cell>
          <cell r="H64">
            <v>1.7926953661168108</v>
          </cell>
          <cell r="I64">
            <v>1.806865004104824</v>
          </cell>
          <cell r="J64">
            <v>36</v>
          </cell>
          <cell r="K64">
            <v>24</v>
          </cell>
          <cell r="L64">
            <v>516.29626544164148</v>
          </cell>
        </row>
        <row r="65">
          <cell r="G65">
            <v>49</v>
          </cell>
          <cell r="H65">
            <v>2.0544085797554157</v>
          </cell>
          <cell r="I65">
            <v>2.0697590209090966</v>
          </cell>
          <cell r="J65">
            <v>37</v>
          </cell>
          <cell r="K65">
            <v>24</v>
          </cell>
          <cell r="L65">
            <v>591.66967096955977</v>
          </cell>
        </row>
        <row r="66">
          <cell r="G66">
            <v>50</v>
          </cell>
          <cell r="H66">
            <v>2.2075680681676784</v>
          </cell>
          <cell r="I66">
            <v>2.2240681391493489</v>
          </cell>
          <cell r="J66">
            <v>38</v>
          </cell>
          <cell r="K66">
            <v>24</v>
          </cell>
          <cell r="L66">
            <v>635.77960363229136</v>
          </cell>
        </row>
        <row r="67">
          <cell r="G67">
            <v>51</v>
          </cell>
          <cell r="H67">
            <v>2.2183166858357382</v>
          </cell>
          <cell r="I67">
            <v>2.2359953333160996</v>
          </cell>
          <cell r="J67">
            <v>39</v>
          </cell>
          <cell r="K67">
            <v>24</v>
          </cell>
          <cell r="L67">
            <v>638.87520552069259</v>
          </cell>
        </row>
        <row r="68">
          <cell r="G68">
            <v>52</v>
          </cell>
          <cell r="H68">
            <v>2.125539143858802</v>
          </cell>
          <cell r="I68">
            <v>2.1443963678378539</v>
          </cell>
          <cell r="J68">
            <v>40</v>
          </cell>
          <cell r="K68">
            <v>24</v>
          </cell>
          <cell r="L68">
            <v>612.15527343133499</v>
          </cell>
        </row>
        <row r="69">
          <cell r="G69">
            <v>53</v>
          </cell>
          <cell r="H69">
            <v>2.7215688507766904</v>
          </cell>
          <cell r="I69">
            <v>2.7427832277531237</v>
          </cell>
          <cell r="J69">
            <v>41</v>
          </cell>
          <cell r="K69">
            <v>24</v>
          </cell>
          <cell r="L69">
            <v>783.81182902368687</v>
          </cell>
        </row>
        <row r="70">
          <cell r="G70">
            <v>54</v>
          </cell>
          <cell r="H70">
            <v>2.9130639602839641</v>
          </cell>
          <cell r="I70">
            <v>2.9366354902577791</v>
          </cell>
          <cell r="J70">
            <v>42</v>
          </cell>
          <cell r="K70">
            <v>24</v>
          </cell>
          <cell r="L70">
            <v>838.96242056178164</v>
          </cell>
        </row>
        <row r="71">
          <cell r="G71">
            <v>55</v>
          </cell>
          <cell r="H71">
            <v>3.1151662582794546</v>
          </cell>
          <cell r="I71">
            <v>3.141094941250651</v>
          </cell>
          <cell r="J71">
            <v>43</v>
          </cell>
          <cell r="K71">
            <v>24</v>
          </cell>
          <cell r="L71">
            <v>897.16788238448294</v>
          </cell>
        </row>
        <row r="72">
          <cell r="G72">
            <v>56</v>
          </cell>
          <cell r="H72">
            <v>3.3046813592689279</v>
          </cell>
          <cell r="I72">
            <v>3.3329671952375062</v>
          </cell>
          <cell r="J72">
            <v>44</v>
          </cell>
          <cell r="K72">
            <v>24</v>
          </cell>
          <cell r="L72">
            <v>951.74823146945118</v>
          </cell>
        </row>
        <row r="73">
          <cell r="G73">
            <v>57</v>
          </cell>
          <cell r="H73">
            <v>3.5243680186248847</v>
          </cell>
          <cell r="I73">
            <v>3.5550110075908443</v>
          </cell>
          <cell r="J73">
            <v>45</v>
          </cell>
          <cell r="K73">
            <v>24</v>
          </cell>
          <cell r="L73">
            <v>1015.0179893639668</v>
          </cell>
        </row>
        <row r="74">
          <cell r="G74">
            <v>58</v>
          </cell>
          <cell r="H74">
            <v>3.7556990137879058</v>
          </cell>
          <cell r="I74">
            <v>3.7886991557512468</v>
          </cell>
          <cell r="J74">
            <v>46</v>
          </cell>
          <cell r="K74">
            <v>28</v>
          </cell>
          <cell r="L74">
            <v>1261.9148686327364</v>
          </cell>
        </row>
        <row r="75">
          <cell r="G75">
            <v>59</v>
          </cell>
          <cell r="H75">
            <v>3.7162874156716872</v>
          </cell>
          <cell r="I75">
            <v>3.7516447106324096</v>
          </cell>
          <cell r="J75">
            <v>47</v>
          </cell>
          <cell r="K75">
            <v>28</v>
          </cell>
          <cell r="L75">
            <v>1248.672571665687</v>
          </cell>
        </row>
        <row r="76">
          <cell r="G76">
            <v>60</v>
          </cell>
          <cell r="H76">
            <v>4.2328191787174303</v>
          </cell>
          <cell r="I76">
            <v>4.2704626415545279</v>
          </cell>
          <cell r="J76">
            <v>48</v>
          </cell>
          <cell r="K76">
            <v>28</v>
          </cell>
          <cell r="L76">
            <v>1422.2272440490565</v>
          </cell>
        </row>
        <row r="77">
          <cell r="G77">
            <v>61</v>
          </cell>
          <cell r="H77">
            <v>4.1245001144036824</v>
          </cell>
          <cell r="I77">
            <v>4.1644962936680985</v>
          </cell>
          <cell r="J77">
            <v>49</v>
          </cell>
          <cell r="K77">
            <v>28</v>
          </cell>
          <cell r="L77">
            <v>1385.8320384396372</v>
          </cell>
        </row>
        <row r="78">
          <cell r="G78">
            <v>62</v>
          </cell>
          <cell r="H78">
            <v>4.7822255188248688</v>
          </cell>
          <cell r="I78">
            <v>4.8245744145166034</v>
          </cell>
          <cell r="J78">
            <v>50</v>
          </cell>
          <cell r="K78">
            <v>28</v>
          </cell>
          <cell r="L78">
            <v>1606.8277743251558</v>
          </cell>
        </row>
        <row r="79">
          <cell r="G79">
            <v>63</v>
          </cell>
          <cell r="H79">
            <v>5.0769738328393421</v>
          </cell>
          <cell r="I79">
            <v>5.1216754449583952</v>
          </cell>
          <cell r="J79">
            <v>51</v>
          </cell>
          <cell r="K79">
            <v>28</v>
          </cell>
          <cell r="L79">
            <v>1705.863207834019</v>
          </cell>
        </row>
        <row r="80">
          <cell r="G80">
            <v>64</v>
          </cell>
          <cell r="H80">
            <v>5.3762864167228139</v>
          </cell>
          <cell r="I80">
            <v>5.425693461696504</v>
          </cell>
          <cell r="J80">
            <v>52</v>
          </cell>
          <cell r="K80">
            <v>28</v>
          </cell>
          <cell r="L80">
            <v>1806.4322360188655</v>
          </cell>
        </row>
        <row r="81">
          <cell r="G81">
            <v>65</v>
          </cell>
          <cell r="H81">
            <v>5.6569184321733754</v>
          </cell>
          <cell r="I81">
            <v>5.7110309100017034</v>
          </cell>
          <cell r="J81">
            <v>53</v>
          </cell>
          <cell r="K81">
            <v>28</v>
          </cell>
          <cell r="L81">
            <v>1900.7245932102542</v>
          </cell>
        </row>
        <row r="82">
          <cell r="G82">
            <v>66</v>
          </cell>
          <cell r="H82">
            <v>5.9758056167321376</v>
          </cell>
          <cell r="I82">
            <v>6.0346235274151026</v>
          </cell>
          <cell r="J82">
            <v>54</v>
          </cell>
          <cell r="K82">
            <v>28</v>
          </cell>
          <cell r="L82">
            <v>2007.8706872219982</v>
          </cell>
        </row>
        <row r="83">
          <cell r="G83">
            <v>67</v>
          </cell>
          <cell r="H83">
            <v>6.309844295082832</v>
          </cell>
          <cell r="I83">
            <v>6.3733676386204339</v>
          </cell>
          <cell r="J83">
            <v>55</v>
          </cell>
          <cell r="K83">
            <v>28</v>
          </cell>
          <cell r="L83">
            <v>2120.1076831478317</v>
          </cell>
        </row>
        <row r="84">
          <cell r="G84">
            <v>68</v>
          </cell>
          <cell r="H84">
            <v>6.6593638475252828</v>
          </cell>
          <cell r="I84">
            <v>6.7275926239175217</v>
          </cell>
          <cell r="J84">
            <v>56</v>
          </cell>
          <cell r="K84">
            <v>28</v>
          </cell>
          <cell r="L84">
            <v>2237.5462527684949</v>
          </cell>
        </row>
        <row r="85">
          <cell r="G85">
            <v>69</v>
          </cell>
          <cell r="H85">
            <v>7.0248348173449529</v>
          </cell>
          <cell r="I85">
            <v>7.0977690265918296</v>
          </cell>
          <cell r="J85">
            <v>57</v>
          </cell>
          <cell r="K85">
            <v>28</v>
          </cell>
          <cell r="L85">
            <v>2360.3444986279042</v>
          </cell>
        </row>
        <row r="86">
          <cell r="G86">
            <v>70</v>
          </cell>
          <cell r="H86">
            <v>6.8526580263280135</v>
          </cell>
          <cell r="I86">
            <v>6.9301518117080239</v>
          </cell>
          <cell r="J86">
            <v>58</v>
          </cell>
          <cell r="K86">
            <v>28</v>
          </cell>
          <cell r="L86">
            <v>2302.4930968462127</v>
          </cell>
        </row>
        <row r="87">
          <cell r="G87">
            <v>71</v>
          </cell>
          <cell r="H87">
            <v>7.7671316597426729</v>
          </cell>
          <cell r="I87">
            <v>7.8493220381760178</v>
          </cell>
          <cell r="J87">
            <v>59</v>
          </cell>
          <cell r="K87">
            <v>28</v>
          </cell>
          <cell r="L87">
            <v>2609.7562376735382</v>
          </cell>
        </row>
        <row r="88">
          <cell r="G88">
            <v>72</v>
          </cell>
          <cell r="H88">
            <v>8.1587335885296604</v>
          </cell>
          <cell r="I88">
            <v>8.2456205600163397</v>
          </cell>
          <cell r="J88">
            <v>60</v>
          </cell>
          <cell r="K88">
            <v>28</v>
          </cell>
          <cell r="L88">
            <v>2741.334485745966</v>
          </cell>
        </row>
        <row r="89">
          <cell r="G89">
            <v>73</v>
          </cell>
          <cell r="H89">
            <v>8.56794774126665</v>
          </cell>
          <cell r="I89">
            <v>8.659531305806663</v>
          </cell>
          <cell r="J89">
            <v>61</v>
          </cell>
          <cell r="K89">
            <v>28</v>
          </cell>
          <cell r="L89">
            <v>2878.8304410655946</v>
          </cell>
        </row>
        <row r="90">
          <cell r="G90">
            <v>74</v>
          </cell>
          <cell r="H90">
            <v>8.9858505911523086</v>
          </cell>
          <cell r="I90">
            <v>9.084479045272321</v>
          </cell>
          <cell r="J90">
            <v>62</v>
          </cell>
          <cell r="K90">
            <v>28</v>
          </cell>
          <cell r="L90">
            <v>3019.2457986271756</v>
          </cell>
        </row>
        <row r="91">
          <cell r="G91">
            <v>75</v>
          </cell>
          <cell r="H91">
            <v>10.173712906201539</v>
          </cell>
          <cell r="I91">
            <v>10.279386249901554</v>
          </cell>
          <cell r="J91">
            <v>63</v>
          </cell>
          <cell r="K91">
            <v>28</v>
          </cell>
          <cell r="L91">
            <v>3418.3675364837172</v>
          </cell>
        </row>
        <row r="92">
          <cell r="G92">
            <v>76</v>
          </cell>
          <cell r="H92">
            <v>10.676060499186141</v>
          </cell>
          <cell r="I92">
            <v>10.788778732466158</v>
          </cell>
          <cell r="J92">
            <v>64</v>
          </cell>
          <cell r="K92">
            <v>28</v>
          </cell>
          <cell r="L92">
            <v>3587.1563277265432</v>
          </cell>
        </row>
        <row r="93">
          <cell r="G93">
            <v>77</v>
          </cell>
          <cell r="H93">
            <v>11.197851987411546</v>
          </cell>
          <cell r="I93">
            <v>11.317615110271564</v>
          </cell>
          <cell r="J93">
            <v>65</v>
          </cell>
          <cell r="K93">
            <v>28</v>
          </cell>
          <cell r="L93">
            <v>3762.4782677702797</v>
          </cell>
        </row>
        <row r="94">
          <cell r="G94">
            <v>78</v>
          </cell>
          <cell r="H94">
            <v>11.739510064252554</v>
          </cell>
          <cell r="I94">
            <v>11.866318076692572</v>
          </cell>
          <cell r="J94">
            <v>66</v>
          </cell>
          <cell r="K94">
            <v>28</v>
          </cell>
          <cell r="L94">
            <v>3944.4753815888585</v>
          </cell>
        </row>
        <row r="95">
          <cell r="G95">
            <v>79</v>
          </cell>
          <cell r="H95">
            <v>12.301551354945033</v>
          </cell>
          <cell r="I95">
            <v>12.435404256965052</v>
          </cell>
          <cell r="J95">
            <v>67</v>
          </cell>
          <cell r="K95">
            <v>28</v>
          </cell>
          <cell r="L95">
            <v>4133.3212552615314</v>
          </cell>
        </row>
        <row r="96">
          <cell r="G96">
            <v>80</v>
          </cell>
          <cell r="H96">
            <v>12.860285707387431</v>
          </cell>
          <cell r="I96">
            <v>13.000919299486762</v>
          </cell>
          <cell r="J96">
            <v>68</v>
          </cell>
          <cell r="K96">
            <v>28</v>
          </cell>
          <cell r="L96">
            <v>4321.0559976821769</v>
          </cell>
        </row>
        <row r="97">
          <cell r="G97">
            <v>81</v>
          </cell>
          <cell r="H97">
            <v>13.463369428173399</v>
          </cell>
          <cell r="I97">
            <v>13.611034699877697</v>
          </cell>
          <cell r="J97">
            <v>69</v>
          </cell>
          <cell r="K97">
            <v>28</v>
          </cell>
          <cell r="L97">
            <v>4523.6921278662621</v>
          </cell>
        </row>
        <row r="98">
          <cell r="G98">
            <v>82</v>
          </cell>
          <cell r="H98">
            <v>14.088204477870731</v>
          </cell>
          <cell r="I98">
            <v>14.242901429179994</v>
          </cell>
          <cell r="J98">
            <v>70</v>
          </cell>
          <cell r="K98">
            <v>28</v>
          </cell>
          <cell r="L98">
            <v>4733.6367045645657</v>
          </cell>
        </row>
        <row r="99">
          <cell r="G99">
            <v>83</v>
          </cell>
          <cell r="H99">
            <v>14.735306512983788</v>
          </cell>
          <cell r="I99">
            <v>14.89703514389802</v>
          </cell>
          <cell r="J99">
            <v>71</v>
          </cell>
          <cell r="K99">
            <v>28</v>
          </cell>
          <cell r="L99">
            <v>4951.0629883625525</v>
          </cell>
        </row>
        <row r="100">
          <cell r="G100">
            <v>84</v>
          </cell>
          <cell r="H100">
            <v>15.386393166539662</v>
          </cell>
          <cell r="I100">
            <v>15.559841263462172</v>
          </cell>
          <cell r="J100">
            <v>72</v>
          </cell>
          <cell r="K100">
            <v>28</v>
          </cell>
          <cell r="L100">
            <v>5169.8281039573267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T92"/>
  <sheetViews>
    <sheetView workbookViewId="0">
      <selection activeCell="I11" sqref="I11"/>
    </sheetView>
  </sheetViews>
  <sheetFormatPr defaultRowHeight="13.5"/>
  <cols>
    <col min="1" max="1" width="9.5" bestFit="1" customWidth="1"/>
    <col min="2" max="2" width="11.625" bestFit="1" customWidth="1"/>
    <col min="5" max="5" width="11.625" bestFit="1" customWidth="1"/>
    <col min="6" max="6" width="9.5" bestFit="1" customWidth="1"/>
    <col min="8" max="8" width="9" style="10"/>
    <col min="13" max="20" width="10.5" bestFit="1" customWidth="1"/>
  </cols>
  <sheetData>
    <row r="1" spans="1:20">
      <c r="A1" s="4" t="s">
        <v>32</v>
      </c>
      <c r="B1" s="4" t="s">
        <v>33</v>
      </c>
      <c r="C1" s="4" t="s">
        <v>34</v>
      </c>
      <c r="D1" s="4" t="s">
        <v>35</v>
      </c>
      <c r="E1" s="4" t="s">
        <v>36</v>
      </c>
      <c r="F1" s="4" t="s">
        <v>37</v>
      </c>
      <c r="G1" s="4" t="s">
        <v>38</v>
      </c>
      <c r="H1" s="8" t="s">
        <v>39</v>
      </c>
      <c r="I1" s="17" t="s">
        <v>116</v>
      </c>
      <c r="J1" s="17" t="s">
        <v>143</v>
      </c>
      <c r="K1" s="17" t="s">
        <v>111</v>
      </c>
      <c r="L1" s="4" t="s">
        <v>40</v>
      </c>
      <c r="M1" s="4" t="s">
        <v>41</v>
      </c>
      <c r="N1" s="4" t="s">
        <v>42</v>
      </c>
      <c r="O1" s="4" t="s">
        <v>43</v>
      </c>
      <c r="P1" s="4" t="s">
        <v>44</v>
      </c>
      <c r="Q1" s="4" t="s">
        <v>45</v>
      </c>
      <c r="R1" s="4" t="s">
        <v>46</v>
      </c>
      <c r="S1" s="4" t="s">
        <v>47</v>
      </c>
      <c r="T1" s="4" t="s">
        <v>48</v>
      </c>
    </row>
    <row r="2" spans="1:20">
      <c r="A2" s="1">
        <f>龙魂辅助表!B6</f>
        <v>1001</v>
      </c>
      <c r="B2" s="1" t="str">
        <f>龙魂辅助表!C6</f>
        <v>赑屃</v>
      </c>
      <c r="C2" s="1">
        <f>龙魂辅助表!E6</f>
        <v>0</v>
      </c>
      <c r="D2" s="1">
        <f>龙魂辅助表!F6</f>
        <v>1</v>
      </c>
      <c r="E2" s="1">
        <f>龙魂辅助表!G6</f>
        <v>1</v>
      </c>
      <c r="F2" s="1">
        <f>龙魂辅助表!H6</f>
        <v>1000</v>
      </c>
      <c r="G2" s="1">
        <v>29</v>
      </c>
      <c r="H2" s="9">
        <v>0</v>
      </c>
      <c r="I2" s="1">
        <v>1000</v>
      </c>
      <c r="J2" s="1">
        <f>INT(K2/2)</f>
        <v>0</v>
      </c>
      <c r="K2" s="1">
        <v>1</v>
      </c>
      <c r="L2" s="1">
        <f>龙魂辅助表!R6</f>
        <v>1</v>
      </c>
      <c r="M2" s="1">
        <f ca="1">VLOOKUP(龙魂辅助表!S6,[1]!属性定义,2,FALSE)</f>
        <v>2</v>
      </c>
      <c r="N2" s="1">
        <f>龙魂辅助表!T6</f>
        <v>35</v>
      </c>
      <c r="O2" s="1"/>
      <c r="P2" s="1"/>
      <c r="Q2" s="1"/>
      <c r="R2" s="1"/>
      <c r="S2" s="1"/>
      <c r="T2" s="1"/>
    </row>
    <row r="3" spans="1:20">
      <c r="A3" s="1">
        <f>龙魂辅助表!B7</f>
        <v>1002</v>
      </c>
      <c r="B3" s="1" t="str">
        <f>龙魂辅助表!C7</f>
        <v>鸱吻</v>
      </c>
      <c r="C3" s="1">
        <f>龙魂辅助表!E7</f>
        <v>1001</v>
      </c>
      <c r="D3" s="1">
        <f>龙魂辅助表!F7</f>
        <v>2</v>
      </c>
      <c r="E3" s="1">
        <f>龙魂辅助表!G7</f>
        <v>1</v>
      </c>
      <c r="F3" s="1">
        <f>龙魂辅助表!H7</f>
        <v>1000</v>
      </c>
      <c r="G3" s="1">
        <v>29</v>
      </c>
      <c r="H3" s="9">
        <f ca="1">龙魂辅助表!Z7</f>
        <v>69</v>
      </c>
      <c r="I3" s="1">
        <f>ROUND(龙魂辅助表!Y7*1000,0)</f>
        <v>857</v>
      </c>
      <c r="J3" s="1">
        <f t="shared" ref="J3:J66" si="0">INT(K3/2)</f>
        <v>1</v>
      </c>
      <c r="K3" s="1">
        <f>龙魂辅助表!AB7</f>
        <v>3</v>
      </c>
      <c r="L3" s="1">
        <f>龙魂辅助表!R7</f>
        <v>1</v>
      </c>
      <c r="M3" s="1">
        <f ca="1">VLOOKUP(龙魂辅助表!S7,[1]!属性定义,2,FALSE)</f>
        <v>1</v>
      </c>
      <c r="N3" s="1">
        <f>龙魂辅助表!T7</f>
        <v>955</v>
      </c>
      <c r="O3" s="1"/>
      <c r="P3" s="1"/>
      <c r="Q3" s="1"/>
      <c r="R3" s="1"/>
      <c r="S3" s="1"/>
      <c r="T3" s="1"/>
    </row>
    <row r="4" spans="1:20">
      <c r="A4" s="1">
        <f>龙魂辅助表!B8</f>
        <v>1003</v>
      </c>
      <c r="B4" s="1" t="str">
        <f>龙魂辅助表!C8</f>
        <v>蒲牢</v>
      </c>
      <c r="C4" s="1">
        <f>龙魂辅助表!E8</f>
        <v>1002</v>
      </c>
      <c r="D4" s="1">
        <f>龙魂辅助表!F8</f>
        <v>3</v>
      </c>
      <c r="E4" s="1">
        <f>龙魂辅助表!G8</f>
        <v>1</v>
      </c>
      <c r="F4" s="1">
        <f>龙魂辅助表!H8</f>
        <v>1000</v>
      </c>
      <c r="G4" s="1">
        <v>29</v>
      </c>
      <c r="H4" s="9">
        <f ca="1">龙魂辅助表!Z8</f>
        <v>70</v>
      </c>
      <c r="I4" s="1">
        <f>ROUND(龙魂辅助表!Y8*1000,0)</f>
        <v>750</v>
      </c>
      <c r="J4" s="1">
        <f t="shared" si="0"/>
        <v>1</v>
      </c>
      <c r="K4" s="1">
        <f>龙魂辅助表!AB8</f>
        <v>3</v>
      </c>
      <c r="L4" s="1">
        <f>龙魂辅助表!R8</f>
        <v>1</v>
      </c>
      <c r="M4" s="1">
        <f ca="1">VLOOKUP(龙魂辅助表!S8,[1]!属性定义,2,FALSE)</f>
        <v>3</v>
      </c>
      <c r="N4" s="1">
        <f>龙魂辅助表!T8</f>
        <v>35</v>
      </c>
      <c r="O4" s="1"/>
      <c r="P4" s="1"/>
      <c r="Q4" s="1"/>
      <c r="R4" s="1"/>
      <c r="S4" s="1"/>
      <c r="T4" s="1"/>
    </row>
    <row r="5" spans="1:20">
      <c r="A5" s="1">
        <f>龙魂辅助表!B9</f>
        <v>1004</v>
      </c>
      <c r="B5" s="1" t="str">
        <f>龙魂辅助表!C9</f>
        <v>睚眦</v>
      </c>
      <c r="C5" s="1">
        <f>龙魂辅助表!E9</f>
        <v>1003</v>
      </c>
      <c r="D5" s="1">
        <f>龙魂辅助表!F9</f>
        <v>4</v>
      </c>
      <c r="E5" s="1">
        <f>龙魂辅助表!G9</f>
        <v>1</v>
      </c>
      <c r="F5" s="1">
        <f>龙魂辅助表!H9</f>
        <v>1000</v>
      </c>
      <c r="G5" s="1">
        <v>29</v>
      </c>
      <c r="H5" s="9">
        <f ca="1">龙魂辅助表!Z9</f>
        <v>75</v>
      </c>
      <c r="I5" s="1">
        <f>ROUND(龙魂辅助表!Y9*1000,0)</f>
        <v>667</v>
      </c>
      <c r="J5" s="1">
        <f t="shared" si="0"/>
        <v>1</v>
      </c>
      <c r="K5" s="1">
        <f>龙魂辅助表!AB9</f>
        <v>3</v>
      </c>
      <c r="L5" s="1">
        <f>龙魂辅助表!R9</f>
        <v>1</v>
      </c>
      <c r="M5" s="1">
        <f ca="1">VLOOKUP(龙魂辅助表!S9,[1]!属性定义,2,FALSE)</f>
        <v>1</v>
      </c>
      <c r="N5" s="1">
        <f>龙魂辅助表!T9</f>
        <v>974</v>
      </c>
      <c r="O5" s="1"/>
      <c r="P5" s="1"/>
      <c r="Q5" s="1"/>
      <c r="R5" s="1"/>
      <c r="S5" s="1"/>
      <c r="T5" s="1"/>
    </row>
    <row r="6" spans="1:20">
      <c r="A6" s="1">
        <f>龙魂辅助表!B10</f>
        <v>1005</v>
      </c>
      <c r="B6" s="1" t="str">
        <f>龙魂辅助表!C10</f>
        <v>饕餮</v>
      </c>
      <c r="C6" s="1">
        <f>龙魂辅助表!E10</f>
        <v>1004</v>
      </c>
      <c r="D6" s="1">
        <f>龙魂辅助表!F10</f>
        <v>5</v>
      </c>
      <c r="E6" s="1">
        <f>龙魂辅助表!G10</f>
        <v>1</v>
      </c>
      <c r="F6" s="1">
        <f>龙魂辅助表!H10</f>
        <v>1000</v>
      </c>
      <c r="G6" s="1">
        <v>29</v>
      </c>
      <c r="H6" s="9">
        <f ca="1">龙魂辅助表!Z10</f>
        <v>81</v>
      </c>
      <c r="I6" s="1">
        <f>ROUND(龙魂辅助表!Y10*1000,0)</f>
        <v>600</v>
      </c>
      <c r="J6" s="1">
        <f t="shared" si="0"/>
        <v>1</v>
      </c>
      <c r="K6" s="1">
        <f>龙魂辅助表!AB10</f>
        <v>3</v>
      </c>
      <c r="L6" s="1">
        <f>龙魂辅助表!R10</f>
        <v>1</v>
      </c>
      <c r="M6" s="1">
        <f ca="1">VLOOKUP(龙魂辅助表!S10,[1]!属性定义,2,FALSE)</f>
        <v>7</v>
      </c>
      <c r="N6" s="1">
        <f>龙魂辅助表!T10</f>
        <v>101</v>
      </c>
      <c r="O6" s="1"/>
      <c r="P6" s="1"/>
      <c r="Q6" s="1"/>
      <c r="R6" s="1"/>
      <c r="S6" s="1"/>
      <c r="T6" s="1"/>
    </row>
    <row r="7" spans="1:20">
      <c r="A7" s="1">
        <f>龙魂辅助表!B11</f>
        <v>1006</v>
      </c>
      <c r="B7" s="1" t="str">
        <f>龙魂辅助表!C11</f>
        <v>蚣蝮</v>
      </c>
      <c r="C7" s="1">
        <f>龙魂辅助表!E11</f>
        <v>1005</v>
      </c>
      <c r="D7" s="1">
        <f>龙魂辅助表!F11</f>
        <v>6</v>
      </c>
      <c r="E7" s="1">
        <f>龙魂辅助表!G11</f>
        <v>1</v>
      </c>
      <c r="F7" s="1">
        <f>龙魂辅助表!H11</f>
        <v>1000</v>
      </c>
      <c r="G7" s="1">
        <v>29</v>
      </c>
      <c r="H7" s="9">
        <f ca="1">龙魂辅助表!Z11</f>
        <v>82</v>
      </c>
      <c r="I7" s="1">
        <f>ROUND(龙魂辅助表!Y11*1000,0)</f>
        <v>545</v>
      </c>
      <c r="J7" s="1">
        <f t="shared" si="0"/>
        <v>1</v>
      </c>
      <c r="K7" s="1">
        <f>龙魂辅助表!AB11</f>
        <v>3</v>
      </c>
      <c r="L7" s="1">
        <f>龙魂辅助表!R11</f>
        <v>1</v>
      </c>
      <c r="M7" s="1">
        <f ca="1">VLOOKUP(龙魂辅助表!S11,[1]!属性定义,2,FALSE)</f>
        <v>6</v>
      </c>
      <c r="N7" s="1">
        <f>龙魂辅助表!T11</f>
        <v>93</v>
      </c>
      <c r="O7" s="1"/>
      <c r="P7" s="1"/>
      <c r="Q7" s="1"/>
      <c r="R7" s="1"/>
      <c r="S7" s="1"/>
      <c r="T7" s="1"/>
    </row>
    <row r="8" spans="1:20">
      <c r="A8" s="1">
        <f>龙魂辅助表!B12</f>
        <v>2001</v>
      </c>
      <c r="B8" s="1" t="str">
        <f>龙魂辅助表!C12</f>
        <v>狴犴</v>
      </c>
      <c r="C8" s="1">
        <f>龙魂辅助表!E12</f>
        <v>1006</v>
      </c>
      <c r="D8" s="1">
        <f>龙魂辅助表!F12</f>
        <v>1</v>
      </c>
      <c r="E8" s="1">
        <f>龙魂辅助表!G12</f>
        <v>2</v>
      </c>
      <c r="F8" s="1">
        <f>龙魂辅助表!H12</f>
        <v>1000</v>
      </c>
      <c r="G8" s="1">
        <v>29</v>
      </c>
      <c r="H8" s="9">
        <f ca="1">龙魂辅助表!Z12</f>
        <v>108</v>
      </c>
      <c r="I8" s="1">
        <f ca="1">ROUND(龙魂辅助表!Y12*1000,0)</f>
        <v>333</v>
      </c>
      <c r="J8" s="1">
        <f t="shared" ca="1" si="0"/>
        <v>2</v>
      </c>
      <c r="K8" s="1">
        <f ca="1">龙魂辅助表!AB12</f>
        <v>5</v>
      </c>
      <c r="L8" s="1">
        <f>龙魂辅助表!R12</f>
        <v>1</v>
      </c>
      <c r="M8" s="1">
        <f ca="1">VLOOKUP(龙魂辅助表!S12,[1]!属性定义,2,FALSE)</f>
        <v>2</v>
      </c>
      <c r="N8" s="1">
        <f>龙魂辅助表!T12</f>
        <v>55</v>
      </c>
      <c r="O8" s="1"/>
      <c r="P8" s="1"/>
      <c r="Q8" s="1"/>
      <c r="R8" s="1"/>
      <c r="S8" s="1"/>
      <c r="T8" s="1"/>
    </row>
    <row r="9" spans="1:20">
      <c r="A9" s="1">
        <f>龙魂辅助表!B13</f>
        <v>2002</v>
      </c>
      <c r="B9" s="1" t="str">
        <f>龙魂辅助表!C13</f>
        <v>狻猊</v>
      </c>
      <c r="C9" s="1">
        <f>龙魂辅助表!E13</f>
        <v>2001</v>
      </c>
      <c r="D9" s="1">
        <f>龙魂辅助表!F13</f>
        <v>2</v>
      </c>
      <c r="E9" s="1">
        <f>龙魂辅助表!G13</f>
        <v>2</v>
      </c>
      <c r="F9" s="1">
        <f>龙魂辅助表!H13</f>
        <v>1000</v>
      </c>
      <c r="G9" s="1">
        <v>29</v>
      </c>
      <c r="H9" s="9">
        <f ca="1">龙魂辅助表!Z13</f>
        <v>124</v>
      </c>
      <c r="I9" s="1">
        <f ca="1">ROUND(龙魂辅助表!Y13*1000,0)</f>
        <v>304</v>
      </c>
      <c r="J9" s="1">
        <f t="shared" ca="1" si="0"/>
        <v>3</v>
      </c>
      <c r="K9" s="1">
        <f ca="1">龙魂辅助表!AB13</f>
        <v>6</v>
      </c>
      <c r="L9" s="1">
        <f>龙魂辅助表!R13</f>
        <v>1</v>
      </c>
      <c r="M9" s="1">
        <f ca="1">VLOOKUP(龙魂辅助表!S13,[1]!属性定义,2,FALSE)</f>
        <v>1</v>
      </c>
      <c r="N9" s="1">
        <f>龙魂辅助表!T13</f>
        <v>1517</v>
      </c>
      <c r="O9" s="1"/>
      <c r="P9" s="1"/>
      <c r="Q9" s="1"/>
      <c r="R9" s="1"/>
      <c r="S9" s="1"/>
      <c r="T9" s="1"/>
    </row>
    <row r="10" spans="1:20">
      <c r="A10" s="1">
        <f>龙魂辅助表!B14</f>
        <v>2003</v>
      </c>
      <c r="B10" s="1" t="str">
        <f>龙魂辅助表!C14</f>
        <v>椒图</v>
      </c>
      <c r="C10" s="1">
        <f>龙魂辅助表!E14</f>
        <v>2002</v>
      </c>
      <c r="D10" s="1">
        <f>龙魂辅助表!F14</f>
        <v>3</v>
      </c>
      <c r="E10" s="1">
        <f>龙魂辅助表!G14</f>
        <v>2</v>
      </c>
      <c r="F10" s="1">
        <f>龙魂辅助表!H14</f>
        <v>1000</v>
      </c>
      <c r="G10" s="1">
        <v>29</v>
      </c>
      <c r="H10" s="9">
        <f ca="1">龙魂辅助表!Z14</f>
        <v>134</v>
      </c>
      <c r="I10" s="1">
        <f ca="1">ROUND(龙魂辅助表!Y14*1000,0)</f>
        <v>280</v>
      </c>
      <c r="J10" s="1">
        <f t="shared" ca="1" si="0"/>
        <v>3</v>
      </c>
      <c r="K10" s="1">
        <f ca="1">龙魂辅助表!AB14</f>
        <v>6</v>
      </c>
      <c r="L10" s="1">
        <f>龙魂辅助表!R14</f>
        <v>1</v>
      </c>
      <c r="M10" s="1">
        <f ca="1">VLOOKUP(龙魂辅助表!S14,[1]!属性定义,2,FALSE)</f>
        <v>3</v>
      </c>
      <c r="N10" s="1">
        <f>龙魂辅助表!T14</f>
        <v>56</v>
      </c>
      <c r="O10" s="1"/>
      <c r="P10" s="1"/>
      <c r="Q10" s="1"/>
      <c r="R10" s="1"/>
      <c r="S10" s="1"/>
      <c r="T10" s="1"/>
    </row>
    <row r="11" spans="1:20">
      <c r="A11" s="1">
        <f>龙魂辅助表!B15</f>
        <v>1007</v>
      </c>
      <c r="B11" s="1" t="str">
        <f>龙魂辅助表!C15</f>
        <v>貔貅</v>
      </c>
      <c r="C11" s="1">
        <f>龙魂辅助表!E15</f>
        <v>1006</v>
      </c>
      <c r="D11" s="1">
        <f>龙魂辅助表!F15</f>
        <v>7</v>
      </c>
      <c r="E11" s="1">
        <f>龙魂辅助表!G15</f>
        <v>1</v>
      </c>
      <c r="F11" s="1">
        <f>龙魂辅助表!H15</f>
        <v>1000</v>
      </c>
      <c r="G11" s="1">
        <v>29</v>
      </c>
      <c r="H11" s="9">
        <f ca="1">龙魂辅助表!Z15</f>
        <v>93</v>
      </c>
      <c r="I11" s="1">
        <f>ROUND(龙魂辅助表!Y15*1000,0)</f>
        <v>500</v>
      </c>
      <c r="J11" s="1">
        <f t="shared" si="0"/>
        <v>1</v>
      </c>
      <c r="K11" s="1">
        <f>龙魂辅助表!AB15</f>
        <v>3</v>
      </c>
      <c r="L11" s="1">
        <f>龙魂辅助表!R15</f>
        <v>1</v>
      </c>
      <c r="M11" s="1">
        <f ca="1">VLOOKUP(龙魂辅助表!S15,[1]!属性定义,2,FALSE)</f>
        <v>8</v>
      </c>
      <c r="N11" s="1">
        <f>龙魂辅助表!T15</f>
        <v>139</v>
      </c>
      <c r="O11" s="1"/>
      <c r="P11" s="1"/>
      <c r="Q11" s="1"/>
      <c r="R11" s="1"/>
      <c r="S11" s="1"/>
      <c r="T11" s="1"/>
    </row>
    <row r="12" spans="1:20">
      <c r="A12" s="1">
        <f>龙魂辅助表!B16</f>
        <v>1008</v>
      </c>
      <c r="B12" s="1" t="str">
        <f>龙魂辅助表!C16</f>
        <v>赑屃</v>
      </c>
      <c r="C12" s="1">
        <f>龙魂辅助表!E16</f>
        <v>1007</v>
      </c>
      <c r="D12" s="1">
        <f>龙魂辅助表!F16</f>
        <v>8</v>
      </c>
      <c r="E12" s="1">
        <f>龙魂辅助表!G16</f>
        <v>1</v>
      </c>
      <c r="F12" s="1">
        <f>龙魂辅助表!H16</f>
        <v>1001</v>
      </c>
      <c r="G12" s="1">
        <f>VLOOKUP(F12,龙魂辅助表!$H$6:$I$96,2,FALSE)</f>
        <v>34</v>
      </c>
      <c r="H12" s="9">
        <f ca="1">龙魂辅助表!Z16</f>
        <v>89</v>
      </c>
      <c r="I12" s="1">
        <f>ROUND(龙魂辅助表!Y16*1000,0)</f>
        <v>778</v>
      </c>
      <c r="J12" s="1">
        <f t="shared" si="0"/>
        <v>1</v>
      </c>
      <c r="K12" s="1">
        <f>龙魂辅助表!AB16</f>
        <v>3</v>
      </c>
      <c r="L12" s="1">
        <f>龙魂辅助表!R16</f>
        <v>1</v>
      </c>
      <c r="M12" s="1">
        <f ca="1">VLOOKUP(龙魂辅助表!S16,[1]!属性定义,2,FALSE)</f>
        <v>9</v>
      </c>
      <c r="N12" s="1">
        <f>龙魂辅助表!T16</f>
        <v>346</v>
      </c>
      <c r="O12" s="1"/>
      <c r="P12" s="1"/>
      <c r="Q12" s="1"/>
      <c r="R12" s="1"/>
      <c r="S12" s="1"/>
      <c r="T12" s="1"/>
    </row>
    <row r="13" spans="1:20">
      <c r="A13" s="1">
        <f>龙魂辅助表!B17</f>
        <v>1009</v>
      </c>
      <c r="B13" s="1" t="str">
        <f>龙魂辅助表!C17</f>
        <v>鸱吻</v>
      </c>
      <c r="C13" s="1">
        <f>龙魂辅助表!E17</f>
        <v>1008</v>
      </c>
      <c r="D13" s="1">
        <f>龙魂辅助表!F17</f>
        <v>9</v>
      </c>
      <c r="E13" s="1">
        <f>龙魂辅助表!G17</f>
        <v>1</v>
      </c>
      <c r="F13" s="1">
        <f>龙魂辅助表!H17</f>
        <v>1001</v>
      </c>
      <c r="G13" s="1">
        <f>VLOOKUP(F13,龙魂辅助表!$H$6:$I$96,2,FALSE)</f>
        <v>34</v>
      </c>
      <c r="H13" s="9">
        <f ca="1">龙魂辅助表!Z17</f>
        <v>96</v>
      </c>
      <c r="I13" s="1">
        <f>ROUND(龙魂辅助表!Y17*1000,0)</f>
        <v>636</v>
      </c>
      <c r="J13" s="1">
        <f t="shared" si="0"/>
        <v>1</v>
      </c>
      <c r="K13" s="1">
        <f>龙魂辅助表!AB17</f>
        <v>3</v>
      </c>
      <c r="L13" s="1">
        <f>龙魂辅助表!R17</f>
        <v>1</v>
      </c>
      <c r="M13" s="1">
        <f ca="1">VLOOKUP(龙魂辅助表!S17,[1]!属性定义,2,FALSE)</f>
        <v>2</v>
      </c>
      <c r="N13" s="1">
        <f>龙魂辅助表!T17</f>
        <v>85</v>
      </c>
      <c r="O13" s="1"/>
      <c r="P13" s="1"/>
      <c r="Q13" s="1"/>
      <c r="R13" s="1"/>
      <c r="S13" s="1"/>
      <c r="T13" s="1"/>
    </row>
    <row r="14" spans="1:20">
      <c r="A14" s="1">
        <f>龙魂辅助表!B18</f>
        <v>1010</v>
      </c>
      <c r="B14" s="1" t="str">
        <f>龙魂辅助表!C18</f>
        <v>蒲牢</v>
      </c>
      <c r="C14" s="1">
        <f>龙魂辅助表!E18</f>
        <v>1009</v>
      </c>
      <c r="D14" s="1">
        <f>龙魂辅助表!F18</f>
        <v>10</v>
      </c>
      <c r="E14" s="1">
        <f>龙魂辅助表!G18</f>
        <v>1</v>
      </c>
      <c r="F14" s="1">
        <f>龙魂辅助表!H18</f>
        <v>1001</v>
      </c>
      <c r="G14" s="1">
        <f>VLOOKUP(F14,龙魂辅助表!$H$6:$I$96,2,FALSE)</f>
        <v>34</v>
      </c>
      <c r="H14" s="9">
        <f ca="1">龙魂辅助表!Z18</f>
        <v>103</v>
      </c>
      <c r="I14" s="1">
        <f>ROUND(龙魂辅助表!Y18*1000,0)</f>
        <v>538</v>
      </c>
      <c r="J14" s="1">
        <f t="shared" si="0"/>
        <v>1</v>
      </c>
      <c r="K14" s="1">
        <f>龙魂辅助表!AB18</f>
        <v>3</v>
      </c>
      <c r="L14" s="1">
        <f>龙魂辅助表!R18</f>
        <v>1</v>
      </c>
      <c r="M14" s="1">
        <f ca="1">VLOOKUP(龙魂辅助表!S18,[1]!属性定义,2,FALSE)</f>
        <v>1</v>
      </c>
      <c r="N14" s="1">
        <f>龙魂辅助表!T18</f>
        <v>2360</v>
      </c>
      <c r="O14" s="1"/>
      <c r="P14" s="1"/>
      <c r="Q14" s="1"/>
      <c r="R14" s="1"/>
      <c r="S14" s="1"/>
      <c r="T14" s="1"/>
    </row>
    <row r="15" spans="1:20">
      <c r="A15" s="1">
        <f>龙魂辅助表!B19</f>
        <v>1011</v>
      </c>
      <c r="B15" s="1" t="str">
        <f>龙魂辅助表!C19</f>
        <v>睚眦</v>
      </c>
      <c r="C15" s="1">
        <f>龙魂辅助表!E19</f>
        <v>1010</v>
      </c>
      <c r="D15" s="1">
        <f>龙魂辅助表!F19</f>
        <v>11</v>
      </c>
      <c r="E15" s="1">
        <f>龙魂辅助表!G19</f>
        <v>1</v>
      </c>
      <c r="F15" s="1">
        <f>龙魂辅助表!H19</f>
        <v>1001</v>
      </c>
      <c r="G15" s="1">
        <f>VLOOKUP(F15,龙魂辅助表!$H$6:$I$96,2,FALSE)</f>
        <v>34</v>
      </c>
      <c r="H15" s="9">
        <f ca="1">龙魂辅助表!Z19</f>
        <v>109</v>
      </c>
      <c r="I15" s="1">
        <f>ROUND(龙魂辅助表!Y19*1000,0)</f>
        <v>467</v>
      </c>
      <c r="J15" s="1">
        <f t="shared" si="0"/>
        <v>2</v>
      </c>
      <c r="K15" s="1">
        <f>龙魂辅助表!AB19</f>
        <v>4</v>
      </c>
      <c r="L15" s="1">
        <f>龙魂辅助表!R19</f>
        <v>1</v>
      </c>
      <c r="M15" s="1">
        <f ca="1">VLOOKUP(龙魂辅助表!S19,[1]!属性定义,2,FALSE)</f>
        <v>7</v>
      </c>
      <c r="N15" s="1">
        <f>龙魂辅助表!T19</f>
        <v>246</v>
      </c>
      <c r="O15" s="1"/>
      <c r="P15" s="1"/>
      <c r="Q15" s="1"/>
      <c r="R15" s="1"/>
      <c r="S15" s="1"/>
      <c r="T15" s="1"/>
    </row>
    <row r="16" spans="1:20">
      <c r="A16" s="1">
        <f>龙魂辅助表!B20</f>
        <v>2004</v>
      </c>
      <c r="B16" s="1" t="str">
        <f>龙魂辅助表!C20</f>
        <v>饕餮</v>
      </c>
      <c r="C16" s="1">
        <f>龙魂辅助表!E20</f>
        <v>1011</v>
      </c>
      <c r="D16" s="1">
        <f>龙魂辅助表!F20</f>
        <v>4</v>
      </c>
      <c r="E16" s="1">
        <f>龙魂辅助表!G20</f>
        <v>2</v>
      </c>
      <c r="F16" s="1">
        <f>龙魂辅助表!H20</f>
        <v>1001</v>
      </c>
      <c r="G16" s="1">
        <f>VLOOKUP(F16,龙魂辅助表!$H$6:$I$96,2,FALSE)</f>
        <v>34</v>
      </c>
      <c r="H16" s="9">
        <f ca="1">龙魂辅助表!Z20</f>
        <v>127</v>
      </c>
      <c r="I16" s="1">
        <f ca="1">ROUND(龙魂辅助表!Y20*1000,0)</f>
        <v>273</v>
      </c>
      <c r="J16" s="1">
        <f t="shared" ca="1" si="0"/>
        <v>3</v>
      </c>
      <c r="K16" s="1">
        <f ca="1">龙魂辅助表!AB20</f>
        <v>6</v>
      </c>
      <c r="L16" s="1">
        <f>龙魂辅助表!R20</f>
        <v>1</v>
      </c>
      <c r="M16" s="1">
        <f ca="1">VLOOKUP(龙魂辅助表!S20,[1]!属性定义,2,FALSE)</f>
        <v>2</v>
      </c>
      <c r="N16" s="1">
        <f>龙魂辅助表!T20</f>
        <v>134</v>
      </c>
      <c r="O16" s="1"/>
      <c r="P16" s="1"/>
      <c r="Q16" s="1"/>
      <c r="R16" s="1"/>
      <c r="S16" s="1"/>
      <c r="T16" s="1"/>
    </row>
    <row r="17" spans="1:20">
      <c r="A17" s="1">
        <f>龙魂辅助表!B21</f>
        <v>2005</v>
      </c>
      <c r="B17" s="1" t="str">
        <f>龙魂辅助表!C21</f>
        <v>蚣蝮</v>
      </c>
      <c r="C17" s="1">
        <f>龙魂辅助表!E21</f>
        <v>2004</v>
      </c>
      <c r="D17" s="1">
        <f>龙魂辅助表!F21</f>
        <v>5</v>
      </c>
      <c r="E17" s="1">
        <f>龙魂辅助表!G21</f>
        <v>2</v>
      </c>
      <c r="F17" s="1">
        <f>龙魂辅助表!H21</f>
        <v>1001</v>
      </c>
      <c r="G17" s="1">
        <f>VLOOKUP(F17,龙魂辅助表!$H$6:$I$96,2,FALSE)</f>
        <v>34</v>
      </c>
      <c r="H17" s="9">
        <f ca="1">龙魂辅助表!Z21</f>
        <v>136</v>
      </c>
      <c r="I17" s="1">
        <f ca="1">ROUND(龙魂辅助表!Y21*1000,0)</f>
        <v>243</v>
      </c>
      <c r="J17" s="1">
        <f t="shared" ca="1" si="0"/>
        <v>3</v>
      </c>
      <c r="K17" s="1">
        <f ca="1">龙魂辅助表!AB21</f>
        <v>7</v>
      </c>
      <c r="L17" s="1">
        <f>龙魂辅助表!R21</f>
        <v>1</v>
      </c>
      <c r="M17" s="1">
        <f ca="1">VLOOKUP(龙魂辅助表!S21,[1]!属性定义,2,FALSE)</f>
        <v>1</v>
      </c>
      <c r="N17" s="1">
        <f>龙魂辅助表!T21</f>
        <v>3709</v>
      </c>
      <c r="O17" s="1"/>
      <c r="P17" s="1"/>
      <c r="Q17" s="1"/>
      <c r="R17" s="1"/>
      <c r="S17" s="1"/>
      <c r="T17" s="1"/>
    </row>
    <row r="18" spans="1:20">
      <c r="A18" s="1">
        <f>龙魂辅助表!B22</f>
        <v>1012</v>
      </c>
      <c r="B18" s="1" t="str">
        <f>龙魂辅助表!C22</f>
        <v>狴犴</v>
      </c>
      <c r="C18" s="1">
        <f>龙魂辅助表!E22</f>
        <v>1011</v>
      </c>
      <c r="D18" s="1">
        <f>龙魂辅助表!F22</f>
        <v>12</v>
      </c>
      <c r="E18" s="1">
        <f>龙魂辅助表!G22</f>
        <v>1</v>
      </c>
      <c r="F18" s="1">
        <f>龙魂辅助表!H22</f>
        <v>1001</v>
      </c>
      <c r="G18" s="1">
        <f>VLOOKUP(F18,龙魂辅助表!$H$6:$I$96,2,FALSE)</f>
        <v>34</v>
      </c>
      <c r="H18" s="9">
        <f ca="1">龙魂辅助表!Z22</f>
        <v>113</v>
      </c>
      <c r="I18" s="1">
        <f>ROUND(龙魂辅助表!Y22*1000,0)</f>
        <v>412</v>
      </c>
      <c r="J18" s="1">
        <f t="shared" si="0"/>
        <v>2</v>
      </c>
      <c r="K18" s="1">
        <f>龙魂辅助表!AB22</f>
        <v>4</v>
      </c>
      <c r="L18" s="1">
        <f>龙魂辅助表!R22</f>
        <v>1</v>
      </c>
      <c r="M18" s="1">
        <f ca="1">VLOOKUP(龙魂辅助表!S22,[1]!属性定义,2,FALSE)</f>
        <v>3</v>
      </c>
      <c r="N18" s="1">
        <f>龙魂辅助表!T22</f>
        <v>91</v>
      </c>
      <c r="O18" s="1"/>
      <c r="P18" s="1"/>
      <c r="Q18" s="1"/>
      <c r="R18" s="1"/>
      <c r="S18" s="1"/>
      <c r="T18" s="1"/>
    </row>
    <row r="19" spans="1:20">
      <c r="A19" s="1">
        <f>龙魂辅助表!B23</f>
        <v>1013</v>
      </c>
      <c r="B19" s="1" t="str">
        <f>龙魂辅助表!C23</f>
        <v>狻猊</v>
      </c>
      <c r="C19" s="1">
        <f>龙魂辅助表!E23</f>
        <v>1012</v>
      </c>
      <c r="D19" s="1">
        <f>龙魂辅助表!F23</f>
        <v>13</v>
      </c>
      <c r="E19" s="1">
        <f>龙魂辅助表!G23</f>
        <v>1</v>
      </c>
      <c r="F19" s="1">
        <f>龙魂辅助表!H23</f>
        <v>1001</v>
      </c>
      <c r="G19" s="1">
        <f>VLOOKUP(F19,龙魂辅助表!$H$6:$I$96,2,FALSE)</f>
        <v>34</v>
      </c>
      <c r="H19" s="9">
        <f ca="1">龙魂辅助表!Z23</f>
        <v>124</v>
      </c>
      <c r="I19" s="1">
        <f>ROUND(龙魂辅助表!Y23*1000,0)</f>
        <v>368</v>
      </c>
      <c r="J19" s="1">
        <f t="shared" si="0"/>
        <v>2</v>
      </c>
      <c r="K19" s="1">
        <f>龙魂辅助表!AB23</f>
        <v>4</v>
      </c>
      <c r="L19" s="1">
        <f>龙魂辅助表!R23</f>
        <v>1</v>
      </c>
      <c r="M19" s="1">
        <f ca="1">VLOOKUP(龙魂辅助表!S23,[1]!属性定义,2,FALSE)</f>
        <v>6</v>
      </c>
      <c r="N19" s="1">
        <f>龙魂辅助表!T23</f>
        <v>239</v>
      </c>
      <c r="O19" s="1"/>
      <c r="P19" s="1"/>
      <c r="Q19" s="1"/>
      <c r="R19" s="1"/>
      <c r="S19" s="1"/>
      <c r="T19" s="1"/>
    </row>
    <row r="20" spans="1:20">
      <c r="A20" s="1">
        <f>龙魂辅助表!B24</f>
        <v>1014</v>
      </c>
      <c r="B20" s="1" t="str">
        <f>龙魂辅助表!C24</f>
        <v>椒图</v>
      </c>
      <c r="C20" s="1">
        <f>龙魂辅助表!E24</f>
        <v>1013</v>
      </c>
      <c r="D20" s="1">
        <f>龙魂辅助表!F24</f>
        <v>14</v>
      </c>
      <c r="E20" s="1">
        <f>龙魂辅助表!G24</f>
        <v>1</v>
      </c>
      <c r="F20" s="1">
        <f>龙魂辅助表!H24</f>
        <v>1001</v>
      </c>
      <c r="G20" s="1">
        <f>VLOOKUP(F20,龙魂辅助表!$H$6:$I$96,2,FALSE)</f>
        <v>34</v>
      </c>
      <c r="H20" s="9">
        <f ca="1">龙魂辅助表!Z24</f>
        <v>124</v>
      </c>
      <c r="I20" s="1">
        <f>ROUND(龙魂辅助表!Y24*1000,0)</f>
        <v>333</v>
      </c>
      <c r="J20" s="1">
        <f t="shared" si="0"/>
        <v>2</v>
      </c>
      <c r="K20" s="1">
        <f>龙魂辅助表!AB24</f>
        <v>4</v>
      </c>
      <c r="L20" s="1">
        <f>龙魂辅助表!R24</f>
        <v>1</v>
      </c>
      <c r="M20" s="1">
        <f ca="1">VLOOKUP(龙魂辅助表!S24,[1]!属性定义,2,FALSE)</f>
        <v>1</v>
      </c>
      <c r="N20" s="1">
        <f>龙魂辅助表!T24</f>
        <v>2585</v>
      </c>
      <c r="O20" s="1"/>
      <c r="P20" s="1"/>
      <c r="Q20" s="1"/>
      <c r="R20" s="1"/>
      <c r="S20" s="1"/>
      <c r="T20" s="1"/>
    </row>
    <row r="21" spans="1:20">
      <c r="A21" s="1">
        <f>龙魂辅助表!B25</f>
        <v>1015</v>
      </c>
      <c r="B21" s="1" t="str">
        <f>龙魂辅助表!C25</f>
        <v>貔貅</v>
      </c>
      <c r="C21" s="1">
        <f>龙魂辅助表!E25</f>
        <v>1014</v>
      </c>
      <c r="D21" s="1">
        <f>龙魂辅助表!F25</f>
        <v>15</v>
      </c>
      <c r="E21" s="1">
        <f>龙魂辅助表!G25</f>
        <v>1</v>
      </c>
      <c r="F21" s="1">
        <f>龙魂辅助表!H25</f>
        <v>1001</v>
      </c>
      <c r="G21" s="1">
        <f>VLOOKUP(F21,龙魂辅助表!$H$6:$I$96,2,FALSE)</f>
        <v>34</v>
      </c>
      <c r="H21" s="9">
        <f ca="1">龙魂辅助表!Z25</f>
        <v>127</v>
      </c>
      <c r="I21" s="1">
        <f>ROUND(龙魂辅助表!Y25*1000,0)</f>
        <v>304</v>
      </c>
      <c r="J21" s="1">
        <f t="shared" si="0"/>
        <v>2</v>
      </c>
      <c r="K21" s="1">
        <f>龙魂辅助表!AB25</f>
        <v>5</v>
      </c>
      <c r="L21" s="1">
        <f>龙魂辅助表!R25</f>
        <v>1</v>
      </c>
      <c r="M21" s="1">
        <f ca="1">VLOOKUP(龙魂辅助表!S25,[1]!属性定义,2,FALSE)</f>
        <v>2</v>
      </c>
      <c r="N21" s="1">
        <f>龙魂辅助表!T25</f>
        <v>96</v>
      </c>
      <c r="O21" s="1"/>
      <c r="P21" s="1"/>
      <c r="Q21" s="1"/>
      <c r="R21" s="1"/>
      <c r="S21" s="1"/>
      <c r="T21" s="1"/>
    </row>
    <row r="22" spans="1:20">
      <c r="A22" s="1">
        <f>龙魂辅助表!B26</f>
        <v>2006</v>
      </c>
      <c r="B22" s="1" t="str">
        <f>龙魂辅助表!C26</f>
        <v>犼</v>
      </c>
      <c r="C22" s="1">
        <f>龙魂辅助表!E26</f>
        <v>1015</v>
      </c>
      <c r="D22" s="1">
        <f>龙魂辅助表!F26</f>
        <v>6</v>
      </c>
      <c r="E22" s="1">
        <f>龙魂辅助表!G26</f>
        <v>2</v>
      </c>
      <c r="F22" s="1">
        <f>龙魂辅助表!H26</f>
        <v>1001</v>
      </c>
      <c r="G22" s="1">
        <f>VLOOKUP(F22,龙魂辅助表!$H$6:$I$96,2,FALSE)</f>
        <v>34</v>
      </c>
      <c r="H22" s="9">
        <f ca="1">龙魂辅助表!Z26</f>
        <v>163</v>
      </c>
      <c r="I22" s="1">
        <f ca="1">ROUND(龙魂辅助表!Y26*1000,0)</f>
        <v>184</v>
      </c>
      <c r="J22" s="1">
        <f t="shared" ca="1" si="0"/>
        <v>4</v>
      </c>
      <c r="K22" s="1">
        <f ca="1">龙魂辅助表!AB26</f>
        <v>8</v>
      </c>
      <c r="L22" s="1">
        <f>龙魂辅助表!R26</f>
        <v>1</v>
      </c>
      <c r="M22" s="1">
        <f ca="1">VLOOKUP(龙魂辅助表!S26,[1]!属性定义,2,FALSE)</f>
        <v>7</v>
      </c>
      <c r="N22" s="1">
        <f>龙魂辅助表!T26</f>
        <v>410</v>
      </c>
      <c r="O22" s="1"/>
      <c r="P22" s="1"/>
      <c r="Q22" s="1"/>
      <c r="R22" s="1"/>
      <c r="S22" s="1"/>
      <c r="T22" s="1"/>
    </row>
    <row r="23" spans="1:20">
      <c r="A23" s="1">
        <f>龙魂辅助表!B27</f>
        <v>2007</v>
      </c>
      <c r="B23" s="1" t="str">
        <f>龙魂辅助表!C27</f>
        <v>螭</v>
      </c>
      <c r="C23" s="1">
        <f>龙魂辅助表!E27</f>
        <v>1015</v>
      </c>
      <c r="D23" s="1">
        <f>龙魂辅助表!F27</f>
        <v>7</v>
      </c>
      <c r="E23" s="1">
        <f>龙魂辅助表!G27</f>
        <v>2</v>
      </c>
      <c r="F23" s="1">
        <f>龙魂辅助表!H27</f>
        <v>1001</v>
      </c>
      <c r="G23" s="1">
        <f>VLOOKUP(F23,龙魂辅助表!$H$6:$I$96,2,FALSE)</f>
        <v>34</v>
      </c>
      <c r="H23" s="9">
        <f ca="1">龙魂辅助表!Z27</f>
        <v>163</v>
      </c>
      <c r="I23" s="1">
        <f ca="1">ROUND(龙魂辅助表!Y27*1000,0)</f>
        <v>184</v>
      </c>
      <c r="J23" s="1">
        <f t="shared" ca="1" si="0"/>
        <v>4</v>
      </c>
      <c r="K23" s="1">
        <f ca="1">龙魂辅助表!AB27</f>
        <v>8</v>
      </c>
      <c r="L23" s="1">
        <f>龙魂辅助表!R27</f>
        <v>1</v>
      </c>
      <c r="M23" s="1">
        <f ca="1">VLOOKUP(龙魂辅助表!S27,[1]!属性定义,2,FALSE)</f>
        <v>1</v>
      </c>
      <c r="N23" s="1">
        <f>龙魂辅助表!T27</f>
        <v>4046</v>
      </c>
      <c r="O23" s="1"/>
      <c r="P23" s="1"/>
      <c r="Q23" s="1"/>
      <c r="R23" s="1"/>
      <c r="S23" s="1"/>
      <c r="T23" s="1"/>
    </row>
    <row r="24" spans="1:20">
      <c r="A24" s="1">
        <f>龙魂辅助表!B28</f>
        <v>2008</v>
      </c>
      <c r="B24" s="1" t="str">
        <f>龙魂辅助表!C28</f>
        <v>麒麟</v>
      </c>
      <c r="C24" s="1">
        <f>龙魂辅助表!E28</f>
        <v>2007</v>
      </c>
      <c r="D24" s="1">
        <f>龙魂辅助表!F28</f>
        <v>8</v>
      </c>
      <c r="E24" s="1">
        <f>龙魂辅助表!G28</f>
        <v>2</v>
      </c>
      <c r="F24" s="1">
        <f>龙魂辅助表!H28</f>
        <v>1001</v>
      </c>
      <c r="G24" s="1">
        <f>VLOOKUP(F24,龙魂辅助表!$H$6:$I$96,2,FALSE)</f>
        <v>34</v>
      </c>
      <c r="H24" s="9">
        <f ca="1">龙魂辅助表!Z28</f>
        <v>193</v>
      </c>
      <c r="I24" s="1">
        <f ca="1">ROUND(龙魂辅助表!Y28*1000,0)</f>
        <v>170</v>
      </c>
      <c r="J24" s="1">
        <f t="shared" ca="1" si="0"/>
        <v>4</v>
      </c>
      <c r="K24" s="1">
        <f ca="1">龙魂辅助表!AB28</f>
        <v>8</v>
      </c>
      <c r="L24" s="1">
        <f>龙魂辅助表!R28</f>
        <v>1</v>
      </c>
      <c r="M24" s="1">
        <f ca="1">VLOOKUP(龙魂辅助表!S28,[1]!属性定义,2,FALSE)</f>
        <v>6</v>
      </c>
      <c r="N24" s="1">
        <f>龙魂辅助表!T28</f>
        <v>385</v>
      </c>
      <c r="O24" s="1"/>
      <c r="P24" s="1"/>
      <c r="Q24" s="1"/>
      <c r="R24" s="1"/>
      <c r="S24" s="1"/>
      <c r="T24" s="1"/>
    </row>
    <row r="25" spans="1:20">
      <c r="A25" s="1">
        <f>龙魂辅助表!B29</f>
        <v>1016</v>
      </c>
      <c r="B25" s="1" t="str">
        <f>龙魂辅助表!C29</f>
        <v>鱼龙</v>
      </c>
      <c r="C25" s="1">
        <f>龙魂辅助表!E29</f>
        <v>1015</v>
      </c>
      <c r="D25" s="1">
        <f>龙魂辅助表!F29</f>
        <v>16</v>
      </c>
      <c r="E25" s="1">
        <f>龙魂辅助表!G29</f>
        <v>1</v>
      </c>
      <c r="F25" s="1">
        <f>龙魂辅助表!H29</f>
        <v>1001</v>
      </c>
      <c r="G25" s="1">
        <f>VLOOKUP(F25,龙魂辅助表!$H$6:$I$96,2,FALSE)</f>
        <v>34</v>
      </c>
      <c r="H25" s="9">
        <f ca="1">龙魂辅助表!Z29</f>
        <v>132</v>
      </c>
      <c r="I25" s="1">
        <f>ROUND(龙魂辅助表!Y29*1000,0)</f>
        <v>280</v>
      </c>
      <c r="J25" s="1">
        <f t="shared" si="0"/>
        <v>2</v>
      </c>
      <c r="K25" s="1">
        <f>龙魂辅助表!AB29</f>
        <v>5</v>
      </c>
      <c r="L25" s="1">
        <f>龙魂辅助表!R29</f>
        <v>1</v>
      </c>
      <c r="M25" s="1">
        <f ca="1">VLOOKUP(龙魂辅助表!S29,[1]!属性定义,2,FALSE)</f>
        <v>9</v>
      </c>
      <c r="N25" s="1">
        <f>龙魂辅助表!T29</f>
        <v>419</v>
      </c>
      <c r="O25" s="1"/>
      <c r="P25" s="1"/>
      <c r="Q25" s="1"/>
      <c r="R25" s="1"/>
      <c r="S25" s="1"/>
      <c r="T25" s="1"/>
    </row>
    <row r="26" spans="1:20">
      <c r="A26" s="1">
        <f>龙魂辅助表!B30</f>
        <v>1017</v>
      </c>
      <c r="B26" s="1" t="str">
        <f>龙魂辅助表!C30</f>
        <v>赑屃</v>
      </c>
      <c r="C26" s="1">
        <f>龙魂辅助表!E30</f>
        <v>1016</v>
      </c>
      <c r="D26" s="1">
        <f>龙魂辅助表!F30</f>
        <v>17</v>
      </c>
      <c r="E26" s="1">
        <f>龙魂辅助表!G30</f>
        <v>1</v>
      </c>
      <c r="F26" s="1">
        <f>龙魂辅助表!H30</f>
        <v>1002</v>
      </c>
      <c r="G26" s="1">
        <f>VLOOKUP(F26,龙魂辅助表!$H$6:$I$96,2,FALSE)</f>
        <v>44</v>
      </c>
      <c r="H26" s="9">
        <f ca="1">龙魂辅助表!Z30</f>
        <v>182</v>
      </c>
      <c r="I26" s="1">
        <f>ROUND(龙魂辅助表!Y30*1000,0)</f>
        <v>571</v>
      </c>
      <c r="J26" s="1">
        <f t="shared" si="0"/>
        <v>1</v>
      </c>
      <c r="K26" s="1">
        <f>龙魂辅助表!AB30</f>
        <v>3</v>
      </c>
      <c r="L26" s="1">
        <f>龙魂辅助表!R30</f>
        <v>1</v>
      </c>
      <c r="M26" s="1">
        <f ca="1">VLOOKUP(龙魂辅助表!S30,[1]!属性定义,2,FALSE)</f>
        <v>1</v>
      </c>
      <c r="N26" s="1">
        <f>龙魂辅助表!T30</f>
        <v>4495</v>
      </c>
      <c r="O26" s="1"/>
      <c r="P26" s="1"/>
      <c r="Q26" s="1"/>
      <c r="R26" s="1"/>
      <c r="S26" s="1"/>
      <c r="T26" s="1"/>
    </row>
    <row r="27" spans="1:20">
      <c r="A27" s="1">
        <f>龙魂辅助表!B31</f>
        <v>1018</v>
      </c>
      <c r="B27" s="1" t="str">
        <f>龙魂辅助表!C31</f>
        <v>鸱吻</v>
      </c>
      <c r="C27" s="1">
        <f>龙魂辅助表!E31</f>
        <v>1017</v>
      </c>
      <c r="D27" s="1">
        <f>龙魂辅助表!F31</f>
        <v>18</v>
      </c>
      <c r="E27" s="1">
        <f>龙魂辅助表!G31</f>
        <v>1</v>
      </c>
      <c r="F27" s="1">
        <f>龙魂辅助表!H31</f>
        <v>1002</v>
      </c>
      <c r="G27" s="1">
        <f>VLOOKUP(F27,龙魂辅助表!$H$6:$I$96,2,FALSE)</f>
        <v>44</v>
      </c>
      <c r="H27" s="9">
        <f ca="1">龙魂辅助表!Z31</f>
        <v>188</v>
      </c>
      <c r="I27" s="1">
        <f>ROUND(龙魂辅助表!Y31*1000,0)</f>
        <v>471</v>
      </c>
      <c r="J27" s="1">
        <f t="shared" si="0"/>
        <v>2</v>
      </c>
      <c r="K27" s="1">
        <f>龙魂辅助表!AB31</f>
        <v>4</v>
      </c>
      <c r="L27" s="1">
        <f>龙魂辅助表!R31</f>
        <v>1</v>
      </c>
      <c r="M27" s="1">
        <f ca="1">VLOOKUP(龙魂辅助表!S31,[1]!属性定义,2,FALSE)</f>
        <v>7</v>
      </c>
      <c r="N27" s="1">
        <f>龙魂辅助表!T31</f>
        <v>469</v>
      </c>
      <c r="O27" s="1"/>
      <c r="P27" s="1"/>
      <c r="Q27" s="1"/>
      <c r="R27" s="1"/>
      <c r="S27" s="1"/>
      <c r="T27" s="1"/>
    </row>
    <row r="28" spans="1:20">
      <c r="A28" s="1">
        <f>龙魂辅助表!B32</f>
        <v>2009</v>
      </c>
      <c r="B28" s="1" t="str">
        <f>龙魂辅助表!C32</f>
        <v>蒲牢</v>
      </c>
      <c r="C28" s="1">
        <f>龙魂辅助表!E32</f>
        <v>1018</v>
      </c>
      <c r="D28" s="1">
        <f>龙魂辅助表!F32</f>
        <v>9</v>
      </c>
      <c r="E28" s="1">
        <f>龙魂辅助表!G32</f>
        <v>2</v>
      </c>
      <c r="F28" s="1">
        <f>龙魂辅助表!H32</f>
        <v>1002</v>
      </c>
      <c r="G28" s="1">
        <f>VLOOKUP(F28,龙魂辅助表!$H$6:$I$96,2,FALSE)</f>
        <v>44</v>
      </c>
      <c r="H28" s="9">
        <f ca="1">龙魂辅助表!Z32</f>
        <v>244</v>
      </c>
      <c r="I28" s="1">
        <f ca="1">ROUND(龙魂辅助表!Y32*1000,0)</f>
        <v>268</v>
      </c>
      <c r="J28" s="1">
        <f t="shared" ca="1" si="0"/>
        <v>3</v>
      </c>
      <c r="K28" s="1">
        <f ca="1">龙魂辅助表!AB32</f>
        <v>6</v>
      </c>
      <c r="L28" s="1">
        <f>龙魂辅助表!R32</f>
        <v>1</v>
      </c>
      <c r="M28" s="1">
        <f ca="1">VLOOKUP(龙魂辅助表!S32,[1]!属性定义,2,FALSE)</f>
        <v>1</v>
      </c>
      <c r="N28" s="1">
        <f>龙魂辅助表!T32</f>
        <v>6954</v>
      </c>
      <c r="O28" s="1"/>
      <c r="P28" s="1"/>
      <c r="Q28" s="1"/>
      <c r="R28" s="1"/>
      <c r="S28" s="1"/>
      <c r="T28" s="1"/>
    </row>
    <row r="29" spans="1:20">
      <c r="A29" s="1">
        <f>龙魂辅助表!B33</f>
        <v>1019</v>
      </c>
      <c r="B29" s="1" t="str">
        <f>龙魂辅助表!C33</f>
        <v>睚眦</v>
      </c>
      <c r="C29" s="1">
        <f>龙魂辅助表!E33</f>
        <v>1018</v>
      </c>
      <c r="D29" s="1">
        <f>龙魂辅助表!F33</f>
        <v>19</v>
      </c>
      <c r="E29" s="1">
        <f>龙魂辅助表!G33</f>
        <v>1</v>
      </c>
      <c r="F29" s="1">
        <f>龙魂辅助表!H33</f>
        <v>1002</v>
      </c>
      <c r="G29" s="1">
        <f>VLOOKUP(F29,龙魂辅助表!$H$6:$I$96,2,FALSE)</f>
        <v>44</v>
      </c>
      <c r="H29" s="9">
        <f ca="1">龙魂辅助表!Z33</f>
        <v>194</v>
      </c>
      <c r="I29" s="1">
        <f>ROUND(龙魂辅助表!Y33*1000,0)</f>
        <v>400</v>
      </c>
      <c r="J29" s="1">
        <f t="shared" si="0"/>
        <v>2</v>
      </c>
      <c r="K29" s="1">
        <f>龙魂辅助表!AB33</f>
        <v>4</v>
      </c>
      <c r="L29" s="1">
        <f>龙魂辅助表!R33</f>
        <v>1</v>
      </c>
      <c r="M29" s="1">
        <f ca="1">VLOOKUP(龙魂辅助表!S33,[1]!属性定义,2,FALSE)</f>
        <v>2</v>
      </c>
      <c r="N29" s="1">
        <f>龙魂辅助表!T33</f>
        <v>173</v>
      </c>
      <c r="O29" s="1"/>
      <c r="P29" s="1"/>
      <c r="Q29" s="1"/>
      <c r="R29" s="1"/>
      <c r="S29" s="1"/>
      <c r="T29" s="1"/>
    </row>
    <row r="30" spans="1:20">
      <c r="A30" s="1">
        <f>龙魂辅助表!B34</f>
        <v>2010</v>
      </c>
      <c r="B30" s="1" t="str">
        <f>龙魂辅助表!C34</f>
        <v>饕餮</v>
      </c>
      <c r="C30" s="1">
        <f>龙魂辅助表!E34</f>
        <v>1019</v>
      </c>
      <c r="D30" s="1">
        <f>龙魂辅助表!F34</f>
        <v>10</v>
      </c>
      <c r="E30" s="1">
        <f>龙魂辅助表!G34</f>
        <v>2</v>
      </c>
      <c r="F30" s="1">
        <f>龙魂辅助表!H34</f>
        <v>1002</v>
      </c>
      <c r="G30" s="1">
        <f>VLOOKUP(F30,龙魂辅助表!$H$6:$I$96,2,FALSE)</f>
        <v>44</v>
      </c>
      <c r="H30" s="9">
        <f ca="1">龙魂辅助表!Z34</f>
        <v>254</v>
      </c>
      <c r="I30" s="1">
        <f ca="1">ROUND(龙魂辅助表!Y34*1000,0)</f>
        <v>234</v>
      </c>
      <c r="J30" s="1">
        <f t="shared" ca="1" si="0"/>
        <v>3</v>
      </c>
      <c r="K30" s="1">
        <f ca="1">龙魂辅助表!AB34</f>
        <v>7</v>
      </c>
      <c r="L30" s="1">
        <f>龙魂辅助表!R34</f>
        <v>1</v>
      </c>
      <c r="M30" s="1">
        <f ca="1">VLOOKUP(龙魂辅助表!S34,[1]!属性定义,2,FALSE)</f>
        <v>8</v>
      </c>
      <c r="N30" s="1">
        <f>龙魂辅助表!T34</f>
        <v>964</v>
      </c>
      <c r="O30" s="1"/>
      <c r="P30" s="1"/>
      <c r="Q30" s="1"/>
      <c r="R30" s="1"/>
      <c r="S30" s="1"/>
      <c r="T30" s="1"/>
    </row>
    <row r="31" spans="1:20">
      <c r="A31" s="1">
        <f>龙魂辅助表!B35</f>
        <v>2011</v>
      </c>
      <c r="B31" s="1" t="str">
        <f>龙魂辅助表!C35</f>
        <v>蚣蝮</v>
      </c>
      <c r="C31" s="1">
        <f>龙魂辅助表!E35</f>
        <v>2010</v>
      </c>
      <c r="D31" s="1">
        <f>龙魂辅助表!F35</f>
        <v>11</v>
      </c>
      <c r="E31" s="1">
        <f>龙魂辅助表!G35</f>
        <v>2</v>
      </c>
      <c r="F31" s="1">
        <f>龙魂辅助表!H35</f>
        <v>1002</v>
      </c>
      <c r="G31" s="1">
        <f>VLOOKUP(F31,龙魂辅助表!$H$6:$I$96,2,FALSE)</f>
        <v>44</v>
      </c>
      <c r="H31" s="9">
        <f ca="1">龙魂辅助表!Z35</f>
        <v>270</v>
      </c>
      <c r="I31" s="1">
        <f ca="1">ROUND(龙魂辅助表!Y35*1000,0)</f>
        <v>208</v>
      </c>
      <c r="J31" s="1">
        <f t="shared" ca="1" si="0"/>
        <v>3</v>
      </c>
      <c r="K31" s="1">
        <f ca="1">龙魂辅助表!AB35</f>
        <v>7</v>
      </c>
      <c r="L31" s="1">
        <f>龙魂辅助表!R35</f>
        <v>1</v>
      </c>
      <c r="M31" s="1">
        <f ca="1">VLOOKUP(龙魂辅助表!S35,[1]!属性定义,2,FALSE)</f>
        <v>2</v>
      </c>
      <c r="N31" s="1">
        <f>龙魂辅助表!T35</f>
        <v>267</v>
      </c>
      <c r="O31" s="1"/>
      <c r="P31" s="1"/>
      <c r="Q31" s="1"/>
      <c r="R31" s="1"/>
      <c r="S31" s="1"/>
      <c r="T31" s="1"/>
    </row>
    <row r="32" spans="1:20">
      <c r="A32" s="1">
        <f>龙魂辅助表!B36</f>
        <v>2012</v>
      </c>
      <c r="B32" s="1" t="str">
        <f>龙魂辅助表!C36</f>
        <v>狴犴</v>
      </c>
      <c r="C32" s="1">
        <f>龙魂辅助表!E36</f>
        <v>2011</v>
      </c>
      <c r="D32" s="1">
        <f>龙魂辅助表!F36</f>
        <v>12</v>
      </c>
      <c r="E32" s="1">
        <f>龙魂辅助表!G36</f>
        <v>2</v>
      </c>
      <c r="F32" s="1">
        <f>龙魂辅助表!H36</f>
        <v>1002</v>
      </c>
      <c r="G32" s="1">
        <f>VLOOKUP(F32,龙魂辅助表!$H$6:$I$96,2,FALSE)</f>
        <v>44</v>
      </c>
      <c r="H32" s="9">
        <f ca="1">龙魂辅助表!Z36</f>
        <v>271</v>
      </c>
      <c r="I32" s="1">
        <f ca="1">ROUND(龙魂辅助表!Y36*1000,0)</f>
        <v>186</v>
      </c>
      <c r="J32" s="1">
        <f t="shared" ca="1" si="0"/>
        <v>4</v>
      </c>
      <c r="K32" s="1">
        <f ca="1">龙魂辅助表!AB36</f>
        <v>8</v>
      </c>
      <c r="L32" s="1">
        <f>龙魂辅助表!R36</f>
        <v>1</v>
      </c>
      <c r="M32" s="1">
        <f ca="1">VLOOKUP(龙魂辅助表!S36,[1]!属性定义,2,FALSE)</f>
        <v>3</v>
      </c>
      <c r="N32" s="1">
        <f>龙魂辅助表!T36</f>
        <v>268</v>
      </c>
      <c r="O32" s="1"/>
      <c r="P32" s="1"/>
      <c r="Q32" s="1"/>
      <c r="R32" s="1"/>
      <c r="S32" s="1"/>
      <c r="T32" s="1"/>
    </row>
    <row r="33" spans="1:20">
      <c r="A33" s="1">
        <f>龙魂辅助表!B37</f>
        <v>1020</v>
      </c>
      <c r="B33" s="1" t="str">
        <f>龙魂辅助表!C37</f>
        <v>狻猊</v>
      </c>
      <c r="C33" s="1">
        <f>龙魂辅助表!E37</f>
        <v>1019</v>
      </c>
      <c r="D33" s="1">
        <f>龙魂辅助表!F37</f>
        <v>20</v>
      </c>
      <c r="E33" s="1">
        <f>龙魂辅助表!G37</f>
        <v>1</v>
      </c>
      <c r="F33" s="1">
        <f>龙魂辅助表!H37</f>
        <v>1002</v>
      </c>
      <c r="G33" s="1">
        <f>VLOOKUP(F33,龙魂辅助表!$H$6:$I$96,2,FALSE)</f>
        <v>44</v>
      </c>
      <c r="H33" s="9">
        <f ca="1">龙魂辅助表!Z37</f>
        <v>200</v>
      </c>
      <c r="I33" s="1">
        <f>ROUND(龙魂辅助表!Y37*1000,0)</f>
        <v>348</v>
      </c>
      <c r="J33" s="1">
        <f t="shared" si="0"/>
        <v>2</v>
      </c>
      <c r="K33" s="1">
        <f>龙魂辅助表!AB37</f>
        <v>4</v>
      </c>
      <c r="L33" s="1">
        <f>龙魂辅助表!R37</f>
        <v>1</v>
      </c>
      <c r="M33" s="1">
        <f ca="1">VLOOKUP(龙魂辅助表!S37,[1]!属性定义,2,FALSE)</f>
        <v>1</v>
      </c>
      <c r="N33" s="1">
        <f>龙魂辅助表!T37</f>
        <v>4987</v>
      </c>
      <c r="O33" s="1"/>
      <c r="P33" s="1"/>
      <c r="Q33" s="1"/>
      <c r="R33" s="1"/>
      <c r="S33" s="1"/>
      <c r="T33" s="1"/>
    </row>
    <row r="34" spans="1:20">
      <c r="A34" s="1">
        <f>龙魂辅助表!B38</f>
        <v>1021</v>
      </c>
      <c r="B34" s="1" t="str">
        <f>龙魂辅助表!C38</f>
        <v>椒图</v>
      </c>
      <c r="C34" s="1">
        <f>龙魂辅助表!E38</f>
        <v>1020</v>
      </c>
      <c r="D34" s="1">
        <f>龙魂辅助表!F38</f>
        <v>21</v>
      </c>
      <c r="E34" s="1">
        <f>龙魂辅助表!G38</f>
        <v>1</v>
      </c>
      <c r="F34" s="1">
        <f>龙魂辅助表!H38</f>
        <v>1002</v>
      </c>
      <c r="G34" s="1">
        <f>VLOOKUP(F34,龙魂辅助表!$H$6:$I$96,2,FALSE)</f>
        <v>44</v>
      </c>
      <c r="H34" s="9">
        <f ca="1">龙魂辅助表!Z38</f>
        <v>200</v>
      </c>
      <c r="I34" s="1">
        <f>ROUND(龙魂辅助表!Y38*1000,0)</f>
        <v>308</v>
      </c>
      <c r="J34" s="1">
        <f t="shared" si="0"/>
        <v>2</v>
      </c>
      <c r="K34" s="1">
        <f>龙魂辅助表!AB38</f>
        <v>5</v>
      </c>
      <c r="L34" s="1">
        <f>龙魂辅助表!R38</f>
        <v>1</v>
      </c>
      <c r="M34" s="1">
        <f ca="1">VLOOKUP(龙魂辅助表!S38,[1]!属性定义,2,FALSE)</f>
        <v>3</v>
      </c>
      <c r="N34" s="1">
        <f>龙魂辅助表!T38</f>
        <v>184</v>
      </c>
      <c r="O34" s="1"/>
      <c r="P34" s="1"/>
      <c r="Q34" s="1"/>
      <c r="R34" s="1"/>
      <c r="S34" s="1"/>
      <c r="T34" s="1"/>
    </row>
    <row r="35" spans="1:20">
      <c r="A35" s="1">
        <f>龙魂辅助表!B39</f>
        <v>2013</v>
      </c>
      <c r="B35" s="1" t="str">
        <f>龙魂辅助表!C39</f>
        <v>貔貅</v>
      </c>
      <c r="C35" s="1">
        <f>龙魂辅助表!E39</f>
        <v>1021</v>
      </c>
      <c r="D35" s="1">
        <f>龙魂辅助表!F39</f>
        <v>13</v>
      </c>
      <c r="E35" s="1">
        <f>龙魂辅助表!G39</f>
        <v>2</v>
      </c>
      <c r="F35" s="1">
        <f>龙魂辅助表!H39</f>
        <v>1002</v>
      </c>
      <c r="G35" s="1">
        <f>VLOOKUP(F35,龙魂辅助表!$H$6:$I$96,2,FALSE)</f>
        <v>44</v>
      </c>
      <c r="H35" s="9">
        <f ca="1">龙魂辅助表!Z39</f>
        <v>203</v>
      </c>
      <c r="I35" s="1">
        <f ca="1">ROUND(龙魂辅助表!Y39*1000,0)</f>
        <v>186</v>
      </c>
      <c r="J35" s="1">
        <f t="shared" ca="1" si="0"/>
        <v>4</v>
      </c>
      <c r="K35" s="1">
        <f ca="1">龙魂辅助表!AB39</f>
        <v>8</v>
      </c>
      <c r="L35" s="1">
        <f>龙魂辅助表!R39</f>
        <v>1</v>
      </c>
      <c r="M35" s="1">
        <f ca="1">VLOOKUP(龙魂辅助表!S39,[1]!属性定义,2,FALSE)</f>
        <v>6</v>
      </c>
      <c r="N35" s="1">
        <f>龙魂辅助表!T39</f>
        <v>722</v>
      </c>
      <c r="O35" s="1"/>
      <c r="P35" s="1"/>
      <c r="Q35" s="1"/>
      <c r="R35" s="1"/>
      <c r="S35" s="1"/>
      <c r="T35" s="1"/>
    </row>
    <row r="36" spans="1:20">
      <c r="A36" s="1">
        <f>龙魂辅助表!B40</f>
        <v>2014</v>
      </c>
      <c r="B36" s="1" t="str">
        <f>龙魂辅助表!C40</f>
        <v>犼</v>
      </c>
      <c r="C36" s="1">
        <f>龙魂辅助表!E40</f>
        <v>2013</v>
      </c>
      <c r="D36" s="1">
        <f>龙魂辅助表!F40</f>
        <v>14</v>
      </c>
      <c r="E36" s="1">
        <f>龙魂辅助表!G40</f>
        <v>2</v>
      </c>
      <c r="F36" s="1">
        <f>龙魂辅助表!H40</f>
        <v>1002</v>
      </c>
      <c r="G36" s="1">
        <f>VLOOKUP(F36,龙魂辅助表!$H$6:$I$96,2,FALSE)</f>
        <v>44</v>
      </c>
      <c r="H36" s="9">
        <f ca="1">龙魂辅助表!Z40</f>
        <v>224</v>
      </c>
      <c r="I36" s="1">
        <f ca="1">ROUND(龙魂辅助表!Y40*1000,0)</f>
        <v>169</v>
      </c>
      <c r="J36" s="1">
        <f t="shared" ca="1" si="0"/>
        <v>4</v>
      </c>
      <c r="K36" s="1">
        <f ca="1">龙魂辅助表!AB40</f>
        <v>8</v>
      </c>
      <c r="L36" s="1">
        <f>龙魂辅助表!R40</f>
        <v>1</v>
      </c>
      <c r="M36" s="1">
        <f ca="1">VLOOKUP(龙魂辅助表!S40,[1]!属性定义,2,FALSE)</f>
        <v>9</v>
      </c>
      <c r="N36" s="1">
        <f>龙魂辅助表!T40</f>
        <v>1180</v>
      </c>
      <c r="O36" s="1"/>
      <c r="P36" s="1"/>
      <c r="Q36" s="1"/>
      <c r="R36" s="1"/>
      <c r="S36" s="1"/>
      <c r="T36" s="1"/>
    </row>
    <row r="37" spans="1:20">
      <c r="A37" s="1">
        <f>龙魂辅助表!B41</f>
        <v>2015</v>
      </c>
      <c r="B37" s="1" t="str">
        <f>龙魂辅助表!C41</f>
        <v>螭</v>
      </c>
      <c r="C37" s="1">
        <f>龙魂辅助表!E41</f>
        <v>2014</v>
      </c>
      <c r="D37" s="1">
        <f>龙魂辅助表!F41</f>
        <v>15</v>
      </c>
      <c r="E37" s="1">
        <f>龙魂辅助表!G41</f>
        <v>2</v>
      </c>
      <c r="F37" s="1">
        <f>龙魂辅助表!H41</f>
        <v>1002</v>
      </c>
      <c r="G37" s="1">
        <f>VLOOKUP(F37,龙魂辅助表!$H$6:$I$96,2,FALSE)</f>
        <v>44</v>
      </c>
      <c r="H37" s="9">
        <f ca="1">龙魂辅助表!Z41</f>
        <v>226</v>
      </c>
      <c r="I37" s="1">
        <f ca="1">ROUND(龙魂辅助表!Y41*1000,0)</f>
        <v>155</v>
      </c>
      <c r="J37" s="1">
        <f t="shared" ca="1" si="0"/>
        <v>4</v>
      </c>
      <c r="K37" s="1">
        <f ca="1">龙魂辅助表!AB41</f>
        <v>9</v>
      </c>
      <c r="L37" s="1">
        <f>龙魂辅助表!R41</f>
        <v>1</v>
      </c>
      <c r="M37" s="1">
        <f ca="1">VLOOKUP(龙魂辅助表!S41,[1]!属性定义,2,FALSE)</f>
        <v>1</v>
      </c>
      <c r="N37" s="1">
        <f>龙魂辅助表!T41</f>
        <v>7902</v>
      </c>
      <c r="O37" s="1"/>
      <c r="P37" s="1"/>
      <c r="Q37" s="1"/>
      <c r="R37" s="1"/>
      <c r="S37" s="1"/>
      <c r="T37" s="1"/>
    </row>
    <row r="38" spans="1:20">
      <c r="A38" s="1">
        <f>龙魂辅助表!B42</f>
        <v>1022</v>
      </c>
      <c r="B38" s="1" t="str">
        <f>龙魂辅助表!C42</f>
        <v>麒麟</v>
      </c>
      <c r="C38" s="1">
        <f>龙魂辅助表!E42</f>
        <v>1021</v>
      </c>
      <c r="D38" s="1">
        <f>龙魂辅助表!F42</f>
        <v>22</v>
      </c>
      <c r="E38" s="1">
        <f>龙魂辅助表!G42</f>
        <v>1</v>
      </c>
      <c r="F38" s="1">
        <f>龙魂辅助表!H42</f>
        <v>1002</v>
      </c>
      <c r="G38" s="1">
        <f>VLOOKUP(F38,龙魂辅助表!$H$6:$I$96,2,FALSE)</f>
        <v>44</v>
      </c>
      <c r="H38" s="9">
        <f ca="1">龙魂辅助表!Z42</f>
        <v>203</v>
      </c>
      <c r="I38" s="1">
        <f>ROUND(龙魂辅助表!Y42*1000,0)</f>
        <v>276</v>
      </c>
      <c r="J38" s="1">
        <f t="shared" si="0"/>
        <v>2</v>
      </c>
      <c r="K38" s="1">
        <f>龙魂辅助表!AB42</f>
        <v>5</v>
      </c>
      <c r="L38" s="1">
        <f>龙魂辅助表!R42</f>
        <v>1</v>
      </c>
      <c r="M38" s="1">
        <f ca="1">VLOOKUP(龙魂辅助表!S42,[1]!属性定义,2,FALSE)</f>
        <v>10</v>
      </c>
      <c r="N38" s="1">
        <f>龙魂辅助表!T42</f>
        <v>1427</v>
      </c>
      <c r="O38" s="1"/>
      <c r="P38" s="1"/>
      <c r="Q38" s="1"/>
      <c r="R38" s="1"/>
      <c r="S38" s="1"/>
      <c r="T38" s="1"/>
    </row>
    <row r="39" spans="1:20">
      <c r="A39" s="1">
        <f>龙魂辅助表!B43</f>
        <v>1023</v>
      </c>
      <c r="B39" s="1" t="str">
        <f>龙魂辅助表!C43</f>
        <v>鱼龙</v>
      </c>
      <c r="C39" s="1">
        <f>龙魂辅助表!E43</f>
        <v>1022</v>
      </c>
      <c r="D39" s="1">
        <f>龙魂辅助表!F43</f>
        <v>23</v>
      </c>
      <c r="E39" s="1">
        <f>龙魂辅助表!G43</f>
        <v>1</v>
      </c>
      <c r="F39" s="1">
        <f>龙魂辅助表!H43</f>
        <v>1002</v>
      </c>
      <c r="G39" s="1">
        <f>VLOOKUP(F39,龙魂辅助表!$H$6:$I$96,2,FALSE)</f>
        <v>44</v>
      </c>
      <c r="H39" s="9">
        <f ca="1">龙魂辅助表!Z43</f>
        <v>224</v>
      </c>
      <c r="I39" s="1">
        <f>ROUND(龙魂辅助表!Y43*1000,0)</f>
        <v>250</v>
      </c>
      <c r="J39" s="1">
        <f t="shared" si="0"/>
        <v>2</v>
      </c>
      <c r="K39" s="1">
        <f>龙魂辅助表!AB43</f>
        <v>5</v>
      </c>
      <c r="L39" s="1">
        <f>龙魂辅助表!R43</f>
        <v>1</v>
      </c>
      <c r="M39" s="1">
        <f ca="1">VLOOKUP(龙魂辅助表!S43,[1]!属性定义,2,FALSE)</f>
        <v>1</v>
      </c>
      <c r="N39" s="1">
        <f>龙魂辅助表!T43</f>
        <v>5409</v>
      </c>
      <c r="O39" s="1"/>
      <c r="P39" s="1"/>
      <c r="Q39" s="1"/>
      <c r="R39" s="1"/>
      <c r="S39" s="1"/>
      <c r="T39" s="1"/>
    </row>
    <row r="40" spans="1:20">
      <c r="A40" s="1">
        <f>龙魂辅助表!B44</f>
        <v>1024</v>
      </c>
      <c r="B40" s="1" t="str">
        <f>龙魂辅助表!C44</f>
        <v>蟠螭</v>
      </c>
      <c r="C40" s="1">
        <f>龙魂辅助表!E44</f>
        <v>1023</v>
      </c>
      <c r="D40" s="1">
        <f>龙魂辅助表!F44</f>
        <v>24</v>
      </c>
      <c r="E40" s="1">
        <f>龙魂辅助表!G44</f>
        <v>1</v>
      </c>
      <c r="F40" s="1">
        <f>龙魂辅助表!H44</f>
        <v>1002</v>
      </c>
      <c r="G40" s="1">
        <f>VLOOKUP(F40,龙魂辅助表!$H$6:$I$96,2,FALSE)</f>
        <v>44</v>
      </c>
      <c r="H40" s="9">
        <f ca="1">龙魂辅助表!Z44</f>
        <v>226</v>
      </c>
      <c r="I40" s="1">
        <f>ROUND(龙魂辅助表!Y44*1000,0)</f>
        <v>229</v>
      </c>
      <c r="J40" s="1">
        <f t="shared" si="0"/>
        <v>3</v>
      </c>
      <c r="K40" s="1">
        <f>龙魂辅助表!AB44</f>
        <v>6</v>
      </c>
      <c r="L40" s="1">
        <f>龙魂辅助表!R44</f>
        <v>1</v>
      </c>
      <c r="M40" s="1">
        <f ca="1">VLOOKUP(龙魂辅助表!S44,[1]!属性定义,2,FALSE)</f>
        <v>2</v>
      </c>
      <c r="N40" s="1">
        <f>龙魂辅助表!T44</f>
        <v>201</v>
      </c>
      <c r="O40" s="1"/>
      <c r="P40" s="1"/>
      <c r="Q40" s="1"/>
      <c r="R40" s="1"/>
      <c r="S40" s="1"/>
      <c r="T40" s="1"/>
    </row>
    <row r="41" spans="1:20">
      <c r="A41" s="1">
        <f>龙魂辅助表!B45</f>
        <v>1025</v>
      </c>
      <c r="B41" s="1" t="str">
        <f>龙魂辅助表!C45</f>
        <v>赑屃</v>
      </c>
      <c r="C41" s="1">
        <f>龙魂辅助表!E45</f>
        <v>1024</v>
      </c>
      <c r="D41" s="1">
        <f>龙魂辅助表!F45</f>
        <v>25</v>
      </c>
      <c r="E41" s="1">
        <f>龙魂辅助表!G45</f>
        <v>1</v>
      </c>
      <c r="F41" s="1">
        <f>龙魂辅助表!H45</f>
        <v>1003</v>
      </c>
      <c r="G41" s="1">
        <f>VLOOKUP(F41,龙魂辅助表!$H$6:$I$96,2,FALSE)</f>
        <v>53</v>
      </c>
      <c r="H41" s="9">
        <f ca="1">龙魂辅助表!Z45</f>
        <v>286</v>
      </c>
      <c r="I41" s="1">
        <f>ROUND(龙魂辅助表!Y45*1000,0)</f>
        <v>429</v>
      </c>
      <c r="J41" s="1">
        <f t="shared" si="0"/>
        <v>2</v>
      </c>
      <c r="K41" s="1">
        <f>龙魂辅助表!AB45</f>
        <v>4</v>
      </c>
      <c r="L41" s="1">
        <f>龙魂辅助表!R45</f>
        <v>1</v>
      </c>
      <c r="M41" s="1">
        <f ca="1">VLOOKUP(龙魂辅助表!S45,[1]!属性定义,2,FALSE)</f>
        <v>7</v>
      </c>
      <c r="N41" s="1">
        <f>龙魂辅助表!T45</f>
        <v>808</v>
      </c>
      <c r="O41" s="1"/>
      <c r="P41" s="1"/>
      <c r="Q41" s="1"/>
      <c r="R41" s="1"/>
      <c r="S41" s="1"/>
      <c r="T41" s="1"/>
    </row>
    <row r="42" spans="1:20">
      <c r="A42" s="1">
        <f>龙魂辅助表!B46</f>
        <v>1026</v>
      </c>
      <c r="B42" s="1" t="str">
        <f>龙魂辅助表!C46</f>
        <v>鸱吻</v>
      </c>
      <c r="C42" s="1">
        <f>龙魂辅助表!E46</f>
        <v>1025</v>
      </c>
      <c r="D42" s="1">
        <f>龙魂辅助表!F46</f>
        <v>26</v>
      </c>
      <c r="E42" s="1">
        <f>龙魂辅助表!G46</f>
        <v>1</v>
      </c>
      <c r="F42" s="1">
        <f>龙魂辅助表!H46</f>
        <v>1003</v>
      </c>
      <c r="G42" s="1">
        <f>VLOOKUP(F42,龙魂辅助表!$H$6:$I$96,2,FALSE)</f>
        <v>53</v>
      </c>
      <c r="H42" s="9">
        <f ca="1">龙魂辅助表!Z46</f>
        <v>288</v>
      </c>
      <c r="I42" s="1">
        <f>ROUND(龙魂辅助表!Y46*1000,0)</f>
        <v>360</v>
      </c>
      <c r="J42" s="1">
        <f t="shared" si="0"/>
        <v>2</v>
      </c>
      <c r="K42" s="1">
        <f>龙魂辅助表!AB46</f>
        <v>4</v>
      </c>
      <c r="L42" s="1">
        <f>龙魂辅助表!R46</f>
        <v>1</v>
      </c>
      <c r="M42" s="1">
        <f ca="1">VLOOKUP(龙魂辅助表!S46,[1]!属性定义,2,FALSE)</f>
        <v>1</v>
      </c>
      <c r="N42" s="1">
        <f>龙魂辅助表!T46</f>
        <v>7979</v>
      </c>
      <c r="O42" s="1"/>
      <c r="P42" s="1"/>
      <c r="Q42" s="1"/>
      <c r="R42" s="1"/>
      <c r="S42" s="1"/>
      <c r="T42" s="1"/>
    </row>
    <row r="43" spans="1:20">
      <c r="A43" s="1">
        <f>龙魂辅助表!B47</f>
        <v>2016</v>
      </c>
      <c r="B43" s="1" t="str">
        <f>龙魂辅助表!C47</f>
        <v>蒲牢</v>
      </c>
      <c r="C43" s="1">
        <f>龙魂辅助表!E47</f>
        <v>1026</v>
      </c>
      <c r="D43" s="1">
        <f>龙魂辅助表!F47</f>
        <v>16</v>
      </c>
      <c r="E43" s="1">
        <f>龙魂辅助表!G47</f>
        <v>2</v>
      </c>
      <c r="F43" s="1">
        <f>龙魂辅助表!H47</f>
        <v>1003</v>
      </c>
      <c r="G43" s="1">
        <f>VLOOKUP(F43,龙魂辅助表!$H$6:$I$96,2,FALSE)</f>
        <v>53</v>
      </c>
      <c r="H43" s="9">
        <f ca="1">龙魂辅助表!Z47</f>
        <v>397</v>
      </c>
      <c r="I43" s="1">
        <f ca="1">ROUND(龙魂辅助表!Y47*1000,0)</f>
        <v>213</v>
      </c>
      <c r="J43" s="1">
        <f t="shared" ca="1" si="0"/>
        <v>3</v>
      </c>
      <c r="K43" s="1">
        <f ca="1">龙魂辅助表!AB47</f>
        <v>7</v>
      </c>
      <c r="L43" s="1">
        <f>龙魂辅助表!R47</f>
        <v>1</v>
      </c>
      <c r="M43" s="1">
        <f ca="1">VLOOKUP(龙魂辅助表!S47,[1]!属性定义,2,FALSE)</f>
        <v>8</v>
      </c>
      <c r="N43" s="1">
        <f>龙魂辅助表!T47</f>
        <v>1634</v>
      </c>
      <c r="O43" s="1"/>
      <c r="P43" s="1"/>
      <c r="Q43" s="1"/>
      <c r="R43" s="1"/>
      <c r="S43" s="1"/>
      <c r="T43" s="1"/>
    </row>
    <row r="44" spans="1:20">
      <c r="A44" s="1">
        <f>龙魂辅助表!B48</f>
        <v>2017</v>
      </c>
      <c r="B44" s="1" t="str">
        <f>龙魂辅助表!C48</f>
        <v>睚眦</v>
      </c>
      <c r="C44" s="1">
        <f>龙魂辅助表!E48</f>
        <v>2016</v>
      </c>
      <c r="D44" s="1">
        <f>龙魂辅助表!F48</f>
        <v>17</v>
      </c>
      <c r="E44" s="1">
        <f>龙魂辅助表!G48</f>
        <v>2</v>
      </c>
      <c r="F44" s="1">
        <f>龙魂辅助表!H48</f>
        <v>1003</v>
      </c>
      <c r="G44" s="1">
        <f>VLOOKUP(F44,龙魂辅助表!$H$6:$I$96,2,FALSE)</f>
        <v>53</v>
      </c>
      <c r="H44" s="9">
        <f ca="1">龙魂辅助表!Z48</f>
        <v>396</v>
      </c>
      <c r="I44" s="1">
        <f ca="1">ROUND(龙魂辅助表!Y48*1000,0)</f>
        <v>188</v>
      </c>
      <c r="J44" s="1">
        <f t="shared" ca="1" si="0"/>
        <v>4</v>
      </c>
      <c r="K44" s="1">
        <f ca="1">龙魂辅助表!AB48</f>
        <v>8</v>
      </c>
      <c r="L44" s="1">
        <f>龙魂辅助表!R48</f>
        <v>1</v>
      </c>
      <c r="M44" s="1">
        <f ca="1">VLOOKUP(龙魂辅助表!S48,[1]!属性定义,2,FALSE)</f>
        <v>2</v>
      </c>
      <c r="N44" s="1">
        <f>龙魂辅助表!T48</f>
        <v>451</v>
      </c>
      <c r="O44" s="1"/>
      <c r="P44" s="1"/>
      <c r="Q44" s="1"/>
      <c r="R44" s="1"/>
      <c r="S44" s="1"/>
      <c r="T44" s="1"/>
    </row>
    <row r="45" spans="1:20">
      <c r="A45" s="1">
        <f>龙魂辅助表!B49</f>
        <v>2018</v>
      </c>
      <c r="B45" s="1" t="str">
        <f>龙魂辅助表!C49</f>
        <v>饕餮</v>
      </c>
      <c r="C45" s="1">
        <f>龙魂辅助表!E49</f>
        <v>2017</v>
      </c>
      <c r="D45" s="1">
        <f>龙魂辅助表!F49</f>
        <v>18</v>
      </c>
      <c r="E45" s="1">
        <f>龙魂辅助表!G49</f>
        <v>2</v>
      </c>
      <c r="F45" s="1">
        <f>龙魂辅助表!H49</f>
        <v>1003</v>
      </c>
      <c r="G45" s="1">
        <f>VLOOKUP(F45,龙魂辅助表!$H$6:$I$96,2,FALSE)</f>
        <v>53</v>
      </c>
      <c r="H45" s="9">
        <f ca="1">龙魂辅助表!Z49</f>
        <v>405</v>
      </c>
      <c r="I45" s="1">
        <f ca="1">ROUND(龙魂辅助表!Y49*1000,0)</f>
        <v>169</v>
      </c>
      <c r="J45" s="1">
        <f t="shared" ca="1" si="0"/>
        <v>4</v>
      </c>
      <c r="K45" s="1">
        <f ca="1">龙魂辅助表!AB49</f>
        <v>8</v>
      </c>
      <c r="L45" s="1">
        <f>龙魂辅助表!R49</f>
        <v>1</v>
      </c>
      <c r="M45" s="1">
        <f ca="1">VLOOKUP(龙魂辅助表!S49,[1]!属性定义,2,FALSE)</f>
        <v>7</v>
      </c>
      <c r="N45" s="1">
        <f>龙魂辅助表!T49</f>
        <v>1281</v>
      </c>
      <c r="O45" s="1"/>
      <c r="P45" s="1"/>
      <c r="Q45" s="1"/>
      <c r="R45" s="1"/>
      <c r="S45" s="1"/>
      <c r="T45" s="1"/>
    </row>
    <row r="46" spans="1:20">
      <c r="A46" s="1">
        <f>龙魂辅助表!B50</f>
        <v>2019</v>
      </c>
      <c r="B46" s="1" t="str">
        <f>龙魂辅助表!C50</f>
        <v>蚣蝮</v>
      </c>
      <c r="C46" s="1">
        <f>龙魂辅助表!E50</f>
        <v>2018</v>
      </c>
      <c r="D46" s="1">
        <f>龙魂辅助表!F50</f>
        <v>19</v>
      </c>
      <c r="E46" s="1">
        <f>龙魂辅助表!G50</f>
        <v>2</v>
      </c>
      <c r="F46" s="1">
        <f>龙魂辅助表!H50</f>
        <v>1003</v>
      </c>
      <c r="G46" s="1">
        <f>VLOOKUP(F46,龙魂辅助表!$H$6:$I$96,2,FALSE)</f>
        <v>53</v>
      </c>
      <c r="H46" s="9">
        <f ca="1">龙魂辅助表!Z50</f>
        <v>462</v>
      </c>
      <c r="I46" s="1">
        <f ca="1">ROUND(龙魂辅助表!Y50*1000,0)</f>
        <v>153</v>
      </c>
      <c r="J46" s="1">
        <f t="shared" ca="1" si="0"/>
        <v>4</v>
      </c>
      <c r="K46" s="1">
        <f ca="1">龙魂辅助表!AB50</f>
        <v>9</v>
      </c>
      <c r="L46" s="1">
        <f>龙魂辅助表!R50</f>
        <v>1</v>
      </c>
      <c r="M46" s="1">
        <f ca="1">VLOOKUP(龙魂辅助表!S50,[1]!属性定义,2,FALSE)</f>
        <v>1</v>
      </c>
      <c r="N46" s="1">
        <f>龙魂辅助表!T50</f>
        <v>12644</v>
      </c>
      <c r="O46" s="1"/>
      <c r="P46" s="1"/>
      <c r="Q46" s="1"/>
      <c r="R46" s="1"/>
      <c r="S46" s="1"/>
      <c r="T46" s="1"/>
    </row>
    <row r="47" spans="1:20">
      <c r="A47" s="1">
        <f>龙魂辅助表!B51</f>
        <v>1027</v>
      </c>
      <c r="B47" s="1" t="str">
        <f>龙魂辅助表!C51</f>
        <v>狴犴</v>
      </c>
      <c r="C47" s="1">
        <f>龙魂辅助表!E51</f>
        <v>1026</v>
      </c>
      <c r="D47" s="1">
        <f>龙魂辅助表!F51</f>
        <v>27</v>
      </c>
      <c r="E47" s="1">
        <f>龙魂辅助表!G51</f>
        <v>1</v>
      </c>
      <c r="F47" s="1">
        <f>龙魂辅助表!H51</f>
        <v>1003</v>
      </c>
      <c r="G47" s="1">
        <f>VLOOKUP(F47,龙魂辅助表!$H$6:$I$96,2,FALSE)</f>
        <v>53</v>
      </c>
      <c r="H47" s="9">
        <f ca="1">龙魂辅助表!Z51</f>
        <v>295</v>
      </c>
      <c r="I47" s="1">
        <f>ROUND(龙魂辅助表!Y51*1000,0)</f>
        <v>310</v>
      </c>
      <c r="J47" s="1">
        <f t="shared" si="0"/>
        <v>2</v>
      </c>
      <c r="K47" s="1">
        <f>龙魂辅助表!AB51</f>
        <v>5</v>
      </c>
      <c r="L47" s="1">
        <f>龙魂辅助表!R51</f>
        <v>1</v>
      </c>
      <c r="M47" s="1">
        <f ca="1">VLOOKUP(龙魂辅助表!S51,[1]!属性定义,2,FALSE)</f>
        <v>2</v>
      </c>
      <c r="N47" s="1">
        <f>龙魂辅助表!T51</f>
        <v>313</v>
      </c>
      <c r="O47" s="1"/>
      <c r="P47" s="1"/>
      <c r="Q47" s="1"/>
      <c r="R47" s="1"/>
      <c r="S47" s="1"/>
      <c r="T47" s="1"/>
    </row>
    <row r="48" spans="1:20">
      <c r="A48" s="1">
        <f>龙魂辅助表!B52</f>
        <v>1028</v>
      </c>
      <c r="B48" s="1" t="str">
        <f>龙魂辅助表!C52</f>
        <v>狻猊</v>
      </c>
      <c r="C48" s="1">
        <f>龙魂辅助表!E52</f>
        <v>1027</v>
      </c>
      <c r="D48" s="1">
        <f>龙魂辅助表!F52</f>
        <v>28</v>
      </c>
      <c r="E48" s="1">
        <f>龙魂辅助表!G52</f>
        <v>1</v>
      </c>
      <c r="F48" s="1">
        <f>龙魂辅助表!H52</f>
        <v>1003</v>
      </c>
      <c r="G48" s="1">
        <f>VLOOKUP(F48,龙魂辅助表!$H$6:$I$96,2,FALSE)</f>
        <v>53</v>
      </c>
      <c r="H48" s="9">
        <f ca="1">龙魂辅助表!Z52</f>
        <v>305</v>
      </c>
      <c r="I48" s="1">
        <f>ROUND(龙魂辅助表!Y52*1000,0)</f>
        <v>273</v>
      </c>
      <c r="J48" s="1">
        <f t="shared" si="0"/>
        <v>2</v>
      </c>
      <c r="K48" s="1">
        <f>龙魂辅助表!AB52</f>
        <v>5</v>
      </c>
      <c r="L48" s="1">
        <f>龙魂辅助表!R52</f>
        <v>1</v>
      </c>
      <c r="M48" s="1">
        <f ca="1">VLOOKUP(龙魂辅助表!S52,[1]!属性定义,2,FALSE)</f>
        <v>3</v>
      </c>
      <c r="N48" s="1">
        <f>龙魂辅助表!T52</f>
        <v>315</v>
      </c>
      <c r="O48" s="1"/>
      <c r="P48" s="1"/>
      <c r="Q48" s="1"/>
      <c r="R48" s="1"/>
      <c r="S48" s="1"/>
      <c r="T48" s="1"/>
    </row>
    <row r="49" spans="1:20">
      <c r="A49" s="1">
        <f>龙魂辅助表!B53</f>
        <v>2020</v>
      </c>
      <c r="B49" s="1" t="str">
        <f>龙魂辅助表!C53</f>
        <v>椒图</v>
      </c>
      <c r="C49" s="1">
        <f>龙魂辅助表!E53</f>
        <v>1028</v>
      </c>
      <c r="D49" s="1">
        <f>龙魂辅助表!F53</f>
        <v>20</v>
      </c>
      <c r="E49" s="1">
        <f>龙魂辅助表!G53</f>
        <v>2</v>
      </c>
      <c r="F49" s="1">
        <f>龙魂辅助表!H53</f>
        <v>1003</v>
      </c>
      <c r="G49" s="1">
        <f>VLOOKUP(F49,龙魂辅助表!$H$6:$I$96,2,FALSE)</f>
        <v>53</v>
      </c>
      <c r="H49" s="9">
        <f ca="1">龙魂辅助表!Z53</f>
        <v>396</v>
      </c>
      <c r="I49" s="1">
        <f ca="1">ROUND(龙魂辅助表!Y53*1000,0)</f>
        <v>169</v>
      </c>
      <c r="J49" s="1">
        <f t="shared" ca="1" si="0"/>
        <v>4</v>
      </c>
      <c r="K49" s="1">
        <f ca="1">龙魂辅助表!AB53</f>
        <v>8</v>
      </c>
      <c r="L49" s="1">
        <f>龙魂辅助表!R53</f>
        <v>1</v>
      </c>
      <c r="M49" s="1">
        <f ca="1">VLOOKUP(龙魂辅助表!S53,[1]!属性定义,2,FALSE)</f>
        <v>6</v>
      </c>
      <c r="N49" s="1">
        <f>龙魂辅助表!T53</f>
        <v>1235</v>
      </c>
      <c r="O49" s="1"/>
      <c r="P49" s="1"/>
      <c r="Q49" s="1"/>
      <c r="R49" s="1"/>
      <c r="S49" s="1"/>
      <c r="T49" s="1"/>
    </row>
    <row r="50" spans="1:20">
      <c r="A50" s="1">
        <f>龙魂辅助表!B54</f>
        <v>2021</v>
      </c>
      <c r="B50" s="1" t="str">
        <f>龙魂辅助表!C54</f>
        <v>貔貅</v>
      </c>
      <c r="C50" s="1">
        <f>龙魂辅助表!E54</f>
        <v>2020</v>
      </c>
      <c r="D50" s="1">
        <f>龙魂辅助表!F54</f>
        <v>21</v>
      </c>
      <c r="E50" s="1">
        <f>龙魂辅助表!G54</f>
        <v>2</v>
      </c>
      <c r="F50" s="1">
        <f>龙魂辅助表!H54</f>
        <v>1003</v>
      </c>
      <c r="G50" s="1">
        <f>VLOOKUP(F50,龙魂辅助表!$H$6:$I$96,2,FALSE)</f>
        <v>53</v>
      </c>
      <c r="H50" s="9">
        <f ca="1">龙魂辅助表!Z54</f>
        <v>436</v>
      </c>
      <c r="I50" s="1">
        <f ca="1">ROUND(龙魂辅助表!Y54*1000,0)</f>
        <v>153</v>
      </c>
      <c r="J50" s="1">
        <f t="shared" ca="1" si="0"/>
        <v>4</v>
      </c>
      <c r="K50" s="1">
        <f ca="1">龙魂辅助表!AB54</f>
        <v>9</v>
      </c>
      <c r="L50" s="1">
        <f>龙魂辅助表!R54</f>
        <v>1</v>
      </c>
      <c r="M50" s="1">
        <f ca="1">VLOOKUP(龙魂辅助表!S54,[1]!属性定义,2,FALSE)</f>
        <v>2</v>
      </c>
      <c r="N50" s="1">
        <f>龙魂辅助表!T54</f>
        <v>488</v>
      </c>
      <c r="O50" s="1"/>
      <c r="P50" s="1"/>
      <c r="Q50" s="1"/>
      <c r="R50" s="1"/>
      <c r="S50" s="1"/>
      <c r="T50" s="1"/>
    </row>
    <row r="51" spans="1:20">
      <c r="A51" s="1">
        <f>龙魂辅助表!B55</f>
        <v>2022</v>
      </c>
      <c r="B51" s="1" t="str">
        <f>龙魂辅助表!C55</f>
        <v>犼</v>
      </c>
      <c r="C51" s="1">
        <f>龙魂辅助表!E55</f>
        <v>2021</v>
      </c>
      <c r="D51" s="1">
        <f>龙魂辅助表!F55</f>
        <v>22</v>
      </c>
      <c r="E51" s="1">
        <f>龙魂辅助表!G55</f>
        <v>2</v>
      </c>
      <c r="F51" s="1">
        <f>龙魂辅助表!H55</f>
        <v>1003</v>
      </c>
      <c r="G51" s="1">
        <f>VLOOKUP(F51,龙魂辅助表!$H$6:$I$96,2,FALSE)</f>
        <v>53</v>
      </c>
      <c r="H51" s="9">
        <f ca="1">龙魂辅助表!Z55</f>
        <v>462</v>
      </c>
      <c r="I51" s="1">
        <f ca="1">ROUND(龙魂辅助表!Y55*1000,0)</f>
        <v>140</v>
      </c>
      <c r="J51" s="1">
        <f t="shared" ca="1" si="0"/>
        <v>5</v>
      </c>
      <c r="K51" s="1">
        <f ca="1">龙魂辅助表!AB55</f>
        <v>10</v>
      </c>
      <c r="L51" s="1">
        <f>龙魂辅助表!R55</f>
        <v>1</v>
      </c>
      <c r="M51" s="1">
        <f ca="1">VLOOKUP(龙魂辅助表!S55,[1]!属性定义,2,FALSE)</f>
        <v>1</v>
      </c>
      <c r="N51" s="1">
        <f>龙魂辅助表!T55</f>
        <v>13486</v>
      </c>
      <c r="O51" s="1"/>
      <c r="P51" s="1"/>
      <c r="Q51" s="1"/>
      <c r="R51" s="1"/>
      <c r="S51" s="1"/>
      <c r="T51" s="1"/>
    </row>
    <row r="52" spans="1:20">
      <c r="A52" s="1">
        <f>龙魂辅助表!B56</f>
        <v>2023</v>
      </c>
      <c r="B52" s="1" t="str">
        <f>龙魂辅助表!C56</f>
        <v>螭</v>
      </c>
      <c r="C52" s="1">
        <f>龙魂辅助表!E56</f>
        <v>2022</v>
      </c>
      <c r="D52" s="1">
        <f>龙魂辅助表!F56</f>
        <v>23</v>
      </c>
      <c r="E52" s="1">
        <f>龙魂辅助表!G56</f>
        <v>2</v>
      </c>
      <c r="F52" s="1">
        <f>龙魂辅助表!H56</f>
        <v>1003</v>
      </c>
      <c r="G52" s="1">
        <f>VLOOKUP(F52,龙魂辅助表!$H$6:$I$96,2,FALSE)</f>
        <v>53</v>
      </c>
      <c r="H52" s="9">
        <f ca="1">龙魂辅助表!Z56</f>
        <v>474</v>
      </c>
      <c r="I52" s="1">
        <f ca="1">ROUND(龙魂辅助表!Y56*1000,0)</f>
        <v>129</v>
      </c>
      <c r="J52" s="1">
        <f t="shared" ca="1" si="0"/>
        <v>5</v>
      </c>
      <c r="K52" s="1">
        <f ca="1">龙魂辅助表!AB56</f>
        <v>10</v>
      </c>
      <c r="L52" s="1">
        <f>龙魂辅助表!R56</f>
        <v>1</v>
      </c>
      <c r="M52" s="1">
        <f ca="1">VLOOKUP(龙魂辅助表!S56,[1]!属性定义,2,FALSE)</f>
        <v>3</v>
      </c>
      <c r="N52" s="1">
        <f>龙魂辅助表!T56</f>
        <v>496</v>
      </c>
      <c r="O52" s="1"/>
      <c r="P52" s="1"/>
      <c r="Q52" s="1"/>
      <c r="R52" s="1"/>
      <c r="S52" s="1"/>
      <c r="T52" s="1"/>
    </row>
    <row r="53" spans="1:20">
      <c r="A53" s="1">
        <f>龙魂辅助表!B57</f>
        <v>1029</v>
      </c>
      <c r="B53" s="1" t="str">
        <f>龙魂辅助表!C57</f>
        <v>麒麟</v>
      </c>
      <c r="C53" s="1">
        <f>龙魂辅助表!E57</f>
        <v>1028</v>
      </c>
      <c r="D53" s="1">
        <f>龙魂辅助表!F57</f>
        <v>29</v>
      </c>
      <c r="E53" s="1">
        <f>龙魂辅助表!G57</f>
        <v>1</v>
      </c>
      <c r="F53" s="1">
        <f>龙魂辅助表!H57</f>
        <v>1003</v>
      </c>
      <c r="G53" s="1">
        <f>VLOOKUP(F53,龙魂辅助表!$H$6:$I$96,2,FALSE)</f>
        <v>53</v>
      </c>
      <c r="H53" s="9">
        <f ca="1">龙魂辅助表!Z57</f>
        <v>312</v>
      </c>
      <c r="I53" s="1">
        <f>ROUND(龙魂辅助表!Y57*1000,0)</f>
        <v>243</v>
      </c>
      <c r="J53" s="1">
        <f t="shared" si="0"/>
        <v>3</v>
      </c>
      <c r="K53" s="1">
        <f>龙魂辅助表!AB57</f>
        <v>6</v>
      </c>
      <c r="L53" s="1">
        <f>龙魂辅助表!R57</f>
        <v>1</v>
      </c>
      <c r="M53" s="1">
        <f ca="1">VLOOKUP(龙魂辅助表!S57,[1]!属性定义,2,FALSE)</f>
        <v>1</v>
      </c>
      <c r="N53" s="1">
        <f>龙魂辅助表!T57</f>
        <v>9216</v>
      </c>
      <c r="O53" s="1"/>
      <c r="P53" s="1"/>
      <c r="Q53" s="1"/>
      <c r="R53" s="1"/>
      <c r="S53" s="1"/>
      <c r="T53" s="1"/>
    </row>
    <row r="54" spans="1:20">
      <c r="A54" s="1">
        <f>龙魂辅助表!B58</f>
        <v>1030</v>
      </c>
      <c r="B54" s="1" t="str">
        <f>龙魂辅助表!C58</f>
        <v>鱼龙</v>
      </c>
      <c r="C54" s="1">
        <f>龙魂辅助表!E58</f>
        <v>1029</v>
      </c>
      <c r="D54" s="1">
        <f>龙魂辅助表!F58</f>
        <v>30</v>
      </c>
      <c r="E54" s="1">
        <f>龙魂辅助表!G58</f>
        <v>1</v>
      </c>
      <c r="F54" s="1">
        <f>龙魂辅助表!H58</f>
        <v>1003</v>
      </c>
      <c r="G54" s="1">
        <f>VLOOKUP(F54,龙魂辅助表!$H$6:$I$96,2,FALSE)</f>
        <v>53</v>
      </c>
      <c r="H54" s="9">
        <f ca="1">龙魂辅助表!Z58</f>
        <v>317</v>
      </c>
      <c r="I54" s="1">
        <f>ROUND(龙魂辅助表!Y58*1000,0)</f>
        <v>220</v>
      </c>
      <c r="J54" s="1">
        <f t="shared" si="0"/>
        <v>3</v>
      </c>
      <c r="K54" s="1">
        <f>龙魂辅助表!AB58</f>
        <v>6</v>
      </c>
      <c r="L54" s="1">
        <f>龙魂辅助表!R58</f>
        <v>1</v>
      </c>
      <c r="M54" s="1">
        <f ca="1">VLOOKUP(龙魂辅助表!S58,[1]!属性定义,2,FALSE)</f>
        <v>8</v>
      </c>
      <c r="N54" s="1">
        <f>龙魂辅助表!T58</f>
        <v>1256</v>
      </c>
      <c r="O54" s="1"/>
      <c r="P54" s="1"/>
      <c r="Q54" s="1"/>
      <c r="R54" s="1"/>
      <c r="S54" s="1"/>
      <c r="T54" s="1"/>
    </row>
    <row r="55" spans="1:20">
      <c r="A55" s="1">
        <f>龙魂辅助表!B59</f>
        <v>1031</v>
      </c>
      <c r="B55" s="1" t="str">
        <f>龙魂辅助表!C59</f>
        <v>蟠螭</v>
      </c>
      <c r="C55" s="1">
        <f>龙魂辅助表!E59</f>
        <v>1030</v>
      </c>
      <c r="D55" s="1">
        <f>龙魂辅助表!F59</f>
        <v>31</v>
      </c>
      <c r="E55" s="1">
        <f>龙魂辅助表!G59</f>
        <v>1</v>
      </c>
      <c r="F55" s="1">
        <f>龙魂辅助表!H59</f>
        <v>1003</v>
      </c>
      <c r="G55" s="1">
        <f>VLOOKUP(F55,龙魂辅助表!$H$6:$I$96,2,FALSE)</f>
        <v>53</v>
      </c>
      <c r="H55" s="9">
        <f ca="1">龙魂辅助表!Z59</f>
        <v>322</v>
      </c>
      <c r="I55" s="1">
        <f>ROUND(龙魂辅助表!Y59*1000,0)</f>
        <v>200</v>
      </c>
      <c r="J55" s="1">
        <f t="shared" si="0"/>
        <v>3</v>
      </c>
      <c r="K55" s="1">
        <f>龙魂辅助表!AB59</f>
        <v>6</v>
      </c>
      <c r="L55" s="1">
        <f>龙魂辅助表!R59</f>
        <v>1</v>
      </c>
      <c r="M55" s="1">
        <f ca="1">VLOOKUP(龙魂辅助表!S59,[1]!属性定义,2,FALSE)</f>
        <v>6</v>
      </c>
      <c r="N55" s="1">
        <f>龙魂辅助表!T59</f>
        <v>886</v>
      </c>
      <c r="O55" s="1"/>
      <c r="P55" s="1"/>
      <c r="Q55" s="1"/>
      <c r="R55" s="1"/>
      <c r="S55" s="1"/>
      <c r="T55" s="1"/>
    </row>
    <row r="56" spans="1:20">
      <c r="A56" s="1">
        <f>龙魂辅助表!B60</f>
        <v>1032</v>
      </c>
      <c r="B56" s="1" t="str">
        <f>龙魂辅助表!C60</f>
        <v>蛟龙</v>
      </c>
      <c r="C56" s="1">
        <f>龙魂辅助表!E60</f>
        <v>1031</v>
      </c>
      <c r="D56" s="1">
        <f>龙魂辅助表!F60</f>
        <v>32</v>
      </c>
      <c r="E56" s="1">
        <f>龙魂辅助表!G60</f>
        <v>1</v>
      </c>
      <c r="F56" s="1">
        <f>龙魂辅助表!H60</f>
        <v>1003</v>
      </c>
      <c r="G56" s="1">
        <f>VLOOKUP(F56,龙魂辅助表!$H$6:$I$96,2,FALSE)</f>
        <v>53</v>
      </c>
      <c r="H56" s="9">
        <f ca="1">龙魂辅助表!Z60</f>
        <v>332</v>
      </c>
      <c r="I56" s="1">
        <f>ROUND(龙魂辅助表!Y60*1000,0)</f>
        <v>184</v>
      </c>
      <c r="J56" s="1">
        <f t="shared" si="0"/>
        <v>3</v>
      </c>
      <c r="K56" s="1">
        <f>龙魂辅助表!AB60</f>
        <v>7</v>
      </c>
      <c r="L56" s="1">
        <f>龙魂辅助表!R60</f>
        <v>1</v>
      </c>
      <c r="M56" s="1">
        <f ca="1">VLOOKUP(龙魂辅助表!S60,[1]!属性定义,2,FALSE)</f>
        <v>1</v>
      </c>
      <c r="N56" s="1">
        <f>龙魂辅助表!T60</f>
        <v>9553</v>
      </c>
      <c r="O56" s="1"/>
      <c r="P56" s="1"/>
      <c r="Q56" s="1"/>
      <c r="R56" s="1"/>
      <c r="S56" s="1"/>
      <c r="T56" s="1"/>
    </row>
    <row r="57" spans="1:20">
      <c r="A57" s="1">
        <f>龙魂辅助表!B61</f>
        <v>1033</v>
      </c>
      <c r="B57" s="1" t="str">
        <f>龙魂辅助表!C61</f>
        <v>角龙</v>
      </c>
      <c r="C57" s="1">
        <f>龙魂辅助表!E61</f>
        <v>1032</v>
      </c>
      <c r="D57" s="1">
        <f>龙魂辅助表!F61</f>
        <v>33</v>
      </c>
      <c r="E57" s="1">
        <f>龙魂辅助表!G61</f>
        <v>1</v>
      </c>
      <c r="F57" s="1">
        <f>龙魂辅助表!H61</f>
        <v>1003</v>
      </c>
      <c r="G57" s="1">
        <f>VLOOKUP(F57,龙魂辅助表!$H$6:$I$96,2,FALSE)</f>
        <v>53</v>
      </c>
      <c r="H57" s="9">
        <f ca="1">龙魂辅助表!Z61</f>
        <v>339</v>
      </c>
      <c r="I57" s="1">
        <f>ROUND(龙魂辅助表!Y61*1000,0)</f>
        <v>170</v>
      </c>
      <c r="J57" s="1">
        <f t="shared" si="0"/>
        <v>3</v>
      </c>
      <c r="K57" s="1">
        <f>龙魂辅助表!AB61</f>
        <v>7</v>
      </c>
      <c r="L57" s="1">
        <f>龙魂辅助表!R61</f>
        <v>1</v>
      </c>
      <c r="M57" s="1">
        <f ca="1">VLOOKUP(龙魂辅助表!S61,[1]!属性定义,2,FALSE)</f>
        <v>9</v>
      </c>
      <c r="N57" s="1">
        <f>龙魂辅助表!T61</f>
        <v>1462</v>
      </c>
      <c r="O57" s="1"/>
      <c r="P57" s="1"/>
      <c r="Q57" s="1"/>
      <c r="R57" s="1"/>
      <c r="S57" s="1"/>
      <c r="T57" s="1"/>
    </row>
    <row r="58" spans="1:20">
      <c r="A58" s="1">
        <f>龙魂辅助表!B62</f>
        <v>1034</v>
      </c>
      <c r="B58" s="1" t="str">
        <f>龙魂辅助表!C62</f>
        <v>应龙</v>
      </c>
      <c r="C58" s="1">
        <f>龙魂辅助表!E62</f>
        <v>1033</v>
      </c>
      <c r="D58" s="1">
        <f>龙魂辅助表!F62</f>
        <v>34</v>
      </c>
      <c r="E58" s="1">
        <f>龙魂辅助表!G62</f>
        <v>1</v>
      </c>
      <c r="F58" s="1">
        <f>龙魂辅助表!H62</f>
        <v>1004</v>
      </c>
      <c r="G58" s="1">
        <f>VLOOKUP(F58,龙魂辅助表!$H$6:$I$96,2,FALSE)</f>
        <v>63</v>
      </c>
      <c r="H58" s="9">
        <f ca="1">龙魂辅助表!Z62</f>
        <v>456</v>
      </c>
      <c r="I58" s="1">
        <f>ROUND(龙魂辅助表!Y62*1000,0)</f>
        <v>333</v>
      </c>
      <c r="J58" s="1">
        <f t="shared" si="0"/>
        <v>2</v>
      </c>
      <c r="K58" s="1">
        <f>龙魂辅助表!AB62</f>
        <v>4</v>
      </c>
      <c r="L58" s="1">
        <f>龙魂辅助表!R62</f>
        <v>1</v>
      </c>
      <c r="M58" s="1">
        <f ca="1">VLOOKUP(龙魂辅助表!S62,[1]!属性定义,2,FALSE)</f>
        <v>2</v>
      </c>
      <c r="N58" s="1">
        <f>龙魂辅助表!T62</f>
        <v>481</v>
      </c>
      <c r="O58" s="1"/>
      <c r="P58" s="1"/>
      <c r="Q58" s="1"/>
      <c r="R58" s="1"/>
      <c r="S58" s="1"/>
      <c r="T58" s="1"/>
    </row>
    <row r="59" spans="1:20">
      <c r="A59" s="1">
        <f>龙魂辅助表!B63</f>
        <v>1035</v>
      </c>
      <c r="B59" s="1" t="str">
        <f>龙魂辅助表!C63</f>
        <v>赑屃</v>
      </c>
      <c r="C59" s="1">
        <f>龙魂辅助表!E63</f>
        <v>1034</v>
      </c>
      <c r="D59" s="1">
        <f>龙魂辅助表!F63</f>
        <v>35</v>
      </c>
      <c r="E59" s="1">
        <f>龙魂辅助表!G63</f>
        <v>1</v>
      </c>
      <c r="F59" s="1">
        <f>龙魂辅助表!H63</f>
        <v>1004</v>
      </c>
      <c r="G59" s="1">
        <f>VLOOKUP(F59,龙魂辅助表!$H$6:$I$96,2,FALSE)</f>
        <v>63</v>
      </c>
      <c r="H59" s="9">
        <f ca="1">龙魂辅助表!Z63</f>
        <v>482</v>
      </c>
      <c r="I59" s="1">
        <f>ROUND(龙魂辅助表!Y63*1000,0)</f>
        <v>286</v>
      </c>
      <c r="J59" s="1">
        <f t="shared" si="0"/>
        <v>2</v>
      </c>
      <c r="K59" s="1">
        <f>龙魂辅助表!AB63</f>
        <v>5</v>
      </c>
      <c r="L59" s="1">
        <f>龙魂辅助表!R63</f>
        <v>1</v>
      </c>
      <c r="M59" s="1">
        <f ca="1">VLOOKUP(龙魂辅助表!S63,[1]!属性定义,2,FALSE)</f>
        <v>1</v>
      </c>
      <c r="N59" s="1">
        <f>龙魂辅助表!T63</f>
        <v>13276</v>
      </c>
      <c r="O59" s="1"/>
      <c r="P59" s="1"/>
      <c r="Q59" s="1"/>
      <c r="R59" s="1"/>
      <c r="S59" s="1"/>
      <c r="T59" s="1"/>
    </row>
    <row r="60" spans="1:20">
      <c r="A60" s="1">
        <f>龙魂辅助表!B64</f>
        <v>1036</v>
      </c>
      <c r="B60" s="1" t="str">
        <f>龙魂辅助表!C64</f>
        <v>鸱吻</v>
      </c>
      <c r="C60" s="1">
        <f>龙魂辅助表!E64</f>
        <v>1035</v>
      </c>
      <c r="D60" s="1">
        <f>龙魂辅助表!F64</f>
        <v>36</v>
      </c>
      <c r="E60" s="1">
        <f>龙魂辅助表!G64</f>
        <v>1</v>
      </c>
      <c r="F60" s="1">
        <f>龙魂辅助表!H64</f>
        <v>1004</v>
      </c>
      <c r="G60" s="1">
        <f>VLOOKUP(F60,龙魂辅助表!$H$6:$I$96,2,FALSE)</f>
        <v>63</v>
      </c>
      <c r="H60" s="9">
        <f ca="1">龙魂辅助表!Z64</f>
        <v>483</v>
      </c>
      <c r="I60" s="1">
        <f>ROUND(龙魂辅助表!Y64*1000,0)</f>
        <v>250</v>
      </c>
      <c r="J60" s="1">
        <f t="shared" si="0"/>
        <v>2</v>
      </c>
      <c r="K60" s="1">
        <f>龙魂辅助表!AB64</f>
        <v>5</v>
      </c>
      <c r="L60" s="1">
        <f>龙魂辅助表!R64</f>
        <v>1</v>
      </c>
      <c r="M60" s="1">
        <f ca="1">VLOOKUP(龙魂辅助表!S64,[1]!属性定义,2,FALSE)</f>
        <v>3</v>
      </c>
      <c r="N60" s="1">
        <f>龙魂辅助表!T64</f>
        <v>488</v>
      </c>
      <c r="O60" s="1"/>
      <c r="P60" s="1"/>
      <c r="Q60" s="1"/>
      <c r="R60" s="1"/>
      <c r="S60" s="1"/>
      <c r="T60" s="1"/>
    </row>
    <row r="61" spans="1:20">
      <c r="A61" s="1">
        <f>龙魂辅助表!B65</f>
        <v>2024</v>
      </c>
      <c r="B61" s="1" t="str">
        <f>龙魂辅助表!C65</f>
        <v>蒲牢</v>
      </c>
      <c r="C61" s="1">
        <f>龙魂辅助表!E65</f>
        <v>1036</v>
      </c>
      <c r="D61" s="1">
        <f>龙魂辅助表!F65</f>
        <v>24</v>
      </c>
      <c r="E61" s="1">
        <f>龙魂辅助表!G65</f>
        <v>2</v>
      </c>
      <c r="F61" s="1">
        <f>龙魂辅助表!H65</f>
        <v>1004</v>
      </c>
      <c r="G61" s="1">
        <f>VLOOKUP(F61,龙魂辅助表!$H$6:$I$96,2,FALSE)</f>
        <v>63</v>
      </c>
      <c r="H61" s="9">
        <f ca="1">龙魂辅助表!Z65</f>
        <v>689</v>
      </c>
      <c r="I61" s="1">
        <f ca="1">ROUND(龙魂辅助表!Y65*1000,0)</f>
        <v>158</v>
      </c>
      <c r="J61" s="1">
        <f t="shared" ca="1" si="0"/>
        <v>4</v>
      </c>
      <c r="K61" s="1">
        <f ca="1">龙魂辅助表!AB65</f>
        <v>9</v>
      </c>
      <c r="L61" s="1">
        <f>龙魂辅助表!R65</f>
        <v>1</v>
      </c>
      <c r="M61" s="1">
        <f ca="1">VLOOKUP(龙魂辅助表!S65,[1]!属性定义,2,FALSE)</f>
        <v>9</v>
      </c>
      <c r="N61" s="1">
        <f>龙魂辅助表!T65</f>
        <v>3087</v>
      </c>
      <c r="O61" s="1"/>
      <c r="P61" s="1"/>
      <c r="Q61" s="1"/>
      <c r="R61" s="1"/>
      <c r="S61" s="1"/>
      <c r="T61" s="1"/>
    </row>
    <row r="62" spans="1:20">
      <c r="A62" s="1">
        <f>龙魂辅助表!B66</f>
        <v>2025</v>
      </c>
      <c r="B62" s="1" t="str">
        <f>龙魂辅助表!C66</f>
        <v>睚眦</v>
      </c>
      <c r="C62" s="1">
        <f>龙魂辅助表!E66</f>
        <v>2024</v>
      </c>
      <c r="D62" s="1">
        <f>龙魂辅助表!F66</f>
        <v>25</v>
      </c>
      <c r="E62" s="1">
        <f>龙魂辅助表!G66</f>
        <v>2</v>
      </c>
      <c r="F62" s="1">
        <f>龙魂辅助表!H66</f>
        <v>1004</v>
      </c>
      <c r="G62" s="1">
        <f>VLOOKUP(F62,龙魂辅助表!$H$6:$I$96,2,FALSE)</f>
        <v>63</v>
      </c>
      <c r="H62" s="9">
        <f ca="1">龙魂辅助表!Z66</f>
        <v>689</v>
      </c>
      <c r="I62" s="1">
        <f ca="1">ROUND(龙魂辅助表!Y66*1000,0)</f>
        <v>143</v>
      </c>
      <c r="J62" s="1">
        <f t="shared" ca="1" si="0"/>
        <v>4</v>
      </c>
      <c r="K62" s="1">
        <f ca="1">龙魂辅助表!AB66</f>
        <v>9</v>
      </c>
      <c r="L62" s="1">
        <f>龙魂辅助表!R66</f>
        <v>1</v>
      </c>
      <c r="M62" s="1">
        <f ca="1">VLOOKUP(龙魂辅助表!S66,[1]!属性定义,2,FALSE)</f>
        <v>2</v>
      </c>
      <c r="N62" s="1">
        <f>龙魂辅助表!T66</f>
        <v>757</v>
      </c>
      <c r="O62" s="1"/>
      <c r="P62" s="1"/>
      <c r="Q62" s="1"/>
      <c r="R62" s="1"/>
      <c r="S62" s="1"/>
      <c r="T62" s="1"/>
    </row>
    <row r="63" spans="1:20">
      <c r="A63" s="1">
        <f>龙魂辅助表!B67</f>
        <v>2026</v>
      </c>
      <c r="B63" s="1" t="str">
        <f>龙魂辅助表!C67</f>
        <v>饕餮</v>
      </c>
      <c r="C63" s="1">
        <f>龙魂辅助表!E67</f>
        <v>1036</v>
      </c>
      <c r="D63" s="1">
        <f>龙魂辅助表!F67</f>
        <v>26</v>
      </c>
      <c r="E63" s="1">
        <f>龙魂辅助表!G67</f>
        <v>2</v>
      </c>
      <c r="F63" s="1">
        <f>龙魂辅助表!H67</f>
        <v>1004</v>
      </c>
      <c r="G63" s="1">
        <f>VLOOKUP(F63,龙魂辅助表!$H$6:$I$96,2,FALSE)</f>
        <v>63</v>
      </c>
      <c r="H63" s="9">
        <f ca="1">龙魂辅助表!Z67</f>
        <v>689</v>
      </c>
      <c r="I63" s="1">
        <f ca="1">ROUND(龙魂辅助表!Y67*1000,0)</f>
        <v>158</v>
      </c>
      <c r="J63" s="1">
        <f t="shared" ca="1" si="0"/>
        <v>4</v>
      </c>
      <c r="K63" s="1">
        <f ca="1">龙魂辅助表!AB67</f>
        <v>9</v>
      </c>
      <c r="L63" s="1">
        <f>龙魂辅助表!R67</f>
        <v>1</v>
      </c>
      <c r="M63" s="1">
        <f ca="1">VLOOKUP(龙魂辅助表!S67,[1]!属性定义,2,FALSE)</f>
        <v>7</v>
      </c>
      <c r="N63" s="1">
        <f>龙魂辅助表!T67</f>
        <v>2146</v>
      </c>
      <c r="O63" s="1"/>
      <c r="P63" s="1"/>
      <c r="Q63" s="1"/>
      <c r="R63" s="1"/>
      <c r="S63" s="1"/>
      <c r="T63" s="1"/>
    </row>
    <row r="64" spans="1:20">
      <c r="A64" s="1">
        <f>龙魂辅助表!B68</f>
        <v>2027</v>
      </c>
      <c r="B64" s="1" t="str">
        <f>龙魂辅助表!C68</f>
        <v>蚣蝮</v>
      </c>
      <c r="C64" s="1">
        <f>龙魂辅助表!E68</f>
        <v>2026</v>
      </c>
      <c r="D64" s="1">
        <f>龙魂辅助表!F68</f>
        <v>27</v>
      </c>
      <c r="E64" s="1">
        <f>龙魂辅助表!G68</f>
        <v>2</v>
      </c>
      <c r="F64" s="1">
        <f>龙魂辅助表!H68</f>
        <v>1004</v>
      </c>
      <c r="G64" s="1">
        <f>VLOOKUP(F64,龙魂辅助表!$H$6:$I$96,2,FALSE)</f>
        <v>63</v>
      </c>
      <c r="H64" s="9">
        <f ca="1">龙魂辅助表!Z68</f>
        <v>689</v>
      </c>
      <c r="I64" s="1">
        <f ca="1">ROUND(龙魂辅助表!Y68*1000,0)</f>
        <v>143</v>
      </c>
      <c r="J64" s="1">
        <f t="shared" ca="1" si="0"/>
        <v>4</v>
      </c>
      <c r="K64" s="1">
        <f ca="1">龙魂辅助表!AB68</f>
        <v>9</v>
      </c>
      <c r="L64" s="1">
        <f>龙魂辅助表!R68</f>
        <v>1</v>
      </c>
      <c r="M64" s="1">
        <f ca="1">VLOOKUP(龙魂辅助表!S68,[1]!属性定义,2,FALSE)</f>
        <v>1</v>
      </c>
      <c r="N64" s="1">
        <f>龙魂辅助表!T68</f>
        <v>21143</v>
      </c>
      <c r="O64" s="1"/>
      <c r="P64" s="1"/>
      <c r="Q64" s="1"/>
      <c r="R64" s="1"/>
      <c r="S64" s="1"/>
      <c r="T64" s="1"/>
    </row>
    <row r="65" spans="1:20">
      <c r="A65" s="1">
        <f>龙魂辅助表!B69</f>
        <v>2028</v>
      </c>
      <c r="B65" s="1" t="str">
        <f>龙魂辅助表!C69</f>
        <v>狴犴</v>
      </c>
      <c r="C65" s="1">
        <f>龙魂辅助表!E69</f>
        <v>2027</v>
      </c>
      <c r="D65" s="1">
        <f>龙魂辅助表!F69</f>
        <v>28</v>
      </c>
      <c r="E65" s="1">
        <f>龙魂辅助表!G69</f>
        <v>2</v>
      </c>
      <c r="F65" s="1">
        <f>龙魂辅助表!H69</f>
        <v>1004</v>
      </c>
      <c r="G65" s="1">
        <f>VLOOKUP(F65,龙魂辅助表!$H$6:$I$96,2,FALSE)</f>
        <v>63</v>
      </c>
      <c r="H65" s="9">
        <f ca="1">龙魂辅助表!Z69</f>
        <v>692</v>
      </c>
      <c r="I65" s="1">
        <f ca="1">ROUND(龙魂辅助表!Y69*1000,0)</f>
        <v>130</v>
      </c>
      <c r="J65" s="1">
        <f t="shared" ca="1" si="0"/>
        <v>5</v>
      </c>
      <c r="K65" s="1">
        <f ca="1">龙魂辅助表!AB69</f>
        <v>10</v>
      </c>
      <c r="L65" s="1">
        <f>龙魂辅助表!R69</f>
        <v>1</v>
      </c>
      <c r="M65" s="1">
        <f ca="1">VLOOKUP(龙魂辅助表!S69,[1]!属性定义,2,FALSE)</f>
        <v>10</v>
      </c>
      <c r="N65" s="1">
        <f>龙魂辅助表!T69</f>
        <v>5716</v>
      </c>
      <c r="O65" s="1"/>
      <c r="P65" s="1"/>
      <c r="Q65" s="1"/>
      <c r="R65" s="1"/>
      <c r="S65" s="1"/>
      <c r="T65" s="1"/>
    </row>
    <row r="66" spans="1:20">
      <c r="A66" s="1">
        <f>龙魂辅助表!B70</f>
        <v>1037</v>
      </c>
      <c r="B66" s="1" t="str">
        <f>龙魂辅助表!C70</f>
        <v>狻猊</v>
      </c>
      <c r="C66" s="1">
        <f>龙魂辅助表!E70</f>
        <v>1036</v>
      </c>
      <c r="D66" s="1">
        <f>龙魂辅助表!F70</f>
        <v>37</v>
      </c>
      <c r="E66" s="1">
        <f>龙魂辅助表!G70</f>
        <v>1</v>
      </c>
      <c r="F66" s="1">
        <f>龙魂辅助表!H70</f>
        <v>1004</v>
      </c>
      <c r="G66" s="1">
        <f>VLOOKUP(F66,龙魂辅助表!$H$6:$I$96,2,FALSE)</f>
        <v>63</v>
      </c>
      <c r="H66" s="9">
        <f ca="1">龙魂辅助表!Z70</f>
        <v>485</v>
      </c>
      <c r="I66" s="1">
        <f>ROUND(龙魂辅助表!Y70*1000,0)</f>
        <v>222</v>
      </c>
      <c r="J66" s="1">
        <f t="shared" si="0"/>
        <v>3</v>
      </c>
      <c r="K66" s="1">
        <f>龙魂辅助表!AB70</f>
        <v>6</v>
      </c>
      <c r="L66" s="1">
        <f>龙魂辅助表!R70</f>
        <v>1</v>
      </c>
      <c r="M66" s="1">
        <f ca="1">VLOOKUP(龙魂辅助表!S70,[1]!属性定义,2,FALSE)</f>
        <v>1</v>
      </c>
      <c r="N66" s="1">
        <f>龙魂辅助表!T70</f>
        <v>14423</v>
      </c>
      <c r="O66" s="1"/>
      <c r="P66" s="1"/>
      <c r="Q66" s="1"/>
      <c r="R66" s="1"/>
      <c r="S66" s="1"/>
      <c r="T66" s="1"/>
    </row>
    <row r="67" spans="1:20">
      <c r="A67" s="1">
        <f>龙魂辅助表!B71</f>
        <v>1038</v>
      </c>
      <c r="B67" s="1" t="str">
        <f>龙魂辅助表!C71</f>
        <v>椒图</v>
      </c>
      <c r="C67" s="1">
        <f>龙魂辅助表!E71</f>
        <v>1037</v>
      </c>
      <c r="D67" s="1">
        <f>龙魂辅助表!F71</f>
        <v>38</v>
      </c>
      <c r="E67" s="1">
        <f>龙魂辅助表!G71</f>
        <v>1</v>
      </c>
      <c r="F67" s="1">
        <f>龙魂辅助表!H71</f>
        <v>1004</v>
      </c>
      <c r="G67" s="1">
        <f>VLOOKUP(F67,龙魂辅助表!$H$6:$I$96,2,FALSE)</f>
        <v>63</v>
      </c>
      <c r="H67" s="9">
        <f ca="1">龙魂辅助表!Z71</f>
        <v>486</v>
      </c>
      <c r="I67" s="1">
        <f>ROUND(龙魂辅助表!Y71*1000,0)</f>
        <v>200</v>
      </c>
      <c r="J67" s="1">
        <f t="shared" ref="J67:J92" si="1">INT(K67/2)</f>
        <v>3</v>
      </c>
      <c r="K67" s="1">
        <f>龙魂辅助表!AB71</f>
        <v>6</v>
      </c>
      <c r="L67" s="1">
        <f>龙魂辅助表!R71</f>
        <v>1</v>
      </c>
      <c r="M67" s="1">
        <f ca="1">VLOOKUP(龙魂辅助表!S71,[1]!属性定义,2,FALSE)</f>
        <v>2</v>
      </c>
      <c r="N67" s="1">
        <f>龙魂辅助表!T71</f>
        <v>535</v>
      </c>
      <c r="O67" s="1"/>
      <c r="P67" s="1"/>
      <c r="Q67" s="1"/>
      <c r="R67" s="1"/>
      <c r="S67" s="1"/>
      <c r="T67" s="1"/>
    </row>
    <row r="68" spans="1:20">
      <c r="A68" s="1">
        <f>龙魂辅助表!B72</f>
        <v>1039</v>
      </c>
      <c r="B68" s="1" t="str">
        <f>龙魂辅助表!C72</f>
        <v>貔貅</v>
      </c>
      <c r="C68" s="1">
        <f>龙魂辅助表!E72</f>
        <v>1038</v>
      </c>
      <c r="D68" s="1">
        <f>龙魂辅助表!F72</f>
        <v>39</v>
      </c>
      <c r="E68" s="1">
        <f>龙魂辅助表!G72</f>
        <v>1</v>
      </c>
      <c r="F68" s="1">
        <f>龙魂辅助表!H72</f>
        <v>1004</v>
      </c>
      <c r="G68" s="1">
        <f>VLOOKUP(F68,龙魂辅助表!$H$6:$I$96,2,FALSE)</f>
        <v>63</v>
      </c>
      <c r="H68" s="9">
        <f ca="1">龙魂辅助表!Z72</f>
        <v>493</v>
      </c>
      <c r="I68" s="1">
        <f>ROUND(龙魂辅助表!Y72*1000,0)</f>
        <v>182</v>
      </c>
      <c r="J68" s="1">
        <f t="shared" si="1"/>
        <v>3</v>
      </c>
      <c r="K68" s="1">
        <f>龙魂辅助表!AB72</f>
        <v>7</v>
      </c>
      <c r="L68" s="1">
        <f>龙魂辅助表!R72</f>
        <v>1</v>
      </c>
      <c r="M68" s="1">
        <f ca="1">VLOOKUP(龙魂辅助表!S72,[1]!属性定义,2,FALSE)</f>
        <v>7</v>
      </c>
      <c r="N68" s="1">
        <f>龙魂辅助表!T72</f>
        <v>1515</v>
      </c>
      <c r="O68" s="1"/>
      <c r="P68" s="1"/>
      <c r="Q68" s="1"/>
      <c r="R68" s="1"/>
      <c r="S68" s="1"/>
      <c r="T68" s="1"/>
    </row>
    <row r="69" spans="1:20">
      <c r="A69" s="1">
        <f>龙魂辅助表!B73</f>
        <v>2029</v>
      </c>
      <c r="B69" s="1" t="str">
        <f>龙魂辅助表!C73</f>
        <v>犼</v>
      </c>
      <c r="C69" s="1">
        <f>龙魂辅助表!E73</f>
        <v>1039</v>
      </c>
      <c r="D69" s="1">
        <f>龙魂辅助表!F73</f>
        <v>29</v>
      </c>
      <c r="E69" s="1">
        <f>龙魂辅助表!G73</f>
        <v>2</v>
      </c>
      <c r="F69" s="1">
        <f>龙魂辅助表!H73</f>
        <v>1004</v>
      </c>
      <c r="G69" s="1">
        <f>VLOOKUP(F69,龙魂辅助表!$H$6:$I$96,2,FALSE)</f>
        <v>63</v>
      </c>
      <c r="H69" s="9">
        <f ca="1">龙魂辅助表!Z73</f>
        <v>700</v>
      </c>
      <c r="I69" s="1">
        <f ca="1">ROUND(龙魂辅助表!Y73*1000,0)</f>
        <v>120</v>
      </c>
      <c r="J69" s="1">
        <f t="shared" ca="1" si="1"/>
        <v>5</v>
      </c>
      <c r="K69" s="1">
        <f ca="1">龙魂辅助表!AB73</f>
        <v>11</v>
      </c>
      <c r="L69" s="1">
        <f>龙魂辅助表!R73</f>
        <v>1</v>
      </c>
      <c r="M69" s="1">
        <f ca="1">VLOOKUP(龙魂辅助表!S73,[1]!属性定义,2,FALSE)</f>
        <v>2</v>
      </c>
      <c r="N69" s="1">
        <f>龙魂辅助表!T73</f>
        <v>820</v>
      </c>
      <c r="O69" s="1"/>
      <c r="P69" s="1"/>
      <c r="Q69" s="1"/>
      <c r="R69" s="1"/>
      <c r="S69" s="1"/>
      <c r="T69" s="1"/>
    </row>
    <row r="70" spans="1:20">
      <c r="A70" s="1">
        <f>龙魂辅助表!B74</f>
        <v>2030</v>
      </c>
      <c r="B70" s="1" t="str">
        <f>龙魂辅助表!C74</f>
        <v>螭</v>
      </c>
      <c r="C70" s="1">
        <f>龙魂辅助表!E74</f>
        <v>2029</v>
      </c>
      <c r="D70" s="1">
        <f>龙魂辅助表!F74</f>
        <v>30</v>
      </c>
      <c r="E70" s="1">
        <f>龙魂辅助表!G74</f>
        <v>2</v>
      </c>
      <c r="F70" s="1">
        <f>龙魂辅助表!H74</f>
        <v>1004</v>
      </c>
      <c r="G70" s="1">
        <f>VLOOKUP(F70,龙魂辅助表!$H$6:$I$96,2,FALSE)</f>
        <v>63</v>
      </c>
      <c r="H70" s="9">
        <f ca="1">龙魂辅助表!Z74</f>
        <v>659</v>
      </c>
      <c r="I70" s="1">
        <f ca="1">ROUND(龙魂辅助表!Y74*1000,0)</f>
        <v>111</v>
      </c>
      <c r="J70" s="1">
        <f t="shared" ca="1" si="1"/>
        <v>5</v>
      </c>
      <c r="K70" s="1">
        <f ca="1">龙魂辅助表!AB74</f>
        <v>11</v>
      </c>
      <c r="L70" s="1">
        <f>龙魂辅助表!R74</f>
        <v>1</v>
      </c>
      <c r="M70" s="1">
        <f ca="1">VLOOKUP(龙魂辅助表!S74,[1]!属性定义,2,FALSE)</f>
        <v>1</v>
      </c>
      <c r="N70" s="1">
        <f>龙魂辅助表!T74</f>
        <v>22618</v>
      </c>
      <c r="O70" s="1"/>
      <c r="P70" s="1"/>
      <c r="Q70" s="1"/>
      <c r="R70" s="1"/>
      <c r="S70" s="1"/>
      <c r="T70" s="1"/>
    </row>
    <row r="71" spans="1:20">
      <c r="A71" s="1">
        <f>龙魂辅助表!B75</f>
        <v>2031</v>
      </c>
      <c r="B71" s="1" t="str">
        <f>龙魂辅助表!C75</f>
        <v>麒麟</v>
      </c>
      <c r="C71" s="1">
        <f>龙魂辅助表!E75</f>
        <v>2030</v>
      </c>
      <c r="D71" s="1">
        <f>龙魂辅助表!F75</f>
        <v>31</v>
      </c>
      <c r="E71" s="1">
        <f>龙魂辅助表!G75</f>
        <v>2</v>
      </c>
      <c r="F71" s="1">
        <f>龙魂辅助表!H75</f>
        <v>1004</v>
      </c>
      <c r="G71" s="1">
        <f>VLOOKUP(F71,龙魂辅助表!$H$6:$I$96,2,FALSE)</f>
        <v>63</v>
      </c>
      <c r="H71" s="9">
        <f ca="1">龙魂辅助表!Z75</f>
        <v>721</v>
      </c>
      <c r="I71" s="1">
        <f ca="1">ROUND(龙魂辅助表!Y75*1000,0)</f>
        <v>103</v>
      </c>
      <c r="J71" s="1">
        <f t="shared" ca="1" si="1"/>
        <v>6</v>
      </c>
      <c r="K71" s="1">
        <f ca="1">龙魂辅助表!AB75</f>
        <v>12</v>
      </c>
      <c r="L71" s="1">
        <f>龙魂辅助表!R75</f>
        <v>1</v>
      </c>
      <c r="M71" s="1">
        <f ca="1">VLOOKUP(龙魂辅助表!S75,[1]!属性定义,2,FALSE)</f>
        <v>3</v>
      </c>
      <c r="N71" s="1">
        <f>龙魂辅助表!T75</f>
        <v>831</v>
      </c>
      <c r="O71" s="1"/>
      <c r="P71" s="1"/>
      <c r="Q71" s="1"/>
      <c r="R71" s="1"/>
      <c r="S71" s="1"/>
      <c r="T71" s="1"/>
    </row>
    <row r="72" spans="1:20">
      <c r="A72" s="1">
        <f>龙魂辅助表!B76</f>
        <v>2032</v>
      </c>
      <c r="B72" s="1" t="str">
        <f>龙魂辅助表!C76</f>
        <v>鱼龙</v>
      </c>
      <c r="C72" s="1">
        <f>龙魂辅助表!E76</f>
        <v>2031</v>
      </c>
      <c r="D72" s="1">
        <f>龙魂辅助表!F76</f>
        <v>32</v>
      </c>
      <c r="E72" s="1">
        <f>龙魂辅助表!G76</f>
        <v>2</v>
      </c>
      <c r="F72" s="1">
        <f>龙魂辅助表!H76</f>
        <v>1004</v>
      </c>
      <c r="G72" s="1">
        <f>VLOOKUP(F72,龙魂辅助表!$H$6:$I$96,2,FALSE)</f>
        <v>63</v>
      </c>
      <c r="H72" s="9">
        <f ca="1">龙魂辅助表!Z76</f>
        <v>735</v>
      </c>
      <c r="I72" s="1">
        <f ca="1">ROUND(龙魂辅助表!Y76*1000,0)</f>
        <v>97</v>
      </c>
      <c r="J72" s="1">
        <f t="shared" ca="1" si="1"/>
        <v>6</v>
      </c>
      <c r="K72" s="1">
        <f ca="1">龙魂辅助表!AB76</f>
        <v>13</v>
      </c>
      <c r="L72" s="1">
        <f>龙魂辅助表!R76</f>
        <v>1</v>
      </c>
      <c r="M72" s="1">
        <f ca="1">VLOOKUP(龙魂辅助表!S76,[1]!属性定义,2,FALSE)</f>
        <v>6</v>
      </c>
      <c r="N72" s="1">
        <f>龙魂辅助表!T76</f>
        <v>2170</v>
      </c>
      <c r="O72" s="1"/>
      <c r="P72" s="1"/>
      <c r="Q72" s="1"/>
      <c r="R72" s="1"/>
      <c r="S72" s="1"/>
      <c r="T72" s="1"/>
    </row>
    <row r="73" spans="1:20">
      <c r="A73" s="1">
        <f>龙魂辅助表!B77</f>
        <v>1040</v>
      </c>
      <c r="B73" s="1" t="str">
        <f>龙魂辅助表!C77</f>
        <v>蟠螭</v>
      </c>
      <c r="C73" s="1">
        <f>龙魂辅助表!E77</f>
        <v>1039</v>
      </c>
      <c r="D73" s="1">
        <f>龙魂辅助表!F77</f>
        <v>40</v>
      </c>
      <c r="E73" s="1">
        <f>龙魂辅助表!G77</f>
        <v>1</v>
      </c>
      <c r="F73" s="1">
        <f>龙魂辅助表!H77</f>
        <v>1004</v>
      </c>
      <c r="G73" s="1">
        <f>VLOOKUP(F73,龙魂辅助表!$H$6:$I$96,2,FALSE)</f>
        <v>63</v>
      </c>
      <c r="H73" s="9">
        <f ca="1">龙魂辅助表!Z77</f>
        <v>509</v>
      </c>
      <c r="I73" s="1">
        <f>ROUND(龙魂辅助表!Y77*1000,0)</f>
        <v>167</v>
      </c>
      <c r="J73" s="1">
        <f t="shared" si="1"/>
        <v>3</v>
      </c>
      <c r="K73" s="1">
        <f>龙魂辅助表!AB77</f>
        <v>7</v>
      </c>
      <c r="L73" s="1">
        <f>龙魂辅助表!R77</f>
        <v>1</v>
      </c>
      <c r="M73" s="1">
        <f ca="1">VLOOKUP(龙魂辅助表!S77,[1]!属性定义,2,FALSE)</f>
        <v>1</v>
      </c>
      <c r="N73" s="1">
        <f>龙魂辅助表!T77</f>
        <v>15570</v>
      </c>
      <c r="O73" s="1"/>
      <c r="P73" s="1"/>
      <c r="Q73" s="1"/>
      <c r="R73" s="1"/>
      <c r="S73" s="1"/>
      <c r="T73" s="1"/>
    </row>
    <row r="74" spans="1:20">
      <c r="A74" s="1">
        <f>龙魂辅助表!B78</f>
        <v>1041</v>
      </c>
      <c r="B74" s="1" t="str">
        <f>龙魂辅助表!C78</f>
        <v>蛟龙</v>
      </c>
      <c r="C74" s="1">
        <f>龙魂辅助表!E78</f>
        <v>1040</v>
      </c>
      <c r="D74" s="1">
        <f>龙魂辅助表!F78</f>
        <v>41</v>
      </c>
      <c r="E74" s="1">
        <f>龙魂辅助表!G78</f>
        <v>1</v>
      </c>
      <c r="F74" s="1">
        <f>龙魂辅助表!H78</f>
        <v>1004</v>
      </c>
      <c r="G74" s="1">
        <f>VLOOKUP(F74,龙魂辅助表!$H$6:$I$96,2,FALSE)</f>
        <v>63</v>
      </c>
      <c r="H74" s="9">
        <f ca="1">龙魂辅助表!Z78</f>
        <v>533</v>
      </c>
      <c r="I74" s="1">
        <f>ROUND(龙魂辅助表!Y78*1000,0)</f>
        <v>154</v>
      </c>
      <c r="J74" s="1">
        <f t="shared" si="1"/>
        <v>4</v>
      </c>
      <c r="K74" s="1">
        <f>龙魂辅助表!AB78</f>
        <v>8</v>
      </c>
      <c r="L74" s="1">
        <f>龙魂辅助表!R78</f>
        <v>1</v>
      </c>
      <c r="M74" s="1">
        <f ca="1">VLOOKUP(龙魂辅助表!S78,[1]!属性定义,2,FALSE)</f>
        <v>6</v>
      </c>
      <c r="N74" s="1">
        <f>龙魂辅助表!T78</f>
        <v>1477</v>
      </c>
      <c r="O74" s="1"/>
      <c r="P74" s="1"/>
      <c r="Q74" s="1"/>
      <c r="R74" s="1"/>
      <c r="S74" s="1"/>
      <c r="T74" s="1"/>
    </row>
    <row r="75" spans="1:20">
      <c r="A75" s="1">
        <f ca="1">龙魂辅助表!B79</f>
        <v>1042</v>
      </c>
      <c r="B75" s="1" t="str">
        <f>龙魂辅助表!C79</f>
        <v>赑屃</v>
      </c>
      <c r="C75" s="1">
        <f>龙魂辅助表!E79</f>
        <v>1041</v>
      </c>
      <c r="D75" s="1">
        <f ca="1">龙魂辅助表!F79</f>
        <v>42</v>
      </c>
      <c r="E75" s="1">
        <f>龙魂辅助表!G79</f>
        <v>1</v>
      </c>
      <c r="F75" s="1">
        <f>龙魂辅助表!H79</f>
        <v>1005</v>
      </c>
      <c r="G75" s="1">
        <f ca="1">VLOOKUP(F75,龙魂辅助表!$H$6:$I$96,2,FALSE)</f>
        <v>72</v>
      </c>
      <c r="H75" s="9">
        <f ca="1">龙魂辅助表!Z79</f>
        <v>648</v>
      </c>
      <c r="I75" s="1">
        <f ca="1">ROUND(龙魂辅助表!Y79*1000,0)</f>
        <v>268</v>
      </c>
      <c r="J75" s="1">
        <f t="shared" ca="1" si="1"/>
        <v>2</v>
      </c>
      <c r="K75" s="1">
        <f ca="1">龙魂辅助表!AB79</f>
        <v>5</v>
      </c>
      <c r="L75" s="1">
        <f>龙魂辅助表!R79</f>
        <v>1</v>
      </c>
      <c r="M75" s="1">
        <f ca="1">VLOOKUP(龙魂辅助表!S79,[1]!属性定义,2,FALSE)</f>
        <v>8</v>
      </c>
      <c r="N75" s="1">
        <f>龙魂辅助表!T79</f>
        <v>2648</v>
      </c>
      <c r="O75" s="1"/>
      <c r="P75" s="1"/>
      <c r="Q75" s="1"/>
      <c r="R75" s="1"/>
      <c r="S75" s="1"/>
      <c r="T75" s="1"/>
    </row>
    <row r="76" spans="1:20">
      <c r="A76" s="1">
        <f ca="1">龙魂辅助表!B80</f>
        <v>1043</v>
      </c>
      <c r="B76" s="1" t="str">
        <f>龙魂辅助表!C80</f>
        <v>鸱吻</v>
      </c>
      <c r="C76" s="1">
        <f ca="1">龙魂辅助表!E80</f>
        <v>1042</v>
      </c>
      <c r="D76" s="1">
        <f ca="1">龙魂辅助表!F80</f>
        <v>43</v>
      </c>
      <c r="E76" s="1">
        <f>龙魂辅助表!G80</f>
        <v>1</v>
      </c>
      <c r="F76" s="1">
        <f>龙魂辅助表!H80</f>
        <v>1005</v>
      </c>
      <c r="G76" s="1">
        <f ca="1">VLOOKUP(F76,龙魂辅助表!$H$6:$I$96,2,FALSE)</f>
        <v>72</v>
      </c>
      <c r="H76" s="9">
        <f ca="1">龙魂辅助表!Z80</f>
        <v>663</v>
      </c>
      <c r="I76" s="1">
        <f ca="1">ROUND(龙魂辅助表!Y80*1000,0)</f>
        <v>234</v>
      </c>
      <c r="J76" s="1">
        <f t="shared" ca="1" si="1"/>
        <v>3</v>
      </c>
      <c r="K76" s="1">
        <f ca="1">龙魂辅助表!AB80</f>
        <v>6</v>
      </c>
      <c r="L76" s="1">
        <f>龙魂辅助表!R80</f>
        <v>1</v>
      </c>
      <c r="M76" s="1">
        <f ca="1">VLOOKUP(龙魂辅助表!S80,[1]!属性定义,2,FALSE)</f>
        <v>1</v>
      </c>
      <c r="N76" s="1">
        <f>龙魂辅助表!T80</f>
        <v>19892</v>
      </c>
      <c r="O76" s="1"/>
      <c r="P76" s="1"/>
      <c r="Q76" s="1"/>
      <c r="R76" s="1"/>
      <c r="S76" s="1"/>
      <c r="T76" s="1"/>
    </row>
    <row r="77" spans="1:20">
      <c r="A77" s="1">
        <f ca="1">龙魂辅助表!B81</f>
        <v>1044</v>
      </c>
      <c r="B77" s="1" t="str">
        <f>龙魂辅助表!C81</f>
        <v>蒲牢</v>
      </c>
      <c r="C77" s="1">
        <f ca="1">龙魂辅助表!E81</f>
        <v>1043</v>
      </c>
      <c r="D77" s="1">
        <f ca="1">龙魂辅助表!F81</f>
        <v>44</v>
      </c>
      <c r="E77" s="1">
        <f>龙魂辅助表!G81</f>
        <v>1</v>
      </c>
      <c r="F77" s="1">
        <f>龙魂辅助表!H81</f>
        <v>1005</v>
      </c>
      <c r="G77" s="1">
        <f ca="1">VLOOKUP(F77,龙魂辅助表!$H$6:$I$96,2,FALSE)</f>
        <v>72</v>
      </c>
      <c r="H77" s="9">
        <f ca="1">龙魂辅助表!Z81</f>
        <v>687</v>
      </c>
      <c r="I77" s="1">
        <f ca="1">ROUND(龙魂辅助表!Y81*1000,0)</f>
        <v>208</v>
      </c>
      <c r="J77" s="1">
        <f t="shared" ca="1" si="1"/>
        <v>3</v>
      </c>
      <c r="K77" s="1">
        <f ca="1">龙魂辅助表!AB81</f>
        <v>6</v>
      </c>
      <c r="L77" s="1">
        <f>龙魂辅助表!R81</f>
        <v>1</v>
      </c>
      <c r="M77" s="1">
        <f ca="1">VLOOKUP(龙魂辅助表!S81,[1]!属性定义,2,FALSE)</f>
        <v>2</v>
      </c>
      <c r="N77" s="1">
        <f>龙魂辅助表!T81</f>
        <v>738</v>
      </c>
      <c r="O77" s="1"/>
      <c r="P77" s="1"/>
      <c r="Q77" s="1"/>
      <c r="R77" s="1"/>
      <c r="S77" s="1"/>
      <c r="T77" s="1"/>
    </row>
    <row r="78" spans="1:20">
      <c r="A78" s="1">
        <f ca="1">龙魂辅助表!B82</f>
        <v>2033</v>
      </c>
      <c r="B78" s="1" t="str">
        <f>龙魂辅助表!C82</f>
        <v>睚眦</v>
      </c>
      <c r="C78" s="1">
        <f ca="1">龙魂辅助表!E82</f>
        <v>1044</v>
      </c>
      <c r="D78" s="1">
        <f ca="1">龙魂辅助表!F82</f>
        <v>33</v>
      </c>
      <c r="E78" s="1">
        <f>龙魂辅助表!G82</f>
        <v>2</v>
      </c>
      <c r="F78" s="1">
        <f>龙魂辅助表!H82</f>
        <v>1005</v>
      </c>
      <c r="G78" s="1">
        <f ca="1">VLOOKUP(F78,龙魂辅助表!$H$6:$I$96,2,FALSE)</f>
        <v>72</v>
      </c>
      <c r="H78" s="9">
        <f ca="1">龙魂辅助表!Z82</f>
        <v>1006</v>
      </c>
      <c r="I78" s="1">
        <f ca="1">ROUND(龙魂辅助表!Y82*1000,0)</f>
        <v>136</v>
      </c>
      <c r="J78" s="1">
        <f t="shared" ca="1" si="1"/>
        <v>5</v>
      </c>
      <c r="K78" s="1">
        <f ca="1">龙魂辅助表!AB82</f>
        <v>10</v>
      </c>
      <c r="L78" s="1">
        <f>龙魂辅助表!R82</f>
        <v>1</v>
      </c>
      <c r="M78" s="1">
        <f ca="1">VLOOKUP(龙魂辅助表!S82,[1]!属性定义,2,FALSE)</f>
        <v>9</v>
      </c>
      <c r="N78" s="1">
        <f>龙魂辅助表!T82</f>
        <v>4617</v>
      </c>
      <c r="O78" s="1"/>
      <c r="P78" s="1"/>
      <c r="Q78" s="1"/>
      <c r="R78" s="1"/>
      <c r="S78" s="1"/>
      <c r="T78" s="1"/>
    </row>
    <row r="79" spans="1:20">
      <c r="A79" s="1">
        <f ca="1">龙魂辅助表!B83</f>
        <v>2034</v>
      </c>
      <c r="B79" s="1" t="str">
        <f>龙魂辅助表!C83</f>
        <v>饕餮</v>
      </c>
      <c r="C79" s="1">
        <f ca="1">龙魂辅助表!E83</f>
        <v>2033</v>
      </c>
      <c r="D79" s="1">
        <f ca="1">龙魂辅助表!F83</f>
        <v>34</v>
      </c>
      <c r="E79" s="1">
        <f>龙魂辅助表!G83</f>
        <v>2</v>
      </c>
      <c r="F79" s="1">
        <f>龙魂辅助表!H83</f>
        <v>1005</v>
      </c>
      <c r="G79" s="1">
        <f ca="1">VLOOKUP(F79,龙魂辅助表!$H$6:$I$96,2,FALSE)</f>
        <v>72</v>
      </c>
      <c r="H79" s="9">
        <f ca="1">龙魂辅助表!Z83</f>
        <v>1008</v>
      </c>
      <c r="I79" s="1">
        <f ca="1">ROUND(龙魂辅助表!Y83*1000,0)</f>
        <v>124</v>
      </c>
      <c r="J79" s="1">
        <f t="shared" ca="1" si="1"/>
        <v>5</v>
      </c>
      <c r="K79" s="1">
        <f ca="1">龙魂辅助表!AB83</f>
        <v>11</v>
      </c>
      <c r="L79" s="1">
        <f>龙魂辅助表!R83</f>
        <v>1</v>
      </c>
      <c r="M79" s="1">
        <f ca="1">VLOOKUP(龙魂辅助表!S83,[1]!属性定义,2,FALSE)</f>
        <v>1</v>
      </c>
      <c r="N79" s="1">
        <f>龙魂辅助表!T83</f>
        <v>30850</v>
      </c>
      <c r="O79" s="1"/>
      <c r="P79" s="1"/>
      <c r="Q79" s="1"/>
      <c r="R79" s="1"/>
      <c r="S79" s="1"/>
      <c r="T79" s="1"/>
    </row>
    <row r="80" spans="1:20">
      <c r="A80" s="1">
        <f ca="1">龙魂辅助表!B84</f>
        <v>2035</v>
      </c>
      <c r="B80" s="1" t="str">
        <f>龙魂辅助表!C84</f>
        <v>蚣蝮</v>
      </c>
      <c r="C80" s="1">
        <f ca="1">龙魂辅助表!E84</f>
        <v>2034</v>
      </c>
      <c r="D80" s="1">
        <f ca="1">龙魂辅助表!F84</f>
        <v>35</v>
      </c>
      <c r="E80" s="1">
        <f>龙魂辅助表!G84</f>
        <v>2</v>
      </c>
      <c r="F80" s="1">
        <f>龙魂辅助表!H84</f>
        <v>1005</v>
      </c>
      <c r="G80" s="1">
        <f ca="1">VLOOKUP(F80,龙魂辅助表!$H$6:$I$96,2,FALSE)</f>
        <v>72</v>
      </c>
      <c r="H80" s="9">
        <f ca="1">龙魂辅助表!Z84</f>
        <v>1015</v>
      </c>
      <c r="I80" s="1">
        <f ca="1">ROUND(龙魂辅助表!Y84*1000,0)</f>
        <v>114</v>
      </c>
      <c r="J80" s="1">
        <f t="shared" ca="1" si="1"/>
        <v>5</v>
      </c>
      <c r="K80" s="1">
        <f ca="1">龙魂辅助表!AB84</f>
        <v>11</v>
      </c>
      <c r="L80" s="1">
        <f>龙魂辅助表!R84</f>
        <v>1</v>
      </c>
      <c r="M80" s="1">
        <f ca="1">VLOOKUP(龙魂辅助表!S84,[1]!属性定义,2,FALSE)</f>
        <v>7</v>
      </c>
      <c r="N80" s="1">
        <f>龙魂辅助表!T84</f>
        <v>3203</v>
      </c>
      <c r="O80" s="1"/>
      <c r="P80" s="1"/>
      <c r="Q80" s="1"/>
      <c r="R80" s="1"/>
      <c r="S80" s="1"/>
      <c r="T80" s="1"/>
    </row>
    <row r="81" spans="1:20">
      <c r="A81" s="1">
        <f ca="1">龙魂辅助表!B85</f>
        <v>1045</v>
      </c>
      <c r="B81" s="1" t="str">
        <f>龙魂辅助表!C85</f>
        <v>狴犴</v>
      </c>
      <c r="C81" s="1">
        <f>龙魂辅助表!E85</f>
        <v>1044</v>
      </c>
      <c r="D81" s="1">
        <f ca="1">龙魂辅助表!F85</f>
        <v>45</v>
      </c>
      <c r="E81" s="1">
        <f>龙魂辅助表!G85</f>
        <v>1</v>
      </c>
      <c r="F81" s="1">
        <f>龙魂辅助表!H85</f>
        <v>1005</v>
      </c>
      <c r="G81" s="1">
        <f ca="1">VLOOKUP(F81,龙魂辅助表!$H$6:$I$96,2,FALSE)</f>
        <v>72</v>
      </c>
      <c r="H81" s="9">
        <f ca="1">龙魂辅助表!Z85</f>
        <v>687</v>
      </c>
      <c r="I81" s="1">
        <f ca="1">ROUND(龙魂辅助表!Y85*1000,0)</f>
        <v>186</v>
      </c>
      <c r="J81" s="1">
        <f t="shared" ca="1" si="1"/>
        <v>3</v>
      </c>
      <c r="K81" s="1">
        <f ca="1">龙魂辅助表!AB85</f>
        <v>7</v>
      </c>
      <c r="L81" s="1">
        <f>龙魂辅助表!R85</f>
        <v>1</v>
      </c>
      <c r="M81" s="1">
        <f ca="1">VLOOKUP(龙魂辅助表!S85,[1]!属性定义,2,FALSE)</f>
        <v>1</v>
      </c>
      <c r="N81" s="1">
        <f>龙魂辅助表!T85</f>
        <v>21016</v>
      </c>
      <c r="O81" s="1"/>
      <c r="P81" s="1"/>
      <c r="Q81" s="1"/>
      <c r="R81" s="1"/>
      <c r="S81" s="1"/>
      <c r="T81" s="1"/>
    </row>
    <row r="82" spans="1:20">
      <c r="A82" s="1">
        <f ca="1">龙魂辅助表!B86</f>
        <v>2036</v>
      </c>
      <c r="B82" s="1" t="str">
        <f>龙魂辅助表!C86</f>
        <v>狻猊</v>
      </c>
      <c r="C82" s="1">
        <f ca="1">龙魂辅助表!E86</f>
        <v>1045</v>
      </c>
      <c r="D82" s="1">
        <f ca="1">龙魂辅助表!F86</f>
        <v>36</v>
      </c>
      <c r="E82" s="1">
        <f>龙魂辅助表!G86</f>
        <v>2</v>
      </c>
      <c r="F82" s="1">
        <f>龙魂辅助表!H86</f>
        <v>1005</v>
      </c>
      <c r="G82" s="1">
        <f ca="1">VLOOKUP(F82,龙魂辅助表!$H$6:$I$96,2,FALSE)</f>
        <v>72</v>
      </c>
      <c r="H82" s="9">
        <f ca="1">龙魂辅助表!Z86</f>
        <v>1008</v>
      </c>
      <c r="I82" s="1">
        <f ca="1">ROUND(龙魂辅助表!Y86*1000,0)</f>
        <v>124</v>
      </c>
      <c r="J82" s="1">
        <f t="shared" ca="1" si="1"/>
        <v>5</v>
      </c>
      <c r="K82" s="1">
        <f ca="1">龙魂辅助表!AB86</f>
        <v>11</v>
      </c>
      <c r="L82" s="1">
        <f>龙魂辅助表!R86</f>
        <v>1</v>
      </c>
      <c r="M82" s="1">
        <f ca="1">VLOOKUP(龙魂辅助表!S86,[1]!属性定义,2,FALSE)</f>
        <v>2</v>
      </c>
      <c r="N82" s="1">
        <f>龙魂辅助表!T86</f>
        <v>1169</v>
      </c>
      <c r="O82" s="1"/>
      <c r="P82" s="1"/>
      <c r="Q82" s="1"/>
      <c r="R82" s="1"/>
      <c r="S82" s="1"/>
      <c r="T82" s="1"/>
    </row>
    <row r="83" spans="1:20">
      <c r="A83" s="1">
        <f ca="1">龙魂辅助表!B87</f>
        <v>2037</v>
      </c>
      <c r="B83" s="1" t="str">
        <f>龙魂辅助表!C87</f>
        <v>椒图</v>
      </c>
      <c r="C83" s="1">
        <f>龙魂辅助表!E87</f>
        <v>1045</v>
      </c>
      <c r="D83" s="1">
        <f ca="1">龙魂辅助表!F87</f>
        <v>37</v>
      </c>
      <c r="E83" s="1">
        <f>龙魂辅助表!G87</f>
        <v>2</v>
      </c>
      <c r="F83" s="1">
        <f>龙魂辅助表!H87</f>
        <v>1005</v>
      </c>
      <c r="G83" s="1">
        <f ca="1">VLOOKUP(F83,龙魂辅助表!$H$6:$I$96,2,FALSE)</f>
        <v>72</v>
      </c>
      <c r="H83" s="9">
        <f ca="1">龙魂辅助表!Z87</f>
        <v>1008</v>
      </c>
      <c r="I83" s="1">
        <f ca="1">ROUND(龙魂辅助表!Y87*1000,0)</f>
        <v>124</v>
      </c>
      <c r="J83" s="1">
        <f t="shared" ca="1" si="1"/>
        <v>5</v>
      </c>
      <c r="K83" s="1">
        <f ca="1">龙魂辅助表!AB87</f>
        <v>11</v>
      </c>
      <c r="L83" s="1">
        <f>龙魂辅助表!R87</f>
        <v>1</v>
      </c>
      <c r="M83" s="1">
        <f ca="1">VLOOKUP(龙魂辅助表!S87,[1]!属性定义,2,FALSE)</f>
        <v>3</v>
      </c>
      <c r="N83" s="1">
        <f>龙魂辅助表!T87</f>
        <v>1170</v>
      </c>
      <c r="O83" s="1"/>
      <c r="P83" s="1"/>
      <c r="Q83" s="1"/>
      <c r="R83" s="1"/>
      <c r="S83" s="1"/>
      <c r="T83" s="1"/>
    </row>
    <row r="84" spans="1:20">
      <c r="A84" s="1">
        <f ca="1">龙魂辅助表!B88</f>
        <v>2038</v>
      </c>
      <c r="B84" s="1" t="str">
        <f>龙魂辅助表!C88</f>
        <v>貔貅</v>
      </c>
      <c r="C84" s="1">
        <f ca="1">龙魂辅助表!E88</f>
        <v>2037</v>
      </c>
      <c r="D84" s="1">
        <f ca="1">龙魂辅助表!F88</f>
        <v>38</v>
      </c>
      <c r="E84" s="1">
        <f>龙魂辅助表!G88</f>
        <v>2</v>
      </c>
      <c r="F84" s="1">
        <f>龙魂辅助表!H88</f>
        <v>1005</v>
      </c>
      <c r="G84" s="1">
        <f ca="1">VLOOKUP(F84,龙魂辅助表!$H$6:$I$96,2,FALSE)</f>
        <v>72</v>
      </c>
      <c r="H84" s="9">
        <f ca="1">龙魂辅助表!Z88</f>
        <v>1015</v>
      </c>
      <c r="I84" s="1">
        <f ca="1">ROUND(龙魂辅助表!Y88*1000,0)</f>
        <v>114</v>
      </c>
      <c r="J84" s="1">
        <f t="shared" ca="1" si="1"/>
        <v>5</v>
      </c>
      <c r="K84" s="1">
        <f ca="1">龙魂辅助表!AB88</f>
        <v>11</v>
      </c>
      <c r="L84" s="1">
        <f>龙魂辅助表!R88</f>
        <v>1</v>
      </c>
      <c r="M84" s="1">
        <f ca="1">VLOOKUP(龙魂辅助表!S88,[1]!属性定义,2,FALSE)</f>
        <v>1</v>
      </c>
      <c r="N84" s="1">
        <f>龙魂辅助表!T88</f>
        <v>32536</v>
      </c>
      <c r="O84" s="1"/>
      <c r="P84" s="1"/>
      <c r="Q84" s="1"/>
      <c r="R84" s="1"/>
      <c r="S84" s="1"/>
      <c r="T84" s="1"/>
    </row>
    <row r="85" spans="1:20">
      <c r="A85" s="1">
        <f ca="1">龙魂辅助表!B89</f>
        <v>2039</v>
      </c>
      <c r="B85" s="1" t="str">
        <f>龙魂辅助表!C89</f>
        <v>犼</v>
      </c>
      <c r="C85" s="1">
        <f ca="1">龙魂辅助表!E89</f>
        <v>2038</v>
      </c>
      <c r="D85" s="1">
        <f ca="1">龙魂辅助表!F89</f>
        <v>39</v>
      </c>
      <c r="E85" s="1">
        <f>龙魂辅助表!G89</f>
        <v>2</v>
      </c>
      <c r="F85" s="1">
        <f>龙魂辅助表!H89</f>
        <v>1005</v>
      </c>
      <c r="G85" s="1">
        <f ca="1">VLOOKUP(F85,龙魂辅助表!$H$6:$I$96,2,FALSE)</f>
        <v>72</v>
      </c>
      <c r="H85" s="9">
        <f ca="1">龙魂辅助表!Z89</f>
        <v>1026</v>
      </c>
      <c r="I85" s="1">
        <f ca="1">ROUND(龙魂辅助表!Y89*1000,0)</f>
        <v>106</v>
      </c>
      <c r="J85" s="1">
        <f t="shared" ca="1" si="1"/>
        <v>6</v>
      </c>
      <c r="K85" s="1">
        <f ca="1">龙魂辅助表!AB89</f>
        <v>12</v>
      </c>
      <c r="L85" s="1">
        <f>龙魂辅助表!R89</f>
        <v>1</v>
      </c>
      <c r="M85" s="1">
        <f ca="1">VLOOKUP(龙魂辅助表!S89,[1]!属性定义,2,FALSE)</f>
        <v>2</v>
      </c>
      <c r="N85" s="1">
        <f>龙魂辅助表!T89</f>
        <v>1206</v>
      </c>
      <c r="O85" s="1"/>
      <c r="P85" s="1"/>
      <c r="Q85" s="1"/>
      <c r="R85" s="1"/>
      <c r="S85" s="1"/>
      <c r="T85" s="1"/>
    </row>
    <row r="86" spans="1:20">
      <c r="A86" s="1">
        <f ca="1">龙魂辅助表!B90</f>
        <v>2040</v>
      </c>
      <c r="B86" s="1" t="str">
        <f>龙魂辅助表!C90</f>
        <v>螭</v>
      </c>
      <c r="C86" s="1">
        <f ca="1">龙魂辅助表!E90</f>
        <v>2039</v>
      </c>
      <c r="D86" s="1">
        <f ca="1">龙魂辅助表!F90</f>
        <v>40</v>
      </c>
      <c r="E86" s="1">
        <f>龙魂辅助表!G90</f>
        <v>2</v>
      </c>
      <c r="F86" s="1">
        <f>龙魂辅助表!H90</f>
        <v>1005</v>
      </c>
      <c r="G86" s="1">
        <f ca="1">VLOOKUP(F86,龙魂辅助表!$H$6:$I$96,2,FALSE)</f>
        <v>72</v>
      </c>
      <c r="H86" s="9">
        <f ca="1">龙魂辅助表!Z90</f>
        <v>1041</v>
      </c>
      <c r="I86" s="1">
        <f ca="1">ROUND(龙魂辅助表!Y90*1000,0)</f>
        <v>98</v>
      </c>
      <c r="J86" s="1">
        <f t="shared" ca="1" si="1"/>
        <v>6</v>
      </c>
      <c r="K86" s="1">
        <f ca="1">龙魂辅助表!AB90</f>
        <v>13</v>
      </c>
      <c r="L86" s="1">
        <f>龙魂辅助表!R90</f>
        <v>1</v>
      </c>
      <c r="M86" s="1">
        <f ca="1">VLOOKUP(龙魂辅助表!S90,[1]!属性定义,2,FALSE)</f>
        <v>8</v>
      </c>
      <c r="N86" s="1">
        <f>龙魂辅助表!T90</f>
        <v>4471</v>
      </c>
      <c r="O86" s="1"/>
      <c r="P86" s="1"/>
      <c r="Q86" s="1"/>
      <c r="R86" s="1"/>
      <c r="S86" s="1"/>
      <c r="T86" s="1"/>
    </row>
    <row r="87" spans="1:20">
      <c r="A87" s="1">
        <f ca="1">龙魂辅助表!B91</f>
        <v>2041</v>
      </c>
      <c r="B87" s="1" t="str">
        <f>龙魂辅助表!C91</f>
        <v>麒麟</v>
      </c>
      <c r="C87" s="1">
        <f ca="1">龙魂辅助表!E91</f>
        <v>2040</v>
      </c>
      <c r="D87" s="1">
        <f ca="1">龙魂辅助表!F91</f>
        <v>41</v>
      </c>
      <c r="E87" s="1">
        <f>龙魂辅助表!G91</f>
        <v>2</v>
      </c>
      <c r="F87" s="1">
        <f>龙魂辅助表!H91</f>
        <v>1005</v>
      </c>
      <c r="G87" s="1">
        <f ca="1">VLOOKUP(F87,龙魂辅助表!$H$6:$I$96,2,FALSE)</f>
        <v>72</v>
      </c>
      <c r="H87" s="9">
        <f ca="1">龙魂辅助表!Z91</f>
        <v>1057</v>
      </c>
      <c r="I87" s="1">
        <f ca="1">ROUND(龙魂辅助表!Y91*1000,0)</f>
        <v>92</v>
      </c>
      <c r="J87" s="1">
        <f t="shared" ca="1" si="1"/>
        <v>6</v>
      </c>
      <c r="K87" s="1">
        <f ca="1">龙魂辅助表!AB91</f>
        <v>13</v>
      </c>
      <c r="L87" s="1">
        <f>龙魂辅助表!R91</f>
        <v>1</v>
      </c>
      <c r="M87" s="1">
        <f ca="1">VLOOKUP(龙魂辅助表!S91,[1]!属性定义,2,FALSE)</f>
        <v>6</v>
      </c>
      <c r="N87" s="1">
        <f>龙魂辅助表!T91</f>
        <v>3150</v>
      </c>
      <c r="O87" s="1"/>
      <c r="P87" s="1"/>
      <c r="Q87" s="1"/>
      <c r="R87" s="1"/>
      <c r="S87" s="1"/>
      <c r="T87" s="1"/>
    </row>
    <row r="88" spans="1:20">
      <c r="A88" s="1">
        <f ca="1">龙魂辅助表!B92</f>
        <v>1046</v>
      </c>
      <c r="B88" s="1" t="str">
        <f>龙魂辅助表!C92</f>
        <v>鱼龙</v>
      </c>
      <c r="C88" s="1">
        <f>龙魂辅助表!E92</f>
        <v>1045</v>
      </c>
      <c r="D88" s="1">
        <f ca="1">龙魂辅助表!F92</f>
        <v>46</v>
      </c>
      <c r="E88" s="1">
        <f>龙魂辅助表!G92</f>
        <v>1</v>
      </c>
      <c r="F88" s="1">
        <f>龙魂辅助表!H92</f>
        <v>1005</v>
      </c>
      <c r="G88" s="1">
        <f ca="1">VLOOKUP(F88,龙魂辅助表!$H$6:$I$96,2,FALSE)</f>
        <v>72</v>
      </c>
      <c r="H88" s="9">
        <f ca="1">龙魂辅助表!Z92</f>
        <v>689</v>
      </c>
      <c r="I88" s="1">
        <f ca="1">ROUND(龙魂辅助表!Y92*1000,0)</f>
        <v>169</v>
      </c>
      <c r="J88" s="1">
        <f t="shared" ca="1" si="1"/>
        <v>3</v>
      </c>
      <c r="K88" s="1">
        <f ca="1">龙魂辅助表!AB92</f>
        <v>7</v>
      </c>
      <c r="L88" s="1">
        <f>龙魂辅助表!R92</f>
        <v>1</v>
      </c>
      <c r="M88" s="1">
        <f ca="1">VLOOKUP(龙魂辅助表!S92,[1]!属性定义,2,FALSE)</f>
        <v>7</v>
      </c>
      <c r="N88" s="1">
        <f>龙魂辅助表!T92</f>
        <v>2320</v>
      </c>
      <c r="O88" s="1"/>
      <c r="P88" s="1"/>
      <c r="Q88" s="1"/>
      <c r="R88" s="1"/>
      <c r="S88" s="1"/>
      <c r="T88" s="1"/>
    </row>
    <row r="89" spans="1:20">
      <c r="A89" s="1">
        <f ca="1">龙魂辅助表!B93</f>
        <v>1047</v>
      </c>
      <c r="B89" s="1" t="str">
        <f>龙魂辅助表!C93</f>
        <v>蟠螭</v>
      </c>
      <c r="C89" s="1">
        <f ca="1">龙魂辅助表!E93</f>
        <v>1046</v>
      </c>
      <c r="D89" s="1">
        <f ca="1">龙魂辅助表!F93</f>
        <v>47</v>
      </c>
      <c r="E89" s="1">
        <f>龙魂辅助表!G93</f>
        <v>1</v>
      </c>
      <c r="F89" s="1">
        <f>龙魂辅助表!H93</f>
        <v>1005</v>
      </c>
      <c r="G89" s="1">
        <f ca="1">VLOOKUP(F89,龙魂辅助表!$H$6:$I$96,2,FALSE)</f>
        <v>72</v>
      </c>
      <c r="H89" s="9">
        <f ca="1">龙魂辅助表!Z93</f>
        <v>690</v>
      </c>
      <c r="I89" s="1">
        <f ca="1">ROUND(龙魂辅助表!Y93*1000,0)</f>
        <v>155</v>
      </c>
      <c r="J89" s="1">
        <f t="shared" ca="1" si="1"/>
        <v>4</v>
      </c>
      <c r="K89" s="1">
        <f ca="1">龙魂辅助表!AB93</f>
        <v>8</v>
      </c>
      <c r="L89" s="1">
        <f>龙魂辅助表!R93</f>
        <v>1</v>
      </c>
      <c r="M89" s="1">
        <f ca="1">VLOOKUP(龙魂辅助表!S93,[1]!属性定义,2,FALSE)</f>
        <v>6</v>
      </c>
      <c r="N89" s="1">
        <f>龙魂辅助表!T93</f>
        <v>2142</v>
      </c>
      <c r="O89" s="1"/>
      <c r="P89" s="1"/>
      <c r="Q89" s="1"/>
      <c r="R89" s="1"/>
      <c r="S89" s="1"/>
      <c r="T89" s="1"/>
    </row>
    <row r="90" spans="1:20">
      <c r="A90" s="1">
        <f ca="1">龙魂辅助表!B94</f>
        <v>1048</v>
      </c>
      <c r="B90" s="1" t="str">
        <f>龙魂辅助表!C94</f>
        <v>蛟龙</v>
      </c>
      <c r="C90" s="1">
        <f ca="1">龙魂辅助表!E94</f>
        <v>1047</v>
      </c>
      <c r="D90" s="1">
        <f ca="1">龙魂辅助表!F94</f>
        <v>48</v>
      </c>
      <c r="E90" s="1">
        <f>龙魂辅助表!G94</f>
        <v>1</v>
      </c>
      <c r="F90" s="1">
        <f>龙魂辅助表!H94</f>
        <v>1005</v>
      </c>
      <c r="G90" s="1">
        <f ca="1">VLOOKUP(F90,龙魂辅助表!$H$6:$I$96,2,FALSE)</f>
        <v>72</v>
      </c>
      <c r="H90" s="9">
        <f ca="1">龙魂辅助表!Z94</f>
        <v>694</v>
      </c>
      <c r="I90" s="1">
        <f ca="1">ROUND(龙魂辅助表!Y94*1000,0)</f>
        <v>143</v>
      </c>
      <c r="J90" s="1">
        <f t="shared" ca="1" si="1"/>
        <v>4</v>
      </c>
      <c r="K90" s="1">
        <f ca="1">龙魂辅助表!AB94</f>
        <v>8</v>
      </c>
      <c r="L90" s="1">
        <f>龙魂辅助表!R94</f>
        <v>1</v>
      </c>
      <c r="M90" s="1">
        <f ca="1">VLOOKUP(龙魂辅助表!S94,[1]!属性定义,2,FALSE)</f>
        <v>2</v>
      </c>
      <c r="N90" s="1">
        <f>龙魂辅助表!T94</f>
        <v>845</v>
      </c>
      <c r="O90" s="1"/>
      <c r="P90" s="1"/>
      <c r="Q90" s="1"/>
      <c r="R90" s="1"/>
      <c r="S90" s="1"/>
      <c r="T90" s="1"/>
    </row>
    <row r="91" spans="1:20">
      <c r="A91" s="1">
        <f ca="1">龙魂辅助表!B95</f>
        <v>1049</v>
      </c>
      <c r="B91" s="1" t="str">
        <f>龙魂辅助表!C95</f>
        <v>角龙</v>
      </c>
      <c r="C91" s="1">
        <f ca="1">龙魂辅助表!E95</f>
        <v>1048</v>
      </c>
      <c r="D91" s="1">
        <f ca="1">龙魂辅助表!F95</f>
        <v>49</v>
      </c>
      <c r="E91" s="1">
        <f>龙魂辅助表!G95</f>
        <v>1</v>
      </c>
      <c r="F91" s="1">
        <f>龙魂辅助表!H95</f>
        <v>1005</v>
      </c>
      <c r="G91" s="1">
        <f ca="1">VLOOKUP(F91,龙魂辅助表!$H$6:$I$96,2,FALSE)</f>
        <v>72</v>
      </c>
      <c r="H91" s="9">
        <f ca="1">龙魂辅助表!Z95</f>
        <v>702</v>
      </c>
      <c r="I91" s="1">
        <f ca="1">ROUND(龙魂辅助表!Y95*1000,0)</f>
        <v>133</v>
      </c>
      <c r="J91" s="1">
        <f t="shared" ca="1" si="1"/>
        <v>4</v>
      </c>
      <c r="K91" s="1">
        <f ca="1">龙魂辅助表!AB95</f>
        <v>9</v>
      </c>
      <c r="L91" s="1">
        <f>龙魂辅助表!R95</f>
        <v>1</v>
      </c>
      <c r="M91" s="1">
        <f ca="1">VLOOKUP(龙魂辅助表!S95,[1]!属性定义,2,FALSE)</f>
        <v>3</v>
      </c>
      <c r="N91" s="1">
        <f>龙魂辅助表!T95</f>
        <v>846</v>
      </c>
      <c r="O91" s="1"/>
      <c r="P91" s="1"/>
      <c r="Q91" s="1"/>
      <c r="R91" s="1"/>
      <c r="S91" s="1"/>
      <c r="T91" s="1"/>
    </row>
    <row r="92" spans="1:20">
      <c r="A92" s="1">
        <f ca="1">龙魂辅助表!B96</f>
        <v>1050</v>
      </c>
      <c r="B92" s="1" t="str">
        <f>龙魂辅助表!C96</f>
        <v>应龙</v>
      </c>
      <c r="C92" s="1">
        <f ca="1">龙魂辅助表!E96</f>
        <v>1049</v>
      </c>
      <c r="D92" s="1">
        <f ca="1">龙魂辅助表!F96</f>
        <v>50</v>
      </c>
      <c r="E92" s="1">
        <f>龙魂辅助表!G96</f>
        <v>1</v>
      </c>
      <c r="F92" s="1">
        <f>龙魂辅助表!H96</f>
        <v>1005</v>
      </c>
      <c r="G92" s="1">
        <f ca="1">VLOOKUP(F92,龙魂辅助表!$H$6:$I$96,2,FALSE)</f>
        <v>72</v>
      </c>
      <c r="H92" s="9">
        <f ca="1">龙魂辅助表!Z96</f>
        <v>711</v>
      </c>
      <c r="I92" s="1">
        <f ca="1">ROUND(龙魂辅助表!Y96*1000,0)</f>
        <v>124</v>
      </c>
      <c r="J92" s="1">
        <f t="shared" ca="1" si="1"/>
        <v>5</v>
      </c>
      <c r="K92" s="1">
        <f ca="1">龙魂辅助表!AB96</f>
        <v>10</v>
      </c>
      <c r="L92" s="1">
        <f>龙魂辅助表!R96</f>
        <v>1</v>
      </c>
      <c r="M92" s="1">
        <f ca="1">VLOOKUP(龙魂辅助表!S96,[1]!属性定义,2,FALSE)</f>
        <v>1</v>
      </c>
      <c r="N92" s="1">
        <f>龙魂辅助表!T96</f>
        <v>23489</v>
      </c>
      <c r="O92" s="1"/>
      <c r="P92" s="1"/>
      <c r="Q92" s="1"/>
      <c r="R92" s="1"/>
      <c r="S92" s="1"/>
      <c r="T92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I7"/>
  <sheetViews>
    <sheetView workbookViewId="0">
      <selection activeCell="F16" sqref="F16"/>
    </sheetView>
  </sheetViews>
  <sheetFormatPr defaultRowHeight="13.5"/>
  <cols>
    <col min="1" max="1" width="9.5" bestFit="1" customWidth="1"/>
    <col min="2" max="2" width="11.625" bestFit="1" customWidth="1"/>
    <col min="3" max="3" width="7.5" bestFit="1" customWidth="1"/>
    <col min="4" max="9" width="10.5" bestFit="1" customWidth="1"/>
  </cols>
  <sheetData>
    <row r="1" spans="1:9">
      <c r="A1" s="5" t="s">
        <v>51</v>
      </c>
      <c r="B1" s="5" t="s">
        <v>52</v>
      </c>
      <c r="C1" s="5" t="s">
        <v>53</v>
      </c>
      <c r="D1" s="5" t="s">
        <v>54</v>
      </c>
      <c r="E1" s="5" t="s">
        <v>55</v>
      </c>
      <c r="F1" s="5" t="s">
        <v>56</v>
      </c>
      <c r="G1" s="5" t="s">
        <v>57</v>
      </c>
      <c r="H1" s="5" t="s">
        <v>58</v>
      </c>
      <c r="I1" s="5" t="s">
        <v>59</v>
      </c>
    </row>
    <row r="2" spans="1:9">
      <c r="A2" s="5">
        <v>1000</v>
      </c>
      <c r="B2" s="5" t="s">
        <v>117</v>
      </c>
      <c r="C2">
        <f>龙魂整图属性辅助表!W12</f>
        <v>2</v>
      </c>
      <c r="D2">
        <f ca="1">VLOOKUP(龙魂整图属性辅助表!X12,[1]!属性定义,2,FALSE)</f>
        <v>1</v>
      </c>
      <c r="E2">
        <f ca="1">龙魂整图属性辅助表!Y12</f>
        <v>2727</v>
      </c>
      <c r="F2">
        <f ca="1">VLOOKUP(龙魂整图属性辅助表!Z12,[1]!属性定义,2,FALSE)</f>
        <v>3</v>
      </c>
      <c r="G2">
        <f ca="1">龙魂整图属性辅助表!AA12</f>
        <v>137</v>
      </c>
      <c r="H2">
        <f ca="1">IFERROR(VLOOKUP(龙魂整图属性辅助表!AB12,[1]!属性定义,2,FALSE),0)</f>
        <v>0</v>
      </c>
      <c r="I2">
        <f ca="1">龙魂整图属性辅助表!AC12</f>
        <v>0</v>
      </c>
    </row>
    <row r="3" spans="1:9">
      <c r="A3" s="5">
        <v>1001</v>
      </c>
      <c r="B3" s="5" t="s">
        <v>137</v>
      </c>
      <c r="C3">
        <f>龙魂整图属性辅助表!W13</f>
        <v>2</v>
      </c>
      <c r="D3">
        <f ca="1">VLOOKUP(龙魂整图属性辅助表!X13,[1]!属性定义,2,FALSE)</f>
        <v>1</v>
      </c>
      <c r="E3">
        <f ca="1">龙魂整图属性辅助表!Y13</f>
        <v>4090</v>
      </c>
      <c r="F3">
        <f ca="1">VLOOKUP(龙魂整图属性辅助表!Z13,[1]!属性定义,2,FALSE)</f>
        <v>2</v>
      </c>
      <c r="G3">
        <f ca="1">龙魂整图属性辅助表!AA13</f>
        <v>253</v>
      </c>
      <c r="H3">
        <f ca="1">IFERROR(VLOOKUP(龙魂整图属性辅助表!AB13,[1]!属性定义,2,FALSE),0)</f>
        <v>0</v>
      </c>
      <c r="I3">
        <f ca="1">龙魂整图属性辅助表!AC13</f>
        <v>0</v>
      </c>
    </row>
    <row r="4" spans="1:9">
      <c r="A4" s="5">
        <v>1002</v>
      </c>
      <c r="B4" s="5" t="s">
        <v>119</v>
      </c>
      <c r="C4">
        <f>龙魂整图属性辅助表!W14</f>
        <v>2</v>
      </c>
      <c r="D4">
        <f ca="1">VLOOKUP(龙魂整图属性辅助表!X14,[1]!属性定义,2,FALSE)</f>
        <v>1</v>
      </c>
      <c r="E4">
        <f ca="1">龙魂整图属性辅助表!Y14</f>
        <v>8180</v>
      </c>
      <c r="F4">
        <f ca="1">VLOOKUP(龙魂整图属性辅助表!Z14,[1]!属性定义,2,FALSE)</f>
        <v>3</v>
      </c>
      <c r="G4">
        <f ca="1">龙魂整图属性辅助表!AA14</f>
        <v>273</v>
      </c>
      <c r="H4">
        <f ca="1">IFERROR(VLOOKUP(龙魂整图属性辅助表!AB14,[1]!属性定义,2,FALSE),0)</f>
        <v>0</v>
      </c>
      <c r="I4">
        <f ca="1">龙魂整图属性辅助表!AC14</f>
        <v>0</v>
      </c>
    </row>
    <row r="5" spans="1:9">
      <c r="A5" s="5">
        <v>1003</v>
      </c>
      <c r="B5" s="5" t="s">
        <v>138</v>
      </c>
      <c r="C5">
        <f>龙魂整图属性辅助表!W15</f>
        <v>2</v>
      </c>
      <c r="D5">
        <f ca="1">VLOOKUP(龙魂整图属性辅助表!X15,[1]!属性定义,2,FALSE)</f>
        <v>1</v>
      </c>
      <c r="E5">
        <f ca="1">龙魂整图属性辅助表!Y15</f>
        <v>9544</v>
      </c>
      <c r="F5">
        <f ca="1">VLOOKUP(龙魂整图属性辅助表!Z15,[1]!属性定义,2,FALSE)</f>
        <v>2</v>
      </c>
      <c r="G5">
        <f ca="1">龙魂整图属性辅助表!AA15</f>
        <v>506</v>
      </c>
      <c r="H5">
        <f ca="1">IFERROR(VLOOKUP(龙魂整图属性辅助表!AB15,[1]!属性定义,2,FALSE),0)</f>
        <v>0</v>
      </c>
      <c r="I5">
        <f ca="1">龙魂整图属性辅助表!AC15</f>
        <v>0</v>
      </c>
    </row>
    <row r="6" spans="1:9">
      <c r="A6" s="5">
        <v>1004</v>
      </c>
      <c r="B6" s="5" t="s">
        <v>121</v>
      </c>
      <c r="C6">
        <f>龙魂整图属性辅助表!W16</f>
        <v>2</v>
      </c>
      <c r="D6">
        <f ca="1">VLOOKUP(龙魂整图属性辅助表!X16,[1]!属性定义,2,FALSE)</f>
        <v>1</v>
      </c>
      <c r="E6">
        <f ca="1">龙魂整图属性辅助表!Y16</f>
        <v>16361</v>
      </c>
      <c r="F6">
        <f ca="1">VLOOKUP(龙魂整图属性辅助表!Z16,[1]!属性定义,2,FALSE)</f>
        <v>3</v>
      </c>
      <c r="G6">
        <f ca="1">龙魂整图属性辅助表!AA16</f>
        <v>546</v>
      </c>
      <c r="H6">
        <f ca="1">IFERROR(VLOOKUP(龙魂整图属性辅助表!AB16,[1]!属性定义,2,FALSE),0)</f>
        <v>0</v>
      </c>
      <c r="I6">
        <f ca="1">龙魂整图属性辅助表!AC16</f>
        <v>0</v>
      </c>
    </row>
    <row r="7" spans="1:9">
      <c r="A7" s="5">
        <v>1005</v>
      </c>
      <c r="B7" s="5" t="s">
        <v>139</v>
      </c>
      <c r="C7">
        <f>龙魂整图属性辅助表!W17</f>
        <v>2</v>
      </c>
      <c r="D7">
        <f ca="1">VLOOKUP(龙魂整图属性辅助表!X17,[1]!属性定义,2,FALSE)</f>
        <v>1</v>
      </c>
      <c r="E7">
        <f ca="1">龙魂整图属性辅助表!Y17</f>
        <v>21815</v>
      </c>
      <c r="F7">
        <f ca="1">VLOOKUP(龙魂整图属性辅助表!Z17,[1]!属性定义,2,FALSE)</f>
        <v>2</v>
      </c>
      <c r="G7">
        <f ca="1">龙魂整图属性辅助表!AA17</f>
        <v>1011</v>
      </c>
      <c r="H7">
        <f ca="1">IFERROR(VLOOKUP(龙魂整图属性辅助表!AB17,[1]!属性定义,2,FALSE),0)</f>
        <v>0</v>
      </c>
      <c r="I7">
        <f ca="1">龙魂整图属性辅助表!AC17</f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09"/>
  <sheetViews>
    <sheetView tabSelected="1" workbookViewId="0">
      <selection activeCell="Z16" sqref="Z16"/>
    </sheetView>
  </sheetViews>
  <sheetFormatPr defaultRowHeight="13.5"/>
  <cols>
    <col min="1" max="1" width="3.5" bestFit="1" customWidth="1"/>
    <col min="6" max="6" width="9.5" bestFit="1" customWidth="1"/>
    <col min="16" max="16" width="10.625" customWidth="1"/>
    <col min="17" max="17" width="7.625" customWidth="1"/>
    <col min="37" max="37" width="16.125" bestFit="1" customWidth="1"/>
    <col min="40" max="40" width="11.25" customWidth="1"/>
  </cols>
  <sheetData>
    <row r="1" spans="1:83">
      <c r="B1" s="7" t="s">
        <v>80</v>
      </c>
      <c r="C1" s="7">
        <v>1</v>
      </c>
      <c r="J1" t="str">
        <f>[1]各种公式!C12</f>
        <v>生命</v>
      </c>
      <c r="K1" t="str">
        <f>[1]各种公式!D12</f>
        <v>攻击</v>
      </c>
      <c r="L1" t="str">
        <f>[1]各种公式!E12</f>
        <v>防御</v>
      </c>
      <c r="M1" t="str">
        <f>[1]各种公式!F12</f>
        <v>闪避值</v>
      </c>
      <c r="N1" t="str">
        <f>[1]各种公式!G12</f>
        <v>命中值</v>
      </c>
      <c r="O1" t="str">
        <f>[1]各种公式!H12</f>
        <v>暴击值</v>
      </c>
      <c r="P1" t="str">
        <f>[1]各种公式!I12</f>
        <v>暴击倍数</v>
      </c>
      <c r="Q1" t="str">
        <f>[1]各种公式!J12</f>
        <v>韧性值</v>
      </c>
    </row>
    <row r="2" spans="1:83">
      <c r="B2" s="7" t="s">
        <v>81</v>
      </c>
      <c r="C2" s="7">
        <v>0.5</v>
      </c>
      <c r="D2">
        <f>1.5*C2</f>
        <v>0.75</v>
      </c>
      <c r="J2">
        <f>[1]各种公式!C13</f>
        <v>0.04</v>
      </c>
      <c r="K2">
        <f>[1]各种公式!D13</f>
        <v>1</v>
      </c>
      <c r="L2">
        <f>[1]各种公式!E13</f>
        <v>1</v>
      </c>
      <c r="M2">
        <f>[1]各种公式!F13</f>
        <v>0.34</v>
      </c>
      <c r="N2">
        <f>[1]各种公式!G13</f>
        <v>0.34</v>
      </c>
      <c r="O2">
        <f>[1]各种公式!H13</f>
        <v>0.18</v>
      </c>
      <c r="P2">
        <f>[1]各种公式!I13</f>
        <v>0.12</v>
      </c>
      <c r="Q2">
        <f>[1]各种公式!J13</f>
        <v>0.18</v>
      </c>
    </row>
    <row r="3" spans="1:83">
      <c r="J3" t="s">
        <v>140</v>
      </c>
      <c r="Y3" s="1">
        <f>1-(((W3-25)*D3*G3)/((W3-25)*D3*G3+$Y$4))</f>
        <v>1</v>
      </c>
      <c r="AF3" t="s">
        <v>30</v>
      </c>
      <c r="AG3">
        <v>100</v>
      </c>
    </row>
    <row r="4" spans="1:83">
      <c r="J4">
        <v>2</v>
      </c>
      <c r="K4">
        <v>3</v>
      </c>
      <c r="L4">
        <v>4</v>
      </c>
      <c r="M4">
        <v>5</v>
      </c>
      <c r="N4">
        <v>6</v>
      </c>
      <c r="O4">
        <v>7</v>
      </c>
      <c r="P4">
        <v>8</v>
      </c>
      <c r="Q4">
        <v>9</v>
      </c>
      <c r="U4" s="12"/>
      <c r="V4" s="12"/>
      <c r="X4" s="16" t="s">
        <v>113</v>
      </c>
      <c r="Y4" s="16">
        <v>5</v>
      </c>
      <c r="Z4" s="12"/>
      <c r="AA4" s="12"/>
      <c r="AB4" s="12"/>
      <c r="AY4" t="s">
        <v>104</v>
      </c>
    </row>
    <row r="5" spans="1:83">
      <c r="B5" s="2" t="s">
        <v>31</v>
      </c>
      <c r="C5" s="2" t="s">
        <v>0</v>
      </c>
      <c r="D5" s="2" t="s">
        <v>29</v>
      </c>
      <c r="E5" s="2" t="s">
        <v>1</v>
      </c>
      <c r="F5" s="2" t="s">
        <v>2</v>
      </c>
      <c r="G5" s="2" t="s">
        <v>3</v>
      </c>
      <c r="H5" s="2" t="s">
        <v>4</v>
      </c>
      <c r="I5" s="2" t="s">
        <v>5</v>
      </c>
      <c r="J5" s="2" t="str">
        <f>[1]各种公式!C12</f>
        <v>生命</v>
      </c>
      <c r="K5" s="2" t="str">
        <f>[1]各种公式!D12</f>
        <v>攻击</v>
      </c>
      <c r="L5" s="2" t="str">
        <f>[1]各种公式!E12</f>
        <v>防御</v>
      </c>
      <c r="M5" s="2" t="str">
        <f>[1]各种公式!F12</f>
        <v>闪避值</v>
      </c>
      <c r="N5" s="2" t="str">
        <f>[1]各种公式!G12</f>
        <v>命中值</v>
      </c>
      <c r="O5" s="2" t="str">
        <f>[1]各种公式!H12</f>
        <v>暴击值</v>
      </c>
      <c r="P5" s="2" t="str">
        <f>[1]各种公式!I12</f>
        <v>暴击倍数</v>
      </c>
      <c r="Q5" s="2" t="str">
        <f>[1]各种公式!J12</f>
        <v>韧性值</v>
      </c>
      <c r="R5" s="2" t="s">
        <v>6</v>
      </c>
      <c r="S5" s="2" t="s">
        <v>7</v>
      </c>
      <c r="T5" s="2" t="s">
        <v>8</v>
      </c>
      <c r="U5" s="2" t="s">
        <v>115</v>
      </c>
      <c r="V5" s="2" t="s">
        <v>50</v>
      </c>
      <c r="W5" s="2" t="s">
        <v>105</v>
      </c>
      <c r="X5" s="2" t="s">
        <v>108</v>
      </c>
      <c r="Y5" s="13" t="s">
        <v>109</v>
      </c>
      <c r="Z5" s="14" t="s">
        <v>110</v>
      </c>
      <c r="AA5" s="14" t="s">
        <v>114</v>
      </c>
      <c r="AB5" s="14" t="s">
        <v>111</v>
      </c>
      <c r="AC5" s="14" t="s">
        <v>112</v>
      </c>
      <c r="AD5" s="20"/>
      <c r="AE5" s="20" t="s">
        <v>141</v>
      </c>
      <c r="AH5" s="2" t="str">
        <f t="shared" ref="AH5:AO5" si="0">J5</f>
        <v>生命</v>
      </c>
      <c r="AI5" s="2" t="str">
        <f t="shared" si="0"/>
        <v>攻击</v>
      </c>
      <c r="AJ5" s="2" t="str">
        <f t="shared" si="0"/>
        <v>防御</v>
      </c>
      <c r="AK5" s="2" t="str">
        <f t="shared" si="0"/>
        <v>闪避值</v>
      </c>
      <c r="AL5" s="2" t="str">
        <f t="shared" si="0"/>
        <v>命中值</v>
      </c>
      <c r="AM5" s="2" t="str">
        <f t="shared" si="0"/>
        <v>暴击值</v>
      </c>
      <c r="AN5" s="2" t="str">
        <f t="shared" si="0"/>
        <v>暴击倍数</v>
      </c>
      <c r="AO5" s="2" t="str">
        <f t="shared" si="0"/>
        <v>韧性值</v>
      </c>
      <c r="AY5" s="2" t="s">
        <v>82</v>
      </c>
      <c r="AZ5" s="2" t="s">
        <v>83</v>
      </c>
      <c r="BA5" s="2" t="s">
        <v>84</v>
      </c>
      <c r="BB5" s="2" t="s">
        <v>85</v>
      </c>
      <c r="BC5" s="2" t="s">
        <v>86</v>
      </c>
      <c r="BD5" s="2" t="s">
        <v>87</v>
      </c>
      <c r="BE5" s="2" t="s">
        <v>88</v>
      </c>
      <c r="BF5" s="2" t="s">
        <v>89</v>
      </c>
      <c r="BG5" s="2" t="s">
        <v>90</v>
      </c>
      <c r="BH5" s="2" t="s">
        <v>91</v>
      </c>
      <c r="BI5" s="2" t="s">
        <v>92</v>
      </c>
      <c r="BJ5" s="2" t="s">
        <v>93</v>
      </c>
      <c r="BK5" s="2" t="s">
        <v>94</v>
      </c>
      <c r="BL5" s="2" t="s">
        <v>95</v>
      </c>
      <c r="BM5" s="2" t="s">
        <v>96</v>
      </c>
      <c r="BN5" s="2" t="s">
        <v>97</v>
      </c>
      <c r="BO5" s="2" t="s">
        <v>98</v>
      </c>
      <c r="BP5" s="2" t="s">
        <v>99</v>
      </c>
      <c r="BQ5" s="2" t="s">
        <v>100</v>
      </c>
      <c r="BR5" s="3"/>
      <c r="BS5" s="3" t="s">
        <v>101</v>
      </c>
      <c r="BT5" s="3" t="s">
        <v>102</v>
      </c>
      <c r="BU5" s="3"/>
      <c r="BV5" s="3" t="s">
        <v>102</v>
      </c>
      <c r="BX5" s="2" t="str">
        <f t="shared" ref="BX5" si="1">BE5</f>
        <v>龙纹图ID</v>
      </c>
      <c r="BY5" s="2" t="str">
        <f t="shared" ref="BY5" si="2">BF5</f>
        <v>开启等级</v>
      </c>
      <c r="BZ5" s="2" t="str">
        <f t="shared" ref="BZ5" si="3">BG5</f>
        <v>生命</v>
      </c>
      <c r="CA5" s="2" t="str">
        <f t="shared" ref="CA5" si="4">BH5</f>
        <v>攻击</v>
      </c>
      <c r="CB5" s="2" t="str">
        <f t="shared" ref="CB5" si="5">BI5</f>
        <v>防御</v>
      </c>
      <c r="CC5" s="2" t="str">
        <f t="shared" ref="CC5" si="6">BJ5</f>
        <v>闪避值</v>
      </c>
      <c r="CD5" s="2" t="str">
        <f t="shared" ref="CD5" si="7">BK5</f>
        <v>命中值</v>
      </c>
      <c r="CE5" s="2" t="str">
        <f t="shared" ref="CE5" si="8">BL5</f>
        <v>暴击值</v>
      </c>
    </row>
    <row r="6" spans="1:83">
      <c r="A6">
        <v>1</v>
      </c>
      <c r="B6" s="1">
        <f>G6*1000+F6</f>
        <v>1001</v>
      </c>
      <c r="C6" s="1" t="s">
        <v>9</v>
      </c>
      <c r="D6" s="1">
        <v>1</v>
      </c>
      <c r="E6" s="1">
        <v>0</v>
      </c>
      <c r="F6" s="1">
        <f>SUMIF($G$6:G6,G6,$G$6:$G$78)/G6</f>
        <v>1</v>
      </c>
      <c r="G6" s="1">
        <v>1</v>
      </c>
      <c r="H6" s="1">
        <v>1000</v>
      </c>
      <c r="I6" s="1">
        <f>IF(G6=1,24+F6+D6,SUMIF($B$6:$B$96,E6,$I$6:$I$96))</f>
        <v>26</v>
      </c>
      <c r="J6" s="1">
        <f>VLOOKUP($J$3,[1]!龙魂分图属性,J$4,FALSE)*(AH6*$AG6)/IF(SUMPRODUCT(AH$6:AH$96*$AG$6:$AG$96)=0,1,SUMPRODUCT(AH$6:AH$96*$AG$6:$AG$96))</f>
        <v>0</v>
      </c>
      <c r="K6" s="1">
        <f>VLOOKUP($J$3,[1]!龙魂分图属性,K$4,FALSE)*(AI6*$AG6)/IF(SUMPRODUCT(AI$6:AI$96*$AG$6:$AG$96)=0,1,SUMPRODUCT(AI$6:AI$96*$AG$6:$AG$96))</f>
        <v>34.691225182728921</v>
      </c>
      <c r="L6" s="1">
        <f>VLOOKUP($J$3,[1]!龙魂分图属性,L$4,FALSE)*(AJ6*$AG6)/IF(SUMPRODUCT(AJ$6:AJ$96*$AG$6:$AG$96)=0,1,SUMPRODUCT(AJ$6:AJ$96*$AG$6:$AG$96))</f>
        <v>0</v>
      </c>
      <c r="M6" s="1">
        <f>VLOOKUP($J$3,[1]!龙魂分图属性,M$4,FALSE)*(AK6*$AG6)/IF(SUMPRODUCT(AK$6:AK$96*$AG$6:$AG$96)=0,1,SUMPRODUCT(AK$6:AK$96*$AG$6:$AG$96))</f>
        <v>0</v>
      </c>
      <c r="N6" s="1">
        <f>VLOOKUP($J$3,[1]!龙魂分图属性,N$4,FALSE)*(AL6*$AG6)/IF(SUMPRODUCT(AL$6:AL$96*$AG$6:$AG$96)=0,1,SUMPRODUCT(AL$6:AL$96*$AG$6:$AG$96))</f>
        <v>0</v>
      </c>
      <c r="O6" s="1">
        <f>VLOOKUP($J$3,[1]!龙魂分图属性,O$4,FALSE)*(AM6*$AG6)/IF(SUMPRODUCT(AM$6:AM$96*$AG$6:$AG$96)=0,1,SUMPRODUCT(AM$6:AM$96*$AG$6:$AG$96))</f>
        <v>0</v>
      </c>
      <c r="P6" s="1">
        <f>VLOOKUP($J$3,[1]!龙魂分图属性,P$4,FALSE)*(AN6*$AG6)/IF(SUMPRODUCT(AN$6:AN$96*$AG$6:$AG$96)=0,1,SUMPRODUCT(AN$6:AN$96*$AG$6:$AG$96))</f>
        <v>0</v>
      </c>
      <c r="Q6" s="1">
        <f>VLOOKUP($J$3,[1]!龙魂分图属性,Q$4,FALSE)*(AO6*$AG6)/IF(SUMPRODUCT(AO$6:AO$96*$AG$6:$AG$96)=0,1,SUMPRODUCT(AO$6:AO$96*$AG$6:$AG$96))</f>
        <v>0</v>
      </c>
      <c r="R6" s="1">
        <f t="shared" ref="R6:R37" si="9">COUNTIF(J6:Q6,"&gt;0")</f>
        <v>1</v>
      </c>
      <c r="S6" s="1" t="str">
        <f t="array" aca="1" ref="S6" ca="1">OFFSET($I$5,0,MATCH(1,1/(J6:Q6&gt;0),0))</f>
        <v>攻击</v>
      </c>
      <c r="T6" s="1">
        <f>ROUND(SUM(J6:Q6),0)</f>
        <v>35</v>
      </c>
      <c r="U6" s="1">
        <f>V6/X6</f>
        <v>0.41603342187824399</v>
      </c>
      <c r="V6" s="19">
        <f t="shared" ref="V6:V37" si="10">SUMPRODUCT(J6:Q6,$J$2:$Q$2)</f>
        <v>34.691225182728921</v>
      </c>
      <c r="W6" s="18">
        <f>IF(G6=1,24+F6+D6,SUMIF($B$6:$B$96,E6,$W$6:$W$96)+1)</f>
        <v>26</v>
      </c>
      <c r="X6" s="1">
        <f>(VLOOKUP(W6,[2]龙魂的投放!$G$17:$L$117,6,FALSE)+SUMIF(龙魂整图属性辅助表!$E$12:$E$17,H6,龙魂整图属性辅助表!$T$12:$T$17)/COUNTIF($H$6:$H$96,H6))/INDEX($C$1:$C$2,G6)</f>
        <v>83.385668935227102</v>
      </c>
      <c r="Y6" s="1">
        <f>1-(((AD6+D6+G6-2)*G6*D6)/((AD6+D6+G6-2)*G6*D6+$Y$4+D6*G6))</f>
        <v>1</v>
      </c>
      <c r="Z6" s="1">
        <f ca="1">SMALL($AE$6:$AE$15,AD6+1)</f>
        <v>61</v>
      </c>
      <c r="AA6" s="1">
        <f>1/Y6</f>
        <v>1</v>
      </c>
      <c r="AB6" s="18">
        <v>1</v>
      </c>
      <c r="AC6" s="1">
        <f ca="1">Z6*AB6</f>
        <v>61</v>
      </c>
      <c r="AD6" s="21">
        <f>W6-VLOOKUP(D6,$D$6:$W$96,20,0)</f>
        <v>0</v>
      </c>
      <c r="AE6" s="21">
        <f>ROUND(X6*Y6*(AD6/8*0.4+0.9),0)</f>
        <v>75</v>
      </c>
      <c r="AF6">
        <v>0.01</v>
      </c>
      <c r="AG6">
        <f t="shared" ref="AG6:AG37" si="11">(1+AF6)*D6</f>
        <v>1.01</v>
      </c>
      <c r="AH6" s="1"/>
      <c r="AI6" s="1">
        <v>1</v>
      </c>
      <c r="AJ6" s="1"/>
      <c r="AK6" s="1"/>
      <c r="AL6" s="1"/>
      <c r="AM6" s="1"/>
      <c r="AN6" s="1"/>
      <c r="AO6" s="1"/>
      <c r="AY6" s="1">
        <v>1001</v>
      </c>
      <c r="AZ6" s="1" t="s">
        <v>9</v>
      </c>
      <c r="BA6" s="1">
        <v>1</v>
      </c>
      <c r="BB6" s="1">
        <v>0</v>
      </c>
      <c r="BC6" s="1">
        <v>1</v>
      </c>
      <c r="BD6" s="1">
        <v>1</v>
      </c>
      <c r="BE6" s="1">
        <v>1000</v>
      </c>
      <c r="BF6" s="1">
        <v>30</v>
      </c>
      <c r="BG6" s="1">
        <v>736.41251134964307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1</v>
      </c>
      <c r="BP6" s="1" t="s">
        <v>90</v>
      </c>
      <c r="BQ6" s="1">
        <v>736</v>
      </c>
      <c r="BR6" s="1"/>
      <c r="BS6" s="1">
        <v>30.076480535223677</v>
      </c>
      <c r="BT6" s="1">
        <v>29.690455299353662</v>
      </c>
      <c r="BU6" s="1"/>
      <c r="BV6" s="1">
        <v>101</v>
      </c>
      <c r="BX6" s="1">
        <v>1</v>
      </c>
      <c r="BY6" s="1"/>
      <c r="BZ6" s="1"/>
      <c r="CA6" s="1"/>
      <c r="CB6" s="1"/>
      <c r="CC6" s="1"/>
      <c r="CD6" s="1"/>
      <c r="CE6" s="1"/>
    </row>
    <row r="7" spans="1:83">
      <c r="A7">
        <v>2</v>
      </c>
      <c r="B7" s="1">
        <f t="shared" ref="B7:B70" si="12">G7*1000+F7</f>
        <v>1002</v>
      </c>
      <c r="C7" s="1" t="s">
        <v>10</v>
      </c>
      <c r="D7" s="1">
        <v>1</v>
      </c>
      <c r="E7" s="1">
        <f>B6</f>
        <v>1001</v>
      </c>
      <c r="F7" s="1">
        <f>SUMIF($G$6:G7,G7,$G$6:$G$78)/G7</f>
        <v>2</v>
      </c>
      <c r="G7" s="1">
        <v>1</v>
      </c>
      <c r="H7" s="1">
        <v>1000</v>
      </c>
      <c r="I7" s="1">
        <f t="shared" ref="I7:I70" si="13">IF(G7=1,24+F7+D7,SUMIF($B$6:$B$96,E7,$I$6:$I$96))</f>
        <v>27</v>
      </c>
      <c r="J7" s="1">
        <f>VLOOKUP($J$3,[1]!龙魂分图属性,J$4,FALSE)*(AH7*$AG7)/IF(SUMPRODUCT(AH$6:AH$96*$AG$6:$AG$96)=0,1,SUMPRODUCT(AH$6:AH$96*$AG$6:$AG$96))</f>
        <v>955.2888700297882</v>
      </c>
      <c r="K7" s="1">
        <f>VLOOKUP($J$3,[1]!龙魂分图属性,K$4,FALSE)*(AI7*$AG7)/IF(SUMPRODUCT(AI$6:AI$96*$AG$6:$AG$96)=0,1,SUMPRODUCT(AI$6:AI$96*$AG$6:$AG$96))</f>
        <v>0</v>
      </c>
      <c r="L7" s="1">
        <f>VLOOKUP($J$3,[1]!龙魂分图属性,L$4,FALSE)*(AJ7*$AG7)/IF(SUMPRODUCT(AJ$6:AJ$96*$AG$6:$AG$96)=0,1,SUMPRODUCT(AJ$6:AJ$96*$AG$6:$AG$96))</f>
        <v>0</v>
      </c>
      <c r="M7" s="1">
        <f>VLOOKUP($J$3,[1]!龙魂分图属性,M$4,FALSE)*(AK7*$AG7)/IF(SUMPRODUCT(AK$6:AK$96*$AG$6:$AG$96)=0,1,SUMPRODUCT(AK$6:AK$96*$AG$6:$AG$96))</f>
        <v>0</v>
      </c>
      <c r="N7" s="1">
        <f>VLOOKUP($J$3,[1]!龙魂分图属性,N$4,FALSE)*(AL7*$AG7)/IF(SUMPRODUCT(AL$6:AL$96*$AG$6:$AG$96)=0,1,SUMPRODUCT(AL$6:AL$96*$AG$6:$AG$96))</f>
        <v>0</v>
      </c>
      <c r="O7" s="1">
        <f>VLOOKUP($J$3,[1]!龙魂分图属性,O$4,FALSE)*(AM7*$AG7)/IF(SUMPRODUCT(AM$6:AM$96*$AG$6:$AG$96)=0,1,SUMPRODUCT(AM$6:AM$96*$AG$6:$AG$96))</f>
        <v>0</v>
      </c>
      <c r="P7" s="1">
        <f>VLOOKUP($J$3,[1]!龙魂分图属性,P$4,FALSE)*(AN7*$AG7)/IF(SUMPRODUCT(AN$6:AN$96*$AG$6:$AG$96)=0,1,SUMPRODUCT(AN$6:AN$96*$AG$6:$AG$96))</f>
        <v>0</v>
      </c>
      <c r="Q7" s="1">
        <f>VLOOKUP($J$3,[1]!龙魂分图属性,Q$4,FALSE)*(AO7*$AG7)/IF(SUMPRODUCT(AO$6:AO$96*$AG$6:$AG$96)=0,1,SUMPRODUCT(AO$6:AO$96*$AG$6:$AG$96))</f>
        <v>0</v>
      </c>
      <c r="R7" s="1">
        <f t="shared" si="9"/>
        <v>1</v>
      </c>
      <c r="S7" s="1" t="str">
        <f t="array" aca="1" ref="S7" ca="1">OFFSET($I$5,0,MATCH(1,1/(J7:Q7&gt;0),0))</f>
        <v>生命</v>
      </c>
      <c r="T7" s="1">
        <f t="shared" ref="T7:T37" si="14">ROUND(SUM(J7:Q7),0)</f>
        <v>955</v>
      </c>
      <c r="U7" s="1">
        <f t="shared" ref="U7:U70" si="15">V7/X7</f>
        <v>0.38137113717051169</v>
      </c>
      <c r="V7" s="19">
        <f t="shared" si="10"/>
        <v>38.211554801191532</v>
      </c>
      <c r="W7" s="18">
        <f t="shared" ref="W7:W70" si="16">IF(G7=1,24+F7+D7,SUMIF($B$6:$B$96,E7,$W$6:$W$96)+1)</f>
        <v>27</v>
      </c>
      <c r="X7" s="1">
        <f>(VLOOKUP(W7,[2]龙魂的投放!$G$17:$L$117,6,FALSE)+SUMIF(龙魂整图属性辅助表!$E$12:$E$17,H7,龙魂整图属性辅助表!$T$12:$T$17)/COUNTIF($H$6:$H$96,H7))/INDEX($C$1:$C$2,G7)</f>
        <v>100.19519328256632</v>
      </c>
      <c r="Y7" s="1">
        <f t="shared" ref="Y7:Y70" si="17">1-(((AD7+D7+G7-2)*G7*D7)/((AD7+D7+G7-2)*G7*D7+$Y$4+D7*G7))</f>
        <v>0.85714285714285721</v>
      </c>
      <c r="Z7" s="1">
        <f t="shared" ref="Z7:Z15" ca="1" si="18">SMALL($AE$6:$AE$15,AD7+1)</f>
        <v>69</v>
      </c>
      <c r="AA7" s="1">
        <f t="shared" ref="AA7:AA70" si="19">1/Y7</f>
        <v>1.1666666666666665</v>
      </c>
      <c r="AB7" s="18">
        <f t="shared" ref="AB7:AB70" si="20">ROUNDUP(1/Y7,0)+G7-IF(D7=1,0,0)</f>
        <v>3</v>
      </c>
      <c r="AC7" s="1">
        <f t="shared" ref="AC7:AC70" ca="1" si="21">Z7*AB7</f>
        <v>207</v>
      </c>
      <c r="AD7" s="21">
        <f>W7-VLOOKUP(D7,$D$6:$W$96,20,0)</f>
        <v>1</v>
      </c>
      <c r="AE7" s="21">
        <f t="shared" ref="AE7:AE70" si="22">ROUND(X7*Y7*(AD7/8*0.4+0.9),0)</f>
        <v>82</v>
      </c>
      <c r="AF7">
        <v>0.02</v>
      </c>
      <c r="AG7">
        <f t="shared" si="11"/>
        <v>1.02</v>
      </c>
      <c r="AH7" s="1">
        <v>1</v>
      </c>
      <c r="AI7" s="1"/>
      <c r="AJ7" s="1"/>
      <c r="AK7" s="1"/>
      <c r="AL7" s="1"/>
      <c r="AM7" s="1"/>
      <c r="AN7" s="1"/>
      <c r="AO7" s="1"/>
      <c r="AY7" s="1">
        <v>1002</v>
      </c>
      <c r="AZ7" s="1" t="s">
        <v>10</v>
      </c>
      <c r="BA7" s="1">
        <v>1</v>
      </c>
      <c r="BB7" s="1">
        <v>1001</v>
      </c>
      <c r="BC7" s="1">
        <v>2</v>
      </c>
      <c r="BD7" s="1">
        <v>1</v>
      </c>
      <c r="BE7" s="1">
        <v>1000</v>
      </c>
      <c r="BF7" s="1">
        <v>31</v>
      </c>
      <c r="BG7" s="1">
        <v>0</v>
      </c>
      <c r="BH7" s="1">
        <v>19.259880267898968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1</v>
      </c>
      <c r="BP7" s="1" t="s">
        <v>91</v>
      </c>
      <c r="BQ7" s="1">
        <v>19</v>
      </c>
      <c r="BR7" s="1"/>
      <c r="BS7" s="1">
        <v>19.259880267898968</v>
      </c>
      <c r="BT7" s="1">
        <v>32.682037784871603</v>
      </c>
      <c r="BU7" s="1"/>
      <c r="BV7" s="1">
        <v>102</v>
      </c>
      <c r="BX7" s="1"/>
      <c r="BY7" s="1">
        <v>1</v>
      </c>
      <c r="BZ7" s="1"/>
      <c r="CA7" s="1"/>
      <c r="CB7" s="1"/>
      <c r="CC7" s="1"/>
      <c r="CD7" s="1"/>
      <c r="CE7" s="1"/>
    </row>
    <row r="8" spans="1:83">
      <c r="A8">
        <v>3</v>
      </c>
      <c r="B8" s="1">
        <f t="shared" si="12"/>
        <v>1003</v>
      </c>
      <c r="C8" s="1" t="s">
        <v>11</v>
      </c>
      <c r="D8" s="1">
        <v>1</v>
      </c>
      <c r="E8" s="1">
        <f t="shared" ref="E8:E56" si="23">B7</f>
        <v>1002</v>
      </c>
      <c r="F8" s="1">
        <f>SUMIF($G$6:G8,G8,$G$6:$G$78)/G8</f>
        <v>3</v>
      </c>
      <c r="G8" s="1">
        <v>1</v>
      </c>
      <c r="H8" s="1">
        <v>1000</v>
      </c>
      <c r="I8" s="1">
        <f t="shared" si="13"/>
        <v>28</v>
      </c>
      <c r="J8" s="1">
        <f>VLOOKUP($J$3,[1]!龙魂分图属性,J$4,FALSE)*(AH8*$AG8)/IF(SUMPRODUCT(AH$6:AH$96*$AG$6:$AG$96)=0,1,SUMPRODUCT(AH$6:AH$96*$AG$6:$AG$96))</f>
        <v>0</v>
      </c>
      <c r="K8" s="1">
        <f>VLOOKUP($J$3,[1]!龙魂分图属性,K$4,FALSE)*(AI8*$AG8)/IF(SUMPRODUCT(AI$6:AI$96*$AG$6:$AG$96)=0,1,SUMPRODUCT(AI$6:AI$96*$AG$6:$AG$96))</f>
        <v>0</v>
      </c>
      <c r="L8" s="1">
        <f>VLOOKUP($J$3,[1]!龙魂分图属性,L$4,FALSE)*(AJ8*$AG8)/IF(SUMPRODUCT(AJ$6:AJ$96*$AG$6:$AG$96)=0,1,SUMPRODUCT(AJ$6:AJ$96*$AG$6:$AG$96))</f>
        <v>35.059146245116374</v>
      </c>
      <c r="M8" s="1">
        <f>VLOOKUP($J$3,[1]!龙魂分图属性,M$4,FALSE)*(AK8*$AG8)/IF(SUMPRODUCT(AK$6:AK$96*$AG$6:$AG$96)=0,1,SUMPRODUCT(AK$6:AK$96*$AG$6:$AG$96))</f>
        <v>0</v>
      </c>
      <c r="N8" s="1">
        <f>VLOOKUP($J$3,[1]!龙魂分图属性,N$4,FALSE)*(AL8*$AG8)/IF(SUMPRODUCT(AL$6:AL$96*$AG$6:$AG$96)=0,1,SUMPRODUCT(AL$6:AL$96*$AG$6:$AG$96))</f>
        <v>0</v>
      </c>
      <c r="O8" s="1">
        <f>VLOOKUP($J$3,[1]!龙魂分图属性,O$4,FALSE)*(AM8*$AG8)/IF(SUMPRODUCT(AM$6:AM$96*$AG$6:$AG$96)=0,1,SUMPRODUCT(AM$6:AM$96*$AG$6:$AG$96))</f>
        <v>0</v>
      </c>
      <c r="P8" s="1">
        <f>VLOOKUP($J$3,[1]!龙魂分图属性,P$4,FALSE)*(AN8*$AG8)/IF(SUMPRODUCT(AN$6:AN$96*$AG$6:$AG$96)=0,1,SUMPRODUCT(AN$6:AN$96*$AG$6:$AG$96))</f>
        <v>0</v>
      </c>
      <c r="Q8" s="1">
        <f>VLOOKUP($J$3,[1]!龙魂分图属性,Q$4,FALSE)*(AO8*$AG8)/IF(SUMPRODUCT(AO$6:AO$96*$AG$6:$AG$96)=0,1,SUMPRODUCT(AO$6:AO$96*$AG$6:$AG$96))</f>
        <v>0</v>
      </c>
      <c r="R8" s="1">
        <f t="shared" si="9"/>
        <v>1</v>
      </c>
      <c r="S8" s="1" t="str">
        <f t="array" aca="1" ref="S8" ca="1">OFFSET($I$5,0,MATCH(1,1/(J8:Q8&gt;0),0))</f>
        <v>防御</v>
      </c>
      <c r="T8" s="1">
        <f t="shared" si="14"/>
        <v>35</v>
      </c>
      <c r="U8" s="1">
        <f t="shared" si="15"/>
        <v>0.43059878861733469</v>
      </c>
      <c r="V8" s="19">
        <f t="shared" si="10"/>
        <v>35.059146245116374</v>
      </c>
      <c r="W8" s="18">
        <f t="shared" si="16"/>
        <v>28</v>
      </c>
      <c r="X8" s="1">
        <f>(VLOOKUP(W8,[2]龙魂的投放!$G$17:$L$117,6,FALSE)+SUMIF(龙魂整图属性辅助表!$E$12:$E$17,H8,龙魂整图属性辅助表!$T$12:$T$17)/COUNTIF($H$6:$H$96,H8))/INDEX($C$1:$C$2,G8)</f>
        <v>81.419518985857621</v>
      </c>
      <c r="Y8" s="1">
        <f t="shared" si="17"/>
        <v>0.75</v>
      </c>
      <c r="Z8" s="1">
        <f t="shared" ca="1" si="18"/>
        <v>70</v>
      </c>
      <c r="AA8" s="1">
        <f t="shared" si="19"/>
        <v>1.3333333333333333</v>
      </c>
      <c r="AB8" s="18">
        <f t="shared" si="20"/>
        <v>3</v>
      </c>
      <c r="AC8" s="1">
        <f t="shared" ca="1" si="21"/>
        <v>210</v>
      </c>
      <c r="AD8" s="21">
        <f t="shared" ref="AD8:AD70" si="24">W8-VLOOKUP(D8,$D$6:$W$96,20,0)</f>
        <v>2</v>
      </c>
      <c r="AE8" s="21">
        <f t="shared" si="22"/>
        <v>61</v>
      </c>
      <c r="AF8">
        <v>0.03</v>
      </c>
      <c r="AG8">
        <f t="shared" si="11"/>
        <v>1.03</v>
      </c>
      <c r="AH8" s="1"/>
      <c r="AI8" s="1"/>
      <c r="AJ8" s="1">
        <v>1</v>
      </c>
      <c r="AK8" s="1"/>
      <c r="AL8" s="1"/>
      <c r="AM8" s="1"/>
      <c r="AN8" s="1"/>
      <c r="AO8" s="1"/>
      <c r="AY8" s="1">
        <v>1003</v>
      </c>
      <c r="AZ8" s="1" t="s">
        <v>11</v>
      </c>
      <c r="BA8" s="1">
        <v>1</v>
      </c>
      <c r="BB8" s="1">
        <v>1002</v>
      </c>
      <c r="BC8" s="1">
        <v>3</v>
      </c>
      <c r="BD8" s="1">
        <v>1</v>
      </c>
      <c r="BE8" s="1">
        <v>1000</v>
      </c>
      <c r="BF8" s="1">
        <v>32</v>
      </c>
      <c r="BG8" s="1">
        <v>0</v>
      </c>
      <c r="BH8" s="1">
        <v>0</v>
      </c>
      <c r="BI8" s="1">
        <v>10.697759919957218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1</v>
      </c>
      <c r="BP8" s="1" t="s">
        <v>92</v>
      </c>
      <c r="BQ8" s="1">
        <v>11</v>
      </c>
      <c r="BR8" s="1"/>
      <c r="BS8" s="1">
        <v>10.697759919957218</v>
      </c>
      <c r="BT8" s="1">
        <v>35.975049321491134</v>
      </c>
      <c r="BU8" s="1"/>
      <c r="BV8" s="1">
        <v>103</v>
      </c>
      <c r="BX8" s="1"/>
      <c r="BY8" s="1"/>
      <c r="BZ8" s="1">
        <v>1</v>
      </c>
      <c r="CA8" s="1"/>
      <c r="CB8" s="1"/>
      <c r="CC8" s="1"/>
      <c r="CD8" s="1"/>
      <c r="CE8" s="1"/>
    </row>
    <row r="9" spans="1:83">
      <c r="A9">
        <v>4</v>
      </c>
      <c r="B9" s="1">
        <f t="shared" si="12"/>
        <v>1004</v>
      </c>
      <c r="C9" s="1" t="s">
        <v>12</v>
      </c>
      <c r="D9" s="1">
        <v>1</v>
      </c>
      <c r="E9" s="1">
        <f t="shared" si="23"/>
        <v>1003</v>
      </c>
      <c r="F9" s="1">
        <f>SUMIF($G$6:G9,G9,$G$6:$G$78)/G9</f>
        <v>4</v>
      </c>
      <c r="G9" s="1">
        <v>1</v>
      </c>
      <c r="H9" s="1">
        <v>1000</v>
      </c>
      <c r="I9" s="1">
        <f t="shared" si="13"/>
        <v>29</v>
      </c>
      <c r="J9" s="1">
        <f>VLOOKUP($J$3,[1]!龙魂分图属性,J$4,FALSE)*(AH9*$AG9)/IF(SUMPRODUCT(AH$6:AH$96*$AG$6:$AG$96)=0,1,SUMPRODUCT(AH$6:AH$96*$AG$6:$AG$96))</f>
        <v>974.02002434409781</v>
      </c>
      <c r="K9" s="1">
        <f>VLOOKUP($J$3,[1]!龙魂分图属性,K$4,FALSE)*(AI9*$AG9)/IF(SUMPRODUCT(AI$6:AI$96*$AG$6:$AG$96)=0,1,SUMPRODUCT(AI$6:AI$96*$AG$6:$AG$96))</f>
        <v>0</v>
      </c>
      <c r="L9" s="1">
        <f>VLOOKUP($J$3,[1]!龙魂分图属性,L$4,FALSE)*(AJ9*$AG9)/IF(SUMPRODUCT(AJ$6:AJ$96*$AG$6:$AG$96)=0,1,SUMPRODUCT(AJ$6:AJ$96*$AG$6:$AG$96))</f>
        <v>0</v>
      </c>
      <c r="M9" s="1">
        <f>VLOOKUP($J$3,[1]!龙魂分图属性,M$4,FALSE)*(AK9*$AG9)/IF(SUMPRODUCT(AK$6:AK$96*$AG$6:$AG$96)=0,1,SUMPRODUCT(AK$6:AK$96*$AG$6:$AG$96))</f>
        <v>0</v>
      </c>
      <c r="N9" s="1">
        <f>VLOOKUP($J$3,[1]!龙魂分图属性,N$4,FALSE)*(AL9*$AG9)/IF(SUMPRODUCT(AL$6:AL$96*$AG$6:$AG$96)=0,1,SUMPRODUCT(AL$6:AL$96*$AG$6:$AG$96))</f>
        <v>0</v>
      </c>
      <c r="O9" s="1">
        <f>VLOOKUP($J$3,[1]!龙魂分图属性,O$4,FALSE)*(AM9*$AG9)/IF(SUMPRODUCT(AM$6:AM$96*$AG$6:$AG$96)=0,1,SUMPRODUCT(AM$6:AM$96*$AG$6:$AG$96))</f>
        <v>0</v>
      </c>
      <c r="P9" s="1">
        <f>VLOOKUP($J$3,[1]!龙魂分图属性,P$4,FALSE)*(AN9*$AG9)/IF(SUMPRODUCT(AN$6:AN$96*$AG$6:$AG$96)=0,1,SUMPRODUCT(AN$6:AN$96*$AG$6:$AG$96))</f>
        <v>0</v>
      </c>
      <c r="Q9" s="1">
        <f>VLOOKUP($J$3,[1]!龙魂分图属性,Q$4,FALSE)*(AO9*$AG9)/IF(SUMPRODUCT(AO$6:AO$96*$AG$6:$AG$96)=0,1,SUMPRODUCT(AO$6:AO$96*$AG$6:$AG$96))</f>
        <v>0</v>
      </c>
      <c r="R9" s="1">
        <f t="shared" si="9"/>
        <v>1</v>
      </c>
      <c r="S9" s="1" t="str">
        <f t="array" aca="1" ref="S9" ca="1">OFFSET($I$5,0,MATCH(1,1/(J9:Q9&gt;0),0))</f>
        <v>生命</v>
      </c>
      <c r="T9" s="1">
        <f t="shared" si="14"/>
        <v>974</v>
      </c>
      <c r="U9" s="1">
        <f t="shared" si="15"/>
        <v>0.39806799994011338</v>
      </c>
      <c r="V9" s="19">
        <f t="shared" si="10"/>
        <v>38.960800973763916</v>
      </c>
      <c r="W9" s="18">
        <f t="shared" si="16"/>
        <v>29</v>
      </c>
      <c r="X9" s="1">
        <f>(VLOOKUP(W9,[2]龙魂的投放!$G$17:$L$117,6,FALSE)+SUMIF(龙魂整图属性辅助表!$E$12:$E$17,H9,龙魂整图属性辅助表!$T$12:$T$17)/COUNTIF($H$6:$H$96,H9))/INDEX($C$1:$C$2,G9)</f>
        <v>97.874737430854282</v>
      </c>
      <c r="Y9" s="1">
        <f t="shared" si="17"/>
        <v>0.66666666666666674</v>
      </c>
      <c r="Z9" s="1">
        <f t="shared" ca="1" si="18"/>
        <v>75</v>
      </c>
      <c r="AA9" s="1">
        <f t="shared" si="19"/>
        <v>1.4999999999999998</v>
      </c>
      <c r="AB9" s="18">
        <f t="shared" si="20"/>
        <v>3</v>
      </c>
      <c r="AC9" s="1">
        <f t="shared" ca="1" si="21"/>
        <v>225</v>
      </c>
      <c r="AD9" s="21">
        <f t="shared" si="24"/>
        <v>3</v>
      </c>
      <c r="AE9" s="21">
        <f t="shared" si="22"/>
        <v>69</v>
      </c>
      <c r="AF9">
        <v>0.04</v>
      </c>
      <c r="AG9">
        <f t="shared" si="11"/>
        <v>1.04</v>
      </c>
      <c r="AH9" s="1">
        <v>1</v>
      </c>
      <c r="AI9" s="1"/>
      <c r="AJ9" s="1"/>
      <c r="AK9" s="1"/>
      <c r="AL9" s="1"/>
      <c r="AM9" s="1"/>
      <c r="AN9" s="1"/>
      <c r="AO9" s="1"/>
      <c r="AY9" s="1">
        <v>1004</v>
      </c>
      <c r="AZ9" s="1" t="s">
        <v>12</v>
      </c>
      <c r="BA9" s="1">
        <v>1</v>
      </c>
      <c r="BB9" s="1">
        <v>1003</v>
      </c>
      <c r="BC9" s="1">
        <v>4</v>
      </c>
      <c r="BD9" s="1">
        <v>1</v>
      </c>
      <c r="BE9" s="1">
        <v>1000</v>
      </c>
      <c r="BF9" s="1">
        <v>33</v>
      </c>
      <c r="BG9" s="1">
        <v>0</v>
      </c>
      <c r="BH9" s="1">
        <v>0</v>
      </c>
      <c r="BI9" s="1">
        <v>0</v>
      </c>
      <c r="BJ9" s="1">
        <v>71.689776279645272</v>
      </c>
      <c r="BK9" s="1">
        <v>0</v>
      </c>
      <c r="BL9" s="1">
        <v>0</v>
      </c>
      <c r="BM9" s="1">
        <v>0</v>
      </c>
      <c r="BN9" s="1">
        <v>0</v>
      </c>
      <c r="BO9" s="1">
        <v>1</v>
      </c>
      <c r="BP9" s="1" t="s">
        <v>93</v>
      </c>
      <c r="BQ9" s="1">
        <v>72</v>
      </c>
      <c r="BR9" s="1"/>
      <c r="BS9" s="1">
        <v>11.641517128410948</v>
      </c>
      <c r="BT9" s="1">
        <v>39.599861618261805</v>
      </c>
      <c r="BU9" s="1"/>
      <c r="BV9" s="1">
        <v>104</v>
      </c>
      <c r="BX9" s="1"/>
      <c r="BY9" s="1"/>
      <c r="BZ9" s="1"/>
      <c r="CA9" s="1">
        <v>1</v>
      </c>
      <c r="CB9" s="1"/>
      <c r="CC9" s="1"/>
      <c r="CD9" s="1"/>
      <c r="CE9" s="1"/>
    </row>
    <row r="10" spans="1:83">
      <c r="A10">
        <v>5</v>
      </c>
      <c r="B10" s="1">
        <f t="shared" si="12"/>
        <v>1005</v>
      </c>
      <c r="C10" s="1" t="s">
        <v>13</v>
      </c>
      <c r="D10" s="1">
        <v>1</v>
      </c>
      <c r="E10" s="1">
        <f t="shared" si="23"/>
        <v>1004</v>
      </c>
      <c r="F10" s="1">
        <f>SUMIF($G$6:G10,G10,$G$6:$G$78)/G10</f>
        <v>5</v>
      </c>
      <c r="G10" s="1">
        <v>1</v>
      </c>
      <c r="H10" s="1">
        <v>1000</v>
      </c>
      <c r="I10" s="1">
        <f t="shared" si="13"/>
        <v>30</v>
      </c>
      <c r="J10" s="1">
        <f>VLOOKUP($J$3,[1]!龙魂分图属性,J$4,FALSE)*(AH10*$AG10)/IF(SUMPRODUCT(AH$6:AH$96*$AG$6:$AG$96)=0,1,SUMPRODUCT(AH$6:AH$96*$AG$6:$AG$96))</f>
        <v>0</v>
      </c>
      <c r="K10" s="1">
        <f>VLOOKUP($J$3,[1]!龙魂分图属性,K$4,FALSE)*(AI10*$AG10)/IF(SUMPRODUCT(AI$6:AI$96*$AG$6:$AG$96)=0,1,SUMPRODUCT(AI$6:AI$96*$AG$6:$AG$96))</f>
        <v>0</v>
      </c>
      <c r="L10" s="1">
        <f>VLOOKUP($J$3,[1]!龙魂分图属性,L$4,FALSE)*(AJ10*$AG10)/IF(SUMPRODUCT(AJ$6:AJ$96*$AG$6:$AG$96)=0,1,SUMPRODUCT(AJ$6:AJ$96*$AG$6:$AG$96))</f>
        <v>0</v>
      </c>
      <c r="M10" s="1">
        <f>VLOOKUP($J$3,[1]!龙魂分图属性,M$4,FALSE)*(AK10*$AG10)/IF(SUMPRODUCT(AK$6:AK$96*$AG$6:$AG$96)=0,1,SUMPRODUCT(AK$6:AK$96*$AG$6:$AG$96))</f>
        <v>101.00232786317547</v>
      </c>
      <c r="N10" s="1">
        <f>VLOOKUP($J$3,[1]!龙魂分图属性,N$4,FALSE)*(AL10*$AG10)/IF(SUMPRODUCT(AL$6:AL$96*$AG$6:$AG$96)=0,1,SUMPRODUCT(AL$6:AL$96*$AG$6:$AG$96))</f>
        <v>0</v>
      </c>
      <c r="O10" s="1">
        <f>VLOOKUP($J$3,[1]!龙魂分图属性,O$4,FALSE)*(AM10*$AG10)/IF(SUMPRODUCT(AM$6:AM$96*$AG$6:$AG$96)=0,1,SUMPRODUCT(AM$6:AM$96*$AG$6:$AG$96))</f>
        <v>0</v>
      </c>
      <c r="P10" s="1">
        <f>VLOOKUP($J$3,[1]!龙魂分图属性,P$4,FALSE)*(AN10*$AG10)/IF(SUMPRODUCT(AN$6:AN$96*$AG$6:$AG$96)=0,1,SUMPRODUCT(AN$6:AN$96*$AG$6:$AG$96))</f>
        <v>0</v>
      </c>
      <c r="Q10" s="1">
        <f>VLOOKUP($J$3,[1]!龙魂分图属性,Q$4,FALSE)*(AO10*$AG10)/IF(SUMPRODUCT(AO$6:AO$96*$AG$6:$AG$96)=0,1,SUMPRODUCT(AO$6:AO$96*$AG$6:$AG$96))</f>
        <v>0</v>
      </c>
      <c r="R10" s="1">
        <f t="shared" si="9"/>
        <v>1</v>
      </c>
      <c r="S10" s="1" t="str">
        <f t="array" aca="1" ref="S10" ca="1">OFFSET($I$5,0,MATCH(1,1/(J10:Q10&gt;0),0))</f>
        <v>闪避值</v>
      </c>
      <c r="T10" s="1">
        <f t="shared" si="14"/>
        <v>101</v>
      </c>
      <c r="U10" s="1">
        <f t="shared" si="15"/>
        <v>0.32295449220788053</v>
      </c>
      <c r="V10" s="19">
        <f>SUMPRODUCT(J10:Q10,$J$2:$Q$2)</f>
        <v>34.340791473479662</v>
      </c>
      <c r="W10" s="18">
        <f t="shared" si="16"/>
        <v>30</v>
      </c>
      <c r="X10" s="1">
        <f>(VLOOKUP(W10,[2]龙魂的投放!$G$17:$L$117,6,FALSE)+SUMIF(龙魂整图属性辅助表!$E$12:$E$17,H10,龙魂整图属性辅助表!$T$12:$T$17)/COUNTIF($H$6:$H$96,H10))/INDEX($C$1:$C$2,G10)</f>
        <v>106.33322124955939</v>
      </c>
      <c r="Y10" s="1">
        <f t="shared" si="17"/>
        <v>0.6</v>
      </c>
      <c r="Z10" s="1">
        <f t="shared" ca="1" si="18"/>
        <v>81</v>
      </c>
      <c r="AA10" s="1">
        <f t="shared" si="19"/>
        <v>1.6666666666666667</v>
      </c>
      <c r="AB10" s="18">
        <f t="shared" si="20"/>
        <v>3</v>
      </c>
      <c r="AC10" s="1">
        <f t="shared" ca="1" si="21"/>
        <v>243</v>
      </c>
      <c r="AD10" s="21">
        <f t="shared" si="24"/>
        <v>4</v>
      </c>
      <c r="AE10" s="21">
        <f t="shared" si="22"/>
        <v>70</v>
      </c>
      <c r="AF10">
        <v>0.05</v>
      </c>
      <c r="AG10">
        <f t="shared" si="11"/>
        <v>1.05</v>
      </c>
      <c r="AH10" s="1"/>
      <c r="AI10" s="1"/>
      <c r="AJ10" s="1"/>
      <c r="AK10" s="1">
        <v>1</v>
      </c>
      <c r="AL10" s="1"/>
      <c r="AM10" s="1"/>
      <c r="AN10" s="1"/>
      <c r="AO10" s="1"/>
      <c r="AY10" s="1">
        <v>1005</v>
      </c>
      <c r="AZ10" s="1" t="s">
        <v>103</v>
      </c>
      <c r="BA10" s="1">
        <v>1</v>
      </c>
      <c r="BB10" s="1">
        <v>1004</v>
      </c>
      <c r="BC10" s="1">
        <v>5</v>
      </c>
      <c r="BD10" s="1">
        <v>1</v>
      </c>
      <c r="BE10" s="1">
        <v>1000</v>
      </c>
      <c r="BF10" s="1">
        <v>34</v>
      </c>
      <c r="BG10" s="1">
        <v>0</v>
      </c>
      <c r="BH10" s="1">
        <v>0</v>
      </c>
      <c r="BI10" s="1">
        <v>0</v>
      </c>
      <c r="BJ10" s="1">
        <v>0</v>
      </c>
      <c r="BK10" s="1">
        <v>84.52523984036803</v>
      </c>
      <c r="BL10" s="1">
        <v>0</v>
      </c>
      <c r="BM10" s="1">
        <v>0</v>
      </c>
      <c r="BN10" s="1">
        <v>0</v>
      </c>
      <c r="BO10" s="1">
        <v>1</v>
      </c>
      <c r="BP10" s="1" t="s">
        <v>94</v>
      </c>
      <c r="BQ10" s="1">
        <v>85</v>
      </c>
      <c r="BR10" s="1"/>
      <c r="BS10" s="1">
        <v>13.725834818431057</v>
      </c>
      <c r="BT10" s="1">
        <v>43.58990660920896</v>
      </c>
      <c r="BU10" s="1"/>
      <c r="BV10" s="1">
        <v>105</v>
      </c>
      <c r="BX10" s="1"/>
      <c r="BY10" s="1"/>
      <c r="BZ10" s="1"/>
      <c r="CA10" s="1"/>
      <c r="CB10" s="1">
        <v>1</v>
      </c>
      <c r="CC10" s="1"/>
      <c r="CD10" s="1"/>
      <c r="CE10" s="1"/>
    </row>
    <row r="11" spans="1:83">
      <c r="A11">
        <v>6</v>
      </c>
      <c r="B11" s="1">
        <f t="shared" si="12"/>
        <v>1006</v>
      </c>
      <c r="C11" s="1" t="s">
        <v>14</v>
      </c>
      <c r="D11" s="1">
        <v>1</v>
      </c>
      <c r="E11" s="1">
        <f t="shared" si="23"/>
        <v>1005</v>
      </c>
      <c r="F11" s="1">
        <f>SUMIF($G$6:G11,G11,$G$6:$G$78)/G11</f>
        <v>6</v>
      </c>
      <c r="G11" s="1">
        <v>1</v>
      </c>
      <c r="H11" s="1">
        <v>1000</v>
      </c>
      <c r="I11" s="1">
        <f t="shared" si="13"/>
        <v>31</v>
      </c>
      <c r="J11" s="1">
        <f>VLOOKUP($J$3,[1]!龙魂分图属性,J$4,FALSE)*(AH11*$AG11)/IF(SUMPRODUCT(AH$6:AH$96*$AG$6:$AG$96)=0,1,SUMPRODUCT(AH$6:AH$96*$AG$6:$AG$96))</f>
        <v>0</v>
      </c>
      <c r="K11" s="1">
        <f>VLOOKUP($J$3,[1]!龙魂分图属性,K$4,FALSE)*(AI11*$AG11)/IF(SUMPRODUCT(AI$6:AI$96*$AG$6:$AG$96)=0,1,SUMPRODUCT(AI$6:AI$96*$AG$6:$AG$96))</f>
        <v>0</v>
      </c>
      <c r="L11" s="1">
        <f>VLOOKUP($J$3,[1]!龙魂分图属性,L$4,FALSE)*(AJ11*$AG11)/IF(SUMPRODUCT(AJ$6:AJ$96*$AG$6:$AG$96)=0,1,SUMPRODUCT(AJ$6:AJ$96*$AG$6:$AG$96))</f>
        <v>0</v>
      </c>
      <c r="M11" s="1">
        <f>VLOOKUP($J$3,[1]!龙魂分图属性,M$4,FALSE)*(AK11*$AG11)/IF(SUMPRODUCT(AK$6:AK$96*$AG$6:$AG$96)=0,1,SUMPRODUCT(AK$6:AK$96*$AG$6:$AG$96))</f>
        <v>0</v>
      </c>
      <c r="N11" s="1">
        <f>VLOOKUP($J$3,[1]!龙魂分图属性,N$4,FALSE)*(AL11*$AG11)/IF(SUMPRODUCT(AL$6:AL$96*$AG$6:$AG$96)=0,1,SUMPRODUCT(AL$6:AL$96*$AG$6:$AG$96))</f>
        <v>93.213035755113495</v>
      </c>
      <c r="O11" s="1">
        <f>VLOOKUP($J$3,[1]!龙魂分图属性,O$4,FALSE)*(AM11*$AG11)/IF(SUMPRODUCT(AM$6:AM$96*$AG$6:$AG$96)=0,1,SUMPRODUCT(AM$6:AM$96*$AG$6:$AG$96))</f>
        <v>0</v>
      </c>
      <c r="P11" s="1">
        <f>VLOOKUP($J$3,[1]!龙魂分图属性,P$4,FALSE)*(AN11*$AG11)/IF(SUMPRODUCT(AN$6:AN$96*$AG$6:$AG$96)=0,1,SUMPRODUCT(AN$6:AN$96*$AG$6:$AG$96))</f>
        <v>0</v>
      </c>
      <c r="Q11" s="1">
        <f>VLOOKUP($J$3,[1]!龙魂分图属性,Q$4,FALSE)*(AO11*$AG11)/IF(SUMPRODUCT(AO$6:AO$96*$AG$6:$AG$96)=0,1,SUMPRODUCT(AO$6:AO$96*$AG$6:$AG$96))</f>
        <v>0</v>
      </c>
      <c r="R11" s="1">
        <f t="shared" si="9"/>
        <v>1</v>
      </c>
      <c r="S11" s="1" t="str">
        <f t="array" aca="1" ref="S11" ca="1">OFFSET($I$5,0,MATCH(1,1/(J11:Q11&gt;0),0))</f>
        <v>命中值</v>
      </c>
      <c r="T11" s="1">
        <f>ROUND(SUM(J11:Q11),0)</f>
        <v>93</v>
      </c>
      <c r="U11" s="1">
        <f t="shared" si="15"/>
        <v>0.24467098786485489</v>
      </c>
      <c r="V11" s="19">
        <f t="shared" si="10"/>
        <v>31.69243215673859</v>
      </c>
      <c r="W11" s="18">
        <f t="shared" si="16"/>
        <v>31</v>
      </c>
      <c r="X11" s="1">
        <f>(VLOOKUP(W11,[2]龙魂的投放!$G$17:$L$117,6,FALSE)+SUMIF(龙魂整图属性辅助表!$E$12:$E$17,H11,龙魂整图属性辅助表!$T$12:$T$17)/COUNTIF($H$6:$H$96,H11))/INDEX($C$1:$C$2,G11)</f>
        <v>129.53081374014008</v>
      </c>
      <c r="Y11" s="1">
        <f t="shared" si="17"/>
        <v>0.54545454545454541</v>
      </c>
      <c r="Z11" s="1">
        <f t="shared" ca="1" si="18"/>
        <v>82</v>
      </c>
      <c r="AA11" s="1">
        <f t="shared" si="19"/>
        <v>1.8333333333333335</v>
      </c>
      <c r="AB11" s="18">
        <f t="shared" si="20"/>
        <v>3</v>
      </c>
      <c r="AC11" s="1">
        <f t="shared" ca="1" si="21"/>
        <v>246</v>
      </c>
      <c r="AD11" s="21">
        <f t="shared" si="24"/>
        <v>5</v>
      </c>
      <c r="AE11" s="21">
        <f t="shared" si="22"/>
        <v>81</v>
      </c>
      <c r="AF11">
        <v>0.06</v>
      </c>
      <c r="AG11">
        <f t="shared" si="11"/>
        <v>1.06</v>
      </c>
      <c r="AH11" s="1"/>
      <c r="AI11" s="1"/>
      <c r="AJ11" s="1"/>
      <c r="AK11" s="1"/>
      <c r="AL11" s="1">
        <v>1</v>
      </c>
      <c r="AM11" s="1"/>
      <c r="AN11" s="1"/>
      <c r="AO11" s="1"/>
      <c r="AY11" s="1">
        <v>1006</v>
      </c>
      <c r="AZ11" s="1" t="s">
        <v>14</v>
      </c>
      <c r="BA11" s="1">
        <v>1</v>
      </c>
      <c r="BB11" s="1">
        <v>1005</v>
      </c>
      <c r="BC11" s="1">
        <v>6</v>
      </c>
      <c r="BD11" s="1">
        <v>1</v>
      </c>
      <c r="BE11" s="1">
        <v>1000</v>
      </c>
      <c r="BF11" s="1">
        <v>35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129.09511630739249</v>
      </c>
      <c r="BO11" s="1">
        <v>1</v>
      </c>
      <c r="BP11" s="1" t="s">
        <v>97</v>
      </c>
      <c r="BQ11" s="1">
        <v>129</v>
      </c>
      <c r="BR11" s="1"/>
      <c r="BS11" s="1">
        <v>10.308698908313104</v>
      </c>
      <c r="BT11" s="1">
        <v>47.981984798737784</v>
      </c>
      <c r="BU11" s="1"/>
      <c r="BV11" s="1">
        <v>106</v>
      </c>
      <c r="BX11" s="1">
        <v>1</v>
      </c>
      <c r="BY11" s="1"/>
      <c r="BZ11" s="1"/>
      <c r="CA11" s="1"/>
      <c r="CB11" s="1"/>
      <c r="CC11" s="1"/>
      <c r="CD11" s="1"/>
      <c r="CE11" s="1"/>
    </row>
    <row r="12" spans="1:83">
      <c r="A12">
        <v>7</v>
      </c>
      <c r="B12" s="1">
        <f t="shared" si="12"/>
        <v>2001</v>
      </c>
      <c r="C12" s="1" t="s">
        <v>15</v>
      </c>
      <c r="D12" s="1">
        <v>1</v>
      </c>
      <c r="E12" s="1">
        <f t="shared" si="23"/>
        <v>1006</v>
      </c>
      <c r="F12" s="1">
        <f>SUMIF($G$6:G12,G12,$G$6:$G$78)/G12</f>
        <v>1</v>
      </c>
      <c r="G12" s="1">
        <v>2</v>
      </c>
      <c r="H12" s="1">
        <v>1000</v>
      </c>
      <c r="I12" s="1">
        <f t="shared" ca="1" si="13"/>
        <v>31</v>
      </c>
      <c r="J12" s="1">
        <f>VLOOKUP($J$3,[1]!龙魂分图属性,J$4,FALSE)*(AH12*$AG12)/IF(SUMPRODUCT(AH$6:AH$96*$AG$6:$AG$96)=0,1,SUMPRODUCT(AH$6:AH$96*$AG$6:$AG$96))</f>
        <v>0</v>
      </c>
      <c r="K12" s="1">
        <f>VLOOKUP($J$3,[1]!龙魂分图属性,K$4,FALSE)*(AI12*$AG12)/IF(SUMPRODUCT(AI$6:AI$96*$AG$6:$AG$96)=0,1,SUMPRODUCT(AI$6:AI$96*$AG$6:$AG$96))</f>
        <v>55.128135067603871</v>
      </c>
      <c r="L12" s="1">
        <f>VLOOKUP($J$3,[1]!龙魂分图属性,L$4,FALSE)*(AJ12*$AG12)/IF(SUMPRODUCT(AJ$6:AJ$96*$AG$6:$AG$96)=0,1,SUMPRODUCT(AJ$6:AJ$96*$AG$6:$AG$96))</f>
        <v>0</v>
      </c>
      <c r="M12" s="1">
        <f>VLOOKUP($J$3,[1]!龙魂分图属性,M$4,FALSE)*(AK12*$AG12)/IF(SUMPRODUCT(AK$6:AK$96*$AG$6:$AG$96)=0,1,SUMPRODUCT(AK$6:AK$96*$AG$6:$AG$96))</f>
        <v>0</v>
      </c>
      <c r="N12" s="1">
        <f>VLOOKUP($J$3,[1]!龙魂分图属性,N$4,FALSE)*(AL12*$AG12)/IF(SUMPRODUCT(AL$6:AL$96*$AG$6:$AG$96)=0,1,SUMPRODUCT(AL$6:AL$96*$AG$6:$AG$96))</f>
        <v>0</v>
      </c>
      <c r="O12" s="1">
        <f>VLOOKUP($J$3,[1]!龙魂分图属性,O$4,FALSE)*(AM12*$AG12)/IF(SUMPRODUCT(AM$6:AM$96*$AG$6:$AG$96)=0,1,SUMPRODUCT(AM$6:AM$96*$AG$6:$AG$96))</f>
        <v>0</v>
      </c>
      <c r="P12" s="1">
        <f>VLOOKUP($J$3,[1]!龙魂分图属性,P$4,FALSE)*(AN12*$AG12)/IF(SUMPRODUCT(AN$6:AN$96*$AG$6:$AG$96)=0,1,SUMPRODUCT(AN$6:AN$96*$AG$6:$AG$96))</f>
        <v>0</v>
      </c>
      <c r="Q12" s="1">
        <f>VLOOKUP($J$3,[1]!龙魂分图属性,Q$4,FALSE)*(AO12*$AG12)/IF(SUMPRODUCT(AO$6:AO$96*$AG$6:$AG$96)=0,1,SUMPRODUCT(AO$6:AO$96*$AG$6:$AG$96))</f>
        <v>0</v>
      </c>
      <c r="R12" s="1">
        <f t="shared" si="9"/>
        <v>1</v>
      </c>
      <c r="S12" s="1" t="str">
        <f t="array" aca="1" ref="S12" ca="1">OFFSET($I$5,0,MATCH(1,1/(J12:Q12&gt;0),0))</f>
        <v>攻击</v>
      </c>
      <c r="T12" s="1">
        <f t="shared" si="14"/>
        <v>55</v>
      </c>
      <c r="U12" s="1">
        <f t="shared" ca="1" si="15"/>
        <v>0.17739441357947452</v>
      </c>
      <c r="V12" s="19">
        <f t="shared" si="10"/>
        <v>55.128135067603871</v>
      </c>
      <c r="W12" s="18">
        <f t="shared" ca="1" si="16"/>
        <v>32</v>
      </c>
      <c r="X12" s="1">
        <f ca="1">(VLOOKUP(W12,[2]龙魂的投放!$G$17:$L$117,6,FALSE)+SUMIF(龙魂整图属性辅助表!$E$12:$E$17,H12,龙魂整图属性辅助表!$T$12:$T$17)/COUNTIF($H$6:$H$96,H12))/INDEX($C$1:$C$2,G12)</f>
        <v>310.76590268670384</v>
      </c>
      <c r="Y12" s="1">
        <f t="shared" ca="1" si="17"/>
        <v>0.33333333333333337</v>
      </c>
      <c r="Z12" s="1">
        <f ca="1">AE13</f>
        <v>108</v>
      </c>
      <c r="AA12" s="1">
        <f t="shared" ca="1" si="19"/>
        <v>2.9999999999999996</v>
      </c>
      <c r="AB12" s="18">
        <f t="shared" ca="1" si="20"/>
        <v>5</v>
      </c>
      <c r="AC12" s="1">
        <f t="shared" ca="1" si="21"/>
        <v>540</v>
      </c>
      <c r="AD12" s="21">
        <f ca="1">W12-VLOOKUP(D12,$D$6:$W$96,20,0)</f>
        <v>6</v>
      </c>
      <c r="AE12" s="21">
        <f t="shared" ca="1" si="22"/>
        <v>124</v>
      </c>
      <c r="AF12">
        <v>7.0000000000000007E-2</v>
      </c>
      <c r="AG12">
        <f t="shared" si="11"/>
        <v>1.07</v>
      </c>
      <c r="AH12" s="1"/>
      <c r="AI12" s="1">
        <v>1.5</v>
      </c>
      <c r="AJ12" s="1"/>
      <c r="AK12" s="1"/>
      <c r="AL12" s="1"/>
      <c r="AM12" s="1"/>
      <c r="AN12" s="1"/>
      <c r="AO12" s="1"/>
      <c r="AY12" s="1">
        <v>2001</v>
      </c>
      <c r="AZ12" s="1" t="s">
        <v>15</v>
      </c>
      <c r="BA12" s="1">
        <v>1</v>
      </c>
      <c r="BB12" s="1">
        <v>1006</v>
      </c>
      <c r="BC12" s="1">
        <v>1</v>
      </c>
      <c r="BD12" s="1">
        <v>2</v>
      </c>
      <c r="BE12" s="1">
        <v>1000</v>
      </c>
      <c r="BF12" s="1">
        <v>36</v>
      </c>
      <c r="BG12" s="1">
        <v>0</v>
      </c>
      <c r="BH12" s="1">
        <v>0</v>
      </c>
      <c r="BI12" s="1">
        <v>16.669810360710034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1</v>
      </c>
      <c r="BP12" s="1" t="s">
        <v>92</v>
      </c>
      <c r="BQ12" s="1">
        <v>17</v>
      </c>
      <c r="BR12" s="1"/>
      <c r="BS12" s="1">
        <v>16.669810360710034</v>
      </c>
      <c r="BT12" s="1">
        <v>105.63320935126387</v>
      </c>
      <c r="BU12" s="1"/>
      <c r="BV12" s="1">
        <v>160.5</v>
      </c>
      <c r="BX12" s="1"/>
      <c r="BY12" s="1"/>
      <c r="BZ12" s="1">
        <v>1.5</v>
      </c>
      <c r="CA12" s="1"/>
      <c r="CB12" s="1"/>
      <c r="CC12" s="1"/>
      <c r="CD12" s="1"/>
      <c r="CE12" s="1"/>
    </row>
    <row r="13" spans="1:83">
      <c r="A13">
        <v>8</v>
      </c>
      <c r="B13" s="1">
        <f t="shared" si="12"/>
        <v>2002</v>
      </c>
      <c r="C13" s="1" t="s">
        <v>16</v>
      </c>
      <c r="D13" s="1">
        <v>1</v>
      </c>
      <c r="E13" s="1">
        <f t="shared" si="23"/>
        <v>2001</v>
      </c>
      <c r="F13" s="1">
        <f>SUMIF($G$6:G13,G13,$G$6:$G$78)/G13</f>
        <v>2</v>
      </c>
      <c r="G13" s="1">
        <v>2</v>
      </c>
      <c r="H13" s="1">
        <v>1000</v>
      </c>
      <c r="I13" s="1">
        <f t="shared" ca="1" si="13"/>
        <v>31</v>
      </c>
      <c r="J13" s="1">
        <f>VLOOKUP($J$3,[1]!龙魂分图属性,J$4,FALSE)*(AH13*$AG13)/IF(SUMPRODUCT(AH$6:AH$96*$AG$6:$AG$96)=0,1,SUMPRODUCT(AH$6:AH$96*$AG$6:$AG$96))</f>
        <v>1517.2234994590754</v>
      </c>
      <c r="K13" s="1">
        <f>VLOOKUP($J$3,[1]!龙魂分图属性,K$4,FALSE)*(AI13*$AG13)/IF(SUMPRODUCT(AI$6:AI$96*$AG$6:$AG$96)=0,1,SUMPRODUCT(AI$6:AI$96*$AG$6:$AG$96))</f>
        <v>0</v>
      </c>
      <c r="L13" s="1">
        <f>VLOOKUP($J$3,[1]!龙魂分图属性,L$4,FALSE)*(AJ13*$AG13)/IF(SUMPRODUCT(AJ$6:AJ$96*$AG$6:$AG$96)=0,1,SUMPRODUCT(AJ$6:AJ$96*$AG$6:$AG$96))</f>
        <v>0</v>
      </c>
      <c r="M13" s="1">
        <f>VLOOKUP($J$3,[1]!龙魂分图属性,M$4,FALSE)*(AK13*$AG13)/IF(SUMPRODUCT(AK$6:AK$96*$AG$6:$AG$96)=0,1,SUMPRODUCT(AK$6:AK$96*$AG$6:$AG$96))</f>
        <v>0</v>
      </c>
      <c r="N13" s="1">
        <f>VLOOKUP($J$3,[1]!龙魂分图属性,N$4,FALSE)*(AL13*$AG13)/IF(SUMPRODUCT(AL$6:AL$96*$AG$6:$AG$96)=0,1,SUMPRODUCT(AL$6:AL$96*$AG$6:$AG$96))</f>
        <v>0</v>
      </c>
      <c r="O13" s="1">
        <f>VLOOKUP($J$3,[1]!龙魂分图属性,O$4,FALSE)*(AM13*$AG13)/IF(SUMPRODUCT(AM$6:AM$96*$AG$6:$AG$96)=0,1,SUMPRODUCT(AM$6:AM$96*$AG$6:$AG$96))</f>
        <v>0</v>
      </c>
      <c r="P13" s="1">
        <f>VLOOKUP($J$3,[1]!龙魂分图属性,P$4,FALSE)*(AN13*$AG13)/IF(SUMPRODUCT(AN$6:AN$96*$AG$6:$AG$96)=0,1,SUMPRODUCT(AN$6:AN$96*$AG$6:$AG$96))</f>
        <v>0</v>
      </c>
      <c r="Q13" s="1">
        <f>VLOOKUP($J$3,[1]!龙魂分图属性,Q$4,FALSE)*(AO13*$AG13)/IF(SUMPRODUCT(AO$6:AO$96*$AG$6:$AG$96)=0,1,SUMPRODUCT(AO$6:AO$96*$AG$6:$AG$96))</f>
        <v>0</v>
      </c>
      <c r="R13" s="1">
        <f t="shared" si="9"/>
        <v>1</v>
      </c>
      <c r="S13" s="1" t="str">
        <f t="array" aca="1" ref="S13" ca="1">OFFSET($I$5,0,MATCH(1,1/(J13:Q13&gt;0),0))</f>
        <v>生命</v>
      </c>
      <c r="T13" s="1">
        <f t="shared" si="14"/>
        <v>1517</v>
      </c>
      <c r="U13" s="1">
        <f t="shared" ca="1" si="15"/>
        <v>0.21425359597663446</v>
      </c>
      <c r="V13" s="19">
        <f t="shared" si="10"/>
        <v>60.688939978363017</v>
      </c>
      <c r="W13" s="18">
        <f t="shared" ca="1" si="16"/>
        <v>33</v>
      </c>
      <c r="X13" s="1">
        <f ca="1">(VLOOKUP(W13,[2]龙魂的投放!$G$17:$L$117,6,FALSE)+SUMIF(龙魂整图属性辅助表!$E$12:$E$17,H13,龙魂整图属性辅助表!$T$12:$T$17)/COUNTIF($H$6:$H$96,H13))/INDEX($C$1:$C$2,G13)</f>
        <v>283.25750940946392</v>
      </c>
      <c r="Y13" s="1">
        <f t="shared" ca="1" si="17"/>
        <v>0.30434782608695654</v>
      </c>
      <c r="Z13" s="1">
        <f ca="1">AE12</f>
        <v>124</v>
      </c>
      <c r="AA13" s="1">
        <f t="shared" ca="1" si="19"/>
        <v>3.2857142857142856</v>
      </c>
      <c r="AB13" s="18">
        <f t="shared" ca="1" si="20"/>
        <v>6</v>
      </c>
      <c r="AC13" s="1">
        <f t="shared" ca="1" si="21"/>
        <v>744</v>
      </c>
      <c r="AD13" s="21">
        <f t="shared" ca="1" si="24"/>
        <v>7</v>
      </c>
      <c r="AE13" s="21">
        <f t="shared" ca="1" si="22"/>
        <v>108</v>
      </c>
      <c r="AF13">
        <v>0.08</v>
      </c>
      <c r="AG13">
        <f t="shared" si="11"/>
        <v>1.08</v>
      </c>
      <c r="AH13" s="1">
        <v>1.5</v>
      </c>
      <c r="AI13" s="1"/>
      <c r="AJ13" s="1"/>
      <c r="AK13" s="1"/>
      <c r="AL13" s="1"/>
      <c r="AM13" s="1"/>
      <c r="AN13" s="1"/>
      <c r="AO13" s="1"/>
      <c r="AY13" s="1">
        <v>2002</v>
      </c>
      <c r="AZ13" s="1" t="s">
        <v>16</v>
      </c>
      <c r="BA13" s="1">
        <v>1</v>
      </c>
      <c r="BB13" s="1">
        <v>2001</v>
      </c>
      <c r="BC13" s="1">
        <v>2</v>
      </c>
      <c r="BD13" s="1">
        <v>2</v>
      </c>
      <c r="BE13" s="1">
        <v>1000</v>
      </c>
      <c r="BF13" s="1">
        <v>37</v>
      </c>
      <c r="BG13" s="1">
        <v>1181.176503352893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1</v>
      </c>
      <c r="BP13" s="1" t="s">
        <v>90</v>
      </c>
      <c r="BQ13" s="1">
        <v>1181</v>
      </c>
      <c r="BR13" s="1"/>
      <c r="BS13" s="1">
        <v>48.241483630754814</v>
      </c>
      <c r="BT13" s="1">
        <v>116.27671265217725</v>
      </c>
      <c r="BU13" s="1"/>
      <c r="BV13" s="1">
        <v>162</v>
      </c>
      <c r="BX13" s="1">
        <v>1.5</v>
      </c>
      <c r="BY13" s="1"/>
      <c r="BZ13" s="1"/>
      <c r="CA13" s="1"/>
      <c r="CB13" s="1"/>
      <c r="CC13" s="1"/>
      <c r="CD13" s="1"/>
      <c r="CE13" s="1"/>
    </row>
    <row r="14" spans="1:83">
      <c r="A14">
        <v>9</v>
      </c>
      <c r="B14" s="1">
        <f t="shared" si="12"/>
        <v>2003</v>
      </c>
      <c r="C14" s="1" t="s">
        <v>17</v>
      </c>
      <c r="D14" s="1">
        <v>1</v>
      </c>
      <c r="E14" s="1">
        <f t="shared" si="23"/>
        <v>2002</v>
      </c>
      <c r="F14" s="1">
        <f>SUMIF($G$6:G14,G14,$G$6:$G$78)/G14</f>
        <v>3</v>
      </c>
      <c r="G14" s="1">
        <v>2</v>
      </c>
      <c r="H14" s="1">
        <v>1000</v>
      </c>
      <c r="I14" s="1">
        <f t="shared" ca="1" si="13"/>
        <v>31</v>
      </c>
      <c r="J14" s="1">
        <f>VLOOKUP($J$3,[1]!龙魂分图属性,J$4,FALSE)*(AH14*$AG14)/IF(SUMPRODUCT(AH$6:AH$96*$AG$6:$AG$96)=0,1,SUMPRODUCT(AH$6:AH$96*$AG$6:$AG$96))</f>
        <v>0</v>
      </c>
      <c r="K14" s="1">
        <f>VLOOKUP($J$3,[1]!龙魂分图属性,K$4,FALSE)*(AI14*$AG14)/IF(SUMPRODUCT(AI$6:AI$96*$AG$6:$AG$96)=0,1,SUMPRODUCT(AI$6:AI$96*$AG$6:$AG$96))</f>
        <v>0</v>
      </c>
      <c r="L14" s="1">
        <f>VLOOKUP($J$3,[1]!龙魂分图属性,L$4,FALSE)*(AJ14*$AG14)/IF(SUMPRODUCT(AJ$6:AJ$96*$AG$6:$AG$96)=0,1,SUMPRODUCT(AJ$6:AJ$96*$AG$6:$AG$96))</f>
        <v>55.652139913364344</v>
      </c>
      <c r="M14" s="1">
        <f>VLOOKUP($J$3,[1]!龙魂分图属性,M$4,FALSE)*(AK14*$AG14)/IF(SUMPRODUCT(AK$6:AK$96*$AG$6:$AG$96)=0,1,SUMPRODUCT(AK$6:AK$96*$AG$6:$AG$96))</f>
        <v>0</v>
      </c>
      <c r="N14" s="1">
        <f>VLOOKUP($J$3,[1]!龙魂分图属性,N$4,FALSE)*(AL14*$AG14)/IF(SUMPRODUCT(AL$6:AL$96*$AG$6:$AG$96)=0,1,SUMPRODUCT(AL$6:AL$96*$AG$6:$AG$96))</f>
        <v>0</v>
      </c>
      <c r="O14" s="1">
        <f>VLOOKUP($J$3,[1]!龙魂分图属性,O$4,FALSE)*(AM14*$AG14)/IF(SUMPRODUCT(AM$6:AM$96*$AG$6:$AG$96)=0,1,SUMPRODUCT(AM$6:AM$96*$AG$6:$AG$96))</f>
        <v>0</v>
      </c>
      <c r="P14" s="1">
        <f>VLOOKUP($J$3,[1]!龙魂分图属性,P$4,FALSE)*(AN14*$AG14)/IF(SUMPRODUCT(AN$6:AN$96*$AG$6:$AG$96)=0,1,SUMPRODUCT(AN$6:AN$96*$AG$6:$AG$96))</f>
        <v>0</v>
      </c>
      <c r="Q14" s="1">
        <f>VLOOKUP($J$3,[1]!龙魂分图属性,Q$4,FALSE)*(AO14*$AG14)/IF(SUMPRODUCT(AO$6:AO$96*$AG$6:$AG$96)=0,1,SUMPRODUCT(AO$6:AO$96*$AG$6:$AG$96))</f>
        <v>0</v>
      </c>
      <c r="R14" s="1">
        <f t="shared" si="9"/>
        <v>1</v>
      </c>
      <c r="S14" s="1" t="str">
        <f t="array" aca="1" ref="S14" ca="1">OFFSET($I$5,0,MATCH(1,1/(J14:Q14&gt;0),0))</f>
        <v>防御</v>
      </c>
      <c r="T14" s="1">
        <f t="shared" si="14"/>
        <v>56</v>
      </c>
      <c r="U14" s="1">
        <f t="shared" ca="1" si="15"/>
        <v>0.15138634348627961</v>
      </c>
      <c r="V14" s="19">
        <f t="shared" si="10"/>
        <v>55.652139913364344</v>
      </c>
      <c r="W14" s="18">
        <f t="shared" ca="1" si="16"/>
        <v>34</v>
      </c>
      <c r="X14" s="1">
        <f ca="1">(VLOOKUP(W14,[2]龙魂的投放!$G$17:$L$117,6,FALSE)+SUMIF(龙魂整图属性辅助表!$E$12:$E$17,H14,龙魂整图属性辅助表!$T$12:$T$17)/COUNTIF($H$6:$H$96,H14))/INDEX($C$1:$C$2,G14)</f>
        <v>367.61664646724353</v>
      </c>
      <c r="Y14" s="1">
        <f t="shared" ca="1" si="17"/>
        <v>0.28000000000000003</v>
      </c>
      <c r="Z14" s="1">
        <f ca="1">AE14</f>
        <v>134</v>
      </c>
      <c r="AA14" s="1">
        <f t="shared" ca="1" si="19"/>
        <v>3.5714285714285712</v>
      </c>
      <c r="AB14" s="18">
        <f t="shared" ca="1" si="20"/>
        <v>6</v>
      </c>
      <c r="AC14" s="1">
        <f t="shared" ca="1" si="21"/>
        <v>804</v>
      </c>
      <c r="AD14" s="21">
        <f t="shared" ca="1" si="24"/>
        <v>8</v>
      </c>
      <c r="AE14" s="21">
        <f t="shared" ca="1" si="22"/>
        <v>134</v>
      </c>
      <c r="AF14">
        <v>0.09</v>
      </c>
      <c r="AG14">
        <f t="shared" si="11"/>
        <v>1.0900000000000001</v>
      </c>
      <c r="AH14" s="1"/>
      <c r="AI14" s="1"/>
      <c r="AJ14" s="1">
        <v>1.5</v>
      </c>
      <c r="AK14" s="1"/>
      <c r="AL14" s="1"/>
      <c r="AM14" s="1"/>
      <c r="AN14" s="1"/>
      <c r="AO14" s="1"/>
      <c r="AY14" s="1">
        <v>2003</v>
      </c>
      <c r="AZ14" s="1" t="s">
        <v>17</v>
      </c>
      <c r="BA14" s="1">
        <v>1</v>
      </c>
      <c r="BB14" s="1">
        <v>2002</v>
      </c>
      <c r="BC14" s="1">
        <v>3</v>
      </c>
      <c r="BD14" s="1">
        <v>2</v>
      </c>
      <c r="BE14" s="1">
        <v>1000</v>
      </c>
      <c r="BF14" s="1">
        <v>38</v>
      </c>
      <c r="BG14" s="1">
        <v>0</v>
      </c>
      <c r="BH14" s="1">
        <v>30.872455135308641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1</v>
      </c>
      <c r="BP14" s="1" t="s">
        <v>91</v>
      </c>
      <c r="BQ14" s="1">
        <v>31</v>
      </c>
      <c r="BR14" s="1"/>
      <c r="BS14" s="1">
        <v>30.872455135308641</v>
      </c>
      <c r="BT14" s="1">
        <v>127.99264538330748</v>
      </c>
      <c r="BU14" s="1"/>
      <c r="BV14" s="1">
        <v>163.50000000000003</v>
      </c>
      <c r="BX14" s="1"/>
      <c r="BY14" s="1">
        <v>1.5</v>
      </c>
      <c r="BZ14" s="1"/>
      <c r="CA14" s="1"/>
      <c r="CB14" s="1"/>
      <c r="CC14" s="1"/>
      <c r="CD14" s="1"/>
      <c r="CE14" s="1"/>
    </row>
    <row r="15" spans="1:83">
      <c r="A15">
        <v>10</v>
      </c>
      <c r="B15" s="1">
        <f t="shared" si="12"/>
        <v>1007</v>
      </c>
      <c r="C15" s="1" t="s">
        <v>18</v>
      </c>
      <c r="D15" s="1">
        <v>1</v>
      </c>
      <c r="E15" s="1">
        <v>1006</v>
      </c>
      <c r="F15" s="1">
        <f>SUMIF($G$6:G15,G15,$G$6:$G$78)/G15</f>
        <v>7</v>
      </c>
      <c r="G15" s="1">
        <v>1</v>
      </c>
      <c r="H15" s="1">
        <v>1000</v>
      </c>
      <c r="I15" s="1">
        <f t="shared" si="13"/>
        <v>32</v>
      </c>
      <c r="J15" s="1">
        <f>VLOOKUP($J$3,[1]!龙魂分图属性,J$4,FALSE)*(AH15*$AG15)/IF(SUMPRODUCT(AH$6:AH$96*$AG$6:$AG$96)=0,1,SUMPRODUCT(AH$6:AH$96*$AG$6:$AG$96))</f>
        <v>0</v>
      </c>
      <c r="K15" s="1">
        <f>VLOOKUP($J$3,[1]!龙魂分图属性,K$4,FALSE)*(AI15*$AG15)/IF(SUMPRODUCT(AI$6:AI$96*$AG$6:$AG$96)=0,1,SUMPRODUCT(AI$6:AI$96*$AG$6:$AG$96))</f>
        <v>0</v>
      </c>
      <c r="L15" s="1">
        <f>VLOOKUP($J$3,[1]!龙魂分图属性,L$4,FALSE)*(AJ15*$AG15)/IF(SUMPRODUCT(AJ$6:AJ$96*$AG$6:$AG$96)=0,1,SUMPRODUCT(AJ$6:AJ$96*$AG$6:$AG$96))</f>
        <v>0</v>
      </c>
      <c r="M15" s="1">
        <f>VLOOKUP($J$3,[1]!龙魂分图属性,M$4,FALSE)*(AK15*$AG15)/IF(SUMPRODUCT(AK$6:AK$96*$AG$6:$AG$96)=0,1,SUMPRODUCT(AK$6:AK$96*$AG$6:$AG$96))</f>
        <v>0</v>
      </c>
      <c r="N15" s="1">
        <f>VLOOKUP($J$3,[1]!龙魂分图属性,N$4,FALSE)*(AL15*$AG15)/IF(SUMPRODUCT(AL$6:AL$96*$AG$6:$AG$96)=0,1,SUMPRODUCT(AL$6:AL$96*$AG$6:$AG$96))</f>
        <v>0</v>
      </c>
      <c r="O15" s="1">
        <f>VLOOKUP($J$3,[1]!龙魂分图属性,O$4,FALSE)*(AM15*$AG15)/IF(SUMPRODUCT(AM$6:AM$96*$AG$6:$AG$96)=0,1,SUMPRODUCT(AM$6:AM$96*$AG$6:$AG$96))</f>
        <v>138.6840147761514</v>
      </c>
      <c r="P15" s="1">
        <f>VLOOKUP($J$3,[1]!龙魂分图属性,P$4,FALSE)*(AN15*$AG15)/IF(SUMPRODUCT(AN$6:AN$96*$AG$6:$AG$96)=0,1,SUMPRODUCT(AN$6:AN$96*$AG$6:$AG$96))</f>
        <v>0</v>
      </c>
      <c r="Q15" s="1">
        <f>VLOOKUP($J$3,[1]!龙魂分图属性,Q$4,FALSE)*(AO15*$AG15)/IF(SUMPRODUCT(AO$6:AO$96*$AG$6:$AG$96)=0,1,SUMPRODUCT(AO$6:AO$96*$AG$6:$AG$96))</f>
        <v>0</v>
      </c>
      <c r="R15" s="1">
        <f t="shared" si="9"/>
        <v>1</v>
      </c>
      <c r="S15" s="1" t="str">
        <f t="array" aca="1" ref="S15" ca="1">OFFSET($I$5,0,MATCH(1,1/(J15:Q15&gt;0),0))</f>
        <v>暴击值</v>
      </c>
      <c r="T15" s="1">
        <f t="shared" si="14"/>
        <v>139</v>
      </c>
      <c r="U15" s="1">
        <f t="shared" si="15"/>
        <v>0.16065548017906986</v>
      </c>
      <c r="V15" s="19">
        <f t="shared" si="10"/>
        <v>24.963122659707253</v>
      </c>
      <c r="W15" s="18">
        <f t="shared" si="16"/>
        <v>32</v>
      </c>
      <c r="X15" s="1">
        <f>(VLOOKUP(W15,[2]龙魂的投放!$G$17:$L$117,6,FALSE)+SUMIF(龙魂整图属性辅助表!$E$12:$E$17,H15,龙魂整图属性辅助表!$T$12:$T$17)/COUNTIF($H$6:$H$96,H15))/INDEX($C$1:$C$2,G15)</f>
        <v>155.38295134335192</v>
      </c>
      <c r="Y15" s="1">
        <f t="shared" si="17"/>
        <v>0.5</v>
      </c>
      <c r="Z15" s="1">
        <f t="shared" ca="1" si="18"/>
        <v>93</v>
      </c>
      <c r="AA15" s="1">
        <f t="shared" si="19"/>
        <v>2</v>
      </c>
      <c r="AB15" s="18">
        <f t="shared" si="20"/>
        <v>3</v>
      </c>
      <c r="AC15" s="1">
        <f t="shared" ca="1" si="21"/>
        <v>279</v>
      </c>
      <c r="AD15" s="21">
        <f t="shared" si="24"/>
        <v>6</v>
      </c>
      <c r="AE15" s="21">
        <f t="shared" si="22"/>
        <v>93</v>
      </c>
      <c r="AF15">
        <v>0.1</v>
      </c>
      <c r="AG15">
        <f t="shared" si="11"/>
        <v>1.1000000000000001</v>
      </c>
      <c r="AH15" s="1"/>
      <c r="AI15" s="1"/>
      <c r="AJ15" s="1"/>
      <c r="AK15" s="1"/>
      <c r="AL15" s="1"/>
      <c r="AM15" s="1">
        <v>1</v>
      </c>
      <c r="AN15" s="1"/>
      <c r="AO15" s="1"/>
      <c r="AY15" s="1">
        <v>1007</v>
      </c>
      <c r="AZ15" s="1" t="s">
        <v>18</v>
      </c>
      <c r="BA15" s="1">
        <v>1</v>
      </c>
      <c r="BB15" s="1">
        <v>1006</v>
      </c>
      <c r="BC15" s="1">
        <v>7</v>
      </c>
      <c r="BD15" s="1">
        <v>1</v>
      </c>
      <c r="BE15" s="1">
        <v>1000</v>
      </c>
      <c r="BF15" s="1">
        <v>36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91.102967057995301</v>
      </c>
      <c r="BM15" s="1">
        <v>0</v>
      </c>
      <c r="BN15" s="1">
        <v>0</v>
      </c>
      <c r="BO15" s="1">
        <v>1</v>
      </c>
      <c r="BP15" s="1" t="s">
        <v>95</v>
      </c>
      <c r="BQ15" s="1">
        <v>91</v>
      </c>
      <c r="BR15" s="1"/>
      <c r="BS15" s="1">
        <v>7.274892218374811</v>
      </c>
      <c r="BT15" s="1">
        <v>52.816604675631936</v>
      </c>
      <c r="BU15" s="1"/>
      <c r="BV15" s="1">
        <v>110.00000000000001</v>
      </c>
      <c r="BX15" s="1"/>
      <c r="BY15" s="1"/>
      <c r="BZ15" s="1"/>
      <c r="CA15" s="1"/>
      <c r="CB15" s="1"/>
      <c r="CC15" s="1">
        <v>1</v>
      </c>
      <c r="CD15" s="1"/>
      <c r="CE15" s="1"/>
    </row>
    <row r="16" spans="1:83">
      <c r="A16">
        <v>11</v>
      </c>
      <c r="B16" s="1">
        <f t="shared" si="12"/>
        <v>1008</v>
      </c>
      <c r="C16" s="1" t="s">
        <v>9</v>
      </c>
      <c r="D16" s="1">
        <v>2</v>
      </c>
      <c r="E16" s="1">
        <f t="shared" si="23"/>
        <v>1007</v>
      </c>
      <c r="F16" s="1">
        <f>SUMIF($G$6:G16,G16,$G$6:$G$78)/G16</f>
        <v>8</v>
      </c>
      <c r="G16" s="1">
        <v>1</v>
      </c>
      <c r="H16" s="1">
        <v>1001</v>
      </c>
      <c r="I16" s="1">
        <f t="shared" si="13"/>
        <v>34</v>
      </c>
      <c r="J16" s="1">
        <f>VLOOKUP($J$3,[1]!龙魂分图属性,J$4,FALSE)*(AH16*$AG16)/IF(SUMPRODUCT(AH$6:AH$96*$AG$6:$AG$96)=0,1,SUMPRODUCT(AH$6:AH$96*$AG$6:$AG$96))</f>
        <v>0</v>
      </c>
      <c r="K16" s="1">
        <f>VLOOKUP($J$3,[1]!龙魂分图属性,K$4,FALSE)*(AI16*$AG16)/IF(SUMPRODUCT(AI$6:AI$96*$AG$6:$AG$96)=0,1,SUMPRODUCT(AI$6:AI$96*$AG$6:$AG$96))</f>
        <v>0</v>
      </c>
      <c r="L16" s="1">
        <f>VLOOKUP($J$3,[1]!龙魂分图属性,L$4,FALSE)*(AJ16*$AG16)/IF(SUMPRODUCT(AJ$6:AJ$96*$AG$6:$AG$96)=0,1,SUMPRODUCT(AJ$6:AJ$96*$AG$6:$AG$96))</f>
        <v>0</v>
      </c>
      <c r="M16" s="1">
        <f>VLOOKUP($J$3,[1]!龙魂分图属性,M$4,FALSE)*(AK16*$AG16)/IF(SUMPRODUCT(AK$6:AK$96*$AG$6:$AG$96)=0,1,SUMPRODUCT(AK$6:AK$96*$AG$6:$AG$96))</f>
        <v>0</v>
      </c>
      <c r="N16" s="1">
        <f>VLOOKUP($J$3,[1]!龙魂分图属性,N$4,FALSE)*(AL16*$AG16)/IF(SUMPRODUCT(AL$6:AL$96*$AG$6:$AG$96)=0,1,SUMPRODUCT(AL$6:AL$96*$AG$6:$AG$96))</f>
        <v>0</v>
      </c>
      <c r="O16" s="1">
        <f>VLOOKUP($J$3,[1]!龙魂分图属性,O$4,FALSE)*(AM16*$AG16)/IF(SUMPRODUCT(AM$6:AM$96*$AG$6:$AG$96)=0,1,SUMPRODUCT(AM$6:AM$96*$AG$6:$AG$96))</f>
        <v>0</v>
      </c>
      <c r="P16" s="1">
        <f>VLOOKUP($J$3,[1]!龙魂分图属性,P$4,FALSE)*(AN16*$AG16)/IF(SUMPRODUCT(AN$6:AN$96*$AG$6:$AG$96)=0,1,SUMPRODUCT(AN$6:AN$96*$AG$6:$AG$96))</f>
        <v>0</v>
      </c>
      <c r="Q16" s="1">
        <f>VLOOKUP($J$3,[1]!龙魂分图属性,Q$4,FALSE)*(AO16*$AG16)/IF(SUMPRODUCT(AO$6:AO$96*$AG$6:$AG$96)=0,1,SUMPRODUCT(AO$6:AO$96*$AG$6:$AG$96))</f>
        <v>345.74986272738545</v>
      </c>
      <c r="R16" s="1">
        <f t="shared" si="9"/>
        <v>1</v>
      </c>
      <c r="S16" s="1" t="str">
        <f t="array" aca="1" ref="S16" ca="1">OFFSET($I$5,0,MATCH(1,1/(J16:Q16&gt;0),0))</f>
        <v>韧性值</v>
      </c>
      <c r="T16" s="1">
        <f t="shared" si="14"/>
        <v>346</v>
      </c>
      <c r="U16" s="1">
        <f t="shared" si="15"/>
        <v>0.32935970500914297</v>
      </c>
      <c r="V16" s="19">
        <f t="shared" si="10"/>
        <v>62.234975290929377</v>
      </c>
      <c r="W16" s="18">
        <f t="shared" si="16"/>
        <v>34</v>
      </c>
      <c r="X16" s="1">
        <f>(VLOOKUP(W16,[2]龙魂的投放!$G$17:$L$117,6,FALSE)+SUMIF(龙魂整图属性辅助表!$E$12:$E$17,H16,龙魂整图属性辅助表!$T$12:$T$17)/COUNTIF($H$6:$H$96,H16))/INDEX($C$1:$C$2,G16)</f>
        <v>188.95746609076463</v>
      </c>
      <c r="Y16" s="1">
        <f t="shared" si="17"/>
        <v>0.77777777777777779</v>
      </c>
      <c r="Z16" s="1">
        <f ca="1">SMALL($AE$16:$AE$29,AD16+1)</f>
        <v>89</v>
      </c>
      <c r="AA16" s="1">
        <f t="shared" si="19"/>
        <v>1.2857142857142856</v>
      </c>
      <c r="AB16" s="18">
        <f t="shared" si="20"/>
        <v>3</v>
      </c>
      <c r="AC16" s="1">
        <f t="shared" ca="1" si="21"/>
        <v>267</v>
      </c>
      <c r="AD16" s="21">
        <f t="shared" si="24"/>
        <v>0</v>
      </c>
      <c r="AE16" s="21">
        <f t="shared" si="22"/>
        <v>132</v>
      </c>
      <c r="AF16">
        <v>0.22</v>
      </c>
      <c r="AG16">
        <f t="shared" si="11"/>
        <v>2.44</v>
      </c>
      <c r="AH16" s="1"/>
      <c r="AI16" s="1"/>
      <c r="AJ16" s="1"/>
      <c r="AK16" s="1"/>
      <c r="AL16" s="1"/>
      <c r="AM16" s="1"/>
      <c r="AN16" s="1"/>
      <c r="AO16" s="1">
        <v>1</v>
      </c>
      <c r="AY16" s="1">
        <v>1008</v>
      </c>
      <c r="AZ16" s="1" t="s">
        <v>9</v>
      </c>
      <c r="BA16" s="1">
        <v>2</v>
      </c>
      <c r="BB16" s="1">
        <v>1007</v>
      </c>
      <c r="BC16" s="1">
        <v>8</v>
      </c>
      <c r="BD16" s="1">
        <v>1</v>
      </c>
      <c r="BE16" s="1">
        <v>1001</v>
      </c>
      <c r="BF16" s="1">
        <v>37</v>
      </c>
      <c r="BG16" s="1">
        <v>1633.2317083398027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1</v>
      </c>
      <c r="BP16" s="1" t="s">
        <v>90</v>
      </c>
      <c r="BQ16" s="1">
        <v>1633</v>
      </c>
      <c r="BR16" s="1"/>
      <c r="BS16" s="1">
        <v>66.704273662278268</v>
      </c>
      <c r="BT16" s="1">
        <v>58.138356326088626</v>
      </c>
      <c r="BU16" s="1"/>
      <c r="BV16" s="1">
        <v>224.00000000000003</v>
      </c>
      <c r="BX16" s="1">
        <v>1</v>
      </c>
      <c r="BY16" s="1"/>
      <c r="BZ16" s="1"/>
      <c r="CA16" s="1"/>
      <c r="CB16" s="1"/>
      <c r="CC16" s="1"/>
      <c r="CD16" s="1"/>
      <c r="CE16" s="1"/>
    </row>
    <row r="17" spans="1:83">
      <c r="A17">
        <v>12</v>
      </c>
      <c r="B17" s="1">
        <f t="shared" si="12"/>
        <v>1009</v>
      </c>
      <c r="C17" s="1" t="s">
        <v>10</v>
      </c>
      <c r="D17" s="1">
        <v>2</v>
      </c>
      <c r="E17" s="1">
        <f t="shared" si="23"/>
        <v>1008</v>
      </c>
      <c r="F17" s="1">
        <f>SUMIF($G$6:G17,G17,$G$6:$G$78)/G17</f>
        <v>9</v>
      </c>
      <c r="G17" s="1">
        <v>1</v>
      </c>
      <c r="H17" s="1">
        <v>1001</v>
      </c>
      <c r="I17" s="1">
        <f t="shared" si="13"/>
        <v>35</v>
      </c>
      <c r="J17" s="1">
        <f>VLOOKUP($J$3,[1]!龙魂分图属性,J$4,FALSE)*(AH17*$AG17)/IF(SUMPRODUCT(AH$6:AH$96*$AG$6:$AG$96)=0,1,SUMPRODUCT(AH$6:AH$96*$AG$6:$AG$96))</f>
        <v>0</v>
      </c>
      <c r="K17" s="1">
        <f>VLOOKUP($J$3,[1]!龙魂分图属性,K$4,FALSE)*(AI17*$AG17)/IF(SUMPRODUCT(AI$6:AI$96*$AG$6:$AG$96)=0,1,SUMPRODUCT(AI$6:AI$96*$AG$6:$AG$96))</f>
        <v>85.182414310067045</v>
      </c>
      <c r="L17" s="1">
        <f>VLOOKUP($J$3,[1]!龙魂分图属性,L$4,FALSE)*(AJ17*$AG17)/IF(SUMPRODUCT(AJ$6:AJ$96*$AG$6:$AG$96)=0,1,SUMPRODUCT(AJ$6:AJ$96*$AG$6:$AG$96))</f>
        <v>0</v>
      </c>
      <c r="M17" s="1">
        <f>VLOOKUP($J$3,[1]!龙魂分图属性,M$4,FALSE)*(AK17*$AG17)/IF(SUMPRODUCT(AK$6:AK$96*$AG$6:$AG$96)=0,1,SUMPRODUCT(AK$6:AK$96*$AG$6:$AG$96))</f>
        <v>0</v>
      </c>
      <c r="N17" s="1">
        <f>VLOOKUP($J$3,[1]!龙魂分图属性,N$4,FALSE)*(AL17*$AG17)/IF(SUMPRODUCT(AL$6:AL$96*$AG$6:$AG$96)=0,1,SUMPRODUCT(AL$6:AL$96*$AG$6:$AG$96))</f>
        <v>0</v>
      </c>
      <c r="O17" s="1">
        <f>VLOOKUP($J$3,[1]!龙魂分图属性,O$4,FALSE)*(AM17*$AG17)/IF(SUMPRODUCT(AM$6:AM$96*$AG$6:$AG$96)=0,1,SUMPRODUCT(AM$6:AM$96*$AG$6:$AG$96))</f>
        <v>0</v>
      </c>
      <c r="P17" s="1">
        <f>VLOOKUP($J$3,[1]!龙魂分图属性,P$4,FALSE)*(AN17*$AG17)/IF(SUMPRODUCT(AN$6:AN$96*$AG$6:$AG$96)=0,1,SUMPRODUCT(AN$6:AN$96*$AG$6:$AG$96))</f>
        <v>0</v>
      </c>
      <c r="Q17" s="1">
        <f>VLOOKUP($J$3,[1]!龙魂分图属性,Q$4,FALSE)*(AO17*$AG17)/IF(SUMPRODUCT(AO$6:AO$96*$AG$6:$AG$96)=0,1,SUMPRODUCT(AO$6:AO$96*$AG$6:$AG$96))</f>
        <v>0</v>
      </c>
      <c r="R17" s="1">
        <f t="shared" si="9"/>
        <v>1</v>
      </c>
      <c r="S17" s="1" t="str">
        <f t="array" aca="1" ref="S17" ca="1">OFFSET($I$5,0,MATCH(1,1/(J17:Q17&gt;0),0))</f>
        <v>攻击</v>
      </c>
      <c r="T17" s="1">
        <f t="shared" si="14"/>
        <v>85</v>
      </c>
      <c r="U17" s="1">
        <f t="shared" si="15"/>
        <v>0.47264940409670231</v>
      </c>
      <c r="V17" s="19">
        <f t="shared" si="10"/>
        <v>85.182414310067045</v>
      </c>
      <c r="W17" s="18">
        <f t="shared" si="16"/>
        <v>35</v>
      </c>
      <c r="X17" s="1">
        <f>(VLOOKUP(W17,[2]龙魂的投放!$G$17:$L$117,6,FALSE)+SUMIF(龙魂整图属性辅助表!$E$12:$E$17,H17,龙魂整图属性辅助表!$T$12:$T$17)/COUNTIF($H$6:$H$96,H17))/INDEX($C$1:$C$2,G17)</f>
        <v>180.22325548651077</v>
      </c>
      <c r="Y17" s="1">
        <f t="shared" si="17"/>
        <v>0.63636363636363635</v>
      </c>
      <c r="Z17" s="1">
        <f t="shared" ref="Z17:Z29" ca="1" si="25">SMALL($AE$16:$AE$29,AD17+1)</f>
        <v>96</v>
      </c>
      <c r="AA17" s="1">
        <f t="shared" si="19"/>
        <v>1.5714285714285714</v>
      </c>
      <c r="AB17" s="18">
        <f t="shared" si="20"/>
        <v>3</v>
      </c>
      <c r="AC17" s="1">
        <f t="shared" ca="1" si="21"/>
        <v>288</v>
      </c>
      <c r="AD17" s="21">
        <f t="shared" si="24"/>
        <v>1</v>
      </c>
      <c r="AE17" s="21">
        <f t="shared" si="22"/>
        <v>109</v>
      </c>
      <c r="AF17">
        <v>0.24</v>
      </c>
      <c r="AG17">
        <f t="shared" si="11"/>
        <v>2.48</v>
      </c>
      <c r="AH17" s="1"/>
      <c r="AI17" s="1">
        <v>1</v>
      </c>
      <c r="AJ17" s="1"/>
      <c r="AK17" s="1"/>
      <c r="AL17" s="1"/>
      <c r="AM17" s="1"/>
      <c r="AN17" s="1"/>
      <c r="AO17" s="1"/>
      <c r="AY17" s="1">
        <v>1009</v>
      </c>
      <c r="AZ17" s="1" t="s">
        <v>10</v>
      </c>
      <c r="BA17" s="1">
        <v>2</v>
      </c>
      <c r="BB17" s="1">
        <v>1008</v>
      </c>
      <c r="BC17" s="1">
        <v>9</v>
      </c>
      <c r="BD17" s="1">
        <v>1</v>
      </c>
      <c r="BE17" s="1">
        <v>1001</v>
      </c>
      <c r="BF17" s="1">
        <v>38</v>
      </c>
      <c r="BG17" s="1">
        <v>0</v>
      </c>
      <c r="BH17" s="1">
        <v>43.051497069421224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1</v>
      </c>
      <c r="BP17" s="1" t="s">
        <v>91</v>
      </c>
      <c r="BQ17" s="1">
        <v>43</v>
      </c>
      <c r="BR17" s="1"/>
      <c r="BS17" s="1">
        <v>43.051497069421224</v>
      </c>
      <c r="BT17" s="1">
        <v>63.996322691653738</v>
      </c>
      <c r="BU17" s="1"/>
      <c r="BV17" s="1">
        <v>228.00000000000003</v>
      </c>
      <c r="BX17" s="1"/>
      <c r="BY17" s="1">
        <v>1</v>
      </c>
      <c r="BZ17" s="1"/>
      <c r="CA17" s="1"/>
      <c r="CB17" s="1"/>
      <c r="CC17" s="1"/>
      <c r="CD17" s="1"/>
      <c r="CE17" s="1"/>
    </row>
    <row r="18" spans="1:83">
      <c r="A18">
        <v>13</v>
      </c>
      <c r="B18" s="1">
        <f t="shared" si="12"/>
        <v>1010</v>
      </c>
      <c r="C18" s="1" t="s">
        <v>11</v>
      </c>
      <c r="D18" s="1">
        <v>2</v>
      </c>
      <c r="E18" s="1">
        <f t="shared" si="23"/>
        <v>1009</v>
      </c>
      <c r="F18" s="1">
        <f>SUMIF($G$6:G18,G18,$G$6:$G$78)/G18</f>
        <v>10</v>
      </c>
      <c r="G18" s="1">
        <v>1</v>
      </c>
      <c r="H18" s="1">
        <v>1001</v>
      </c>
      <c r="I18" s="1">
        <f t="shared" si="13"/>
        <v>36</v>
      </c>
      <c r="J18" s="1">
        <f>VLOOKUP($J$3,[1]!龙魂分图属性,J$4,FALSE)*(AH18*$AG18)/IF(SUMPRODUCT(AH$6:AH$96*$AG$6:$AG$96)=0,1,SUMPRODUCT(AH$6:AH$96*$AG$6:$AG$96))</f>
        <v>2360.1254436030058</v>
      </c>
      <c r="K18" s="1">
        <f>VLOOKUP($J$3,[1]!龙魂分图属性,K$4,FALSE)*(AI18*$AG18)/IF(SUMPRODUCT(AI$6:AI$96*$AG$6:$AG$96)=0,1,SUMPRODUCT(AI$6:AI$96*$AG$6:$AG$96))</f>
        <v>0</v>
      </c>
      <c r="L18" s="1">
        <f>VLOOKUP($J$3,[1]!龙魂分图属性,L$4,FALSE)*(AJ18*$AG18)/IF(SUMPRODUCT(AJ$6:AJ$96*$AG$6:$AG$96)=0,1,SUMPRODUCT(AJ$6:AJ$96*$AG$6:$AG$96))</f>
        <v>0</v>
      </c>
      <c r="M18" s="1">
        <f>VLOOKUP($J$3,[1]!龙魂分图属性,M$4,FALSE)*(AK18*$AG18)/IF(SUMPRODUCT(AK$6:AK$96*$AG$6:$AG$96)=0,1,SUMPRODUCT(AK$6:AK$96*$AG$6:$AG$96))</f>
        <v>0</v>
      </c>
      <c r="N18" s="1">
        <f>VLOOKUP($J$3,[1]!龙魂分图属性,N$4,FALSE)*(AL18*$AG18)/IF(SUMPRODUCT(AL$6:AL$96*$AG$6:$AG$96)=0,1,SUMPRODUCT(AL$6:AL$96*$AG$6:$AG$96))</f>
        <v>0</v>
      </c>
      <c r="O18" s="1">
        <f>VLOOKUP($J$3,[1]!龙魂分图属性,O$4,FALSE)*(AM18*$AG18)/IF(SUMPRODUCT(AM$6:AM$96*$AG$6:$AG$96)=0,1,SUMPRODUCT(AM$6:AM$96*$AG$6:$AG$96))</f>
        <v>0</v>
      </c>
      <c r="P18" s="1">
        <f>VLOOKUP($J$3,[1]!龙魂分图属性,P$4,FALSE)*(AN18*$AG18)/IF(SUMPRODUCT(AN$6:AN$96*$AG$6:$AG$96)=0,1,SUMPRODUCT(AN$6:AN$96*$AG$6:$AG$96))</f>
        <v>0</v>
      </c>
      <c r="Q18" s="1">
        <f>VLOOKUP($J$3,[1]!龙魂分图属性,Q$4,FALSE)*(AO18*$AG18)/IF(SUMPRODUCT(AO$6:AO$96*$AG$6:$AG$96)=0,1,SUMPRODUCT(AO$6:AO$96*$AG$6:$AG$96))</f>
        <v>0</v>
      </c>
      <c r="R18" s="1">
        <f t="shared" si="9"/>
        <v>1</v>
      </c>
      <c r="S18" s="1" t="str">
        <f t="array" aca="1" ref="S18" ca="1">OFFSET($I$5,0,MATCH(1,1/(J18:Q18&gt;0),0))</f>
        <v>生命</v>
      </c>
      <c r="T18" s="1">
        <f t="shared" si="14"/>
        <v>2360</v>
      </c>
      <c r="U18" s="1">
        <f t="shared" si="15"/>
        <v>0.45184218698889267</v>
      </c>
      <c r="V18" s="19">
        <f t="shared" si="10"/>
        <v>94.405017744120229</v>
      </c>
      <c r="W18" s="18">
        <f t="shared" si="16"/>
        <v>36</v>
      </c>
      <c r="X18" s="1">
        <f>(VLOOKUP(W18,[2]龙魂的投放!$G$17:$L$117,6,FALSE)+SUMIF(龙魂整图属性辅助表!$E$12:$E$17,H18,龙魂整图属性辅助表!$T$12:$T$17)/COUNTIF($H$6:$H$96,H18))/INDEX($C$1:$C$2,G18)</f>
        <v>208.93360660553134</v>
      </c>
      <c r="Y18" s="1">
        <f t="shared" si="17"/>
        <v>0.53846153846153844</v>
      </c>
      <c r="Z18" s="1">
        <f t="shared" ca="1" si="25"/>
        <v>103</v>
      </c>
      <c r="AA18" s="1">
        <f t="shared" si="19"/>
        <v>1.8571428571428572</v>
      </c>
      <c r="AB18" s="18">
        <f t="shared" si="20"/>
        <v>3</v>
      </c>
      <c r="AC18" s="1">
        <f t="shared" ca="1" si="21"/>
        <v>309</v>
      </c>
      <c r="AD18" s="21">
        <f t="shared" si="24"/>
        <v>2</v>
      </c>
      <c r="AE18" s="21">
        <f t="shared" si="22"/>
        <v>113</v>
      </c>
      <c r="AF18">
        <v>0.26</v>
      </c>
      <c r="AG18">
        <f t="shared" si="11"/>
        <v>2.52</v>
      </c>
      <c r="AH18" s="1">
        <v>1</v>
      </c>
      <c r="AI18" s="1"/>
      <c r="AJ18" s="1"/>
      <c r="AK18" s="1"/>
      <c r="AL18" s="1"/>
      <c r="AM18" s="1"/>
      <c r="AN18" s="1"/>
      <c r="AO18" s="1"/>
      <c r="AY18" s="1">
        <v>1010</v>
      </c>
      <c r="AZ18" s="1" t="s">
        <v>11</v>
      </c>
      <c r="BA18" s="1">
        <v>2</v>
      </c>
      <c r="BB18" s="1">
        <v>1009</v>
      </c>
      <c r="BC18" s="1">
        <v>10</v>
      </c>
      <c r="BD18" s="1">
        <v>1</v>
      </c>
      <c r="BE18" s="1">
        <v>1001</v>
      </c>
      <c r="BF18" s="1">
        <v>39</v>
      </c>
      <c r="BG18" s="1">
        <v>0</v>
      </c>
      <c r="BH18" s="1">
        <v>0</v>
      </c>
      <c r="BI18" s="1">
        <v>26.17316019251669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1</v>
      </c>
      <c r="BP18" s="1" t="s">
        <v>92</v>
      </c>
      <c r="BQ18" s="1">
        <v>26</v>
      </c>
      <c r="BR18" s="1"/>
      <c r="BS18" s="1">
        <v>26.17316019251669</v>
      </c>
      <c r="BT18" s="1">
        <v>70.444532265121424</v>
      </c>
      <c r="BU18" s="1"/>
      <c r="BV18" s="1">
        <v>252</v>
      </c>
      <c r="BX18" s="1"/>
      <c r="BY18" s="1"/>
      <c r="BZ18" s="1">
        <v>1</v>
      </c>
      <c r="CA18" s="1"/>
      <c r="CB18" s="1"/>
      <c r="CC18" s="1"/>
      <c r="CD18" s="1"/>
      <c r="CE18" s="1"/>
    </row>
    <row r="19" spans="1:83">
      <c r="A19">
        <v>14</v>
      </c>
      <c r="B19" s="1">
        <f t="shared" si="12"/>
        <v>1011</v>
      </c>
      <c r="C19" s="1" t="s">
        <v>12</v>
      </c>
      <c r="D19" s="1">
        <v>2</v>
      </c>
      <c r="E19" s="1">
        <f t="shared" si="23"/>
        <v>1010</v>
      </c>
      <c r="F19" s="1">
        <f>SUMIF($G$6:G19,G19,$G$6:$G$78)/G19</f>
        <v>11</v>
      </c>
      <c r="G19" s="1">
        <v>1</v>
      </c>
      <c r="H19" s="1">
        <v>1001</v>
      </c>
      <c r="I19" s="1">
        <f t="shared" si="13"/>
        <v>37</v>
      </c>
      <c r="J19" s="1">
        <f>VLOOKUP($J$3,[1]!龙魂分图属性,J$4,FALSE)*(AH19*$AG19)/IF(SUMPRODUCT(AH$6:AH$96*$AG$6:$AG$96)=0,1,SUMPRODUCT(AH$6:AH$96*$AG$6:$AG$96))</f>
        <v>0</v>
      </c>
      <c r="K19" s="1">
        <f>VLOOKUP($J$3,[1]!龙魂分图属性,K$4,FALSE)*(AI19*$AG19)/IF(SUMPRODUCT(AI$6:AI$96*$AG$6:$AG$96)=0,1,SUMPRODUCT(AI$6:AI$96*$AG$6:$AG$96))</f>
        <v>0</v>
      </c>
      <c r="L19" s="1">
        <f>VLOOKUP($J$3,[1]!龙魂分图属性,L$4,FALSE)*(AJ19*$AG19)/IF(SUMPRODUCT(AJ$6:AJ$96*$AG$6:$AG$96)=0,1,SUMPRODUCT(AJ$6:AJ$96*$AG$6:$AG$96))</f>
        <v>0</v>
      </c>
      <c r="M19" s="1">
        <f>VLOOKUP($J$3,[1]!龙魂分图属性,M$4,FALSE)*(AK19*$AG19)/IF(SUMPRODUCT(AK$6:AK$96*$AG$6:$AG$96)=0,1,SUMPRODUCT(AK$6:AK$96*$AG$6:$AG$96))</f>
        <v>246.25329459974211</v>
      </c>
      <c r="N19" s="1">
        <f>VLOOKUP($J$3,[1]!龙魂分图属性,N$4,FALSE)*(AL19*$AG19)/IF(SUMPRODUCT(AL$6:AL$96*$AG$6:$AG$96)=0,1,SUMPRODUCT(AL$6:AL$96*$AG$6:$AG$96))</f>
        <v>0</v>
      </c>
      <c r="O19" s="1">
        <f>VLOOKUP($J$3,[1]!龙魂分图属性,O$4,FALSE)*(AM19*$AG19)/IF(SUMPRODUCT(AM$6:AM$96*$AG$6:$AG$96)=0,1,SUMPRODUCT(AM$6:AM$96*$AG$6:$AG$96))</f>
        <v>0</v>
      </c>
      <c r="P19" s="1">
        <f>VLOOKUP($J$3,[1]!龙魂分图属性,P$4,FALSE)*(AN19*$AG19)/IF(SUMPRODUCT(AN$6:AN$96*$AG$6:$AG$96)=0,1,SUMPRODUCT(AN$6:AN$96*$AG$6:$AG$96))</f>
        <v>0</v>
      </c>
      <c r="Q19" s="1">
        <f>VLOOKUP($J$3,[1]!龙魂分图属性,Q$4,FALSE)*(AO19*$AG19)/IF(SUMPRODUCT(AO$6:AO$96*$AG$6:$AG$96)=0,1,SUMPRODUCT(AO$6:AO$96*$AG$6:$AG$96))</f>
        <v>0</v>
      </c>
      <c r="R19" s="1">
        <f t="shared" si="9"/>
        <v>1</v>
      </c>
      <c r="S19" s="1" t="str">
        <f t="array" aca="1" ref="S19" ca="1">OFFSET($I$5,0,MATCH(1,1/(J19:Q19&gt;0),0))</f>
        <v>闪避值</v>
      </c>
      <c r="T19" s="1">
        <f t="shared" si="14"/>
        <v>246</v>
      </c>
      <c r="U19" s="1">
        <f t="shared" si="15"/>
        <v>0.46100662648487972</v>
      </c>
      <c r="V19" s="19">
        <f t="shared" si="10"/>
        <v>83.726120163912327</v>
      </c>
      <c r="W19" s="18">
        <f t="shared" si="16"/>
        <v>37</v>
      </c>
      <c r="X19" s="1">
        <f>(VLOOKUP(W19,[2]龙魂的投放!$G$17:$L$117,6,FALSE)+SUMIF(龙魂整图属性辅助表!$E$12:$E$17,H19,龙魂整图属性辅助表!$T$12:$T$17)/COUNTIF($H$6:$H$96,H19))/INDEX($C$1:$C$2,G19)</f>
        <v>181.61587134292182</v>
      </c>
      <c r="Y19" s="1">
        <f t="shared" si="17"/>
        <v>0.46666666666666667</v>
      </c>
      <c r="Z19" s="1">
        <f t="shared" ca="1" si="25"/>
        <v>109</v>
      </c>
      <c r="AA19" s="1">
        <f t="shared" si="19"/>
        <v>2.1428571428571428</v>
      </c>
      <c r="AB19" s="18">
        <f t="shared" si="20"/>
        <v>4</v>
      </c>
      <c r="AC19" s="1">
        <f t="shared" ca="1" si="21"/>
        <v>436</v>
      </c>
      <c r="AD19" s="21">
        <f t="shared" si="24"/>
        <v>3</v>
      </c>
      <c r="AE19" s="21">
        <f t="shared" si="22"/>
        <v>89</v>
      </c>
      <c r="AF19">
        <v>0.28000000000000003</v>
      </c>
      <c r="AG19">
        <f t="shared" si="11"/>
        <v>2.56</v>
      </c>
      <c r="AH19" s="1"/>
      <c r="AI19" s="1"/>
      <c r="AJ19" s="1"/>
      <c r="AK19" s="1">
        <v>1</v>
      </c>
      <c r="AL19" s="1"/>
      <c r="AM19" s="1"/>
      <c r="AN19" s="1"/>
      <c r="AO19" s="1"/>
      <c r="AY19" s="1">
        <v>1011</v>
      </c>
      <c r="AZ19" s="1" t="s">
        <v>12</v>
      </c>
      <c r="BA19" s="1">
        <v>2</v>
      </c>
      <c r="BB19" s="1">
        <v>1010</v>
      </c>
      <c r="BC19" s="1">
        <v>11</v>
      </c>
      <c r="BD19" s="1">
        <v>1</v>
      </c>
      <c r="BE19" s="1">
        <v>1001</v>
      </c>
      <c r="BF19" s="1">
        <v>40</v>
      </c>
      <c r="BG19" s="1">
        <v>0</v>
      </c>
      <c r="BH19" s="1">
        <v>0</v>
      </c>
      <c r="BI19" s="1">
        <v>0</v>
      </c>
      <c r="BJ19" s="1">
        <v>176.4671416114345</v>
      </c>
      <c r="BK19" s="1">
        <v>0</v>
      </c>
      <c r="BL19" s="1">
        <v>0</v>
      </c>
      <c r="BM19" s="1">
        <v>0</v>
      </c>
      <c r="BN19" s="1">
        <v>0</v>
      </c>
      <c r="BO19" s="1">
        <v>1</v>
      </c>
      <c r="BP19" s="1" t="s">
        <v>93</v>
      </c>
      <c r="BQ19" s="1">
        <v>176</v>
      </c>
      <c r="BR19" s="1"/>
      <c r="BS19" s="1">
        <v>28.656042162242333</v>
      </c>
      <c r="BT19" s="1">
        <v>77.542457399648654</v>
      </c>
      <c r="BU19" s="1"/>
      <c r="BV19" s="1">
        <v>256</v>
      </c>
      <c r="BX19" s="1"/>
      <c r="BY19" s="1"/>
      <c r="BZ19" s="1"/>
      <c r="CA19" s="1">
        <v>1</v>
      </c>
      <c r="CB19" s="1"/>
      <c r="CC19" s="1"/>
      <c r="CD19" s="1"/>
      <c r="CE19" s="1"/>
    </row>
    <row r="20" spans="1:83">
      <c r="A20">
        <v>15</v>
      </c>
      <c r="B20" s="1">
        <f t="shared" si="12"/>
        <v>2004</v>
      </c>
      <c r="C20" s="1" t="s">
        <v>13</v>
      </c>
      <c r="D20" s="1">
        <v>2</v>
      </c>
      <c r="E20" s="1">
        <f t="shared" si="23"/>
        <v>1011</v>
      </c>
      <c r="F20" s="1">
        <f>SUMIF($G$6:G20,G20,$G$6:$G$78)/G20</f>
        <v>4</v>
      </c>
      <c r="G20" s="1">
        <v>2</v>
      </c>
      <c r="H20" s="1">
        <v>1001</v>
      </c>
      <c r="I20" s="1">
        <f t="shared" ca="1" si="13"/>
        <v>37</v>
      </c>
      <c r="J20" s="1">
        <f>VLOOKUP($J$3,[1]!龙魂分图属性,J$4,FALSE)*(AH20*$AG20)/IF(SUMPRODUCT(AH$6:AH$96*$AG$6:$AG$96)=0,1,SUMPRODUCT(AH$6:AH$96*$AG$6:$AG$96))</f>
        <v>0</v>
      </c>
      <c r="K20" s="1">
        <f>VLOOKUP($J$3,[1]!龙魂分图属性,K$4,FALSE)*(AI20*$AG20)/IF(SUMPRODUCT(AI$6:AI$96*$AG$6:$AG$96)=0,1,SUMPRODUCT(AI$6:AI$96*$AG$6:$AG$96))</f>
        <v>133.95621605212159</v>
      </c>
      <c r="L20" s="1">
        <f>VLOOKUP($J$3,[1]!龙魂分图属性,L$4,FALSE)*(AJ20*$AG20)/IF(SUMPRODUCT(AJ$6:AJ$96*$AG$6:$AG$96)=0,1,SUMPRODUCT(AJ$6:AJ$96*$AG$6:$AG$96))</f>
        <v>0</v>
      </c>
      <c r="M20" s="1">
        <f>VLOOKUP($J$3,[1]!龙魂分图属性,M$4,FALSE)*(AK20*$AG20)/IF(SUMPRODUCT(AK$6:AK$96*$AG$6:$AG$96)=0,1,SUMPRODUCT(AK$6:AK$96*$AG$6:$AG$96))</f>
        <v>0</v>
      </c>
      <c r="N20" s="1">
        <f>VLOOKUP($J$3,[1]!龙魂分图属性,N$4,FALSE)*(AL20*$AG20)/IF(SUMPRODUCT(AL$6:AL$96*$AG$6:$AG$96)=0,1,SUMPRODUCT(AL$6:AL$96*$AG$6:$AG$96))</f>
        <v>0</v>
      </c>
      <c r="O20" s="1">
        <f>VLOOKUP($J$3,[1]!龙魂分图属性,O$4,FALSE)*(AM20*$AG20)/IF(SUMPRODUCT(AM$6:AM$96*$AG$6:$AG$96)=0,1,SUMPRODUCT(AM$6:AM$96*$AG$6:$AG$96))</f>
        <v>0</v>
      </c>
      <c r="P20" s="1">
        <f>VLOOKUP($J$3,[1]!龙魂分图属性,P$4,FALSE)*(AN20*$AG20)/IF(SUMPRODUCT(AN$6:AN$96*$AG$6:$AG$96)=0,1,SUMPRODUCT(AN$6:AN$96*$AG$6:$AG$96))</f>
        <v>0</v>
      </c>
      <c r="Q20" s="1">
        <f>VLOOKUP($J$3,[1]!龙魂分图属性,Q$4,FALSE)*(AO20*$AG20)/IF(SUMPRODUCT(AO$6:AO$96*$AG$6:$AG$96)=0,1,SUMPRODUCT(AO$6:AO$96*$AG$6:$AG$96))</f>
        <v>0</v>
      </c>
      <c r="R20" s="1">
        <f t="shared" si="9"/>
        <v>1</v>
      </c>
      <c r="S20" s="1" t="str">
        <f t="array" aca="1" ref="S20" ca="1">OFFSET($I$5,0,MATCH(1,1/(J20:Q20&gt;0),0))</f>
        <v>攻击</v>
      </c>
      <c r="T20" s="1">
        <f t="shared" si="14"/>
        <v>134</v>
      </c>
      <c r="U20" s="1">
        <f t="shared" ca="1" si="15"/>
        <v>0.29546542201776083</v>
      </c>
      <c r="V20" s="19">
        <f t="shared" si="10"/>
        <v>133.95621605212159</v>
      </c>
      <c r="W20" s="18">
        <f t="shared" ca="1" si="16"/>
        <v>38</v>
      </c>
      <c r="X20" s="1">
        <f ca="1">(VLOOKUP(W20,[2]龙魂的投放!$G$17:$L$117,6,FALSE)+SUMIF(龙魂整图属性辅助表!$E$12:$E$17,H20,龙魂整图属性辅助表!$T$12:$T$17)/COUNTIF($H$6:$H$96,H20))/INDEX($C$1:$C$2,G20)</f>
        <v>453.37357968090527</v>
      </c>
      <c r="Y20" s="1">
        <f t="shared" ca="1" si="17"/>
        <v>0.27272727272727271</v>
      </c>
      <c r="Z20" s="1">
        <f ca="1">AE21</f>
        <v>127</v>
      </c>
      <c r="AA20" s="1">
        <f t="shared" ca="1" si="19"/>
        <v>3.666666666666667</v>
      </c>
      <c r="AB20" s="18">
        <f t="shared" ca="1" si="20"/>
        <v>6</v>
      </c>
      <c r="AC20" s="1">
        <f t="shared" ca="1" si="21"/>
        <v>762</v>
      </c>
      <c r="AD20" s="21">
        <f t="shared" ca="1" si="24"/>
        <v>4</v>
      </c>
      <c r="AE20" s="21">
        <f t="shared" ca="1" si="22"/>
        <v>136</v>
      </c>
      <c r="AF20">
        <v>0.3</v>
      </c>
      <c r="AG20">
        <f t="shared" si="11"/>
        <v>2.6</v>
      </c>
      <c r="AH20" s="1"/>
      <c r="AI20" s="1">
        <v>1.5</v>
      </c>
      <c r="AJ20" s="1"/>
      <c r="AK20" s="1"/>
      <c r="AL20" s="1"/>
      <c r="AM20" s="1"/>
      <c r="AN20" s="1"/>
      <c r="AO20" s="1"/>
      <c r="AY20" s="1">
        <v>2004</v>
      </c>
      <c r="AZ20" s="1" t="s">
        <v>103</v>
      </c>
      <c r="BA20" s="1">
        <v>2</v>
      </c>
      <c r="BB20" s="1">
        <v>1011</v>
      </c>
      <c r="BC20" s="1">
        <v>4</v>
      </c>
      <c r="BD20" s="1">
        <v>2</v>
      </c>
      <c r="BE20" s="1">
        <v>1001</v>
      </c>
      <c r="BF20" s="1">
        <v>41</v>
      </c>
      <c r="BG20" s="1">
        <v>0</v>
      </c>
      <c r="BH20" s="1">
        <v>73.640718671378409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1</v>
      </c>
      <c r="BP20" s="1" t="s">
        <v>91</v>
      </c>
      <c r="BQ20" s="1">
        <v>74</v>
      </c>
      <c r="BR20" s="1"/>
      <c r="BS20" s="1">
        <v>73.640718671378409</v>
      </c>
      <c r="BT20" s="1">
        <v>170.71112565406051</v>
      </c>
      <c r="BU20" s="1"/>
      <c r="BV20" s="1">
        <v>390.00000000000006</v>
      </c>
      <c r="BX20" s="1"/>
      <c r="BY20" s="1">
        <v>1.5</v>
      </c>
      <c r="BZ20" s="1"/>
      <c r="CA20" s="1"/>
      <c r="CB20" s="1"/>
      <c r="CC20" s="1"/>
      <c r="CD20" s="1"/>
      <c r="CE20" s="1"/>
    </row>
    <row r="21" spans="1:83">
      <c r="A21">
        <v>16</v>
      </c>
      <c r="B21" s="1">
        <f t="shared" si="12"/>
        <v>2005</v>
      </c>
      <c r="C21" s="1" t="s">
        <v>14</v>
      </c>
      <c r="D21" s="1">
        <v>2</v>
      </c>
      <c r="E21" s="1">
        <f t="shared" si="23"/>
        <v>2004</v>
      </c>
      <c r="F21" s="1">
        <f>SUMIF($G$6:G21,G21,$G$6:$G$78)/G21</f>
        <v>5</v>
      </c>
      <c r="G21" s="1">
        <v>2</v>
      </c>
      <c r="H21" s="1">
        <v>1001</v>
      </c>
      <c r="I21" s="1">
        <f t="shared" ca="1" si="13"/>
        <v>37</v>
      </c>
      <c r="J21" s="1">
        <f>VLOOKUP($J$3,[1]!龙魂分图属性,J$4,FALSE)*(AH21*$AG21)/IF(SUMPRODUCT(AH$6:AH$96*$AG$6:$AG$96)=0,1,SUMPRODUCT(AH$6:AH$96*$AG$6:$AG$96))</f>
        <v>3708.7685542332952</v>
      </c>
      <c r="K21" s="1">
        <f>VLOOKUP($J$3,[1]!龙魂分图属性,K$4,FALSE)*(AI21*$AG21)/IF(SUMPRODUCT(AI$6:AI$96*$AG$6:$AG$96)=0,1,SUMPRODUCT(AI$6:AI$96*$AG$6:$AG$96))</f>
        <v>0</v>
      </c>
      <c r="L21" s="1">
        <f>VLOOKUP($J$3,[1]!龙魂分图属性,L$4,FALSE)*(AJ21*$AG21)/IF(SUMPRODUCT(AJ$6:AJ$96*$AG$6:$AG$96)=0,1,SUMPRODUCT(AJ$6:AJ$96*$AG$6:$AG$96))</f>
        <v>0</v>
      </c>
      <c r="M21" s="1">
        <f>VLOOKUP($J$3,[1]!龙魂分图属性,M$4,FALSE)*(AK21*$AG21)/IF(SUMPRODUCT(AK$6:AK$96*$AG$6:$AG$96)=0,1,SUMPRODUCT(AK$6:AK$96*$AG$6:$AG$96))</f>
        <v>0</v>
      </c>
      <c r="N21" s="1">
        <f>VLOOKUP($J$3,[1]!龙魂分图属性,N$4,FALSE)*(AL21*$AG21)/IF(SUMPRODUCT(AL$6:AL$96*$AG$6:$AG$96)=0,1,SUMPRODUCT(AL$6:AL$96*$AG$6:$AG$96))</f>
        <v>0</v>
      </c>
      <c r="O21" s="1">
        <f>VLOOKUP($J$3,[1]!龙魂分图属性,O$4,FALSE)*(AM21*$AG21)/IF(SUMPRODUCT(AM$6:AM$96*$AG$6:$AG$96)=0,1,SUMPRODUCT(AM$6:AM$96*$AG$6:$AG$96))</f>
        <v>0</v>
      </c>
      <c r="P21" s="1">
        <f>VLOOKUP($J$3,[1]!龙魂分图属性,P$4,FALSE)*(AN21*$AG21)/IF(SUMPRODUCT(AN$6:AN$96*$AG$6:$AG$96)=0,1,SUMPRODUCT(AN$6:AN$96*$AG$6:$AG$96))</f>
        <v>0</v>
      </c>
      <c r="Q21" s="1">
        <f>VLOOKUP($J$3,[1]!龙魂分图属性,Q$4,FALSE)*(AO21*$AG21)/IF(SUMPRODUCT(AO$6:AO$96*$AG$6:$AG$96)=0,1,SUMPRODUCT(AO$6:AO$96*$AG$6:$AG$96))</f>
        <v>0</v>
      </c>
      <c r="R21" s="1">
        <f t="shared" si="9"/>
        <v>1</v>
      </c>
      <c r="S21" s="1" t="str">
        <f t="array" aca="1" ref="S21" ca="1">OFFSET($I$5,0,MATCH(1,1/(J21:Q21&gt;0),0))</f>
        <v>生命</v>
      </c>
      <c r="T21" s="1">
        <f t="shared" si="14"/>
        <v>3709</v>
      </c>
      <c r="U21" s="1">
        <f t="shared" ca="1" si="15"/>
        <v>0.32621305085556818</v>
      </c>
      <c r="V21" s="19">
        <f t="shared" si="10"/>
        <v>148.35074216933182</v>
      </c>
      <c r="W21" s="18">
        <f t="shared" ca="1" si="16"/>
        <v>39</v>
      </c>
      <c r="X21" s="1">
        <f ca="1">(VLOOKUP(W21,[2]龙魂的投放!$G$17:$L$117,6,FALSE)+SUMIF(龙魂整图属性辅助表!$E$12:$E$17,H21,龙魂整图属性辅助表!$T$12:$T$17)/COUNTIF($H$6:$H$96,H21))/INDEX($C$1:$C$2,G21)</f>
        <v>454.76642268066263</v>
      </c>
      <c r="Y21" s="1">
        <f t="shared" ca="1" si="17"/>
        <v>0.2432432432432432</v>
      </c>
      <c r="Z21" s="1">
        <f ca="1">AE20</f>
        <v>136</v>
      </c>
      <c r="AA21" s="1">
        <f t="shared" ca="1" si="19"/>
        <v>4.1111111111111116</v>
      </c>
      <c r="AB21" s="18">
        <f t="shared" ca="1" si="20"/>
        <v>7</v>
      </c>
      <c r="AC21" s="1">
        <f t="shared" ca="1" si="21"/>
        <v>952</v>
      </c>
      <c r="AD21" s="21">
        <f t="shared" ca="1" si="24"/>
        <v>5</v>
      </c>
      <c r="AE21" s="21">
        <f t="shared" ca="1" si="22"/>
        <v>127</v>
      </c>
      <c r="AF21">
        <v>0.32</v>
      </c>
      <c r="AG21">
        <f t="shared" si="11"/>
        <v>2.64</v>
      </c>
      <c r="AH21" s="1">
        <v>1.5</v>
      </c>
      <c r="AI21" s="1"/>
      <c r="AJ21" s="1"/>
      <c r="AK21" s="1"/>
      <c r="AL21" s="1"/>
      <c r="AM21" s="1"/>
      <c r="AN21" s="1"/>
      <c r="AO21" s="1"/>
      <c r="AY21" s="1">
        <v>2005</v>
      </c>
      <c r="AZ21" s="1" t="s">
        <v>14</v>
      </c>
      <c r="BA21" s="1">
        <v>2</v>
      </c>
      <c r="BB21" s="1">
        <v>2004</v>
      </c>
      <c r="BC21" s="1">
        <v>5</v>
      </c>
      <c r="BD21" s="1">
        <v>2</v>
      </c>
      <c r="BE21" s="1">
        <v>1001</v>
      </c>
      <c r="BF21" s="1">
        <v>42</v>
      </c>
      <c r="BG21" s="1">
        <v>0</v>
      </c>
      <c r="BH21" s="1">
        <v>0</v>
      </c>
      <c r="BI21" s="1">
        <v>41.129251731097646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1</v>
      </c>
      <c r="BP21" s="1" t="s">
        <v>92</v>
      </c>
      <c r="BQ21" s="1">
        <v>41</v>
      </c>
      <c r="BR21" s="1"/>
      <c r="BS21" s="1">
        <v>41.129251731097646</v>
      </c>
      <c r="BT21" s="1">
        <v>187.91181888832219</v>
      </c>
      <c r="BU21" s="1"/>
      <c r="BV21" s="1">
        <v>396</v>
      </c>
      <c r="BX21" s="1"/>
      <c r="BY21" s="1"/>
      <c r="BZ21" s="1">
        <v>1.5</v>
      </c>
      <c r="CA21" s="1"/>
      <c r="CB21" s="1"/>
      <c r="CC21" s="1"/>
      <c r="CD21" s="1"/>
      <c r="CE21" s="1"/>
    </row>
    <row r="22" spans="1:83">
      <c r="A22">
        <v>17</v>
      </c>
      <c r="B22" s="1">
        <f t="shared" si="12"/>
        <v>1012</v>
      </c>
      <c r="C22" s="1" t="s">
        <v>15</v>
      </c>
      <c r="D22" s="1">
        <v>2</v>
      </c>
      <c r="E22" s="1">
        <v>1011</v>
      </c>
      <c r="F22" s="1">
        <f>SUMIF($G$6:G22,G22,$G$6:$G$78)/G22</f>
        <v>12</v>
      </c>
      <c r="G22" s="1">
        <v>1</v>
      </c>
      <c r="H22" s="1">
        <v>1001</v>
      </c>
      <c r="I22" s="1">
        <f t="shared" si="13"/>
        <v>38</v>
      </c>
      <c r="J22" s="1">
        <f>VLOOKUP($J$3,[1]!龙魂分图属性,J$4,FALSE)*(AH22*$AG22)/IF(SUMPRODUCT(AH$6:AH$96*$AG$6:$AG$96)=0,1,SUMPRODUCT(AH$6:AH$96*$AG$6:$AG$96))</f>
        <v>0</v>
      </c>
      <c r="K22" s="1">
        <f>VLOOKUP($J$3,[1]!龙魂分图属性,K$4,FALSE)*(AI22*$AG22)/IF(SUMPRODUCT(AI$6:AI$96*$AG$6:$AG$96)=0,1,SUMPRODUCT(AI$6:AI$96*$AG$6:$AG$96))</f>
        <v>0</v>
      </c>
      <c r="L22" s="1">
        <f>VLOOKUP($J$3,[1]!龙魂分图属性,L$4,FALSE)*(AJ22*$AG22)/IF(SUMPRODUCT(AJ$6:AJ$96*$AG$6:$AG$96)=0,1,SUMPRODUCT(AJ$6:AJ$96*$AG$6:$AG$96))</f>
        <v>91.22185624942901</v>
      </c>
      <c r="M22" s="1">
        <f>VLOOKUP($J$3,[1]!龙魂分图属性,M$4,FALSE)*(AK22*$AG22)/IF(SUMPRODUCT(AK$6:AK$96*$AG$6:$AG$96)=0,1,SUMPRODUCT(AK$6:AK$96*$AG$6:$AG$96))</f>
        <v>0</v>
      </c>
      <c r="N22" s="1">
        <f>VLOOKUP($J$3,[1]!龙魂分图属性,N$4,FALSE)*(AL22*$AG22)/IF(SUMPRODUCT(AL$6:AL$96*$AG$6:$AG$96)=0,1,SUMPRODUCT(AL$6:AL$96*$AG$6:$AG$96))</f>
        <v>0</v>
      </c>
      <c r="O22" s="1">
        <f>VLOOKUP($J$3,[1]!龙魂分图属性,O$4,FALSE)*(AM22*$AG22)/IF(SUMPRODUCT(AM$6:AM$96*$AG$6:$AG$96)=0,1,SUMPRODUCT(AM$6:AM$96*$AG$6:$AG$96))</f>
        <v>0</v>
      </c>
      <c r="P22" s="1">
        <f>VLOOKUP($J$3,[1]!龙魂分图属性,P$4,FALSE)*(AN22*$AG22)/IF(SUMPRODUCT(AN$6:AN$96*$AG$6:$AG$96)=0,1,SUMPRODUCT(AN$6:AN$96*$AG$6:$AG$96))</f>
        <v>0</v>
      </c>
      <c r="Q22" s="1">
        <f>VLOOKUP($J$3,[1]!龙魂分图属性,Q$4,FALSE)*(AO22*$AG22)/IF(SUMPRODUCT(AO$6:AO$96*$AG$6:$AG$96)=0,1,SUMPRODUCT(AO$6:AO$96*$AG$6:$AG$96))</f>
        <v>0</v>
      </c>
      <c r="R22" s="1">
        <f t="shared" si="9"/>
        <v>1</v>
      </c>
      <c r="S22" s="1" t="str">
        <f t="array" aca="1" ref="S22" ca="1">OFFSET($I$5,0,MATCH(1,1/(J22:Q22&gt;0),0))</f>
        <v>防御</v>
      </c>
      <c r="T22" s="1">
        <f t="shared" si="14"/>
        <v>91</v>
      </c>
      <c r="U22" s="1">
        <f t="shared" si="15"/>
        <v>0.40241364004330843</v>
      </c>
      <c r="V22" s="19">
        <f t="shared" si="10"/>
        <v>91.22185624942901</v>
      </c>
      <c r="W22" s="18">
        <f t="shared" si="16"/>
        <v>38</v>
      </c>
      <c r="X22" s="1">
        <f>(VLOOKUP(W22,[2]龙魂的投放!$G$17:$L$117,6,FALSE)+SUMIF(龙魂整图属性辅助表!$E$12:$E$17,H22,龙魂整图属性辅助表!$T$12:$T$17)/COUNTIF($H$6:$H$96,H22))/INDEX($C$1:$C$2,G22)</f>
        <v>226.68678984045263</v>
      </c>
      <c r="Y22" s="1">
        <f t="shared" si="17"/>
        <v>0.41176470588235292</v>
      </c>
      <c r="Z22" s="1">
        <f t="shared" ca="1" si="25"/>
        <v>113</v>
      </c>
      <c r="AA22" s="1">
        <f t="shared" si="19"/>
        <v>2.4285714285714288</v>
      </c>
      <c r="AB22" s="18">
        <f t="shared" si="20"/>
        <v>4</v>
      </c>
      <c r="AC22" s="1">
        <f t="shared" ca="1" si="21"/>
        <v>452</v>
      </c>
      <c r="AD22" s="21">
        <f t="shared" si="24"/>
        <v>4</v>
      </c>
      <c r="AE22" s="21">
        <f t="shared" si="22"/>
        <v>103</v>
      </c>
      <c r="AF22">
        <v>0.34</v>
      </c>
      <c r="AG22">
        <f t="shared" si="11"/>
        <v>2.68</v>
      </c>
      <c r="AH22" s="1"/>
      <c r="AI22" s="1"/>
      <c r="AJ22" s="1">
        <v>1</v>
      </c>
      <c r="AK22" s="1"/>
      <c r="AL22" s="1"/>
      <c r="AM22" s="1"/>
      <c r="AN22" s="1"/>
      <c r="AO22" s="1"/>
      <c r="AY22" s="1">
        <v>1012</v>
      </c>
      <c r="AZ22" s="1" t="s">
        <v>15</v>
      </c>
      <c r="BA22" s="1">
        <v>2</v>
      </c>
      <c r="BB22" s="1">
        <v>1011</v>
      </c>
      <c r="BC22" s="1">
        <v>12</v>
      </c>
      <c r="BD22" s="1">
        <v>1</v>
      </c>
      <c r="BE22" s="1">
        <v>1001</v>
      </c>
      <c r="BF22" s="1">
        <v>41</v>
      </c>
      <c r="BG22" s="1">
        <v>0</v>
      </c>
      <c r="BH22" s="1">
        <v>0</v>
      </c>
      <c r="BI22" s="1">
        <v>0</v>
      </c>
      <c r="BJ22" s="1">
        <v>0</v>
      </c>
      <c r="BK22" s="1">
        <v>215.74061216398695</v>
      </c>
      <c r="BL22" s="1">
        <v>0</v>
      </c>
      <c r="BM22" s="1">
        <v>0</v>
      </c>
      <c r="BN22" s="1">
        <v>0</v>
      </c>
      <c r="BO22" s="1">
        <v>1</v>
      </c>
      <c r="BP22" s="1" t="s">
        <v>94</v>
      </c>
      <c r="BQ22" s="1">
        <v>216</v>
      </c>
      <c r="BR22" s="1"/>
      <c r="BS22" s="1">
        <v>35.033559346090691</v>
      </c>
      <c r="BT22" s="1">
        <v>85.355562827030255</v>
      </c>
      <c r="BU22" s="1"/>
      <c r="BV22" s="1">
        <v>268</v>
      </c>
      <c r="BX22" s="1"/>
      <c r="BY22" s="1"/>
      <c r="BZ22" s="1"/>
      <c r="CA22" s="1"/>
      <c r="CB22" s="1">
        <v>1</v>
      </c>
      <c r="CC22" s="1"/>
      <c r="CD22" s="1"/>
      <c r="CE22" s="1"/>
    </row>
    <row r="23" spans="1:83">
      <c r="A23">
        <v>18</v>
      </c>
      <c r="B23" s="1">
        <f t="shared" si="12"/>
        <v>1013</v>
      </c>
      <c r="C23" s="1" t="s">
        <v>16</v>
      </c>
      <c r="D23" s="1">
        <v>2</v>
      </c>
      <c r="E23" s="1">
        <f t="shared" si="23"/>
        <v>1012</v>
      </c>
      <c r="F23" s="1">
        <f>SUMIF($G$6:G23,G23,$G$6:$G$78)/G23</f>
        <v>13</v>
      </c>
      <c r="G23" s="1">
        <v>1</v>
      </c>
      <c r="H23" s="1">
        <v>1001</v>
      </c>
      <c r="I23" s="1">
        <f t="shared" si="13"/>
        <v>39</v>
      </c>
      <c r="J23" s="1">
        <f>VLOOKUP($J$3,[1]!龙魂分图属性,J$4,FALSE)*(AH23*$AG23)/IF(SUMPRODUCT(AH$6:AH$96*$AG$6:$AG$96)=0,1,SUMPRODUCT(AH$6:AH$96*$AG$6:$AG$96))</f>
        <v>0</v>
      </c>
      <c r="K23" s="1">
        <f>VLOOKUP($J$3,[1]!龙魂分图属性,K$4,FALSE)*(AI23*$AG23)/IF(SUMPRODUCT(AI$6:AI$96*$AG$6:$AG$96)=0,1,SUMPRODUCT(AI$6:AI$96*$AG$6:$AG$96))</f>
        <v>0</v>
      </c>
      <c r="L23" s="1">
        <f>VLOOKUP($J$3,[1]!龙魂分图属性,L$4,FALSE)*(AJ23*$AG23)/IF(SUMPRODUCT(AJ$6:AJ$96*$AG$6:$AG$96)=0,1,SUMPRODUCT(AJ$6:AJ$96*$AG$6:$AG$96))</f>
        <v>0</v>
      </c>
      <c r="M23" s="1">
        <f>VLOOKUP($J$3,[1]!龙魂分图属性,M$4,FALSE)*(AK23*$AG23)/IF(SUMPRODUCT(AK$6:AK$96*$AG$6:$AG$96)=0,1,SUMPRODUCT(AK$6:AK$96*$AG$6:$AG$96))</f>
        <v>0</v>
      </c>
      <c r="N23" s="1">
        <f>VLOOKUP($J$3,[1]!龙魂分图属性,N$4,FALSE)*(AL23*$AG23)/IF(SUMPRODUCT(AL$6:AL$96*$AG$6:$AG$96)=0,1,SUMPRODUCT(AL$6:AL$96*$AG$6:$AG$96))</f>
        <v>239.18816722066856</v>
      </c>
      <c r="O23" s="1">
        <f>VLOOKUP($J$3,[1]!龙魂分图属性,O$4,FALSE)*(AM23*$AG23)/IF(SUMPRODUCT(AM$6:AM$96*$AG$6:$AG$96)=0,1,SUMPRODUCT(AM$6:AM$96*$AG$6:$AG$96))</f>
        <v>0</v>
      </c>
      <c r="P23" s="1">
        <f>VLOOKUP($J$3,[1]!龙魂分图属性,P$4,FALSE)*(AN23*$AG23)/IF(SUMPRODUCT(AN$6:AN$96*$AG$6:$AG$96)=0,1,SUMPRODUCT(AN$6:AN$96*$AG$6:$AG$96))</f>
        <v>0</v>
      </c>
      <c r="Q23" s="1">
        <f>VLOOKUP($J$3,[1]!龙魂分图属性,Q$4,FALSE)*(AO23*$AG23)/IF(SUMPRODUCT(AO$6:AO$96*$AG$6:$AG$96)=0,1,SUMPRODUCT(AO$6:AO$96*$AG$6:$AG$96))</f>
        <v>0</v>
      </c>
      <c r="R23" s="1">
        <f t="shared" si="9"/>
        <v>1</v>
      </c>
      <c r="S23" s="1" t="str">
        <f t="array" aca="1" ref="S23" ca="1">OFFSET($I$5,0,MATCH(1,1/(J23:Q23&gt;0),0))</f>
        <v>命中值</v>
      </c>
      <c r="T23" s="1">
        <f t="shared" si="14"/>
        <v>239</v>
      </c>
      <c r="U23" s="1">
        <f t="shared" si="15"/>
        <v>0.35765163301043917</v>
      </c>
      <c r="V23" s="19">
        <f t="shared" si="10"/>
        <v>81.323976855027311</v>
      </c>
      <c r="W23" s="18">
        <f t="shared" si="16"/>
        <v>39</v>
      </c>
      <c r="X23" s="1">
        <f>(VLOOKUP(W23,[2]龙魂的投放!$G$17:$L$117,6,FALSE)+SUMIF(龙魂整图属性辅助表!$E$12:$E$17,H23,龙魂整图属性辅助表!$T$12:$T$17)/COUNTIF($H$6:$H$96,H23))/INDEX($C$1:$C$2,G23)</f>
        <v>227.38321134033131</v>
      </c>
      <c r="Y23" s="1">
        <f t="shared" si="17"/>
        <v>0.36842105263157898</v>
      </c>
      <c r="Z23" s="1">
        <f t="shared" ca="1" si="25"/>
        <v>124</v>
      </c>
      <c r="AA23" s="1">
        <f t="shared" si="19"/>
        <v>2.714285714285714</v>
      </c>
      <c r="AB23" s="18">
        <f t="shared" si="20"/>
        <v>4</v>
      </c>
      <c r="AC23" s="1">
        <f t="shared" ca="1" si="21"/>
        <v>496</v>
      </c>
      <c r="AD23" s="21">
        <f t="shared" si="24"/>
        <v>5</v>
      </c>
      <c r="AE23" s="21">
        <f t="shared" si="22"/>
        <v>96</v>
      </c>
      <c r="AF23">
        <v>0.36</v>
      </c>
      <c r="AG23">
        <f t="shared" si="11"/>
        <v>2.7199999999999998</v>
      </c>
      <c r="AH23" s="1"/>
      <c r="AI23" s="1"/>
      <c r="AJ23" s="1"/>
      <c r="AK23" s="1"/>
      <c r="AL23" s="1">
        <v>1</v>
      </c>
      <c r="AM23" s="1"/>
      <c r="AN23" s="1"/>
      <c r="AO23" s="1"/>
      <c r="AY23" s="1">
        <v>1013</v>
      </c>
      <c r="AZ23" s="1" t="s">
        <v>16</v>
      </c>
      <c r="BA23" s="1">
        <v>2</v>
      </c>
      <c r="BB23" s="1">
        <v>1012</v>
      </c>
      <c r="BC23" s="1">
        <v>13</v>
      </c>
      <c r="BD23" s="1">
        <v>1</v>
      </c>
      <c r="BE23" s="1">
        <v>1001</v>
      </c>
      <c r="BF23" s="1">
        <v>42</v>
      </c>
      <c r="BG23" s="1">
        <v>0</v>
      </c>
      <c r="BH23" s="1">
        <v>0</v>
      </c>
      <c r="BI23" s="1">
        <v>0</v>
      </c>
      <c r="BJ23" s="1">
        <v>187.49633796214914</v>
      </c>
      <c r="BK23" s="1">
        <v>0</v>
      </c>
      <c r="BL23" s="1">
        <v>0</v>
      </c>
      <c r="BM23" s="1">
        <v>0</v>
      </c>
      <c r="BN23" s="1">
        <v>0</v>
      </c>
      <c r="BO23" s="1">
        <v>1</v>
      </c>
      <c r="BP23" s="1" t="s">
        <v>93</v>
      </c>
      <c r="BQ23" s="1">
        <v>187</v>
      </c>
      <c r="BR23" s="1"/>
      <c r="BS23" s="1">
        <v>30.447044797382475</v>
      </c>
      <c r="BT23" s="1">
        <v>93.955909444161094</v>
      </c>
      <c r="BU23" s="1"/>
      <c r="BV23" s="1">
        <v>272</v>
      </c>
      <c r="BX23" s="1"/>
      <c r="BY23" s="1"/>
      <c r="BZ23" s="1"/>
      <c r="CA23" s="1">
        <v>1</v>
      </c>
      <c r="CB23" s="1"/>
      <c r="CC23" s="1"/>
      <c r="CD23" s="1"/>
      <c r="CE23" s="1"/>
    </row>
    <row r="24" spans="1:83">
      <c r="A24">
        <v>19</v>
      </c>
      <c r="B24" s="1">
        <f t="shared" si="12"/>
        <v>1014</v>
      </c>
      <c r="C24" s="1" t="s">
        <v>17</v>
      </c>
      <c r="D24" s="1">
        <v>2</v>
      </c>
      <c r="E24" s="1">
        <f t="shared" si="23"/>
        <v>1013</v>
      </c>
      <c r="F24" s="1">
        <f>SUMIF($G$6:G24,G24,$G$6:$G$78)/G24</f>
        <v>14</v>
      </c>
      <c r="G24" s="1">
        <v>1</v>
      </c>
      <c r="H24" s="1">
        <v>1001</v>
      </c>
      <c r="I24" s="1">
        <f t="shared" si="13"/>
        <v>40</v>
      </c>
      <c r="J24" s="1">
        <f>VLOOKUP($J$3,[1]!龙魂分图属性,J$4,FALSE)*(AH24*$AG24)/IF(SUMPRODUCT(AH$6:AH$96*$AG$6:$AG$96)=0,1,SUMPRODUCT(AH$6:AH$96*$AG$6:$AG$96))</f>
        <v>2584.8992953747206</v>
      </c>
      <c r="K24" s="1">
        <f>VLOOKUP($J$3,[1]!龙魂分图属性,K$4,FALSE)*(AI24*$AG24)/IF(SUMPRODUCT(AI$6:AI$96*$AG$6:$AG$96)=0,1,SUMPRODUCT(AI$6:AI$96*$AG$6:$AG$96))</f>
        <v>0</v>
      </c>
      <c r="L24" s="1">
        <f>VLOOKUP($J$3,[1]!龙魂分图属性,L$4,FALSE)*(AJ24*$AG24)/IF(SUMPRODUCT(AJ$6:AJ$96*$AG$6:$AG$96)=0,1,SUMPRODUCT(AJ$6:AJ$96*$AG$6:$AG$96))</f>
        <v>0</v>
      </c>
      <c r="M24" s="1">
        <f>VLOOKUP($J$3,[1]!龙魂分图属性,M$4,FALSE)*(AK24*$AG24)/IF(SUMPRODUCT(AK$6:AK$96*$AG$6:$AG$96)=0,1,SUMPRODUCT(AK$6:AK$96*$AG$6:$AG$96))</f>
        <v>0</v>
      </c>
      <c r="N24" s="1">
        <f>VLOOKUP($J$3,[1]!龙魂分图属性,N$4,FALSE)*(AL24*$AG24)/IF(SUMPRODUCT(AL$6:AL$96*$AG$6:$AG$96)=0,1,SUMPRODUCT(AL$6:AL$96*$AG$6:$AG$96))</f>
        <v>0</v>
      </c>
      <c r="O24" s="1">
        <f>VLOOKUP($J$3,[1]!龙魂分图属性,O$4,FALSE)*(AM24*$AG24)/IF(SUMPRODUCT(AM$6:AM$96*$AG$6:$AG$96)=0,1,SUMPRODUCT(AM$6:AM$96*$AG$6:$AG$96))</f>
        <v>0</v>
      </c>
      <c r="P24" s="1">
        <f>VLOOKUP($J$3,[1]!龙魂分图属性,P$4,FALSE)*(AN24*$AG24)/IF(SUMPRODUCT(AN$6:AN$96*$AG$6:$AG$96)=0,1,SUMPRODUCT(AN$6:AN$96*$AG$6:$AG$96))</f>
        <v>0</v>
      </c>
      <c r="Q24" s="1">
        <f>VLOOKUP($J$3,[1]!龙魂分图属性,Q$4,FALSE)*(AO24*$AG24)/IF(SUMPRODUCT(AO$6:AO$96*$AG$6:$AG$96)=0,1,SUMPRODUCT(AO$6:AO$96*$AG$6:$AG$96))</f>
        <v>0</v>
      </c>
      <c r="R24" s="1">
        <f t="shared" si="9"/>
        <v>1</v>
      </c>
      <c r="S24" s="1" t="str">
        <f t="array" aca="1" ref="S24" ca="1">OFFSET($I$5,0,MATCH(1,1/(J24:Q24&gt;0),0))</f>
        <v>生命</v>
      </c>
      <c r="T24" s="1">
        <f t="shared" si="14"/>
        <v>2585</v>
      </c>
      <c r="U24" s="1">
        <f t="shared" si="15"/>
        <v>0.33337113691648979</v>
      </c>
      <c r="V24" s="19">
        <f t="shared" si="10"/>
        <v>103.39597181498883</v>
      </c>
      <c r="W24" s="18">
        <f t="shared" si="16"/>
        <v>40</v>
      </c>
      <c r="X24" s="1">
        <f>(VLOOKUP(W24,[2]龙魂的投放!$G$17:$L$117,6,FALSE)+SUMIF(龙魂整图属性辅助表!$E$12:$E$17,H24,龙魂整图属性辅助表!$T$12:$T$17)/COUNTIF($H$6:$H$96,H24))/INDEX($C$1:$C$2,G24)</f>
        <v>310.15274079018349</v>
      </c>
      <c r="Y24" s="1">
        <f t="shared" si="17"/>
        <v>0.33333333333333337</v>
      </c>
      <c r="Z24" s="1">
        <f t="shared" ca="1" si="25"/>
        <v>124</v>
      </c>
      <c r="AA24" s="1">
        <f t="shared" si="19"/>
        <v>2.9999999999999996</v>
      </c>
      <c r="AB24" s="18">
        <f t="shared" si="20"/>
        <v>4</v>
      </c>
      <c r="AC24" s="1">
        <f t="shared" ca="1" si="21"/>
        <v>496</v>
      </c>
      <c r="AD24" s="21">
        <f t="shared" si="24"/>
        <v>6</v>
      </c>
      <c r="AE24" s="21">
        <f t="shared" si="22"/>
        <v>124</v>
      </c>
      <c r="AF24">
        <v>0.38</v>
      </c>
      <c r="AG24">
        <f t="shared" si="11"/>
        <v>2.76</v>
      </c>
      <c r="AH24" s="1">
        <v>1</v>
      </c>
      <c r="AI24" s="1"/>
      <c r="AJ24" s="1"/>
      <c r="AK24" s="1"/>
      <c r="AL24" s="1"/>
      <c r="AM24" s="1"/>
      <c r="AN24" s="1"/>
      <c r="AO24" s="1"/>
      <c r="AY24" s="1">
        <v>1014</v>
      </c>
      <c r="AZ24" s="1" t="s">
        <v>17</v>
      </c>
      <c r="BA24" s="1">
        <v>2</v>
      </c>
      <c r="BB24" s="1">
        <v>1013</v>
      </c>
      <c r="BC24" s="1">
        <v>14</v>
      </c>
      <c r="BD24" s="1">
        <v>1</v>
      </c>
      <c r="BE24" s="1">
        <v>1001</v>
      </c>
      <c r="BF24" s="1">
        <v>43</v>
      </c>
      <c r="BG24" s="1">
        <v>0</v>
      </c>
      <c r="BH24" s="1">
        <v>0</v>
      </c>
      <c r="BI24" s="1">
        <v>0</v>
      </c>
      <c r="BJ24" s="1">
        <v>0</v>
      </c>
      <c r="BK24" s="1">
        <v>222.18063043753881</v>
      </c>
      <c r="BL24" s="1">
        <v>0</v>
      </c>
      <c r="BM24" s="1">
        <v>0</v>
      </c>
      <c r="BN24" s="1">
        <v>0</v>
      </c>
      <c r="BO24" s="1">
        <v>1</v>
      </c>
      <c r="BP24" s="1" t="s">
        <v>94</v>
      </c>
      <c r="BQ24" s="1">
        <v>222</v>
      </c>
      <c r="BR24" s="1"/>
      <c r="BS24" s="1">
        <v>36.079337237018777</v>
      </c>
      <c r="BT24" s="1">
        <v>103.42281893645782</v>
      </c>
      <c r="BU24" s="1"/>
      <c r="BV24" s="1">
        <v>276</v>
      </c>
      <c r="BX24" s="1">
        <v>1</v>
      </c>
      <c r="BY24" s="1"/>
      <c r="BZ24" s="1"/>
      <c r="CA24" s="1"/>
      <c r="CB24" s="1"/>
      <c r="CC24" s="1"/>
      <c r="CD24" s="1"/>
      <c r="CE24" s="1"/>
    </row>
    <row r="25" spans="1:83">
      <c r="A25">
        <v>20</v>
      </c>
      <c r="B25" s="1">
        <f t="shared" si="12"/>
        <v>1015</v>
      </c>
      <c r="C25" s="1" t="s">
        <v>18</v>
      </c>
      <c r="D25" s="1">
        <v>2</v>
      </c>
      <c r="E25" s="1">
        <f t="shared" si="23"/>
        <v>1014</v>
      </c>
      <c r="F25" s="1">
        <f>SUMIF($G$6:G25,G25,$G$6:$G$78)/G25</f>
        <v>15</v>
      </c>
      <c r="G25" s="1">
        <v>1</v>
      </c>
      <c r="H25" s="1">
        <v>1001</v>
      </c>
      <c r="I25" s="1">
        <f t="shared" si="13"/>
        <v>41</v>
      </c>
      <c r="J25" s="1">
        <f>VLOOKUP($J$3,[1]!龙魂分图属性,J$4,FALSE)*(AH25*$AG25)/IF(SUMPRODUCT(AH$6:AH$96*$AG$6:$AG$96)=0,1,SUMPRODUCT(AH$6:AH$96*$AG$6:$AG$96))</f>
        <v>0</v>
      </c>
      <c r="K25" s="1">
        <f>VLOOKUP($J$3,[1]!龙魂分图属性,K$4,FALSE)*(AI25*$AG25)/IF(SUMPRODUCT(AI$6:AI$96*$AG$6:$AG$96)=0,1,SUMPRODUCT(AI$6:AI$96*$AG$6:$AG$96))</f>
        <v>96.17369357588214</v>
      </c>
      <c r="L25" s="1">
        <f>VLOOKUP($J$3,[1]!龙魂分图属性,L$4,FALSE)*(AJ25*$AG25)/IF(SUMPRODUCT(AJ$6:AJ$96*$AG$6:$AG$96)=0,1,SUMPRODUCT(AJ$6:AJ$96*$AG$6:$AG$96))</f>
        <v>0</v>
      </c>
      <c r="M25" s="1">
        <f>VLOOKUP($J$3,[1]!龙魂分图属性,M$4,FALSE)*(AK25*$AG25)/IF(SUMPRODUCT(AK$6:AK$96*$AG$6:$AG$96)=0,1,SUMPRODUCT(AK$6:AK$96*$AG$6:$AG$96))</f>
        <v>0</v>
      </c>
      <c r="N25" s="1">
        <f>VLOOKUP($J$3,[1]!龙魂分图属性,N$4,FALSE)*(AL25*$AG25)/IF(SUMPRODUCT(AL$6:AL$96*$AG$6:$AG$96)=0,1,SUMPRODUCT(AL$6:AL$96*$AG$6:$AG$96))</f>
        <v>0</v>
      </c>
      <c r="O25" s="1">
        <f>VLOOKUP($J$3,[1]!龙魂分图属性,O$4,FALSE)*(AM25*$AG25)/IF(SUMPRODUCT(AM$6:AM$96*$AG$6:$AG$96)=0,1,SUMPRODUCT(AM$6:AM$96*$AG$6:$AG$96))</f>
        <v>0</v>
      </c>
      <c r="P25" s="1">
        <f>VLOOKUP($J$3,[1]!龙魂分图属性,P$4,FALSE)*(AN25*$AG25)/IF(SUMPRODUCT(AN$6:AN$96*$AG$6:$AG$96)=0,1,SUMPRODUCT(AN$6:AN$96*$AG$6:$AG$96))</f>
        <v>0</v>
      </c>
      <c r="Q25" s="1">
        <f>VLOOKUP($J$3,[1]!龙魂分图属性,Q$4,FALSE)*(AO25*$AG25)/IF(SUMPRODUCT(AO$6:AO$96*$AG$6:$AG$96)=0,1,SUMPRODUCT(AO$6:AO$96*$AG$6:$AG$96))</f>
        <v>0</v>
      </c>
      <c r="R25" s="1">
        <f t="shared" si="9"/>
        <v>1</v>
      </c>
      <c r="S25" s="1" t="str">
        <f t="array" aca="1" ref="S25" ca="1">OFFSET($I$5,0,MATCH(1,1/(J25:Q25&gt;0),0))</f>
        <v>攻击</v>
      </c>
      <c r="T25" s="1">
        <f t="shared" si="14"/>
        <v>96</v>
      </c>
      <c r="U25" s="1">
        <f t="shared" si="15"/>
        <v>0.26732562550972427</v>
      </c>
      <c r="V25" s="19">
        <f t="shared" si="10"/>
        <v>96.17369357588214</v>
      </c>
      <c r="W25" s="18">
        <f t="shared" si="16"/>
        <v>41</v>
      </c>
      <c r="X25" s="1">
        <f>(VLOOKUP(W25,[2]龙魂的投放!$G$17:$L$117,6,FALSE)+SUMIF(龙魂整图属性辅助表!$E$12:$E$17,H25,龙魂整图属性辅助表!$T$12:$T$17)/COUNTIF($H$6:$H$96,H25))/INDEX($C$1:$C$2,G25)</f>
        <v>359.76234374277641</v>
      </c>
      <c r="Y25" s="1">
        <f t="shared" si="17"/>
        <v>0.30434782608695654</v>
      </c>
      <c r="Z25" s="1">
        <f t="shared" ca="1" si="25"/>
        <v>127</v>
      </c>
      <c r="AA25" s="1">
        <f t="shared" si="19"/>
        <v>3.2857142857142856</v>
      </c>
      <c r="AB25" s="18">
        <f t="shared" si="20"/>
        <v>5</v>
      </c>
      <c r="AC25" s="1">
        <f t="shared" ca="1" si="21"/>
        <v>635</v>
      </c>
      <c r="AD25" s="21">
        <f t="shared" si="24"/>
        <v>7</v>
      </c>
      <c r="AE25" s="21">
        <f t="shared" si="22"/>
        <v>137</v>
      </c>
      <c r="AF25">
        <v>0.4</v>
      </c>
      <c r="AG25">
        <f t="shared" si="11"/>
        <v>2.8</v>
      </c>
      <c r="AH25" s="1"/>
      <c r="AI25" s="1">
        <v>1</v>
      </c>
      <c r="AJ25" s="1"/>
      <c r="AK25" s="1"/>
      <c r="AL25" s="1"/>
      <c r="AM25" s="1"/>
      <c r="AN25" s="1"/>
      <c r="AO25" s="1"/>
      <c r="AY25" s="1">
        <v>1015</v>
      </c>
      <c r="AZ25" s="1" t="s">
        <v>18</v>
      </c>
      <c r="BA25" s="1">
        <v>2</v>
      </c>
      <c r="BB25" s="1">
        <v>1014</v>
      </c>
      <c r="BC25" s="1">
        <v>15</v>
      </c>
      <c r="BD25" s="1">
        <v>1</v>
      </c>
      <c r="BE25" s="1">
        <v>1001</v>
      </c>
      <c r="BF25" s="1">
        <v>44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341.00596760443295</v>
      </c>
      <c r="BO25" s="1">
        <v>1</v>
      </c>
      <c r="BP25" s="1" t="s">
        <v>97</v>
      </c>
      <c r="BQ25" s="1">
        <v>341</v>
      </c>
      <c r="BR25" s="1"/>
      <c r="BS25" s="1">
        <v>27.230525418185554</v>
      </c>
      <c r="BT25" s="1">
        <v>113.84360536811408</v>
      </c>
      <c r="BU25" s="1"/>
      <c r="BV25" s="1">
        <v>280</v>
      </c>
      <c r="BX25" s="1"/>
      <c r="BY25" s="1">
        <v>1</v>
      </c>
      <c r="BZ25" s="1"/>
      <c r="CA25" s="1"/>
      <c r="CB25" s="1"/>
      <c r="CC25" s="1"/>
      <c r="CD25" s="1"/>
      <c r="CE25" s="1"/>
    </row>
    <row r="26" spans="1:83">
      <c r="A26">
        <v>21</v>
      </c>
      <c r="B26" s="1">
        <f t="shared" si="12"/>
        <v>2006</v>
      </c>
      <c r="C26" s="1" t="s">
        <v>19</v>
      </c>
      <c r="D26" s="1">
        <v>2</v>
      </c>
      <c r="E26" s="1">
        <f t="shared" si="23"/>
        <v>1015</v>
      </c>
      <c r="F26" s="1">
        <f>SUMIF($G$6:G26,G26,$G$6:$G$78)/G26</f>
        <v>6</v>
      </c>
      <c r="G26" s="1">
        <v>2</v>
      </c>
      <c r="H26" s="1">
        <v>1001</v>
      </c>
      <c r="I26" s="1">
        <f t="shared" ca="1" si="13"/>
        <v>41</v>
      </c>
      <c r="J26" s="1">
        <f>VLOOKUP($J$3,[1]!龙魂分图属性,J$4,FALSE)*(AH26*$AG26)/IF(SUMPRODUCT(AH$6:AH$96*$AG$6:$AG$96)=0,1,SUMPRODUCT(AH$6:AH$96*$AG$6:$AG$96))</f>
        <v>0</v>
      </c>
      <c r="K26" s="1">
        <f>VLOOKUP($J$3,[1]!龙魂分图属性,K$4,FALSE)*(AI26*$AG26)/IF(SUMPRODUCT(AI$6:AI$96*$AG$6:$AG$96)=0,1,SUMPRODUCT(AI$6:AI$96*$AG$6:$AG$96))</f>
        <v>0</v>
      </c>
      <c r="L26" s="1">
        <f>VLOOKUP($J$3,[1]!龙魂分图属性,L$4,FALSE)*(AJ26*$AG26)/IF(SUMPRODUCT(AJ$6:AJ$96*$AG$6:$AG$96)=0,1,SUMPRODUCT(AJ$6:AJ$96*$AG$6:$AG$96))</f>
        <v>0</v>
      </c>
      <c r="M26" s="1">
        <f>VLOOKUP($J$3,[1]!龙魂分图属性,M$4,FALSE)*(AK26*$AG26)/IF(SUMPRODUCT(AK$6:AK$96*$AG$6:$AG$96)=0,1,SUMPRODUCT(AK$6:AK$96*$AG$6:$AG$96))</f>
        <v>409.78087304488332</v>
      </c>
      <c r="N26" s="1">
        <f>VLOOKUP($J$3,[1]!龙魂分图属性,N$4,FALSE)*(AL26*$AG26)/IF(SUMPRODUCT(AL$6:AL$96*$AG$6:$AG$96)=0,1,SUMPRODUCT(AL$6:AL$96*$AG$6:$AG$96))</f>
        <v>0</v>
      </c>
      <c r="O26" s="1">
        <f>VLOOKUP($J$3,[1]!龙魂分图属性,O$4,FALSE)*(AM26*$AG26)/IF(SUMPRODUCT(AM$6:AM$96*$AG$6:$AG$96)=0,1,SUMPRODUCT(AM$6:AM$96*$AG$6:$AG$96))</f>
        <v>0</v>
      </c>
      <c r="P26" s="1">
        <f>VLOOKUP($J$3,[1]!龙魂分图属性,P$4,FALSE)*(AN26*$AG26)/IF(SUMPRODUCT(AN$6:AN$96*$AG$6:$AG$96)=0,1,SUMPRODUCT(AN$6:AN$96*$AG$6:$AG$96))</f>
        <v>0</v>
      </c>
      <c r="Q26" s="1">
        <f>VLOOKUP($J$3,[1]!龙魂分图属性,Q$4,FALSE)*(AO26*$AG26)/IF(SUMPRODUCT(AO$6:AO$96*$AG$6:$AG$96)=0,1,SUMPRODUCT(AO$6:AO$96*$AG$6:$AG$96))</f>
        <v>0</v>
      </c>
      <c r="R26" s="1">
        <f t="shared" si="9"/>
        <v>1</v>
      </c>
      <c r="S26" s="1" t="str">
        <f t="array" aca="1" ref="S26" ca="1">OFFSET($I$5,0,MATCH(1,1/(J26:Q26&gt;0),0))</f>
        <v>闪避值</v>
      </c>
      <c r="T26" s="1">
        <f t="shared" si="14"/>
        <v>410</v>
      </c>
      <c r="U26" s="1">
        <f t="shared" ca="1" si="15"/>
        <v>0.20375075162841658</v>
      </c>
      <c r="V26" s="19">
        <f t="shared" si="10"/>
        <v>139.32549683526034</v>
      </c>
      <c r="W26" s="18">
        <f t="shared" ca="1" si="16"/>
        <v>42</v>
      </c>
      <c r="X26" s="1">
        <f ca="1">(VLOOKUP(W26,[2]龙魂的投放!$G$17:$L$117,6,FALSE)+SUMIF(龙魂整图属性辅助表!$E$12:$E$17,H26,龙魂整图属性辅助表!$T$12:$T$17)/COUNTIF($H$6:$H$96,H26))/INDEX($C$1:$C$2,G26)</f>
        <v>683.80359690329101</v>
      </c>
      <c r="Y26" s="1">
        <f t="shared" ca="1" si="17"/>
        <v>0.18367346938775508</v>
      </c>
      <c r="Z26" s="1">
        <f ca="1">AE26</f>
        <v>163</v>
      </c>
      <c r="AA26" s="1">
        <f t="shared" ca="1" si="19"/>
        <v>5.4444444444444446</v>
      </c>
      <c r="AB26" s="18">
        <f t="shared" ca="1" si="20"/>
        <v>8</v>
      </c>
      <c r="AC26" s="1">
        <f t="shared" ca="1" si="21"/>
        <v>1304</v>
      </c>
      <c r="AD26" s="21">
        <f t="shared" ca="1" si="24"/>
        <v>8</v>
      </c>
      <c r="AE26" s="21">
        <f t="shared" ca="1" si="22"/>
        <v>163</v>
      </c>
      <c r="AF26">
        <v>0.42</v>
      </c>
      <c r="AG26">
        <f t="shared" si="11"/>
        <v>2.84</v>
      </c>
      <c r="AH26" s="1"/>
      <c r="AI26" s="1"/>
      <c r="AJ26" s="1"/>
      <c r="AK26" s="1">
        <v>1.5</v>
      </c>
      <c r="AL26" s="1"/>
      <c r="AM26" s="1"/>
      <c r="AN26" s="1"/>
      <c r="AO26" s="1"/>
      <c r="AY26" s="1">
        <v>2006</v>
      </c>
      <c r="AZ26" s="1" t="s">
        <v>19</v>
      </c>
      <c r="BA26" s="1">
        <v>2</v>
      </c>
      <c r="BB26" s="1">
        <v>1015</v>
      </c>
      <c r="BC26" s="1">
        <v>6</v>
      </c>
      <c r="BD26" s="1">
        <v>2</v>
      </c>
      <c r="BE26" s="1">
        <v>1001</v>
      </c>
      <c r="BF26" s="1">
        <v>45</v>
      </c>
      <c r="BG26" s="1">
        <v>3106.0567310390884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1</v>
      </c>
      <c r="BP26" s="1" t="s">
        <v>90</v>
      </c>
      <c r="BQ26" s="1">
        <v>3106</v>
      </c>
      <c r="BR26" s="1"/>
      <c r="BS26" s="1">
        <v>126.8572347327256</v>
      </c>
      <c r="BT26" s="1">
        <v>250.62876097341035</v>
      </c>
      <c r="BU26" s="1"/>
      <c r="BV26" s="1">
        <v>426</v>
      </c>
      <c r="BX26" s="1">
        <v>1.5</v>
      </c>
      <c r="BY26" s="1"/>
      <c r="BZ26" s="1"/>
      <c r="CA26" s="1"/>
      <c r="CB26" s="1"/>
      <c r="CC26" s="1"/>
      <c r="CD26" s="1"/>
      <c r="CE26" s="1"/>
    </row>
    <row r="27" spans="1:83">
      <c r="A27">
        <v>22</v>
      </c>
      <c r="B27" s="1">
        <f t="shared" si="12"/>
        <v>2007</v>
      </c>
      <c r="C27" s="1" t="s">
        <v>20</v>
      </c>
      <c r="D27" s="1">
        <v>2</v>
      </c>
      <c r="E27" s="1">
        <v>1015</v>
      </c>
      <c r="F27" s="1">
        <f>SUMIF($G$6:G27,G27,$G$6:$G$78)/G27</f>
        <v>7</v>
      </c>
      <c r="G27" s="1">
        <v>2</v>
      </c>
      <c r="H27" s="1">
        <v>1001</v>
      </c>
      <c r="I27" s="1">
        <f t="shared" ca="1" si="13"/>
        <v>41</v>
      </c>
      <c r="J27" s="1">
        <f>VLOOKUP($J$3,[1]!龙魂分图属性,J$4,FALSE)*(AH27*$AG27)/IF(SUMPRODUCT(AH$6:AH$96*$AG$6:$AG$96)=0,1,SUMPRODUCT(AH$6:AH$96*$AG$6:$AG$96))</f>
        <v>4045.9293318908676</v>
      </c>
      <c r="K27" s="1">
        <f>VLOOKUP($J$3,[1]!龙魂分图属性,K$4,FALSE)*(AI27*$AG27)/IF(SUMPRODUCT(AI$6:AI$96*$AG$6:$AG$96)=0,1,SUMPRODUCT(AI$6:AI$96*$AG$6:$AG$96))</f>
        <v>0</v>
      </c>
      <c r="L27" s="1">
        <f>VLOOKUP($J$3,[1]!龙魂分图属性,L$4,FALSE)*(AJ27*$AG27)/IF(SUMPRODUCT(AJ$6:AJ$96*$AG$6:$AG$96)=0,1,SUMPRODUCT(AJ$6:AJ$96*$AG$6:$AG$96))</f>
        <v>0</v>
      </c>
      <c r="M27" s="1">
        <f>VLOOKUP($J$3,[1]!龙魂分图属性,M$4,FALSE)*(AK27*$AG27)/IF(SUMPRODUCT(AK$6:AK$96*$AG$6:$AG$96)=0,1,SUMPRODUCT(AK$6:AK$96*$AG$6:$AG$96))</f>
        <v>0</v>
      </c>
      <c r="N27" s="1">
        <f>VLOOKUP($J$3,[1]!龙魂分图属性,N$4,FALSE)*(AL27*$AG27)/IF(SUMPRODUCT(AL$6:AL$96*$AG$6:$AG$96)=0,1,SUMPRODUCT(AL$6:AL$96*$AG$6:$AG$96))</f>
        <v>0</v>
      </c>
      <c r="O27" s="1">
        <f>VLOOKUP($J$3,[1]!龙魂分图属性,O$4,FALSE)*(AM27*$AG27)/IF(SUMPRODUCT(AM$6:AM$96*$AG$6:$AG$96)=0,1,SUMPRODUCT(AM$6:AM$96*$AG$6:$AG$96))</f>
        <v>0</v>
      </c>
      <c r="P27" s="1">
        <f>VLOOKUP($J$3,[1]!龙魂分图属性,P$4,FALSE)*(AN27*$AG27)/IF(SUMPRODUCT(AN$6:AN$96*$AG$6:$AG$96)=0,1,SUMPRODUCT(AN$6:AN$96*$AG$6:$AG$96))</f>
        <v>0</v>
      </c>
      <c r="Q27" s="1">
        <f>VLOOKUP($J$3,[1]!龙魂分图属性,Q$4,FALSE)*(AO27*$AG27)/IF(SUMPRODUCT(AO$6:AO$96*$AG$6:$AG$96)=0,1,SUMPRODUCT(AO$6:AO$96*$AG$6:$AG$96))</f>
        <v>0</v>
      </c>
      <c r="R27" s="1">
        <f t="shared" si="9"/>
        <v>1</v>
      </c>
      <c r="S27" s="1" t="str">
        <f t="array" aca="1" ref="S27" ca="1">OFFSET($I$5,0,MATCH(1,1/(J27:Q27&gt;0),0))</f>
        <v>生命</v>
      </c>
      <c r="T27" s="1">
        <f t="shared" si="14"/>
        <v>4046</v>
      </c>
      <c r="U27" s="1">
        <f t="shared" ca="1" si="15"/>
        <v>0.23667201226863832</v>
      </c>
      <c r="V27" s="19">
        <f t="shared" si="10"/>
        <v>161.83717327563471</v>
      </c>
      <c r="W27" s="18">
        <f t="shared" ca="1" si="16"/>
        <v>42</v>
      </c>
      <c r="X27" s="1">
        <f ca="1">(VLOOKUP(W27,[2]龙魂的投放!$G$17:$L$117,6,FALSE)+SUMIF(龙魂整图属性辅助表!$E$12:$E$17,H27,龙魂整图属性辅助表!$T$12:$T$17)/COUNTIF($H$6:$H$96,H27))/INDEX($C$1:$C$2,G27)</f>
        <v>683.80359690329101</v>
      </c>
      <c r="Y27" s="1">
        <f t="shared" ca="1" si="17"/>
        <v>0.18367346938775508</v>
      </c>
      <c r="Z27" s="1">
        <f t="shared" ref="Z27:Z28" ca="1" si="26">AE27</f>
        <v>163</v>
      </c>
      <c r="AA27" s="1">
        <f t="shared" ca="1" si="19"/>
        <v>5.4444444444444446</v>
      </c>
      <c r="AB27" s="18">
        <f t="shared" ca="1" si="20"/>
        <v>8</v>
      </c>
      <c r="AC27" s="1">
        <f t="shared" ca="1" si="21"/>
        <v>1304</v>
      </c>
      <c r="AD27" s="21">
        <f t="shared" ca="1" si="24"/>
        <v>8</v>
      </c>
      <c r="AE27" s="21">
        <f t="shared" ca="1" si="22"/>
        <v>163</v>
      </c>
      <c r="AF27">
        <v>0.44</v>
      </c>
      <c r="AG27">
        <f t="shared" si="11"/>
        <v>2.88</v>
      </c>
      <c r="AH27" s="1">
        <v>1.5</v>
      </c>
      <c r="AI27" s="1"/>
      <c r="AJ27" s="1"/>
      <c r="AK27" s="1"/>
      <c r="AL27" s="1"/>
      <c r="AM27" s="1"/>
      <c r="AN27" s="1"/>
      <c r="AO27" s="1"/>
      <c r="AY27" s="1">
        <v>2007</v>
      </c>
      <c r="AZ27" s="1" t="s">
        <v>20</v>
      </c>
      <c r="BA27" s="1">
        <v>2</v>
      </c>
      <c r="BB27" s="1">
        <v>1025</v>
      </c>
      <c r="BC27" s="1">
        <v>7</v>
      </c>
      <c r="BD27" s="1">
        <v>2</v>
      </c>
      <c r="BE27" s="1">
        <v>1001</v>
      </c>
      <c r="BF27" s="1">
        <v>55</v>
      </c>
      <c r="BG27" s="1">
        <v>0</v>
      </c>
      <c r="BH27" s="1">
        <v>0</v>
      </c>
      <c r="BI27" s="1">
        <v>44.868274615742891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1</v>
      </c>
      <c r="BP27" s="1" t="s">
        <v>92</v>
      </c>
      <c r="BQ27" s="1">
        <v>45</v>
      </c>
      <c r="BR27" s="1"/>
      <c r="BS27" s="1">
        <v>44.868274615742891</v>
      </c>
      <c r="BT27" s="1">
        <v>654.5662511726614</v>
      </c>
      <c r="BU27" s="1"/>
      <c r="BV27" s="1">
        <v>432</v>
      </c>
      <c r="BX27" s="1"/>
      <c r="BY27" s="1"/>
      <c r="BZ27" s="1"/>
      <c r="CA27" s="1"/>
      <c r="CB27" s="1"/>
      <c r="CC27" s="1"/>
      <c r="CD27" s="1">
        <v>1.5</v>
      </c>
      <c r="CE27" s="1"/>
    </row>
    <row r="28" spans="1:83">
      <c r="A28">
        <v>23</v>
      </c>
      <c r="B28" s="1">
        <f t="shared" si="12"/>
        <v>2008</v>
      </c>
      <c r="C28" s="1" t="s">
        <v>21</v>
      </c>
      <c r="D28" s="1">
        <v>2</v>
      </c>
      <c r="E28" s="1">
        <f t="shared" si="23"/>
        <v>2007</v>
      </c>
      <c r="F28" s="1">
        <f>SUMIF($G$6:G28,G28,$G$6:$G$78)/G28</f>
        <v>8</v>
      </c>
      <c r="G28" s="1">
        <v>2</v>
      </c>
      <c r="H28" s="1">
        <v>1001</v>
      </c>
      <c r="I28" s="1">
        <f t="shared" ca="1" si="13"/>
        <v>41</v>
      </c>
      <c r="J28" s="1">
        <f>VLOOKUP($J$3,[1]!龙魂分图属性,J$4,FALSE)*(AH28*$AG28)/IF(SUMPRODUCT(AH$6:AH$96*$AG$6:$AG$96)=0,1,SUMPRODUCT(AH$6:AH$96*$AG$6:$AG$96))</f>
        <v>0</v>
      </c>
      <c r="K28" s="1">
        <f>VLOOKUP($J$3,[1]!龙魂分图属性,K$4,FALSE)*(AI28*$AG28)/IF(SUMPRODUCT(AI$6:AI$96*$AG$6:$AG$96)=0,1,SUMPRODUCT(AI$6:AI$96*$AG$6:$AG$96))</f>
        <v>0</v>
      </c>
      <c r="L28" s="1">
        <f>VLOOKUP($J$3,[1]!龙魂分图属性,L$4,FALSE)*(AJ28*$AG28)/IF(SUMPRODUCT(AJ$6:AJ$96*$AG$6:$AG$96)=0,1,SUMPRODUCT(AJ$6:AJ$96*$AG$6:$AG$96))</f>
        <v>0</v>
      </c>
      <c r="M28" s="1">
        <f>VLOOKUP($J$3,[1]!龙魂分图属性,M$4,FALSE)*(AK28*$AG28)/IF(SUMPRODUCT(AK$6:AK$96*$AG$6:$AG$96)=0,1,SUMPRODUCT(AK$6:AK$96*$AG$6:$AG$96))</f>
        <v>0</v>
      </c>
      <c r="N28" s="1">
        <f>VLOOKUP($J$3,[1]!龙魂分图属性,N$4,FALSE)*(AL28*$AG28)/IF(SUMPRODUCT(AL$6:AL$96*$AG$6:$AG$96)=0,1,SUMPRODUCT(AL$6:AL$96*$AG$6:$AG$96))</f>
        <v>385.1632986862237</v>
      </c>
      <c r="O28" s="1">
        <f>VLOOKUP($J$3,[1]!龙魂分图属性,O$4,FALSE)*(AM28*$AG28)/IF(SUMPRODUCT(AM$6:AM$96*$AG$6:$AG$96)=0,1,SUMPRODUCT(AM$6:AM$96*$AG$6:$AG$96))</f>
        <v>0</v>
      </c>
      <c r="P28" s="1">
        <f>VLOOKUP($J$3,[1]!龙魂分图属性,P$4,FALSE)*(AN28*$AG28)/IF(SUMPRODUCT(AN$6:AN$96*$AG$6:$AG$96)=0,1,SUMPRODUCT(AN$6:AN$96*$AG$6:$AG$96))</f>
        <v>0</v>
      </c>
      <c r="Q28" s="1">
        <f>VLOOKUP($J$3,[1]!龙魂分图属性,Q$4,FALSE)*(AO28*$AG28)/IF(SUMPRODUCT(AO$6:AO$96*$AG$6:$AG$96)=0,1,SUMPRODUCT(AO$6:AO$96*$AG$6:$AG$96))</f>
        <v>0</v>
      </c>
      <c r="R28" s="1">
        <f t="shared" si="9"/>
        <v>1</v>
      </c>
      <c r="S28" s="1" t="str">
        <f t="array" aca="1" ref="S28" ca="1">OFFSET($I$5,0,MATCH(1,1/(J28:Q28&gt;0),0))</f>
        <v>命中值</v>
      </c>
      <c r="T28" s="1">
        <f t="shared" si="14"/>
        <v>385</v>
      </c>
      <c r="U28" s="1">
        <f t="shared" ca="1" si="15"/>
        <v>0.15543282118289475</v>
      </c>
      <c r="V28" s="19">
        <f t="shared" si="10"/>
        <v>130.95552155331606</v>
      </c>
      <c r="W28" s="18">
        <f t="shared" ca="1" si="16"/>
        <v>43</v>
      </c>
      <c r="X28" s="1">
        <f ca="1">(VLOOKUP(W28,[2]龙魂的投放!$G$17:$L$117,6,FALSE)+SUMIF(龙魂整图属性辅助表!$E$12:$E$17,H28,龙魂整图属性辅助表!$T$12:$T$17)/COUNTIF($H$6:$H$96,H28))/INDEX($C$1:$C$2,G28)</f>
        <v>842.52167950566422</v>
      </c>
      <c r="Y28" s="1">
        <f t="shared" ca="1" si="17"/>
        <v>0.16981132075471694</v>
      </c>
      <c r="Z28" s="1">
        <f t="shared" ca="1" si="26"/>
        <v>193</v>
      </c>
      <c r="AA28" s="1">
        <f t="shared" ca="1" si="19"/>
        <v>5.8888888888888902</v>
      </c>
      <c r="AB28" s="18">
        <f t="shared" ca="1" si="20"/>
        <v>8</v>
      </c>
      <c r="AC28" s="1">
        <f t="shared" ca="1" si="21"/>
        <v>1544</v>
      </c>
      <c r="AD28" s="21">
        <f t="shared" ca="1" si="24"/>
        <v>9</v>
      </c>
      <c r="AE28" s="21">
        <f t="shared" ca="1" si="22"/>
        <v>193</v>
      </c>
      <c r="AF28">
        <v>0.46</v>
      </c>
      <c r="AG28">
        <f t="shared" si="11"/>
        <v>2.92</v>
      </c>
      <c r="AH28" s="1"/>
      <c r="AI28" s="1"/>
      <c r="AJ28" s="1"/>
      <c r="AK28" s="1"/>
      <c r="AL28" s="1">
        <v>1.5</v>
      </c>
      <c r="AM28" s="1"/>
      <c r="AN28" s="1"/>
      <c r="AO28" s="1"/>
      <c r="AY28" s="1">
        <v>2008</v>
      </c>
      <c r="AZ28" s="1" t="s">
        <v>21</v>
      </c>
      <c r="BA28" s="1">
        <v>2</v>
      </c>
      <c r="BB28" s="1">
        <v>2007</v>
      </c>
      <c r="BC28" s="1">
        <v>8</v>
      </c>
      <c r="BD28" s="1">
        <v>2</v>
      </c>
      <c r="BE28" s="1">
        <v>1001</v>
      </c>
      <c r="BF28" s="1">
        <v>56</v>
      </c>
      <c r="BG28" s="1">
        <v>0</v>
      </c>
      <c r="BH28" s="1">
        <v>82.704191738624985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1</v>
      </c>
      <c r="BP28" s="1" t="s">
        <v>91</v>
      </c>
      <c r="BQ28" s="1">
        <v>83</v>
      </c>
      <c r="BR28" s="1"/>
      <c r="BS28" s="1">
        <v>82.704191738624985</v>
      </c>
      <c r="BT28" s="1">
        <v>720.51973396286644</v>
      </c>
      <c r="BU28" s="1"/>
      <c r="BV28" s="1">
        <v>438</v>
      </c>
      <c r="BX28" s="1"/>
      <c r="BY28" s="1">
        <v>1.5</v>
      </c>
      <c r="BZ28" s="1"/>
      <c r="CA28" s="1"/>
      <c r="CB28" s="1"/>
      <c r="CC28" s="1"/>
      <c r="CD28" s="1"/>
      <c r="CE28" s="1"/>
    </row>
    <row r="29" spans="1:83">
      <c r="A29">
        <v>24</v>
      </c>
      <c r="B29" s="1">
        <f t="shared" si="12"/>
        <v>1016</v>
      </c>
      <c r="C29" s="1" t="s">
        <v>127</v>
      </c>
      <c r="D29" s="1">
        <v>2</v>
      </c>
      <c r="E29" s="1">
        <v>1015</v>
      </c>
      <c r="F29" s="1">
        <f>SUMIF($G$6:G29,G29,$G$6:$G$78)/G29</f>
        <v>16</v>
      </c>
      <c r="G29" s="1">
        <v>1</v>
      </c>
      <c r="H29" s="1">
        <v>1001</v>
      </c>
      <c r="I29" s="1">
        <f t="shared" si="13"/>
        <v>42</v>
      </c>
      <c r="J29" s="1">
        <f>VLOOKUP($J$3,[1]!龙魂分图属性,J$4,FALSE)*(AH29*$AG29)/IF(SUMPRODUCT(AH$6:AH$96*$AG$6:$AG$96)=0,1,SUMPRODUCT(AH$6:AH$96*$AG$6:$AG$96))</f>
        <v>0</v>
      </c>
      <c r="K29" s="1">
        <f>VLOOKUP($J$3,[1]!龙魂分图属性,K$4,FALSE)*(AI29*$AG29)/IF(SUMPRODUCT(AI$6:AI$96*$AG$6:$AG$96)=0,1,SUMPRODUCT(AI$6:AI$96*$AG$6:$AG$96))</f>
        <v>0</v>
      </c>
      <c r="L29" s="1">
        <f>VLOOKUP($J$3,[1]!龙魂分图属性,L$4,FALSE)*(AJ29*$AG29)/IF(SUMPRODUCT(AJ$6:AJ$96*$AG$6:$AG$96)=0,1,SUMPRODUCT(AJ$6:AJ$96*$AG$6:$AG$96))</f>
        <v>0</v>
      </c>
      <c r="M29" s="1">
        <f>VLOOKUP($J$3,[1]!龙魂分图属性,M$4,FALSE)*(AK29*$AG29)/IF(SUMPRODUCT(AK$6:AK$96*$AG$6:$AG$96)=0,1,SUMPRODUCT(AK$6:AK$96*$AG$6:$AG$96))</f>
        <v>0</v>
      </c>
      <c r="N29" s="1">
        <f>VLOOKUP($J$3,[1]!龙魂分图属性,N$4,FALSE)*(AL29*$AG29)/IF(SUMPRODUCT(AL$6:AL$96*$AG$6:$AG$96)=0,1,SUMPRODUCT(AL$6:AL$96*$AG$6:$AG$96))</f>
        <v>0</v>
      </c>
      <c r="O29" s="1">
        <f>VLOOKUP($J$3,[1]!龙魂分图属性,O$4,FALSE)*(AM29*$AG29)/IF(SUMPRODUCT(AM$6:AM$96*$AG$6:$AG$96)=0,1,SUMPRODUCT(AM$6:AM$96*$AG$6:$AG$96))</f>
        <v>0</v>
      </c>
      <c r="P29" s="1">
        <f>VLOOKUP($J$3,[1]!龙魂分图属性,P$4,FALSE)*(AN29*$AG29)/IF(SUMPRODUCT(AN$6:AN$96*$AG$6:$AG$96)=0,1,SUMPRODUCT(AN$6:AN$96*$AG$6:$AG$96))</f>
        <v>0</v>
      </c>
      <c r="Q29" s="1">
        <f>VLOOKUP($J$3,[1]!龙魂分图属性,Q$4,FALSE)*(AO29*$AG29)/IF(SUMPRODUCT(AO$6:AO$96*$AG$6:$AG$96)=0,1,SUMPRODUCT(AO$6:AO$96*$AG$6:$AG$96))</f>
        <v>419.4342597020742</v>
      </c>
      <c r="R29" s="1">
        <f t="shared" si="9"/>
        <v>1</v>
      </c>
      <c r="S29" s="1" t="str">
        <f t="array" aca="1" ref="S29" ca="1">OFFSET($I$5,0,MATCH(1,1/(J29:Q29&gt;0),0))</f>
        <v>韧性值</v>
      </c>
      <c r="T29" s="1">
        <f t="shared" si="14"/>
        <v>419</v>
      </c>
      <c r="U29" s="1">
        <f t="shared" si="15"/>
        <v>0.22081827907392804</v>
      </c>
      <c r="V29" s="19">
        <f t="shared" si="10"/>
        <v>75.498166746373357</v>
      </c>
      <c r="W29" s="18">
        <f t="shared" si="16"/>
        <v>42</v>
      </c>
      <c r="X29" s="1">
        <f>(VLOOKUP(W29,[2]龙魂的投放!$G$17:$L$117,6,FALSE)+SUMIF(龙魂整图属性辅助表!$E$12:$E$17,H29,龙魂整图属性辅助表!$T$12:$T$17)/COUNTIF($H$6:$H$96,H29))/INDEX($C$1:$C$2,G29)</f>
        <v>341.9017984516455</v>
      </c>
      <c r="Y29" s="1">
        <f t="shared" si="17"/>
        <v>0.28000000000000003</v>
      </c>
      <c r="Z29" s="1">
        <f t="shared" ca="1" si="25"/>
        <v>132</v>
      </c>
      <c r="AA29" s="1">
        <f t="shared" si="19"/>
        <v>3.5714285714285712</v>
      </c>
      <c r="AB29" s="18">
        <f t="shared" si="20"/>
        <v>5</v>
      </c>
      <c r="AC29" s="1">
        <f t="shared" ca="1" si="21"/>
        <v>660</v>
      </c>
      <c r="AD29" s="21">
        <f t="shared" si="24"/>
        <v>8</v>
      </c>
      <c r="AE29" s="21">
        <f t="shared" si="22"/>
        <v>124</v>
      </c>
      <c r="AF29">
        <v>0.48</v>
      </c>
      <c r="AG29">
        <f t="shared" si="11"/>
        <v>2.96</v>
      </c>
      <c r="AH29" s="1"/>
      <c r="AI29" s="1"/>
      <c r="AJ29" s="1"/>
      <c r="AK29" s="1"/>
      <c r="AL29" s="1"/>
      <c r="AM29" s="1"/>
      <c r="AN29" s="1"/>
      <c r="AO29" s="1">
        <v>1</v>
      </c>
      <c r="AY29" s="1">
        <v>1016</v>
      </c>
      <c r="AZ29" s="1" t="s">
        <v>128</v>
      </c>
      <c r="BA29" s="1">
        <v>2</v>
      </c>
      <c r="BB29" s="1">
        <v>1015</v>
      </c>
      <c r="BC29" s="1">
        <v>16</v>
      </c>
      <c r="BD29" s="1">
        <v>1</v>
      </c>
      <c r="BE29" s="1">
        <v>1001</v>
      </c>
      <c r="BF29" s="1">
        <v>45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360.49202289611486</v>
      </c>
      <c r="BO29" s="1">
        <v>1</v>
      </c>
      <c r="BP29" s="1" t="s">
        <v>97</v>
      </c>
      <c r="BQ29" s="1">
        <v>360</v>
      </c>
      <c r="BR29" s="1"/>
      <c r="BS29" s="1">
        <v>28.786555442081873</v>
      </c>
      <c r="BT29" s="1">
        <v>125.31438048670518</v>
      </c>
      <c r="BU29" s="1"/>
      <c r="BV29" s="1">
        <v>296</v>
      </c>
      <c r="BX29" s="1"/>
      <c r="BY29" s="1"/>
      <c r="BZ29" s="1"/>
      <c r="CA29" s="1"/>
      <c r="CB29" s="1"/>
      <c r="CC29" s="1"/>
      <c r="CD29" s="1"/>
      <c r="CE29" s="1">
        <v>1</v>
      </c>
    </row>
    <row r="30" spans="1:83">
      <c r="A30">
        <v>25</v>
      </c>
      <c r="B30" s="1">
        <f t="shared" si="12"/>
        <v>1017</v>
      </c>
      <c r="C30" s="1" t="s">
        <v>9</v>
      </c>
      <c r="D30" s="1">
        <v>3</v>
      </c>
      <c r="E30" s="1">
        <f t="shared" si="23"/>
        <v>1016</v>
      </c>
      <c r="F30" s="1">
        <f>SUMIF($G$6:G30,G30,$G$6:$G$78)/G30</f>
        <v>17</v>
      </c>
      <c r="G30" s="1">
        <v>1</v>
      </c>
      <c r="H30" s="1">
        <v>1002</v>
      </c>
      <c r="I30" s="1">
        <f t="shared" si="13"/>
        <v>44</v>
      </c>
      <c r="J30" s="1">
        <f>VLOOKUP($J$3,[1]!龙魂分图属性,J$4,FALSE)*(AH30*$AG30)/IF(SUMPRODUCT(AH$6:AH$96*$AG$6:$AG$96)=0,1,SUMPRODUCT(AH$6:AH$96*$AG$6:$AG$96))</f>
        <v>4495.4770354342982</v>
      </c>
      <c r="K30" s="1">
        <f>VLOOKUP($J$3,[1]!龙魂分图属性,K$4,FALSE)*(AI30*$AG30)/IF(SUMPRODUCT(AI$6:AI$96*$AG$6:$AG$96)=0,1,SUMPRODUCT(AI$6:AI$96*$AG$6:$AG$96))</f>
        <v>0</v>
      </c>
      <c r="L30" s="1">
        <f>VLOOKUP($J$3,[1]!龙魂分图属性,L$4,FALSE)*(AJ30*$AG30)/IF(SUMPRODUCT(AJ$6:AJ$96*$AG$6:$AG$96)=0,1,SUMPRODUCT(AJ$6:AJ$96*$AG$6:$AG$96))</f>
        <v>0</v>
      </c>
      <c r="M30" s="1">
        <f>VLOOKUP($J$3,[1]!龙魂分图属性,M$4,FALSE)*(AK30*$AG30)/IF(SUMPRODUCT(AK$6:AK$96*$AG$6:$AG$96)=0,1,SUMPRODUCT(AK$6:AK$96*$AG$6:$AG$96))</f>
        <v>0</v>
      </c>
      <c r="N30" s="1">
        <f>VLOOKUP($J$3,[1]!龙魂分图属性,N$4,FALSE)*(AL30*$AG30)/IF(SUMPRODUCT(AL$6:AL$96*$AG$6:$AG$96)=0,1,SUMPRODUCT(AL$6:AL$96*$AG$6:$AG$96))</f>
        <v>0</v>
      </c>
      <c r="O30" s="1">
        <f>VLOOKUP($J$3,[1]!龙魂分图属性,O$4,FALSE)*(AM30*$AG30)/IF(SUMPRODUCT(AM$6:AM$96*$AG$6:$AG$96)=0,1,SUMPRODUCT(AM$6:AM$96*$AG$6:$AG$96))</f>
        <v>0</v>
      </c>
      <c r="P30" s="1">
        <f>VLOOKUP($J$3,[1]!龙魂分图属性,P$4,FALSE)*(AN30*$AG30)/IF(SUMPRODUCT(AN$6:AN$96*$AG$6:$AG$96)=0,1,SUMPRODUCT(AN$6:AN$96*$AG$6:$AG$96))</f>
        <v>0</v>
      </c>
      <c r="Q30" s="1">
        <f>VLOOKUP($J$3,[1]!龙魂分图属性,Q$4,FALSE)*(AO30*$AG30)/IF(SUMPRODUCT(AO$6:AO$96*$AG$6:$AG$96)=0,1,SUMPRODUCT(AO$6:AO$96*$AG$6:$AG$96))</f>
        <v>0</v>
      </c>
      <c r="R30" s="1">
        <f t="shared" si="9"/>
        <v>1</v>
      </c>
      <c r="S30" s="1" t="str">
        <f t="array" aca="1" ref="S30" ca="1">OFFSET($I$5,0,MATCH(1,1/(J30:Q30&gt;0),0))</f>
        <v>生命</v>
      </c>
      <c r="T30" s="1">
        <f t="shared" si="14"/>
        <v>4495</v>
      </c>
      <c r="U30" s="1">
        <f t="shared" si="15"/>
        <v>0.40915555815909543</v>
      </c>
      <c r="V30" s="19">
        <f t="shared" si="10"/>
        <v>179.81908141737193</v>
      </c>
      <c r="W30" s="18">
        <f t="shared" si="16"/>
        <v>44</v>
      </c>
      <c r="X30" s="1">
        <f>(VLOOKUP(W30,[2]龙魂的投放!$G$17:$L$117,6,FALSE)+SUMIF(龙魂整图属性辅助表!$E$12:$E$17,H30,龙魂整图属性辅助表!$T$12:$T$17)/COUNTIF($H$6:$H$96,H30))/INDEX($C$1:$C$2,G30)</f>
        <v>439.48830177555931</v>
      </c>
      <c r="Y30" s="1">
        <f t="shared" si="17"/>
        <v>0.5714285714285714</v>
      </c>
      <c r="Z30" s="1">
        <f ca="1">SMALL($AE$30:$AE$44,AD30+1)</f>
        <v>182</v>
      </c>
      <c r="AA30" s="1">
        <f t="shared" si="19"/>
        <v>1.75</v>
      </c>
      <c r="AB30" s="18">
        <f t="shared" si="20"/>
        <v>3</v>
      </c>
      <c r="AC30" s="1">
        <f t="shared" ca="1" si="21"/>
        <v>546</v>
      </c>
      <c r="AD30" s="21">
        <f t="shared" si="24"/>
        <v>0</v>
      </c>
      <c r="AE30" s="21">
        <f t="shared" si="22"/>
        <v>226</v>
      </c>
      <c r="AF30">
        <v>0.6</v>
      </c>
      <c r="AG30">
        <f t="shared" si="11"/>
        <v>4.8000000000000007</v>
      </c>
      <c r="AH30" s="1">
        <v>1</v>
      </c>
      <c r="AI30" s="1"/>
      <c r="AJ30" s="1"/>
      <c r="AK30" s="1"/>
      <c r="AL30" s="1"/>
      <c r="AM30" s="1"/>
      <c r="AN30" s="1"/>
      <c r="AO30" s="1"/>
      <c r="AY30" s="1">
        <v>1017</v>
      </c>
      <c r="AZ30" s="1" t="s">
        <v>9</v>
      </c>
      <c r="BA30" s="1">
        <v>3</v>
      </c>
      <c r="BB30" s="1">
        <v>1016</v>
      </c>
      <c r="BC30" s="1">
        <v>17</v>
      </c>
      <c r="BD30" s="1">
        <v>1</v>
      </c>
      <c r="BE30" s="1">
        <v>1002</v>
      </c>
      <c r="BF30" s="1">
        <v>46</v>
      </c>
      <c r="BG30" s="1">
        <v>3281.0458426469245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1</v>
      </c>
      <c r="BP30" s="1" t="s">
        <v>90</v>
      </c>
      <c r="BQ30" s="1">
        <v>3281</v>
      </c>
      <c r="BR30" s="1"/>
      <c r="BS30" s="1">
        <v>134.00412119654115</v>
      </c>
      <c r="BT30" s="1">
        <v>137.9409401695309</v>
      </c>
      <c r="BU30" s="1"/>
      <c r="BV30" s="1">
        <v>450</v>
      </c>
      <c r="BX30" s="1">
        <v>1</v>
      </c>
      <c r="BY30" s="1"/>
      <c r="BZ30" s="1"/>
      <c r="CA30" s="1"/>
      <c r="CB30" s="1"/>
      <c r="CC30" s="1"/>
      <c r="CD30" s="1"/>
      <c r="CE30" s="1"/>
    </row>
    <row r="31" spans="1:83">
      <c r="A31">
        <v>26</v>
      </c>
      <c r="B31" s="1">
        <f t="shared" si="12"/>
        <v>1018</v>
      </c>
      <c r="C31" s="1" t="s">
        <v>10</v>
      </c>
      <c r="D31" s="1">
        <v>3</v>
      </c>
      <c r="E31" s="1">
        <f t="shared" si="23"/>
        <v>1017</v>
      </c>
      <c r="F31" s="1">
        <f>SUMIF($G$6:G31,G31,$G$6:$G$78)/G31</f>
        <v>18</v>
      </c>
      <c r="G31" s="1">
        <v>1</v>
      </c>
      <c r="H31" s="1">
        <v>1002</v>
      </c>
      <c r="I31" s="1">
        <f t="shared" si="13"/>
        <v>45</v>
      </c>
      <c r="J31" s="1">
        <f>VLOOKUP($J$3,[1]!龙魂分图属性,J$4,FALSE)*(AH31*$AG31)/IF(SUMPRODUCT(AH$6:AH$96*$AG$6:$AG$96)=0,1,SUMPRODUCT(AH$6:AH$96*$AG$6:$AG$96))</f>
        <v>0</v>
      </c>
      <c r="K31" s="1">
        <f>VLOOKUP($J$3,[1]!龙魂分图属性,K$4,FALSE)*(AI31*$AG31)/IF(SUMPRODUCT(AI$6:AI$96*$AG$6:$AG$96)=0,1,SUMPRODUCT(AI$6:AI$96*$AG$6:$AG$96))</f>
        <v>0</v>
      </c>
      <c r="L31" s="1">
        <f>VLOOKUP($J$3,[1]!龙魂分图属性,L$4,FALSE)*(AJ31*$AG31)/IF(SUMPRODUCT(AJ$6:AJ$96*$AG$6:$AG$96)=0,1,SUMPRODUCT(AJ$6:AJ$96*$AG$6:$AG$96))</f>
        <v>0</v>
      </c>
      <c r="M31" s="1">
        <f>VLOOKUP($J$3,[1]!龙魂分图属性,M$4,FALSE)*(AK31*$AG31)/IF(SUMPRODUCT(AK$6:AK$96*$AG$6:$AG$96)=0,1,SUMPRODUCT(AK$6:AK$96*$AG$6:$AG$96))</f>
        <v>468.93937936474327</v>
      </c>
      <c r="N31" s="1">
        <f>VLOOKUP($J$3,[1]!龙魂分图属性,N$4,FALSE)*(AL31*$AG31)/IF(SUMPRODUCT(AL$6:AL$96*$AG$6:$AG$96)=0,1,SUMPRODUCT(AL$6:AL$96*$AG$6:$AG$96))</f>
        <v>0</v>
      </c>
      <c r="O31" s="1">
        <f>VLOOKUP($J$3,[1]!龙魂分图属性,O$4,FALSE)*(AM31*$AG31)/IF(SUMPRODUCT(AM$6:AM$96*$AG$6:$AG$96)=0,1,SUMPRODUCT(AM$6:AM$96*$AG$6:$AG$96))</f>
        <v>0</v>
      </c>
      <c r="P31" s="1">
        <f>VLOOKUP($J$3,[1]!龙魂分图属性,P$4,FALSE)*(AN31*$AG31)/IF(SUMPRODUCT(AN$6:AN$96*$AG$6:$AG$96)=0,1,SUMPRODUCT(AN$6:AN$96*$AG$6:$AG$96))</f>
        <v>0</v>
      </c>
      <c r="Q31" s="1">
        <f>VLOOKUP($J$3,[1]!龙魂分图属性,Q$4,FALSE)*(AO31*$AG31)/IF(SUMPRODUCT(AO$6:AO$96*$AG$6:$AG$96)=0,1,SUMPRODUCT(AO$6:AO$96*$AG$6:$AG$96))</f>
        <v>0</v>
      </c>
      <c r="R31" s="1">
        <f t="shared" si="9"/>
        <v>1</v>
      </c>
      <c r="S31" s="1" t="str">
        <f t="array" aca="1" ref="S31" ca="1">OFFSET($I$5,0,MATCH(1,1/(J31:Q31&gt;0),0))</f>
        <v>闪避值</v>
      </c>
      <c r="T31" s="1">
        <f t="shared" si="14"/>
        <v>469</v>
      </c>
      <c r="U31" s="1">
        <f t="shared" si="15"/>
        <v>0.31805205673799186</v>
      </c>
      <c r="V31" s="19">
        <f t="shared" si="10"/>
        <v>159.43938898401274</v>
      </c>
      <c r="W31" s="18">
        <f t="shared" si="16"/>
        <v>45</v>
      </c>
      <c r="X31" s="1">
        <f>(VLOOKUP(W31,[2]龙魂的投放!$G$17:$L$117,6,FALSE)+SUMIF(龙魂整图属性辅助表!$E$12:$E$17,H31,龙魂整图属性辅助表!$T$12:$T$17)/COUNTIF($H$6:$H$96,H31))/INDEX($C$1:$C$2,G31)</f>
        <v>501.29966339239024</v>
      </c>
      <c r="Y31" s="1">
        <f t="shared" si="17"/>
        <v>0.47058823529411764</v>
      </c>
      <c r="Z31" s="1">
        <f t="shared" ref="Z31:Z44" ca="1" si="27">SMALL($AE$30:$AE$44,AD31+1)</f>
        <v>188</v>
      </c>
      <c r="AA31" s="1">
        <f t="shared" si="19"/>
        <v>2.125</v>
      </c>
      <c r="AB31" s="18">
        <f t="shared" si="20"/>
        <v>4</v>
      </c>
      <c r="AC31" s="1">
        <f t="shared" ca="1" si="21"/>
        <v>752</v>
      </c>
      <c r="AD31" s="21">
        <f t="shared" si="24"/>
        <v>1</v>
      </c>
      <c r="AE31" s="21">
        <f t="shared" si="22"/>
        <v>224</v>
      </c>
      <c r="AF31">
        <v>0.625</v>
      </c>
      <c r="AG31">
        <f t="shared" si="11"/>
        <v>4.875</v>
      </c>
      <c r="AH31" s="1"/>
      <c r="AI31" s="1"/>
      <c r="AJ31" s="1"/>
      <c r="AK31" s="1">
        <v>1</v>
      </c>
      <c r="AL31" s="1"/>
      <c r="AM31" s="1"/>
      <c r="AN31" s="1"/>
      <c r="AO31" s="1"/>
      <c r="AY31" s="1">
        <v>1018</v>
      </c>
      <c r="AZ31" s="1" t="s">
        <v>10</v>
      </c>
      <c r="BA31" s="1">
        <v>3</v>
      </c>
      <c r="BB31" s="1">
        <v>1017</v>
      </c>
      <c r="BC31" s="1">
        <v>18</v>
      </c>
      <c r="BD31" s="1">
        <v>1</v>
      </c>
      <c r="BE31" s="1">
        <v>1002</v>
      </c>
      <c r="BF31" s="1">
        <v>47</v>
      </c>
      <c r="BG31" s="1">
        <v>0</v>
      </c>
      <c r="BH31" s="1">
        <v>86.102994138842448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1</v>
      </c>
      <c r="BP31" s="1" t="s">
        <v>91</v>
      </c>
      <c r="BQ31" s="1">
        <v>86</v>
      </c>
      <c r="BR31" s="1"/>
      <c r="BS31" s="1">
        <v>86.102994138842448</v>
      </c>
      <c r="BT31" s="1">
        <v>151.83974018746233</v>
      </c>
      <c r="BU31" s="1"/>
      <c r="BV31" s="1">
        <v>456.00000000000006</v>
      </c>
      <c r="BX31" s="1"/>
      <c r="BY31" s="1">
        <v>1</v>
      </c>
      <c r="BZ31" s="1"/>
      <c r="CA31" s="1"/>
      <c r="CB31" s="1"/>
      <c r="CC31" s="1"/>
      <c r="CD31" s="1"/>
      <c r="CE31" s="1"/>
    </row>
    <row r="32" spans="1:83">
      <c r="A32">
        <v>27</v>
      </c>
      <c r="B32" s="1">
        <f t="shared" si="12"/>
        <v>2009</v>
      </c>
      <c r="C32" s="1" t="s">
        <v>11</v>
      </c>
      <c r="D32" s="1">
        <v>3</v>
      </c>
      <c r="E32" s="1">
        <f t="shared" si="23"/>
        <v>1018</v>
      </c>
      <c r="F32" s="1">
        <f>SUMIF($G$6:G32,G32,$G$6:$G$78)/G32</f>
        <v>9</v>
      </c>
      <c r="G32" s="1">
        <v>2</v>
      </c>
      <c r="H32" s="1">
        <v>1002</v>
      </c>
      <c r="I32" s="1">
        <f t="shared" ca="1" si="13"/>
        <v>45</v>
      </c>
      <c r="J32" s="1">
        <f>VLOOKUP($J$3,[1]!龙魂分图属性,J$4,FALSE)*(AH32*$AG32)/IF(SUMPRODUCT(AH$6:AH$96*$AG$6:$AG$96)=0,1,SUMPRODUCT(AH$6:AH$96*$AG$6:$AG$96))</f>
        <v>6953.9410391874271</v>
      </c>
      <c r="K32" s="1">
        <f>VLOOKUP($J$3,[1]!龙魂分图属性,K$4,FALSE)*(AI32*$AG32)/IF(SUMPRODUCT(AI$6:AI$96*$AG$6:$AG$96)=0,1,SUMPRODUCT(AI$6:AI$96*$AG$6:$AG$96))</f>
        <v>0</v>
      </c>
      <c r="L32" s="1">
        <f>VLOOKUP($J$3,[1]!龙魂分图属性,L$4,FALSE)*(AJ32*$AG32)/IF(SUMPRODUCT(AJ$6:AJ$96*$AG$6:$AG$96)=0,1,SUMPRODUCT(AJ$6:AJ$96*$AG$6:$AG$96))</f>
        <v>0</v>
      </c>
      <c r="M32" s="1">
        <f>VLOOKUP($J$3,[1]!龙魂分图属性,M$4,FALSE)*(AK32*$AG32)/IF(SUMPRODUCT(AK$6:AK$96*$AG$6:$AG$96)=0,1,SUMPRODUCT(AK$6:AK$96*$AG$6:$AG$96))</f>
        <v>0</v>
      </c>
      <c r="N32" s="1">
        <f>VLOOKUP($J$3,[1]!龙魂分图属性,N$4,FALSE)*(AL32*$AG32)/IF(SUMPRODUCT(AL$6:AL$96*$AG$6:$AG$96)=0,1,SUMPRODUCT(AL$6:AL$96*$AG$6:$AG$96))</f>
        <v>0</v>
      </c>
      <c r="O32" s="1">
        <f>VLOOKUP($J$3,[1]!龙魂分图属性,O$4,FALSE)*(AM32*$AG32)/IF(SUMPRODUCT(AM$6:AM$96*$AG$6:$AG$96)=0,1,SUMPRODUCT(AM$6:AM$96*$AG$6:$AG$96))</f>
        <v>0</v>
      </c>
      <c r="P32" s="1">
        <f>VLOOKUP($J$3,[1]!龙魂分图属性,P$4,FALSE)*(AN32*$AG32)/IF(SUMPRODUCT(AN$6:AN$96*$AG$6:$AG$96)=0,1,SUMPRODUCT(AN$6:AN$96*$AG$6:$AG$96))</f>
        <v>0</v>
      </c>
      <c r="Q32" s="1">
        <f>VLOOKUP($J$3,[1]!龙魂分图属性,Q$4,FALSE)*(AO32*$AG32)/IF(SUMPRODUCT(AO$6:AO$96*$AG$6:$AG$96)=0,1,SUMPRODUCT(AO$6:AO$96*$AG$6:$AG$96))</f>
        <v>0</v>
      </c>
      <c r="R32" s="1">
        <f t="shared" si="9"/>
        <v>1</v>
      </c>
      <c r="S32" s="1" t="str">
        <f t="array" aca="1" ref="S32" ca="1">OFFSET($I$5,0,MATCH(1,1/(J32:Q32&gt;0),0))</f>
        <v>生命</v>
      </c>
      <c r="T32" s="1">
        <f t="shared" si="14"/>
        <v>6954</v>
      </c>
      <c r="U32" s="1">
        <f t="shared" ca="1" si="15"/>
        <v>0.30647703770586027</v>
      </c>
      <c r="V32" s="19">
        <f t="shared" si="10"/>
        <v>278.15764156749708</v>
      </c>
      <c r="W32" s="18">
        <f t="shared" ca="1" si="16"/>
        <v>46</v>
      </c>
      <c r="X32" s="1">
        <f ca="1">(VLOOKUP(W32,[2]龙魂的投放!$G$17:$L$117,6,FALSE)+SUMIF(龙魂整图属性辅助表!$E$12:$E$17,H32,龙魂整图属性辅助表!$T$12:$T$17)/COUNTIF($H$6:$H$96,H32))/INDEX($C$1:$C$2,G32)</f>
        <v>907.59700514482734</v>
      </c>
      <c r="Y32" s="1">
        <f t="shared" ca="1" si="17"/>
        <v>0.26829268292682928</v>
      </c>
      <c r="Z32" s="1">
        <f ca="1">AE32</f>
        <v>244</v>
      </c>
      <c r="AA32" s="1">
        <f t="shared" ca="1" si="19"/>
        <v>3.7272727272727271</v>
      </c>
      <c r="AB32" s="18">
        <f t="shared" ca="1" si="20"/>
        <v>6</v>
      </c>
      <c r="AC32" s="1">
        <f t="shared" ca="1" si="21"/>
        <v>1464</v>
      </c>
      <c r="AD32" s="21">
        <f t="shared" ca="1" si="24"/>
        <v>2</v>
      </c>
      <c r="AE32" s="21">
        <f t="shared" ca="1" si="22"/>
        <v>244</v>
      </c>
      <c r="AF32">
        <v>0.65</v>
      </c>
      <c r="AG32">
        <f t="shared" si="11"/>
        <v>4.9499999999999993</v>
      </c>
      <c r="AH32" s="1">
        <v>1.5</v>
      </c>
      <c r="AI32" s="1"/>
      <c r="AJ32" s="1"/>
      <c r="AK32" s="1"/>
      <c r="AL32" s="1"/>
      <c r="AM32" s="1"/>
      <c r="AN32" s="1"/>
      <c r="AO32" s="1"/>
      <c r="AY32" s="1">
        <v>2009</v>
      </c>
      <c r="AZ32" s="1" t="s">
        <v>11</v>
      </c>
      <c r="BA32" s="1">
        <v>3</v>
      </c>
      <c r="BB32" s="1">
        <v>1018</v>
      </c>
      <c r="BC32" s="1">
        <v>9</v>
      </c>
      <c r="BD32" s="1">
        <v>2</v>
      </c>
      <c r="BE32" s="1">
        <v>1002</v>
      </c>
      <c r="BF32" s="1">
        <v>48</v>
      </c>
      <c r="BG32" s="1">
        <v>5052.8105976762636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1</v>
      </c>
      <c r="BP32" s="1" t="s">
        <v>90</v>
      </c>
      <c r="BQ32" s="1">
        <v>5053</v>
      </c>
      <c r="BR32" s="1"/>
      <c r="BS32" s="1">
        <v>206.36634664267334</v>
      </c>
      <c r="BT32" s="1">
        <v>334.27794057168001</v>
      </c>
      <c r="BU32" s="1"/>
      <c r="BV32" s="1">
        <v>693</v>
      </c>
      <c r="BX32" s="1">
        <v>1.5</v>
      </c>
      <c r="BY32" s="1"/>
      <c r="BZ32" s="1"/>
      <c r="CA32" s="1"/>
      <c r="CB32" s="1"/>
      <c r="CC32" s="1"/>
      <c r="CD32" s="1"/>
      <c r="CE32" s="1"/>
    </row>
    <row r="33" spans="1:83">
      <c r="A33">
        <v>28</v>
      </c>
      <c r="B33" s="1">
        <f t="shared" si="12"/>
        <v>1019</v>
      </c>
      <c r="C33" s="1" t="s">
        <v>12</v>
      </c>
      <c r="D33" s="1">
        <v>3</v>
      </c>
      <c r="E33" s="1">
        <v>1018</v>
      </c>
      <c r="F33" s="1">
        <f>SUMIF($G$6:G33,G33,$G$6:$G$78)/G33</f>
        <v>19</v>
      </c>
      <c r="G33" s="1">
        <v>1</v>
      </c>
      <c r="H33" s="1">
        <v>1002</v>
      </c>
      <c r="I33" s="1">
        <f t="shared" si="13"/>
        <v>46</v>
      </c>
      <c r="J33" s="1">
        <f>VLOOKUP($J$3,[1]!龙魂分图属性,J$4,FALSE)*(AH33*$AG33)/IF(SUMPRODUCT(AH$6:AH$96*$AG$6:$AG$96)=0,1,SUMPRODUCT(AH$6:AH$96*$AG$6:$AG$96))</f>
        <v>0</v>
      </c>
      <c r="K33" s="1">
        <f>VLOOKUP($J$3,[1]!龙魂分图属性,K$4,FALSE)*(AI33*$AG33)/IF(SUMPRODUCT(AI$6:AI$96*$AG$6:$AG$96)=0,1,SUMPRODUCT(AI$6:AI$96*$AG$6:$AG$96))</f>
        <v>172.5974322210028</v>
      </c>
      <c r="L33" s="1">
        <f>VLOOKUP($J$3,[1]!龙魂分图属性,L$4,FALSE)*(AJ33*$AG33)/IF(SUMPRODUCT(AJ$6:AJ$96*$AG$6:$AG$96)=0,1,SUMPRODUCT(AJ$6:AJ$96*$AG$6:$AG$96))</f>
        <v>0</v>
      </c>
      <c r="M33" s="1">
        <f>VLOOKUP($J$3,[1]!龙魂分图属性,M$4,FALSE)*(AK33*$AG33)/IF(SUMPRODUCT(AK$6:AK$96*$AG$6:$AG$96)=0,1,SUMPRODUCT(AK$6:AK$96*$AG$6:$AG$96))</f>
        <v>0</v>
      </c>
      <c r="N33" s="1">
        <f>VLOOKUP($J$3,[1]!龙魂分图属性,N$4,FALSE)*(AL33*$AG33)/IF(SUMPRODUCT(AL$6:AL$96*$AG$6:$AG$96)=0,1,SUMPRODUCT(AL$6:AL$96*$AG$6:$AG$96))</f>
        <v>0</v>
      </c>
      <c r="O33" s="1">
        <f>VLOOKUP($J$3,[1]!龙魂分图属性,O$4,FALSE)*(AM33*$AG33)/IF(SUMPRODUCT(AM$6:AM$96*$AG$6:$AG$96)=0,1,SUMPRODUCT(AM$6:AM$96*$AG$6:$AG$96))</f>
        <v>0</v>
      </c>
      <c r="P33" s="1">
        <f>VLOOKUP($J$3,[1]!龙魂分图属性,P$4,FALSE)*(AN33*$AG33)/IF(SUMPRODUCT(AN$6:AN$96*$AG$6:$AG$96)=0,1,SUMPRODUCT(AN$6:AN$96*$AG$6:$AG$96))</f>
        <v>0</v>
      </c>
      <c r="Q33" s="1">
        <f>VLOOKUP($J$3,[1]!龙魂分图属性,Q$4,FALSE)*(AO33*$AG33)/IF(SUMPRODUCT(AO$6:AO$96*$AG$6:$AG$96)=0,1,SUMPRODUCT(AO$6:AO$96*$AG$6:$AG$96))</f>
        <v>0</v>
      </c>
      <c r="R33" s="1">
        <f t="shared" si="9"/>
        <v>1</v>
      </c>
      <c r="S33" s="1" t="str">
        <f t="array" aca="1" ref="S33" ca="1">OFFSET($I$5,0,MATCH(1,1/(J33:Q33&gt;0),0))</f>
        <v>攻击</v>
      </c>
      <c r="T33" s="1">
        <f t="shared" si="14"/>
        <v>173</v>
      </c>
      <c r="U33" s="1">
        <f t="shared" si="15"/>
        <v>0.38033936040470084</v>
      </c>
      <c r="V33" s="19">
        <f t="shared" si="10"/>
        <v>172.5974322210028</v>
      </c>
      <c r="W33" s="18">
        <f t="shared" si="16"/>
        <v>46</v>
      </c>
      <c r="X33" s="1">
        <f>(VLOOKUP(W33,[2]龙魂的投放!$G$17:$L$117,6,FALSE)+SUMIF(龙魂整图属性辅助表!$E$12:$E$17,H33,龙魂整图属性辅助表!$T$12:$T$17)/COUNTIF($H$6:$H$96,H33))/INDEX($C$1:$C$2,G33)</f>
        <v>453.79850257241367</v>
      </c>
      <c r="Y33" s="1">
        <f t="shared" si="17"/>
        <v>0.4</v>
      </c>
      <c r="Z33" s="1">
        <f t="shared" ca="1" si="27"/>
        <v>194</v>
      </c>
      <c r="AA33" s="1">
        <f t="shared" si="19"/>
        <v>2.5</v>
      </c>
      <c r="AB33" s="18">
        <f t="shared" si="20"/>
        <v>4</v>
      </c>
      <c r="AC33" s="1">
        <f t="shared" ca="1" si="21"/>
        <v>776</v>
      </c>
      <c r="AD33" s="21">
        <f t="shared" si="24"/>
        <v>2</v>
      </c>
      <c r="AE33" s="21">
        <f t="shared" si="22"/>
        <v>182</v>
      </c>
      <c r="AF33">
        <v>0.67500000000000004</v>
      </c>
      <c r="AG33">
        <f t="shared" si="11"/>
        <v>5.0250000000000004</v>
      </c>
      <c r="AH33" s="1"/>
      <c r="AI33" s="1">
        <v>1</v>
      </c>
      <c r="AJ33" s="1"/>
      <c r="AK33" s="1"/>
      <c r="AL33" s="1"/>
      <c r="AM33" s="1"/>
      <c r="AN33" s="1"/>
      <c r="AO33" s="1"/>
      <c r="AY33" s="1">
        <v>1019</v>
      </c>
      <c r="AZ33" s="1" t="s">
        <v>12</v>
      </c>
      <c r="BA33" s="1">
        <v>3</v>
      </c>
      <c r="BB33" s="1">
        <v>1018</v>
      </c>
      <c r="BC33" s="1">
        <v>19</v>
      </c>
      <c r="BD33" s="1">
        <v>1</v>
      </c>
      <c r="BE33" s="1">
        <v>1002</v>
      </c>
      <c r="BF33" s="1">
        <v>48</v>
      </c>
      <c r="BG33" s="1">
        <v>0</v>
      </c>
      <c r="BH33" s="1">
        <v>0</v>
      </c>
      <c r="BI33" s="1">
        <v>0</v>
      </c>
      <c r="BJ33" s="1">
        <v>322.60399325840365</v>
      </c>
      <c r="BK33" s="1">
        <v>0</v>
      </c>
      <c r="BL33" s="1">
        <v>0</v>
      </c>
      <c r="BM33" s="1">
        <v>0</v>
      </c>
      <c r="BN33" s="1">
        <v>0</v>
      </c>
      <c r="BO33" s="1">
        <v>1</v>
      </c>
      <c r="BP33" s="1" t="s">
        <v>93</v>
      </c>
      <c r="BQ33" s="1">
        <v>323</v>
      </c>
      <c r="BR33" s="1"/>
      <c r="BS33" s="1">
        <v>52.386827077849254</v>
      </c>
      <c r="BT33" s="1">
        <v>167.13897028584</v>
      </c>
      <c r="BU33" s="1"/>
      <c r="BV33" s="1">
        <v>468</v>
      </c>
      <c r="BX33" s="1"/>
      <c r="BY33" s="1"/>
      <c r="BZ33" s="1"/>
      <c r="CA33" s="1">
        <v>1</v>
      </c>
      <c r="CB33" s="1"/>
      <c r="CC33" s="1"/>
      <c r="CD33" s="1"/>
      <c r="CE33" s="1"/>
    </row>
    <row r="34" spans="1:83">
      <c r="A34">
        <v>29</v>
      </c>
      <c r="B34" s="1">
        <f t="shared" si="12"/>
        <v>2010</v>
      </c>
      <c r="C34" s="1" t="s">
        <v>13</v>
      </c>
      <c r="D34" s="1">
        <v>3</v>
      </c>
      <c r="E34" s="1">
        <f t="shared" si="23"/>
        <v>1019</v>
      </c>
      <c r="F34" s="1">
        <f>SUMIF($G$6:G34,G34,$G$6:$G$78)/G34</f>
        <v>10</v>
      </c>
      <c r="G34" s="1">
        <v>2</v>
      </c>
      <c r="H34" s="1">
        <v>1002</v>
      </c>
      <c r="I34" s="1">
        <f t="shared" ca="1" si="13"/>
        <v>46</v>
      </c>
      <c r="J34" s="1">
        <f>VLOOKUP($J$3,[1]!龙魂分图属性,J$4,FALSE)*(AH34*$AG34)/IF(SUMPRODUCT(AH$6:AH$96*$AG$6:$AG$96)=0,1,SUMPRODUCT(AH$6:AH$96*$AG$6:$AG$96))</f>
        <v>0</v>
      </c>
      <c r="K34" s="1">
        <f>VLOOKUP($J$3,[1]!龙魂分图属性,K$4,FALSE)*(AI34*$AG34)/IF(SUMPRODUCT(AI$6:AI$96*$AG$6:$AG$96)=0,1,SUMPRODUCT(AI$6:AI$96*$AG$6:$AG$96))</f>
        <v>0</v>
      </c>
      <c r="L34" s="1">
        <f>VLOOKUP($J$3,[1]!龙魂分图属性,L$4,FALSE)*(AJ34*$AG34)/IF(SUMPRODUCT(AJ$6:AJ$96*$AG$6:$AG$96)=0,1,SUMPRODUCT(AJ$6:AJ$96*$AG$6:$AG$96))</f>
        <v>0</v>
      </c>
      <c r="M34" s="1">
        <f>VLOOKUP($J$3,[1]!龙魂分图属性,M$4,FALSE)*(AK34*$AG34)/IF(SUMPRODUCT(AK$6:AK$96*$AG$6:$AG$96)=0,1,SUMPRODUCT(AK$6:AK$96*$AG$6:$AG$96))</f>
        <v>0</v>
      </c>
      <c r="N34" s="1">
        <f>VLOOKUP($J$3,[1]!龙魂分图属性,N$4,FALSE)*(AL34*$AG34)/IF(SUMPRODUCT(AL$6:AL$96*$AG$6:$AG$96)=0,1,SUMPRODUCT(AL$6:AL$96*$AG$6:$AG$96))</f>
        <v>0</v>
      </c>
      <c r="O34" s="1">
        <f>VLOOKUP($J$3,[1]!龙魂分图属性,O$4,FALSE)*(AM34*$AG34)/IF(SUMPRODUCT(AM$6:AM$96*$AG$6:$AG$96)=0,1,SUMPRODUCT(AM$6:AM$96*$AG$6:$AG$96))</f>
        <v>964.48428457959835</v>
      </c>
      <c r="P34" s="1">
        <f>VLOOKUP($J$3,[1]!龙魂分图属性,P$4,FALSE)*(AN34*$AG34)/IF(SUMPRODUCT(AN$6:AN$96*$AG$6:$AG$96)=0,1,SUMPRODUCT(AN$6:AN$96*$AG$6:$AG$96))</f>
        <v>0</v>
      </c>
      <c r="Q34" s="1">
        <f>VLOOKUP($J$3,[1]!龙魂分图属性,Q$4,FALSE)*(AO34*$AG34)/IF(SUMPRODUCT(AO$6:AO$96*$AG$6:$AG$96)=0,1,SUMPRODUCT(AO$6:AO$96*$AG$6:$AG$96))</f>
        <v>0</v>
      </c>
      <c r="R34" s="1">
        <f t="shared" si="9"/>
        <v>1</v>
      </c>
      <c r="S34" s="1" t="str">
        <f t="array" aca="1" ref="S34" ca="1">OFFSET($I$5,0,MATCH(1,1/(J34:Q34&gt;0),0))</f>
        <v>暴击值</v>
      </c>
      <c r="T34" s="1">
        <f t="shared" si="14"/>
        <v>964</v>
      </c>
      <c r="U34" s="1">
        <f t="shared" ca="1" si="15"/>
        <v>0.15818524474511064</v>
      </c>
      <c r="V34" s="19">
        <f t="shared" si="10"/>
        <v>173.60717122432769</v>
      </c>
      <c r="W34" s="18">
        <f t="shared" ca="1" si="16"/>
        <v>47</v>
      </c>
      <c r="X34" s="1">
        <f ca="1">(VLOOKUP(W34,[2]龙魂的投放!$G$17:$L$117,6,FALSE)+SUMIF(龙魂整图属性辅助表!$E$12:$E$17,H34,龙魂整图属性辅助表!$T$12:$T$17)/COUNTIF($H$6:$H$96,H34))/INDEX($C$1:$C$2,G34)</f>
        <v>1097.4928256049857</v>
      </c>
      <c r="Y34" s="1">
        <f t="shared" ca="1" si="17"/>
        <v>0.23404255319148937</v>
      </c>
      <c r="Z34" s="1">
        <f ca="1">AE35</f>
        <v>254</v>
      </c>
      <c r="AA34" s="1">
        <f t="shared" ca="1" si="19"/>
        <v>4.2727272727272725</v>
      </c>
      <c r="AB34" s="18">
        <f t="shared" ca="1" si="20"/>
        <v>7</v>
      </c>
      <c r="AC34" s="1">
        <f t="shared" ca="1" si="21"/>
        <v>1778</v>
      </c>
      <c r="AD34" s="21">
        <f t="shared" ca="1" si="24"/>
        <v>3</v>
      </c>
      <c r="AE34" s="21">
        <f t="shared" ca="1" si="22"/>
        <v>270</v>
      </c>
      <c r="AF34">
        <v>0.7</v>
      </c>
      <c r="AG34">
        <f t="shared" si="11"/>
        <v>5.0999999999999996</v>
      </c>
      <c r="AH34" s="1"/>
      <c r="AI34" s="1"/>
      <c r="AJ34" s="1"/>
      <c r="AK34" s="1"/>
      <c r="AL34" s="1"/>
      <c r="AM34" s="1">
        <v>1.5</v>
      </c>
      <c r="AN34" s="1"/>
      <c r="AO34" s="1"/>
      <c r="AY34" s="1">
        <v>2010</v>
      </c>
      <c r="AZ34" s="1" t="s">
        <v>103</v>
      </c>
      <c r="BA34" s="1">
        <v>3</v>
      </c>
      <c r="BB34" s="1">
        <v>1019</v>
      </c>
      <c r="BC34" s="1">
        <v>10</v>
      </c>
      <c r="BD34" s="1">
        <v>2</v>
      </c>
      <c r="BE34" s="1">
        <v>1002</v>
      </c>
      <c r="BF34" s="1">
        <v>49</v>
      </c>
      <c r="BG34" s="1">
        <v>5184.0524313821415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1</v>
      </c>
      <c r="BP34" s="1" t="s">
        <v>90</v>
      </c>
      <c r="BQ34" s="1">
        <v>5184</v>
      </c>
      <c r="BR34" s="1"/>
      <c r="BS34" s="1">
        <v>211.72651149053505</v>
      </c>
      <c r="BT34" s="1">
        <v>367.95947297751712</v>
      </c>
      <c r="BU34" s="1"/>
      <c r="BV34" s="1">
        <v>711</v>
      </c>
      <c r="BX34" s="1"/>
      <c r="BY34" s="1"/>
      <c r="BZ34" s="1">
        <v>1.5</v>
      </c>
      <c r="CA34" s="1"/>
      <c r="CB34" s="1"/>
      <c r="CC34" s="1"/>
      <c r="CD34" s="1"/>
      <c r="CE34" s="1"/>
    </row>
    <row r="35" spans="1:83">
      <c r="A35">
        <v>30</v>
      </c>
      <c r="B35" s="1">
        <f t="shared" si="12"/>
        <v>2011</v>
      </c>
      <c r="C35" s="1" t="s">
        <v>14</v>
      </c>
      <c r="D35" s="1">
        <v>3</v>
      </c>
      <c r="E35" s="1">
        <f t="shared" si="23"/>
        <v>2010</v>
      </c>
      <c r="F35" s="1">
        <f>SUMIF($G$6:G35,G35,$G$6:$G$78)/G35</f>
        <v>11</v>
      </c>
      <c r="G35" s="1">
        <v>2</v>
      </c>
      <c r="H35" s="1">
        <v>1002</v>
      </c>
      <c r="I35" s="1">
        <f t="shared" ca="1" si="13"/>
        <v>46</v>
      </c>
      <c r="J35" s="1">
        <f>VLOOKUP($J$3,[1]!龙魂分图属性,J$4,FALSE)*(AH35*$AG35)/IF(SUMPRODUCT(AH$6:AH$96*$AG$6:$AG$96)=0,1,SUMPRODUCT(AH$6:AH$96*$AG$6:$AG$96))</f>
        <v>0</v>
      </c>
      <c r="K35" s="1">
        <f>VLOOKUP($J$3,[1]!龙魂分图属性,K$4,FALSE)*(AI35*$AG35)/IF(SUMPRODUCT(AI$6:AI$96*$AG$6:$AG$96)=0,1,SUMPRODUCT(AI$6:AI$96*$AG$6:$AG$96))</f>
        <v>266.62439156528046</v>
      </c>
      <c r="L35" s="1">
        <f>VLOOKUP($J$3,[1]!龙魂分图属性,L$4,FALSE)*(AJ35*$AG35)/IF(SUMPRODUCT(AJ$6:AJ$96*$AG$6:$AG$96)=0,1,SUMPRODUCT(AJ$6:AJ$96*$AG$6:$AG$96))</f>
        <v>0</v>
      </c>
      <c r="M35" s="1">
        <f>VLOOKUP($J$3,[1]!龙魂分图属性,M$4,FALSE)*(AK35*$AG35)/IF(SUMPRODUCT(AK$6:AK$96*$AG$6:$AG$96)=0,1,SUMPRODUCT(AK$6:AK$96*$AG$6:$AG$96))</f>
        <v>0</v>
      </c>
      <c r="N35" s="1">
        <f>VLOOKUP($J$3,[1]!龙魂分图属性,N$4,FALSE)*(AL35*$AG35)/IF(SUMPRODUCT(AL$6:AL$96*$AG$6:$AG$96)=0,1,SUMPRODUCT(AL$6:AL$96*$AG$6:$AG$96))</f>
        <v>0</v>
      </c>
      <c r="O35" s="1">
        <f>VLOOKUP($J$3,[1]!龙魂分图属性,O$4,FALSE)*(AM35*$AG35)/IF(SUMPRODUCT(AM$6:AM$96*$AG$6:$AG$96)=0,1,SUMPRODUCT(AM$6:AM$96*$AG$6:$AG$96))</f>
        <v>0</v>
      </c>
      <c r="P35" s="1">
        <f>VLOOKUP($J$3,[1]!龙魂分图属性,P$4,FALSE)*(AN35*$AG35)/IF(SUMPRODUCT(AN$6:AN$96*$AG$6:$AG$96)=0,1,SUMPRODUCT(AN$6:AN$96*$AG$6:$AG$96))</f>
        <v>0</v>
      </c>
      <c r="Q35" s="1">
        <f>VLOOKUP($J$3,[1]!龙魂分图属性,Q$4,FALSE)*(AO35*$AG35)/IF(SUMPRODUCT(AO$6:AO$96*$AG$6:$AG$96)=0,1,SUMPRODUCT(AO$6:AO$96*$AG$6:$AG$96))</f>
        <v>0</v>
      </c>
      <c r="R35" s="1">
        <f t="shared" si="9"/>
        <v>1</v>
      </c>
      <c r="S35" s="1" t="str">
        <f t="array" aca="1" ref="S35" ca="1">OFFSET($I$5,0,MATCH(1,1/(J35:Q35&gt;0),0))</f>
        <v>攻击</v>
      </c>
      <c r="T35" s="1">
        <f t="shared" si="14"/>
        <v>267</v>
      </c>
      <c r="U35" s="1">
        <f t="shared" ca="1" si="15"/>
        <v>0.23963669883856259</v>
      </c>
      <c r="V35" s="19">
        <f t="shared" si="10"/>
        <v>266.62439156528046</v>
      </c>
      <c r="W35" s="18">
        <f t="shared" ca="1" si="16"/>
        <v>48</v>
      </c>
      <c r="X35" s="1">
        <f ca="1">(VLOOKUP(W35,[2]龙魂的投放!$G$17:$L$117,6,FALSE)+SUMIF(龙魂整图属性辅助表!$E$12:$E$17,H35,龙魂整图属性辅助表!$T$12:$T$17)/COUNTIF($H$6:$H$96,H35))/INDEX($C$1:$C$2,G35)</f>
        <v>1112.6191975499496</v>
      </c>
      <c r="Y35" s="1">
        <f t="shared" ca="1" si="17"/>
        <v>0.20754716981132071</v>
      </c>
      <c r="Z35" s="1">
        <f ca="1">AE34</f>
        <v>270</v>
      </c>
      <c r="AA35" s="1">
        <f t="shared" ca="1" si="19"/>
        <v>4.8181818181818192</v>
      </c>
      <c r="AB35" s="18">
        <f t="shared" ca="1" si="20"/>
        <v>7</v>
      </c>
      <c r="AC35" s="1">
        <f t="shared" ca="1" si="21"/>
        <v>1890</v>
      </c>
      <c r="AD35" s="21">
        <f t="shared" ca="1" si="24"/>
        <v>4</v>
      </c>
      <c r="AE35" s="21">
        <f t="shared" ca="1" si="22"/>
        <v>254</v>
      </c>
      <c r="AF35">
        <v>0.72499999999999998</v>
      </c>
      <c r="AG35">
        <f t="shared" si="11"/>
        <v>5.1750000000000007</v>
      </c>
      <c r="AH35" s="1"/>
      <c r="AI35" s="1">
        <v>1.5</v>
      </c>
      <c r="AJ35" s="1"/>
      <c r="AK35" s="1"/>
      <c r="AL35" s="1"/>
      <c r="AM35" s="1"/>
      <c r="AN35" s="1"/>
      <c r="AO35" s="1"/>
      <c r="AY35" s="1">
        <v>2011</v>
      </c>
      <c r="AZ35" s="1" t="s">
        <v>14</v>
      </c>
      <c r="BA35" s="1">
        <v>3</v>
      </c>
      <c r="BB35" s="1">
        <v>2010</v>
      </c>
      <c r="BC35" s="1">
        <v>11</v>
      </c>
      <c r="BD35" s="1">
        <v>2</v>
      </c>
      <c r="BE35" s="1">
        <v>1002</v>
      </c>
      <c r="BF35" s="1">
        <v>50</v>
      </c>
      <c r="BG35" s="1">
        <v>0</v>
      </c>
      <c r="BH35" s="1">
        <v>135.95209600869862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1</v>
      </c>
      <c r="BP35" s="1" t="s">
        <v>91</v>
      </c>
      <c r="BQ35" s="1">
        <v>136</v>
      </c>
      <c r="BR35" s="1"/>
      <c r="BS35" s="1">
        <v>135.95209600869862</v>
      </c>
      <c r="BT35" s="1">
        <v>405.03472506244958</v>
      </c>
      <c r="BU35" s="1"/>
      <c r="BV35" s="1">
        <v>720.00000000000011</v>
      </c>
      <c r="BX35" s="1"/>
      <c r="BY35" s="1">
        <v>1.5</v>
      </c>
      <c r="BZ35" s="1"/>
      <c r="CA35" s="1"/>
      <c r="CB35" s="1"/>
      <c r="CC35" s="1"/>
      <c r="CD35" s="1"/>
      <c r="CE35" s="1"/>
    </row>
    <row r="36" spans="1:83">
      <c r="A36">
        <v>31</v>
      </c>
      <c r="B36" s="1">
        <f t="shared" si="12"/>
        <v>2012</v>
      </c>
      <c r="C36" s="1" t="s">
        <v>15</v>
      </c>
      <c r="D36" s="1">
        <v>3</v>
      </c>
      <c r="E36" s="1">
        <f t="shared" si="23"/>
        <v>2011</v>
      </c>
      <c r="F36" s="1">
        <f>SUMIF($G$6:G36,G36,$G$6:$G$78)/G36</f>
        <v>12</v>
      </c>
      <c r="G36" s="1">
        <v>2</v>
      </c>
      <c r="H36" s="1">
        <v>1002</v>
      </c>
      <c r="I36" s="1">
        <f t="shared" ca="1" si="13"/>
        <v>46</v>
      </c>
      <c r="J36" s="1">
        <f>VLOOKUP($J$3,[1]!龙魂分图属性,J$4,FALSE)*(AH36*$AG36)/IF(SUMPRODUCT(AH$6:AH$96*$AG$6:$AG$96)=0,1,SUMPRODUCT(AH$6:AH$96*$AG$6:$AG$96))</f>
        <v>0</v>
      </c>
      <c r="K36" s="1">
        <f>VLOOKUP($J$3,[1]!龙魂分图属性,K$4,FALSE)*(AI36*$AG36)/IF(SUMPRODUCT(AI$6:AI$96*$AG$6:$AG$96)=0,1,SUMPRODUCT(AI$6:AI$96*$AG$6:$AG$96))</f>
        <v>0</v>
      </c>
      <c r="L36" s="1">
        <f>VLOOKUP($J$3,[1]!龙魂分图属性,L$4,FALSE)*(AJ36*$AG36)/IF(SUMPRODUCT(AJ$6:AJ$96*$AG$6:$AG$96)=0,1,SUMPRODUCT(AJ$6:AJ$96*$AG$6:$AG$96))</f>
        <v>268.04929774785575</v>
      </c>
      <c r="M36" s="1">
        <f>VLOOKUP($J$3,[1]!龙魂分图属性,M$4,FALSE)*(AK36*$AG36)/IF(SUMPRODUCT(AK$6:AK$96*$AG$6:$AG$96)=0,1,SUMPRODUCT(AK$6:AK$96*$AG$6:$AG$96))</f>
        <v>0</v>
      </c>
      <c r="N36" s="1">
        <f>VLOOKUP($J$3,[1]!龙魂分图属性,N$4,FALSE)*(AL36*$AG36)/IF(SUMPRODUCT(AL$6:AL$96*$AG$6:$AG$96)=0,1,SUMPRODUCT(AL$6:AL$96*$AG$6:$AG$96))</f>
        <v>0</v>
      </c>
      <c r="O36" s="1">
        <f>VLOOKUP($J$3,[1]!龙魂分图属性,O$4,FALSE)*(AM36*$AG36)/IF(SUMPRODUCT(AM$6:AM$96*$AG$6:$AG$96)=0,1,SUMPRODUCT(AM$6:AM$96*$AG$6:$AG$96))</f>
        <v>0</v>
      </c>
      <c r="P36" s="1">
        <f>VLOOKUP($J$3,[1]!龙魂分图属性,P$4,FALSE)*(AN36*$AG36)/IF(SUMPRODUCT(AN$6:AN$96*$AG$6:$AG$96)=0,1,SUMPRODUCT(AN$6:AN$96*$AG$6:$AG$96))</f>
        <v>0</v>
      </c>
      <c r="Q36" s="1">
        <f>VLOOKUP($J$3,[1]!龙魂分图属性,Q$4,FALSE)*(AO36*$AG36)/IF(SUMPRODUCT(AO$6:AO$96*$AG$6:$AG$96)=0,1,SUMPRODUCT(AO$6:AO$96*$AG$6:$AG$96))</f>
        <v>0</v>
      </c>
      <c r="R36" s="1">
        <f t="shared" si="9"/>
        <v>1</v>
      </c>
      <c r="S36" s="1" t="str">
        <f t="array" aca="1" ref="S36" ca="1">OFFSET($I$5,0,MATCH(1,1/(J36:Q36&gt;0),0))</f>
        <v>防御</v>
      </c>
      <c r="T36" s="1">
        <f t="shared" si="14"/>
        <v>268</v>
      </c>
      <c r="U36" s="1">
        <f t="shared" ca="1" si="15"/>
        <v>0.21217073747588563</v>
      </c>
      <c r="V36" s="19">
        <f t="shared" si="10"/>
        <v>268.04929774785575</v>
      </c>
      <c r="W36" s="18">
        <f t="shared" ca="1" si="16"/>
        <v>49</v>
      </c>
      <c r="X36" s="1">
        <f ca="1">(VLOOKUP(W36,[2]龙魂的投放!$G$17:$L$117,6,FALSE)+SUMIF(龙魂整图属性辅助表!$E$12:$E$17,H36,龙魂整图属性辅助表!$T$12:$T$17)/COUNTIF($H$6:$H$96,H36))/INDEX($C$1:$C$2,G36)</f>
        <v>1263.3660086057862</v>
      </c>
      <c r="Y36" s="1">
        <f t="shared" ca="1" si="17"/>
        <v>0.18644067796610164</v>
      </c>
      <c r="Z36" s="1">
        <f ca="1">AE36</f>
        <v>271</v>
      </c>
      <c r="AA36" s="1">
        <f t="shared" ca="1" si="19"/>
        <v>5.3636363636363651</v>
      </c>
      <c r="AB36" s="18">
        <f t="shared" ca="1" si="20"/>
        <v>8</v>
      </c>
      <c r="AC36" s="1">
        <f t="shared" ca="1" si="21"/>
        <v>2168</v>
      </c>
      <c r="AD36" s="21">
        <f t="shared" ca="1" si="24"/>
        <v>5</v>
      </c>
      <c r="AE36" s="21">
        <f t="shared" ca="1" si="22"/>
        <v>271</v>
      </c>
      <c r="AF36">
        <v>0.75</v>
      </c>
      <c r="AG36">
        <f t="shared" si="11"/>
        <v>5.25</v>
      </c>
      <c r="AH36" s="1"/>
      <c r="AI36" s="1"/>
      <c r="AJ36" s="1">
        <v>1.5</v>
      </c>
      <c r="AK36" s="1"/>
      <c r="AL36" s="1"/>
      <c r="AM36" s="1"/>
      <c r="AN36" s="1"/>
      <c r="AO36" s="1"/>
      <c r="AY36" s="1">
        <v>2012</v>
      </c>
      <c r="AZ36" s="1" t="s">
        <v>15</v>
      </c>
      <c r="BA36" s="1">
        <v>3</v>
      </c>
      <c r="BB36" s="1">
        <v>2011</v>
      </c>
      <c r="BC36" s="1">
        <v>12</v>
      </c>
      <c r="BD36" s="1">
        <v>2</v>
      </c>
      <c r="BE36" s="1">
        <v>1002</v>
      </c>
      <c r="BF36" s="1">
        <v>51</v>
      </c>
      <c r="BG36" s="1">
        <v>0</v>
      </c>
      <c r="BH36" s="1">
        <v>0</v>
      </c>
      <c r="BI36" s="1">
        <v>75.715213414066142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1</v>
      </c>
      <c r="BP36" s="1" t="s">
        <v>92</v>
      </c>
      <c r="BQ36" s="1">
        <v>76</v>
      </c>
      <c r="BR36" s="1"/>
      <c r="BS36" s="1">
        <v>75.715213414066142</v>
      </c>
      <c r="BT36" s="1">
        <v>445.84564484480057</v>
      </c>
      <c r="BU36" s="1"/>
      <c r="BV36" s="1">
        <v>729.00000000000011</v>
      </c>
      <c r="BX36" s="1">
        <v>1.5</v>
      </c>
      <c r="BY36" s="1"/>
      <c r="BZ36" s="1"/>
      <c r="CA36" s="1"/>
      <c r="CB36" s="1"/>
      <c r="CC36" s="1"/>
      <c r="CD36" s="1"/>
      <c r="CE36" s="1"/>
    </row>
    <row r="37" spans="1:83">
      <c r="A37">
        <v>32</v>
      </c>
      <c r="B37" s="1">
        <f t="shared" si="12"/>
        <v>1020</v>
      </c>
      <c r="C37" s="1" t="s">
        <v>16</v>
      </c>
      <c r="D37" s="1">
        <v>3</v>
      </c>
      <c r="E37" s="1">
        <v>1019</v>
      </c>
      <c r="F37" s="1">
        <f>SUMIF($G$6:G37,G37,$G$6:$G$78)/G37</f>
        <v>20</v>
      </c>
      <c r="G37" s="1">
        <v>1</v>
      </c>
      <c r="H37" s="1">
        <v>1002</v>
      </c>
      <c r="I37" s="1">
        <f t="shared" si="13"/>
        <v>47</v>
      </c>
      <c r="J37" s="1">
        <f>VLOOKUP($J$3,[1]!龙魂分图属性,J$4,FALSE)*(AH37*$AG37)/IF(SUMPRODUCT(AH$6:AH$96*$AG$6:$AG$96)=0,1,SUMPRODUCT(AH$6:AH$96*$AG$6:$AG$96))</f>
        <v>4987.1698361849221</v>
      </c>
      <c r="K37" s="1">
        <f>VLOOKUP($J$3,[1]!龙魂分图属性,K$4,FALSE)*(AI37*$AG37)/IF(SUMPRODUCT(AI$6:AI$96*$AG$6:$AG$96)=0,1,SUMPRODUCT(AI$6:AI$96*$AG$6:$AG$96))</f>
        <v>0</v>
      </c>
      <c r="L37" s="1">
        <f>VLOOKUP($J$3,[1]!龙魂分图属性,L$4,FALSE)*(AJ37*$AG37)/IF(SUMPRODUCT(AJ$6:AJ$96*$AG$6:$AG$96)=0,1,SUMPRODUCT(AJ$6:AJ$96*$AG$6:$AG$96))</f>
        <v>0</v>
      </c>
      <c r="M37" s="1">
        <f>VLOOKUP($J$3,[1]!龙魂分图属性,M$4,FALSE)*(AK37*$AG37)/IF(SUMPRODUCT(AK$6:AK$96*$AG$6:$AG$96)=0,1,SUMPRODUCT(AK$6:AK$96*$AG$6:$AG$96))</f>
        <v>0</v>
      </c>
      <c r="N37" s="1">
        <f>VLOOKUP($J$3,[1]!龙魂分图属性,N$4,FALSE)*(AL37*$AG37)/IF(SUMPRODUCT(AL$6:AL$96*$AG$6:$AG$96)=0,1,SUMPRODUCT(AL$6:AL$96*$AG$6:$AG$96))</f>
        <v>0</v>
      </c>
      <c r="O37" s="1">
        <f>VLOOKUP($J$3,[1]!龙魂分图属性,O$4,FALSE)*(AM37*$AG37)/IF(SUMPRODUCT(AM$6:AM$96*$AG$6:$AG$96)=0,1,SUMPRODUCT(AM$6:AM$96*$AG$6:$AG$96))</f>
        <v>0</v>
      </c>
      <c r="P37" s="1">
        <f>VLOOKUP($J$3,[1]!龙魂分图属性,P$4,FALSE)*(AN37*$AG37)/IF(SUMPRODUCT(AN$6:AN$96*$AG$6:$AG$96)=0,1,SUMPRODUCT(AN$6:AN$96*$AG$6:$AG$96))</f>
        <v>0</v>
      </c>
      <c r="Q37" s="1">
        <f>VLOOKUP($J$3,[1]!龙魂分图属性,Q$4,FALSE)*(AO37*$AG37)/IF(SUMPRODUCT(AO$6:AO$96*$AG$6:$AG$96)=0,1,SUMPRODUCT(AO$6:AO$96*$AG$6:$AG$96))</f>
        <v>0</v>
      </c>
      <c r="R37" s="1">
        <f t="shared" si="9"/>
        <v>1</v>
      </c>
      <c r="S37" s="1" t="str">
        <f t="array" aca="1" ref="S37" ca="1">OFFSET($I$5,0,MATCH(1,1/(J37:Q37&gt;0),0))</f>
        <v>生命</v>
      </c>
      <c r="T37" s="1">
        <f t="shared" si="14"/>
        <v>4987</v>
      </c>
      <c r="U37" s="1">
        <f t="shared" si="15"/>
        <v>0.36353184056110999</v>
      </c>
      <c r="V37" s="19">
        <f t="shared" si="10"/>
        <v>199.48679344739688</v>
      </c>
      <c r="W37" s="18">
        <f t="shared" si="16"/>
        <v>47</v>
      </c>
      <c r="X37" s="1">
        <f>(VLOOKUP(W37,[2]龙魂的投放!$G$17:$L$117,6,FALSE)+SUMIF(龙魂整图属性辅助表!$E$12:$E$17,H37,龙魂整图属性辅助表!$T$12:$T$17)/COUNTIF($H$6:$H$96,H37))/INDEX($C$1:$C$2,G37)</f>
        <v>548.74641280249284</v>
      </c>
      <c r="Y37" s="1">
        <f t="shared" si="17"/>
        <v>0.34782608695652173</v>
      </c>
      <c r="Z37" s="1">
        <f t="shared" ca="1" si="27"/>
        <v>200</v>
      </c>
      <c r="AA37" s="1">
        <f t="shared" si="19"/>
        <v>2.875</v>
      </c>
      <c r="AB37" s="18">
        <f t="shared" si="20"/>
        <v>4</v>
      </c>
      <c r="AC37" s="1">
        <f t="shared" ca="1" si="21"/>
        <v>800</v>
      </c>
      <c r="AD37" s="21">
        <f t="shared" si="24"/>
        <v>3</v>
      </c>
      <c r="AE37" s="21">
        <f t="shared" si="22"/>
        <v>200</v>
      </c>
      <c r="AF37">
        <v>0.77500000000000002</v>
      </c>
      <c r="AG37">
        <f t="shared" si="11"/>
        <v>5.3249999999999993</v>
      </c>
      <c r="AH37" s="1">
        <v>1</v>
      </c>
      <c r="AI37" s="1"/>
      <c r="AJ37" s="1"/>
      <c r="AK37" s="1"/>
      <c r="AL37" s="1"/>
      <c r="AM37" s="1"/>
      <c r="AN37" s="1"/>
      <c r="AO37" s="1"/>
      <c r="AY37" s="1">
        <v>1020</v>
      </c>
      <c r="AZ37" s="1" t="s">
        <v>16</v>
      </c>
      <c r="BA37" s="1">
        <v>3</v>
      </c>
      <c r="BB37" s="1">
        <v>1019</v>
      </c>
      <c r="BC37" s="1">
        <v>20</v>
      </c>
      <c r="BD37" s="1">
        <v>1</v>
      </c>
      <c r="BE37" s="1">
        <v>1002</v>
      </c>
      <c r="BF37" s="1">
        <v>49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599.19620021921799</v>
      </c>
      <c r="BO37" s="1">
        <v>1</v>
      </c>
      <c r="BP37" s="1" t="s">
        <v>97</v>
      </c>
      <c r="BQ37" s="1">
        <v>599</v>
      </c>
      <c r="BR37" s="1"/>
      <c r="BS37" s="1">
        <v>47.847923234811766</v>
      </c>
      <c r="BT37" s="1">
        <v>183.97973648875856</v>
      </c>
      <c r="BU37" s="1"/>
      <c r="BV37" s="1">
        <v>492</v>
      </c>
      <c r="BX37" s="1"/>
      <c r="BY37" s="1"/>
      <c r="BZ37" s="1"/>
      <c r="CA37" s="1"/>
      <c r="CB37" s="1"/>
      <c r="CC37" s="1"/>
      <c r="CD37" s="1"/>
      <c r="CE37" s="1">
        <v>1</v>
      </c>
    </row>
    <row r="38" spans="1:83">
      <c r="A38">
        <v>33</v>
      </c>
      <c r="B38" s="1">
        <f t="shared" si="12"/>
        <v>1021</v>
      </c>
      <c r="C38" s="1" t="s">
        <v>49</v>
      </c>
      <c r="D38" s="1">
        <v>3</v>
      </c>
      <c r="E38" s="1">
        <f t="shared" si="23"/>
        <v>1020</v>
      </c>
      <c r="F38" s="1">
        <f>SUMIF($G$6:G38,G38,$G$6:$G$78)/G38</f>
        <v>21</v>
      </c>
      <c r="G38" s="1">
        <v>1</v>
      </c>
      <c r="H38" s="1">
        <v>1002</v>
      </c>
      <c r="I38" s="1">
        <f t="shared" si="13"/>
        <v>48</v>
      </c>
      <c r="J38" s="1">
        <f>VLOOKUP($J$3,[1]!龙魂分图属性,J$4,FALSE)*(AH38*$AG38)/IF(SUMPRODUCT(AH$6:AH$96*$AG$6:$AG$96)=0,1,SUMPRODUCT(AH$6:AH$96*$AG$6:$AG$96))</f>
        <v>0</v>
      </c>
      <c r="K38" s="1">
        <f>VLOOKUP($J$3,[1]!龙魂分图属性,K$4,FALSE)*(AI38*$AG38)/IF(SUMPRODUCT(AI$6:AI$96*$AG$6:$AG$96)=0,1,SUMPRODUCT(AI$6:AI$96*$AG$6:$AG$96))</f>
        <v>0</v>
      </c>
      <c r="L38" s="1">
        <f>VLOOKUP($J$3,[1]!龙魂分图属性,L$4,FALSE)*(AJ38*$AG38)/IF(SUMPRODUCT(AJ$6:AJ$96*$AG$6:$AG$96)=0,1,SUMPRODUCT(AJ$6:AJ$96*$AG$6:$AG$96))</f>
        <v>183.80523274138682</v>
      </c>
      <c r="M38" s="1">
        <f>VLOOKUP($J$3,[1]!龙魂分图属性,M$4,FALSE)*(AK38*$AG38)/IF(SUMPRODUCT(AK$6:AK$96*$AG$6:$AG$96)=0,1,SUMPRODUCT(AK$6:AK$96*$AG$6:$AG$96))</f>
        <v>0</v>
      </c>
      <c r="N38" s="1">
        <f>VLOOKUP($J$3,[1]!龙魂分图属性,N$4,FALSE)*(AL38*$AG38)/IF(SUMPRODUCT(AL$6:AL$96*$AG$6:$AG$96)=0,1,SUMPRODUCT(AL$6:AL$96*$AG$6:$AG$96))</f>
        <v>0</v>
      </c>
      <c r="O38" s="1">
        <f>VLOOKUP($J$3,[1]!龙魂分图属性,O$4,FALSE)*(AM38*$AG38)/IF(SUMPRODUCT(AM$6:AM$96*$AG$6:$AG$96)=0,1,SUMPRODUCT(AM$6:AM$96*$AG$6:$AG$96))</f>
        <v>0</v>
      </c>
      <c r="P38" s="1">
        <f>VLOOKUP($J$3,[1]!龙魂分图属性,P$4,FALSE)*(AN38*$AG38)/IF(SUMPRODUCT(AN$6:AN$96*$AG$6:$AG$96)=0,1,SUMPRODUCT(AN$6:AN$96*$AG$6:$AG$96))</f>
        <v>0</v>
      </c>
      <c r="Q38" s="1">
        <f>VLOOKUP($J$3,[1]!龙魂分图属性,Q$4,FALSE)*(AO38*$AG38)/IF(SUMPRODUCT(AO$6:AO$96*$AG$6:$AG$96)=0,1,SUMPRODUCT(AO$6:AO$96*$AG$6:$AG$96))</f>
        <v>0</v>
      </c>
      <c r="R38" s="1">
        <f t="shared" ref="R38:R69" si="28">COUNTIF(J38:Q38,"&gt;0")</f>
        <v>1</v>
      </c>
      <c r="S38" s="1" t="str">
        <f t="array" aca="1" ref="S38" ca="1">OFFSET($I$5,0,MATCH(1,1/(J38:Q38&gt;0),0))</f>
        <v>防御</v>
      </c>
      <c r="T38" s="1">
        <f t="shared" ref="T38:T69" si="29">ROUND(SUM(J38:Q38),0)</f>
        <v>184</v>
      </c>
      <c r="U38" s="1">
        <f t="shared" si="15"/>
        <v>0.33040097303037075</v>
      </c>
      <c r="V38" s="19">
        <f t="shared" ref="V38:V69" si="30">SUMPRODUCT(J38:Q38,$J$2:$Q$2)</f>
        <v>183.80523274138682</v>
      </c>
      <c r="W38" s="18">
        <f t="shared" si="16"/>
        <v>48</v>
      </c>
      <c r="X38" s="1">
        <f>(VLOOKUP(W38,[2]龙魂的投放!$G$17:$L$117,6,FALSE)+SUMIF(龙魂整图属性辅助表!$E$12:$E$17,H38,龙魂整图属性辅助表!$T$12:$T$17)/COUNTIF($H$6:$H$96,H38))/INDEX($C$1:$C$2,G38)</f>
        <v>556.3095987749748</v>
      </c>
      <c r="Y38" s="1">
        <f t="shared" si="17"/>
        <v>0.30769230769230771</v>
      </c>
      <c r="Z38" s="1">
        <f t="shared" ca="1" si="27"/>
        <v>200</v>
      </c>
      <c r="AA38" s="1">
        <f t="shared" si="19"/>
        <v>3.25</v>
      </c>
      <c r="AB38" s="18">
        <f t="shared" si="20"/>
        <v>5</v>
      </c>
      <c r="AC38" s="1">
        <f t="shared" ca="1" si="21"/>
        <v>1000</v>
      </c>
      <c r="AD38" s="21">
        <f t="shared" si="24"/>
        <v>4</v>
      </c>
      <c r="AE38" s="21">
        <f t="shared" si="22"/>
        <v>188</v>
      </c>
      <c r="AF38">
        <v>0.8</v>
      </c>
      <c r="AG38">
        <f t="shared" ref="AG38:AG69" si="31">(1+AF38)*D38</f>
        <v>5.4</v>
      </c>
      <c r="AH38" s="1"/>
      <c r="AI38" s="1"/>
      <c r="AJ38" s="1">
        <v>1</v>
      </c>
      <c r="AK38" s="1"/>
      <c r="AL38" s="1"/>
      <c r="AM38" s="1"/>
      <c r="AN38" s="1"/>
      <c r="AO38" s="1"/>
      <c r="AY38" s="1">
        <v>1021</v>
      </c>
      <c r="AZ38" s="1" t="s">
        <v>17</v>
      </c>
      <c r="BA38" s="1">
        <v>3</v>
      </c>
      <c r="BB38" s="1">
        <v>1020</v>
      </c>
      <c r="BC38" s="1">
        <v>21</v>
      </c>
      <c r="BD38" s="1">
        <v>1</v>
      </c>
      <c r="BE38" s="1">
        <v>1002</v>
      </c>
      <c r="BF38" s="1">
        <v>50</v>
      </c>
      <c r="BG38" s="1">
        <v>0</v>
      </c>
      <c r="BH38" s="1">
        <v>0</v>
      </c>
      <c r="BI38" s="1">
        <v>0</v>
      </c>
      <c r="BJ38" s="1">
        <v>343.2837364159937</v>
      </c>
      <c r="BK38" s="1">
        <v>0</v>
      </c>
      <c r="BL38" s="1">
        <v>0</v>
      </c>
      <c r="BM38" s="1">
        <v>0</v>
      </c>
      <c r="BN38" s="1">
        <v>0</v>
      </c>
      <c r="BO38" s="1">
        <v>1</v>
      </c>
      <c r="BP38" s="1" t="s">
        <v>93</v>
      </c>
      <c r="BQ38" s="1">
        <v>343</v>
      </c>
      <c r="BR38" s="1"/>
      <c r="BS38" s="1">
        <v>55.74495701873704</v>
      </c>
      <c r="BT38" s="1">
        <v>202.51736253122479</v>
      </c>
      <c r="BU38" s="1"/>
      <c r="BV38" s="1">
        <v>498.00000000000006</v>
      </c>
      <c r="BX38" s="1"/>
      <c r="BY38" s="1"/>
      <c r="BZ38" s="1"/>
      <c r="CA38" s="1">
        <v>1</v>
      </c>
      <c r="CB38" s="1"/>
      <c r="CC38" s="1"/>
      <c r="CD38" s="1"/>
      <c r="CE38" s="1"/>
    </row>
    <row r="39" spans="1:83">
      <c r="A39">
        <v>34</v>
      </c>
      <c r="B39" s="1">
        <f t="shared" si="12"/>
        <v>2013</v>
      </c>
      <c r="C39" s="1" t="s">
        <v>18</v>
      </c>
      <c r="D39" s="1">
        <v>3</v>
      </c>
      <c r="E39" s="1">
        <f t="shared" si="23"/>
        <v>1021</v>
      </c>
      <c r="F39" s="1">
        <f>SUMIF($G$6:G39,G39,$G$6:$G$78)/G39</f>
        <v>13</v>
      </c>
      <c r="G39" s="1">
        <v>2</v>
      </c>
      <c r="H39" s="1">
        <v>1002</v>
      </c>
      <c r="I39" s="1">
        <f t="shared" ca="1" si="13"/>
        <v>48</v>
      </c>
      <c r="J39" s="1">
        <f>VLOOKUP($J$3,[1]!龙魂分图属性,J$4,FALSE)*(AH39*$AG39)/IF(SUMPRODUCT(AH$6:AH$96*$AG$6:$AG$96)=0,1,SUMPRODUCT(AH$6:AH$96*$AG$6:$AG$96))</f>
        <v>0</v>
      </c>
      <c r="K39" s="1">
        <f>VLOOKUP($J$3,[1]!龙魂分图属性,K$4,FALSE)*(AI39*$AG39)/IF(SUMPRODUCT(AI$6:AI$96*$AG$6:$AG$96)=0,1,SUMPRODUCT(AI$6:AI$96*$AG$6:$AG$96))</f>
        <v>0</v>
      </c>
      <c r="L39" s="1">
        <f>VLOOKUP($J$3,[1]!龙魂分图属性,L$4,FALSE)*(AJ39*$AG39)/IF(SUMPRODUCT(AJ$6:AJ$96*$AG$6:$AG$96)=0,1,SUMPRODUCT(AJ$6:AJ$96*$AG$6:$AG$96))</f>
        <v>0</v>
      </c>
      <c r="M39" s="1">
        <f>VLOOKUP($J$3,[1]!龙魂分图属性,M$4,FALSE)*(AK39*$AG39)/IF(SUMPRODUCT(AK$6:AK$96*$AG$6:$AG$96)=0,1,SUMPRODUCT(AK$6:AK$96*$AG$6:$AG$96))</f>
        <v>0</v>
      </c>
      <c r="N39" s="1">
        <f>VLOOKUP($J$3,[1]!龙魂分图属性,N$4,FALSE)*(AL39*$AG39)/IF(SUMPRODUCT(AL$6:AL$96*$AG$6:$AG$96)=0,1,SUMPRODUCT(AL$6:AL$96*$AG$6:$AG$96))</f>
        <v>722.18118503666926</v>
      </c>
      <c r="O39" s="1">
        <f>VLOOKUP($J$3,[1]!龙魂分图属性,O$4,FALSE)*(AM39*$AG39)/IF(SUMPRODUCT(AM$6:AM$96*$AG$6:$AG$96)=0,1,SUMPRODUCT(AM$6:AM$96*$AG$6:$AG$96))</f>
        <v>0</v>
      </c>
      <c r="P39" s="1">
        <f>VLOOKUP($J$3,[1]!龙魂分图属性,P$4,FALSE)*(AN39*$AG39)/IF(SUMPRODUCT(AN$6:AN$96*$AG$6:$AG$96)=0,1,SUMPRODUCT(AN$6:AN$96*$AG$6:$AG$96))</f>
        <v>0</v>
      </c>
      <c r="Q39" s="1">
        <f>VLOOKUP($J$3,[1]!龙魂分图属性,Q$4,FALSE)*(AO39*$AG39)/IF(SUMPRODUCT(AO$6:AO$96*$AG$6:$AG$96)=0,1,SUMPRODUCT(AO$6:AO$96*$AG$6:$AG$96))</f>
        <v>0</v>
      </c>
      <c r="R39" s="1">
        <f t="shared" si="28"/>
        <v>1</v>
      </c>
      <c r="S39" s="1" t="str">
        <f t="array" aca="1" ref="S39" ca="1">OFFSET($I$5,0,MATCH(1,1/(J39:Q39&gt;0),0))</f>
        <v>命中值</v>
      </c>
      <c r="T39" s="1">
        <f t="shared" si="29"/>
        <v>722</v>
      </c>
      <c r="U39" s="1">
        <f t="shared" ca="1" si="15"/>
        <v>0.19435508098198725</v>
      </c>
      <c r="V39" s="19">
        <f t="shared" si="30"/>
        <v>245.54160291246757</v>
      </c>
      <c r="W39" s="18">
        <f t="shared" ca="1" si="16"/>
        <v>49</v>
      </c>
      <c r="X39" s="1">
        <f ca="1">(VLOOKUP(W39,[2]龙魂的投放!$G$17:$L$117,6,FALSE)+SUMIF(龙魂整图属性辅助表!$E$12:$E$17,H39,龙魂整图属性辅助表!$T$12:$T$17)/COUNTIF($H$6:$H$96,H39))/INDEX($C$1:$C$2,G39)</f>
        <v>1263.3660086057862</v>
      </c>
      <c r="Y39" s="1">
        <f t="shared" ca="1" si="17"/>
        <v>0.18644067796610164</v>
      </c>
      <c r="Z39" s="1">
        <f t="shared" ca="1" si="27"/>
        <v>203</v>
      </c>
      <c r="AA39" s="1">
        <f t="shared" ca="1" si="19"/>
        <v>5.3636363636363651</v>
      </c>
      <c r="AB39" s="18">
        <f t="shared" ca="1" si="20"/>
        <v>8</v>
      </c>
      <c r="AC39" s="1">
        <f t="shared" ca="1" si="21"/>
        <v>1624</v>
      </c>
      <c r="AD39" s="21">
        <f t="shared" ca="1" si="24"/>
        <v>5</v>
      </c>
      <c r="AE39" s="21">
        <f t="shared" ca="1" si="22"/>
        <v>271</v>
      </c>
      <c r="AF39">
        <v>0.82499999999999996</v>
      </c>
      <c r="AG39">
        <f t="shared" si="31"/>
        <v>5.4749999999999996</v>
      </c>
      <c r="AH39" s="1"/>
      <c r="AI39" s="1"/>
      <c r="AJ39" s="1"/>
      <c r="AK39" s="1"/>
      <c r="AL39" s="1">
        <v>1.5</v>
      </c>
      <c r="AM39" s="1"/>
      <c r="AN39" s="1"/>
      <c r="AO39" s="1"/>
      <c r="AY39" s="1">
        <v>2013</v>
      </c>
      <c r="AZ39" s="1" t="s">
        <v>18</v>
      </c>
      <c r="BA39" s="1">
        <v>3</v>
      </c>
      <c r="BB39" s="1">
        <v>1021</v>
      </c>
      <c r="BC39" s="1">
        <v>13</v>
      </c>
      <c r="BD39" s="1">
        <v>2</v>
      </c>
      <c r="BE39" s="1">
        <v>1002</v>
      </c>
      <c r="BF39" s="1">
        <v>51</v>
      </c>
      <c r="BG39" s="1">
        <v>0</v>
      </c>
      <c r="BH39" s="1">
        <v>0</v>
      </c>
      <c r="BI39" s="1">
        <v>78.519480577550084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1</v>
      </c>
      <c r="BP39" s="1" t="s">
        <v>92</v>
      </c>
      <c r="BQ39" s="1">
        <v>79</v>
      </c>
      <c r="BR39" s="1"/>
      <c r="BS39" s="1">
        <v>78.519480577550084</v>
      </c>
      <c r="BT39" s="1">
        <v>445.84564484480057</v>
      </c>
      <c r="BU39" s="1"/>
      <c r="BV39" s="1">
        <v>756.00000000000011</v>
      </c>
      <c r="BX39" s="1"/>
      <c r="BY39" s="1"/>
      <c r="BZ39" s="1">
        <v>1.5</v>
      </c>
      <c r="CA39" s="1"/>
      <c r="CB39" s="1"/>
      <c r="CC39" s="1"/>
      <c r="CD39" s="1"/>
      <c r="CE39" s="1"/>
    </row>
    <row r="40" spans="1:83">
      <c r="A40">
        <v>35</v>
      </c>
      <c r="B40" s="1">
        <f t="shared" si="12"/>
        <v>2014</v>
      </c>
      <c r="C40" s="1" t="s">
        <v>19</v>
      </c>
      <c r="D40" s="1">
        <v>3</v>
      </c>
      <c r="E40" s="1">
        <f>B39</f>
        <v>2013</v>
      </c>
      <c r="F40" s="1">
        <f>SUMIF($G$6:G40,G40,$G$6:$G$78)/G40</f>
        <v>14</v>
      </c>
      <c r="G40" s="1">
        <v>2</v>
      </c>
      <c r="H40" s="1">
        <v>1002</v>
      </c>
      <c r="I40" s="1">
        <f t="shared" ca="1" si="13"/>
        <v>48</v>
      </c>
      <c r="J40" s="1">
        <f>VLOOKUP($J$3,[1]!龙魂分图属性,J$4,FALSE)*(AH40*$AG40)/IF(SUMPRODUCT(AH$6:AH$96*$AG$6:$AG$96)=0,1,SUMPRODUCT(AH$6:AH$96*$AG$6:$AG$96))</f>
        <v>0</v>
      </c>
      <c r="K40" s="1">
        <f>VLOOKUP($J$3,[1]!龙魂分图属性,K$4,FALSE)*(AI40*$AG40)/IF(SUMPRODUCT(AI$6:AI$96*$AG$6:$AG$96)=0,1,SUMPRODUCT(AI$6:AI$96*$AG$6:$AG$96))</f>
        <v>0</v>
      </c>
      <c r="L40" s="1">
        <f>VLOOKUP($J$3,[1]!龙魂分图属性,L$4,FALSE)*(AJ40*$AG40)/IF(SUMPRODUCT(AJ$6:AJ$96*$AG$6:$AG$96)=0,1,SUMPRODUCT(AJ$6:AJ$96*$AG$6:$AG$96))</f>
        <v>0</v>
      </c>
      <c r="M40" s="1">
        <f>VLOOKUP($J$3,[1]!龙魂分图属性,M$4,FALSE)*(AK40*$AG40)/IF(SUMPRODUCT(AK$6:AK$96*$AG$6:$AG$96)=0,1,SUMPRODUCT(AK$6:AK$96*$AG$6:$AG$96))</f>
        <v>0</v>
      </c>
      <c r="N40" s="1">
        <f>VLOOKUP($J$3,[1]!龙魂分图属性,N$4,FALSE)*(AL40*$AG40)/IF(SUMPRODUCT(AL$6:AL$96*$AG$6:$AG$96)=0,1,SUMPRODUCT(AL$6:AL$96*$AG$6:$AG$96))</f>
        <v>0</v>
      </c>
      <c r="O40" s="1">
        <f>VLOOKUP($J$3,[1]!龙魂分图属性,O$4,FALSE)*(AM40*$AG40)/IF(SUMPRODUCT(AM$6:AM$96*$AG$6:$AG$96)=0,1,SUMPRODUCT(AM$6:AM$96*$AG$6:$AG$96))</f>
        <v>0</v>
      </c>
      <c r="P40" s="1">
        <f>VLOOKUP($J$3,[1]!龙魂分图属性,P$4,FALSE)*(AN40*$AG40)/IF(SUMPRODUCT(AN$6:AN$96*$AG$6:$AG$96)=0,1,SUMPRODUCT(AN$6:AN$96*$AG$6:$AG$96))</f>
        <v>0</v>
      </c>
      <c r="Q40" s="1">
        <f>VLOOKUP($J$3,[1]!龙魂分图属性,Q$4,FALSE)*(AO40*$AG40)/IF(SUMPRODUCT(AO$6:AO$96*$AG$6:$AG$96)=0,1,SUMPRODUCT(AO$6:AO$96*$AG$6:$AG$96))</f>
        <v>1179.6588554120838</v>
      </c>
      <c r="R40" s="1">
        <f t="shared" si="28"/>
        <v>1</v>
      </c>
      <c r="S40" s="1" t="str">
        <f t="array" aca="1" ref="S40" ca="1">OFFSET($I$5,0,MATCH(1,1/(J40:Q40&gt;0),0))</f>
        <v>韧性值</v>
      </c>
      <c r="T40" s="1">
        <f t="shared" si="29"/>
        <v>1180</v>
      </c>
      <c r="U40" s="1">
        <f t="shared" ca="1" si="15"/>
        <v>0.15710329478108767</v>
      </c>
      <c r="V40" s="19">
        <f t="shared" si="30"/>
        <v>212.33859397417507</v>
      </c>
      <c r="W40" s="18">
        <f t="shared" ca="1" si="16"/>
        <v>50</v>
      </c>
      <c r="X40" s="1">
        <f ca="1">(VLOOKUP(W40,[2]龙魂的投放!$G$17:$L$117,6,FALSE)+SUMIF(龙魂整图属性辅助表!$E$12:$E$17,H40,龙魂整图属性辅助表!$T$12:$T$17)/COUNTIF($H$6:$H$96,H40))/INDEX($C$1:$C$2,G40)</f>
        <v>1351.5858739312494</v>
      </c>
      <c r="Y40" s="1">
        <f t="shared" ca="1" si="17"/>
        <v>0.16923076923076918</v>
      </c>
      <c r="Z40" s="1">
        <f t="shared" ca="1" si="27"/>
        <v>224</v>
      </c>
      <c r="AA40" s="1">
        <f t="shared" ca="1" si="19"/>
        <v>5.9090909090909109</v>
      </c>
      <c r="AB40" s="18">
        <f t="shared" ca="1" si="20"/>
        <v>8</v>
      </c>
      <c r="AC40" s="1">
        <f t="shared" ca="1" si="21"/>
        <v>1792</v>
      </c>
      <c r="AD40" s="21">
        <f t="shared" ca="1" si="24"/>
        <v>6</v>
      </c>
      <c r="AE40" s="21">
        <f t="shared" ca="1" si="22"/>
        <v>274</v>
      </c>
      <c r="AF40">
        <v>0.85</v>
      </c>
      <c r="AG40">
        <f t="shared" si="31"/>
        <v>5.5500000000000007</v>
      </c>
      <c r="AH40" s="1"/>
      <c r="AI40" s="1"/>
      <c r="AJ40" s="1"/>
      <c r="AK40" s="1"/>
      <c r="AL40" s="1"/>
      <c r="AM40" s="1"/>
      <c r="AN40" s="1"/>
      <c r="AO40" s="1">
        <v>1.5</v>
      </c>
      <c r="AY40" s="1">
        <v>2014</v>
      </c>
      <c r="AZ40" s="1" t="s">
        <v>19</v>
      </c>
      <c r="BA40" s="1">
        <v>3</v>
      </c>
      <c r="BB40" s="1">
        <v>2013</v>
      </c>
      <c r="BC40" s="1">
        <v>14</v>
      </c>
      <c r="BD40" s="1">
        <v>2</v>
      </c>
      <c r="BE40" s="1">
        <v>1002</v>
      </c>
      <c r="BF40" s="1">
        <v>52</v>
      </c>
      <c r="BG40" s="1">
        <v>0</v>
      </c>
      <c r="BH40" s="1">
        <v>144.44910200924224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1</v>
      </c>
      <c r="BP40" s="1" t="s">
        <v>91</v>
      </c>
      <c r="BQ40" s="1">
        <v>144</v>
      </c>
      <c r="BR40" s="1"/>
      <c r="BS40" s="1">
        <v>144.44910200924224</v>
      </c>
      <c r="BT40" s="1">
        <v>490.76863470515468</v>
      </c>
      <c r="BU40" s="1"/>
      <c r="BV40" s="1">
        <v>765</v>
      </c>
      <c r="BX40" s="1"/>
      <c r="BY40" s="1">
        <v>1.5</v>
      </c>
      <c r="BZ40" s="1"/>
      <c r="CA40" s="1"/>
      <c r="CB40" s="1"/>
      <c r="CC40" s="1"/>
      <c r="CD40" s="1"/>
      <c r="CE40" s="1"/>
    </row>
    <row r="41" spans="1:83">
      <c r="A41">
        <v>36</v>
      </c>
      <c r="B41" s="1">
        <f t="shared" si="12"/>
        <v>2015</v>
      </c>
      <c r="C41" s="1" t="s">
        <v>20</v>
      </c>
      <c r="D41" s="1">
        <v>3</v>
      </c>
      <c r="E41" s="1">
        <f t="shared" si="23"/>
        <v>2014</v>
      </c>
      <c r="F41" s="1">
        <f>SUMIF($G$6:G41,G41,$G$6:$G$78)/G41</f>
        <v>15</v>
      </c>
      <c r="G41" s="1">
        <v>2</v>
      </c>
      <c r="H41" s="1">
        <v>1002</v>
      </c>
      <c r="I41" s="1">
        <f t="shared" ca="1" si="13"/>
        <v>48</v>
      </c>
      <c r="J41" s="1">
        <f>VLOOKUP($J$3,[1]!龙魂分图属性,J$4,FALSE)*(AH41*$AG41)/IF(SUMPRODUCT(AH$6:AH$96*$AG$6:$AG$96)=0,1,SUMPRODUCT(AH$6:AH$96*$AG$6:$AG$96))</f>
        <v>7902.2057263493507</v>
      </c>
      <c r="K41" s="1">
        <f>VLOOKUP($J$3,[1]!龙魂分图属性,K$4,FALSE)*(AI41*$AG41)/IF(SUMPRODUCT(AI$6:AI$96*$AG$6:$AG$96)=0,1,SUMPRODUCT(AI$6:AI$96*$AG$6:$AG$96))</f>
        <v>0</v>
      </c>
      <c r="L41" s="1">
        <f>VLOOKUP($J$3,[1]!龙魂分图属性,L$4,FALSE)*(AJ41*$AG41)/IF(SUMPRODUCT(AJ$6:AJ$96*$AG$6:$AG$96)=0,1,SUMPRODUCT(AJ$6:AJ$96*$AG$6:$AG$96))</f>
        <v>0</v>
      </c>
      <c r="M41" s="1">
        <f>VLOOKUP($J$3,[1]!龙魂分图属性,M$4,FALSE)*(AK41*$AG41)/IF(SUMPRODUCT(AK$6:AK$96*$AG$6:$AG$96)=0,1,SUMPRODUCT(AK$6:AK$96*$AG$6:$AG$96))</f>
        <v>0</v>
      </c>
      <c r="N41" s="1">
        <f>VLOOKUP($J$3,[1]!龙魂分图属性,N$4,FALSE)*(AL41*$AG41)/IF(SUMPRODUCT(AL$6:AL$96*$AG$6:$AG$96)=0,1,SUMPRODUCT(AL$6:AL$96*$AG$6:$AG$96))</f>
        <v>0</v>
      </c>
      <c r="O41" s="1">
        <f>VLOOKUP($J$3,[1]!龙魂分图属性,O$4,FALSE)*(AM41*$AG41)/IF(SUMPRODUCT(AM$6:AM$96*$AG$6:$AG$96)=0,1,SUMPRODUCT(AM$6:AM$96*$AG$6:$AG$96))</f>
        <v>0</v>
      </c>
      <c r="P41" s="1">
        <f>VLOOKUP($J$3,[1]!龙魂分图属性,P$4,FALSE)*(AN41*$AG41)/IF(SUMPRODUCT(AN$6:AN$96*$AG$6:$AG$96)=0,1,SUMPRODUCT(AN$6:AN$96*$AG$6:$AG$96))</f>
        <v>0</v>
      </c>
      <c r="Q41" s="1">
        <f>VLOOKUP($J$3,[1]!龙魂分图属性,Q$4,FALSE)*(AO41*$AG41)/IF(SUMPRODUCT(AO$6:AO$96*$AG$6:$AG$96)=0,1,SUMPRODUCT(AO$6:AO$96*$AG$6:$AG$96))</f>
        <v>0</v>
      </c>
      <c r="R41" s="1">
        <f t="shared" si="28"/>
        <v>1</v>
      </c>
      <c r="S41" s="1" t="str">
        <f t="array" aca="1" ref="S41" ca="1">OFFSET($I$5,0,MATCH(1,1/(J41:Q41&gt;0),0))</f>
        <v>生命</v>
      </c>
      <c r="T41" s="1">
        <f t="shared" si="29"/>
        <v>7902</v>
      </c>
      <c r="U41" s="1">
        <f t="shared" ca="1" si="15"/>
        <v>0.23279832473496734</v>
      </c>
      <c r="V41" s="19">
        <f t="shared" si="30"/>
        <v>316.08822905397403</v>
      </c>
      <c r="W41" s="18">
        <f t="shared" ca="1" si="16"/>
        <v>51</v>
      </c>
      <c r="X41" s="1">
        <f ca="1">(VLOOKUP(W41,[2]龙魂的投放!$G$17:$L$117,6,FALSE)+SUMIF(龙魂整图属性辅助表!$E$12:$E$17,H41,龙魂整图属性辅助表!$T$12:$T$17)/COUNTIF($H$6:$H$96,H41))/INDEX($C$1:$C$2,G41)</f>
        <v>1357.7770777080518</v>
      </c>
      <c r="Y41" s="1">
        <f t="shared" ca="1" si="17"/>
        <v>0.15492957746478875</v>
      </c>
      <c r="Z41" s="1">
        <f t="shared" ca="1" si="27"/>
        <v>226</v>
      </c>
      <c r="AA41" s="1">
        <f t="shared" ca="1" si="19"/>
        <v>6.4545454545454541</v>
      </c>
      <c r="AB41" s="18">
        <f t="shared" ca="1" si="20"/>
        <v>9</v>
      </c>
      <c r="AC41" s="1">
        <f t="shared" ca="1" si="21"/>
        <v>2034</v>
      </c>
      <c r="AD41" s="21">
        <f t="shared" ca="1" si="24"/>
        <v>7</v>
      </c>
      <c r="AE41" s="21">
        <f t="shared" ca="1" si="22"/>
        <v>263</v>
      </c>
      <c r="AF41">
        <v>0.875</v>
      </c>
      <c r="AG41">
        <f t="shared" si="31"/>
        <v>5.625</v>
      </c>
      <c r="AH41" s="1">
        <v>1.5</v>
      </c>
      <c r="AI41" s="1"/>
      <c r="AJ41" s="1"/>
      <c r="AK41" s="1"/>
      <c r="AL41" s="1"/>
      <c r="AM41" s="1"/>
      <c r="AN41" s="1"/>
      <c r="AO41" s="1"/>
      <c r="AY41" s="1">
        <v>2015</v>
      </c>
      <c r="AZ41" s="1" t="s">
        <v>20</v>
      </c>
      <c r="BA41" s="1">
        <v>3</v>
      </c>
      <c r="BB41" s="1">
        <v>2014</v>
      </c>
      <c r="BC41" s="1">
        <v>15</v>
      </c>
      <c r="BD41" s="1">
        <v>2</v>
      </c>
      <c r="BE41" s="1">
        <v>1002</v>
      </c>
      <c r="BF41" s="1">
        <v>53</v>
      </c>
      <c r="BG41" s="1">
        <v>3762.2658995684737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1</v>
      </c>
      <c r="BP41" s="1" t="s">
        <v>90</v>
      </c>
      <c r="BQ41" s="1">
        <v>3762</v>
      </c>
      <c r="BR41" s="1"/>
      <c r="BS41" s="1">
        <v>153.65805897203384</v>
      </c>
      <c r="BT41" s="1">
        <v>540.21802297564898</v>
      </c>
      <c r="BU41" s="1"/>
      <c r="BV41" s="1">
        <v>516</v>
      </c>
      <c r="BX41" s="1">
        <v>1</v>
      </c>
      <c r="BY41" s="1"/>
      <c r="BZ41" s="1"/>
      <c r="CA41" s="1"/>
      <c r="CB41" s="1"/>
      <c r="CC41" s="1"/>
      <c r="CD41" s="1"/>
      <c r="CE41" s="1"/>
    </row>
    <row r="42" spans="1:83">
      <c r="A42">
        <v>37</v>
      </c>
      <c r="B42" s="1">
        <f t="shared" si="12"/>
        <v>1022</v>
      </c>
      <c r="C42" s="1" t="s">
        <v>21</v>
      </c>
      <c r="D42" s="1">
        <v>3</v>
      </c>
      <c r="E42" s="1">
        <v>1021</v>
      </c>
      <c r="F42" s="1">
        <f>SUMIF($G$6:G42,G42,$G$6:$G$78)/G42</f>
        <v>22</v>
      </c>
      <c r="G42" s="1">
        <v>1</v>
      </c>
      <c r="H42" s="1">
        <v>1002</v>
      </c>
      <c r="I42" s="1">
        <f t="shared" si="13"/>
        <v>49</v>
      </c>
      <c r="J42" s="1">
        <f>VLOOKUP($J$3,[1]!龙魂分图属性,J$4,FALSE)*(AH42*$AG42)/IF(SUMPRODUCT(AH$6:AH$96*$AG$6:$AG$96)=0,1,SUMPRODUCT(AH$6:AH$96*$AG$6:$AG$96))</f>
        <v>0</v>
      </c>
      <c r="K42" s="1">
        <f>VLOOKUP($J$3,[1]!龙魂分图属性,K$4,FALSE)*(AI42*$AG42)/IF(SUMPRODUCT(AI$6:AI$96*$AG$6:$AG$96)=0,1,SUMPRODUCT(AI$6:AI$96*$AG$6:$AG$96))</f>
        <v>0</v>
      </c>
      <c r="L42" s="1">
        <f>VLOOKUP($J$3,[1]!龙魂分图属性,L$4,FALSE)*(AJ42*$AG42)/IF(SUMPRODUCT(AJ$6:AJ$96*$AG$6:$AG$96)=0,1,SUMPRODUCT(AJ$6:AJ$96*$AG$6:$AG$96))</f>
        <v>0</v>
      </c>
      <c r="M42" s="1">
        <f>VLOOKUP($J$3,[1]!龙魂分图属性,M$4,FALSE)*(AK42*$AG42)/IF(SUMPRODUCT(AK$6:AK$96*$AG$6:$AG$96)=0,1,SUMPRODUCT(AK$6:AK$96*$AG$6:$AG$96))</f>
        <v>0</v>
      </c>
      <c r="N42" s="1">
        <f>VLOOKUP($J$3,[1]!龙魂分图属性,N$4,FALSE)*(AL42*$AG42)/IF(SUMPRODUCT(AL$6:AL$96*$AG$6:$AG$96)=0,1,SUMPRODUCT(AL$6:AL$96*$AG$6:$AG$96))</f>
        <v>0</v>
      </c>
      <c r="O42" s="1">
        <f>VLOOKUP($J$3,[1]!龙魂分图属性,O$4,FALSE)*(AM42*$AG42)/IF(SUMPRODUCT(AM$6:AM$96*$AG$6:$AG$96)=0,1,SUMPRODUCT(AM$6:AM$96*$AG$6:$AG$96))</f>
        <v>0</v>
      </c>
      <c r="P42" s="1">
        <f>VLOOKUP($J$3,[1]!龙魂分图属性,P$4,FALSE)*(AN42*$AG42)/IF(SUMPRODUCT(AN$6:AN$96*$AG$6:$AG$96)=0,1,SUMPRODUCT(AN$6:AN$96*$AG$6:$AG$96))</f>
        <v>1426.694199361742</v>
      </c>
      <c r="Q42" s="1">
        <f>VLOOKUP($J$3,[1]!龙魂分图属性,Q$4,FALSE)*(AO42*$AG42)/IF(SUMPRODUCT(AO$6:AO$96*$AG$6:$AG$96)=0,1,SUMPRODUCT(AO$6:AO$96*$AG$6:$AG$96))</f>
        <v>0</v>
      </c>
      <c r="R42" s="1">
        <f t="shared" si="28"/>
        <v>1</v>
      </c>
      <c r="S42" s="1" t="str">
        <f t="array" aca="1" ref="S42" ca="1">OFFSET($I$5,0,MATCH(1,1/(J42:Q42&gt;0),0))</f>
        <v>暴击倍数</v>
      </c>
      <c r="T42" s="1">
        <f t="shared" si="29"/>
        <v>1427</v>
      </c>
      <c r="U42" s="1">
        <f t="shared" si="15"/>
        <v>0.27102724429374825</v>
      </c>
      <c r="V42" s="19">
        <f t="shared" si="30"/>
        <v>171.20330392340904</v>
      </c>
      <c r="W42" s="18">
        <f t="shared" si="16"/>
        <v>49</v>
      </c>
      <c r="X42" s="1">
        <f>(VLOOKUP(W42,[2]龙魂的投放!$G$17:$L$117,6,FALSE)+SUMIF(龙魂整图属性辅助表!$E$12:$E$17,H42,龙魂整图属性辅助表!$T$12:$T$17)/COUNTIF($H$6:$H$96,H42))/INDEX($C$1:$C$2,G42)</f>
        <v>631.6830043028931</v>
      </c>
      <c r="Y42" s="1">
        <f t="shared" si="17"/>
        <v>0.27586206896551724</v>
      </c>
      <c r="Z42" s="1">
        <f t="shared" ca="1" si="27"/>
        <v>203</v>
      </c>
      <c r="AA42" s="1">
        <f t="shared" si="19"/>
        <v>3.625</v>
      </c>
      <c r="AB42" s="18">
        <f t="shared" si="20"/>
        <v>5</v>
      </c>
      <c r="AC42" s="1">
        <f t="shared" ca="1" si="21"/>
        <v>1015</v>
      </c>
      <c r="AD42" s="21">
        <f t="shared" si="24"/>
        <v>5</v>
      </c>
      <c r="AE42" s="21">
        <f t="shared" si="22"/>
        <v>200</v>
      </c>
      <c r="AF42">
        <v>0.9</v>
      </c>
      <c r="AG42">
        <f t="shared" si="31"/>
        <v>5.6999999999999993</v>
      </c>
      <c r="AH42" s="1"/>
      <c r="AI42" s="1"/>
      <c r="AJ42" s="1"/>
      <c r="AK42" s="1"/>
      <c r="AL42" s="1"/>
      <c r="AM42" s="1"/>
      <c r="AN42" s="1">
        <v>1</v>
      </c>
      <c r="AO42" s="1"/>
      <c r="AY42" s="1">
        <v>1022</v>
      </c>
      <c r="AZ42" s="1" t="s">
        <v>21</v>
      </c>
      <c r="BA42" s="1">
        <v>3</v>
      </c>
      <c r="BB42" s="1">
        <v>1021</v>
      </c>
      <c r="BC42" s="1">
        <v>22</v>
      </c>
      <c r="BD42" s="1">
        <v>1</v>
      </c>
      <c r="BE42" s="1">
        <v>1002</v>
      </c>
      <c r="BF42" s="1">
        <v>51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635.73255389112148</v>
      </c>
      <c r="BO42" s="1">
        <v>1</v>
      </c>
      <c r="BP42" s="1" t="s">
        <v>97</v>
      </c>
      <c r="BQ42" s="1">
        <v>636</v>
      </c>
      <c r="BR42" s="1"/>
      <c r="BS42" s="1">
        <v>50.765479529617359</v>
      </c>
      <c r="BT42" s="1">
        <v>222.92282242240029</v>
      </c>
      <c r="BU42" s="1"/>
      <c r="BV42" s="1">
        <v>522</v>
      </c>
      <c r="BX42" s="1"/>
      <c r="BY42" s="1"/>
      <c r="BZ42" s="1"/>
      <c r="CA42" s="1"/>
      <c r="CB42" s="1"/>
      <c r="CC42" s="1">
        <v>1</v>
      </c>
      <c r="CD42" s="1"/>
      <c r="CE42" s="1"/>
    </row>
    <row r="43" spans="1:83">
      <c r="A43">
        <v>38</v>
      </c>
      <c r="B43" s="1">
        <f t="shared" si="12"/>
        <v>1023</v>
      </c>
      <c r="C43" s="1" t="s">
        <v>127</v>
      </c>
      <c r="D43" s="1">
        <v>3</v>
      </c>
      <c r="E43" s="1">
        <f t="shared" si="23"/>
        <v>1022</v>
      </c>
      <c r="F43" s="1">
        <f>SUMIF($G$6:G43,G43,$G$6:$G$78)/G43</f>
        <v>23</v>
      </c>
      <c r="G43" s="1">
        <v>1</v>
      </c>
      <c r="H43" s="1">
        <v>1002</v>
      </c>
      <c r="I43" s="1">
        <f t="shared" si="13"/>
        <v>50</v>
      </c>
      <c r="J43" s="1">
        <f>VLOOKUP($J$3,[1]!龙魂分图属性,J$4,FALSE)*(AH43*$AG43)/IF(SUMPRODUCT(AH$6:AH$96*$AG$6:$AG$96)=0,1,SUMPRODUCT(AH$6:AH$96*$AG$6:$AG$96))</f>
        <v>5408.6208082568892</v>
      </c>
      <c r="K43" s="1">
        <f>VLOOKUP($J$3,[1]!龙魂分图属性,K$4,FALSE)*(AI43*$AG43)/IF(SUMPRODUCT(AI$6:AI$96*$AG$6:$AG$96)=0,1,SUMPRODUCT(AI$6:AI$96*$AG$6:$AG$96))</f>
        <v>0</v>
      </c>
      <c r="L43" s="1">
        <f>VLOOKUP($J$3,[1]!龙魂分图属性,L$4,FALSE)*(AJ43*$AG43)/IF(SUMPRODUCT(AJ$6:AJ$96*$AG$6:$AG$96)=0,1,SUMPRODUCT(AJ$6:AJ$96*$AG$6:$AG$96))</f>
        <v>0</v>
      </c>
      <c r="M43" s="1">
        <f>VLOOKUP($J$3,[1]!龙魂分图属性,M$4,FALSE)*(AK43*$AG43)/IF(SUMPRODUCT(AK$6:AK$96*$AG$6:$AG$96)=0,1,SUMPRODUCT(AK$6:AK$96*$AG$6:$AG$96))</f>
        <v>0</v>
      </c>
      <c r="N43" s="1">
        <f>VLOOKUP($J$3,[1]!龙魂分图属性,N$4,FALSE)*(AL43*$AG43)/IF(SUMPRODUCT(AL$6:AL$96*$AG$6:$AG$96)=0,1,SUMPRODUCT(AL$6:AL$96*$AG$6:$AG$96))</f>
        <v>0</v>
      </c>
      <c r="O43" s="1">
        <f>VLOOKUP($J$3,[1]!龙魂分图属性,O$4,FALSE)*(AM43*$AG43)/IF(SUMPRODUCT(AM$6:AM$96*$AG$6:$AG$96)=0,1,SUMPRODUCT(AM$6:AM$96*$AG$6:$AG$96))</f>
        <v>0</v>
      </c>
      <c r="P43" s="1">
        <f>VLOOKUP($J$3,[1]!龙魂分图属性,P$4,FALSE)*(AN43*$AG43)/IF(SUMPRODUCT(AN$6:AN$96*$AG$6:$AG$96)=0,1,SUMPRODUCT(AN$6:AN$96*$AG$6:$AG$96))</f>
        <v>0</v>
      </c>
      <c r="Q43" s="1">
        <f>VLOOKUP($J$3,[1]!龙魂分图属性,Q$4,FALSE)*(AO43*$AG43)/IF(SUMPRODUCT(AO$6:AO$96*$AG$6:$AG$96)=0,1,SUMPRODUCT(AO$6:AO$96*$AG$6:$AG$96))</f>
        <v>0</v>
      </c>
      <c r="R43" s="1">
        <f t="shared" si="28"/>
        <v>1</v>
      </c>
      <c r="S43" s="1" t="str">
        <f t="array" aca="1" ref="S43" ca="1">OFFSET($I$5,0,MATCH(1,1/(J43:Q43&gt;0),0))</f>
        <v>生命</v>
      </c>
      <c r="T43" s="1">
        <f t="shared" si="29"/>
        <v>5409</v>
      </c>
      <c r="U43" s="1">
        <f t="shared" si="15"/>
        <v>0.3201347935089181</v>
      </c>
      <c r="V43" s="19">
        <f t="shared" si="30"/>
        <v>216.34483233027558</v>
      </c>
      <c r="W43" s="18">
        <f t="shared" si="16"/>
        <v>50</v>
      </c>
      <c r="X43" s="1">
        <f>(VLOOKUP(W43,[2]龙魂的投放!$G$17:$L$117,6,FALSE)+SUMIF(龙魂整图属性辅助表!$E$12:$E$17,H43,龙魂整图属性辅助表!$T$12:$T$17)/COUNTIF($H$6:$H$96,H43))/INDEX($C$1:$C$2,G43)</f>
        <v>675.79293696562468</v>
      </c>
      <c r="Y43" s="1">
        <f t="shared" si="17"/>
        <v>0.25</v>
      </c>
      <c r="Z43" s="1">
        <f t="shared" ca="1" si="27"/>
        <v>224</v>
      </c>
      <c r="AA43" s="1">
        <f t="shared" si="19"/>
        <v>4</v>
      </c>
      <c r="AB43" s="18">
        <f t="shared" si="20"/>
        <v>5</v>
      </c>
      <c r="AC43" s="1">
        <f t="shared" ca="1" si="21"/>
        <v>1120</v>
      </c>
      <c r="AD43" s="21">
        <f t="shared" si="24"/>
        <v>6</v>
      </c>
      <c r="AE43" s="21">
        <f t="shared" si="22"/>
        <v>203</v>
      </c>
      <c r="AF43">
        <v>0.92500000000000004</v>
      </c>
      <c r="AG43">
        <f t="shared" si="31"/>
        <v>5.7750000000000004</v>
      </c>
      <c r="AH43" s="1">
        <v>1</v>
      </c>
      <c r="AI43" s="1"/>
      <c r="AJ43" s="1"/>
      <c r="AK43" s="1"/>
      <c r="AL43" s="1"/>
      <c r="AM43" s="1"/>
      <c r="AN43" s="1"/>
      <c r="AO43" s="1"/>
      <c r="AY43" s="1">
        <v>1023</v>
      </c>
      <c r="AZ43" s="1" t="s">
        <v>129</v>
      </c>
      <c r="BA43" s="1">
        <v>3</v>
      </c>
      <c r="BB43" s="1">
        <v>1022</v>
      </c>
      <c r="BC43" s="1">
        <v>23</v>
      </c>
      <c r="BD43" s="1">
        <v>1</v>
      </c>
      <c r="BE43" s="1">
        <v>1002</v>
      </c>
      <c r="BF43" s="1">
        <v>52</v>
      </c>
      <c r="BG43" s="1">
        <v>0</v>
      </c>
      <c r="BH43" s="1">
        <v>0</v>
      </c>
      <c r="BI43" s="1">
        <v>54.839002308130212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1</v>
      </c>
      <c r="BP43" s="1" t="s">
        <v>92</v>
      </c>
      <c r="BQ43" s="1">
        <v>55</v>
      </c>
      <c r="BR43" s="1"/>
      <c r="BS43" s="1">
        <v>54.839002308130212</v>
      </c>
      <c r="BT43" s="1">
        <v>245.38431735257734</v>
      </c>
      <c r="BU43" s="1"/>
      <c r="BV43" s="1">
        <v>528</v>
      </c>
      <c r="BX43" s="1"/>
      <c r="BY43" s="1"/>
      <c r="BZ43" s="1">
        <v>1</v>
      </c>
      <c r="CA43" s="1"/>
      <c r="CB43" s="1"/>
      <c r="CC43" s="1"/>
      <c r="CD43" s="1"/>
      <c r="CE43" s="1"/>
    </row>
    <row r="44" spans="1:83">
      <c r="A44">
        <v>39</v>
      </c>
      <c r="B44" s="1">
        <f t="shared" si="12"/>
        <v>1024</v>
      </c>
      <c r="C44" s="1" t="s">
        <v>22</v>
      </c>
      <c r="D44" s="1">
        <v>3</v>
      </c>
      <c r="E44" s="1">
        <f t="shared" si="23"/>
        <v>1023</v>
      </c>
      <c r="F44" s="1">
        <f>SUMIF($G$6:G44,G44,$G$6:$G$78)/G44</f>
        <v>24</v>
      </c>
      <c r="G44" s="1">
        <v>1</v>
      </c>
      <c r="H44" s="1">
        <v>1002</v>
      </c>
      <c r="I44" s="1">
        <f t="shared" si="13"/>
        <v>51</v>
      </c>
      <c r="J44" s="1">
        <f>VLOOKUP($J$3,[1]!龙魂分图属性,J$4,FALSE)*(AH44*$AG44)/IF(SUMPRODUCT(AH$6:AH$96*$AG$6:$AG$96)=0,1,SUMPRODUCT(AH$6:AH$96*$AG$6:$AG$96))</f>
        <v>0</v>
      </c>
      <c r="K44" s="1">
        <f>VLOOKUP($J$3,[1]!龙魂分图属性,K$4,FALSE)*(AI44*$AG44)/IF(SUMPRODUCT(AI$6:AI$96*$AG$6:$AG$96)=0,1,SUMPRODUCT(AI$6:AI$96*$AG$6:$AG$96))</f>
        <v>200.93432407818236</v>
      </c>
      <c r="L44" s="1">
        <f>VLOOKUP($J$3,[1]!龙魂分图属性,L$4,FALSE)*(AJ44*$AG44)/IF(SUMPRODUCT(AJ$6:AJ$96*$AG$6:$AG$96)=0,1,SUMPRODUCT(AJ$6:AJ$96*$AG$6:$AG$96))</f>
        <v>0</v>
      </c>
      <c r="M44" s="1">
        <f>VLOOKUP($J$3,[1]!龙魂分图属性,M$4,FALSE)*(AK44*$AG44)/IF(SUMPRODUCT(AK$6:AK$96*$AG$6:$AG$96)=0,1,SUMPRODUCT(AK$6:AK$96*$AG$6:$AG$96))</f>
        <v>0</v>
      </c>
      <c r="N44" s="1">
        <f>VLOOKUP($J$3,[1]!龙魂分图属性,N$4,FALSE)*(AL44*$AG44)/IF(SUMPRODUCT(AL$6:AL$96*$AG$6:$AG$96)=0,1,SUMPRODUCT(AL$6:AL$96*$AG$6:$AG$96))</f>
        <v>0</v>
      </c>
      <c r="O44" s="1">
        <f>VLOOKUP($J$3,[1]!龙魂分图属性,O$4,FALSE)*(AM44*$AG44)/IF(SUMPRODUCT(AM$6:AM$96*$AG$6:$AG$96)=0,1,SUMPRODUCT(AM$6:AM$96*$AG$6:$AG$96))</f>
        <v>0</v>
      </c>
      <c r="P44" s="1">
        <f>VLOOKUP($J$3,[1]!龙魂分图属性,P$4,FALSE)*(AN44*$AG44)/IF(SUMPRODUCT(AN$6:AN$96*$AG$6:$AG$96)=0,1,SUMPRODUCT(AN$6:AN$96*$AG$6:$AG$96))</f>
        <v>0</v>
      </c>
      <c r="Q44" s="1">
        <f>VLOOKUP($J$3,[1]!龙魂分图属性,Q$4,FALSE)*(AO44*$AG44)/IF(SUMPRODUCT(AO$6:AO$96*$AG$6:$AG$96)=0,1,SUMPRODUCT(AO$6:AO$96*$AG$6:$AG$96))</f>
        <v>0</v>
      </c>
      <c r="R44" s="1">
        <f t="shared" si="28"/>
        <v>1</v>
      </c>
      <c r="S44" s="1" t="str">
        <f t="array" aca="1" ref="S44" ca="1">OFFSET($I$5,0,MATCH(1,1/(J44:Q44&gt;0),0))</f>
        <v>攻击</v>
      </c>
      <c r="T44" s="1">
        <f t="shared" si="29"/>
        <v>201</v>
      </c>
      <c r="U44" s="1">
        <f t="shared" si="15"/>
        <v>0.29597542538774113</v>
      </c>
      <c r="V44" s="19">
        <f t="shared" si="30"/>
        <v>200.93432407818236</v>
      </c>
      <c r="W44" s="18">
        <f t="shared" si="16"/>
        <v>51</v>
      </c>
      <c r="X44" s="1">
        <f>(VLOOKUP(W44,[2]龙魂的投放!$G$17:$L$117,6,FALSE)+SUMIF(龙魂整图属性辅助表!$E$12:$E$17,H44,龙魂整图属性辅助表!$T$12:$T$17)/COUNTIF($H$6:$H$96,H44))/INDEX($C$1:$C$2,G44)</f>
        <v>678.88853885402591</v>
      </c>
      <c r="Y44" s="1">
        <f t="shared" si="17"/>
        <v>0.22857142857142854</v>
      </c>
      <c r="Z44" s="1">
        <f t="shared" ca="1" si="27"/>
        <v>226</v>
      </c>
      <c r="AA44" s="1">
        <f t="shared" si="19"/>
        <v>4.3750000000000009</v>
      </c>
      <c r="AB44" s="18">
        <f t="shared" si="20"/>
        <v>6</v>
      </c>
      <c r="AC44" s="1">
        <f t="shared" ca="1" si="21"/>
        <v>1356</v>
      </c>
      <c r="AD44" s="21">
        <f t="shared" si="24"/>
        <v>7</v>
      </c>
      <c r="AE44" s="21">
        <f t="shared" si="22"/>
        <v>194</v>
      </c>
      <c r="AF44">
        <v>0.95</v>
      </c>
      <c r="AG44">
        <f t="shared" si="31"/>
        <v>5.85</v>
      </c>
      <c r="AH44" s="1"/>
      <c r="AI44" s="1">
        <v>1</v>
      </c>
      <c r="AJ44" s="1"/>
      <c r="AK44" s="1"/>
      <c r="AL44" s="1"/>
      <c r="AM44" s="1"/>
      <c r="AN44" s="1"/>
      <c r="AO44" s="1"/>
      <c r="AY44" s="1">
        <v>1024</v>
      </c>
      <c r="AZ44" s="1" t="s">
        <v>22</v>
      </c>
      <c r="BA44" s="1">
        <v>3</v>
      </c>
      <c r="BB44" s="1">
        <v>1023</v>
      </c>
      <c r="BC44" s="1">
        <v>24</v>
      </c>
      <c r="BD44" s="1">
        <v>1</v>
      </c>
      <c r="BE44" s="1">
        <v>1002</v>
      </c>
      <c r="BF44" s="1">
        <v>53</v>
      </c>
      <c r="BG44" s="1">
        <v>0</v>
      </c>
      <c r="BH44" s="1">
        <v>0</v>
      </c>
      <c r="BI44" s="1">
        <v>55.462172788904404</v>
      </c>
      <c r="BJ44" s="1">
        <v>0</v>
      </c>
      <c r="BK44" s="1">
        <v>429.87121975958593</v>
      </c>
      <c r="BL44" s="1">
        <v>0</v>
      </c>
      <c r="BM44" s="1">
        <v>0</v>
      </c>
      <c r="BN44" s="1">
        <v>0</v>
      </c>
      <c r="BO44" s="1">
        <v>2</v>
      </c>
      <c r="BP44" s="1" t="s">
        <v>92</v>
      </c>
      <c r="BQ44" s="1">
        <v>485</v>
      </c>
      <c r="BR44" s="1"/>
      <c r="BS44" s="1">
        <v>125.26784700835375</v>
      </c>
      <c r="BT44" s="1">
        <v>270.10901148782449</v>
      </c>
      <c r="BU44" s="1"/>
      <c r="BV44" s="1">
        <v>1068</v>
      </c>
      <c r="BX44" s="1"/>
      <c r="BY44" s="1"/>
      <c r="BZ44" s="1"/>
      <c r="CA44" s="1"/>
      <c r="CB44" s="1">
        <v>1</v>
      </c>
      <c r="CC44" s="1"/>
      <c r="CD44" s="1"/>
      <c r="CE44" s="1"/>
    </row>
    <row r="45" spans="1:83">
      <c r="A45">
        <v>40</v>
      </c>
      <c r="B45" s="1">
        <f t="shared" si="12"/>
        <v>1025</v>
      </c>
      <c r="C45" s="1" t="s">
        <v>9</v>
      </c>
      <c r="D45" s="1">
        <v>4</v>
      </c>
      <c r="E45" s="1">
        <f t="shared" si="23"/>
        <v>1024</v>
      </c>
      <c r="F45" s="1">
        <f>SUMIF($G$6:G45,G45,$G$6:$G$78)/G45</f>
        <v>25</v>
      </c>
      <c r="G45" s="1">
        <v>1</v>
      </c>
      <c r="H45" s="1">
        <v>1003</v>
      </c>
      <c r="I45" s="1">
        <f t="shared" si="13"/>
        <v>53</v>
      </c>
      <c r="J45" s="1">
        <f>VLOOKUP($J$3,[1]!龙魂分图属性,J$4,FALSE)*(AH45*$AG45)/IF(SUMPRODUCT(AH$6:AH$96*$AG$6:$AG$96)=0,1,SUMPRODUCT(AH$6:AH$96*$AG$6:$AG$96))</f>
        <v>0</v>
      </c>
      <c r="K45" s="1">
        <f>VLOOKUP($J$3,[1]!龙魂分图属性,K$4,FALSE)*(AI45*$AG45)/IF(SUMPRODUCT(AI$6:AI$96*$AG$6:$AG$96)=0,1,SUMPRODUCT(AI$6:AI$96*$AG$6:$AG$96))</f>
        <v>0</v>
      </c>
      <c r="L45" s="1">
        <f>VLOOKUP($J$3,[1]!龙魂分图属性,L$4,FALSE)*(AJ45*$AG45)/IF(SUMPRODUCT(AJ$6:AJ$96*$AG$6:$AG$96)=0,1,SUMPRODUCT(AJ$6:AJ$96*$AG$6:$AG$96))</f>
        <v>0</v>
      </c>
      <c r="M45" s="1">
        <f>VLOOKUP($J$3,[1]!龙魂分图属性,M$4,FALSE)*(AK45*$AG45)/IF(SUMPRODUCT(AK$6:AK$96*$AG$6:$AG$96)=0,1,SUMPRODUCT(AK$6:AK$96*$AG$6:$AG$96))</f>
        <v>808.01862290540373</v>
      </c>
      <c r="N45" s="1">
        <f>VLOOKUP($J$3,[1]!龙魂分图属性,N$4,FALSE)*(AL45*$AG45)/IF(SUMPRODUCT(AL$6:AL$96*$AG$6:$AG$96)=0,1,SUMPRODUCT(AL$6:AL$96*$AG$6:$AG$96))</f>
        <v>0</v>
      </c>
      <c r="O45" s="1">
        <f>VLOOKUP($J$3,[1]!龙魂分图属性,O$4,FALSE)*(AM45*$AG45)/IF(SUMPRODUCT(AM$6:AM$96*$AG$6:$AG$96)=0,1,SUMPRODUCT(AM$6:AM$96*$AG$6:$AG$96))</f>
        <v>0</v>
      </c>
      <c r="P45" s="1">
        <f>VLOOKUP($J$3,[1]!龙魂分图属性,P$4,FALSE)*(AN45*$AG45)/IF(SUMPRODUCT(AN$6:AN$96*$AG$6:$AG$96)=0,1,SUMPRODUCT(AN$6:AN$96*$AG$6:$AG$96))</f>
        <v>0</v>
      </c>
      <c r="Q45" s="1">
        <f>VLOOKUP($J$3,[1]!龙魂分图属性,Q$4,FALSE)*(AO45*$AG45)/IF(SUMPRODUCT(AO$6:AO$96*$AG$6:$AG$96)=0,1,SUMPRODUCT(AO$6:AO$96*$AG$6:$AG$96))</f>
        <v>0</v>
      </c>
      <c r="R45" s="1">
        <f t="shared" si="28"/>
        <v>1</v>
      </c>
      <c r="S45" s="1" t="str">
        <f t="array" aca="1" ref="S45" ca="1">OFFSET($I$5,0,MATCH(1,1/(J45:Q45&gt;0),0))</f>
        <v>闪避值</v>
      </c>
      <c r="T45" s="1">
        <f t="shared" si="29"/>
        <v>808</v>
      </c>
      <c r="U45" s="1">
        <f t="shared" si="15"/>
        <v>0.32860704061009532</v>
      </c>
      <c r="V45" s="19">
        <f t="shared" si="30"/>
        <v>274.7263317878373</v>
      </c>
      <c r="W45" s="18">
        <f t="shared" si="16"/>
        <v>53</v>
      </c>
      <c r="X45" s="1">
        <f>(VLOOKUP(W45,[2]龙魂的投放!$G$17:$L$117,6,FALSE)+SUMIF(龙魂整图属性辅助表!$E$12:$E$17,H45,龙魂整图属性辅助表!$T$12:$T$17)/COUNTIF($H$6:$H$96,H45))/INDEX($C$1:$C$2,G45)</f>
        <v>836.03300549427513</v>
      </c>
      <c r="Y45" s="1">
        <f t="shared" si="17"/>
        <v>0.4285714285714286</v>
      </c>
      <c r="Z45" s="1">
        <f ca="1">SMALL($AE$45:$AE$61,AD45+1)</f>
        <v>286</v>
      </c>
      <c r="AA45" s="1">
        <f t="shared" si="19"/>
        <v>2.333333333333333</v>
      </c>
      <c r="AB45" s="18">
        <f t="shared" si="20"/>
        <v>4</v>
      </c>
      <c r="AC45" s="1">
        <f t="shared" ca="1" si="21"/>
        <v>1144</v>
      </c>
      <c r="AD45" s="21">
        <f t="shared" si="24"/>
        <v>0</v>
      </c>
      <c r="AE45" s="21">
        <f t="shared" si="22"/>
        <v>322</v>
      </c>
      <c r="AF45">
        <v>1.1000000000000001</v>
      </c>
      <c r="AG45">
        <f t="shared" si="31"/>
        <v>8.4</v>
      </c>
      <c r="AH45" s="1"/>
      <c r="AI45" s="1"/>
      <c r="AJ45" s="1"/>
      <c r="AK45" s="1">
        <v>1</v>
      </c>
      <c r="AL45" s="1"/>
      <c r="AM45" s="1"/>
      <c r="AN45" s="1"/>
      <c r="AO45" s="1"/>
      <c r="AY45" s="1">
        <v>1025</v>
      </c>
      <c r="AZ45" s="1" t="s">
        <v>9</v>
      </c>
      <c r="BA45" s="1">
        <v>4</v>
      </c>
      <c r="BB45" s="1">
        <v>1024</v>
      </c>
      <c r="BC45" s="1">
        <v>25</v>
      </c>
      <c r="BD45" s="1">
        <v>1</v>
      </c>
      <c r="BE45" s="1">
        <v>1003</v>
      </c>
      <c r="BF45" s="1">
        <v>54</v>
      </c>
      <c r="BG45" s="1">
        <v>5249.6733482350792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1</v>
      </c>
      <c r="BP45" s="1" t="s">
        <v>90</v>
      </c>
      <c r="BQ45" s="1">
        <v>5250</v>
      </c>
      <c r="BR45" s="1"/>
      <c r="BS45" s="1">
        <v>214.40659391446582</v>
      </c>
      <c r="BT45" s="1">
        <v>297.32494266167657</v>
      </c>
      <c r="BU45" s="1"/>
      <c r="BV45" s="1">
        <v>720</v>
      </c>
      <c r="BX45" s="1">
        <v>1</v>
      </c>
      <c r="BY45" s="1"/>
      <c r="BZ45" s="1"/>
      <c r="CA45" s="1"/>
      <c r="CB45" s="1"/>
      <c r="CC45" s="1"/>
      <c r="CD45" s="1"/>
      <c r="CE45" s="1"/>
    </row>
    <row r="46" spans="1:83">
      <c r="A46">
        <v>41</v>
      </c>
      <c r="B46" s="1">
        <f t="shared" si="12"/>
        <v>1026</v>
      </c>
      <c r="C46" s="1" t="s">
        <v>10</v>
      </c>
      <c r="D46" s="1">
        <v>4</v>
      </c>
      <c r="E46" s="1">
        <f t="shared" si="23"/>
        <v>1025</v>
      </c>
      <c r="F46" s="1">
        <f>SUMIF($G$6:G46,G46,$G$6:$G$78)/G46</f>
        <v>26</v>
      </c>
      <c r="G46" s="1">
        <v>1</v>
      </c>
      <c r="H46" s="1">
        <v>1003</v>
      </c>
      <c r="I46" s="1">
        <f t="shared" si="13"/>
        <v>54</v>
      </c>
      <c r="J46" s="1">
        <f>VLOOKUP($J$3,[1]!龙魂分图属性,J$4,FALSE)*(AH46*$AG46)/IF(SUMPRODUCT(AH$6:AH$96*$AG$6:$AG$96)=0,1,SUMPRODUCT(AH$6:AH$96*$AG$6:$AG$96))</f>
        <v>7979.4717378958767</v>
      </c>
      <c r="K46" s="1">
        <f>VLOOKUP($J$3,[1]!龙魂分图属性,K$4,FALSE)*(AI46*$AG46)/IF(SUMPRODUCT(AI$6:AI$96*$AG$6:$AG$96)=0,1,SUMPRODUCT(AI$6:AI$96*$AG$6:$AG$96))</f>
        <v>0</v>
      </c>
      <c r="L46" s="1">
        <f>VLOOKUP($J$3,[1]!龙魂分图属性,L$4,FALSE)*(AJ46*$AG46)/IF(SUMPRODUCT(AJ$6:AJ$96*$AG$6:$AG$96)=0,1,SUMPRODUCT(AJ$6:AJ$96*$AG$6:$AG$96))</f>
        <v>0</v>
      </c>
      <c r="M46" s="1">
        <f>VLOOKUP($J$3,[1]!龙魂分图属性,M$4,FALSE)*(AK46*$AG46)/IF(SUMPRODUCT(AK$6:AK$96*$AG$6:$AG$96)=0,1,SUMPRODUCT(AK$6:AK$96*$AG$6:$AG$96))</f>
        <v>0</v>
      </c>
      <c r="N46" s="1">
        <f>VLOOKUP($J$3,[1]!龙魂分图属性,N$4,FALSE)*(AL46*$AG46)/IF(SUMPRODUCT(AL$6:AL$96*$AG$6:$AG$96)=0,1,SUMPRODUCT(AL$6:AL$96*$AG$6:$AG$96))</f>
        <v>0</v>
      </c>
      <c r="O46" s="1">
        <f>VLOOKUP($J$3,[1]!龙魂分图属性,O$4,FALSE)*(AM46*$AG46)/IF(SUMPRODUCT(AM$6:AM$96*$AG$6:$AG$96)=0,1,SUMPRODUCT(AM$6:AM$96*$AG$6:$AG$96))</f>
        <v>0</v>
      </c>
      <c r="P46" s="1">
        <f>VLOOKUP($J$3,[1]!龙魂分图属性,P$4,FALSE)*(AN46*$AG46)/IF(SUMPRODUCT(AN$6:AN$96*$AG$6:$AG$96)=0,1,SUMPRODUCT(AN$6:AN$96*$AG$6:$AG$96))</f>
        <v>0</v>
      </c>
      <c r="Q46" s="1">
        <f>VLOOKUP($J$3,[1]!龙魂分图属性,Q$4,FALSE)*(AO46*$AG46)/IF(SUMPRODUCT(AO$6:AO$96*$AG$6:$AG$96)=0,1,SUMPRODUCT(AO$6:AO$96*$AG$6:$AG$96))</f>
        <v>0</v>
      </c>
      <c r="R46" s="1">
        <f t="shared" si="28"/>
        <v>1</v>
      </c>
      <c r="S46" s="1" t="str">
        <f t="array" aca="1" ref="S46" ca="1">OFFSET($I$5,0,MATCH(1,1/(J46:Q46&gt;0),0))</f>
        <v>生命</v>
      </c>
      <c r="T46" s="1">
        <f t="shared" si="29"/>
        <v>7979</v>
      </c>
      <c r="U46" s="1">
        <f t="shared" si="15"/>
        <v>0.35815164302697744</v>
      </c>
      <c r="V46" s="19">
        <f t="shared" si="30"/>
        <v>319.17886951583506</v>
      </c>
      <c r="W46" s="18">
        <f t="shared" si="16"/>
        <v>54</v>
      </c>
      <c r="X46" s="1">
        <f>(VLOOKUP(W46,[2]龙魂的投放!$G$17:$L$117,6,FALSE)+SUMIF(龙魂整图属性辅助表!$E$12:$E$17,H46,龙魂整图属性辅助表!$T$12:$T$17)/COUNTIF($H$6:$H$96,H46))/INDEX($C$1:$C$2,G46)</f>
        <v>891.1835970323699</v>
      </c>
      <c r="Y46" s="1">
        <f t="shared" si="17"/>
        <v>0.36</v>
      </c>
      <c r="Z46" s="1">
        <f t="shared" ref="Z46:Z61" ca="1" si="32">SMALL($AE$45:$AE$61,AD46+1)</f>
        <v>288</v>
      </c>
      <c r="AA46" s="1">
        <f t="shared" si="19"/>
        <v>2.7777777777777777</v>
      </c>
      <c r="AB46" s="18">
        <f t="shared" si="20"/>
        <v>4</v>
      </c>
      <c r="AC46" s="1">
        <f t="shared" ca="1" si="21"/>
        <v>1152</v>
      </c>
      <c r="AD46" s="21">
        <f t="shared" si="24"/>
        <v>1</v>
      </c>
      <c r="AE46" s="21">
        <f t="shared" si="22"/>
        <v>305</v>
      </c>
      <c r="AF46">
        <v>1.1299999999999999</v>
      </c>
      <c r="AG46">
        <f t="shared" si="31"/>
        <v>8.52</v>
      </c>
      <c r="AH46" s="1">
        <v>1</v>
      </c>
      <c r="AI46" s="1"/>
      <c r="AJ46" s="1"/>
      <c r="AK46" s="1"/>
      <c r="AL46" s="1"/>
      <c r="AM46" s="1"/>
      <c r="AN46" s="1"/>
      <c r="AO46" s="1"/>
      <c r="AY46" s="1">
        <v>1026</v>
      </c>
      <c r="AZ46" s="1" t="s">
        <v>10</v>
      </c>
      <c r="BA46" s="1">
        <v>4</v>
      </c>
      <c r="BB46" s="1">
        <v>1025</v>
      </c>
      <c r="BC46" s="1">
        <v>26</v>
      </c>
      <c r="BD46" s="1">
        <v>1</v>
      </c>
      <c r="BE46" s="1">
        <v>1003</v>
      </c>
      <c r="BF46" s="1">
        <v>55</v>
      </c>
      <c r="BG46" s="1">
        <v>5308.0030521043573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886.61551577152579</v>
      </c>
      <c r="BO46" s="1">
        <v>2</v>
      </c>
      <c r="BP46" s="1" t="s">
        <v>90</v>
      </c>
      <c r="BQ46" s="1">
        <v>6195</v>
      </c>
      <c r="BR46" s="1"/>
      <c r="BS46" s="1">
        <v>287.58825548968673</v>
      </c>
      <c r="BT46" s="1">
        <v>327.2831255863307</v>
      </c>
      <c r="BU46" s="1"/>
      <c r="BV46" s="1">
        <v>1455.9999999999998</v>
      </c>
      <c r="BX46" s="1">
        <v>1</v>
      </c>
      <c r="BY46" s="1"/>
      <c r="BZ46" s="1"/>
      <c r="CA46" s="1"/>
      <c r="CB46" s="1"/>
      <c r="CC46" s="1"/>
      <c r="CD46" s="1"/>
      <c r="CE46" s="1"/>
    </row>
    <row r="47" spans="1:83">
      <c r="A47">
        <v>42</v>
      </c>
      <c r="B47" s="1">
        <f t="shared" si="12"/>
        <v>2016</v>
      </c>
      <c r="C47" s="1" t="s">
        <v>23</v>
      </c>
      <c r="D47" s="1">
        <v>4</v>
      </c>
      <c r="E47" s="1">
        <f t="shared" si="23"/>
        <v>1026</v>
      </c>
      <c r="F47" s="1">
        <f>SUMIF($G$6:G47,G47,$G$6:$G$78)/G47</f>
        <v>16</v>
      </c>
      <c r="G47" s="1">
        <v>2</v>
      </c>
      <c r="H47" s="1">
        <v>1003</v>
      </c>
      <c r="I47" s="1">
        <f t="shared" ca="1" si="13"/>
        <v>54</v>
      </c>
      <c r="J47" s="1">
        <f>VLOOKUP($J$3,[1]!龙魂分图属性,J$4,FALSE)*(AH47*$AG47)/IF(SUMPRODUCT(AH$6:AH$96*$AG$6:$AG$96)=0,1,SUMPRODUCT(AH$6:AH$96*$AG$6:$AG$96))</f>
        <v>0</v>
      </c>
      <c r="K47" s="1">
        <f>VLOOKUP($J$3,[1]!龙魂分图属性,K$4,FALSE)*(AI47*$AG47)/IF(SUMPRODUCT(AI$6:AI$96*$AG$6:$AG$96)=0,1,SUMPRODUCT(AI$6:AI$96*$AG$6:$AG$96))</f>
        <v>0</v>
      </c>
      <c r="L47" s="1">
        <f>VLOOKUP($J$3,[1]!龙魂分图属性,L$4,FALSE)*(AJ47*$AG47)/IF(SUMPRODUCT(AJ$6:AJ$96*$AG$6:$AG$96)=0,1,SUMPRODUCT(AJ$6:AJ$96*$AG$6:$AG$96))</f>
        <v>0</v>
      </c>
      <c r="M47" s="1">
        <f>VLOOKUP($J$3,[1]!龙魂分图属性,M$4,FALSE)*(AK47*$AG47)/IF(SUMPRODUCT(AK$6:AK$96*$AG$6:$AG$96)=0,1,SUMPRODUCT(AK$6:AK$96*$AG$6:$AG$96))</f>
        <v>0</v>
      </c>
      <c r="N47" s="1">
        <f>VLOOKUP($J$3,[1]!龙魂分图属性,N$4,FALSE)*(AL47*$AG47)/IF(SUMPRODUCT(AL$6:AL$96*$AG$6:$AG$96)=0,1,SUMPRODUCT(AL$6:AL$96*$AG$6:$AG$96))</f>
        <v>0</v>
      </c>
      <c r="O47" s="1">
        <f>VLOOKUP($J$3,[1]!龙魂分图属性,O$4,FALSE)*(AM47*$AG47)/IF(SUMPRODUCT(AM$6:AM$96*$AG$6:$AG$96)=0,1,SUMPRODUCT(AM$6:AM$96*$AG$6:$AG$96))</f>
        <v>1633.9498468172019</v>
      </c>
      <c r="P47" s="1">
        <f>VLOOKUP($J$3,[1]!龙魂分图属性,P$4,FALSE)*(AN47*$AG47)/IF(SUMPRODUCT(AN$6:AN$96*$AG$6:$AG$96)=0,1,SUMPRODUCT(AN$6:AN$96*$AG$6:$AG$96))</f>
        <v>0</v>
      </c>
      <c r="Q47" s="1">
        <f>VLOOKUP($J$3,[1]!龙魂分图属性,Q$4,FALSE)*(AO47*$AG47)/IF(SUMPRODUCT(AO$6:AO$96*$AG$6:$AG$96)=0,1,SUMPRODUCT(AO$6:AO$96*$AG$6:$AG$96))</f>
        <v>0</v>
      </c>
      <c r="R47" s="1">
        <f t="shared" si="28"/>
        <v>1</v>
      </c>
      <c r="S47" s="1" t="str">
        <f t="array" aca="1" ref="S47" ca="1">OFFSET($I$5,0,MATCH(1,1/(J47:Q47&gt;0),0))</f>
        <v>暴击值</v>
      </c>
      <c r="T47" s="1">
        <f t="shared" si="29"/>
        <v>1634</v>
      </c>
      <c r="U47" s="1">
        <f t="shared" ca="1" si="15"/>
        <v>0.15489486090232782</v>
      </c>
      <c r="V47" s="19">
        <f t="shared" si="30"/>
        <v>294.11097242709633</v>
      </c>
      <c r="W47" s="18">
        <f t="shared" ca="1" si="16"/>
        <v>55</v>
      </c>
      <c r="X47" s="1">
        <f ca="1">(VLOOKUP(W47,[2]龙魂的投放!$G$17:$L$117,6,FALSE)+SUMIF(龙魂整图属性辅助表!$E$12:$E$17,H47,龙魂整图属性辅助表!$T$12:$T$17)/COUNTIF($H$6:$H$96,H47))/INDEX($C$1:$C$2,G47)</f>
        <v>1898.7781177101424</v>
      </c>
      <c r="Y47" s="1">
        <f t="shared" ca="1" si="17"/>
        <v>0.21311475409836067</v>
      </c>
      <c r="Z47" s="1">
        <f ca="1">AE48</f>
        <v>397</v>
      </c>
      <c r="AA47" s="1">
        <f t="shared" ca="1" si="19"/>
        <v>4.6923076923076916</v>
      </c>
      <c r="AB47" s="18">
        <f t="shared" ca="1" si="20"/>
        <v>7</v>
      </c>
      <c r="AC47" s="1">
        <f t="shared" ca="1" si="21"/>
        <v>2779</v>
      </c>
      <c r="AD47" s="21">
        <f t="shared" ca="1" si="24"/>
        <v>2</v>
      </c>
      <c r="AE47" s="21">
        <f t="shared" ca="1" si="22"/>
        <v>405</v>
      </c>
      <c r="AF47">
        <v>1.1599999999999999</v>
      </c>
      <c r="AG47">
        <f t="shared" si="31"/>
        <v>8.64</v>
      </c>
      <c r="AH47" s="1"/>
      <c r="AI47" s="1"/>
      <c r="AJ47" s="1"/>
      <c r="AK47" s="1"/>
      <c r="AL47" s="1"/>
      <c r="AM47" s="1">
        <v>1.5</v>
      </c>
      <c r="AN47" s="1"/>
      <c r="AO47" s="1"/>
      <c r="AY47" s="1">
        <v>2016</v>
      </c>
      <c r="AZ47" s="1" t="s">
        <v>11</v>
      </c>
      <c r="BA47" s="1">
        <v>4</v>
      </c>
      <c r="BB47" s="1">
        <v>1026</v>
      </c>
      <c r="BC47" s="1">
        <v>16</v>
      </c>
      <c r="BD47" s="1">
        <v>2</v>
      </c>
      <c r="BE47" s="1">
        <v>1003</v>
      </c>
      <c r="BF47" s="1">
        <v>56</v>
      </c>
      <c r="BG47" s="1">
        <v>8049.4991339604539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1</v>
      </c>
      <c r="BP47" s="1" t="s">
        <v>90</v>
      </c>
      <c r="BQ47" s="1">
        <v>8049</v>
      </c>
      <c r="BR47" s="1"/>
      <c r="BS47" s="1">
        <v>328.75677733551424</v>
      </c>
      <c r="BT47" s="1">
        <v>720.51973396286644</v>
      </c>
      <c r="BU47" s="1"/>
      <c r="BV47" s="1">
        <v>1104</v>
      </c>
      <c r="BX47" s="1"/>
      <c r="BY47" s="1"/>
      <c r="BZ47" s="1"/>
      <c r="CA47" s="1">
        <v>1.5</v>
      </c>
      <c r="CB47" s="1"/>
      <c r="CC47" s="1"/>
      <c r="CD47" s="1"/>
      <c r="CE47" s="1"/>
    </row>
    <row r="48" spans="1:83">
      <c r="A48">
        <v>43</v>
      </c>
      <c r="B48" s="1">
        <f t="shared" si="12"/>
        <v>2017</v>
      </c>
      <c r="C48" s="1" t="s">
        <v>12</v>
      </c>
      <c r="D48" s="1">
        <v>4</v>
      </c>
      <c r="E48" s="1">
        <f t="shared" si="23"/>
        <v>2016</v>
      </c>
      <c r="F48" s="1">
        <f>SUMIF($G$6:G48,G48,$G$6:$G$78)/G48</f>
        <v>17</v>
      </c>
      <c r="G48" s="1">
        <v>2</v>
      </c>
      <c r="H48" s="1">
        <v>1003</v>
      </c>
      <c r="I48" s="1">
        <f t="shared" ca="1" si="13"/>
        <v>54</v>
      </c>
      <c r="J48" s="1">
        <f>VLOOKUP($J$3,[1]!龙魂分图属性,J$4,FALSE)*(AH48*$AG48)/IF(SUMPRODUCT(AH$6:AH$96*$AG$6:$AG$96)=0,1,SUMPRODUCT(AH$6:AH$96*$AG$6:$AG$96))</f>
        <v>0</v>
      </c>
      <c r="K48" s="1">
        <f>VLOOKUP($J$3,[1]!龙魂分图属性,K$4,FALSE)*(AI48*$AG48)/IF(SUMPRODUCT(AI$6:AI$96*$AG$6:$AG$96)=0,1,SUMPRODUCT(AI$6:AI$96*$AG$6:$AG$96))</f>
        <v>451.32940485253266</v>
      </c>
      <c r="L48" s="1">
        <f>VLOOKUP($J$3,[1]!龙魂分图属性,L$4,FALSE)*(AJ48*$AG48)/IF(SUMPRODUCT(AJ$6:AJ$96*$AG$6:$AG$96)=0,1,SUMPRODUCT(AJ$6:AJ$96*$AG$6:$AG$96))</f>
        <v>0</v>
      </c>
      <c r="M48" s="1">
        <f>VLOOKUP($J$3,[1]!龙魂分图属性,M$4,FALSE)*(AK48*$AG48)/IF(SUMPRODUCT(AK$6:AK$96*$AG$6:$AG$96)=0,1,SUMPRODUCT(AK$6:AK$96*$AG$6:$AG$96))</f>
        <v>0</v>
      </c>
      <c r="N48" s="1">
        <f>VLOOKUP($J$3,[1]!龙魂分图属性,N$4,FALSE)*(AL48*$AG48)/IF(SUMPRODUCT(AL$6:AL$96*$AG$6:$AG$96)=0,1,SUMPRODUCT(AL$6:AL$96*$AG$6:$AG$96))</f>
        <v>0</v>
      </c>
      <c r="O48" s="1">
        <f>VLOOKUP($J$3,[1]!龙魂分图属性,O$4,FALSE)*(AM48*$AG48)/IF(SUMPRODUCT(AM$6:AM$96*$AG$6:$AG$96)=0,1,SUMPRODUCT(AM$6:AM$96*$AG$6:$AG$96))</f>
        <v>0</v>
      </c>
      <c r="P48" s="1">
        <f>VLOOKUP($J$3,[1]!龙魂分图属性,P$4,FALSE)*(AN48*$AG48)/IF(SUMPRODUCT(AN$6:AN$96*$AG$6:$AG$96)=0,1,SUMPRODUCT(AN$6:AN$96*$AG$6:$AG$96))</f>
        <v>0</v>
      </c>
      <c r="Q48" s="1">
        <f>VLOOKUP($J$3,[1]!龙魂分图属性,Q$4,FALSE)*(AO48*$AG48)/IF(SUMPRODUCT(AO$6:AO$96*$AG$6:$AG$96)=0,1,SUMPRODUCT(AO$6:AO$96*$AG$6:$AG$96))</f>
        <v>0</v>
      </c>
      <c r="R48" s="1">
        <f t="shared" si="28"/>
        <v>1</v>
      </c>
      <c r="S48" s="1" t="str">
        <f t="array" aca="1" ref="S48" ca="1">OFFSET($I$5,0,MATCH(1,1/(J48:Q48&gt;0),0))</f>
        <v>攻击</v>
      </c>
      <c r="T48" s="1">
        <f t="shared" si="29"/>
        <v>451</v>
      </c>
      <c r="U48" s="1">
        <f t="shared" ca="1" si="15"/>
        <v>0.22477248872481961</v>
      </c>
      <c r="V48" s="19">
        <f t="shared" si="30"/>
        <v>451.32940485253266</v>
      </c>
      <c r="W48" s="18">
        <f t="shared" ca="1" si="16"/>
        <v>56</v>
      </c>
      <c r="X48" s="1">
        <f ca="1">(VLOOKUP(W48,[2]龙魂的投放!$G$17:$L$117,6,FALSE)+SUMIF(龙魂整图属性辅助表!$E$12:$E$17,H48,龙魂整图属性辅助表!$T$12:$T$17)/COUNTIF($H$6:$H$96,H48))/INDEX($C$1:$C$2,G48)</f>
        <v>2007.9388158800789</v>
      </c>
      <c r="Y48" s="1">
        <f t="shared" ca="1" si="17"/>
        <v>0.18840579710144922</v>
      </c>
      <c r="Z48" s="1">
        <f ca="1">AE49</f>
        <v>396</v>
      </c>
      <c r="AA48" s="1">
        <f t="shared" ca="1" si="19"/>
        <v>5.3076923076923093</v>
      </c>
      <c r="AB48" s="18">
        <f t="shared" ca="1" si="20"/>
        <v>8</v>
      </c>
      <c r="AC48" s="1">
        <f t="shared" ca="1" si="21"/>
        <v>3168</v>
      </c>
      <c r="AD48" s="21">
        <f t="shared" ca="1" si="24"/>
        <v>3</v>
      </c>
      <c r="AE48" s="21">
        <f t="shared" ca="1" si="22"/>
        <v>397</v>
      </c>
      <c r="AF48">
        <v>1.19</v>
      </c>
      <c r="AG48">
        <f t="shared" si="31"/>
        <v>8.76</v>
      </c>
      <c r="AH48" s="1"/>
      <c r="AI48" s="1">
        <v>1.5</v>
      </c>
      <c r="AJ48" s="1"/>
      <c r="AK48" s="1"/>
      <c r="AL48" s="1"/>
      <c r="AM48" s="1"/>
      <c r="AN48" s="1"/>
      <c r="AO48" s="1"/>
      <c r="AY48" s="1">
        <v>2017</v>
      </c>
      <c r="AZ48" s="1" t="s">
        <v>12</v>
      </c>
      <c r="BA48" s="1">
        <v>4</v>
      </c>
      <c r="BB48" s="1">
        <v>2016</v>
      </c>
      <c r="BC48" s="1">
        <v>17</v>
      </c>
      <c r="BD48" s="1">
        <v>2</v>
      </c>
      <c r="BE48" s="1">
        <v>1003</v>
      </c>
      <c r="BF48" s="1">
        <v>57</v>
      </c>
      <c r="BG48" s="1">
        <v>0</v>
      </c>
      <c r="BH48" s="1">
        <v>140.48383254232186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1</v>
      </c>
      <c r="BP48" s="1" t="s">
        <v>91</v>
      </c>
      <c r="BQ48" s="1">
        <v>140</v>
      </c>
      <c r="BR48" s="1"/>
      <c r="BS48" s="1">
        <v>140.48383254232186</v>
      </c>
      <c r="BT48" s="1">
        <v>793.11862794615558</v>
      </c>
      <c r="BU48" s="1"/>
      <c r="BV48" s="1">
        <v>744</v>
      </c>
      <c r="BX48" s="1"/>
      <c r="BY48" s="1">
        <v>1.5</v>
      </c>
      <c r="BZ48" s="1"/>
      <c r="CA48" s="1"/>
      <c r="CB48" s="1"/>
      <c r="CC48" s="1"/>
      <c r="CD48" s="1"/>
      <c r="CE48" s="1"/>
    </row>
    <row r="49" spans="1:83">
      <c r="A49">
        <v>44</v>
      </c>
      <c r="B49" s="1">
        <f t="shared" si="12"/>
        <v>2018</v>
      </c>
      <c r="C49" s="1" t="s">
        <v>13</v>
      </c>
      <c r="D49" s="1">
        <v>4</v>
      </c>
      <c r="E49" s="1">
        <f t="shared" si="23"/>
        <v>2017</v>
      </c>
      <c r="F49" s="1">
        <f>SUMIF($G$6:G49,G49,$G$6:$G$78)/G49</f>
        <v>18</v>
      </c>
      <c r="G49" s="1">
        <v>2</v>
      </c>
      <c r="H49" s="1">
        <v>1003</v>
      </c>
      <c r="I49" s="1">
        <f t="shared" ca="1" si="13"/>
        <v>54</v>
      </c>
      <c r="J49" s="1">
        <f>VLOOKUP($J$3,[1]!龙魂分图属性,J$4,FALSE)*(AH49*$AG49)/IF(SUMPRODUCT(AH$6:AH$96*$AG$6:$AG$96)=0,1,SUMPRODUCT(AH$6:AH$96*$AG$6:$AG$96))</f>
        <v>0</v>
      </c>
      <c r="K49" s="1">
        <f>VLOOKUP($J$3,[1]!龙魂分图属性,K$4,FALSE)*(AI49*$AG49)/IF(SUMPRODUCT(AI$6:AI$96*$AG$6:$AG$96)=0,1,SUMPRODUCT(AI$6:AI$96*$AG$6:$AG$96))</f>
        <v>0</v>
      </c>
      <c r="L49" s="1">
        <f>VLOOKUP($J$3,[1]!龙魂分图属性,L$4,FALSE)*(AJ49*$AG49)/IF(SUMPRODUCT(AJ$6:AJ$96*$AG$6:$AG$96)=0,1,SUMPRODUCT(AJ$6:AJ$96*$AG$6:$AG$96))</f>
        <v>0</v>
      </c>
      <c r="M49" s="1">
        <f>VLOOKUP($J$3,[1]!龙魂分图属性,M$4,FALSE)*(AK49*$AG49)/IF(SUMPRODUCT(AK$6:AK$96*$AG$6:$AG$96)=0,1,SUMPRODUCT(AK$6:AK$96*$AG$6:$AG$96))</f>
        <v>1281.286673464283</v>
      </c>
      <c r="N49" s="1">
        <f>VLOOKUP($J$3,[1]!龙魂分图属性,N$4,FALSE)*(AL49*$AG49)/IF(SUMPRODUCT(AL$6:AL$96*$AG$6:$AG$96)=0,1,SUMPRODUCT(AL$6:AL$96*$AG$6:$AG$96))</f>
        <v>0</v>
      </c>
      <c r="O49" s="1">
        <f>VLOOKUP($J$3,[1]!龙魂分图属性,O$4,FALSE)*(AM49*$AG49)/IF(SUMPRODUCT(AM$6:AM$96*$AG$6:$AG$96)=0,1,SUMPRODUCT(AM$6:AM$96*$AG$6:$AG$96))</f>
        <v>0</v>
      </c>
      <c r="P49" s="1">
        <f>VLOOKUP($J$3,[1]!龙魂分图属性,P$4,FALSE)*(AN49*$AG49)/IF(SUMPRODUCT(AN$6:AN$96*$AG$6:$AG$96)=0,1,SUMPRODUCT(AN$6:AN$96*$AG$6:$AG$96))</f>
        <v>0</v>
      </c>
      <c r="Q49" s="1">
        <f>VLOOKUP($J$3,[1]!龙魂分图属性,Q$4,FALSE)*(AO49*$AG49)/IF(SUMPRODUCT(AO$6:AO$96*$AG$6:$AG$96)=0,1,SUMPRODUCT(AO$6:AO$96*$AG$6:$AG$96))</f>
        <v>0</v>
      </c>
      <c r="R49" s="1">
        <f t="shared" si="28"/>
        <v>1</v>
      </c>
      <c r="S49" s="1" t="str">
        <f t="array" aca="1" ref="S49" ca="1">OFFSET($I$5,0,MATCH(1,1/(J49:Q49&gt;0),0))</f>
        <v>闪避值</v>
      </c>
      <c r="T49" s="1">
        <f t="shared" si="29"/>
        <v>1281</v>
      </c>
      <c r="U49" s="1">
        <f t="shared" ca="1" si="15"/>
        <v>0.20409552184921848</v>
      </c>
      <c r="V49" s="19">
        <f t="shared" si="30"/>
        <v>435.63746897785626</v>
      </c>
      <c r="W49" s="18">
        <f t="shared" ca="1" si="16"/>
        <v>57</v>
      </c>
      <c r="X49" s="1">
        <f ca="1">(VLOOKUP(W49,[2]龙魂的投放!$G$17:$L$117,6,FALSE)+SUMIF(龙魂整图属性辅助表!$E$12:$E$17,H49,龙魂整图属性辅助表!$T$12:$T$17)/COUNTIF($H$6:$H$96,H49))/INDEX($C$1:$C$2,G49)</f>
        <v>2134.47833166911</v>
      </c>
      <c r="Y49" s="1">
        <f t="shared" ca="1" si="17"/>
        <v>0.16883116883116878</v>
      </c>
      <c r="Z49" s="1">
        <f ca="1">AE47</f>
        <v>405</v>
      </c>
      <c r="AA49" s="1">
        <f t="shared" ca="1" si="19"/>
        <v>5.9230769230769251</v>
      </c>
      <c r="AB49" s="18">
        <f t="shared" ca="1" si="20"/>
        <v>8</v>
      </c>
      <c r="AC49" s="1">
        <f t="shared" ca="1" si="21"/>
        <v>3240</v>
      </c>
      <c r="AD49" s="21">
        <f t="shared" ca="1" si="24"/>
        <v>4</v>
      </c>
      <c r="AE49" s="21">
        <f t="shared" ca="1" si="22"/>
        <v>396</v>
      </c>
      <c r="AF49">
        <v>1.22</v>
      </c>
      <c r="AG49">
        <f t="shared" si="31"/>
        <v>8.879999999999999</v>
      </c>
      <c r="AH49" s="1"/>
      <c r="AI49" s="1"/>
      <c r="AJ49" s="1"/>
      <c r="AK49" s="1">
        <v>1.5</v>
      </c>
      <c r="AL49" s="1"/>
      <c r="AM49" s="1"/>
      <c r="AN49" s="1"/>
      <c r="AO49" s="1"/>
      <c r="AY49" s="1">
        <v>2018</v>
      </c>
      <c r="AZ49" s="1" t="s">
        <v>103</v>
      </c>
      <c r="BA49" s="1">
        <v>4</v>
      </c>
      <c r="BB49" s="1">
        <v>2017</v>
      </c>
      <c r="BC49" s="1">
        <v>18</v>
      </c>
      <c r="BD49" s="1">
        <v>2</v>
      </c>
      <c r="BE49" s="1">
        <v>1003</v>
      </c>
      <c r="BF49" s="1">
        <v>58</v>
      </c>
      <c r="BG49" s="1">
        <v>0</v>
      </c>
      <c r="BH49" s="1">
        <v>0</v>
      </c>
      <c r="BI49" s="1">
        <v>78.104033590367251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1</v>
      </c>
      <c r="BP49" s="1" t="s">
        <v>92</v>
      </c>
      <c r="BQ49" s="1">
        <v>78</v>
      </c>
      <c r="BR49" s="1"/>
      <c r="BS49" s="1">
        <v>78.104033590367251</v>
      </c>
      <c r="BT49" s="1">
        <v>873.03251853419908</v>
      </c>
      <c r="BU49" s="1"/>
      <c r="BV49" s="1">
        <v>752</v>
      </c>
      <c r="BX49" s="1"/>
      <c r="BY49" s="1"/>
      <c r="BZ49" s="1">
        <v>1.5</v>
      </c>
      <c r="CA49" s="1"/>
      <c r="CB49" s="1"/>
      <c r="CC49" s="1"/>
      <c r="CD49" s="1"/>
      <c r="CE49" s="1"/>
    </row>
    <row r="50" spans="1:83">
      <c r="A50">
        <v>45</v>
      </c>
      <c r="B50" s="1">
        <f t="shared" si="12"/>
        <v>2019</v>
      </c>
      <c r="C50" s="1" t="s">
        <v>14</v>
      </c>
      <c r="D50" s="1">
        <v>4</v>
      </c>
      <c r="E50" s="1">
        <f t="shared" si="23"/>
        <v>2018</v>
      </c>
      <c r="F50" s="1">
        <f>SUMIF($G$6:G50,G50,$G$6:$G$78)/G50</f>
        <v>19</v>
      </c>
      <c r="G50" s="1">
        <v>2</v>
      </c>
      <c r="H50" s="1">
        <v>1003</v>
      </c>
      <c r="I50" s="1">
        <f t="shared" ca="1" si="13"/>
        <v>54</v>
      </c>
      <c r="J50" s="1">
        <f>VLOOKUP($J$3,[1]!龙魂分图属性,J$4,FALSE)*(AH50*$AG50)/IF(SUMPRODUCT(AH$6:AH$96*$AG$6:$AG$96)=0,1,SUMPRODUCT(AH$6:AH$96*$AG$6:$AG$96))</f>
        <v>12643.529162158962</v>
      </c>
      <c r="K50" s="1">
        <f>VLOOKUP($J$3,[1]!龙魂分图属性,K$4,FALSE)*(AI50*$AG50)/IF(SUMPRODUCT(AI$6:AI$96*$AG$6:$AG$96)=0,1,SUMPRODUCT(AI$6:AI$96*$AG$6:$AG$96))</f>
        <v>0</v>
      </c>
      <c r="L50" s="1">
        <f>VLOOKUP($J$3,[1]!龙魂分图属性,L$4,FALSE)*(AJ50*$AG50)/IF(SUMPRODUCT(AJ$6:AJ$96*$AG$6:$AG$96)=0,1,SUMPRODUCT(AJ$6:AJ$96*$AG$6:$AG$96))</f>
        <v>0</v>
      </c>
      <c r="M50" s="1">
        <f>VLOOKUP($J$3,[1]!龙魂分图属性,M$4,FALSE)*(AK50*$AG50)/IF(SUMPRODUCT(AK$6:AK$96*$AG$6:$AG$96)=0,1,SUMPRODUCT(AK$6:AK$96*$AG$6:$AG$96))</f>
        <v>0</v>
      </c>
      <c r="N50" s="1">
        <f>VLOOKUP($J$3,[1]!龙魂分图属性,N$4,FALSE)*(AL50*$AG50)/IF(SUMPRODUCT(AL$6:AL$96*$AG$6:$AG$96)=0,1,SUMPRODUCT(AL$6:AL$96*$AG$6:$AG$96))</f>
        <v>0</v>
      </c>
      <c r="O50" s="1">
        <f>VLOOKUP($J$3,[1]!龙魂分图属性,O$4,FALSE)*(AM50*$AG50)/IF(SUMPRODUCT(AM$6:AM$96*$AG$6:$AG$96)=0,1,SUMPRODUCT(AM$6:AM$96*$AG$6:$AG$96))</f>
        <v>0</v>
      </c>
      <c r="P50" s="1">
        <f>VLOOKUP($J$3,[1]!龙魂分图属性,P$4,FALSE)*(AN50*$AG50)/IF(SUMPRODUCT(AN$6:AN$96*$AG$6:$AG$96)=0,1,SUMPRODUCT(AN$6:AN$96*$AG$6:$AG$96))</f>
        <v>0</v>
      </c>
      <c r="Q50" s="1">
        <f>VLOOKUP($J$3,[1]!龙魂分图属性,Q$4,FALSE)*(AO50*$AG50)/IF(SUMPRODUCT(AO$6:AO$96*$AG$6:$AG$96)=0,1,SUMPRODUCT(AO$6:AO$96*$AG$6:$AG$96))</f>
        <v>0</v>
      </c>
      <c r="R50" s="1">
        <f t="shared" si="28"/>
        <v>1</v>
      </c>
      <c r="S50" s="1" t="str">
        <f t="array" aca="1" ref="S50" ca="1">OFFSET($I$5,0,MATCH(1,1/(J50:Q50&gt;0),0))</f>
        <v>生命</v>
      </c>
      <c r="T50" s="1">
        <f t="shared" si="29"/>
        <v>12644</v>
      </c>
      <c r="U50" s="1">
        <f t="shared" ca="1" si="15"/>
        <v>0.19242344366507133</v>
      </c>
      <c r="V50" s="19">
        <f t="shared" si="30"/>
        <v>505.74116648635851</v>
      </c>
      <c r="W50" s="18">
        <f t="shared" ca="1" si="16"/>
        <v>58</v>
      </c>
      <c r="X50" s="1">
        <f ca="1">(VLOOKUP(W50,[2]龙魂的投放!$G$17:$L$117,6,FALSE)+SUMIF(龙魂整图属性辅助表!$E$12:$E$17,H50,龙魂整图属性辅助表!$T$12:$T$17)/COUNTIF($H$6:$H$96,H50))/INDEX($C$1:$C$2,G50)</f>
        <v>2628.2720902066494</v>
      </c>
      <c r="Y50" s="1">
        <f t="shared" ca="1" si="17"/>
        <v>0.15294117647058825</v>
      </c>
      <c r="Z50" s="1">
        <f ca="1">AE50</f>
        <v>462</v>
      </c>
      <c r="AA50" s="1">
        <f t="shared" ca="1" si="19"/>
        <v>6.5384615384615383</v>
      </c>
      <c r="AB50" s="18">
        <f t="shared" ca="1" si="20"/>
        <v>9</v>
      </c>
      <c r="AC50" s="1">
        <f t="shared" ca="1" si="21"/>
        <v>4158</v>
      </c>
      <c r="AD50" s="21">
        <f t="shared" ca="1" si="24"/>
        <v>5</v>
      </c>
      <c r="AE50" s="21">
        <f t="shared" ca="1" si="22"/>
        <v>462</v>
      </c>
      <c r="AF50">
        <v>1.25</v>
      </c>
      <c r="AG50">
        <f t="shared" si="31"/>
        <v>9</v>
      </c>
      <c r="AH50" s="1">
        <v>1.5</v>
      </c>
      <c r="AI50" s="1"/>
      <c r="AJ50" s="1"/>
      <c r="AK50" s="1"/>
      <c r="AL50" s="1"/>
      <c r="AM50" s="1"/>
      <c r="AN50" s="1"/>
      <c r="AO50" s="1"/>
      <c r="AY50" s="1">
        <v>2019</v>
      </c>
      <c r="AZ50" s="1" t="s">
        <v>14</v>
      </c>
      <c r="BA50" s="1">
        <v>4</v>
      </c>
      <c r="BB50" s="1">
        <v>2018</v>
      </c>
      <c r="BC50" s="1">
        <v>19</v>
      </c>
      <c r="BD50" s="1">
        <v>2</v>
      </c>
      <c r="BE50" s="1">
        <v>1003</v>
      </c>
      <c r="BF50" s="1">
        <v>59</v>
      </c>
      <c r="BG50" s="1">
        <v>0</v>
      </c>
      <c r="BH50" s="1">
        <v>0</v>
      </c>
      <c r="BI50" s="1">
        <v>0</v>
      </c>
      <c r="BJ50" s="1">
        <v>523.88682665894612</v>
      </c>
      <c r="BK50" s="1">
        <v>0</v>
      </c>
      <c r="BL50" s="1">
        <v>0</v>
      </c>
      <c r="BM50" s="1">
        <v>0</v>
      </c>
      <c r="BN50" s="1">
        <v>0</v>
      </c>
      <c r="BO50" s="1">
        <v>1</v>
      </c>
      <c r="BP50" s="1" t="s">
        <v>93</v>
      </c>
      <c r="BQ50" s="1">
        <v>524</v>
      </c>
      <c r="BR50" s="1"/>
      <c r="BS50" s="1">
        <v>85.072625169156908</v>
      </c>
      <c r="BT50" s="1">
        <v>960.99845793801035</v>
      </c>
      <c r="BU50" s="1"/>
      <c r="BV50" s="1">
        <v>760</v>
      </c>
      <c r="BX50" s="1">
        <v>1.5</v>
      </c>
      <c r="BY50" s="1"/>
      <c r="BZ50" s="1"/>
      <c r="CA50" s="1"/>
      <c r="CB50" s="1"/>
      <c r="CC50" s="1"/>
      <c r="CD50" s="1"/>
      <c r="CE50" s="1"/>
    </row>
    <row r="51" spans="1:83">
      <c r="A51">
        <v>46</v>
      </c>
      <c r="B51" s="1">
        <f t="shared" si="12"/>
        <v>1027</v>
      </c>
      <c r="C51" s="1" t="s">
        <v>15</v>
      </c>
      <c r="D51" s="1">
        <v>4</v>
      </c>
      <c r="E51" s="1">
        <v>1026</v>
      </c>
      <c r="F51" s="1">
        <f>SUMIF($G$6:G51,G51,$G$6:$G$78)/G51</f>
        <v>27</v>
      </c>
      <c r="G51" s="1">
        <v>1</v>
      </c>
      <c r="H51" s="1">
        <v>1003</v>
      </c>
      <c r="I51" s="1">
        <f t="shared" si="13"/>
        <v>55</v>
      </c>
      <c r="J51" s="1">
        <f>VLOOKUP($J$3,[1]!龙魂分图属性,J$4,FALSE)*(AH51*$AG51)/IF(SUMPRODUCT(AH$6:AH$96*$AG$6:$AG$96)=0,1,SUMPRODUCT(AH$6:AH$96*$AG$6:$AG$96))</f>
        <v>0</v>
      </c>
      <c r="K51" s="1">
        <f>VLOOKUP($J$3,[1]!龙魂分图属性,K$4,FALSE)*(AI51*$AG51)/IF(SUMPRODUCT(AI$6:AI$96*$AG$6:$AG$96)=0,1,SUMPRODUCT(AI$6:AI$96*$AG$6:$AG$96))</f>
        <v>313.25145907573045</v>
      </c>
      <c r="L51" s="1">
        <f>VLOOKUP($J$3,[1]!龙魂分图属性,L$4,FALSE)*(AJ51*$AG51)/IF(SUMPRODUCT(AJ$6:AJ$96*$AG$6:$AG$96)=0,1,SUMPRODUCT(AJ$6:AJ$96*$AG$6:$AG$96))</f>
        <v>0</v>
      </c>
      <c r="M51" s="1">
        <f>VLOOKUP($J$3,[1]!龙魂分图属性,M$4,FALSE)*(AK51*$AG51)/IF(SUMPRODUCT(AK$6:AK$96*$AG$6:$AG$96)=0,1,SUMPRODUCT(AK$6:AK$96*$AG$6:$AG$96))</f>
        <v>0</v>
      </c>
      <c r="N51" s="1">
        <f>VLOOKUP($J$3,[1]!龙魂分图属性,N$4,FALSE)*(AL51*$AG51)/IF(SUMPRODUCT(AL$6:AL$96*$AG$6:$AG$96)=0,1,SUMPRODUCT(AL$6:AL$96*$AG$6:$AG$96))</f>
        <v>0</v>
      </c>
      <c r="O51" s="1">
        <f>VLOOKUP($J$3,[1]!龙魂分图属性,O$4,FALSE)*(AM51*$AG51)/IF(SUMPRODUCT(AM$6:AM$96*$AG$6:$AG$96)=0,1,SUMPRODUCT(AM$6:AM$96*$AG$6:$AG$96))</f>
        <v>0</v>
      </c>
      <c r="P51" s="1">
        <f>VLOOKUP($J$3,[1]!龙魂分图属性,P$4,FALSE)*(AN51*$AG51)/IF(SUMPRODUCT(AN$6:AN$96*$AG$6:$AG$96)=0,1,SUMPRODUCT(AN$6:AN$96*$AG$6:$AG$96))</f>
        <v>0</v>
      </c>
      <c r="Q51" s="1">
        <f>VLOOKUP($J$3,[1]!龙魂分图属性,Q$4,FALSE)*(AO51*$AG51)/IF(SUMPRODUCT(AO$6:AO$96*$AG$6:$AG$96)=0,1,SUMPRODUCT(AO$6:AO$96*$AG$6:$AG$96))</f>
        <v>0</v>
      </c>
      <c r="R51" s="1">
        <f t="shared" si="28"/>
        <v>1</v>
      </c>
      <c r="S51" s="1" t="str">
        <f t="array" aca="1" ref="S51" ca="1">OFFSET($I$5,0,MATCH(1,1/(J51:Q51&gt;0),0))</f>
        <v>攻击</v>
      </c>
      <c r="T51" s="1">
        <f t="shared" si="29"/>
        <v>313</v>
      </c>
      <c r="U51" s="1">
        <f t="shared" si="15"/>
        <v>0.32995056784570526</v>
      </c>
      <c r="V51" s="19">
        <f t="shared" si="30"/>
        <v>313.25145907573045</v>
      </c>
      <c r="W51" s="18">
        <f t="shared" si="16"/>
        <v>55</v>
      </c>
      <c r="X51" s="1">
        <f>(VLOOKUP(W51,[2]龙魂的投放!$G$17:$L$117,6,FALSE)+SUMIF(龙魂整图属性辅助表!$E$12:$E$17,H51,龙魂整图属性辅助表!$T$12:$T$17)/COUNTIF($H$6:$H$96,H51))/INDEX($C$1:$C$2,G51)</f>
        <v>949.3890588550712</v>
      </c>
      <c r="Y51" s="1">
        <f t="shared" si="17"/>
        <v>0.31034482758620685</v>
      </c>
      <c r="Z51" s="1">
        <f t="shared" ca="1" si="32"/>
        <v>295</v>
      </c>
      <c r="AA51" s="1">
        <f t="shared" si="19"/>
        <v>3.2222222222222228</v>
      </c>
      <c r="AB51" s="18">
        <f t="shared" si="20"/>
        <v>5</v>
      </c>
      <c r="AC51" s="1">
        <f t="shared" ca="1" si="21"/>
        <v>1475</v>
      </c>
      <c r="AD51" s="21">
        <f t="shared" si="24"/>
        <v>2</v>
      </c>
      <c r="AE51" s="21">
        <f t="shared" si="22"/>
        <v>295</v>
      </c>
      <c r="AF51">
        <v>1.28</v>
      </c>
      <c r="AG51">
        <f t="shared" si="31"/>
        <v>9.120000000000001</v>
      </c>
      <c r="AH51" s="1"/>
      <c r="AI51" s="1">
        <v>1</v>
      </c>
      <c r="AJ51" s="1"/>
      <c r="AK51" s="1"/>
      <c r="AL51" s="1"/>
      <c r="AM51" s="1"/>
      <c r="AN51" s="1"/>
      <c r="AO51" s="1"/>
      <c r="AY51" s="1">
        <v>1027</v>
      </c>
      <c r="AZ51" s="1" t="s">
        <v>15</v>
      </c>
      <c r="BA51" s="1">
        <v>4</v>
      </c>
      <c r="BB51" s="1">
        <v>1026</v>
      </c>
      <c r="BC51" s="1">
        <v>27</v>
      </c>
      <c r="BD51" s="1">
        <v>1</v>
      </c>
      <c r="BE51" s="1">
        <v>1003</v>
      </c>
      <c r="BF51" s="1">
        <v>56</v>
      </c>
      <c r="BG51" s="1">
        <v>0</v>
      </c>
      <c r="BH51" s="1">
        <v>0</v>
      </c>
      <c r="BI51" s="1">
        <v>0</v>
      </c>
      <c r="BJ51" s="1">
        <v>0</v>
      </c>
      <c r="BK51" s="1">
        <v>618.24175426097759</v>
      </c>
      <c r="BL51" s="1">
        <v>0</v>
      </c>
      <c r="BM51" s="1">
        <v>0</v>
      </c>
      <c r="BN51" s="1">
        <v>0</v>
      </c>
      <c r="BO51" s="1">
        <v>1</v>
      </c>
      <c r="BP51" s="1" t="s">
        <v>94</v>
      </c>
      <c r="BQ51" s="1">
        <v>618</v>
      </c>
      <c r="BR51" s="1"/>
      <c r="BS51" s="1">
        <v>100.39467752909573</v>
      </c>
      <c r="BT51" s="1">
        <v>360.25986698143322</v>
      </c>
      <c r="BU51" s="1"/>
      <c r="BV51" s="1">
        <v>768</v>
      </c>
      <c r="BX51" s="1"/>
      <c r="BY51" s="1"/>
      <c r="BZ51" s="1"/>
      <c r="CA51" s="1"/>
      <c r="CB51" s="1">
        <v>1</v>
      </c>
      <c r="CC51" s="1"/>
      <c r="CD51" s="1"/>
      <c r="CE51" s="1"/>
    </row>
    <row r="52" spans="1:83">
      <c r="A52">
        <v>47</v>
      </c>
      <c r="B52" s="1">
        <f t="shared" si="12"/>
        <v>1028</v>
      </c>
      <c r="C52" s="1" t="s">
        <v>16</v>
      </c>
      <c r="D52" s="1">
        <v>4</v>
      </c>
      <c r="E52" s="1">
        <f t="shared" si="23"/>
        <v>1027</v>
      </c>
      <c r="F52" s="1">
        <f>SUMIF($G$6:G52,G52,$G$6:$G$78)/G52</f>
        <v>28</v>
      </c>
      <c r="G52" s="1">
        <v>1</v>
      </c>
      <c r="H52" s="1">
        <v>1003</v>
      </c>
      <c r="I52" s="1">
        <f t="shared" si="13"/>
        <v>56</v>
      </c>
      <c r="J52" s="1">
        <f>VLOOKUP($J$3,[1]!龙魂分图属性,J$4,FALSE)*(AH52*$AG52)/IF(SUMPRODUCT(AH$6:AH$96*$AG$6:$AG$96)=0,1,SUMPRODUCT(AH$6:AH$96*$AG$6:$AG$96))</f>
        <v>0</v>
      </c>
      <c r="K52" s="1">
        <f>VLOOKUP($J$3,[1]!龙魂分图属性,K$4,FALSE)*(AI52*$AG52)/IF(SUMPRODUCT(AI$6:AI$96*$AG$6:$AG$96)=0,1,SUMPRODUCT(AI$6:AI$96*$AG$6:$AG$96))</f>
        <v>0</v>
      </c>
      <c r="L52" s="1">
        <f>VLOOKUP($J$3,[1]!龙魂分图属性,L$4,FALSE)*(AJ52*$AG52)/IF(SUMPRODUCT(AJ$6:AJ$96*$AG$6:$AG$96)=0,1,SUMPRODUCT(AJ$6:AJ$96*$AG$6:$AG$96))</f>
        <v>314.51117602415076</v>
      </c>
      <c r="M52" s="1">
        <f>VLOOKUP($J$3,[1]!龙魂分图属性,M$4,FALSE)*(AK52*$AG52)/IF(SUMPRODUCT(AK$6:AK$96*$AG$6:$AG$96)=0,1,SUMPRODUCT(AK$6:AK$96*$AG$6:$AG$96))</f>
        <v>0</v>
      </c>
      <c r="N52" s="1">
        <f>VLOOKUP($J$3,[1]!龙魂分图属性,N$4,FALSE)*(AL52*$AG52)/IF(SUMPRODUCT(AL$6:AL$96*$AG$6:$AG$96)=0,1,SUMPRODUCT(AL$6:AL$96*$AG$6:$AG$96))</f>
        <v>0</v>
      </c>
      <c r="O52" s="1">
        <f>VLOOKUP($J$3,[1]!龙魂分图属性,O$4,FALSE)*(AM52*$AG52)/IF(SUMPRODUCT(AM$6:AM$96*$AG$6:$AG$96)=0,1,SUMPRODUCT(AM$6:AM$96*$AG$6:$AG$96))</f>
        <v>0</v>
      </c>
      <c r="P52" s="1">
        <f>VLOOKUP($J$3,[1]!龙魂分图属性,P$4,FALSE)*(AN52*$AG52)/IF(SUMPRODUCT(AN$6:AN$96*$AG$6:$AG$96)=0,1,SUMPRODUCT(AN$6:AN$96*$AG$6:$AG$96))</f>
        <v>0</v>
      </c>
      <c r="Q52" s="1">
        <f>VLOOKUP($J$3,[1]!龙魂分图属性,Q$4,FALSE)*(AO52*$AG52)/IF(SUMPRODUCT(AO$6:AO$96*$AG$6:$AG$96)=0,1,SUMPRODUCT(AO$6:AO$96*$AG$6:$AG$96))</f>
        <v>0</v>
      </c>
      <c r="R52" s="1">
        <f t="shared" si="28"/>
        <v>1</v>
      </c>
      <c r="S52" s="1" t="str">
        <f t="array" aca="1" ref="S52" ca="1">OFFSET($I$5,0,MATCH(1,1/(J52:Q52&gt;0),0))</f>
        <v>防御</v>
      </c>
      <c r="T52" s="1">
        <f t="shared" si="29"/>
        <v>315</v>
      </c>
      <c r="U52" s="1">
        <f t="shared" si="15"/>
        <v>0.3132676887729775</v>
      </c>
      <c r="V52" s="19">
        <f t="shared" si="30"/>
        <v>314.51117602415076</v>
      </c>
      <c r="W52" s="18">
        <f t="shared" si="16"/>
        <v>56</v>
      </c>
      <c r="X52" s="1">
        <f>(VLOOKUP(W52,[2]龙魂的投放!$G$17:$L$117,6,FALSE)+SUMIF(龙魂整图属性辅助表!$E$12:$E$17,H52,龙魂整图属性辅助表!$T$12:$T$17)/COUNTIF($H$6:$H$96,H52))/INDEX($C$1:$C$2,G52)</f>
        <v>1003.9694079400394</v>
      </c>
      <c r="Y52" s="1">
        <f t="shared" si="17"/>
        <v>0.27272727272727271</v>
      </c>
      <c r="Z52" s="1">
        <f t="shared" ca="1" si="32"/>
        <v>305</v>
      </c>
      <c r="AA52" s="1">
        <f t="shared" si="19"/>
        <v>3.666666666666667</v>
      </c>
      <c r="AB52" s="18">
        <f t="shared" si="20"/>
        <v>5</v>
      </c>
      <c r="AC52" s="1">
        <f t="shared" ca="1" si="21"/>
        <v>1525</v>
      </c>
      <c r="AD52" s="21">
        <f t="shared" si="24"/>
        <v>3</v>
      </c>
      <c r="AE52" s="21">
        <f t="shared" si="22"/>
        <v>288</v>
      </c>
      <c r="AF52">
        <v>1.31</v>
      </c>
      <c r="AG52">
        <f t="shared" si="31"/>
        <v>9.24</v>
      </c>
      <c r="AH52" s="1"/>
      <c r="AI52" s="1"/>
      <c r="AJ52" s="1">
        <v>1</v>
      </c>
      <c r="AK52" s="1"/>
      <c r="AL52" s="1"/>
      <c r="AM52" s="1"/>
      <c r="AN52" s="1"/>
      <c r="AO52" s="1"/>
      <c r="AY52" s="1">
        <v>1028</v>
      </c>
      <c r="AZ52" s="1" t="s">
        <v>16</v>
      </c>
      <c r="BA52" s="1">
        <v>4</v>
      </c>
      <c r="BB52" s="1">
        <v>1027</v>
      </c>
      <c r="BC52" s="1">
        <v>28</v>
      </c>
      <c r="BD52" s="1">
        <v>1</v>
      </c>
      <c r="BE52" s="1">
        <v>1003</v>
      </c>
      <c r="BF52" s="1">
        <v>57</v>
      </c>
      <c r="BG52" s="1">
        <v>0</v>
      </c>
      <c r="BH52" s="1">
        <v>146.52614792048627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1</v>
      </c>
      <c r="BP52" s="1" t="s">
        <v>91</v>
      </c>
      <c r="BQ52" s="1">
        <v>147</v>
      </c>
      <c r="BR52" s="1"/>
      <c r="BS52" s="1">
        <v>146.52614792048627</v>
      </c>
      <c r="BT52" s="1">
        <v>396.55931397307779</v>
      </c>
      <c r="BU52" s="1"/>
      <c r="BV52" s="1">
        <v>776</v>
      </c>
      <c r="BX52" s="1"/>
      <c r="BY52" s="1">
        <v>1</v>
      </c>
      <c r="BZ52" s="1"/>
      <c r="CA52" s="1"/>
      <c r="CB52" s="1"/>
      <c r="CC52" s="1"/>
      <c r="CD52" s="1"/>
      <c r="CE52" s="1"/>
    </row>
    <row r="53" spans="1:83">
      <c r="A53">
        <v>48</v>
      </c>
      <c r="B53" s="1">
        <f t="shared" si="12"/>
        <v>2020</v>
      </c>
      <c r="C53" s="1" t="s">
        <v>17</v>
      </c>
      <c r="D53" s="1">
        <v>4</v>
      </c>
      <c r="E53" s="1">
        <f t="shared" si="23"/>
        <v>1028</v>
      </c>
      <c r="F53" s="1">
        <f>SUMIF($G$6:G53,G53,$G$6:$G$78)/G53</f>
        <v>20</v>
      </c>
      <c r="G53" s="1">
        <v>2</v>
      </c>
      <c r="H53" s="1">
        <v>1003</v>
      </c>
      <c r="I53" s="1">
        <f t="shared" ca="1" si="13"/>
        <v>56</v>
      </c>
      <c r="J53" s="1">
        <f>VLOOKUP($J$3,[1]!龙魂分图属性,J$4,FALSE)*(AH53*$AG53)/IF(SUMPRODUCT(AH$6:AH$96*$AG$6:$AG$96)=0,1,SUMPRODUCT(AH$6:AH$96*$AG$6:$AG$96))</f>
        <v>0</v>
      </c>
      <c r="K53" s="1">
        <f>VLOOKUP($J$3,[1]!龙魂分图属性,K$4,FALSE)*(AI53*$AG53)/IF(SUMPRODUCT(AI$6:AI$96*$AG$6:$AG$96)=0,1,SUMPRODUCT(AI$6:AI$96*$AG$6:$AG$96))</f>
        <v>0</v>
      </c>
      <c r="L53" s="1">
        <f>VLOOKUP($J$3,[1]!龙魂分图属性,L$4,FALSE)*(AJ53*$AG53)/IF(SUMPRODUCT(AJ$6:AJ$96*$AG$6:$AG$96)=0,1,SUMPRODUCT(AJ$6:AJ$96*$AG$6:$AG$96))</f>
        <v>0</v>
      </c>
      <c r="M53" s="1">
        <f>VLOOKUP($J$3,[1]!龙魂分图属性,M$4,FALSE)*(AK53*$AG53)/IF(SUMPRODUCT(AK$6:AK$96*$AG$6:$AG$96)=0,1,SUMPRODUCT(AK$6:AK$96*$AG$6:$AG$96))</f>
        <v>0</v>
      </c>
      <c r="N53" s="1">
        <f>VLOOKUP($J$3,[1]!龙魂分图属性,N$4,FALSE)*(AL53*$AG53)/IF(SUMPRODUCT(AL$6:AL$96*$AG$6:$AG$96)=0,1,SUMPRODUCT(AL$6:AL$96*$AG$6:$AG$96))</f>
        <v>1234.6330396243334</v>
      </c>
      <c r="O53" s="1">
        <f>VLOOKUP($J$3,[1]!龙魂分图属性,O$4,FALSE)*(AM53*$AG53)/IF(SUMPRODUCT(AM$6:AM$96*$AG$6:$AG$96)=0,1,SUMPRODUCT(AM$6:AM$96*$AG$6:$AG$96))</f>
        <v>0</v>
      </c>
      <c r="P53" s="1">
        <f>VLOOKUP($J$3,[1]!龙魂分图属性,P$4,FALSE)*(AN53*$AG53)/IF(SUMPRODUCT(AN$6:AN$96*$AG$6:$AG$96)=0,1,SUMPRODUCT(AN$6:AN$96*$AG$6:$AG$96))</f>
        <v>0</v>
      </c>
      <c r="Q53" s="1">
        <f>VLOOKUP($J$3,[1]!龙魂分图属性,Q$4,FALSE)*(AO53*$AG53)/IF(SUMPRODUCT(AO$6:AO$96*$AG$6:$AG$96)=0,1,SUMPRODUCT(AO$6:AO$96*$AG$6:$AG$96))</f>
        <v>0</v>
      </c>
      <c r="R53" s="1">
        <f t="shared" si="28"/>
        <v>1</v>
      </c>
      <c r="S53" s="1" t="str">
        <f t="array" aca="1" ref="S53" ca="1">OFFSET($I$5,0,MATCH(1,1/(J53:Q53&gt;0),0))</f>
        <v>命中值</v>
      </c>
      <c r="T53" s="1">
        <f t="shared" si="29"/>
        <v>1235</v>
      </c>
      <c r="U53" s="1">
        <f t="shared" ca="1" si="15"/>
        <v>0.1966640875403122</v>
      </c>
      <c r="V53" s="19">
        <f t="shared" si="30"/>
        <v>419.77523347227338</v>
      </c>
      <c r="W53" s="18">
        <f t="shared" ca="1" si="16"/>
        <v>57</v>
      </c>
      <c r="X53" s="1">
        <f ca="1">(VLOOKUP(W53,[2]龙魂的投放!$G$17:$L$117,6,FALSE)+SUMIF(龙魂整图属性辅助表!$E$12:$E$17,H53,龙魂整图属性辅助表!$T$12:$T$17)/COUNTIF($H$6:$H$96,H53))/INDEX($C$1:$C$2,G53)</f>
        <v>2134.47833166911</v>
      </c>
      <c r="Y53" s="1">
        <f t="shared" ca="1" si="17"/>
        <v>0.16883116883116878</v>
      </c>
      <c r="Z53" s="1">
        <f ca="1">AE53</f>
        <v>396</v>
      </c>
      <c r="AA53" s="1">
        <f t="shared" ca="1" si="19"/>
        <v>5.9230769230769251</v>
      </c>
      <c r="AB53" s="18">
        <f t="shared" ca="1" si="20"/>
        <v>8</v>
      </c>
      <c r="AC53" s="1">
        <f t="shared" ca="1" si="21"/>
        <v>3168</v>
      </c>
      <c r="AD53" s="21">
        <f t="shared" ca="1" si="24"/>
        <v>4</v>
      </c>
      <c r="AE53" s="21">
        <f t="shared" ca="1" si="22"/>
        <v>396</v>
      </c>
      <c r="AF53">
        <v>1.34</v>
      </c>
      <c r="AG53">
        <f t="shared" si="31"/>
        <v>9.36</v>
      </c>
      <c r="AH53" s="1"/>
      <c r="AI53" s="1"/>
      <c r="AJ53" s="1"/>
      <c r="AK53" s="1"/>
      <c r="AL53" s="1">
        <v>1.5</v>
      </c>
      <c r="AM53" s="1"/>
      <c r="AN53" s="1"/>
      <c r="AO53" s="1"/>
      <c r="AY53" s="1">
        <v>2020</v>
      </c>
      <c r="AZ53" s="1" t="s">
        <v>17</v>
      </c>
      <c r="BA53" s="1">
        <v>4</v>
      </c>
      <c r="BB53" s="1">
        <v>1028</v>
      </c>
      <c r="BC53" s="1">
        <v>20</v>
      </c>
      <c r="BD53" s="1">
        <v>2</v>
      </c>
      <c r="BE53" s="1">
        <v>1003</v>
      </c>
      <c r="BF53" s="1">
        <v>58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649.31569248607559</v>
      </c>
      <c r="BM53" s="1">
        <v>0</v>
      </c>
      <c r="BN53" s="1">
        <v>0</v>
      </c>
      <c r="BO53" s="1">
        <v>1</v>
      </c>
      <c r="BP53" s="1" t="s">
        <v>95</v>
      </c>
      <c r="BQ53" s="1">
        <v>649</v>
      </c>
      <c r="BR53" s="1"/>
      <c r="BS53" s="1">
        <v>51.850140901871384</v>
      </c>
      <c r="BT53" s="1">
        <v>873.03251853419908</v>
      </c>
      <c r="BU53" s="1"/>
      <c r="BV53" s="1">
        <v>784</v>
      </c>
      <c r="BX53" s="1"/>
      <c r="BY53" s="1"/>
      <c r="BZ53" s="1"/>
      <c r="CA53" s="1"/>
      <c r="CB53" s="1"/>
      <c r="CC53" s="1"/>
      <c r="CD53" s="1">
        <v>1.5</v>
      </c>
      <c r="CE53" s="1"/>
    </row>
    <row r="54" spans="1:83">
      <c r="A54">
        <v>49</v>
      </c>
      <c r="B54" s="1">
        <f t="shared" si="12"/>
        <v>2021</v>
      </c>
      <c r="C54" s="1" t="s">
        <v>18</v>
      </c>
      <c r="D54" s="1">
        <v>4</v>
      </c>
      <c r="E54" s="1">
        <f t="shared" si="23"/>
        <v>2020</v>
      </c>
      <c r="F54" s="1">
        <f>SUMIF($G$6:G54,G54,$G$6:$G$78)/G54</f>
        <v>21</v>
      </c>
      <c r="G54" s="1">
        <v>2</v>
      </c>
      <c r="H54" s="1">
        <v>1003</v>
      </c>
      <c r="I54" s="1">
        <f t="shared" ca="1" si="13"/>
        <v>56</v>
      </c>
      <c r="J54" s="1">
        <f>VLOOKUP($J$3,[1]!龙魂分图属性,J$4,FALSE)*(AH54*$AG54)/IF(SUMPRODUCT(AH$6:AH$96*$AG$6:$AG$96)=0,1,SUMPRODUCT(AH$6:AH$96*$AG$6:$AG$96))</f>
        <v>0</v>
      </c>
      <c r="K54" s="1">
        <f>VLOOKUP($J$3,[1]!龙魂分图属性,K$4,FALSE)*(AI54*$AG54)/IF(SUMPRODUCT(AI$6:AI$96*$AG$6:$AG$96)=0,1,SUMPRODUCT(AI$6:AI$96*$AG$6:$AG$96))</f>
        <v>488.42497237465869</v>
      </c>
      <c r="L54" s="1">
        <f>VLOOKUP($J$3,[1]!龙魂分图属性,L$4,FALSE)*(AJ54*$AG54)/IF(SUMPRODUCT(AJ$6:AJ$96*$AG$6:$AG$96)=0,1,SUMPRODUCT(AJ$6:AJ$96*$AG$6:$AG$96))</f>
        <v>0</v>
      </c>
      <c r="M54" s="1">
        <f>VLOOKUP($J$3,[1]!龙魂分图属性,M$4,FALSE)*(AK54*$AG54)/IF(SUMPRODUCT(AK$6:AK$96*$AG$6:$AG$96)=0,1,SUMPRODUCT(AK$6:AK$96*$AG$6:$AG$96))</f>
        <v>0</v>
      </c>
      <c r="N54" s="1">
        <f>VLOOKUP($J$3,[1]!龙魂分图属性,N$4,FALSE)*(AL54*$AG54)/IF(SUMPRODUCT(AL$6:AL$96*$AG$6:$AG$96)=0,1,SUMPRODUCT(AL$6:AL$96*$AG$6:$AG$96))</f>
        <v>0</v>
      </c>
      <c r="O54" s="1">
        <f>VLOOKUP($J$3,[1]!龙魂分图属性,O$4,FALSE)*(AM54*$AG54)/IF(SUMPRODUCT(AM$6:AM$96*$AG$6:$AG$96)=0,1,SUMPRODUCT(AM$6:AM$96*$AG$6:$AG$96))</f>
        <v>0</v>
      </c>
      <c r="P54" s="1">
        <f>VLOOKUP($J$3,[1]!龙魂分图属性,P$4,FALSE)*(AN54*$AG54)/IF(SUMPRODUCT(AN$6:AN$96*$AG$6:$AG$96)=0,1,SUMPRODUCT(AN$6:AN$96*$AG$6:$AG$96))</f>
        <v>0</v>
      </c>
      <c r="Q54" s="1">
        <f>VLOOKUP($J$3,[1]!龙魂分图属性,Q$4,FALSE)*(AO54*$AG54)/IF(SUMPRODUCT(AO$6:AO$96*$AG$6:$AG$96)=0,1,SUMPRODUCT(AO$6:AO$96*$AG$6:$AG$96))</f>
        <v>0</v>
      </c>
      <c r="R54" s="1">
        <f t="shared" si="28"/>
        <v>1</v>
      </c>
      <c r="S54" s="1" t="str">
        <f t="array" aca="1" ref="S54" ca="1">OFFSET($I$5,0,MATCH(1,1/(J54:Q54&gt;0),0))</f>
        <v>攻击</v>
      </c>
      <c r="T54" s="1">
        <f t="shared" si="29"/>
        <v>488</v>
      </c>
      <c r="U54" s="1">
        <f t="shared" ca="1" si="15"/>
        <v>0.1858350108402422</v>
      </c>
      <c r="V54" s="19">
        <f t="shared" si="30"/>
        <v>488.42497237465869</v>
      </c>
      <c r="W54" s="18">
        <f t="shared" ca="1" si="16"/>
        <v>58</v>
      </c>
      <c r="X54" s="1">
        <f ca="1">(VLOOKUP(W54,[2]龙魂的投放!$G$17:$L$117,6,FALSE)+SUMIF(龙魂整图属性辅助表!$E$12:$E$17,H54,龙魂整图属性辅助表!$T$12:$T$17)/COUNTIF($H$6:$H$96,H54))/INDEX($C$1:$C$2,G54)</f>
        <v>2628.2720902066494</v>
      </c>
      <c r="Y54" s="1">
        <f t="shared" ca="1" si="17"/>
        <v>0.15294117647058825</v>
      </c>
      <c r="Z54" s="1">
        <f ca="1">AE55</f>
        <v>436</v>
      </c>
      <c r="AA54" s="1">
        <f t="shared" ca="1" si="19"/>
        <v>6.5384615384615383</v>
      </c>
      <c r="AB54" s="18">
        <f t="shared" ca="1" si="20"/>
        <v>9</v>
      </c>
      <c r="AC54" s="1">
        <f t="shared" ca="1" si="21"/>
        <v>3924</v>
      </c>
      <c r="AD54" s="21">
        <f t="shared" ca="1" si="24"/>
        <v>5</v>
      </c>
      <c r="AE54" s="21">
        <f t="shared" ca="1" si="22"/>
        <v>462</v>
      </c>
      <c r="AF54">
        <v>1.37</v>
      </c>
      <c r="AG54">
        <f t="shared" si="31"/>
        <v>9.48</v>
      </c>
      <c r="AH54" s="1"/>
      <c r="AI54" s="1">
        <v>1.5</v>
      </c>
      <c r="AJ54" s="1"/>
      <c r="AK54" s="1"/>
      <c r="AL54" s="1"/>
      <c r="AM54" s="1"/>
      <c r="AN54" s="1"/>
      <c r="AO54" s="1"/>
      <c r="AY54" s="1">
        <v>2021</v>
      </c>
      <c r="AZ54" s="1" t="s">
        <v>18</v>
      </c>
      <c r="BA54" s="1">
        <v>4</v>
      </c>
      <c r="BB54" s="1">
        <v>2020</v>
      </c>
      <c r="BC54" s="1">
        <v>21</v>
      </c>
      <c r="BD54" s="1">
        <v>2</v>
      </c>
      <c r="BE54" s="1">
        <v>1003</v>
      </c>
      <c r="BF54" s="1">
        <v>59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655.94136281756619</v>
      </c>
      <c r="BM54" s="1">
        <v>0</v>
      </c>
      <c r="BN54" s="1">
        <v>0</v>
      </c>
      <c r="BO54" s="1">
        <v>1</v>
      </c>
      <c r="BP54" s="1" t="s">
        <v>95</v>
      </c>
      <c r="BQ54" s="1">
        <v>656</v>
      </c>
      <c r="BR54" s="1"/>
      <c r="BS54" s="1">
        <v>52.379223972298647</v>
      </c>
      <c r="BT54" s="1">
        <v>960.99845793801035</v>
      </c>
      <c r="BU54" s="1"/>
      <c r="BV54" s="1">
        <v>792</v>
      </c>
      <c r="BX54" s="1">
        <v>1.5</v>
      </c>
      <c r="BY54" s="1"/>
      <c r="BZ54" s="1"/>
      <c r="CA54" s="1"/>
      <c r="CB54" s="1"/>
      <c r="CC54" s="1"/>
      <c r="CD54" s="1"/>
      <c r="CE54" s="1"/>
    </row>
    <row r="55" spans="1:83">
      <c r="A55">
        <v>50</v>
      </c>
      <c r="B55" s="1">
        <f t="shared" si="12"/>
        <v>2022</v>
      </c>
      <c r="C55" s="1" t="s">
        <v>19</v>
      </c>
      <c r="D55" s="1">
        <v>4</v>
      </c>
      <c r="E55" s="1">
        <f t="shared" si="23"/>
        <v>2021</v>
      </c>
      <c r="F55" s="1">
        <f>SUMIF($G$6:G55,G55,$G$6:$G$78)/G55</f>
        <v>22</v>
      </c>
      <c r="G55" s="1">
        <v>2</v>
      </c>
      <c r="H55" s="1">
        <v>1003</v>
      </c>
      <c r="I55" s="1">
        <f t="shared" ca="1" si="13"/>
        <v>56</v>
      </c>
      <c r="J55" s="1">
        <f>VLOOKUP($J$3,[1]!龙魂分图属性,J$4,FALSE)*(AH55*$AG55)/IF(SUMPRODUCT(AH$6:AH$96*$AG$6:$AG$96)=0,1,SUMPRODUCT(AH$6:AH$96*$AG$6:$AG$96))</f>
        <v>13486.431106302891</v>
      </c>
      <c r="K55" s="1">
        <f>VLOOKUP($J$3,[1]!龙魂分图属性,K$4,FALSE)*(AI55*$AG55)/IF(SUMPRODUCT(AI$6:AI$96*$AG$6:$AG$96)=0,1,SUMPRODUCT(AI$6:AI$96*$AG$6:$AG$96))</f>
        <v>0</v>
      </c>
      <c r="L55" s="1">
        <f>VLOOKUP($J$3,[1]!龙魂分图属性,L$4,FALSE)*(AJ55*$AG55)/IF(SUMPRODUCT(AJ$6:AJ$96*$AG$6:$AG$96)=0,1,SUMPRODUCT(AJ$6:AJ$96*$AG$6:$AG$96))</f>
        <v>0</v>
      </c>
      <c r="M55" s="1">
        <f>VLOOKUP($J$3,[1]!龙魂分图属性,M$4,FALSE)*(AK55*$AG55)/IF(SUMPRODUCT(AK$6:AK$96*$AG$6:$AG$96)=0,1,SUMPRODUCT(AK$6:AK$96*$AG$6:$AG$96))</f>
        <v>0</v>
      </c>
      <c r="N55" s="1">
        <f>VLOOKUP($J$3,[1]!龙魂分图属性,N$4,FALSE)*(AL55*$AG55)/IF(SUMPRODUCT(AL$6:AL$96*$AG$6:$AG$96)=0,1,SUMPRODUCT(AL$6:AL$96*$AG$6:$AG$96))</f>
        <v>0</v>
      </c>
      <c r="O55" s="1">
        <f>VLOOKUP($J$3,[1]!龙魂分图属性,O$4,FALSE)*(AM55*$AG55)/IF(SUMPRODUCT(AM$6:AM$96*$AG$6:$AG$96)=0,1,SUMPRODUCT(AM$6:AM$96*$AG$6:$AG$96))</f>
        <v>0</v>
      </c>
      <c r="P55" s="1">
        <f>VLOOKUP($J$3,[1]!龙魂分图属性,P$4,FALSE)*(AN55*$AG55)/IF(SUMPRODUCT(AN$6:AN$96*$AG$6:$AG$96)=0,1,SUMPRODUCT(AN$6:AN$96*$AG$6:$AG$96))</f>
        <v>0</v>
      </c>
      <c r="Q55" s="1">
        <f>VLOOKUP($J$3,[1]!龙魂分图属性,Q$4,FALSE)*(AO55*$AG55)/IF(SUMPRODUCT(AO$6:AO$96*$AG$6:$AG$96)=0,1,SUMPRODUCT(AO$6:AO$96*$AG$6:$AG$96))</f>
        <v>0</v>
      </c>
      <c r="R55" s="1">
        <f t="shared" si="28"/>
        <v>1</v>
      </c>
      <c r="S55" s="1" t="str">
        <f t="array" aca="1" ref="S55" ca="1">OFFSET($I$5,0,MATCH(1,1/(J55:Q55&gt;0),0))</f>
        <v>生命</v>
      </c>
      <c r="T55" s="1">
        <f t="shared" si="29"/>
        <v>13486</v>
      </c>
      <c r="U55" s="1">
        <f t="shared" ca="1" si="15"/>
        <v>0.20734100883525991</v>
      </c>
      <c r="V55" s="19">
        <f t="shared" si="30"/>
        <v>539.45724425211563</v>
      </c>
      <c r="W55" s="18">
        <f t="shared" ca="1" si="16"/>
        <v>59</v>
      </c>
      <c r="X55" s="1">
        <f ca="1">(VLOOKUP(W55,[2]龙魂的投放!$G$17:$L$117,6,FALSE)+SUMIF(龙魂整图属性辅助表!$E$12:$E$17,H55,龙魂整图属性辅助表!$T$12:$T$17)/COUNTIF($H$6:$H$96,H55))/INDEX($C$1:$C$2,G55)</f>
        <v>2601.7874962725505</v>
      </c>
      <c r="Y55" s="1">
        <f t="shared" ca="1" si="17"/>
        <v>0.13978494623655913</v>
      </c>
      <c r="Z55" s="1">
        <f ca="1">AE54</f>
        <v>462</v>
      </c>
      <c r="AA55" s="1">
        <f t="shared" ca="1" si="19"/>
        <v>7.1538461538461542</v>
      </c>
      <c r="AB55" s="18">
        <f t="shared" ca="1" si="20"/>
        <v>10</v>
      </c>
      <c r="AC55" s="1">
        <f t="shared" ca="1" si="21"/>
        <v>4620</v>
      </c>
      <c r="AD55" s="21">
        <f t="shared" ca="1" si="24"/>
        <v>6</v>
      </c>
      <c r="AE55" s="21">
        <f t="shared" ca="1" si="22"/>
        <v>436</v>
      </c>
      <c r="AF55">
        <v>1.4</v>
      </c>
      <c r="AG55">
        <f t="shared" si="31"/>
        <v>9.6</v>
      </c>
      <c r="AH55" s="1">
        <v>1.5</v>
      </c>
      <c r="AI55" s="1"/>
      <c r="AJ55" s="1"/>
      <c r="AK55" s="1"/>
      <c r="AL55" s="1"/>
      <c r="AM55" s="1"/>
      <c r="AN55" s="1"/>
      <c r="AO55" s="1"/>
      <c r="AY55" s="1">
        <v>2022</v>
      </c>
      <c r="AZ55" s="1" t="s">
        <v>19</v>
      </c>
      <c r="BA55" s="1">
        <v>4</v>
      </c>
      <c r="BB55" s="1">
        <v>2021</v>
      </c>
      <c r="BC55" s="1">
        <v>22</v>
      </c>
      <c r="BD55" s="1">
        <v>2</v>
      </c>
      <c r="BE55" s="1">
        <v>1003</v>
      </c>
      <c r="BF55" s="1">
        <v>60</v>
      </c>
      <c r="BG55" s="1">
        <v>5832.9703869278655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1</v>
      </c>
      <c r="BP55" s="1" t="s">
        <v>90</v>
      </c>
      <c r="BQ55" s="1">
        <v>5833</v>
      </c>
      <c r="BR55" s="1"/>
      <c r="BS55" s="1">
        <v>238.22954879385091</v>
      </c>
      <c r="BT55" s="1">
        <v>1057.8277630595016</v>
      </c>
      <c r="BU55" s="1"/>
      <c r="BV55" s="1">
        <v>800</v>
      </c>
      <c r="BX55" s="1"/>
      <c r="BY55" s="1">
        <v>1.5</v>
      </c>
      <c r="BZ55" s="1"/>
      <c r="CA55" s="1"/>
      <c r="CB55" s="1"/>
      <c r="CC55" s="1"/>
      <c r="CD55" s="1"/>
      <c r="CE55" s="1"/>
    </row>
    <row r="56" spans="1:83">
      <c r="A56">
        <v>51</v>
      </c>
      <c r="B56" s="1">
        <f t="shared" si="12"/>
        <v>2023</v>
      </c>
      <c r="C56" s="1" t="s">
        <v>24</v>
      </c>
      <c r="D56" s="1">
        <v>4</v>
      </c>
      <c r="E56" s="1">
        <f t="shared" si="23"/>
        <v>2022</v>
      </c>
      <c r="F56" s="1">
        <f>SUMIF($G$6:G56,G56,$G$6:$G$78)/G56</f>
        <v>23</v>
      </c>
      <c r="G56" s="1">
        <v>2</v>
      </c>
      <c r="H56" s="1">
        <v>1003</v>
      </c>
      <c r="I56" s="1">
        <f t="shared" ca="1" si="13"/>
        <v>56</v>
      </c>
      <c r="J56" s="1">
        <f>VLOOKUP($J$3,[1]!龙魂分图属性,J$4,FALSE)*(AH56*$AG56)/IF(SUMPRODUCT(AH$6:AH$96*$AG$6:$AG$96)=0,1,SUMPRODUCT(AH$6:AH$96*$AG$6:$AG$96))</f>
        <v>0</v>
      </c>
      <c r="K56" s="1">
        <f>VLOOKUP($J$3,[1]!龙魂分图属性,K$4,FALSE)*(AI56*$AG56)/IF(SUMPRODUCT(AI$6:AI$96*$AG$6:$AG$96)=0,1,SUMPRODUCT(AI$6:AI$96*$AG$6:$AG$96))</f>
        <v>0</v>
      </c>
      <c r="L56" s="1">
        <f>VLOOKUP($J$3,[1]!龙魂分图属性,L$4,FALSE)*(AJ56*$AG56)/IF(SUMPRODUCT(AJ$6:AJ$96*$AG$6:$AG$96)=0,1,SUMPRODUCT(AJ$6:AJ$96*$AG$6:$AG$96))</f>
        <v>496.27412840174435</v>
      </c>
      <c r="M56" s="1">
        <f>VLOOKUP($J$3,[1]!龙魂分图属性,M$4,FALSE)*(AK56*$AG56)/IF(SUMPRODUCT(AK$6:AK$96*$AG$6:$AG$96)=0,1,SUMPRODUCT(AK$6:AK$96*$AG$6:$AG$96))</f>
        <v>0</v>
      </c>
      <c r="N56" s="1">
        <f>VLOOKUP($J$3,[1]!龙魂分图属性,N$4,FALSE)*(AL56*$AG56)/IF(SUMPRODUCT(AL$6:AL$96*$AG$6:$AG$96)=0,1,SUMPRODUCT(AL$6:AL$96*$AG$6:$AG$96))</f>
        <v>0</v>
      </c>
      <c r="O56" s="1">
        <f>VLOOKUP($J$3,[1]!龙魂分图属性,O$4,FALSE)*(AM56*$AG56)/IF(SUMPRODUCT(AM$6:AM$96*$AG$6:$AG$96)=0,1,SUMPRODUCT(AM$6:AM$96*$AG$6:$AG$96))</f>
        <v>0</v>
      </c>
      <c r="P56" s="1">
        <f>VLOOKUP($J$3,[1]!龙魂分图属性,P$4,FALSE)*(AN56*$AG56)/IF(SUMPRODUCT(AN$6:AN$96*$AG$6:$AG$96)=0,1,SUMPRODUCT(AN$6:AN$96*$AG$6:$AG$96))</f>
        <v>0</v>
      </c>
      <c r="Q56" s="1">
        <f>VLOOKUP($J$3,[1]!龙魂分图属性,Q$4,FALSE)*(AO56*$AG56)/IF(SUMPRODUCT(AO$6:AO$96*$AG$6:$AG$96)=0,1,SUMPRODUCT(AO$6:AO$96*$AG$6:$AG$96))</f>
        <v>0</v>
      </c>
      <c r="R56" s="1">
        <f t="shared" si="28"/>
        <v>1</v>
      </c>
      <c r="S56" s="1" t="str">
        <f t="array" aca="1" ref="S56" ca="1">OFFSET($I$5,0,MATCH(1,1/(J56:Q56&gt;0),0))</f>
        <v>防御</v>
      </c>
      <c r="T56" s="1">
        <f t="shared" si="29"/>
        <v>496</v>
      </c>
      <c r="U56" s="1">
        <f t="shared" ca="1" si="15"/>
        <v>0.16829145105898002</v>
      </c>
      <c r="V56" s="19">
        <f t="shared" si="30"/>
        <v>496.27412840174435</v>
      </c>
      <c r="W56" s="18">
        <f t="shared" ca="1" si="16"/>
        <v>60</v>
      </c>
      <c r="X56" s="1">
        <f ca="1">(VLOOKUP(W56,[2]龙魂的投放!$G$17:$L$117,6,FALSE)+SUMIF(龙魂整图属性辅助表!$E$12:$E$17,H56,龙魂整图属性辅助表!$T$12:$T$17)/COUNTIF($H$6:$H$96,H56))/INDEX($C$1:$C$2,G56)</f>
        <v>2948.8968410392895</v>
      </c>
      <c r="Y56" s="1">
        <f t="shared" ca="1" si="17"/>
        <v>0.12871287128712872</v>
      </c>
      <c r="Z56" s="1">
        <f ca="1">AE56</f>
        <v>474</v>
      </c>
      <c r="AA56" s="1">
        <f t="shared" ca="1" si="19"/>
        <v>7.7692307692307692</v>
      </c>
      <c r="AB56" s="18">
        <f t="shared" ca="1" si="20"/>
        <v>10</v>
      </c>
      <c r="AC56" s="1">
        <f t="shared" ca="1" si="21"/>
        <v>4740</v>
      </c>
      <c r="AD56" s="21">
        <f t="shared" ca="1" si="24"/>
        <v>7</v>
      </c>
      <c r="AE56" s="21">
        <f t="shared" ca="1" si="22"/>
        <v>474</v>
      </c>
      <c r="AF56">
        <v>1.43</v>
      </c>
      <c r="AG56">
        <f t="shared" si="31"/>
        <v>9.7199999999999989</v>
      </c>
      <c r="AH56" s="1"/>
      <c r="AI56" s="1"/>
      <c r="AJ56" s="1">
        <v>1.5</v>
      </c>
      <c r="AK56" s="1"/>
      <c r="AL56" s="1"/>
      <c r="AM56" s="1"/>
      <c r="AN56" s="1"/>
      <c r="AO56" s="1"/>
      <c r="AY56" s="1">
        <v>2023</v>
      </c>
      <c r="AZ56" s="1" t="s">
        <v>20</v>
      </c>
      <c r="BA56" s="1">
        <v>4</v>
      </c>
      <c r="BB56" s="1">
        <v>2022</v>
      </c>
      <c r="BC56" s="1">
        <v>23</v>
      </c>
      <c r="BD56" s="1">
        <v>2</v>
      </c>
      <c r="BE56" s="1">
        <v>1003</v>
      </c>
      <c r="BF56" s="1">
        <v>61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669.19270348054727</v>
      </c>
      <c r="BM56" s="1">
        <v>0</v>
      </c>
      <c r="BN56" s="1">
        <v>0</v>
      </c>
      <c r="BO56" s="1">
        <v>1</v>
      </c>
      <c r="BP56" s="1" t="s">
        <v>95</v>
      </c>
      <c r="BQ56" s="1">
        <v>669</v>
      </c>
      <c r="BR56" s="1"/>
      <c r="BS56" s="1">
        <v>53.437390113153157</v>
      </c>
      <c r="BT56" s="1">
        <v>1164.4134983322215</v>
      </c>
      <c r="BU56" s="1"/>
      <c r="BV56" s="1">
        <v>808</v>
      </c>
      <c r="BX56" s="1">
        <v>1.5</v>
      </c>
      <c r="BY56" s="1"/>
      <c r="BZ56" s="1"/>
      <c r="CA56" s="1"/>
      <c r="CB56" s="1"/>
      <c r="CC56" s="1"/>
      <c r="CD56" s="1"/>
      <c r="CE56" s="1"/>
    </row>
    <row r="57" spans="1:83">
      <c r="A57">
        <v>52</v>
      </c>
      <c r="B57" s="1">
        <f t="shared" si="12"/>
        <v>1029</v>
      </c>
      <c r="C57" s="1" t="s">
        <v>21</v>
      </c>
      <c r="D57" s="1">
        <v>4</v>
      </c>
      <c r="E57" s="1">
        <v>1028</v>
      </c>
      <c r="F57" s="1">
        <f>SUMIF($G$6:G57,G57,$G$6:$G$78)/G57</f>
        <v>29</v>
      </c>
      <c r="G57" s="1">
        <v>1</v>
      </c>
      <c r="H57" s="1">
        <v>1003</v>
      </c>
      <c r="I57" s="1">
        <f t="shared" si="13"/>
        <v>57</v>
      </c>
      <c r="J57" s="1">
        <f>VLOOKUP($J$3,[1]!龙魂分图属性,J$4,FALSE)*(AH57*$AG57)/IF(SUMPRODUCT(AH$6:AH$96*$AG$6:$AG$96)=0,1,SUMPRODUCT(AH$6:AH$96*$AG$6:$AG$96))</f>
        <v>9215.7279226403098</v>
      </c>
      <c r="K57" s="1">
        <f>VLOOKUP($J$3,[1]!龙魂分图属性,K$4,FALSE)*(AI57*$AG57)/IF(SUMPRODUCT(AI$6:AI$96*$AG$6:$AG$96)=0,1,SUMPRODUCT(AI$6:AI$96*$AG$6:$AG$96))</f>
        <v>0</v>
      </c>
      <c r="L57" s="1">
        <f>VLOOKUP($J$3,[1]!龙魂分图属性,L$4,FALSE)*(AJ57*$AG57)/IF(SUMPRODUCT(AJ$6:AJ$96*$AG$6:$AG$96)=0,1,SUMPRODUCT(AJ$6:AJ$96*$AG$6:$AG$96))</f>
        <v>0</v>
      </c>
      <c r="M57" s="1">
        <f>VLOOKUP($J$3,[1]!龙魂分图属性,M$4,FALSE)*(AK57*$AG57)/IF(SUMPRODUCT(AK$6:AK$96*$AG$6:$AG$96)=0,1,SUMPRODUCT(AK$6:AK$96*$AG$6:$AG$96))</f>
        <v>0</v>
      </c>
      <c r="N57" s="1">
        <f>VLOOKUP($J$3,[1]!龙魂分图属性,N$4,FALSE)*(AL57*$AG57)/IF(SUMPRODUCT(AL$6:AL$96*$AG$6:$AG$96)=0,1,SUMPRODUCT(AL$6:AL$96*$AG$6:$AG$96))</f>
        <v>0</v>
      </c>
      <c r="O57" s="1">
        <f>VLOOKUP($J$3,[1]!龙魂分图属性,O$4,FALSE)*(AM57*$AG57)/IF(SUMPRODUCT(AM$6:AM$96*$AG$6:$AG$96)=0,1,SUMPRODUCT(AM$6:AM$96*$AG$6:$AG$96))</f>
        <v>0</v>
      </c>
      <c r="P57" s="1">
        <f>VLOOKUP($J$3,[1]!龙魂分图属性,P$4,FALSE)*(AN57*$AG57)/IF(SUMPRODUCT(AN$6:AN$96*$AG$6:$AG$96)=0,1,SUMPRODUCT(AN$6:AN$96*$AG$6:$AG$96))</f>
        <v>0</v>
      </c>
      <c r="Q57" s="1">
        <f>VLOOKUP($J$3,[1]!龙魂分图属性,Q$4,FALSE)*(AO57*$AG57)/IF(SUMPRODUCT(AO$6:AO$96*$AG$6:$AG$96)=0,1,SUMPRODUCT(AO$6:AO$96*$AG$6:$AG$96))</f>
        <v>0</v>
      </c>
      <c r="R57" s="1">
        <f t="shared" si="28"/>
        <v>1</v>
      </c>
      <c r="S57" s="1" t="str">
        <f t="array" aca="1" ref="S57" ca="1">OFFSET($I$5,0,MATCH(1,1/(J57:Q57&gt;0),0))</f>
        <v>生命</v>
      </c>
      <c r="T57" s="1">
        <f t="shared" si="29"/>
        <v>9216</v>
      </c>
      <c r="U57" s="1">
        <f t="shared" si="15"/>
        <v>0.34540441234402547</v>
      </c>
      <c r="V57" s="19">
        <f t="shared" si="30"/>
        <v>368.62911690561242</v>
      </c>
      <c r="W57" s="18">
        <f t="shared" si="16"/>
        <v>57</v>
      </c>
      <c r="X57" s="1">
        <f>(VLOOKUP(W57,[2]龙魂的投放!$G$17:$L$117,6,FALSE)+SUMIF(龙魂整图属性辅助表!$E$12:$E$17,H57,龙魂整图属性辅助表!$T$12:$T$17)/COUNTIF($H$6:$H$96,H57))/INDEX($C$1:$C$2,G57)</f>
        <v>1067.239165834555</v>
      </c>
      <c r="Y57" s="1">
        <f t="shared" si="17"/>
        <v>0.2432432432432432</v>
      </c>
      <c r="Z57" s="1">
        <f t="shared" ca="1" si="32"/>
        <v>312</v>
      </c>
      <c r="AA57" s="1">
        <f t="shared" si="19"/>
        <v>4.1111111111111116</v>
      </c>
      <c r="AB57" s="18">
        <f t="shared" si="20"/>
        <v>6</v>
      </c>
      <c r="AC57" s="1">
        <f t="shared" ca="1" si="21"/>
        <v>1872</v>
      </c>
      <c r="AD57" s="21">
        <f t="shared" si="24"/>
        <v>4</v>
      </c>
      <c r="AE57" s="21">
        <f t="shared" si="22"/>
        <v>286</v>
      </c>
      <c r="AF57">
        <v>1.46</v>
      </c>
      <c r="AG57">
        <f t="shared" si="31"/>
        <v>9.84</v>
      </c>
      <c r="AH57" s="1">
        <v>1</v>
      </c>
      <c r="AI57" s="1"/>
      <c r="AJ57" s="1"/>
      <c r="AK57" s="1"/>
      <c r="AL57" s="1"/>
      <c r="AM57" s="1"/>
      <c r="AN57" s="1"/>
      <c r="AO57" s="1"/>
      <c r="AY57" s="1">
        <v>1029</v>
      </c>
      <c r="AZ57" s="1" t="s">
        <v>21</v>
      </c>
      <c r="BA57" s="1">
        <v>4</v>
      </c>
      <c r="BB57" s="1">
        <v>1028</v>
      </c>
      <c r="BC57" s="1">
        <v>29</v>
      </c>
      <c r="BD57" s="1">
        <v>1</v>
      </c>
      <c r="BE57" s="1">
        <v>1003</v>
      </c>
      <c r="BF57" s="1">
        <v>58</v>
      </c>
      <c r="BG57" s="1">
        <v>0</v>
      </c>
      <c r="BH57" s="1">
        <v>0</v>
      </c>
      <c r="BI57" s="1">
        <v>0</v>
      </c>
      <c r="BJ57" s="1">
        <v>0</v>
      </c>
      <c r="BK57" s="1">
        <v>656.88186390228873</v>
      </c>
      <c r="BL57" s="1">
        <v>0</v>
      </c>
      <c r="BM57" s="1">
        <v>0</v>
      </c>
      <c r="BN57" s="1">
        <v>0</v>
      </c>
      <c r="BO57" s="1">
        <v>1</v>
      </c>
      <c r="BP57" s="1" t="s">
        <v>94</v>
      </c>
      <c r="BQ57" s="1">
        <v>657</v>
      </c>
      <c r="BR57" s="1"/>
      <c r="BS57" s="1">
        <v>106.66934487466422</v>
      </c>
      <c r="BT57" s="1">
        <v>436.51625926709954</v>
      </c>
      <c r="BU57" s="1"/>
      <c r="BV57" s="1">
        <v>816</v>
      </c>
      <c r="BX57" s="1"/>
      <c r="BY57" s="1"/>
      <c r="BZ57" s="1"/>
      <c r="CA57" s="1"/>
      <c r="CB57" s="1">
        <v>1</v>
      </c>
      <c r="CC57" s="1"/>
      <c r="CD57" s="1"/>
      <c r="CE57" s="1"/>
    </row>
    <row r="58" spans="1:83">
      <c r="A58">
        <v>53</v>
      </c>
      <c r="B58" s="1">
        <f t="shared" si="12"/>
        <v>1030</v>
      </c>
      <c r="C58" s="1" t="s">
        <v>127</v>
      </c>
      <c r="D58" s="1">
        <v>4</v>
      </c>
      <c r="E58" s="1">
        <f>B57</f>
        <v>1029</v>
      </c>
      <c r="F58" s="1">
        <f>SUMIF($G$6:G58,G58,$G$6:$G$78)/G58</f>
        <v>30</v>
      </c>
      <c r="G58" s="1">
        <v>1</v>
      </c>
      <c r="H58" s="1">
        <v>1003</v>
      </c>
      <c r="I58" s="1">
        <f t="shared" si="13"/>
        <v>58</v>
      </c>
      <c r="J58" s="1">
        <f>VLOOKUP($J$3,[1]!龙魂分图属性,J$4,FALSE)*(AH58*$AG58)/IF(SUMPRODUCT(AH$6:AH$96*$AG$6:$AG$96)=0,1,SUMPRODUCT(AH$6:AH$96*$AG$6:$AG$96))</f>
        <v>0</v>
      </c>
      <c r="K58" s="1">
        <f>VLOOKUP($J$3,[1]!龙魂分图属性,K$4,FALSE)*(AI58*$AG58)/IF(SUMPRODUCT(AI$6:AI$96*$AG$6:$AG$96)=0,1,SUMPRODUCT(AI$6:AI$96*$AG$6:$AG$96))</f>
        <v>0</v>
      </c>
      <c r="L58" s="1">
        <f>VLOOKUP($J$3,[1]!龙魂分图属性,L$4,FALSE)*(AJ58*$AG58)/IF(SUMPRODUCT(AJ$6:AJ$96*$AG$6:$AG$96)=0,1,SUMPRODUCT(AJ$6:AJ$96*$AG$6:$AG$96))</f>
        <v>0</v>
      </c>
      <c r="M58" s="1">
        <f>VLOOKUP($J$3,[1]!龙魂分图属性,M$4,FALSE)*(AK58*$AG58)/IF(SUMPRODUCT(AK$6:AK$96*$AG$6:$AG$96)=0,1,SUMPRODUCT(AK$6:AK$96*$AG$6:$AG$96))</f>
        <v>0</v>
      </c>
      <c r="N58" s="1">
        <f>VLOOKUP($J$3,[1]!龙魂分图属性,N$4,FALSE)*(AL58*$AG58)/IF(SUMPRODUCT(AL$6:AL$96*$AG$6:$AG$96)=0,1,SUMPRODUCT(AL$6:AL$96*$AG$6:$AG$96))</f>
        <v>0</v>
      </c>
      <c r="O58" s="1">
        <f>VLOOKUP($J$3,[1]!龙魂分图属性,O$4,FALSE)*(AM58*$AG58)/IF(SUMPRODUCT(AM$6:AM$96*$AG$6:$AG$96)=0,1,SUMPRODUCT(AM$6:AM$96*$AG$6:$AG$96))</f>
        <v>1255.7207156095164</v>
      </c>
      <c r="P58" s="1">
        <f>VLOOKUP($J$3,[1]!龙魂分图属性,P$4,FALSE)*(AN58*$AG58)/IF(SUMPRODUCT(AN$6:AN$96*$AG$6:$AG$96)=0,1,SUMPRODUCT(AN$6:AN$96*$AG$6:$AG$96))</f>
        <v>0</v>
      </c>
      <c r="Q58" s="1">
        <f>VLOOKUP($J$3,[1]!龙魂分图属性,Q$4,FALSE)*(AO58*$AG58)/IF(SUMPRODUCT(AO$6:AO$96*$AG$6:$AG$96)=0,1,SUMPRODUCT(AO$6:AO$96*$AG$6:$AG$96))</f>
        <v>0</v>
      </c>
      <c r="R58" s="1">
        <f t="shared" si="28"/>
        <v>1</v>
      </c>
      <c r="S58" s="1" t="str">
        <f t="array" aca="1" ref="S58" ca="1">OFFSET($I$5,0,MATCH(1,1/(J58:Q58&gt;0),0))</f>
        <v>暴击值</v>
      </c>
      <c r="T58" s="1">
        <f t="shared" si="29"/>
        <v>1256</v>
      </c>
      <c r="U58" s="1">
        <f t="shared" si="15"/>
        <v>0.17199872848167805</v>
      </c>
      <c r="V58" s="19">
        <f t="shared" si="30"/>
        <v>226.02972880971296</v>
      </c>
      <c r="W58" s="18">
        <f t="shared" si="16"/>
        <v>58</v>
      </c>
      <c r="X58" s="1">
        <f>(VLOOKUP(W58,[2]龙魂的投放!$G$17:$L$117,6,FALSE)+SUMIF(龙魂整图属性辅助表!$E$12:$E$17,H58,龙魂整图属性辅助表!$T$12:$T$17)/COUNTIF($H$6:$H$96,H58))/INDEX($C$1:$C$2,G58)</f>
        <v>1314.1360451033247</v>
      </c>
      <c r="Y58" s="1">
        <f t="shared" si="17"/>
        <v>0.21951219512195119</v>
      </c>
      <c r="Z58" s="1">
        <f t="shared" ca="1" si="32"/>
        <v>317</v>
      </c>
      <c r="AA58" s="1">
        <f t="shared" si="19"/>
        <v>4.5555555555555562</v>
      </c>
      <c r="AB58" s="18">
        <f t="shared" si="20"/>
        <v>6</v>
      </c>
      <c r="AC58" s="1">
        <f t="shared" ca="1" si="21"/>
        <v>1902</v>
      </c>
      <c r="AD58" s="21">
        <f t="shared" si="24"/>
        <v>5</v>
      </c>
      <c r="AE58" s="21">
        <f t="shared" si="22"/>
        <v>332</v>
      </c>
      <c r="AF58">
        <v>1.49</v>
      </c>
      <c r="AG58">
        <f t="shared" si="31"/>
        <v>9.9600000000000009</v>
      </c>
      <c r="AH58" s="1"/>
      <c r="AI58" s="1"/>
      <c r="AJ58" s="1"/>
      <c r="AK58" s="1"/>
      <c r="AL58" s="1"/>
      <c r="AM58" s="1">
        <v>1</v>
      </c>
      <c r="AN58" s="1"/>
      <c r="AO58" s="1"/>
      <c r="AY58" s="1">
        <v>1030</v>
      </c>
      <c r="AZ58" s="1" t="s">
        <v>128</v>
      </c>
      <c r="BA58" s="1">
        <v>4</v>
      </c>
      <c r="BB58" s="1">
        <v>1029</v>
      </c>
      <c r="BC58" s="1">
        <v>30</v>
      </c>
      <c r="BD58" s="1">
        <v>1</v>
      </c>
      <c r="BE58" s="1">
        <v>1003</v>
      </c>
      <c r="BF58" s="1">
        <v>59</v>
      </c>
      <c r="BG58" s="1">
        <v>0</v>
      </c>
      <c r="BH58" s="1">
        <v>0</v>
      </c>
      <c r="BI58" s="1">
        <v>0</v>
      </c>
      <c r="BJ58" s="1">
        <v>568.0036120618048</v>
      </c>
      <c r="BK58" s="1">
        <v>0</v>
      </c>
      <c r="BL58" s="1">
        <v>0</v>
      </c>
      <c r="BM58" s="1">
        <v>0</v>
      </c>
      <c r="BN58" s="1">
        <v>0</v>
      </c>
      <c r="BO58" s="1">
        <v>1</v>
      </c>
      <c r="BP58" s="1" t="s">
        <v>93</v>
      </c>
      <c r="BQ58" s="1">
        <v>568</v>
      </c>
      <c r="BR58" s="1"/>
      <c r="BS58" s="1">
        <v>92.236635709717504</v>
      </c>
      <c r="BT58" s="1">
        <v>480.49922896900517</v>
      </c>
      <c r="BU58" s="1"/>
      <c r="BV58" s="1">
        <v>824</v>
      </c>
      <c r="BX58" s="1"/>
      <c r="BY58" s="1"/>
      <c r="BZ58" s="1"/>
      <c r="CA58" s="1"/>
      <c r="CB58" s="1"/>
      <c r="CC58" s="1"/>
      <c r="CD58" s="1"/>
      <c r="CE58" s="1">
        <v>1</v>
      </c>
    </row>
    <row r="59" spans="1:83">
      <c r="A59">
        <v>54</v>
      </c>
      <c r="B59" s="1">
        <f t="shared" si="12"/>
        <v>1031</v>
      </c>
      <c r="C59" s="1" t="s">
        <v>22</v>
      </c>
      <c r="D59" s="1">
        <v>4</v>
      </c>
      <c r="E59" s="1">
        <f>B58</f>
        <v>1030</v>
      </c>
      <c r="F59" s="1">
        <f>SUMIF($G$6:G59,G59,$G$6:$G$78)/G59</f>
        <v>31</v>
      </c>
      <c r="G59" s="1">
        <v>1</v>
      </c>
      <c r="H59" s="1">
        <v>1003</v>
      </c>
      <c r="I59" s="1">
        <f t="shared" si="13"/>
        <v>59</v>
      </c>
      <c r="J59" s="1">
        <f>VLOOKUP($J$3,[1]!龙魂分图属性,J$4,FALSE)*(AH59*$AG59)/IF(SUMPRODUCT(AH$6:AH$96*$AG$6:$AG$96)=0,1,SUMPRODUCT(AH$6:AH$96*$AG$6:$AG$96))</f>
        <v>0</v>
      </c>
      <c r="K59" s="1">
        <f>VLOOKUP($J$3,[1]!龙魂分图属性,K$4,FALSE)*(AI59*$AG59)/IF(SUMPRODUCT(AI$6:AI$96*$AG$6:$AG$96)=0,1,SUMPRODUCT(AI$6:AI$96*$AG$6:$AG$96))</f>
        <v>0</v>
      </c>
      <c r="L59" s="1">
        <f>VLOOKUP($J$3,[1]!龙魂分图属性,L$4,FALSE)*(AJ59*$AG59)/IF(SUMPRODUCT(AJ$6:AJ$96*$AG$6:$AG$96)=0,1,SUMPRODUCT(AJ$6:AJ$96*$AG$6:$AG$96))</f>
        <v>0</v>
      </c>
      <c r="M59" s="1">
        <f>VLOOKUP($J$3,[1]!龙魂分图属性,M$4,FALSE)*(AK59*$AG59)/IF(SUMPRODUCT(AK$6:AK$96*$AG$6:$AG$96)=0,1,SUMPRODUCT(AK$6:AK$96*$AG$6:$AG$96))</f>
        <v>0</v>
      </c>
      <c r="N59" s="1">
        <f>VLOOKUP($J$3,[1]!龙魂分图属性,N$4,FALSE)*(AL59*$AG59)/IF(SUMPRODUCT(AL$6:AL$96*$AG$6:$AG$96)=0,1,SUMPRODUCT(AL$6:AL$96*$AG$6:$AG$96))</f>
        <v>886.40320793541889</v>
      </c>
      <c r="O59" s="1">
        <f>VLOOKUP($J$3,[1]!龙魂分图属性,O$4,FALSE)*(AM59*$AG59)/IF(SUMPRODUCT(AM$6:AM$96*$AG$6:$AG$96)=0,1,SUMPRODUCT(AM$6:AM$96*$AG$6:$AG$96))</f>
        <v>0</v>
      </c>
      <c r="P59" s="1">
        <f>VLOOKUP($J$3,[1]!龙魂分图属性,P$4,FALSE)*(AN59*$AG59)/IF(SUMPRODUCT(AN$6:AN$96*$AG$6:$AG$96)=0,1,SUMPRODUCT(AN$6:AN$96*$AG$6:$AG$96))</f>
        <v>0</v>
      </c>
      <c r="Q59" s="1">
        <f>VLOOKUP($J$3,[1]!龙魂分图属性,Q$4,FALSE)*(AO59*$AG59)/IF(SUMPRODUCT(AO$6:AO$96*$AG$6:$AG$96)=0,1,SUMPRODUCT(AO$6:AO$96*$AG$6:$AG$96))</f>
        <v>0</v>
      </c>
      <c r="R59" s="1">
        <f t="shared" si="28"/>
        <v>1</v>
      </c>
      <c r="S59" s="1" t="str">
        <f t="array" aca="1" ref="S59" ca="1">OFFSET($I$5,0,MATCH(1,1/(J59:Q59&gt;0),0))</f>
        <v>命中值</v>
      </c>
      <c r="T59" s="1">
        <f t="shared" si="29"/>
        <v>886</v>
      </c>
      <c r="U59" s="1">
        <f t="shared" si="15"/>
        <v>0.23166925902273738</v>
      </c>
      <c r="V59" s="19">
        <f t="shared" si="30"/>
        <v>301.37709069804242</v>
      </c>
      <c r="W59" s="18">
        <f t="shared" si="16"/>
        <v>59</v>
      </c>
      <c r="X59" s="1">
        <f>(VLOOKUP(W59,[2]龙魂的投放!$G$17:$L$117,6,FALSE)+SUMIF(龙魂整图属性辅助表!$E$12:$E$17,H59,龙魂整图属性辅助表!$T$12:$T$17)/COUNTIF($H$6:$H$96,H59))/INDEX($C$1:$C$2,G59)</f>
        <v>1300.8937481362752</v>
      </c>
      <c r="Y59" s="1">
        <f t="shared" si="17"/>
        <v>0.19999999999999996</v>
      </c>
      <c r="Z59" s="1">
        <f t="shared" ca="1" si="32"/>
        <v>322</v>
      </c>
      <c r="AA59" s="1">
        <f t="shared" si="19"/>
        <v>5.0000000000000009</v>
      </c>
      <c r="AB59" s="18">
        <f t="shared" si="20"/>
        <v>6</v>
      </c>
      <c r="AC59" s="1">
        <f t="shared" ca="1" si="21"/>
        <v>1932</v>
      </c>
      <c r="AD59" s="21">
        <f t="shared" si="24"/>
        <v>6</v>
      </c>
      <c r="AE59" s="21">
        <f t="shared" si="22"/>
        <v>312</v>
      </c>
      <c r="AF59">
        <v>1.52</v>
      </c>
      <c r="AG59">
        <f t="shared" si="31"/>
        <v>10.08</v>
      </c>
      <c r="AH59" s="1"/>
      <c r="AI59" s="1"/>
      <c r="AJ59" s="1"/>
      <c r="AK59" s="1"/>
      <c r="AL59" s="1">
        <v>1</v>
      </c>
      <c r="AM59" s="1"/>
      <c r="AN59" s="1"/>
      <c r="AO59" s="1"/>
      <c r="AY59" s="1">
        <v>1031</v>
      </c>
      <c r="AZ59" s="1" t="s">
        <v>22</v>
      </c>
      <c r="BA59" s="1">
        <v>4</v>
      </c>
      <c r="BB59" s="1">
        <v>1030</v>
      </c>
      <c r="BC59" s="1">
        <v>31</v>
      </c>
      <c r="BD59" s="1">
        <v>1</v>
      </c>
      <c r="BE59" s="1">
        <v>1003</v>
      </c>
      <c r="BF59" s="1">
        <v>60</v>
      </c>
      <c r="BG59" s="1">
        <v>0</v>
      </c>
      <c r="BH59" s="1">
        <v>0</v>
      </c>
      <c r="BI59" s="1">
        <v>86.412973334023349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1</v>
      </c>
      <c r="BP59" s="1" t="s">
        <v>92</v>
      </c>
      <c r="BQ59" s="1">
        <v>86</v>
      </c>
      <c r="BR59" s="1"/>
      <c r="BS59" s="1">
        <v>86.412973334023349</v>
      </c>
      <c r="BT59" s="1">
        <v>528.91388152975082</v>
      </c>
      <c r="BU59" s="1"/>
      <c r="BV59" s="1">
        <v>832</v>
      </c>
      <c r="BX59" s="1"/>
      <c r="BY59" s="1"/>
      <c r="BZ59" s="1"/>
      <c r="CA59" s="1">
        <v>1</v>
      </c>
      <c r="CB59" s="1"/>
      <c r="CC59" s="1"/>
      <c r="CD59" s="1"/>
      <c r="CE59" s="1"/>
    </row>
    <row r="60" spans="1:83">
      <c r="A60">
        <v>55</v>
      </c>
      <c r="B60" s="1">
        <f t="shared" si="12"/>
        <v>1032</v>
      </c>
      <c r="C60" s="1" t="s">
        <v>130</v>
      </c>
      <c r="D60" s="1">
        <v>4</v>
      </c>
      <c r="E60" s="1">
        <f t="shared" ref="E60:E79" si="33">B59</f>
        <v>1031</v>
      </c>
      <c r="F60" s="1">
        <f>SUMIF($G$6:G60,G60,$G$6:$G$78)/G60</f>
        <v>32</v>
      </c>
      <c r="G60" s="1">
        <v>1</v>
      </c>
      <c r="H60" s="1">
        <v>1003</v>
      </c>
      <c r="I60" s="1">
        <f t="shared" si="13"/>
        <v>60</v>
      </c>
      <c r="J60" s="1">
        <f>VLOOKUP($J$3,[1]!龙魂分图属性,J$4,FALSE)*(AH60*$AG60)/IF(SUMPRODUCT(AH$6:AH$96*$AG$6:$AG$96)=0,1,SUMPRODUCT(AH$6:AH$96*$AG$6:$AG$96))</f>
        <v>9552.8887002978809</v>
      </c>
      <c r="K60" s="1">
        <f>VLOOKUP($J$3,[1]!龙魂分图属性,K$4,FALSE)*(AI60*$AG60)/IF(SUMPRODUCT(AI$6:AI$96*$AG$6:$AG$96)=0,1,SUMPRODUCT(AI$6:AI$96*$AG$6:$AG$96))</f>
        <v>0</v>
      </c>
      <c r="L60" s="1">
        <f>VLOOKUP($J$3,[1]!龙魂分图属性,L$4,FALSE)*(AJ60*$AG60)/IF(SUMPRODUCT(AJ$6:AJ$96*$AG$6:$AG$96)=0,1,SUMPRODUCT(AJ$6:AJ$96*$AG$6:$AG$96))</f>
        <v>0</v>
      </c>
      <c r="M60" s="1">
        <f>VLOOKUP($J$3,[1]!龙魂分图属性,M$4,FALSE)*(AK60*$AG60)/IF(SUMPRODUCT(AK$6:AK$96*$AG$6:$AG$96)=0,1,SUMPRODUCT(AK$6:AK$96*$AG$6:$AG$96))</f>
        <v>0</v>
      </c>
      <c r="N60" s="1">
        <f>VLOOKUP($J$3,[1]!龙魂分图属性,N$4,FALSE)*(AL60*$AG60)/IF(SUMPRODUCT(AL$6:AL$96*$AG$6:$AG$96)=0,1,SUMPRODUCT(AL$6:AL$96*$AG$6:$AG$96))</f>
        <v>0</v>
      </c>
      <c r="O60" s="1">
        <f>VLOOKUP($J$3,[1]!龙魂分图属性,O$4,FALSE)*(AM60*$AG60)/IF(SUMPRODUCT(AM$6:AM$96*$AG$6:$AG$96)=0,1,SUMPRODUCT(AM$6:AM$96*$AG$6:$AG$96))</f>
        <v>0</v>
      </c>
      <c r="P60" s="1">
        <f>VLOOKUP($J$3,[1]!龙魂分图属性,P$4,FALSE)*(AN60*$AG60)/IF(SUMPRODUCT(AN$6:AN$96*$AG$6:$AG$96)=0,1,SUMPRODUCT(AN$6:AN$96*$AG$6:$AG$96))</f>
        <v>0</v>
      </c>
      <c r="Q60" s="1">
        <f>VLOOKUP($J$3,[1]!龙魂分图属性,Q$4,FALSE)*(AO60*$AG60)/IF(SUMPRODUCT(AO$6:AO$96*$AG$6:$AG$96)=0,1,SUMPRODUCT(AO$6:AO$96*$AG$6:$AG$96))</f>
        <v>0</v>
      </c>
      <c r="R60" s="1">
        <f t="shared" si="28"/>
        <v>1</v>
      </c>
      <c r="S60" s="1" t="str">
        <f t="array" aca="1" ref="S60" ca="1">OFFSET($I$5,0,MATCH(1,1/(J60:Q60&gt;0),0))</f>
        <v>生命</v>
      </c>
      <c r="T60" s="1">
        <f t="shared" si="29"/>
        <v>9553</v>
      </c>
      <c r="U60" s="1">
        <f t="shared" si="15"/>
        <v>0.25915830129699957</v>
      </c>
      <c r="V60" s="19">
        <f t="shared" si="30"/>
        <v>382.11554801191522</v>
      </c>
      <c r="W60" s="18">
        <f t="shared" si="16"/>
        <v>60</v>
      </c>
      <c r="X60" s="1">
        <f>(VLOOKUP(W60,[2]龙魂的投放!$G$17:$L$117,6,FALSE)+SUMIF(龙魂整图属性辅助表!$E$12:$E$17,H60,龙魂整图属性辅助表!$T$12:$T$17)/COUNTIF($H$6:$H$96,H60))/INDEX($C$1:$C$2,G60)</f>
        <v>1474.4484205196447</v>
      </c>
      <c r="Y60" s="1">
        <f t="shared" si="17"/>
        <v>0.18367346938775508</v>
      </c>
      <c r="Z60" s="1">
        <f t="shared" ca="1" si="32"/>
        <v>332</v>
      </c>
      <c r="AA60" s="1">
        <f t="shared" si="19"/>
        <v>5.4444444444444446</v>
      </c>
      <c r="AB60" s="18">
        <f t="shared" si="20"/>
        <v>7</v>
      </c>
      <c r="AC60" s="1">
        <f t="shared" ca="1" si="21"/>
        <v>2324</v>
      </c>
      <c r="AD60" s="21">
        <f t="shared" si="24"/>
        <v>7</v>
      </c>
      <c r="AE60" s="21">
        <f t="shared" si="22"/>
        <v>339</v>
      </c>
      <c r="AF60">
        <v>1.55</v>
      </c>
      <c r="AG60">
        <f t="shared" si="31"/>
        <v>10.199999999999999</v>
      </c>
      <c r="AH60" s="1">
        <v>1</v>
      </c>
      <c r="AI60" s="1"/>
      <c r="AJ60" s="1"/>
      <c r="AK60" s="1"/>
      <c r="AL60" s="1"/>
      <c r="AM60" s="1"/>
      <c r="AN60" s="1"/>
      <c r="AO60" s="1"/>
      <c r="AY60" s="1">
        <v>1032</v>
      </c>
      <c r="AZ60" s="1" t="s">
        <v>131</v>
      </c>
      <c r="BA60" s="1">
        <v>4</v>
      </c>
      <c r="BB60" s="1">
        <v>1031</v>
      </c>
      <c r="BC60" s="1">
        <v>32</v>
      </c>
      <c r="BD60" s="1">
        <v>1</v>
      </c>
      <c r="BE60" s="1">
        <v>1003</v>
      </c>
      <c r="BF60" s="1">
        <v>61</v>
      </c>
      <c r="BG60" s="1">
        <v>0</v>
      </c>
      <c r="BH60" s="1">
        <v>0</v>
      </c>
      <c r="BI60" s="1">
        <v>87.243867308388957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1</v>
      </c>
      <c r="BP60" s="1" t="s">
        <v>92</v>
      </c>
      <c r="BQ60" s="1">
        <v>87</v>
      </c>
      <c r="BR60" s="1"/>
      <c r="BS60" s="1">
        <v>87.243867308388957</v>
      </c>
      <c r="BT60" s="1">
        <v>582.20674916611074</v>
      </c>
      <c r="BU60" s="1"/>
      <c r="BV60" s="1">
        <v>840</v>
      </c>
      <c r="BX60" s="1"/>
      <c r="BY60" s="1"/>
      <c r="BZ60" s="1">
        <v>1</v>
      </c>
      <c r="CA60" s="1"/>
      <c r="CB60" s="1"/>
      <c r="CC60" s="1"/>
      <c r="CD60" s="1"/>
      <c r="CE60" s="1"/>
    </row>
    <row r="61" spans="1:83">
      <c r="A61">
        <v>56</v>
      </c>
      <c r="B61" s="1">
        <f t="shared" si="12"/>
        <v>1033</v>
      </c>
      <c r="C61" s="1" t="s">
        <v>132</v>
      </c>
      <c r="D61" s="1">
        <v>4</v>
      </c>
      <c r="E61" s="1">
        <f t="shared" si="33"/>
        <v>1032</v>
      </c>
      <c r="F61" s="1">
        <f>SUMIF($G$6:G61,G61,$G$6:$G$78)/G61</f>
        <v>33</v>
      </c>
      <c r="G61" s="1">
        <v>1</v>
      </c>
      <c r="H61" s="1">
        <v>1003</v>
      </c>
      <c r="I61" s="1">
        <f t="shared" si="13"/>
        <v>61</v>
      </c>
      <c r="J61" s="1">
        <f>VLOOKUP($J$3,[1]!龙魂分图属性,J$4,FALSE)*(AH61*$AG61)/IF(SUMPRODUCT(AH$6:AH$96*$AG$6:$AG$96)=0,1,SUMPRODUCT(AH$6:AH$96*$AG$6:$AG$96))</f>
        <v>0</v>
      </c>
      <c r="K61" s="1">
        <f>VLOOKUP($J$3,[1]!龙魂分图属性,K$4,FALSE)*(AI61*$AG61)/IF(SUMPRODUCT(AI$6:AI$96*$AG$6:$AG$96)=0,1,SUMPRODUCT(AI$6:AI$96*$AG$6:$AG$96))</f>
        <v>0</v>
      </c>
      <c r="L61" s="1">
        <f>VLOOKUP($J$3,[1]!龙魂分图属性,L$4,FALSE)*(AJ61*$AG61)/IF(SUMPRODUCT(AJ$6:AJ$96*$AG$6:$AG$96)=0,1,SUMPRODUCT(AJ$6:AJ$96*$AG$6:$AG$96))</f>
        <v>0</v>
      </c>
      <c r="M61" s="1">
        <f>VLOOKUP($J$3,[1]!龙魂分图属性,M$4,FALSE)*(AK61*$AG61)/IF(SUMPRODUCT(AK$6:AK$96*$AG$6:$AG$96)=0,1,SUMPRODUCT(AK$6:AK$96*$AG$6:$AG$96))</f>
        <v>0</v>
      </c>
      <c r="N61" s="1">
        <f>VLOOKUP($J$3,[1]!龙魂分图属性,N$4,FALSE)*(AL61*$AG61)/IF(SUMPRODUCT(AL$6:AL$96*$AG$6:$AG$96)=0,1,SUMPRODUCT(AL$6:AL$96*$AG$6:$AG$96))</f>
        <v>0</v>
      </c>
      <c r="O61" s="1">
        <f>VLOOKUP($J$3,[1]!龙魂分图属性,O$4,FALSE)*(AM61*$AG61)/IF(SUMPRODUCT(AM$6:AM$96*$AG$6:$AG$96)=0,1,SUMPRODUCT(AM$6:AM$96*$AG$6:$AG$96))</f>
        <v>0</v>
      </c>
      <c r="P61" s="1">
        <f>VLOOKUP($J$3,[1]!龙魂分图属性,P$4,FALSE)*(AN61*$AG61)/IF(SUMPRODUCT(AN$6:AN$96*$AG$6:$AG$96)=0,1,SUMPRODUCT(AN$6:AN$96*$AG$6:$AG$96))</f>
        <v>0</v>
      </c>
      <c r="Q61" s="1">
        <f>VLOOKUP($J$3,[1]!龙魂分图属性,Q$4,FALSE)*(AO61*$AG61)/IF(SUMPRODUCT(AO$6:AO$96*$AG$6:$AG$96)=0,1,SUMPRODUCT(AO$6:AO$96*$AG$6:$AG$96))</f>
        <v>1462.3518784207452</v>
      </c>
      <c r="R61" s="1">
        <f t="shared" si="28"/>
        <v>1</v>
      </c>
      <c r="S61" s="1" t="str">
        <f t="array" aca="1" ref="S61" ca="1">OFFSET($I$5,0,MATCH(1,1/(J61:Q61&gt;0),0))</f>
        <v>韧性值</v>
      </c>
      <c r="T61" s="1">
        <f t="shared" si="29"/>
        <v>1462</v>
      </c>
      <c r="U61" s="1">
        <f t="shared" si="15"/>
        <v>0.18304144477168502</v>
      </c>
      <c r="V61" s="19">
        <f t="shared" si="30"/>
        <v>263.22333811573412</v>
      </c>
      <c r="W61" s="18">
        <f t="shared" si="16"/>
        <v>61</v>
      </c>
      <c r="X61" s="1">
        <f>(VLOOKUP(W61,[2]龙魂的投放!$G$17:$L$117,6,FALSE)+SUMIF(龙魂整图属性辅助表!$E$12:$E$17,H61,龙魂整图属性辅助表!$T$12:$T$17)/COUNTIF($H$6:$H$96,H61))/INDEX($C$1:$C$2,G61)</f>
        <v>1438.0532149102255</v>
      </c>
      <c r="Y61" s="1">
        <f t="shared" si="17"/>
        <v>0.16981132075471694</v>
      </c>
      <c r="Z61" s="1">
        <f t="shared" ca="1" si="32"/>
        <v>339</v>
      </c>
      <c r="AA61" s="1">
        <f t="shared" si="19"/>
        <v>5.8888888888888902</v>
      </c>
      <c r="AB61" s="18">
        <f t="shared" si="20"/>
        <v>7</v>
      </c>
      <c r="AC61" s="1">
        <f t="shared" ca="1" si="21"/>
        <v>2373</v>
      </c>
      <c r="AD61" s="21">
        <f t="shared" si="24"/>
        <v>8</v>
      </c>
      <c r="AE61" s="21">
        <f t="shared" si="22"/>
        <v>317</v>
      </c>
      <c r="AF61">
        <v>1.58</v>
      </c>
      <c r="AG61">
        <f t="shared" si="31"/>
        <v>10.32</v>
      </c>
      <c r="AH61" s="1"/>
      <c r="AI61" s="1"/>
      <c r="AJ61" s="1"/>
      <c r="AK61" s="1"/>
      <c r="AL61" s="1"/>
      <c r="AM61" s="1"/>
      <c r="AN61" s="1"/>
      <c r="AO61" s="1">
        <v>1</v>
      </c>
      <c r="AY61" s="1">
        <v>1033</v>
      </c>
      <c r="AZ61" s="1" t="s">
        <v>133</v>
      </c>
      <c r="BA61" s="1">
        <v>4</v>
      </c>
      <c r="BB61" s="1">
        <v>1032</v>
      </c>
      <c r="BC61" s="1">
        <v>33</v>
      </c>
      <c r="BD61" s="1">
        <v>1</v>
      </c>
      <c r="BE61" s="1">
        <v>1003</v>
      </c>
      <c r="BF61" s="1">
        <v>62</v>
      </c>
      <c r="BG61" s="1">
        <v>6182.9486101435377</v>
      </c>
      <c r="BH61" s="1">
        <v>160.12135752135615</v>
      </c>
      <c r="BI61" s="1">
        <v>0</v>
      </c>
      <c r="BJ61" s="1">
        <v>0</v>
      </c>
      <c r="BK61" s="1">
        <v>0</v>
      </c>
      <c r="BL61" s="1">
        <v>0</v>
      </c>
      <c r="BM61" s="1">
        <v>0</v>
      </c>
      <c r="BN61" s="1">
        <v>0</v>
      </c>
      <c r="BO61" s="1">
        <v>2</v>
      </c>
      <c r="BP61" s="1" t="s">
        <v>90</v>
      </c>
      <c r="BQ61" s="1">
        <v>6343</v>
      </c>
      <c r="BR61" s="1"/>
      <c r="BS61" s="1">
        <v>412.64467924283815</v>
      </c>
      <c r="BT61" s="1">
        <v>640.86935626306524</v>
      </c>
      <c r="BU61" s="1"/>
      <c r="BV61" s="1">
        <v>1696</v>
      </c>
      <c r="BX61" s="1">
        <v>1</v>
      </c>
      <c r="BY61" s="1"/>
      <c r="BZ61" s="1"/>
      <c r="CA61" s="1"/>
      <c r="CB61" s="1"/>
      <c r="CC61" s="1"/>
      <c r="CD61" s="1"/>
      <c r="CE61" s="1"/>
    </row>
    <row r="62" spans="1:83">
      <c r="A62">
        <v>57</v>
      </c>
      <c r="B62" s="1">
        <f t="shared" si="12"/>
        <v>1034</v>
      </c>
      <c r="C62" s="1" t="s">
        <v>134</v>
      </c>
      <c r="D62" s="1">
        <v>5</v>
      </c>
      <c r="E62" s="1">
        <f t="shared" si="33"/>
        <v>1033</v>
      </c>
      <c r="F62" s="1">
        <f>SUMIF($G$6:G62,G62,$G$6:$G$78)/G62</f>
        <v>34</v>
      </c>
      <c r="G62" s="1">
        <v>1</v>
      </c>
      <c r="H62" s="1">
        <v>1004</v>
      </c>
      <c r="I62" s="1">
        <f t="shared" si="13"/>
        <v>63</v>
      </c>
      <c r="J62" s="1">
        <f>VLOOKUP($J$3,[1]!龙魂分图属性,J$4,FALSE)*(AH62*$AG62)/IF(SUMPRODUCT(AH$6:AH$96*$AG$6:$AG$96)=0,1,SUMPRODUCT(AH$6:AH$96*$AG$6:$AG$96))</f>
        <v>0</v>
      </c>
      <c r="K62" s="1">
        <f>VLOOKUP($J$3,[1]!龙魂分图属性,K$4,FALSE)*(AI62*$AG62)/IF(SUMPRODUCT(AI$6:AI$96*$AG$6:$AG$96)=0,1,SUMPRODUCT(AI$6:AI$96*$AG$6:$AG$96))</f>
        <v>480.86846787941079</v>
      </c>
      <c r="L62" s="1">
        <f>VLOOKUP($J$3,[1]!龙魂分图属性,L$4,FALSE)*(AJ62*$AG62)/IF(SUMPRODUCT(AJ$6:AJ$96*$AG$6:$AG$96)=0,1,SUMPRODUCT(AJ$6:AJ$96*$AG$6:$AG$96))</f>
        <v>0</v>
      </c>
      <c r="M62" s="1">
        <f>VLOOKUP($J$3,[1]!龙魂分图属性,M$4,FALSE)*(AK62*$AG62)/IF(SUMPRODUCT(AK$6:AK$96*$AG$6:$AG$96)=0,1,SUMPRODUCT(AK$6:AK$96*$AG$6:$AG$96))</f>
        <v>0</v>
      </c>
      <c r="N62" s="1">
        <f>VLOOKUP($J$3,[1]!龙魂分图属性,N$4,FALSE)*(AL62*$AG62)/IF(SUMPRODUCT(AL$6:AL$96*$AG$6:$AG$96)=0,1,SUMPRODUCT(AL$6:AL$96*$AG$6:$AG$96))</f>
        <v>0</v>
      </c>
      <c r="O62" s="1">
        <f>VLOOKUP($J$3,[1]!龙魂分图属性,O$4,FALSE)*(AM62*$AG62)/IF(SUMPRODUCT(AM$6:AM$96*$AG$6:$AG$96)=0,1,SUMPRODUCT(AM$6:AM$96*$AG$6:$AG$96))</f>
        <v>0</v>
      </c>
      <c r="P62" s="1">
        <f>VLOOKUP($J$3,[1]!龙魂分图属性,P$4,FALSE)*(AN62*$AG62)/IF(SUMPRODUCT(AN$6:AN$96*$AG$6:$AG$96)=0,1,SUMPRODUCT(AN$6:AN$96*$AG$6:$AG$96))</f>
        <v>0</v>
      </c>
      <c r="Q62" s="1">
        <f>VLOOKUP($J$3,[1]!龙魂分图属性,Q$4,FALSE)*(AO62*$AG62)/IF(SUMPRODUCT(AO$6:AO$96*$AG$6:$AG$96)=0,1,SUMPRODUCT(AO$6:AO$96*$AG$6:$AG$96))</f>
        <v>0</v>
      </c>
      <c r="R62" s="1">
        <f t="shared" si="28"/>
        <v>1</v>
      </c>
      <c r="S62" s="1" t="str">
        <f t="array" aca="1" ref="S62" ca="1">OFFSET($I$5,0,MATCH(1,1/(J62:Q62&gt;0),0))</f>
        <v>攻击</v>
      </c>
      <c r="T62" s="1">
        <f t="shared" si="29"/>
        <v>481</v>
      </c>
      <c r="U62" s="1">
        <f t="shared" si="15"/>
        <v>0.27068652156828937</v>
      </c>
      <c r="V62" s="19">
        <f t="shared" si="30"/>
        <v>480.86846787941079</v>
      </c>
      <c r="W62" s="18">
        <f t="shared" si="16"/>
        <v>63</v>
      </c>
      <c r="X62" s="1">
        <f>(VLOOKUP(W62,[2]龙魂的投放!$G$17:$L$117,6,FALSE)+SUMIF(龙魂整图属性辅助表!$E$12:$E$17,H62,龙魂整图属性辅助表!$T$12:$T$17)/COUNTIF($H$6:$H$96,H62))/INDEX($C$1:$C$2,G62)</f>
        <v>1776.477325481078</v>
      </c>
      <c r="Y62" s="1">
        <f t="shared" si="17"/>
        <v>0.33333333333333337</v>
      </c>
      <c r="Z62" s="1">
        <f ca="1">SMALL($AE$62:$AE$78,AD62+1)</f>
        <v>456</v>
      </c>
      <c r="AA62" s="1">
        <f t="shared" si="19"/>
        <v>2.9999999999999996</v>
      </c>
      <c r="AB62" s="18">
        <f t="shared" si="20"/>
        <v>4</v>
      </c>
      <c r="AC62" s="1">
        <f t="shared" ca="1" si="21"/>
        <v>1824</v>
      </c>
      <c r="AD62" s="21">
        <f t="shared" si="24"/>
        <v>0</v>
      </c>
      <c r="AE62" s="21">
        <f t="shared" si="22"/>
        <v>533</v>
      </c>
      <c r="AF62">
        <v>1.8</v>
      </c>
      <c r="AG62">
        <f t="shared" si="31"/>
        <v>14</v>
      </c>
      <c r="AH62" s="1"/>
      <c r="AI62" s="1">
        <v>1</v>
      </c>
      <c r="AJ62" s="1"/>
      <c r="AK62" s="1"/>
      <c r="AL62" s="1"/>
      <c r="AM62" s="1"/>
      <c r="AN62" s="1"/>
      <c r="AO62" s="1"/>
      <c r="AY62" s="1">
        <v>1034</v>
      </c>
      <c r="AZ62" s="1" t="s">
        <v>135</v>
      </c>
      <c r="BA62" s="1">
        <v>5</v>
      </c>
      <c r="BB62" s="1">
        <v>1033</v>
      </c>
      <c r="BC62" s="1">
        <v>34</v>
      </c>
      <c r="BD62" s="1">
        <v>1</v>
      </c>
      <c r="BE62" s="1">
        <v>1004</v>
      </c>
      <c r="BF62" s="1">
        <v>63</v>
      </c>
      <c r="BG62" s="1">
        <v>7801.5978925160207</v>
      </c>
      <c r="BH62" s="1">
        <v>0</v>
      </c>
      <c r="BI62" s="1">
        <v>0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1">
        <v>1</v>
      </c>
      <c r="BP62" s="1" t="s">
        <v>90</v>
      </c>
      <c r="BQ62" s="1">
        <v>7802</v>
      </c>
      <c r="BR62" s="1"/>
      <c r="BS62" s="1">
        <v>318.63202151177558</v>
      </c>
      <c r="BT62" s="1">
        <v>705.44275274255563</v>
      </c>
      <c r="BU62" s="1"/>
      <c r="BV62" s="1">
        <v>1070</v>
      </c>
      <c r="BX62" s="1"/>
      <c r="BY62" s="1">
        <v>1</v>
      </c>
      <c r="BZ62" s="1"/>
      <c r="CA62" s="1"/>
      <c r="CB62" s="1"/>
      <c r="CC62" s="1"/>
      <c r="CD62" s="1"/>
      <c r="CE62" s="1"/>
    </row>
    <row r="63" spans="1:83">
      <c r="A63">
        <v>58</v>
      </c>
      <c r="B63" s="1">
        <f t="shared" si="12"/>
        <v>1035</v>
      </c>
      <c r="C63" s="1" t="s">
        <v>9</v>
      </c>
      <c r="D63" s="1">
        <v>5</v>
      </c>
      <c r="E63" s="1">
        <f t="shared" si="33"/>
        <v>1034</v>
      </c>
      <c r="F63" s="1">
        <f>SUMIF($G$6:G63,G63,$G$6:$G$78)/G63</f>
        <v>35</v>
      </c>
      <c r="G63" s="1">
        <f t="shared" ref="G63" si="34">G46</f>
        <v>1</v>
      </c>
      <c r="H63" s="1">
        <v>1004</v>
      </c>
      <c r="I63" s="1">
        <f t="shared" si="13"/>
        <v>64</v>
      </c>
      <c r="J63" s="1">
        <f>VLOOKUP($J$3,[1]!龙魂分图属性,J$4,FALSE)*(AH63*$AG63)/IF(SUMPRODUCT(AH$6:AH$96*$AG$6:$AG$96)=0,1,SUMPRODUCT(AH$6:AH$96*$AG$6:$AG$96))</f>
        <v>13275.705620266908</v>
      </c>
      <c r="K63" s="1">
        <f>VLOOKUP($J$3,[1]!龙魂分图属性,K$4,FALSE)*(AI63*$AG63)/IF(SUMPRODUCT(AI$6:AI$96*$AG$6:$AG$96)=0,1,SUMPRODUCT(AI$6:AI$96*$AG$6:$AG$96))</f>
        <v>0</v>
      </c>
      <c r="L63" s="1">
        <f>VLOOKUP($J$3,[1]!龙魂分图属性,L$4,FALSE)*(AJ63*$AG63)/IF(SUMPRODUCT(AJ$6:AJ$96*$AG$6:$AG$96)=0,1,SUMPRODUCT(AJ$6:AJ$96*$AG$6:$AG$96))</f>
        <v>0</v>
      </c>
      <c r="M63" s="1">
        <f>VLOOKUP($J$3,[1]!龙魂分图属性,M$4,FALSE)*(AK63*$AG63)/IF(SUMPRODUCT(AK$6:AK$96*$AG$6:$AG$96)=0,1,SUMPRODUCT(AK$6:AK$96*$AG$6:$AG$96))</f>
        <v>0</v>
      </c>
      <c r="N63" s="1">
        <f>VLOOKUP($J$3,[1]!龙魂分图属性,N$4,FALSE)*(AL63*$AG63)/IF(SUMPRODUCT(AL$6:AL$96*$AG$6:$AG$96)=0,1,SUMPRODUCT(AL$6:AL$96*$AG$6:$AG$96))</f>
        <v>0</v>
      </c>
      <c r="O63" s="1">
        <f>VLOOKUP($J$3,[1]!龙魂分图属性,O$4,FALSE)*(AM63*$AG63)/IF(SUMPRODUCT(AM$6:AM$96*$AG$6:$AG$96)=0,1,SUMPRODUCT(AM$6:AM$96*$AG$6:$AG$96))</f>
        <v>0</v>
      </c>
      <c r="P63" s="1">
        <f>VLOOKUP($J$3,[1]!龙魂分图属性,P$4,FALSE)*(AN63*$AG63)/IF(SUMPRODUCT(AN$6:AN$96*$AG$6:$AG$96)=0,1,SUMPRODUCT(AN$6:AN$96*$AG$6:$AG$96))</f>
        <v>0</v>
      </c>
      <c r="Q63" s="1">
        <f>VLOOKUP($J$3,[1]!龙魂分图属性,Q$4,FALSE)*(AO63*$AG63)/IF(SUMPRODUCT(AO$6:AO$96*$AG$6:$AG$96)=0,1,SUMPRODUCT(AO$6:AO$96*$AG$6:$AG$96))</f>
        <v>0</v>
      </c>
      <c r="R63" s="1">
        <f t="shared" si="28"/>
        <v>1</v>
      </c>
      <c r="S63" s="1" t="str">
        <f t="array" aca="1" ref="S63" ca="1">OFFSET($I$5,0,MATCH(1,1/(J63:Q63&gt;0),0))</f>
        <v>生命</v>
      </c>
      <c r="T63" s="1">
        <f t="shared" si="29"/>
        <v>13276</v>
      </c>
      <c r="U63" s="1">
        <f t="shared" si="15"/>
        <v>0.28290629252365729</v>
      </c>
      <c r="V63" s="19">
        <f t="shared" si="30"/>
        <v>531.02822481067631</v>
      </c>
      <c r="W63" s="18">
        <f t="shared" si="16"/>
        <v>64</v>
      </c>
      <c r="X63" s="1">
        <f>(VLOOKUP(W63,[2]龙魂的投放!$G$17:$L$117,6,FALSE)+SUMIF(龙魂整图属性辅助表!$E$12:$E$17,H63,龙魂整图属性辅助表!$T$12:$T$17)/COUNTIF($H$6:$H$96,H63))/INDEX($C$1:$C$2,G63)</f>
        <v>1877.0463536659245</v>
      </c>
      <c r="Y63" s="1">
        <f t="shared" si="17"/>
        <v>0.2857142857142857</v>
      </c>
      <c r="Z63" s="1">
        <f t="shared" ref="Z63:Z78" ca="1" si="35">SMALL($AE$62:$AE$78,AD63+1)</f>
        <v>482</v>
      </c>
      <c r="AA63" s="1">
        <f t="shared" si="19"/>
        <v>3.5</v>
      </c>
      <c r="AB63" s="18">
        <f t="shared" si="20"/>
        <v>5</v>
      </c>
      <c r="AC63" s="1">
        <f t="shared" ca="1" si="21"/>
        <v>2410</v>
      </c>
      <c r="AD63" s="21">
        <f t="shared" si="24"/>
        <v>1</v>
      </c>
      <c r="AE63" s="21">
        <f t="shared" si="22"/>
        <v>509</v>
      </c>
      <c r="AF63">
        <v>1.835</v>
      </c>
      <c r="AG63">
        <f t="shared" si="31"/>
        <v>14.175000000000001</v>
      </c>
      <c r="AH63" s="1">
        <v>1</v>
      </c>
      <c r="AI63" s="1"/>
      <c r="AJ63" s="1"/>
      <c r="AK63" s="1"/>
      <c r="AL63" s="1"/>
      <c r="AM63" s="1"/>
      <c r="AN63" s="1"/>
      <c r="AO63" s="1"/>
      <c r="AY63" s="1">
        <v>1035</v>
      </c>
      <c r="AZ63" s="1" t="s">
        <v>9</v>
      </c>
      <c r="BA63" s="1">
        <v>5</v>
      </c>
      <c r="BB63" s="1">
        <v>1034</v>
      </c>
      <c r="BC63" s="1">
        <v>35</v>
      </c>
      <c r="BD63" s="1">
        <v>1</v>
      </c>
      <c r="BE63" s="1">
        <v>1004</v>
      </c>
      <c r="BF63" s="1">
        <v>64</v>
      </c>
      <c r="BG63" s="1">
        <v>0</v>
      </c>
      <c r="BH63" s="1">
        <v>203.9281440130479</v>
      </c>
      <c r="BI63" s="1">
        <v>0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1">
        <v>1</v>
      </c>
      <c r="BP63" s="1" t="s">
        <v>91</v>
      </c>
      <c r="BQ63" s="1">
        <v>204</v>
      </c>
      <c r="BR63" s="1"/>
      <c r="BS63" s="1">
        <v>203.9281440130479</v>
      </c>
      <c r="BT63" s="1">
        <v>776.52250421023155</v>
      </c>
      <c r="BU63" s="1"/>
      <c r="BV63" s="1">
        <v>1080</v>
      </c>
      <c r="BX63" s="1">
        <v>1</v>
      </c>
      <c r="BY63" s="1"/>
      <c r="BZ63" s="1"/>
      <c r="CA63" s="1"/>
      <c r="CB63" s="1"/>
      <c r="CC63" s="1"/>
      <c r="CD63" s="1"/>
      <c r="CE63" s="1"/>
    </row>
    <row r="64" spans="1:83">
      <c r="A64">
        <v>59</v>
      </c>
      <c r="B64" s="1">
        <f t="shared" si="12"/>
        <v>1036</v>
      </c>
      <c r="C64" s="1" t="s">
        <v>10</v>
      </c>
      <c r="D64" s="1">
        <v>5</v>
      </c>
      <c r="E64" s="1">
        <f t="shared" si="33"/>
        <v>1035</v>
      </c>
      <c r="F64" s="1">
        <f>SUMIF($G$6:G64,G64,$G$6:$G$78)/G64</f>
        <v>36</v>
      </c>
      <c r="G64" s="1">
        <v>1</v>
      </c>
      <c r="H64" s="1">
        <v>1004</v>
      </c>
      <c r="I64" s="1">
        <f t="shared" si="13"/>
        <v>65</v>
      </c>
      <c r="J64" s="1">
        <f>VLOOKUP($J$3,[1]!龙魂分图属性,J$4,FALSE)*(AH64*$AG64)/IF(SUMPRODUCT(AH$6:AH$96*$AG$6:$AG$96)=0,1,SUMPRODUCT(AH$6:AH$96*$AG$6:$AG$96))</f>
        <v>0</v>
      </c>
      <c r="K64" s="1">
        <f>VLOOKUP($J$3,[1]!龙魂分图属性,K$4,FALSE)*(AI64*$AG64)/IF(SUMPRODUCT(AI$6:AI$96*$AG$6:$AG$96)=0,1,SUMPRODUCT(AI$6:AI$96*$AG$6:$AG$96))</f>
        <v>0</v>
      </c>
      <c r="L64" s="1">
        <f>VLOOKUP($J$3,[1]!龙魂分图属性,L$4,FALSE)*(AJ64*$AG64)/IF(SUMPRODUCT(AJ$6:AJ$96*$AG$6:$AG$96)=0,1,SUMPRODUCT(AJ$6:AJ$96*$AG$6:$AG$96))</f>
        <v>488.44538700720392</v>
      </c>
      <c r="M64" s="1">
        <f>VLOOKUP($J$3,[1]!龙魂分图属性,M$4,FALSE)*(AK64*$AG64)/IF(SUMPRODUCT(AK$6:AK$96*$AG$6:$AG$96)=0,1,SUMPRODUCT(AK$6:AK$96*$AG$6:$AG$96))</f>
        <v>0</v>
      </c>
      <c r="N64" s="1">
        <f>VLOOKUP($J$3,[1]!龙魂分图属性,N$4,FALSE)*(AL64*$AG64)/IF(SUMPRODUCT(AL$6:AL$96*$AG$6:$AG$96)=0,1,SUMPRODUCT(AL$6:AL$96*$AG$6:$AG$96))</f>
        <v>0</v>
      </c>
      <c r="O64" s="1">
        <f>VLOOKUP($J$3,[1]!龙魂分图属性,O$4,FALSE)*(AM64*$AG64)/IF(SUMPRODUCT(AM$6:AM$96*$AG$6:$AG$96)=0,1,SUMPRODUCT(AM$6:AM$96*$AG$6:$AG$96))</f>
        <v>0</v>
      </c>
      <c r="P64" s="1">
        <f>VLOOKUP($J$3,[1]!龙魂分图属性,P$4,FALSE)*(AN64*$AG64)/IF(SUMPRODUCT(AN$6:AN$96*$AG$6:$AG$96)=0,1,SUMPRODUCT(AN$6:AN$96*$AG$6:$AG$96))</f>
        <v>0</v>
      </c>
      <c r="Q64" s="1">
        <f>VLOOKUP($J$3,[1]!龙魂分图属性,Q$4,FALSE)*(AO64*$AG64)/IF(SUMPRODUCT(AO$6:AO$96*$AG$6:$AG$96)=0,1,SUMPRODUCT(AO$6:AO$96*$AG$6:$AG$96))</f>
        <v>0</v>
      </c>
      <c r="R64" s="1">
        <f t="shared" si="28"/>
        <v>1</v>
      </c>
      <c r="S64" s="1" t="str">
        <f t="array" aca="1" ref="S64" ca="1">OFFSET($I$5,0,MATCH(1,1/(J64:Q64&gt;0),0))</f>
        <v>防御</v>
      </c>
      <c r="T64" s="1">
        <f t="shared" si="29"/>
        <v>488</v>
      </c>
      <c r="U64" s="1">
        <f t="shared" si="15"/>
        <v>0.24777344670251239</v>
      </c>
      <c r="V64" s="19">
        <f t="shared" si="30"/>
        <v>488.44538700720392</v>
      </c>
      <c r="W64" s="18">
        <f t="shared" si="16"/>
        <v>65</v>
      </c>
      <c r="X64" s="1">
        <f>(VLOOKUP(W64,[2]龙魂的投放!$G$17:$L$117,6,FALSE)+SUMIF(龙魂整图属性辅助表!$E$12:$E$17,H64,龙魂整图属性辅助表!$T$12:$T$17)/COUNTIF($H$6:$H$96,H64))/INDEX($C$1:$C$2,G64)</f>
        <v>1971.3387108573129</v>
      </c>
      <c r="Y64" s="1">
        <f t="shared" si="17"/>
        <v>0.25</v>
      </c>
      <c r="Z64" s="1">
        <f t="shared" ca="1" si="35"/>
        <v>483</v>
      </c>
      <c r="AA64" s="1">
        <f t="shared" si="19"/>
        <v>4</v>
      </c>
      <c r="AB64" s="18">
        <f t="shared" si="20"/>
        <v>5</v>
      </c>
      <c r="AC64" s="1">
        <f t="shared" ca="1" si="21"/>
        <v>2415</v>
      </c>
      <c r="AD64" s="21">
        <f t="shared" si="24"/>
        <v>2</v>
      </c>
      <c r="AE64" s="21">
        <f t="shared" si="22"/>
        <v>493</v>
      </c>
      <c r="AF64">
        <v>1.87</v>
      </c>
      <c r="AG64">
        <f t="shared" si="31"/>
        <v>14.350000000000001</v>
      </c>
      <c r="AH64" s="1"/>
      <c r="AI64" s="1"/>
      <c r="AJ64" s="1">
        <v>1</v>
      </c>
      <c r="AK64" s="1"/>
      <c r="AL64" s="1"/>
      <c r="AM64" s="1"/>
      <c r="AN64" s="1"/>
      <c r="AO64" s="1"/>
      <c r="AY64" s="1">
        <v>1036</v>
      </c>
      <c r="AZ64" s="1" t="s">
        <v>10</v>
      </c>
      <c r="BA64" s="1">
        <v>5</v>
      </c>
      <c r="BB64" s="1">
        <v>1035</v>
      </c>
      <c r="BC64" s="1">
        <v>36</v>
      </c>
      <c r="BD64" s="1">
        <v>1</v>
      </c>
      <c r="BE64" s="1">
        <v>1004</v>
      </c>
      <c r="BF64" s="1">
        <v>65</v>
      </c>
      <c r="BG64" s="1">
        <v>0</v>
      </c>
      <c r="BH64" s="1">
        <v>0</v>
      </c>
      <c r="BI64" s="1">
        <v>113.20930400731422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1">
        <v>1</v>
      </c>
      <c r="BP64" s="1" t="s">
        <v>92</v>
      </c>
      <c r="BQ64" s="1">
        <v>113</v>
      </c>
      <c r="BR64" s="1"/>
      <c r="BS64" s="1">
        <v>113.20930400731422</v>
      </c>
      <c r="BT64" s="1">
        <v>854.76418490471508</v>
      </c>
      <c r="BU64" s="1"/>
      <c r="BV64" s="1">
        <v>1089.9999999999998</v>
      </c>
      <c r="BX64" s="1"/>
      <c r="BY64" s="1"/>
      <c r="BZ64" s="1">
        <v>1</v>
      </c>
      <c r="CA64" s="1"/>
      <c r="CB64" s="1"/>
      <c r="CC64" s="1"/>
      <c r="CD64" s="1"/>
      <c r="CE64" s="1"/>
    </row>
    <row r="65" spans="1:83">
      <c r="A65">
        <v>60</v>
      </c>
      <c r="B65" s="1">
        <f t="shared" si="12"/>
        <v>2024</v>
      </c>
      <c r="C65" s="1" t="s">
        <v>25</v>
      </c>
      <c r="D65" s="1">
        <v>5</v>
      </c>
      <c r="E65" s="1">
        <f t="shared" si="33"/>
        <v>1036</v>
      </c>
      <c r="F65" s="1">
        <f>SUMIF($G$6:G65,G65,$G$6:$G$78)/G65</f>
        <v>24</v>
      </c>
      <c r="G65" s="1">
        <f>G47</f>
        <v>2</v>
      </c>
      <c r="H65" s="1">
        <v>1004</v>
      </c>
      <c r="I65" s="1">
        <f t="shared" ca="1" si="13"/>
        <v>65</v>
      </c>
      <c r="J65" s="1">
        <f>VLOOKUP($J$3,[1]!龙魂分图属性,J$4,FALSE)*(AH65*$AG65)/IF(SUMPRODUCT(AH$6:AH$96*$AG$6:$AG$96)=0,1,SUMPRODUCT(AH$6:AH$96*$AG$6:$AG$96))</f>
        <v>0</v>
      </c>
      <c r="K65" s="1">
        <f>VLOOKUP($J$3,[1]!龙魂分图属性,K$4,FALSE)*(AI65*$AG65)/IF(SUMPRODUCT(AI$6:AI$96*$AG$6:$AG$96)=0,1,SUMPRODUCT(AI$6:AI$96*$AG$6:$AG$96))</f>
        <v>0</v>
      </c>
      <c r="L65" s="1">
        <f>VLOOKUP($J$3,[1]!龙魂分图属性,L$4,FALSE)*(AJ65*$AG65)/IF(SUMPRODUCT(AJ$6:AJ$96*$AG$6:$AG$96)=0,1,SUMPRODUCT(AJ$6:AJ$96*$AG$6:$AG$96))</f>
        <v>0</v>
      </c>
      <c r="M65" s="1">
        <f>VLOOKUP($J$3,[1]!龙魂分图属性,M$4,FALSE)*(AK65*$AG65)/IF(SUMPRODUCT(AK$6:AK$96*$AG$6:$AG$96)=0,1,SUMPRODUCT(AK$6:AK$96*$AG$6:$AG$96))</f>
        <v>0</v>
      </c>
      <c r="N65" s="1">
        <f>VLOOKUP($J$3,[1]!龙魂分图属性,N$4,FALSE)*(AL65*$AG65)/IF(SUMPRODUCT(AL$6:AL$96*$AG$6:$AG$96)=0,1,SUMPRODUCT(AL$6:AL$96*$AG$6:$AG$96))</f>
        <v>0</v>
      </c>
      <c r="O65" s="1">
        <f>VLOOKUP($J$3,[1]!龙魂分图属性,O$4,FALSE)*(AM65*$AG65)/IF(SUMPRODUCT(AM$6:AM$96*$AG$6:$AG$96)=0,1,SUMPRODUCT(AM$6:AM$96*$AG$6:$AG$96))</f>
        <v>0</v>
      </c>
      <c r="P65" s="1">
        <f>VLOOKUP($J$3,[1]!龙魂分图属性,P$4,FALSE)*(AN65*$AG65)/IF(SUMPRODUCT(AN$6:AN$96*$AG$6:$AG$96)=0,1,SUMPRODUCT(AN$6:AN$96*$AG$6:$AG$96))</f>
        <v>0</v>
      </c>
      <c r="Q65" s="1">
        <f>VLOOKUP($J$3,[1]!龙魂分图属性,Q$4,FALSE)*(AO65*$AG65)/IF(SUMPRODUCT(AO$6:AO$96*$AG$6:$AG$96)=0,1,SUMPRODUCT(AO$6:AO$96*$AG$6:$AG$96))</f>
        <v>3087.3053828577504</v>
      </c>
      <c r="R65" s="1">
        <f t="shared" si="28"/>
        <v>1</v>
      </c>
      <c r="S65" s="1" t="str">
        <f t="array" aca="1" ref="S65" ca="1">OFFSET($I$5,0,MATCH(1,1/(J65:Q65&gt;0),0))</f>
        <v>韧性值</v>
      </c>
      <c r="T65" s="1">
        <f t="shared" si="29"/>
        <v>3087</v>
      </c>
      <c r="U65" s="1">
        <f t="shared" ca="1" si="15"/>
        <v>0.1336827114666842</v>
      </c>
      <c r="V65" s="19">
        <f t="shared" si="30"/>
        <v>555.71496891439506</v>
      </c>
      <c r="W65" s="18">
        <f t="shared" ca="1" si="16"/>
        <v>66</v>
      </c>
      <c r="X65" s="1">
        <f ca="1">(VLOOKUP(W65,[2]龙魂的投放!$G$17:$L$117,6,FALSE)+SUMIF(龙魂整图属性辅助表!$E$12:$E$17,H65,龙魂整图属性辅助表!$T$12:$T$17)/COUNTIF($H$6:$H$96,H65))/INDEX($C$1:$C$2,G65)</f>
        <v>4156.9696097381138</v>
      </c>
      <c r="Y65" s="1">
        <f t="shared" ca="1" si="17"/>
        <v>0.15789473684210531</v>
      </c>
      <c r="Z65" s="1">
        <f ca="1">AE65</f>
        <v>689</v>
      </c>
      <c r="AA65" s="1">
        <f t="shared" ca="1" si="19"/>
        <v>6.3333333333333313</v>
      </c>
      <c r="AB65" s="18">
        <f t="shared" ca="1" si="20"/>
        <v>9</v>
      </c>
      <c r="AC65" s="1">
        <f t="shared" ca="1" si="21"/>
        <v>6201</v>
      </c>
      <c r="AD65" s="21">
        <f t="shared" ca="1" si="24"/>
        <v>3</v>
      </c>
      <c r="AE65" s="21">
        <f t="shared" ca="1" si="22"/>
        <v>689</v>
      </c>
      <c r="AF65">
        <v>1.905</v>
      </c>
      <c r="AG65">
        <f t="shared" si="31"/>
        <v>14.525000000000002</v>
      </c>
      <c r="AH65" s="1"/>
      <c r="AI65" s="1"/>
      <c r="AJ65" s="1"/>
      <c r="AK65" s="1"/>
      <c r="AL65" s="1"/>
      <c r="AM65" s="1"/>
      <c r="AN65" s="1"/>
      <c r="AO65" s="1">
        <v>1.5</v>
      </c>
      <c r="AY65" s="1">
        <v>2024</v>
      </c>
      <c r="AZ65" s="1" t="s">
        <v>11</v>
      </c>
      <c r="BA65" s="1">
        <v>5</v>
      </c>
      <c r="BB65" s="1">
        <v>1036</v>
      </c>
      <c r="BC65" s="1">
        <v>24</v>
      </c>
      <c r="BD65" s="1">
        <v>2</v>
      </c>
      <c r="BE65" s="1">
        <v>1004</v>
      </c>
      <c r="BF65" s="1">
        <v>66</v>
      </c>
      <c r="BG65" s="1">
        <v>0</v>
      </c>
      <c r="BH65" s="1">
        <v>0</v>
      </c>
      <c r="BI65" s="1">
        <v>0</v>
      </c>
      <c r="BJ65" s="1">
        <v>758.25724911163252</v>
      </c>
      <c r="BK65" s="1">
        <v>0</v>
      </c>
      <c r="BL65" s="1">
        <v>0</v>
      </c>
      <c r="BM65" s="1">
        <v>0</v>
      </c>
      <c r="BN65" s="1">
        <v>0</v>
      </c>
      <c r="BO65" s="1">
        <v>1</v>
      </c>
      <c r="BP65" s="1" t="s">
        <v>93</v>
      </c>
      <c r="BQ65" s="1">
        <v>758</v>
      </c>
      <c r="BR65" s="1"/>
      <c r="BS65" s="1">
        <v>123.131431165885</v>
      </c>
      <c r="BT65" s="1">
        <v>1881.7788482225812</v>
      </c>
      <c r="BU65" s="1"/>
      <c r="BV65" s="1">
        <v>1100</v>
      </c>
      <c r="BX65" s="1"/>
      <c r="BY65" s="1"/>
      <c r="BZ65" s="1"/>
      <c r="CA65" s="1"/>
      <c r="CB65" s="1">
        <v>1</v>
      </c>
      <c r="CC65" s="1"/>
      <c r="CD65" s="1"/>
      <c r="CE65" s="1"/>
    </row>
    <row r="66" spans="1:83">
      <c r="A66">
        <v>61</v>
      </c>
      <c r="B66" s="1">
        <f t="shared" si="12"/>
        <v>2025</v>
      </c>
      <c r="C66" s="1" t="s">
        <v>12</v>
      </c>
      <c r="D66" s="1">
        <v>5</v>
      </c>
      <c r="E66" s="1">
        <v>2024</v>
      </c>
      <c r="F66" s="1">
        <f>SUMIF($G$6:G66,G66,$G$6:$G$78)/G66</f>
        <v>25</v>
      </c>
      <c r="G66" s="1">
        <v>2</v>
      </c>
      <c r="H66" s="1">
        <v>1004</v>
      </c>
      <c r="I66" s="1">
        <f t="shared" ca="1" si="13"/>
        <v>65</v>
      </c>
      <c r="J66" s="1">
        <f>VLOOKUP($J$3,[1]!龙魂分图属性,J$4,FALSE)*(AH66*$AG66)/IF(SUMPRODUCT(AH$6:AH$96*$AG$6:$AG$96)=0,1,SUMPRODUCT(AH$6:AH$96*$AG$6:$AG$96))</f>
        <v>0</v>
      </c>
      <c r="K66" s="1">
        <f>VLOOKUP($J$3,[1]!龙魂分图属性,K$4,FALSE)*(AI66*$AG66)/IF(SUMPRODUCT(AI$6:AI$96*$AG$6:$AG$96)=0,1,SUMPRODUCT(AI$6:AI$96*$AG$6:$AG$96))</f>
        <v>757.3678369100719</v>
      </c>
      <c r="L66" s="1">
        <f>VLOOKUP($J$3,[1]!龙魂分图属性,L$4,FALSE)*(AJ66*$AG66)/IF(SUMPRODUCT(AJ$6:AJ$96*$AG$6:$AG$96)=0,1,SUMPRODUCT(AJ$6:AJ$96*$AG$6:$AG$96))</f>
        <v>0</v>
      </c>
      <c r="M66" s="1">
        <f>VLOOKUP($J$3,[1]!龙魂分图属性,M$4,FALSE)*(AK66*$AG66)/IF(SUMPRODUCT(AK$6:AK$96*$AG$6:$AG$96)=0,1,SUMPRODUCT(AK$6:AK$96*$AG$6:$AG$96))</f>
        <v>0</v>
      </c>
      <c r="N66" s="1">
        <f>VLOOKUP($J$3,[1]!龙魂分图属性,N$4,FALSE)*(AL66*$AG66)/IF(SUMPRODUCT(AL$6:AL$96*$AG$6:$AG$96)=0,1,SUMPRODUCT(AL$6:AL$96*$AG$6:$AG$96))</f>
        <v>0</v>
      </c>
      <c r="O66" s="1">
        <f>VLOOKUP($J$3,[1]!龙魂分图属性,O$4,FALSE)*(AM66*$AG66)/IF(SUMPRODUCT(AM$6:AM$96*$AG$6:$AG$96)=0,1,SUMPRODUCT(AM$6:AM$96*$AG$6:$AG$96))</f>
        <v>0</v>
      </c>
      <c r="P66" s="1">
        <f>VLOOKUP($J$3,[1]!龙魂分图属性,P$4,FALSE)*(AN66*$AG66)/IF(SUMPRODUCT(AN$6:AN$96*$AG$6:$AG$96)=0,1,SUMPRODUCT(AN$6:AN$96*$AG$6:$AG$96))</f>
        <v>0</v>
      </c>
      <c r="Q66" s="1">
        <f>VLOOKUP($J$3,[1]!龙魂分图属性,Q$4,FALSE)*(AO66*$AG66)/IF(SUMPRODUCT(AO$6:AO$96*$AG$6:$AG$96)=0,1,SUMPRODUCT(AO$6:AO$96*$AG$6:$AG$96))</f>
        <v>0</v>
      </c>
      <c r="R66" s="1">
        <f t="shared" si="28"/>
        <v>1</v>
      </c>
      <c r="S66" s="1" t="str">
        <f t="array" aca="1" ref="S66" ca="1">OFFSET($I$5,0,MATCH(1,1/(J66:Q66&gt;0),0))</f>
        <v>攻击</v>
      </c>
      <c r="T66" s="1">
        <f t="shared" si="29"/>
        <v>757</v>
      </c>
      <c r="U66" s="1">
        <f t="shared" ca="1" si="15"/>
        <v>0.17285805907333041</v>
      </c>
      <c r="V66" s="19">
        <f t="shared" si="30"/>
        <v>757.3678369100719</v>
      </c>
      <c r="W66" s="18">
        <f t="shared" ca="1" si="16"/>
        <v>67</v>
      </c>
      <c r="X66" s="1">
        <f ca="1">(VLOOKUP(W66,[2]龙魂的投放!$G$17:$L$117,6,FALSE)+SUMIF(龙魂整图属性辅助表!$E$12:$E$17,H66,龙魂整图属性辅助表!$T$12:$T$17)/COUNTIF($H$6:$H$96,H66))/INDEX($C$1:$C$2,G66)</f>
        <v>4381.4436015897809</v>
      </c>
      <c r="Y66" s="1">
        <f t="shared" ca="1" si="17"/>
        <v>0.1428571428571429</v>
      </c>
      <c r="Z66" s="1">
        <f t="shared" ref="Z66:Z69" ca="1" si="36">AE66</f>
        <v>689</v>
      </c>
      <c r="AA66" s="1">
        <f t="shared" ca="1" si="19"/>
        <v>6.9999999999999973</v>
      </c>
      <c r="AB66" s="18">
        <f t="shared" ca="1" si="20"/>
        <v>9</v>
      </c>
      <c r="AC66" s="1">
        <f t="shared" ca="1" si="21"/>
        <v>6201</v>
      </c>
      <c r="AD66" s="21">
        <f t="shared" ca="1" si="24"/>
        <v>4</v>
      </c>
      <c r="AE66" s="21">
        <f t="shared" ca="1" si="22"/>
        <v>689</v>
      </c>
      <c r="AF66">
        <v>1.94</v>
      </c>
      <c r="AG66">
        <f t="shared" si="31"/>
        <v>14.7</v>
      </c>
      <c r="AH66" s="1"/>
      <c r="AI66" s="1">
        <v>1.5</v>
      </c>
      <c r="AJ66" s="1"/>
      <c r="AK66" s="1"/>
      <c r="AL66" s="1"/>
      <c r="AM66" s="1"/>
      <c r="AN66" s="1"/>
      <c r="AO66" s="1"/>
      <c r="AY66" s="1">
        <v>2025</v>
      </c>
      <c r="AZ66" s="1" t="s">
        <v>12</v>
      </c>
      <c r="BA66" s="1">
        <v>5</v>
      </c>
      <c r="BB66" s="1">
        <v>2034</v>
      </c>
      <c r="BC66" s="1">
        <v>25</v>
      </c>
      <c r="BD66" s="1">
        <v>2</v>
      </c>
      <c r="BE66" s="1">
        <v>1004</v>
      </c>
      <c r="BF66" s="1">
        <v>76</v>
      </c>
      <c r="BG66" s="1">
        <v>0</v>
      </c>
      <c r="BH66" s="1">
        <v>0</v>
      </c>
      <c r="BI66" s="1">
        <v>0</v>
      </c>
      <c r="BJ66" s="1">
        <v>0</v>
      </c>
      <c r="BK66" s="1">
        <v>893.552535455319</v>
      </c>
      <c r="BL66" s="1">
        <v>0</v>
      </c>
      <c r="BM66" s="1">
        <v>0</v>
      </c>
      <c r="BN66" s="1">
        <v>0</v>
      </c>
      <c r="BO66" s="1">
        <v>1</v>
      </c>
      <c r="BP66" s="1" t="s">
        <v>94</v>
      </c>
      <c r="BQ66" s="1">
        <v>894</v>
      </c>
      <c r="BR66" s="1"/>
      <c r="BS66" s="1">
        <v>145.10168236627115</v>
      </c>
      <c r="BT66" s="1">
        <v>4914.6351816651322</v>
      </c>
      <c r="BU66" s="1"/>
      <c r="BV66" s="1">
        <v>1109.9999999999998</v>
      </c>
      <c r="BX66" s="1">
        <v>1</v>
      </c>
      <c r="BY66" s="1"/>
      <c r="BZ66" s="1"/>
      <c r="CA66" s="1"/>
      <c r="CB66" s="1"/>
      <c r="CC66" s="1"/>
      <c r="CD66" s="1"/>
      <c r="CE66" s="1"/>
    </row>
    <row r="67" spans="1:83">
      <c r="A67">
        <v>62</v>
      </c>
      <c r="B67" s="1">
        <f t="shared" si="12"/>
        <v>2026</v>
      </c>
      <c r="C67" s="1" t="s">
        <v>26</v>
      </c>
      <c r="D67" s="1">
        <v>5</v>
      </c>
      <c r="E67" s="1">
        <v>1036</v>
      </c>
      <c r="F67" s="1">
        <f>SUMIF($G$6:G67,G67,$G$6:$G$78)/G67</f>
        <v>26</v>
      </c>
      <c r="G67" s="1">
        <f>G49</f>
        <v>2</v>
      </c>
      <c r="H67" s="1">
        <v>1004</v>
      </c>
      <c r="I67" s="1">
        <f t="shared" ca="1" si="13"/>
        <v>65</v>
      </c>
      <c r="J67" s="1">
        <f>VLOOKUP($J$3,[1]!龙魂分图属性,J$4,FALSE)*(AH67*$AG67)/IF(SUMPRODUCT(AH$6:AH$96*$AG$6:$AG$96)=0,1,SUMPRODUCT(AH$6:AH$96*$AG$6:$AG$96))</f>
        <v>0</v>
      </c>
      <c r="K67" s="1">
        <f>VLOOKUP($J$3,[1]!龙魂分图属性,K$4,FALSE)*(AI67*$AG67)/IF(SUMPRODUCT(AI$6:AI$96*$AG$6:$AG$96)=0,1,SUMPRODUCT(AI$6:AI$96*$AG$6:$AG$96))</f>
        <v>0</v>
      </c>
      <c r="L67" s="1">
        <f>VLOOKUP($J$3,[1]!龙魂分图属性,L$4,FALSE)*(AJ67*$AG67)/IF(SUMPRODUCT(AJ$6:AJ$96*$AG$6:$AG$96)=0,1,SUMPRODUCT(AJ$6:AJ$96*$AG$6:$AG$96))</f>
        <v>0</v>
      </c>
      <c r="M67" s="1">
        <f>VLOOKUP($J$3,[1]!龙魂分图属性,M$4,FALSE)*(AK67*$AG67)/IF(SUMPRODUCT(AK$6:AK$96*$AG$6:$AG$96)=0,1,SUMPRODUCT(AK$6:AK$96*$AG$6:$AG$96))</f>
        <v>2146.2994670924791</v>
      </c>
      <c r="N67" s="1">
        <f>VLOOKUP($J$3,[1]!龙魂分图属性,N$4,FALSE)*(AL67*$AG67)/IF(SUMPRODUCT(AL$6:AL$96*$AG$6:$AG$96)=0,1,SUMPRODUCT(AL$6:AL$96*$AG$6:$AG$96))</f>
        <v>0</v>
      </c>
      <c r="O67" s="1">
        <f>VLOOKUP($J$3,[1]!龙魂分图属性,O$4,FALSE)*(AM67*$AG67)/IF(SUMPRODUCT(AM$6:AM$96*$AG$6:$AG$96)=0,1,SUMPRODUCT(AM$6:AM$96*$AG$6:$AG$96))</f>
        <v>0</v>
      </c>
      <c r="P67" s="1">
        <f>VLOOKUP($J$3,[1]!龙魂分图属性,P$4,FALSE)*(AN67*$AG67)/IF(SUMPRODUCT(AN$6:AN$96*$AG$6:$AG$96)=0,1,SUMPRODUCT(AN$6:AN$96*$AG$6:$AG$96))</f>
        <v>0</v>
      </c>
      <c r="Q67" s="1">
        <f>VLOOKUP($J$3,[1]!龙魂分图属性,Q$4,FALSE)*(AO67*$AG67)/IF(SUMPRODUCT(AO$6:AO$96*$AG$6:$AG$96)=0,1,SUMPRODUCT(AO$6:AO$96*$AG$6:$AG$96))</f>
        <v>0</v>
      </c>
      <c r="R67" s="1">
        <f t="shared" si="28"/>
        <v>1</v>
      </c>
      <c r="S67" s="1" t="str">
        <f t="array" aca="1" ref="S67" ca="1">OFFSET($I$5,0,MATCH(1,1/(J67:Q67&gt;0),0))</f>
        <v>闪避值</v>
      </c>
      <c r="T67" s="1">
        <f t="shared" si="29"/>
        <v>2146</v>
      </c>
      <c r="U67" s="1">
        <f t="shared" ca="1" si="15"/>
        <v>0.17554658496948122</v>
      </c>
      <c r="V67" s="19">
        <f t="shared" si="30"/>
        <v>729.74181881144295</v>
      </c>
      <c r="W67" s="18">
        <f t="shared" ca="1" si="16"/>
        <v>66</v>
      </c>
      <c r="X67" s="1">
        <f ca="1">(VLOOKUP(W67,[2]龙魂的投放!$G$17:$L$117,6,FALSE)+SUMIF(龙魂整图属性辅助表!$E$12:$E$17,H67,龙魂整图属性辅助表!$T$12:$T$17)/COUNTIF($H$6:$H$96,H67))/INDEX($C$1:$C$2,G67)</f>
        <v>4156.9696097381138</v>
      </c>
      <c r="Y67" s="1">
        <f t="shared" ca="1" si="17"/>
        <v>0.15789473684210531</v>
      </c>
      <c r="Z67" s="1">
        <f t="shared" ca="1" si="36"/>
        <v>689</v>
      </c>
      <c r="AA67" s="1">
        <f t="shared" ca="1" si="19"/>
        <v>6.3333333333333313</v>
      </c>
      <c r="AB67" s="18">
        <f t="shared" ca="1" si="20"/>
        <v>9</v>
      </c>
      <c r="AC67" s="1">
        <f t="shared" ca="1" si="21"/>
        <v>6201</v>
      </c>
      <c r="AD67" s="21">
        <f t="shared" ca="1" si="24"/>
        <v>3</v>
      </c>
      <c r="AE67" s="21">
        <f t="shared" ca="1" si="22"/>
        <v>689</v>
      </c>
      <c r="AF67">
        <v>1.9750000000000001</v>
      </c>
      <c r="AG67">
        <f t="shared" si="31"/>
        <v>14.875</v>
      </c>
      <c r="AH67" s="1"/>
      <c r="AI67" s="1"/>
      <c r="AJ67" s="1"/>
      <c r="AK67" s="1">
        <v>1.5</v>
      </c>
      <c r="AL67" s="1"/>
      <c r="AM67" s="1"/>
      <c r="AN67" s="1"/>
      <c r="AO67" s="1"/>
      <c r="AY67" s="1">
        <v>2026</v>
      </c>
      <c r="AZ67" s="1" t="s">
        <v>103</v>
      </c>
      <c r="BA67" s="1">
        <v>5</v>
      </c>
      <c r="BB67" s="1">
        <v>1046</v>
      </c>
      <c r="BC67" s="1">
        <v>26</v>
      </c>
      <c r="BD67" s="1">
        <v>2</v>
      </c>
      <c r="BE67" s="1">
        <v>1004</v>
      </c>
      <c r="BF67" s="1">
        <v>76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927.59384640867961</v>
      </c>
      <c r="BM67" s="1">
        <v>0</v>
      </c>
      <c r="BN67" s="1">
        <v>0</v>
      </c>
      <c r="BO67" s="1">
        <v>1</v>
      </c>
      <c r="BP67" s="1" t="s">
        <v>95</v>
      </c>
      <c r="BQ67" s="1">
        <v>928</v>
      </c>
      <c r="BR67" s="1"/>
      <c r="BS67" s="1">
        <v>74.071629859816269</v>
      </c>
      <c r="BT67" s="1">
        <v>4914.6351816651322</v>
      </c>
      <c r="BU67" s="1"/>
      <c r="BV67" s="1">
        <v>1120</v>
      </c>
      <c r="BX67" s="1"/>
      <c r="BY67" s="1"/>
      <c r="BZ67" s="1"/>
      <c r="CA67" s="1"/>
      <c r="CB67" s="1"/>
      <c r="CC67" s="1">
        <v>1</v>
      </c>
      <c r="CD67" s="1"/>
      <c r="CE67" s="1"/>
    </row>
    <row r="68" spans="1:83">
      <c r="A68">
        <v>63</v>
      </c>
      <c r="B68" s="1">
        <f t="shared" si="12"/>
        <v>2027</v>
      </c>
      <c r="C68" s="1" t="s">
        <v>14</v>
      </c>
      <c r="D68" s="1">
        <v>5</v>
      </c>
      <c r="E68" s="1">
        <f t="shared" si="33"/>
        <v>2026</v>
      </c>
      <c r="F68" s="1">
        <f>SUMIF($G$6:G68,G68,$G$6:$G$78)/G68</f>
        <v>27</v>
      </c>
      <c r="G68" s="1">
        <f>G50</f>
        <v>2</v>
      </c>
      <c r="H68" s="1">
        <v>1004</v>
      </c>
      <c r="I68" s="1">
        <f t="shared" ca="1" si="13"/>
        <v>65</v>
      </c>
      <c r="J68" s="1">
        <f>VLOOKUP($J$3,[1]!龙魂分图属性,J$4,FALSE)*(AH68*$AG68)/IF(SUMPRODUCT(AH$6:AH$96*$AG$6:$AG$96)=0,1,SUMPRODUCT(AH$6:AH$96*$AG$6:$AG$96))</f>
        <v>21142.790432276928</v>
      </c>
      <c r="K68" s="1">
        <f>VLOOKUP($J$3,[1]!龙魂分图属性,K$4,FALSE)*(AI68*$AG68)/IF(SUMPRODUCT(AI$6:AI$96*$AG$6:$AG$96)=0,1,SUMPRODUCT(AI$6:AI$96*$AG$6:$AG$96))</f>
        <v>0</v>
      </c>
      <c r="L68" s="1">
        <f>VLOOKUP($J$3,[1]!龙魂分图属性,L$4,FALSE)*(AJ68*$AG68)/IF(SUMPRODUCT(AJ$6:AJ$96*$AG$6:$AG$96)=0,1,SUMPRODUCT(AJ$6:AJ$96*$AG$6:$AG$96))</f>
        <v>0</v>
      </c>
      <c r="M68" s="1">
        <f>VLOOKUP($J$3,[1]!龙魂分图属性,M$4,FALSE)*(AK68*$AG68)/IF(SUMPRODUCT(AK$6:AK$96*$AG$6:$AG$96)=0,1,SUMPRODUCT(AK$6:AK$96*$AG$6:$AG$96))</f>
        <v>0</v>
      </c>
      <c r="N68" s="1">
        <f>VLOOKUP($J$3,[1]!龙魂分图属性,N$4,FALSE)*(AL68*$AG68)/IF(SUMPRODUCT(AL$6:AL$96*$AG$6:$AG$96)=0,1,SUMPRODUCT(AL$6:AL$96*$AG$6:$AG$96))</f>
        <v>0</v>
      </c>
      <c r="O68" s="1">
        <f>VLOOKUP($J$3,[1]!龙魂分图属性,O$4,FALSE)*(AM68*$AG68)/IF(SUMPRODUCT(AM$6:AM$96*$AG$6:$AG$96)=0,1,SUMPRODUCT(AM$6:AM$96*$AG$6:$AG$96))</f>
        <v>0</v>
      </c>
      <c r="P68" s="1">
        <f>VLOOKUP($J$3,[1]!龙魂分图属性,P$4,FALSE)*(AN68*$AG68)/IF(SUMPRODUCT(AN$6:AN$96*$AG$6:$AG$96)=0,1,SUMPRODUCT(AN$6:AN$96*$AG$6:$AG$96))</f>
        <v>0</v>
      </c>
      <c r="Q68" s="1">
        <f>VLOOKUP($J$3,[1]!龙魂分图属性,Q$4,FALSE)*(AO68*$AG68)/IF(SUMPRODUCT(AO$6:AO$96*$AG$6:$AG$96)=0,1,SUMPRODUCT(AO$6:AO$96*$AG$6:$AG$96))</f>
        <v>0</v>
      </c>
      <c r="R68" s="1">
        <f t="shared" si="28"/>
        <v>1</v>
      </c>
      <c r="S68" s="1" t="str">
        <f t="array" aca="1" ref="S68" ca="1">OFFSET($I$5,0,MATCH(1,1/(J68:Q68&gt;0),0))</f>
        <v>生命</v>
      </c>
      <c r="T68" s="1">
        <f t="shared" si="29"/>
        <v>21143</v>
      </c>
      <c r="U68" s="1">
        <f t="shared" ca="1" si="15"/>
        <v>0.19302122637940966</v>
      </c>
      <c r="V68" s="19">
        <f t="shared" si="30"/>
        <v>845.71161729107712</v>
      </c>
      <c r="W68" s="18">
        <f t="shared" ca="1" si="16"/>
        <v>67</v>
      </c>
      <c r="X68" s="1">
        <f ca="1">(VLOOKUP(W68,[2]龙魂的投放!$G$17:$L$117,6,FALSE)+SUMIF(龙魂整图属性辅助表!$E$12:$E$17,H68,龙魂整图属性辅助表!$T$12:$T$17)/COUNTIF($H$6:$H$96,H68))/INDEX($C$1:$C$2,G68)</f>
        <v>4381.4436015897809</v>
      </c>
      <c r="Y68" s="1">
        <f t="shared" ca="1" si="17"/>
        <v>0.1428571428571429</v>
      </c>
      <c r="Z68" s="1">
        <f t="shared" ca="1" si="36"/>
        <v>689</v>
      </c>
      <c r="AA68" s="1">
        <f t="shared" ca="1" si="19"/>
        <v>6.9999999999999973</v>
      </c>
      <c r="AB68" s="18">
        <f t="shared" ca="1" si="20"/>
        <v>9</v>
      </c>
      <c r="AC68" s="1">
        <f t="shared" ca="1" si="21"/>
        <v>6201</v>
      </c>
      <c r="AD68" s="21">
        <f t="shared" ca="1" si="24"/>
        <v>4</v>
      </c>
      <c r="AE68" s="21">
        <f t="shared" ca="1" si="22"/>
        <v>689</v>
      </c>
      <c r="AF68">
        <v>2.0099999999999998</v>
      </c>
      <c r="AG68">
        <f t="shared" si="31"/>
        <v>15.049999999999999</v>
      </c>
      <c r="AH68" s="1">
        <v>1.5</v>
      </c>
      <c r="AI68" s="1"/>
      <c r="AJ68" s="1"/>
      <c r="AK68" s="1"/>
      <c r="AL68" s="1"/>
      <c r="AM68" s="1"/>
      <c r="AN68" s="1"/>
      <c r="AO68" s="1"/>
      <c r="AY68" s="1">
        <v>2027</v>
      </c>
      <c r="AZ68" s="1" t="s">
        <v>14</v>
      </c>
      <c r="BA68" s="1">
        <v>5</v>
      </c>
      <c r="BB68" s="1">
        <v>2026</v>
      </c>
      <c r="BC68" s="1">
        <v>27</v>
      </c>
      <c r="BD68" s="1">
        <v>2</v>
      </c>
      <c r="BE68" s="1">
        <v>1004</v>
      </c>
      <c r="BF68" s="1">
        <v>77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1">
        <v>0</v>
      </c>
      <c r="BM68" s="1">
        <v>0</v>
      </c>
      <c r="BN68" s="1">
        <v>1376.2026549750331</v>
      </c>
      <c r="BO68" s="1">
        <v>1</v>
      </c>
      <c r="BP68" s="1" t="s">
        <v>97</v>
      </c>
      <c r="BQ68" s="1">
        <v>1376</v>
      </c>
      <c r="BR68" s="1"/>
      <c r="BS68" s="1">
        <v>109.89462043767742</v>
      </c>
      <c r="BT68" s="1">
        <v>5409.8292224415891</v>
      </c>
      <c r="BU68" s="1"/>
      <c r="BV68" s="1">
        <v>1130</v>
      </c>
      <c r="BX68" s="1"/>
      <c r="BY68" s="1"/>
      <c r="BZ68" s="1"/>
      <c r="CA68" s="1"/>
      <c r="CB68" s="1"/>
      <c r="CC68" s="1"/>
      <c r="CD68" s="1"/>
      <c r="CE68" s="1">
        <v>1</v>
      </c>
    </row>
    <row r="69" spans="1:83">
      <c r="A69">
        <v>64</v>
      </c>
      <c r="B69" s="1">
        <f t="shared" si="12"/>
        <v>2028</v>
      </c>
      <c r="C69" s="1" t="s">
        <v>15</v>
      </c>
      <c r="D69" s="1">
        <v>5</v>
      </c>
      <c r="E69" s="1">
        <f t="shared" si="33"/>
        <v>2027</v>
      </c>
      <c r="F69" s="1">
        <f>SUMIF($G$6:G69,G69,$G$6:$G$78)/G69</f>
        <v>28</v>
      </c>
      <c r="G69" s="1">
        <v>2</v>
      </c>
      <c r="H69" s="1">
        <v>1004</v>
      </c>
      <c r="I69" s="1">
        <f t="shared" ca="1" si="13"/>
        <v>65</v>
      </c>
      <c r="J69" s="1">
        <f>VLOOKUP($J$3,[1]!龙魂分图属性,J$4,FALSE)*(AH69*$AG69)/IF(SUMPRODUCT(AH$6:AH$96*$AG$6:$AG$96)=0,1,SUMPRODUCT(AH$6:AH$96*$AG$6:$AG$96))</f>
        <v>0</v>
      </c>
      <c r="K69" s="1">
        <f>VLOOKUP($J$3,[1]!龙魂分图属性,K$4,FALSE)*(AI69*$AG69)/IF(SUMPRODUCT(AI$6:AI$96*$AG$6:$AG$96)=0,1,SUMPRODUCT(AI$6:AI$96*$AG$6:$AG$96))</f>
        <v>0</v>
      </c>
      <c r="L69" s="1">
        <f>VLOOKUP($J$3,[1]!龙魂分图属性,L$4,FALSE)*(AJ69*$AG69)/IF(SUMPRODUCT(AJ$6:AJ$96*$AG$6:$AG$96)=0,1,SUMPRODUCT(AJ$6:AJ$96*$AG$6:$AG$96))</f>
        <v>0</v>
      </c>
      <c r="M69" s="1">
        <f>VLOOKUP($J$3,[1]!龙魂分图属性,M$4,FALSE)*(AK69*$AG69)/IF(SUMPRODUCT(AK$6:AK$96*$AG$6:$AG$96)=0,1,SUMPRODUCT(AK$6:AK$96*$AG$6:$AG$96))</f>
        <v>0</v>
      </c>
      <c r="N69" s="1">
        <f>VLOOKUP($J$3,[1]!龙魂分图属性,N$4,FALSE)*(AL69*$AG69)/IF(SUMPRODUCT(AL$6:AL$96*$AG$6:$AG$96)=0,1,SUMPRODUCT(AL$6:AL$96*$AG$6:$AG$96))</f>
        <v>0</v>
      </c>
      <c r="O69" s="1">
        <f>VLOOKUP($J$3,[1]!龙魂分图属性,O$4,FALSE)*(AM69*$AG69)/IF(SUMPRODUCT(AM$6:AM$96*$AG$6:$AG$96)=0,1,SUMPRODUCT(AM$6:AM$96*$AG$6:$AG$96))</f>
        <v>0</v>
      </c>
      <c r="P69" s="1">
        <f>VLOOKUP($J$3,[1]!龙魂分图属性,P$4,FALSE)*(AN69*$AG69)/IF(SUMPRODUCT(AN$6:AN$96*$AG$6:$AG$96)=0,1,SUMPRODUCT(AN$6:AN$96*$AG$6:$AG$96))</f>
        <v>5716.1629434954011</v>
      </c>
      <c r="Q69" s="1">
        <f>VLOOKUP($J$3,[1]!龙魂分图属性,Q$4,FALSE)*(AO69*$AG69)/IF(SUMPRODUCT(AO$6:AO$96*$AG$6:$AG$96)=0,1,SUMPRODUCT(AO$6:AO$96*$AG$6:$AG$96))</f>
        <v>0</v>
      </c>
      <c r="R69" s="1">
        <f t="shared" si="28"/>
        <v>1</v>
      </c>
      <c r="S69" s="1" t="str">
        <f t="array" aca="1" ref="S69" ca="1">OFFSET($I$5,0,MATCH(1,1/(J69:Q69&gt;0),0))</f>
        <v>暴击倍数</v>
      </c>
      <c r="T69" s="1">
        <f t="shared" si="29"/>
        <v>5716</v>
      </c>
      <c r="U69" s="1">
        <f t="shared" ca="1" si="15"/>
        <v>0.14859009842023105</v>
      </c>
      <c r="V69" s="19">
        <f t="shared" si="30"/>
        <v>685.93955321944816</v>
      </c>
      <c r="W69" s="18">
        <f t="shared" ca="1" si="16"/>
        <v>68</v>
      </c>
      <c r="X69" s="1">
        <f ca="1">(VLOOKUP(W69,[2]龙魂的投放!$G$17:$L$117,6,FALSE)+SUMIF(龙魂整图属性辅助表!$E$12:$E$17,H69,龙魂整图属性辅助表!$T$12:$T$17)/COUNTIF($H$6:$H$96,H69))/INDEX($C$1:$C$2,G69)</f>
        <v>4616.3207408311073</v>
      </c>
      <c r="Y69" s="1">
        <f t="shared" ca="1" si="17"/>
        <v>0.13043478260869568</v>
      </c>
      <c r="Z69" s="1">
        <f t="shared" ca="1" si="36"/>
        <v>692</v>
      </c>
      <c r="AA69" s="1">
        <f t="shared" ca="1" si="19"/>
        <v>7.6666666666666652</v>
      </c>
      <c r="AB69" s="18">
        <f t="shared" ca="1" si="20"/>
        <v>10</v>
      </c>
      <c r="AC69" s="1">
        <f t="shared" ca="1" si="21"/>
        <v>6920</v>
      </c>
      <c r="AD69" s="21">
        <f t="shared" ca="1" si="24"/>
        <v>5</v>
      </c>
      <c r="AE69" s="21">
        <f t="shared" ca="1" si="22"/>
        <v>692</v>
      </c>
      <c r="AF69">
        <v>2.0449999999999999</v>
      </c>
      <c r="AG69">
        <f t="shared" si="31"/>
        <v>15.225</v>
      </c>
      <c r="AH69" s="1"/>
      <c r="AI69" s="1"/>
      <c r="AJ69" s="1"/>
      <c r="AK69" s="1"/>
      <c r="AL69" s="1"/>
      <c r="AM69" s="1"/>
      <c r="AN69" s="1">
        <v>1.5</v>
      </c>
      <c r="AO69" s="1"/>
      <c r="AY69" s="1">
        <v>2028</v>
      </c>
      <c r="AZ69" s="1" t="s">
        <v>15</v>
      </c>
      <c r="BA69" s="1">
        <v>5</v>
      </c>
      <c r="BB69" s="1">
        <v>2027</v>
      </c>
      <c r="BC69" s="1">
        <v>28</v>
      </c>
      <c r="BD69" s="1">
        <v>2</v>
      </c>
      <c r="BE69" s="1">
        <v>1004</v>
      </c>
      <c r="BF69" s="1">
        <v>78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 s="1">
        <v>944.15802223740616</v>
      </c>
      <c r="BM69" s="1">
        <v>0</v>
      </c>
      <c r="BN69" s="1">
        <v>0</v>
      </c>
      <c r="BO69" s="1">
        <v>1</v>
      </c>
      <c r="BP69" s="1" t="s">
        <v>95</v>
      </c>
      <c r="BQ69" s="1">
        <v>944</v>
      </c>
      <c r="BR69" s="1"/>
      <c r="BS69" s="1">
        <v>75.394337535884432</v>
      </c>
      <c r="BT69" s="1">
        <v>5954.9185512620788</v>
      </c>
      <c r="BU69" s="1"/>
      <c r="BV69" s="1">
        <v>1140.0000000000002</v>
      </c>
      <c r="BX69" s="1">
        <v>1</v>
      </c>
      <c r="BY69" s="1"/>
      <c r="BZ69" s="1"/>
      <c r="CA69" s="1"/>
      <c r="CB69" s="1"/>
      <c r="CC69" s="1"/>
      <c r="CD69" s="1"/>
      <c r="CE69" s="1"/>
    </row>
    <row r="70" spans="1:83">
      <c r="A70">
        <v>65</v>
      </c>
      <c r="B70" s="1">
        <f t="shared" si="12"/>
        <v>1037</v>
      </c>
      <c r="C70" s="1" t="s">
        <v>16</v>
      </c>
      <c r="D70" s="1">
        <v>5</v>
      </c>
      <c r="E70" s="1">
        <v>1036</v>
      </c>
      <c r="F70" s="1">
        <f>SUMIF($G$6:G70,G70,$G$6:$G$78)/G70</f>
        <v>37</v>
      </c>
      <c r="G70" s="1">
        <f>G51</f>
        <v>1</v>
      </c>
      <c r="H70" s="1">
        <v>1004</v>
      </c>
      <c r="I70" s="1">
        <f t="shared" si="13"/>
        <v>66</v>
      </c>
      <c r="J70" s="1">
        <f>VLOOKUP($J$3,[1]!龙魂分图属性,J$4,FALSE)*(AH70*$AG70)/IF(SUMPRODUCT(AH$6:AH$96*$AG$6:$AG$96)=0,1,SUMPRODUCT(AH$6:AH$96*$AG$6:$AG$96))</f>
        <v>14422.988822018369</v>
      </c>
      <c r="K70" s="1">
        <f>VLOOKUP($J$3,[1]!龙魂分图属性,K$4,FALSE)*(AI70*$AG70)/IF(SUMPRODUCT(AI$6:AI$96*$AG$6:$AG$96)=0,1,SUMPRODUCT(AI$6:AI$96*$AG$6:$AG$96))</f>
        <v>0</v>
      </c>
      <c r="L70" s="1">
        <f>VLOOKUP($J$3,[1]!龙魂分图属性,L$4,FALSE)*(AJ70*$AG70)/IF(SUMPRODUCT(AJ$6:AJ$96*$AG$6:$AG$96)=0,1,SUMPRODUCT(AJ$6:AJ$96*$AG$6:$AG$96))</f>
        <v>0</v>
      </c>
      <c r="M70" s="1">
        <f>VLOOKUP($J$3,[1]!龙魂分图属性,M$4,FALSE)*(AK70*$AG70)/IF(SUMPRODUCT(AK$6:AK$96*$AG$6:$AG$96)=0,1,SUMPRODUCT(AK$6:AK$96*$AG$6:$AG$96))</f>
        <v>0</v>
      </c>
      <c r="N70" s="1">
        <f>VLOOKUP($J$3,[1]!龙魂分图属性,N$4,FALSE)*(AL70*$AG70)/IF(SUMPRODUCT(AL$6:AL$96*$AG$6:$AG$96)=0,1,SUMPRODUCT(AL$6:AL$96*$AG$6:$AG$96))</f>
        <v>0</v>
      </c>
      <c r="O70" s="1">
        <f>VLOOKUP($J$3,[1]!龙魂分图属性,O$4,FALSE)*(AM70*$AG70)/IF(SUMPRODUCT(AM$6:AM$96*$AG$6:$AG$96)=0,1,SUMPRODUCT(AM$6:AM$96*$AG$6:$AG$96))</f>
        <v>0</v>
      </c>
      <c r="P70" s="1">
        <f>VLOOKUP($J$3,[1]!龙魂分图属性,P$4,FALSE)*(AN70*$AG70)/IF(SUMPRODUCT(AN$6:AN$96*$AG$6:$AG$96)=0,1,SUMPRODUCT(AN$6:AN$96*$AG$6:$AG$96))</f>
        <v>0</v>
      </c>
      <c r="Q70" s="1">
        <f>VLOOKUP($J$3,[1]!龙魂分图属性,Q$4,FALSE)*(AO70*$AG70)/IF(SUMPRODUCT(AO$6:AO$96*$AG$6:$AG$96)=0,1,SUMPRODUCT(AO$6:AO$96*$AG$6:$AG$96))</f>
        <v>0</v>
      </c>
      <c r="R70" s="1">
        <f t="shared" ref="R70:R96" si="37">COUNTIF(J70:Q70,"&gt;0")</f>
        <v>1</v>
      </c>
      <c r="S70" s="1" t="str">
        <f t="array" aca="1" ref="S70" ca="1">OFFSET($I$5,0,MATCH(1,1/(J70:Q70&gt;0),0))</f>
        <v>生命</v>
      </c>
      <c r="T70" s="1">
        <f t="shared" ref="T70:T96" si="38">ROUND(SUM(J70:Q70),0)</f>
        <v>14423</v>
      </c>
      <c r="U70" s="1">
        <f t="shared" si="15"/>
        <v>0.27756736615502003</v>
      </c>
      <c r="V70" s="19">
        <f t="shared" ref="V70:V96" si="39">SUMPRODUCT(J70:Q70,$J$2:$Q$2)</f>
        <v>576.91955288073484</v>
      </c>
      <c r="W70" s="18">
        <f t="shared" si="16"/>
        <v>66</v>
      </c>
      <c r="X70" s="1">
        <f>(VLOOKUP(W70,[2]龙魂的投放!$G$17:$L$117,6,FALSE)+SUMIF(龙魂整图属性辅助表!$E$12:$E$17,H70,龙魂整图属性辅助表!$T$12:$T$17)/COUNTIF($H$6:$H$96,H70))/INDEX($C$1:$C$2,G70)</f>
        <v>2078.4848048690569</v>
      </c>
      <c r="Y70" s="1">
        <f t="shared" si="17"/>
        <v>0.22222222222222221</v>
      </c>
      <c r="Z70" s="1">
        <f t="shared" ca="1" si="35"/>
        <v>485</v>
      </c>
      <c r="AA70" s="1">
        <f t="shared" si="19"/>
        <v>4.5</v>
      </c>
      <c r="AB70" s="18">
        <f t="shared" si="20"/>
        <v>6</v>
      </c>
      <c r="AC70" s="1">
        <f t="shared" ca="1" si="21"/>
        <v>2910</v>
      </c>
      <c r="AD70" s="21">
        <f t="shared" si="24"/>
        <v>3</v>
      </c>
      <c r="AE70" s="21">
        <f t="shared" si="22"/>
        <v>485</v>
      </c>
      <c r="AF70">
        <v>2.08</v>
      </c>
      <c r="AG70">
        <f t="shared" ref="AG70:AG96" si="40">(1+AF70)*D70</f>
        <v>15.4</v>
      </c>
      <c r="AH70" s="1">
        <v>1</v>
      </c>
      <c r="AI70" s="1"/>
      <c r="AJ70" s="1"/>
      <c r="AK70" s="1"/>
      <c r="AL70" s="1"/>
      <c r="AM70" s="1"/>
      <c r="AN70" s="1"/>
      <c r="AO70" s="1"/>
      <c r="AY70" s="1">
        <v>1037</v>
      </c>
      <c r="AZ70" s="1" t="s">
        <v>16</v>
      </c>
      <c r="BA70" s="1">
        <v>5</v>
      </c>
      <c r="BB70" s="1">
        <v>1036</v>
      </c>
      <c r="BC70" s="1">
        <v>37</v>
      </c>
      <c r="BD70" s="1">
        <v>1</v>
      </c>
      <c r="BE70" s="1">
        <v>1004</v>
      </c>
      <c r="BF70" s="1">
        <v>66</v>
      </c>
      <c r="BG70" s="1">
        <v>0</v>
      </c>
      <c r="BH70" s="1">
        <v>0</v>
      </c>
      <c r="BI70" s="1">
        <v>0</v>
      </c>
      <c r="BJ70" s="1">
        <v>0</v>
      </c>
      <c r="BK70" s="1">
        <v>925.75262682307834</v>
      </c>
      <c r="BL70" s="1">
        <v>0</v>
      </c>
      <c r="BM70" s="1">
        <v>0</v>
      </c>
      <c r="BN70" s="1">
        <v>0</v>
      </c>
      <c r="BO70" s="1">
        <v>1</v>
      </c>
      <c r="BP70" s="1" t="s">
        <v>94</v>
      </c>
      <c r="BQ70" s="1">
        <v>926</v>
      </c>
      <c r="BR70" s="1"/>
      <c r="BS70" s="1">
        <v>150.33057182091156</v>
      </c>
      <c r="BT70" s="1">
        <v>940.88942411129062</v>
      </c>
      <c r="BU70" s="1"/>
      <c r="BV70" s="1">
        <v>1150</v>
      </c>
      <c r="BX70" s="1"/>
      <c r="BY70" s="1"/>
      <c r="BZ70" s="1"/>
      <c r="CA70" s="1">
        <v>1</v>
      </c>
      <c r="CB70" s="1"/>
      <c r="CC70" s="1"/>
      <c r="CD70" s="1"/>
      <c r="CE70" s="1"/>
    </row>
    <row r="71" spans="1:83">
      <c r="A71">
        <v>66</v>
      </c>
      <c r="B71" s="1">
        <f t="shared" ref="B71:B96" si="41">G71*1000+F71</f>
        <v>1038</v>
      </c>
      <c r="C71" s="1" t="s">
        <v>17</v>
      </c>
      <c r="D71" s="1">
        <v>5</v>
      </c>
      <c r="E71" s="1">
        <f t="shared" si="33"/>
        <v>1037</v>
      </c>
      <c r="F71" s="1">
        <f>SUMIF($G$6:G71,G71,$G$6:$G$78)/G71</f>
        <v>38</v>
      </c>
      <c r="G71" s="1">
        <f>G52</f>
        <v>1</v>
      </c>
      <c r="H71" s="1">
        <v>1004</v>
      </c>
      <c r="I71" s="1">
        <f t="shared" ref="I71:I96" si="42">IF(G71=1,24+F71+D71,SUMIF($B$6:$B$96,E71,$I$6:$I$96))</f>
        <v>67</v>
      </c>
      <c r="J71" s="1">
        <f>VLOOKUP($J$3,[1]!龙魂分图属性,J$4,FALSE)*(AH71*$AG71)/IF(SUMPRODUCT(AH$6:AH$96*$AG$6:$AG$96)=0,1,SUMPRODUCT(AH$6:AH$96*$AG$6:$AG$96))</f>
        <v>0</v>
      </c>
      <c r="K71" s="1">
        <f>VLOOKUP($J$3,[1]!龙魂分图属性,K$4,FALSE)*(AI71*$AG71)/IF(SUMPRODUCT(AI$6:AI$96*$AG$6:$AG$96)=0,1,SUMPRODUCT(AI$6:AI$96*$AG$6:$AG$96))</f>
        <v>534.96617051584451</v>
      </c>
      <c r="L71" s="1">
        <f>VLOOKUP($J$3,[1]!龙魂分图属性,L$4,FALSE)*(AJ71*$AG71)/IF(SUMPRODUCT(AJ$6:AJ$96*$AG$6:$AG$96)=0,1,SUMPRODUCT(AJ$6:AJ$96*$AG$6:$AG$96))</f>
        <v>0</v>
      </c>
      <c r="M71" s="1">
        <f>VLOOKUP($J$3,[1]!龙魂分图属性,M$4,FALSE)*(AK71*$AG71)/IF(SUMPRODUCT(AK$6:AK$96*$AG$6:$AG$96)=0,1,SUMPRODUCT(AK$6:AK$96*$AG$6:$AG$96))</f>
        <v>0</v>
      </c>
      <c r="N71" s="1">
        <f>VLOOKUP($J$3,[1]!龙魂分图属性,N$4,FALSE)*(AL71*$AG71)/IF(SUMPRODUCT(AL$6:AL$96*$AG$6:$AG$96)=0,1,SUMPRODUCT(AL$6:AL$96*$AG$6:$AG$96))</f>
        <v>0</v>
      </c>
      <c r="O71" s="1">
        <f>VLOOKUP($J$3,[1]!龙魂分图属性,O$4,FALSE)*(AM71*$AG71)/IF(SUMPRODUCT(AM$6:AM$96*$AG$6:$AG$96)=0,1,SUMPRODUCT(AM$6:AM$96*$AG$6:$AG$96))</f>
        <v>0</v>
      </c>
      <c r="P71" s="1">
        <f>VLOOKUP($J$3,[1]!龙魂分图属性,P$4,FALSE)*(AN71*$AG71)/IF(SUMPRODUCT(AN$6:AN$96*$AG$6:$AG$96)=0,1,SUMPRODUCT(AN$6:AN$96*$AG$6:$AG$96))</f>
        <v>0</v>
      </c>
      <c r="Q71" s="1">
        <f>VLOOKUP($J$3,[1]!龙魂分图属性,Q$4,FALSE)*(AO71*$AG71)/IF(SUMPRODUCT(AO$6:AO$96*$AG$6:$AG$96)=0,1,SUMPRODUCT(AO$6:AO$96*$AG$6:$AG$96))</f>
        <v>0</v>
      </c>
      <c r="R71" s="1">
        <f t="shared" si="37"/>
        <v>1</v>
      </c>
      <c r="S71" s="1" t="str">
        <f t="array" aca="1" ref="S71" ca="1">OFFSET($I$5,0,MATCH(1,1/(J71:Q71&gt;0),0))</f>
        <v>攻击</v>
      </c>
      <c r="T71" s="1">
        <f t="shared" si="38"/>
        <v>535</v>
      </c>
      <c r="U71" s="1">
        <f t="shared" ref="U71:U96" si="43">V71/X71</f>
        <v>0.24419630567502237</v>
      </c>
      <c r="V71" s="19">
        <f t="shared" si="39"/>
        <v>534.96617051584451</v>
      </c>
      <c r="W71" s="18">
        <f t="shared" ref="W71:W96" si="44">IF(G71=1,24+F71+D71,SUMIF($B$6:$B$96,E71,$W$6:$W$96)+1)</f>
        <v>67</v>
      </c>
      <c r="X71" s="1">
        <f>(VLOOKUP(W71,[2]龙魂的投放!$G$17:$L$117,6,FALSE)+SUMIF(龙魂整图属性辅助表!$E$12:$E$17,H71,龙魂整图属性辅助表!$T$12:$T$17)/COUNTIF($H$6:$H$96,H71))/INDEX($C$1:$C$2,G71)</f>
        <v>2190.7218007948904</v>
      </c>
      <c r="Y71" s="1">
        <f t="shared" ref="Y71:Y96" si="45">1-(((AD71+D71+G71-2)*G71*D71)/((AD71+D71+G71-2)*G71*D71+$Y$4+D71*G71))</f>
        <v>0.19999999999999996</v>
      </c>
      <c r="Z71" s="1">
        <f t="shared" ca="1" si="35"/>
        <v>486</v>
      </c>
      <c r="AA71" s="1">
        <f t="shared" ref="AA71:AA96" si="46">1/Y71</f>
        <v>5.0000000000000009</v>
      </c>
      <c r="AB71" s="18">
        <f t="shared" ref="AB71:AB96" si="47">ROUNDUP(1/Y71,0)+G71-IF(D71=1,0,0)</f>
        <v>6</v>
      </c>
      <c r="AC71" s="1">
        <f t="shared" ref="AC71:AC96" ca="1" si="48">Z71*AB71</f>
        <v>2916</v>
      </c>
      <c r="AD71" s="21">
        <f t="shared" ref="AD71:AD96" si="49">W71-VLOOKUP(D71,$D$6:$W$96,20,0)</f>
        <v>4</v>
      </c>
      <c r="AE71" s="21">
        <f t="shared" ref="AE71:AE96" si="50">ROUND(X71*Y71*(AD71/8*0.4+0.9),0)</f>
        <v>482</v>
      </c>
      <c r="AF71">
        <v>2.1150000000000002</v>
      </c>
      <c r="AG71">
        <f t="shared" si="40"/>
        <v>15.575000000000001</v>
      </c>
      <c r="AH71" s="1"/>
      <c r="AI71" s="1">
        <v>1</v>
      </c>
      <c r="AJ71" s="1"/>
      <c r="AK71" s="1"/>
      <c r="AL71" s="1"/>
      <c r="AM71" s="1"/>
      <c r="AN71" s="1"/>
      <c r="AO71" s="1"/>
      <c r="AY71" s="1">
        <v>1038</v>
      </c>
      <c r="AZ71" s="1" t="s">
        <v>17</v>
      </c>
      <c r="BA71" s="1">
        <v>5</v>
      </c>
      <c r="BB71" s="1">
        <v>1037</v>
      </c>
      <c r="BC71" s="1">
        <v>38</v>
      </c>
      <c r="BD71" s="1">
        <v>1</v>
      </c>
      <c r="BE71" s="1">
        <v>1004</v>
      </c>
      <c r="BF71" s="1">
        <v>67</v>
      </c>
      <c r="BG71" s="1">
        <v>0</v>
      </c>
      <c r="BH71" s="1">
        <v>0</v>
      </c>
      <c r="BI71" s="1">
        <v>0</v>
      </c>
      <c r="BJ71" s="1">
        <v>799.61673542681262</v>
      </c>
      <c r="BK71" s="1">
        <v>0</v>
      </c>
      <c r="BL71" s="1">
        <v>0</v>
      </c>
      <c r="BM71" s="1">
        <v>0</v>
      </c>
      <c r="BN71" s="1">
        <v>0</v>
      </c>
      <c r="BO71" s="1">
        <v>1</v>
      </c>
      <c r="BP71" s="1" t="s">
        <v>93</v>
      </c>
      <c r="BQ71" s="1">
        <v>800</v>
      </c>
      <c r="BR71" s="1"/>
      <c r="BS71" s="1">
        <v>129.84769104766056</v>
      </c>
      <c r="BT71" s="1">
        <v>1035.6925618065782</v>
      </c>
      <c r="BU71" s="1"/>
      <c r="BV71" s="1">
        <v>1160.0000000000002</v>
      </c>
      <c r="BX71" s="1"/>
      <c r="BY71" s="1"/>
      <c r="BZ71" s="1"/>
      <c r="CA71" s="1"/>
      <c r="CB71" s="1">
        <v>1</v>
      </c>
      <c r="CC71" s="1"/>
      <c r="CD71" s="1"/>
      <c r="CE71" s="1"/>
    </row>
    <row r="72" spans="1:83">
      <c r="A72">
        <v>67</v>
      </c>
      <c r="B72" s="1">
        <f t="shared" si="41"/>
        <v>1039</v>
      </c>
      <c r="C72" s="1" t="s">
        <v>18</v>
      </c>
      <c r="D72" s="1">
        <v>5</v>
      </c>
      <c r="E72" s="1">
        <f t="shared" si="33"/>
        <v>1038</v>
      </c>
      <c r="F72" s="1">
        <f>SUMIF($G$6:G72,G72,$G$6:$G$78)/G72</f>
        <v>39</v>
      </c>
      <c r="G72" s="1">
        <v>1</v>
      </c>
      <c r="H72" s="1">
        <v>1004</v>
      </c>
      <c r="I72" s="1">
        <f t="shared" si="42"/>
        <v>68</v>
      </c>
      <c r="J72" s="1">
        <f>VLOOKUP($J$3,[1]!龙魂分图属性,J$4,FALSE)*(AH72*$AG72)/IF(SUMPRODUCT(AH$6:AH$96*$AG$6:$AG$96)=0,1,SUMPRODUCT(AH$6:AH$96*$AG$6:$AG$96))</f>
        <v>0</v>
      </c>
      <c r="K72" s="1">
        <f>VLOOKUP($J$3,[1]!龙魂分图属性,K$4,FALSE)*(AI72*$AG72)/IF(SUMPRODUCT(AI$6:AI$96*$AG$6:$AG$96)=0,1,SUMPRODUCT(AI$6:AI$96*$AG$6:$AG$96))</f>
        <v>0</v>
      </c>
      <c r="L72" s="1">
        <f>VLOOKUP($J$3,[1]!龙魂分图属性,L$4,FALSE)*(AJ72*$AG72)/IF(SUMPRODUCT(AJ$6:AJ$96*$AG$6:$AG$96)=0,1,SUMPRODUCT(AJ$6:AJ$96*$AG$6:$AG$96))</f>
        <v>0</v>
      </c>
      <c r="M72" s="1">
        <f>VLOOKUP($J$3,[1]!龙魂分图属性,M$4,FALSE)*(AK72*$AG72)/IF(SUMPRODUCT(AK$6:AK$96*$AG$6:$AG$96)=0,1,SUMPRODUCT(AK$6:AK$96*$AG$6:$AG$96))</f>
        <v>1515.034917947632</v>
      </c>
      <c r="N72" s="1">
        <f>VLOOKUP($J$3,[1]!龙魂分图属性,N$4,FALSE)*(AL72*$AG72)/IF(SUMPRODUCT(AL$6:AL$96*$AG$6:$AG$96)=0,1,SUMPRODUCT(AL$6:AL$96*$AG$6:$AG$96))</f>
        <v>0</v>
      </c>
      <c r="O72" s="1">
        <f>VLOOKUP($J$3,[1]!龙魂分图属性,O$4,FALSE)*(AM72*$AG72)/IF(SUMPRODUCT(AM$6:AM$96*$AG$6:$AG$96)=0,1,SUMPRODUCT(AM$6:AM$96*$AG$6:$AG$96))</f>
        <v>0</v>
      </c>
      <c r="P72" s="1">
        <f>VLOOKUP($J$3,[1]!龙魂分图属性,P$4,FALSE)*(AN72*$AG72)/IF(SUMPRODUCT(AN$6:AN$96*$AG$6:$AG$96)=0,1,SUMPRODUCT(AN$6:AN$96*$AG$6:$AG$96))</f>
        <v>0</v>
      </c>
      <c r="Q72" s="1">
        <f>VLOOKUP($J$3,[1]!龙魂分图属性,Q$4,FALSE)*(AO72*$AG72)/IF(SUMPRODUCT(AO$6:AO$96*$AG$6:$AG$96)=0,1,SUMPRODUCT(AO$6:AO$96*$AG$6:$AG$96))</f>
        <v>0</v>
      </c>
      <c r="R72" s="1">
        <f t="shared" si="37"/>
        <v>1</v>
      </c>
      <c r="S72" s="1" t="str">
        <f t="array" aca="1" ref="S72" ca="1">OFFSET($I$5,0,MATCH(1,1/(J72:Q72&gt;0),0))</f>
        <v>闪避值</v>
      </c>
      <c r="T72" s="1">
        <f t="shared" si="38"/>
        <v>1515</v>
      </c>
      <c r="U72" s="1">
        <f t="shared" si="43"/>
        <v>0.22316987966024904</v>
      </c>
      <c r="V72" s="19">
        <f t="shared" si="39"/>
        <v>515.11187210219498</v>
      </c>
      <c r="W72" s="18">
        <f t="shared" si="44"/>
        <v>68</v>
      </c>
      <c r="X72" s="1">
        <f>(VLOOKUP(W72,[2]龙魂的投放!$G$17:$L$117,6,FALSE)+SUMIF(龙魂整图属性辅助表!$E$12:$E$17,H72,龙魂整图属性辅助表!$T$12:$T$17)/COUNTIF($H$6:$H$96,H72))/INDEX($C$1:$C$2,G72)</f>
        <v>2308.1603704155536</v>
      </c>
      <c r="Y72" s="1">
        <f t="shared" si="45"/>
        <v>0.18181818181818177</v>
      </c>
      <c r="Z72" s="1">
        <f t="shared" ca="1" si="35"/>
        <v>493</v>
      </c>
      <c r="AA72" s="1">
        <f t="shared" si="46"/>
        <v>5.5000000000000018</v>
      </c>
      <c r="AB72" s="18">
        <f t="shared" si="47"/>
        <v>7</v>
      </c>
      <c r="AC72" s="1">
        <f t="shared" ca="1" si="48"/>
        <v>3451</v>
      </c>
      <c r="AD72" s="21">
        <f t="shared" si="49"/>
        <v>5</v>
      </c>
      <c r="AE72" s="21">
        <f t="shared" si="50"/>
        <v>483</v>
      </c>
      <c r="AF72">
        <v>2.15</v>
      </c>
      <c r="AG72">
        <f t="shared" si="40"/>
        <v>15.75</v>
      </c>
      <c r="AH72" s="1"/>
      <c r="AI72" s="1"/>
      <c r="AJ72" s="1"/>
      <c r="AK72" s="1">
        <v>1</v>
      </c>
      <c r="AL72" s="1"/>
      <c r="AM72" s="1"/>
      <c r="AN72" s="1"/>
      <c r="AO72" s="1"/>
      <c r="AY72" s="1">
        <v>1039</v>
      </c>
      <c r="AZ72" s="1" t="s">
        <v>18</v>
      </c>
      <c r="BA72" s="1">
        <v>5</v>
      </c>
      <c r="BB72" s="1">
        <v>1038</v>
      </c>
      <c r="BC72" s="1">
        <v>39</v>
      </c>
      <c r="BD72" s="1">
        <v>1</v>
      </c>
      <c r="BE72" s="1">
        <v>1004</v>
      </c>
      <c r="BF72" s="1">
        <v>68</v>
      </c>
      <c r="BG72" s="1">
        <v>0</v>
      </c>
      <c r="BH72" s="1">
        <v>0</v>
      </c>
      <c r="BI72" s="1">
        <v>121.51824375097033</v>
      </c>
      <c r="BJ72" s="1">
        <v>0</v>
      </c>
      <c r="BK72" s="1">
        <v>0</v>
      </c>
      <c r="BL72" s="1">
        <v>0</v>
      </c>
      <c r="BM72" s="1">
        <v>0</v>
      </c>
      <c r="BN72" s="1">
        <v>0</v>
      </c>
      <c r="BO72" s="1">
        <v>1</v>
      </c>
      <c r="BP72" s="1" t="s">
        <v>92</v>
      </c>
      <c r="BQ72" s="1">
        <v>122</v>
      </c>
      <c r="BR72" s="1"/>
      <c r="BS72" s="1">
        <v>121.51824375097033</v>
      </c>
      <c r="BT72" s="1">
        <v>1140.0479749197352</v>
      </c>
      <c r="BU72" s="1"/>
      <c r="BV72" s="1">
        <v>1170</v>
      </c>
      <c r="BX72" s="1"/>
      <c r="BY72" s="1"/>
      <c r="BZ72" s="1">
        <v>1</v>
      </c>
      <c r="CA72" s="1"/>
      <c r="CB72" s="1"/>
      <c r="CC72" s="1"/>
      <c r="CD72" s="1"/>
      <c r="CE72" s="1"/>
    </row>
    <row r="73" spans="1:83">
      <c r="A73">
        <v>68</v>
      </c>
      <c r="B73" s="1">
        <f t="shared" si="41"/>
        <v>2029</v>
      </c>
      <c r="C73" s="1" t="s">
        <v>19</v>
      </c>
      <c r="D73" s="1">
        <v>5</v>
      </c>
      <c r="E73" s="1">
        <f t="shared" si="33"/>
        <v>1039</v>
      </c>
      <c r="F73" s="1">
        <f>SUMIF($G$6:G73,G73,$G$6:$G$78)/G73</f>
        <v>29</v>
      </c>
      <c r="G73" s="1">
        <v>2</v>
      </c>
      <c r="H73" s="1">
        <v>1004</v>
      </c>
      <c r="I73" s="1">
        <f t="shared" ca="1" si="42"/>
        <v>68</v>
      </c>
      <c r="J73" s="1">
        <f>VLOOKUP($J$3,[1]!龙魂分图属性,J$4,FALSE)*(AH73*$AG73)/IF(SUMPRODUCT(AH$6:AH$96*$AG$6:$AG$96)=0,1,SUMPRODUCT(AH$6:AH$96*$AG$6:$AG$96))</f>
        <v>0</v>
      </c>
      <c r="K73" s="1">
        <f>VLOOKUP($J$3,[1]!龙魂分图属性,K$4,FALSE)*(AI73*$AG73)/IF(SUMPRODUCT(AI$6:AI$96*$AG$6:$AG$96)=0,1,SUMPRODUCT(AI$6:AI$96*$AG$6:$AG$96))</f>
        <v>820.48182331924465</v>
      </c>
      <c r="L73" s="1">
        <f>VLOOKUP($J$3,[1]!龙魂分图属性,L$4,FALSE)*(AJ73*$AG73)/IF(SUMPRODUCT(AJ$6:AJ$96*$AG$6:$AG$96)=0,1,SUMPRODUCT(AJ$6:AJ$96*$AG$6:$AG$96))</f>
        <v>0</v>
      </c>
      <c r="M73" s="1">
        <f>VLOOKUP($J$3,[1]!龙魂分图属性,M$4,FALSE)*(AK73*$AG73)/IF(SUMPRODUCT(AK$6:AK$96*$AG$6:$AG$96)=0,1,SUMPRODUCT(AK$6:AK$96*$AG$6:$AG$96))</f>
        <v>0</v>
      </c>
      <c r="N73" s="1">
        <f>VLOOKUP($J$3,[1]!龙魂分图属性,N$4,FALSE)*(AL73*$AG73)/IF(SUMPRODUCT(AL$6:AL$96*$AG$6:$AG$96)=0,1,SUMPRODUCT(AL$6:AL$96*$AG$6:$AG$96))</f>
        <v>0</v>
      </c>
      <c r="O73" s="1">
        <f>VLOOKUP($J$3,[1]!龙魂分图属性,O$4,FALSE)*(AM73*$AG73)/IF(SUMPRODUCT(AM$6:AM$96*$AG$6:$AG$96)=0,1,SUMPRODUCT(AM$6:AM$96*$AG$6:$AG$96))</f>
        <v>0</v>
      </c>
      <c r="P73" s="1">
        <f>VLOOKUP($J$3,[1]!龙魂分图属性,P$4,FALSE)*(AN73*$AG73)/IF(SUMPRODUCT(AN$6:AN$96*$AG$6:$AG$96)=0,1,SUMPRODUCT(AN$6:AN$96*$AG$6:$AG$96))</f>
        <v>0</v>
      </c>
      <c r="Q73" s="1">
        <f>VLOOKUP($J$3,[1]!龙魂分图属性,Q$4,FALSE)*(AO73*$AG73)/IF(SUMPRODUCT(AO$6:AO$96*$AG$6:$AG$96)=0,1,SUMPRODUCT(AO$6:AO$96*$AG$6:$AG$96))</f>
        <v>0</v>
      </c>
      <c r="R73" s="1">
        <f t="shared" si="37"/>
        <v>1</v>
      </c>
      <c r="S73" s="1" t="str">
        <f t="array" aca="1" ref="S73" ca="1">OFFSET($I$5,0,MATCH(1,1/(J73:Q73&gt;0),0))</f>
        <v>攻击</v>
      </c>
      <c r="T73" s="1">
        <f t="shared" si="38"/>
        <v>820</v>
      </c>
      <c r="U73" s="1">
        <f t="shared" ca="1" si="43"/>
        <v>0.16875684716025641</v>
      </c>
      <c r="V73" s="19">
        <f t="shared" si="39"/>
        <v>820.48182331924465</v>
      </c>
      <c r="W73" s="18">
        <f t="shared" ca="1" si="44"/>
        <v>69</v>
      </c>
      <c r="X73" s="1">
        <f ca="1">(VLOOKUP(W73,[2]龙魂的投放!$G$17:$L$117,6,FALSE)+SUMIF(龙魂整图属性辅助表!$E$12:$E$17,H73,龙魂整图属性辅助表!$T$12:$T$17)/COUNTIF($H$6:$H$96,H73))/INDEX($C$1:$C$2,G73)</f>
        <v>4861.9172325499258</v>
      </c>
      <c r="Y73" s="1">
        <f t="shared" ca="1" si="45"/>
        <v>0.12</v>
      </c>
      <c r="Z73" s="1">
        <f ca="1">AE73</f>
        <v>700</v>
      </c>
      <c r="AA73" s="1">
        <f t="shared" ca="1" si="46"/>
        <v>8.3333333333333339</v>
      </c>
      <c r="AB73" s="18">
        <f t="shared" ca="1" si="47"/>
        <v>11</v>
      </c>
      <c r="AC73" s="1">
        <f t="shared" ca="1" si="48"/>
        <v>7700</v>
      </c>
      <c r="AD73" s="21">
        <f t="shared" ca="1" si="49"/>
        <v>6</v>
      </c>
      <c r="AE73" s="21">
        <f t="shared" ca="1" si="50"/>
        <v>700</v>
      </c>
      <c r="AF73">
        <v>2.1850000000000001</v>
      </c>
      <c r="AG73">
        <f t="shared" si="40"/>
        <v>15.925000000000001</v>
      </c>
      <c r="AH73" s="1"/>
      <c r="AI73" s="1">
        <v>1.5</v>
      </c>
      <c r="AJ73" s="1"/>
      <c r="AK73" s="1"/>
      <c r="AL73" s="1"/>
      <c r="AM73" s="1"/>
      <c r="AN73" s="1"/>
      <c r="AO73" s="1"/>
      <c r="AY73" s="1">
        <v>2029</v>
      </c>
      <c r="AZ73" s="1" t="s">
        <v>19</v>
      </c>
      <c r="BA73" s="1">
        <v>5</v>
      </c>
      <c r="BB73" s="1">
        <v>1039</v>
      </c>
      <c r="BC73" s="1">
        <v>29</v>
      </c>
      <c r="BD73" s="1">
        <v>2</v>
      </c>
      <c r="BE73" s="1">
        <v>1004</v>
      </c>
      <c r="BF73" s="1">
        <v>69</v>
      </c>
      <c r="BG73" s="1">
        <v>0</v>
      </c>
      <c r="BH73" s="1">
        <v>334.21556935471745</v>
      </c>
      <c r="BI73" s="1">
        <v>0</v>
      </c>
      <c r="BJ73" s="1">
        <v>0</v>
      </c>
      <c r="BK73" s="1">
        <v>0</v>
      </c>
      <c r="BL73" s="1">
        <v>0</v>
      </c>
      <c r="BM73" s="1">
        <v>0</v>
      </c>
      <c r="BN73" s="1">
        <v>0</v>
      </c>
      <c r="BO73" s="1">
        <v>1</v>
      </c>
      <c r="BP73" s="1" t="s">
        <v>91</v>
      </c>
      <c r="BQ73" s="1">
        <v>334</v>
      </c>
      <c r="BR73" s="1"/>
      <c r="BS73" s="1">
        <v>334.21556935471745</v>
      </c>
      <c r="BT73" s="1">
        <v>2509.8362835617581</v>
      </c>
      <c r="BU73" s="1"/>
      <c r="BV73" s="1">
        <v>1770.0000000000002</v>
      </c>
      <c r="BX73" s="1"/>
      <c r="BY73" s="1">
        <v>1.5</v>
      </c>
      <c r="BZ73" s="1"/>
      <c r="CA73" s="1"/>
      <c r="CB73" s="1"/>
      <c r="CC73" s="1"/>
      <c r="CD73" s="1"/>
      <c r="CE73" s="1"/>
    </row>
    <row r="74" spans="1:83">
      <c r="A74">
        <v>69</v>
      </c>
      <c r="B74" s="1">
        <f t="shared" si="41"/>
        <v>2030</v>
      </c>
      <c r="C74" s="1" t="s">
        <v>24</v>
      </c>
      <c r="D74" s="1">
        <v>5</v>
      </c>
      <c r="E74" s="1">
        <f t="shared" si="33"/>
        <v>2029</v>
      </c>
      <c r="F74" s="1">
        <f>SUMIF($G$6:G74,G74,$G$6:$G$78)/G74</f>
        <v>30</v>
      </c>
      <c r="G74" s="1">
        <f>G54</f>
        <v>2</v>
      </c>
      <c r="H74" s="1">
        <v>1004</v>
      </c>
      <c r="I74" s="1">
        <f t="shared" ca="1" si="42"/>
        <v>68</v>
      </c>
      <c r="J74" s="1">
        <f>VLOOKUP($J$3,[1]!龙魂分图属性,J$4,FALSE)*(AH74*$AG74)/IF(SUMPRODUCT(AH$6:AH$96*$AG$6:$AG$96)=0,1,SUMPRODUCT(AH$6:AH$96*$AG$6:$AG$96))</f>
        <v>22617.86883452881</v>
      </c>
      <c r="K74" s="1">
        <f>VLOOKUP($J$3,[1]!龙魂分图属性,K$4,FALSE)*(AI74*$AG74)/IF(SUMPRODUCT(AI$6:AI$96*$AG$6:$AG$96)=0,1,SUMPRODUCT(AI$6:AI$96*$AG$6:$AG$96))</f>
        <v>0</v>
      </c>
      <c r="L74" s="1">
        <f>VLOOKUP($J$3,[1]!龙魂分图属性,L$4,FALSE)*(AJ74*$AG74)/IF(SUMPRODUCT(AJ$6:AJ$96*$AG$6:$AG$96)=0,1,SUMPRODUCT(AJ$6:AJ$96*$AG$6:$AG$96))</f>
        <v>0</v>
      </c>
      <c r="M74" s="1">
        <f>VLOOKUP($J$3,[1]!龙魂分图属性,M$4,FALSE)*(AK74*$AG74)/IF(SUMPRODUCT(AK$6:AK$96*$AG$6:$AG$96)=0,1,SUMPRODUCT(AK$6:AK$96*$AG$6:$AG$96))</f>
        <v>0</v>
      </c>
      <c r="N74" s="1">
        <f>VLOOKUP($J$3,[1]!龙魂分图属性,N$4,FALSE)*(AL74*$AG74)/IF(SUMPRODUCT(AL$6:AL$96*$AG$6:$AG$96)=0,1,SUMPRODUCT(AL$6:AL$96*$AG$6:$AG$96))</f>
        <v>0</v>
      </c>
      <c r="O74" s="1">
        <f>VLOOKUP($J$3,[1]!龙魂分图属性,O$4,FALSE)*(AM74*$AG74)/IF(SUMPRODUCT(AM$6:AM$96*$AG$6:$AG$96)=0,1,SUMPRODUCT(AM$6:AM$96*$AG$6:$AG$96))</f>
        <v>0</v>
      </c>
      <c r="P74" s="1">
        <f>VLOOKUP($J$3,[1]!龙魂分图属性,P$4,FALSE)*(AN74*$AG74)/IF(SUMPRODUCT(AN$6:AN$96*$AG$6:$AG$96)=0,1,SUMPRODUCT(AN$6:AN$96*$AG$6:$AG$96))</f>
        <v>0</v>
      </c>
      <c r="Q74" s="1">
        <f>VLOOKUP($J$3,[1]!龙魂分图属性,Q$4,FALSE)*(AO74*$AG74)/IF(SUMPRODUCT(AO$6:AO$96*$AG$6:$AG$96)=0,1,SUMPRODUCT(AO$6:AO$96*$AG$6:$AG$96))</f>
        <v>0</v>
      </c>
      <c r="R74" s="1">
        <f t="shared" si="37"/>
        <v>1</v>
      </c>
      <c r="S74" s="1" t="str">
        <f t="array" aca="1" ref="S74" ca="1">OFFSET($I$5,0,MATCH(1,1/(J74:Q74&gt;0),0))</f>
        <v>生命</v>
      </c>
      <c r="T74" s="1">
        <f t="shared" si="38"/>
        <v>22618</v>
      </c>
      <c r="U74" s="1">
        <f t="shared" ca="1" si="43"/>
        <v>0.19061817937592335</v>
      </c>
      <c r="V74" s="19">
        <f t="shared" si="39"/>
        <v>904.71475338115238</v>
      </c>
      <c r="W74" s="18">
        <f t="shared" ca="1" si="44"/>
        <v>70</v>
      </c>
      <c r="X74" s="1">
        <f ca="1">(VLOOKUP(W74,[2]龙魂的投放!$G$17:$L$117,6,FALSE)+SUMIF(龙魂整图属性辅助表!$E$12:$E$17,H74,龙魂整图属性辅助表!$T$12:$T$17)/COUNTIF($H$6:$H$96,H74))/INDEX($C$1:$C$2,G74)</f>
        <v>4746.2144289865428</v>
      </c>
      <c r="Y74" s="1">
        <f t="shared" ca="1" si="45"/>
        <v>0.11111111111111116</v>
      </c>
      <c r="Z74" s="1">
        <f t="shared" ref="Z74:Z76" ca="1" si="51">AE74</f>
        <v>659</v>
      </c>
      <c r="AA74" s="1">
        <f t="shared" ca="1" si="46"/>
        <v>8.9999999999999964</v>
      </c>
      <c r="AB74" s="18">
        <f t="shared" ca="1" si="47"/>
        <v>11</v>
      </c>
      <c r="AC74" s="1">
        <f t="shared" ca="1" si="48"/>
        <v>7249</v>
      </c>
      <c r="AD74" s="21">
        <f t="shared" ca="1" si="49"/>
        <v>7</v>
      </c>
      <c r="AE74" s="21">
        <f t="shared" ca="1" si="50"/>
        <v>659</v>
      </c>
      <c r="AF74">
        <v>2.2200000000000002</v>
      </c>
      <c r="AG74">
        <f t="shared" si="40"/>
        <v>16.100000000000001</v>
      </c>
      <c r="AH74" s="1">
        <v>1.5</v>
      </c>
      <c r="AI74" s="1"/>
      <c r="AJ74" s="1"/>
      <c r="AK74" s="1"/>
      <c r="AL74" s="1"/>
      <c r="AM74" s="1"/>
      <c r="AN74" s="1"/>
      <c r="AO74" s="1"/>
      <c r="AY74" s="1">
        <v>2030</v>
      </c>
      <c r="AZ74" s="1" t="s">
        <v>20</v>
      </c>
      <c r="BA74" s="1">
        <v>5</v>
      </c>
      <c r="BB74" s="1">
        <v>2029</v>
      </c>
      <c r="BC74" s="1">
        <v>30</v>
      </c>
      <c r="BD74" s="1">
        <v>2</v>
      </c>
      <c r="BE74" s="1">
        <v>1004</v>
      </c>
      <c r="BF74" s="1">
        <v>70</v>
      </c>
      <c r="BG74" s="1">
        <v>13014.815175832799</v>
      </c>
      <c r="BH74" s="1">
        <v>0</v>
      </c>
      <c r="BI74" s="1">
        <v>0</v>
      </c>
      <c r="BJ74" s="1">
        <v>0</v>
      </c>
      <c r="BK74" s="1">
        <v>0</v>
      </c>
      <c r="BL74" s="1">
        <v>0</v>
      </c>
      <c r="BM74" s="1">
        <v>0</v>
      </c>
      <c r="BN74" s="1">
        <v>0</v>
      </c>
      <c r="BO74" s="1">
        <v>1</v>
      </c>
      <c r="BP74" s="1" t="s">
        <v>90</v>
      </c>
      <c r="BQ74" s="1">
        <v>13015</v>
      </c>
      <c r="BR74" s="1"/>
      <c r="BS74" s="1">
        <v>531.54968074627982</v>
      </c>
      <c r="BT74" s="1">
        <v>2762.7250382715656</v>
      </c>
      <c r="BU74" s="1"/>
      <c r="BV74" s="1">
        <v>1784.9999999999998</v>
      </c>
      <c r="BX74" s="1">
        <v>1.5</v>
      </c>
      <c r="BY74" s="1"/>
      <c r="BZ74" s="1"/>
      <c r="CA74" s="1"/>
      <c r="CB74" s="1"/>
      <c r="CC74" s="1"/>
      <c r="CD74" s="1"/>
      <c r="CE74" s="1"/>
    </row>
    <row r="75" spans="1:83">
      <c r="A75">
        <v>70</v>
      </c>
      <c r="B75" s="1">
        <f t="shared" si="41"/>
        <v>2031</v>
      </c>
      <c r="C75" s="1" t="s">
        <v>21</v>
      </c>
      <c r="D75" s="1">
        <v>5</v>
      </c>
      <c r="E75" s="1">
        <f t="shared" si="33"/>
        <v>2030</v>
      </c>
      <c r="F75" s="1">
        <f>SUMIF($G$6:G75,G75,$G$6:$G$78)/G75</f>
        <v>31</v>
      </c>
      <c r="G75" s="1">
        <f>G55</f>
        <v>2</v>
      </c>
      <c r="H75" s="1">
        <v>1004</v>
      </c>
      <c r="I75" s="1">
        <f t="shared" ca="1" si="42"/>
        <v>68</v>
      </c>
      <c r="J75" s="1">
        <f>VLOOKUP($J$3,[1]!龙魂分图属性,J$4,FALSE)*(AH75*$AG75)/IF(SUMPRODUCT(AH$6:AH$96*$AG$6:$AG$96)=0,1,SUMPRODUCT(AH$6:AH$96*$AG$6:$AG$96))</f>
        <v>0</v>
      </c>
      <c r="K75" s="1">
        <f>VLOOKUP($J$3,[1]!龙魂分图属性,K$4,FALSE)*(AI75*$AG75)/IF(SUMPRODUCT(AI$6:AI$96*$AG$6:$AG$96)=0,1,SUMPRODUCT(AI$6:AI$96*$AG$6:$AG$96))</f>
        <v>0</v>
      </c>
      <c r="L75" s="1">
        <f>VLOOKUP($J$3,[1]!龙魂分图属性,L$4,FALSE)*(AJ75*$AG75)/IF(SUMPRODUCT(AJ$6:AJ$96*$AG$6:$AG$96)=0,1,SUMPRODUCT(AJ$6:AJ$96*$AG$6:$AG$96))</f>
        <v>830.95282301835277</v>
      </c>
      <c r="M75" s="1">
        <f>VLOOKUP($J$3,[1]!龙魂分图属性,M$4,FALSE)*(AK75*$AG75)/IF(SUMPRODUCT(AK$6:AK$96*$AG$6:$AG$96)=0,1,SUMPRODUCT(AK$6:AK$96*$AG$6:$AG$96))</f>
        <v>0</v>
      </c>
      <c r="N75" s="1">
        <f>VLOOKUP($J$3,[1]!龙魂分图属性,N$4,FALSE)*(AL75*$AG75)/IF(SUMPRODUCT(AL$6:AL$96*$AG$6:$AG$96)=0,1,SUMPRODUCT(AL$6:AL$96*$AG$6:$AG$96))</f>
        <v>0</v>
      </c>
      <c r="O75" s="1">
        <f>VLOOKUP($J$3,[1]!龙魂分图属性,O$4,FALSE)*(AM75*$AG75)/IF(SUMPRODUCT(AM$6:AM$96*$AG$6:$AG$96)=0,1,SUMPRODUCT(AM$6:AM$96*$AG$6:$AG$96))</f>
        <v>0</v>
      </c>
      <c r="P75" s="1">
        <f>VLOOKUP($J$3,[1]!龙魂分图属性,P$4,FALSE)*(AN75*$AG75)/IF(SUMPRODUCT(AN$6:AN$96*$AG$6:$AG$96)=0,1,SUMPRODUCT(AN$6:AN$96*$AG$6:$AG$96))</f>
        <v>0</v>
      </c>
      <c r="Q75" s="1">
        <f>VLOOKUP($J$3,[1]!龙魂分图属性,Q$4,FALSE)*(AO75*$AG75)/IF(SUMPRODUCT(AO$6:AO$96*$AG$6:$AG$96)=0,1,SUMPRODUCT(AO$6:AO$96*$AG$6:$AG$96))</f>
        <v>0</v>
      </c>
      <c r="R75" s="1">
        <f t="shared" si="37"/>
        <v>1</v>
      </c>
      <c r="S75" s="1" t="str">
        <f t="array" aca="1" ref="S75" ca="1">OFFSET($I$5,0,MATCH(1,1/(J75:Q75&gt;0),0))</f>
        <v>防御</v>
      </c>
      <c r="T75" s="1">
        <f t="shared" si="38"/>
        <v>831</v>
      </c>
      <c r="U75" s="1">
        <f t="shared" ca="1" si="43"/>
        <v>0.15500709097324783</v>
      </c>
      <c r="V75" s="19">
        <f t="shared" si="39"/>
        <v>830.95282301835277</v>
      </c>
      <c r="W75" s="18">
        <f t="shared" ca="1" si="44"/>
        <v>71</v>
      </c>
      <c r="X75" s="1">
        <f ca="1">(VLOOKUP(W75,[2]龙魂的投放!$G$17:$L$117,6,FALSE)+SUMIF(龙魂整图属性辅助表!$E$12:$E$17,H75,龙魂整图属性辅助表!$T$12:$T$17)/COUNTIF($H$6:$H$96,H75))/INDEX($C$1:$C$2,G75)</f>
        <v>5360.7407106411938</v>
      </c>
      <c r="Y75" s="1">
        <f t="shared" ca="1" si="45"/>
        <v>0.10344827586206895</v>
      </c>
      <c r="Z75" s="1">
        <f t="shared" ca="1" si="51"/>
        <v>721</v>
      </c>
      <c r="AA75" s="1">
        <f t="shared" ca="1" si="46"/>
        <v>9.6666666666666679</v>
      </c>
      <c r="AB75" s="18">
        <f t="shared" ca="1" si="47"/>
        <v>12</v>
      </c>
      <c r="AC75" s="1">
        <f t="shared" ca="1" si="48"/>
        <v>8652</v>
      </c>
      <c r="AD75" s="21">
        <f t="shared" ca="1" si="49"/>
        <v>8</v>
      </c>
      <c r="AE75" s="21">
        <f t="shared" ca="1" si="50"/>
        <v>721</v>
      </c>
      <c r="AF75">
        <v>2.2549999999999999</v>
      </c>
      <c r="AG75">
        <f t="shared" si="40"/>
        <v>16.274999999999999</v>
      </c>
      <c r="AH75" s="1"/>
      <c r="AI75" s="1"/>
      <c r="AJ75" s="1">
        <v>1.5</v>
      </c>
      <c r="AK75" s="1"/>
      <c r="AL75" s="1"/>
      <c r="AM75" s="1"/>
      <c r="AN75" s="1"/>
      <c r="AO75" s="1"/>
      <c r="AY75" s="1">
        <v>2031</v>
      </c>
      <c r="AZ75" s="1" t="s">
        <v>21</v>
      </c>
      <c r="BA75" s="1">
        <v>5</v>
      </c>
      <c r="BB75" s="1">
        <v>2030</v>
      </c>
      <c r="BC75" s="1">
        <v>31</v>
      </c>
      <c r="BD75" s="1">
        <v>2</v>
      </c>
      <c r="BE75" s="1">
        <v>1004</v>
      </c>
      <c r="BF75" s="1">
        <v>71</v>
      </c>
      <c r="BG75" s="1">
        <v>0</v>
      </c>
      <c r="BH75" s="1">
        <v>339.88024002174649</v>
      </c>
      <c r="BI75" s="1">
        <v>0</v>
      </c>
      <c r="BJ75" s="1">
        <v>0</v>
      </c>
      <c r="BK75" s="1">
        <v>0</v>
      </c>
      <c r="BL75" s="1">
        <v>0</v>
      </c>
      <c r="BM75" s="1">
        <v>0</v>
      </c>
      <c r="BN75" s="1">
        <v>0</v>
      </c>
      <c r="BO75" s="1">
        <v>1</v>
      </c>
      <c r="BP75" s="1" t="s">
        <v>91</v>
      </c>
      <c r="BQ75" s="1">
        <v>340</v>
      </c>
      <c r="BR75" s="1"/>
      <c r="BS75" s="1">
        <v>339.88024002174649</v>
      </c>
      <c r="BT75" s="1">
        <v>3041.0946272005381</v>
      </c>
      <c r="BU75" s="1"/>
      <c r="BV75" s="1">
        <v>1800</v>
      </c>
      <c r="BX75" s="1"/>
      <c r="BY75" s="1"/>
      <c r="BZ75" s="1">
        <v>1</v>
      </c>
      <c r="CA75" s="1"/>
      <c r="CB75" s="1"/>
      <c r="CC75" s="1"/>
      <c r="CD75" s="1"/>
      <c r="CE75" s="1"/>
    </row>
    <row r="76" spans="1:83">
      <c r="A76">
        <v>71</v>
      </c>
      <c r="B76" s="1">
        <f t="shared" si="41"/>
        <v>2032</v>
      </c>
      <c r="C76" s="1" t="s">
        <v>127</v>
      </c>
      <c r="D76" s="1">
        <v>5</v>
      </c>
      <c r="E76" s="1">
        <f t="shared" si="33"/>
        <v>2031</v>
      </c>
      <c r="F76" s="1">
        <f>SUMIF($G$6:G76,G76,$G$6:$G$78)/G76</f>
        <v>32</v>
      </c>
      <c r="G76" s="1">
        <f>G56</f>
        <v>2</v>
      </c>
      <c r="H76" s="1">
        <v>1004</v>
      </c>
      <c r="I76" s="1">
        <f t="shared" ca="1" si="42"/>
        <v>68</v>
      </c>
      <c r="J76" s="1">
        <f>VLOOKUP($J$3,[1]!龙魂分图属性,J$4,FALSE)*(AH76*$AG76)/IF(SUMPRODUCT(AH$6:AH$96*$AG$6:$AG$96)=0,1,SUMPRODUCT(AH$6:AH$96*$AG$6:$AG$96))</f>
        <v>0</v>
      </c>
      <c r="K76" s="1">
        <f>VLOOKUP($J$3,[1]!龙魂分图属性,K$4,FALSE)*(AI76*$AG76)/IF(SUMPRODUCT(AI$6:AI$96*$AG$6:$AG$96)=0,1,SUMPRODUCT(AI$6:AI$96*$AG$6:$AG$96))</f>
        <v>0</v>
      </c>
      <c r="L76" s="1">
        <f>VLOOKUP($J$3,[1]!龙魂分图属性,L$4,FALSE)*(AJ76*$AG76)/IF(SUMPRODUCT(AJ$6:AJ$96*$AG$6:$AG$96)=0,1,SUMPRODUCT(AJ$6:AJ$96*$AG$6:$AG$96))</f>
        <v>0</v>
      </c>
      <c r="M76" s="1">
        <f>VLOOKUP($J$3,[1]!龙魂分图属性,M$4,FALSE)*(AK76*$AG76)/IF(SUMPRODUCT(AK$6:AK$96*$AG$6:$AG$96)=0,1,SUMPRODUCT(AK$6:AK$96*$AG$6:$AG$96))</f>
        <v>0</v>
      </c>
      <c r="N76" s="1">
        <f>VLOOKUP($J$3,[1]!龙魂分图属性,N$4,FALSE)*(AL76*$AG76)/IF(SUMPRODUCT(AL$6:AL$96*$AG$6:$AG$96)=0,1,SUMPRODUCT(AL$6:AL$96*$AG$6:$AG$96))</f>
        <v>2169.8411860919105</v>
      </c>
      <c r="O76" s="1">
        <f>VLOOKUP($J$3,[1]!龙魂分图属性,O$4,FALSE)*(AM76*$AG76)/IF(SUMPRODUCT(AM$6:AM$96*$AG$6:$AG$96)=0,1,SUMPRODUCT(AM$6:AM$96*$AG$6:$AG$96))</f>
        <v>0</v>
      </c>
      <c r="P76" s="1">
        <f>VLOOKUP($J$3,[1]!龙魂分图属性,P$4,FALSE)*(AN76*$AG76)/IF(SUMPRODUCT(AN$6:AN$96*$AG$6:$AG$96)=0,1,SUMPRODUCT(AN$6:AN$96*$AG$6:$AG$96))</f>
        <v>0</v>
      </c>
      <c r="Q76" s="1">
        <f>VLOOKUP($J$3,[1]!龙魂分图属性,Q$4,FALSE)*(AO76*$AG76)/IF(SUMPRODUCT(AO$6:AO$96*$AG$6:$AG$96)=0,1,SUMPRODUCT(AO$6:AO$96*$AG$6:$AG$96))</f>
        <v>0</v>
      </c>
      <c r="R76" s="1">
        <f t="shared" si="37"/>
        <v>1</v>
      </c>
      <c r="S76" s="1" t="str">
        <f t="array" aca="1" ref="S76" ca="1">OFFSET($I$5,0,MATCH(1,1/(J76:Q76&gt;0),0))</f>
        <v>命中值</v>
      </c>
      <c r="T76" s="1">
        <f t="shared" si="38"/>
        <v>2170</v>
      </c>
      <c r="U76" s="1">
        <f t="shared" ca="1" si="43"/>
        <v>0.13118056325443711</v>
      </c>
      <c r="V76" s="19">
        <f t="shared" si="39"/>
        <v>737.74600327124961</v>
      </c>
      <c r="W76" s="18">
        <f t="shared" ca="1" si="44"/>
        <v>72</v>
      </c>
      <c r="X76" s="1">
        <f ca="1">(VLOOKUP(W76,[2]龙魂的投放!$G$17:$L$117,6,FALSE)+SUMIF(龙魂整图属性辅助表!$E$12:$E$17,H76,龙魂整图属性辅助表!$T$12:$T$17)/COUNTIF($H$6:$H$96,H76))/INDEX($C$1:$C$2,G76)</f>
        <v>5623.8972067860495</v>
      </c>
      <c r="Y76" s="1">
        <f t="shared" ca="1" si="45"/>
        <v>9.6774193548387122E-2</v>
      </c>
      <c r="Z76" s="1">
        <f t="shared" ca="1" si="51"/>
        <v>735</v>
      </c>
      <c r="AA76" s="1">
        <f t="shared" ca="1" si="46"/>
        <v>10.33333333333333</v>
      </c>
      <c r="AB76" s="18">
        <f t="shared" ca="1" si="47"/>
        <v>13</v>
      </c>
      <c r="AC76" s="1">
        <f t="shared" ca="1" si="48"/>
        <v>9555</v>
      </c>
      <c r="AD76" s="21">
        <f t="shared" ca="1" si="49"/>
        <v>9</v>
      </c>
      <c r="AE76" s="21">
        <f t="shared" ca="1" si="50"/>
        <v>735</v>
      </c>
      <c r="AF76">
        <v>2.29</v>
      </c>
      <c r="AG76">
        <f t="shared" si="40"/>
        <v>16.45</v>
      </c>
      <c r="AH76" s="1"/>
      <c r="AI76" s="1"/>
      <c r="AJ76" s="1"/>
      <c r="AK76" s="1"/>
      <c r="AL76" s="1">
        <v>1.5</v>
      </c>
      <c r="AM76" s="1"/>
      <c r="AN76" s="1"/>
      <c r="AO76" s="1"/>
      <c r="AY76" s="1">
        <v>2032</v>
      </c>
      <c r="AZ76" s="1" t="s">
        <v>128</v>
      </c>
      <c r="BA76" s="1">
        <v>5</v>
      </c>
      <c r="BB76" s="1">
        <v>2031</v>
      </c>
      <c r="BC76" s="1">
        <v>32</v>
      </c>
      <c r="BD76" s="1">
        <v>2</v>
      </c>
      <c r="BE76" s="1">
        <v>1004</v>
      </c>
      <c r="BF76" s="1">
        <v>72</v>
      </c>
      <c r="BG76" s="1">
        <v>0</v>
      </c>
      <c r="BH76" s="1">
        <v>0</v>
      </c>
      <c r="BI76" s="1">
        <v>125.67271362279838</v>
      </c>
      <c r="BJ76" s="1">
        <v>0</v>
      </c>
      <c r="BK76" s="1">
        <v>0</v>
      </c>
      <c r="BL76" s="1">
        <v>0</v>
      </c>
      <c r="BM76" s="1">
        <v>0</v>
      </c>
      <c r="BN76" s="1">
        <v>0</v>
      </c>
      <c r="BO76" s="1">
        <v>1</v>
      </c>
      <c r="BP76" s="1" t="s">
        <v>92</v>
      </c>
      <c r="BQ76" s="1">
        <v>126</v>
      </c>
      <c r="BR76" s="1"/>
      <c r="BS76" s="1">
        <v>125.67271362279838</v>
      </c>
      <c r="BT76" s="1">
        <v>3347.5124753543832</v>
      </c>
      <c r="BU76" s="1"/>
      <c r="BV76" s="1">
        <v>1210</v>
      </c>
      <c r="BX76" s="1"/>
      <c r="BY76" s="1">
        <v>1.5</v>
      </c>
      <c r="BZ76" s="1"/>
      <c r="CA76" s="1"/>
      <c r="CB76" s="1"/>
      <c r="CC76" s="1"/>
      <c r="CD76" s="1"/>
      <c r="CE76" s="1"/>
    </row>
    <row r="77" spans="1:83">
      <c r="A77">
        <v>72</v>
      </c>
      <c r="B77" s="1">
        <f t="shared" si="41"/>
        <v>1040</v>
      </c>
      <c r="C77" s="1" t="s">
        <v>22</v>
      </c>
      <c r="D77" s="1">
        <v>5</v>
      </c>
      <c r="E77" s="1">
        <v>1039</v>
      </c>
      <c r="F77" s="1">
        <f>SUMIF($G$6:G77,G77,$G$6:$G$78)/G77</f>
        <v>40</v>
      </c>
      <c r="G77" s="1">
        <f>G60</f>
        <v>1</v>
      </c>
      <c r="H77" s="1">
        <v>1004</v>
      </c>
      <c r="I77" s="1">
        <f t="shared" si="42"/>
        <v>69</v>
      </c>
      <c r="J77" s="1">
        <f>VLOOKUP($J$3,[1]!龙魂分图属性,J$4,FALSE)*(AH77*$AG77)/IF(SUMPRODUCT(AH$6:AH$96*$AG$6:$AG$96)=0,1,SUMPRODUCT(AH$6:AH$96*$AG$6:$AG$96))</f>
        <v>15570.272023769832</v>
      </c>
      <c r="K77" s="1">
        <f>VLOOKUP($J$3,[1]!龙魂分图属性,K$4,FALSE)*(AI77*$AG77)/IF(SUMPRODUCT(AI$6:AI$96*$AG$6:$AG$96)=0,1,SUMPRODUCT(AI$6:AI$96*$AG$6:$AG$96))</f>
        <v>0</v>
      </c>
      <c r="L77" s="1">
        <f>VLOOKUP($J$3,[1]!龙魂分图属性,L$4,FALSE)*(AJ77*$AG77)/IF(SUMPRODUCT(AJ$6:AJ$96*$AG$6:$AG$96)=0,1,SUMPRODUCT(AJ$6:AJ$96*$AG$6:$AG$96))</f>
        <v>0</v>
      </c>
      <c r="M77" s="1">
        <f>VLOOKUP($J$3,[1]!龙魂分图属性,M$4,FALSE)*(AK77*$AG77)/IF(SUMPRODUCT(AK$6:AK$96*$AG$6:$AG$96)=0,1,SUMPRODUCT(AK$6:AK$96*$AG$6:$AG$96))</f>
        <v>0</v>
      </c>
      <c r="N77" s="1">
        <f>VLOOKUP($J$3,[1]!龙魂分图属性,N$4,FALSE)*(AL77*$AG77)/IF(SUMPRODUCT(AL$6:AL$96*$AG$6:$AG$96)=0,1,SUMPRODUCT(AL$6:AL$96*$AG$6:$AG$96))</f>
        <v>0</v>
      </c>
      <c r="O77" s="1">
        <f>VLOOKUP($J$3,[1]!龙魂分图属性,O$4,FALSE)*(AM77*$AG77)/IF(SUMPRODUCT(AM$6:AM$96*$AG$6:$AG$96)=0,1,SUMPRODUCT(AM$6:AM$96*$AG$6:$AG$96))</f>
        <v>0</v>
      </c>
      <c r="P77" s="1">
        <f>VLOOKUP($J$3,[1]!龙魂分图属性,P$4,FALSE)*(AN77*$AG77)/IF(SUMPRODUCT(AN$6:AN$96*$AG$6:$AG$96)=0,1,SUMPRODUCT(AN$6:AN$96*$AG$6:$AG$96))</f>
        <v>0</v>
      </c>
      <c r="Q77" s="1">
        <f>VLOOKUP($J$3,[1]!龙魂分图属性,Q$4,FALSE)*(AO77*$AG77)/IF(SUMPRODUCT(AO$6:AO$96*$AG$6:$AG$96)=0,1,SUMPRODUCT(AO$6:AO$96*$AG$6:$AG$96))</f>
        <v>0</v>
      </c>
      <c r="R77" s="1">
        <f t="shared" si="37"/>
        <v>1</v>
      </c>
      <c r="S77" s="1" t="str">
        <f t="array" aca="1" ref="S77" ca="1">OFFSET($I$5,0,MATCH(1,1/(J77:Q77&gt;0),0))</f>
        <v>生命</v>
      </c>
      <c r="T77" s="1">
        <f t="shared" si="38"/>
        <v>15570</v>
      </c>
      <c r="U77" s="1">
        <f t="shared" si="43"/>
        <v>0.25619970524432317</v>
      </c>
      <c r="V77" s="19">
        <f t="shared" si="39"/>
        <v>622.81088095079326</v>
      </c>
      <c r="W77" s="18">
        <f t="shared" si="44"/>
        <v>69</v>
      </c>
      <c r="X77" s="1">
        <f>(VLOOKUP(W77,[2]龙魂的投放!$G$17:$L$117,6,FALSE)+SUMIF(龙魂整图属性辅助表!$E$12:$E$17,H77,龙魂整图属性辅助表!$T$12:$T$17)/COUNTIF($H$6:$H$96,H77))/INDEX($C$1:$C$2,G77)</f>
        <v>2430.9586162749629</v>
      </c>
      <c r="Y77" s="1">
        <f t="shared" si="45"/>
        <v>0.16666666666666663</v>
      </c>
      <c r="Z77" s="1">
        <f t="shared" ca="1" si="35"/>
        <v>509</v>
      </c>
      <c r="AA77" s="1">
        <f t="shared" si="46"/>
        <v>6.0000000000000018</v>
      </c>
      <c r="AB77" s="18">
        <f t="shared" si="47"/>
        <v>7</v>
      </c>
      <c r="AC77" s="1">
        <f t="shared" ca="1" si="48"/>
        <v>3563</v>
      </c>
      <c r="AD77" s="21">
        <f t="shared" si="49"/>
        <v>6</v>
      </c>
      <c r="AE77" s="21">
        <f t="shared" si="50"/>
        <v>486</v>
      </c>
      <c r="AF77">
        <v>2.3250000000000002</v>
      </c>
      <c r="AG77">
        <f t="shared" si="40"/>
        <v>16.625</v>
      </c>
      <c r="AH77" s="1">
        <v>1</v>
      </c>
      <c r="AI77" s="1"/>
      <c r="AJ77" s="1"/>
      <c r="AK77" s="1"/>
      <c r="AL77" s="1"/>
      <c r="AM77" s="1"/>
      <c r="AN77" s="1"/>
      <c r="AO77" s="1"/>
      <c r="AY77" s="1">
        <v>1040</v>
      </c>
      <c r="AZ77" s="1" t="s">
        <v>22</v>
      </c>
      <c r="BA77" s="1">
        <v>5</v>
      </c>
      <c r="BB77" s="1">
        <v>1039</v>
      </c>
      <c r="BC77" s="1">
        <v>40</v>
      </c>
      <c r="BD77" s="1">
        <v>1</v>
      </c>
      <c r="BE77" s="1">
        <v>1004</v>
      </c>
      <c r="BF77" s="1">
        <v>69</v>
      </c>
      <c r="BG77" s="1">
        <v>0</v>
      </c>
      <c r="BH77" s="1">
        <v>0</v>
      </c>
      <c r="BI77" s="1">
        <v>0</v>
      </c>
      <c r="BJ77" s="1">
        <v>840.97622174199239</v>
      </c>
      <c r="BK77" s="1">
        <v>0</v>
      </c>
      <c r="BL77" s="1">
        <v>0</v>
      </c>
      <c r="BM77" s="1">
        <v>0</v>
      </c>
      <c r="BN77" s="1">
        <v>0</v>
      </c>
      <c r="BO77" s="1">
        <v>1</v>
      </c>
      <c r="BP77" s="1" t="s">
        <v>93</v>
      </c>
      <c r="BQ77" s="1">
        <v>841</v>
      </c>
      <c r="BR77" s="1"/>
      <c r="BS77" s="1">
        <v>136.56395092943609</v>
      </c>
      <c r="BT77" s="1">
        <v>1254.9181417808791</v>
      </c>
      <c r="BU77" s="1"/>
      <c r="BV77" s="1">
        <v>1220</v>
      </c>
      <c r="BX77" s="1"/>
      <c r="BY77" s="1"/>
      <c r="BZ77" s="1"/>
      <c r="CA77" s="1">
        <v>1</v>
      </c>
      <c r="CB77" s="1"/>
      <c r="CC77" s="1"/>
      <c r="CD77" s="1"/>
      <c r="CE77" s="1"/>
    </row>
    <row r="78" spans="1:83">
      <c r="A78">
        <v>73</v>
      </c>
      <c r="B78" s="1">
        <f t="shared" si="41"/>
        <v>1041</v>
      </c>
      <c r="C78" s="1" t="s">
        <v>130</v>
      </c>
      <c r="D78" s="1">
        <v>5</v>
      </c>
      <c r="E78" s="1">
        <f t="shared" si="33"/>
        <v>1040</v>
      </c>
      <c r="F78" s="1">
        <f>SUMIF($G$6:G78,G78,$G$6:$G$78)/G78</f>
        <v>41</v>
      </c>
      <c r="G78" s="1">
        <f>G61</f>
        <v>1</v>
      </c>
      <c r="H78" s="1">
        <v>1004</v>
      </c>
      <c r="I78" s="1">
        <f t="shared" si="42"/>
        <v>70</v>
      </c>
      <c r="J78" s="1">
        <f>VLOOKUP($J$3,[1]!龙魂分图属性,J$4,FALSE)*(AH78*$AG78)/IF(SUMPRODUCT(AH$6:AH$96*$AG$6:$AG$96)=0,1,SUMPRODUCT(AH$6:AH$96*$AG$6:$AG$96))</f>
        <v>0</v>
      </c>
      <c r="K78" s="1">
        <f>VLOOKUP($J$3,[1]!龙魂分图属性,K$4,FALSE)*(AI78*$AG78)/IF(SUMPRODUCT(AI$6:AI$96*$AG$6:$AG$96)=0,1,SUMPRODUCT(AI$6:AI$96*$AG$6:$AG$96))</f>
        <v>0</v>
      </c>
      <c r="L78" s="1">
        <f>VLOOKUP($J$3,[1]!龙魂分图属性,L$4,FALSE)*(AJ78*$AG78)/IF(SUMPRODUCT(AJ$6:AJ$96*$AG$6:$AG$96)=0,1,SUMPRODUCT(AJ$6:AJ$96*$AG$6:$AG$96))</f>
        <v>0</v>
      </c>
      <c r="M78" s="1">
        <f>VLOOKUP($J$3,[1]!龙魂分图属性,M$4,FALSE)*(AK78*$AG78)/IF(SUMPRODUCT(AK$6:AK$96*$AG$6:$AG$96)=0,1,SUMPRODUCT(AK$6:AK$96*$AG$6:$AG$96))</f>
        <v>0</v>
      </c>
      <c r="N78" s="1">
        <f>VLOOKUP($J$3,[1]!龙魂分图属性,N$4,FALSE)*(AL78*$AG78)/IF(SUMPRODUCT(AL$6:AL$96*$AG$6:$AG$96)=0,1,SUMPRODUCT(AL$6:AL$96*$AG$6:$AG$96))</f>
        <v>1477.3386798923648</v>
      </c>
      <c r="O78" s="1">
        <f>VLOOKUP($J$3,[1]!龙魂分图属性,O$4,FALSE)*(AM78*$AG78)/IF(SUMPRODUCT(AM$6:AM$96*$AG$6:$AG$96)=0,1,SUMPRODUCT(AM$6:AM$96*$AG$6:$AG$96))</f>
        <v>0</v>
      </c>
      <c r="P78" s="1">
        <f>VLOOKUP($J$3,[1]!龙魂分图属性,P$4,FALSE)*(AN78*$AG78)/IF(SUMPRODUCT(AN$6:AN$96*$AG$6:$AG$96)=0,1,SUMPRODUCT(AN$6:AN$96*$AG$6:$AG$96))</f>
        <v>0</v>
      </c>
      <c r="Q78" s="1">
        <f>VLOOKUP($J$3,[1]!龙魂分图属性,Q$4,FALSE)*(AO78*$AG78)/IF(SUMPRODUCT(AO$6:AO$96*$AG$6:$AG$96)=0,1,SUMPRODUCT(AO$6:AO$96*$AG$6:$AG$96))</f>
        <v>0</v>
      </c>
      <c r="R78" s="1">
        <f t="shared" si="37"/>
        <v>1</v>
      </c>
      <c r="S78" s="1" t="str">
        <f t="array" aca="1" ref="S78" ca="1">OFFSET($I$5,0,MATCH(1,1/(J78:Q78&gt;0),0))</f>
        <v>命中值</v>
      </c>
      <c r="T78" s="1">
        <f t="shared" si="38"/>
        <v>1477</v>
      </c>
      <c r="U78" s="1">
        <f t="shared" si="43"/>
        <v>0.2116613813719575</v>
      </c>
      <c r="V78" s="19">
        <f t="shared" si="39"/>
        <v>502.29515116340406</v>
      </c>
      <c r="W78" s="18">
        <f t="shared" si="44"/>
        <v>70</v>
      </c>
      <c r="X78" s="1">
        <f>(VLOOKUP(W78,[2]龙魂的投放!$G$17:$L$117,6,FALSE)+SUMIF(龙魂整图属性辅助表!$E$12:$E$17,H78,龙魂整图属性辅助表!$T$12:$T$17)/COUNTIF($H$6:$H$96,H78))/INDEX($C$1:$C$2,G78)</f>
        <v>2373.1072144932714</v>
      </c>
      <c r="Y78" s="1">
        <f t="shared" si="45"/>
        <v>0.15384615384615385</v>
      </c>
      <c r="Z78" s="1">
        <f t="shared" ca="1" si="35"/>
        <v>533</v>
      </c>
      <c r="AA78" s="1">
        <f t="shared" si="46"/>
        <v>6.5</v>
      </c>
      <c r="AB78" s="18">
        <f t="shared" si="47"/>
        <v>8</v>
      </c>
      <c r="AC78" s="1">
        <f t="shared" ca="1" si="48"/>
        <v>4264</v>
      </c>
      <c r="AD78" s="21">
        <f t="shared" si="49"/>
        <v>7</v>
      </c>
      <c r="AE78" s="21">
        <f t="shared" si="50"/>
        <v>456</v>
      </c>
      <c r="AF78">
        <v>2.36</v>
      </c>
      <c r="AG78">
        <f t="shared" si="40"/>
        <v>16.8</v>
      </c>
      <c r="AH78" s="1"/>
      <c r="AI78" s="1"/>
      <c r="AJ78" s="1"/>
      <c r="AK78" s="1"/>
      <c r="AL78" s="1">
        <v>1</v>
      </c>
      <c r="AM78" s="1"/>
      <c r="AN78" s="1"/>
      <c r="AO78" s="1"/>
      <c r="AY78" s="1">
        <v>1041</v>
      </c>
      <c r="AZ78" s="1" t="s">
        <v>131</v>
      </c>
      <c r="BA78" s="1">
        <v>5</v>
      </c>
      <c r="BB78" s="1">
        <v>1040</v>
      </c>
      <c r="BC78" s="1">
        <v>41</v>
      </c>
      <c r="BD78" s="1">
        <v>1</v>
      </c>
      <c r="BE78" s="1">
        <v>1004</v>
      </c>
      <c r="BF78" s="1">
        <v>70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1">
        <v>0</v>
      </c>
      <c r="BN78" s="1">
        <v>1497.990500548045</v>
      </c>
      <c r="BO78" s="1">
        <v>1</v>
      </c>
      <c r="BP78" s="1" t="s">
        <v>97</v>
      </c>
      <c r="BQ78" s="1">
        <v>1498</v>
      </c>
      <c r="BR78" s="1"/>
      <c r="BS78" s="1">
        <v>119.61980808702943</v>
      </c>
      <c r="BT78" s="1">
        <v>1381.3625191357828</v>
      </c>
      <c r="BU78" s="1"/>
      <c r="BV78" s="1">
        <v>1230</v>
      </c>
      <c r="BX78" s="1">
        <v>1</v>
      </c>
      <c r="BY78" s="1"/>
      <c r="BZ78" s="1"/>
      <c r="CA78" s="1"/>
      <c r="CB78" s="1"/>
      <c r="CC78" s="1"/>
      <c r="CD78" s="1"/>
      <c r="CE78" s="1"/>
    </row>
    <row r="79" spans="1:83">
      <c r="A79">
        <v>74</v>
      </c>
      <c r="B79" s="1">
        <f t="shared" ca="1" si="41"/>
        <v>1042</v>
      </c>
      <c r="C79" s="1" t="s">
        <v>9</v>
      </c>
      <c r="D79" s="1">
        <v>6</v>
      </c>
      <c r="E79" s="1">
        <f t="shared" si="33"/>
        <v>1041</v>
      </c>
      <c r="F79" s="1">
        <f ca="1">SUMIF($G$6:G79,G79,$G$6:$G$78)/G79</f>
        <v>42</v>
      </c>
      <c r="G79" s="1">
        <v>1</v>
      </c>
      <c r="H79" s="1">
        <v>1005</v>
      </c>
      <c r="I79" s="1">
        <f t="shared" ca="1" si="42"/>
        <v>72</v>
      </c>
      <c r="J79" s="1">
        <f>VLOOKUP($J$3,[1]!龙魂分图属性,J$4,FALSE)*(AH79*$AG79)/IF(SUMPRODUCT(AH$6:AH$96*$AG$6:$AG$96)=0,1,SUMPRODUCT(AH$6:AH$96*$AG$6:$AG$96))</f>
        <v>0</v>
      </c>
      <c r="K79" s="1">
        <f>VLOOKUP($J$3,[1]!龙魂分图属性,K$4,FALSE)*(AI79*$AG79)/IF(SUMPRODUCT(AI$6:AI$96*$AG$6:$AG$96)=0,1,SUMPRODUCT(AI$6:AI$96*$AG$6:$AG$96))</f>
        <v>0</v>
      </c>
      <c r="L79" s="1">
        <f>VLOOKUP($J$3,[1]!龙魂分图属性,L$4,FALSE)*(AJ79*$AG79)/IF(SUMPRODUCT(AJ$6:AJ$96*$AG$6:$AG$96)=0,1,SUMPRODUCT(AJ$6:AJ$96*$AG$6:$AG$96))</f>
        <v>0</v>
      </c>
      <c r="M79" s="1">
        <f>VLOOKUP($J$3,[1]!龙魂分图属性,M$4,FALSE)*(AK79*$AG79)/IF(SUMPRODUCT(AK$6:AK$96*$AG$6:$AG$96)=0,1,SUMPRODUCT(AK$6:AK$96*$AG$6:$AG$96))</f>
        <v>0</v>
      </c>
      <c r="N79" s="1">
        <f>VLOOKUP($J$3,[1]!龙魂分图属性,N$4,FALSE)*(AL79*$AG79)/IF(SUMPRODUCT(AL$6:AL$96*$AG$6:$AG$96)=0,1,SUMPRODUCT(AL$6:AL$96*$AG$6:$AG$96))</f>
        <v>0</v>
      </c>
      <c r="O79" s="1">
        <f>VLOOKUP($J$3,[1]!龙魂分图属性,O$4,FALSE)*(AM79*$AG79)/IF(SUMPRODUCT(AM$6:AM$96*$AG$6:$AG$96)=0,1,SUMPRODUCT(AM$6:AM$96*$AG$6:$AG$96))</f>
        <v>2647.6039184537995</v>
      </c>
      <c r="P79" s="1">
        <f>VLOOKUP($J$3,[1]!龙魂分图属性,P$4,FALSE)*(AN79*$AG79)/IF(SUMPRODUCT(AN$6:AN$96*$AG$6:$AG$96)=0,1,SUMPRODUCT(AN$6:AN$96*$AG$6:$AG$96))</f>
        <v>0</v>
      </c>
      <c r="Q79" s="1">
        <f>VLOOKUP($J$3,[1]!龙魂分图属性,Q$4,FALSE)*(AO79*$AG79)/IF(SUMPRODUCT(AO$6:AO$96*$AG$6:$AG$96)=0,1,SUMPRODUCT(AO$6:AO$96*$AG$6:$AG$96))</f>
        <v>0</v>
      </c>
      <c r="R79" s="1">
        <f t="shared" si="37"/>
        <v>1</v>
      </c>
      <c r="S79" s="1" t="str">
        <f t="array" aca="1" ref="S79" ca="1">OFFSET($I$5,0,MATCH(1,1/(J79:Q79&gt;0),0))</f>
        <v>暴击值</v>
      </c>
      <c r="T79" s="1">
        <f t="shared" si="38"/>
        <v>2648</v>
      </c>
      <c r="U79" s="1">
        <f t="shared" ca="1" si="43"/>
        <v>0.16745334980037921</v>
      </c>
      <c r="V79" s="19">
        <f t="shared" si="39"/>
        <v>476.56870532168386</v>
      </c>
      <c r="W79" s="18">
        <f t="shared" ca="1" si="44"/>
        <v>72</v>
      </c>
      <c r="X79" s="1">
        <f ca="1">(VLOOKUP(W79,[2]龙魂的投放!$G$17:$L$117,6,FALSE)+SUMIF(龙魂整图属性辅助表!$E$12:$E$17,H79,龙魂整图属性辅助表!$T$12:$T$17)/COUNTIF($H$6:$H$96,H79))/INDEX($C$1:$C$2,G79)</f>
        <v>2845.9789301904107</v>
      </c>
      <c r="Y79" s="1">
        <f t="shared" ca="1" si="45"/>
        <v>0.26829268292682928</v>
      </c>
      <c r="Z79" s="1">
        <f ca="1">SMALL($AE$79:$AE$96,AD79+1)</f>
        <v>648</v>
      </c>
      <c r="AA79" s="1">
        <f t="shared" ca="1" si="46"/>
        <v>3.7272727272727271</v>
      </c>
      <c r="AB79" s="18">
        <f t="shared" ca="1" si="47"/>
        <v>5</v>
      </c>
      <c r="AC79" s="1">
        <f t="shared" ca="1" si="48"/>
        <v>3240</v>
      </c>
      <c r="AD79" s="21">
        <f t="shared" ca="1" si="49"/>
        <v>0</v>
      </c>
      <c r="AE79" s="21">
        <f t="shared" ca="1" si="50"/>
        <v>687</v>
      </c>
      <c r="AF79">
        <v>2.5</v>
      </c>
      <c r="AG79">
        <f t="shared" si="40"/>
        <v>21</v>
      </c>
      <c r="AH79" s="1"/>
      <c r="AI79" s="1"/>
      <c r="AJ79" s="1"/>
      <c r="AK79" s="1"/>
      <c r="AL79" s="1"/>
      <c r="AM79" s="1">
        <v>1</v>
      </c>
      <c r="AN79" s="1"/>
      <c r="AO79" s="1"/>
      <c r="AY79" s="1">
        <v>1042</v>
      </c>
      <c r="AZ79" s="1" t="s">
        <v>9</v>
      </c>
      <c r="BA79" s="1">
        <v>6</v>
      </c>
      <c r="BB79" s="1">
        <v>1041</v>
      </c>
      <c r="BC79" s="1">
        <v>42</v>
      </c>
      <c r="BD79" s="1">
        <v>1</v>
      </c>
      <c r="BE79" s="1">
        <v>1005</v>
      </c>
      <c r="BF79" s="1">
        <v>71</v>
      </c>
      <c r="BG79" s="1">
        <v>10849.324919685831</v>
      </c>
      <c r="BH79" s="1">
        <v>0</v>
      </c>
      <c r="BI79" s="1">
        <v>0</v>
      </c>
      <c r="BJ79" s="1">
        <v>0</v>
      </c>
      <c r="BK79" s="1">
        <v>0</v>
      </c>
      <c r="BL79" s="1">
        <v>0</v>
      </c>
      <c r="BM79" s="1">
        <v>0</v>
      </c>
      <c r="BN79" s="1">
        <v>0</v>
      </c>
      <c r="BO79" s="1">
        <v>1</v>
      </c>
      <c r="BP79" s="1" t="s">
        <v>90</v>
      </c>
      <c r="BQ79" s="1">
        <v>10849</v>
      </c>
      <c r="BR79" s="1"/>
      <c r="BS79" s="1">
        <v>443.10696075656273</v>
      </c>
      <c r="BT79" s="1">
        <v>1520.547313600269</v>
      </c>
      <c r="BU79" s="1"/>
      <c r="BV79" s="1">
        <v>1488</v>
      </c>
      <c r="BX79" s="1">
        <v>1</v>
      </c>
      <c r="BY79" s="1"/>
      <c r="BZ79" s="1"/>
      <c r="CA79" s="1"/>
      <c r="CB79" s="1"/>
      <c r="CC79" s="1"/>
      <c r="CD79" s="1"/>
      <c r="CE79" s="1"/>
    </row>
    <row r="80" spans="1:83">
      <c r="A80">
        <v>75</v>
      </c>
      <c r="B80" s="1">
        <f t="shared" ca="1" si="41"/>
        <v>1043</v>
      </c>
      <c r="C80" s="1" t="s">
        <v>10</v>
      </c>
      <c r="D80" s="1">
        <v>6</v>
      </c>
      <c r="E80" s="1">
        <f ca="1">B79</f>
        <v>1042</v>
      </c>
      <c r="F80" s="1">
        <f ca="1">SUMIF($G$6:G80,G80,$G$6:$G$78)/G80</f>
        <v>43</v>
      </c>
      <c r="G80" s="1">
        <v>1</v>
      </c>
      <c r="H80" s="1">
        <v>1005</v>
      </c>
      <c r="I80" s="1">
        <f t="shared" ca="1" si="42"/>
        <v>73</v>
      </c>
      <c r="J80" s="1">
        <f>VLOOKUP($J$3,[1]!龙魂分图属性,J$4,FALSE)*(AH80*$AG80)/IF(SUMPRODUCT(AH$6:AH$96*$AG$6:$AG$96)=0,1,SUMPRODUCT(AH$6:AH$96*$AG$6:$AG$96))</f>
        <v>19892.485881796765</v>
      </c>
      <c r="K80" s="1">
        <f>VLOOKUP($J$3,[1]!龙魂分图属性,K$4,FALSE)*(AI80*$AG80)/IF(SUMPRODUCT(AI$6:AI$96*$AG$6:$AG$96)=0,1,SUMPRODUCT(AI$6:AI$96*$AG$6:$AG$96))</f>
        <v>0</v>
      </c>
      <c r="L80" s="1">
        <f>VLOOKUP($J$3,[1]!龙魂分图属性,L$4,FALSE)*(AJ80*$AG80)/IF(SUMPRODUCT(AJ$6:AJ$96*$AG$6:$AG$96)=0,1,SUMPRODUCT(AJ$6:AJ$96*$AG$6:$AG$96))</f>
        <v>0</v>
      </c>
      <c r="M80" s="1">
        <f>VLOOKUP($J$3,[1]!龙魂分图属性,M$4,FALSE)*(AK80*$AG80)/IF(SUMPRODUCT(AK$6:AK$96*$AG$6:$AG$96)=0,1,SUMPRODUCT(AK$6:AK$96*$AG$6:$AG$96))</f>
        <v>0</v>
      </c>
      <c r="N80" s="1">
        <f>VLOOKUP($J$3,[1]!龙魂分图属性,N$4,FALSE)*(AL80*$AG80)/IF(SUMPRODUCT(AL$6:AL$96*$AG$6:$AG$96)=0,1,SUMPRODUCT(AL$6:AL$96*$AG$6:$AG$96))</f>
        <v>0</v>
      </c>
      <c r="O80" s="1">
        <f>VLOOKUP($J$3,[1]!龙魂分图属性,O$4,FALSE)*(AM80*$AG80)/IF(SUMPRODUCT(AM$6:AM$96*$AG$6:$AG$96)=0,1,SUMPRODUCT(AM$6:AM$96*$AG$6:$AG$96))</f>
        <v>0</v>
      </c>
      <c r="P80" s="1">
        <f>VLOOKUP($J$3,[1]!龙魂分图属性,P$4,FALSE)*(AN80*$AG80)/IF(SUMPRODUCT(AN$6:AN$96*$AG$6:$AG$96)=0,1,SUMPRODUCT(AN$6:AN$96*$AG$6:$AG$96))</f>
        <v>0</v>
      </c>
      <c r="Q80" s="1">
        <f>VLOOKUP($J$3,[1]!龙魂分图属性,Q$4,FALSE)*(AO80*$AG80)/IF(SUMPRODUCT(AO$6:AO$96*$AG$6:$AG$96)=0,1,SUMPRODUCT(AO$6:AO$96*$AG$6:$AG$96))</f>
        <v>0</v>
      </c>
      <c r="R80" s="1">
        <f t="shared" si="37"/>
        <v>1</v>
      </c>
      <c r="S80" s="1" t="str">
        <f t="array" aca="1" ref="S80" ca="1">OFFSET($I$5,0,MATCH(1,1/(J80:Q80&gt;0),0))</f>
        <v>生命</v>
      </c>
      <c r="T80" s="1">
        <f t="shared" si="38"/>
        <v>19892</v>
      </c>
      <c r="U80" s="1">
        <f t="shared" ca="1" si="43"/>
        <v>0.26670224010812882</v>
      </c>
      <c r="V80" s="19">
        <f t="shared" si="39"/>
        <v>795.69943527187058</v>
      </c>
      <c r="W80" s="18">
        <f t="shared" ca="1" si="44"/>
        <v>73</v>
      </c>
      <c r="X80" s="1">
        <f ca="1">(VLOOKUP(W80,[2]龙魂的投放!$G$17:$L$117,6,FALSE)+SUMIF(龙魂整图属性辅助表!$E$12:$E$17,H80,龙魂整图属性辅助表!$T$12:$T$17)/COUNTIF($H$6:$H$96,H80))/INDEX($C$1:$C$2,G80)</f>
        <v>2983.4748855100393</v>
      </c>
      <c r="Y80" s="1">
        <f t="shared" ca="1" si="45"/>
        <v>0.23404255319148937</v>
      </c>
      <c r="Z80" s="1">
        <f t="shared" ref="Z80:Z96" ca="1" si="52">SMALL($AE$79:$AE$96,AD80+1)</f>
        <v>663</v>
      </c>
      <c r="AA80" s="1">
        <f t="shared" ca="1" si="46"/>
        <v>4.2727272727272725</v>
      </c>
      <c r="AB80" s="18">
        <f t="shared" ca="1" si="47"/>
        <v>6</v>
      </c>
      <c r="AC80" s="1">
        <f t="shared" ca="1" si="48"/>
        <v>3978</v>
      </c>
      <c r="AD80" s="21">
        <f t="shared" ca="1" si="49"/>
        <v>1</v>
      </c>
      <c r="AE80" s="21">
        <f t="shared" ca="1" si="50"/>
        <v>663</v>
      </c>
      <c r="AF80">
        <v>2.54</v>
      </c>
      <c r="AG80">
        <f t="shared" si="40"/>
        <v>21.240000000000002</v>
      </c>
      <c r="AH80" s="1">
        <v>1</v>
      </c>
      <c r="AI80" s="1"/>
      <c r="AJ80" s="1"/>
      <c r="AK80" s="1"/>
      <c r="AL80" s="1"/>
      <c r="AM80" s="1"/>
      <c r="AN80" s="1"/>
      <c r="AO80" s="1"/>
      <c r="AY80" s="1">
        <v>1043</v>
      </c>
      <c r="AZ80" s="1" t="s">
        <v>10</v>
      </c>
      <c r="BA80" s="1">
        <v>6</v>
      </c>
      <c r="BB80" s="1">
        <v>1042</v>
      </c>
      <c r="BC80" s="1">
        <v>43</v>
      </c>
      <c r="BD80" s="1">
        <v>1</v>
      </c>
      <c r="BE80" s="1">
        <v>1005</v>
      </c>
      <c r="BF80" s="1">
        <v>72</v>
      </c>
      <c r="BG80" s="1">
        <v>0</v>
      </c>
      <c r="BH80" s="1">
        <v>283.23353335145538</v>
      </c>
      <c r="BI80" s="1">
        <v>0</v>
      </c>
      <c r="BJ80" s="1">
        <v>0</v>
      </c>
      <c r="BK80" s="1">
        <v>0</v>
      </c>
      <c r="BL80" s="1">
        <v>0</v>
      </c>
      <c r="BM80" s="1">
        <v>0</v>
      </c>
      <c r="BN80" s="1">
        <v>0</v>
      </c>
      <c r="BO80" s="1">
        <v>1</v>
      </c>
      <c r="BP80" s="1" t="s">
        <v>91</v>
      </c>
      <c r="BQ80" s="1">
        <v>283</v>
      </c>
      <c r="BR80" s="1"/>
      <c r="BS80" s="1">
        <v>283.23353335145538</v>
      </c>
      <c r="BT80" s="1">
        <v>1673.7562376771916</v>
      </c>
      <c r="BU80" s="1"/>
      <c r="BV80" s="1">
        <v>1500</v>
      </c>
      <c r="BX80" s="1"/>
      <c r="BY80" s="1">
        <v>1</v>
      </c>
      <c r="BZ80" s="1"/>
      <c r="CA80" s="1"/>
      <c r="CB80" s="1"/>
      <c r="CC80" s="1"/>
      <c r="CD80" s="1"/>
      <c r="CE80" s="1"/>
    </row>
    <row r="81" spans="1:83">
      <c r="A81">
        <v>76</v>
      </c>
      <c r="B81" s="1">
        <f t="shared" ca="1" si="41"/>
        <v>1044</v>
      </c>
      <c r="C81" s="1" t="s">
        <v>27</v>
      </c>
      <c r="D81" s="1">
        <v>6</v>
      </c>
      <c r="E81" s="1">
        <f t="shared" ref="E81:E86" ca="1" si="53">B80</f>
        <v>1043</v>
      </c>
      <c r="F81" s="1">
        <f ca="1">SUMIF($G$6:G81,G81,$G$6:$G$78)/G81</f>
        <v>44</v>
      </c>
      <c r="G81" s="1">
        <v>1</v>
      </c>
      <c r="H81" s="1">
        <v>1005</v>
      </c>
      <c r="I81" s="1">
        <f t="shared" ca="1" si="42"/>
        <v>74</v>
      </c>
      <c r="J81" s="1">
        <f>VLOOKUP($J$3,[1]!龙魂分图属性,J$4,FALSE)*(AH81*$AG81)/IF(SUMPRODUCT(AH$6:AH$96*$AG$6:$AG$96)=0,1,SUMPRODUCT(AH$6:AH$96*$AG$6:$AG$96))</f>
        <v>0</v>
      </c>
      <c r="K81" s="1">
        <f>VLOOKUP($J$3,[1]!龙魂分图属性,K$4,FALSE)*(AI81*$AG81)/IF(SUMPRODUCT(AI$6:AI$96*$AG$6:$AG$96)=0,1,SUMPRODUCT(AI$6:AI$96*$AG$6:$AG$96))</f>
        <v>737.78962071783872</v>
      </c>
      <c r="L81" s="1">
        <f>VLOOKUP($J$3,[1]!龙魂分图属性,L$4,FALSE)*(AJ81*$AG81)/IF(SUMPRODUCT(AJ$6:AJ$96*$AG$6:$AG$96)=0,1,SUMPRODUCT(AJ$6:AJ$96*$AG$6:$AG$96))</f>
        <v>0</v>
      </c>
      <c r="M81" s="1">
        <f>VLOOKUP($J$3,[1]!龙魂分图属性,M$4,FALSE)*(AK81*$AG81)/IF(SUMPRODUCT(AK$6:AK$96*$AG$6:$AG$96)=0,1,SUMPRODUCT(AK$6:AK$96*$AG$6:$AG$96))</f>
        <v>0</v>
      </c>
      <c r="N81" s="1">
        <f>VLOOKUP($J$3,[1]!龙魂分图属性,N$4,FALSE)*(AL81*$AG81)/IF(SUMPRODUCT(AL$6:AL$96*$AG$6:$AG$96)=0,1,SUMPRODUCT(AL$6:AL$96*$AG$6:$AG$96))</f>
        <v>0</v>
      </c>
      <c r="O81" s="1">
        <f>VLOOKUP($J$3,[1]!龙魂分图属性,O$4,FALSE)*(AM81*$AG81)/IF(SUMPRODUCT(AM$6:AM$96*$AG$6:$AG$96)=0,1,SUMPRODUCT(AM$6:AM$96*$AG$6:$AG$96))</f>
        <v>0</v>
      </c>
      <c r="P81" s="1">
        <f>VLOOKUP($J$3,[1]!龙魂分图属性,P$4,FALSE)*(AN81*$AG81)/IF(SUMPRODUCT(AN$6:AN$96*$AG$6:$AG$96)=0,1,SUMPRODUCT(AN$6:AN$96*$AG$6:$AG$96))</f>
        <v>0</v>
      </c>
      <c r="Q81" s="1">
        <f>VLOOKUP($J$3,[1]!龙魂分图属性,Q$4,FALSE)*(AO81*$AG81)/IF(SUMPRODUCT(AO$6:AO$96*$AG$6:$AG$96)=0,1,SUMPRODUCT(AO$6:AO$96*$AG$6:$AG$96))</f>
        <v>0</v>
      </c>
      <c r="R81" s="1">
        <f t="shared" si="37"/>
        <v>1</v>
      </c>
      <c r="S81" s="1" t="str">
        <f t="array" aca="1" ref="S81" ca="1">OFFSET($I$5,0,MATCH(1,1/(J81:Q81&gt;0),0))</f>
        <v>攻击</v>
      </c>
      <c r="T81" s="1">
        <f t="shared" si="38"/>
        <v>738</v>
      </c>
      <c r="U81" s="1">
        <f t="shared" ca="1" si="43"/>
        <v>0.23617655016982736</v>
      </c>
      <c r="V81" s="19">
        <f t="shared" si="39"/>
        <v>737.78962071783872</v>
      </c>
      <c r="W81" s="18">
        <f t="shared" ca="1" si="44"/>
        <v>74</v>
      </c>
      <c r="X81" s="1">
        <f ca="1">(VLOOKUP(W81,[2]龙魂的投放!$G$17:$L$117,6,FALSE)+SUMIF(龙魂整图属性辅助表!$E$12:$E$17,H81,龙魂整图属性辅助表!$T$12:$T$17)/COUNTIF($H$6:$H$96,H81))/INDEX($C$1:$C$2,G81)</f>
        <v>3123.8902430716203</v>
      </c>
      <c r="Y81" s="1">
        <f t="shared" ca="1" si="45"/>
        <v>0.20754716981132071</v>
      </c>
      <c r="Z81" s="1">
        <f t="shared" ca="1" si="52"/>
        <v>687</v>
      </c>
      <c r="AA81" s="1">
        <f t="shared" ca="1" si="46"/>
        <v>4.8181818181818192</v>
      </c>
      <c r="AB81" s="18">
        <f t="shared" ca="1" si="47"/>
        <v>6</v>
      </c>
      <c r="AC81" s="1">
        <f t="shared" ca="1" si="48"/>
        <v>4122</v>
      </c>
      <c r="AD81" s="21">
        <f t="shared" ca="1" si="49"/>
        <v>2</v>
      </c>
      <c r="AE81" s="21">
        <f t="shared" ca="1" si="50"/>
        <v>648</v>
      </c>
      <c r="AF81">
        <v>2.58</v>
      </c>
      <c r="AG81">
        <f t="shared" si="40"/>
        <v>21.48</v>
      </c>
      <c r="AH81" s="1"/>
      <c r="AI81" s="1">
        <v>1</v>
      </c>
      <c r="AJ81" s="1"/>
      <c r="AK81" s="1"/>
      <c r="AL81" s="1"/>
      <c r="AM81" s="1"/>
      <c r="AN81" s="1"/>
      <c r="AO81" s="1"/>
      <c r="AY81" s="1">
        <v>1044</v>
      </c>
      <c r="AZ81" s="1" t="s">
        <v>11</v>
      </c>
      <c r="BA81" s="1">
        <v>6</v>
      </c>
      <c r="BB81" s="1">
        <v>1043</v>
      </c>
      <c r="BC81" s="1">
        <v>44</v>
      </c>
      <c r="BD81" s="1">
        <v>1</v>
      </c>
      <c r="BE81" s="1">
        <v>1005</v>
      </c>
      <c r="BF81" s="1">
        <v>73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  <c r="BL81" s="1">
        <v>1878.377538977576</v>
      </c>
      <c r="BM81" s="1">
        <v>0</v>
      </c>
      <c r="BN81" s="1">
        <v>0</v>
      </c>
      <c r="BO81" s="1">
        <v>1</v>
      </c>
      <c r="BP81" s="1" t="s">
        <v>95</v>
      </c>
      <c r="BQ81" s="1">
        <v>1878</v>
      </c>
      <c r="BR81" s="1"/>
      <c r="BS81" s="1">
        <v>149.99505046612794</v>
      </c>
      <c r="BT81" s="1">
        <v>1842.4023495396291</v>
      </c>
      <c r="BU81" s="1"/>
      <c r="BV81" s="1">
        <v>2268</v>
      </c>
      <c r="BX81" s="1"/>
      <c r="BY81" s="1"/>
      <c r="BZ81" s="1"/>
      <c r="CA81" s="1"/>
      <c r="CB81" s="1"/>
      <c r="CC81" s="1">
        <v>1</v>
      </c>
      <c r="CD81" s="1"/>
      <c r="CE81" s="1"/>
    </row>
    <row r="82" spans="1:83">
      <c r="A82">
        <v>77</v>
      </c>
      <c r="B82" s="1">
        <f t="shared" ca="1" si="41"/>
        <v>2033</v>
      </c>
      <c r="C82" s="1" t="s">
        <v>12</v>
      </c>
      <c r="D82" s="1">
        <v>6</v>
      </c>
      <c r="E82" s="1">
        <f t="shared" ca="1" si="53"/>
        <v>1044</v>
      </c>
      <c r="F82" s="1">
        <f ca="1">SUMIF($G$6:G82,G82,$G$6:$G$78)/G82</f>
        <v>33</v>
      </c>
      <c r="G82" s="1">
        <v>2</v>
      </c>
      <c r="H82" s="1">
        <v>1005</v>
      </c>
      <c r="I82" s="1">
        <f t="shared" ca="1" si="42"/>
        <v>74</v>
      </c>
      <c r="J82" s="1">
        <f>VLOOKUP($J$3,[1]!龙魂分图属性,J$4,FALSE)*(AH82*$AG82)/IF(SUMPRODUCT(AH$6:AH$96*$AG$6:$AG$96)=0,1,SUMPRODUCT(AH$6:AH$96*$AG$6:$AG$96))</f>
        <v>0</v>
      </c>
      <c r="K82" s="1">
        <f>VLOOKUP($J$3,[1]!龙魂分图属性,K$4,FALSE)*(AI82*$AG82)/IF(SUMPRODUCT(AI$6:AI$96*$AG$6:$AG$96)=0,1,SUMPRODUCT(AI$6:AI$96*$AG$6:$AG$96))</f>
        <v>0</v>
      </c>
      <c r="L82" s="1">
        <f>VLOOKUP($J$3,[1]!龙魂分图属性,L$4,FALSE)*(AJ82*$AG82)/IF(SUMPRODUCT(AJ$6:AJ$96*$AG$6:$AG$96)=0,1,SUMPRODUCT(AJ$6:AJ$96*$AG$6:$AG$96))</f>
        <v>0</v>
      </c>
      <c r="M82" s="1">
        <f>VLOOKUP($J$3,[1]!龙魂分图属性,M$4,FALSE)*(AK82*$AG82)/IF(SUMPRODUCT(AK$6:AK$96*$AG$6:$AG$96)=0,1,SUMPRODUCT(AK$6:AK$96*$AG$6:$AG$96))</f>
        <v>0</v>
      </c>
      <c r="N82" s="1">
        <f>VLOOKUP($J$3,[1]!龙魂分图属性,N$4,FALSE)*(AL82*$AG82)/IF(SUMPRODUCT(AL$6:AL$96*$AG$6:$AG$96)=0,1,SUMPRODUCT(AL$6:AL$96*$AG$6:$AG$96))</f>
        <v>0</v>
      </c>
      <c r="O82" s="1">
        <f>VLOOKUP($J$3,[1]!龙魂分图属性,O$4,FALSE)*(AM82*$AG82)/IF(SUMPRODUCT(AM$6:AM$96*$AG$6:$AG$96)=0,1,SUMPRODUCT(AM$6:AM$96*$AG$6:$AG$96))</f>
        <v>0</v>
      </c>
      <c r="P82" s="1">
        <f>VLOOKUP($J$3,[1]!龙魂分图属性,P$4,FALSE)*(AN82*$AG82)/IF(SUMPRODUCT(AN$6:AN$96*$AG$6:$AG$96)=0,1,SUMPRODUCT(AN$6:AN$96*$AG$6:$AG$96))</f>
        <v>0</v>
      </c>
      <c r="Q82" s="1">
        <f>VLOOKUP($J$3,[1]!龙魂分图属性,Q$4,FALSE)*(AO82*$AG82)/IF(SUMPRODUCT(AO$6:AO$96*$AG$6:$AG$96)=0,1,SUMPRODUCT(AO$6:AO$96*$AG$6:$AG$96))</f>
        <v>4616.6108719910735</v>
      </c>
      <c r="R82" s="1">
        <f t="shared" si="37"/>
        <v>1</v>
      </c>
      <c r="S82" s="1" t="str">
        <f t="array" aca="1" ref="S82" ca="1">OFFSET($I$5,0,MATCH(1,1/(J82:Q82&gt;0),0))</f>
        <v>韧性值</v>
      </c>
      <c r="T82" s="1">
        <f t="shared" si="38"/>
        <v>4617</v>
      </c>
      <c r="U82" s="1">
        <f t="shared" ca="1" si="43"/>
        <v>0.11793742988342935</v>
      </c>
      <c r="V82" s="19">
        <f t="shared" si="39"/>
        <v>830.98995695839324</v>
      </c>
      <c r="W82" s="18">
        <f t="shared" ca="1" si="44"/>
        <v>75</v>
      </c>
      <c r="X82" s="1">
        <f ca="1">(VLOOKUP(W82,[2]龙魂的投放!$G$17:$L$117,6,FALSE)+SUMIF(龙魂整图属性辅助表!$E$12:$E$17,H82,龙魂整图属性辅助表!$T$12:$T$17)/COUNTIF($H$6:$H$96,H82))/INDEX($C$1:$C$2,G82)</f>
        <v>7046.0239618563237</v>
      </c>
      <c r="Y82" s="1">
        <f t="shared" ca="1" si="45"/>
        <v>0.13600000000000001</v>
      </c>
      <c r="Z82" s="1">
        <f ca="1">AE82</f>
        <v>1006</v>
      </c>
      <c r="AA82" s="1">
        <f t="shared" ca="1" si="46"/>
        <v>7.3529411764705879</v>
      </c>
      <c r="AB82" s="18">
        <f t="shared" ca="1" si="47"/>
        <v>10</v>
      </c>
      <c r="AC82" s="1">
        <f t="shared" ca="1" si="48"/>
        <v>10060</v>
      </c>
      <c r="AD82" s="21">
        <f t="shared" ca="1" si="49"/>
        <v>3</v>
      </c>
      <c r="AE82" s="21">
        <f t="shared" ca="1" si="50"/>
        <v>1006</v>
      </c>
      <c r="AF82">
        <v>2.62</v>
      </c>
      <c r="AG82">
        <f t="shared" si="40"/>
        <v>21.72</v>
      </c>
      <c r="AH82" s="1"/>
      <c r="AI82" s="1"/>
      <c r="AJ82" s="1"/>
      <c r="AK82" s="1"/>
      <c r="AL82" s="1"/>
      <c r="AM82" s="1"/>
      <c r="AN82" s="1"/>
      <c r="AO82" s="1">
        <v>1.5</v>
      </c>
      <c r="AY82" s="1">
        <v>2033</v>
      </c>
      <c r="AZ82" s="1" t="s">
        <v>12</v>
      </c>
      <c r="BA82" s="1">
        <v>6</v>
      </c>
      <c r="BB82" s="1">
        <v>1044</v>
      </c>
      <c r="BC82" s="1">
        <v>33</v>
      </c>
      <c r="BD82" s="1">
        <v>2</v>
      </c>
      <c r="BE82" s="1">
        <v>1005</v>
      </c>
      <c r="BF82" s="1">
        <v>74</v>
      </c>
      <c r="BG82" s="1">
        <v>0</v>
      </c>
      <c r="BH82" s="1">
        <v>0</v>
      </c>
      <c r="BI82" s="1">
        <v>0</v>
      </c>
      <c r="BJ82" s="1">
        <v>0</v>
      </c>
      <c r="BK82" s="1">
        <v>1840.235221667441</v>
      </c>
      <c r="BL82" s="1">
        <v>0</v>
      </c>
      <c r="BM82" s="1">
        <v>0</v>
      </c>
      <c r="BN82" s="1">
        <v>0</v>
      </c>
      <c r="BO82" s="1">
        <v>1</v>
      </c>
      <c r="BP82" s="1" t="s">
        <v>94</v>
      </c>
      <c r="BQ82" s="1">
        <v>1840</v>
      </c>
      <c r="BR82" s="1"/>
      <c r="BS82" s="1">
        <v>298.83103233269895</v>
      </c>
      <c r="BT82" s="1">
        <v>4056.0821715590996</v>
      </c>
      <c r="BU82" s="1"/>
      <c r="BV82" s="1">
        <v>2286</v>
      </c>
      <c r="BX82" s="1"/>
      <c r="BY82" s="1"/>
      <c r="BZ82" s="1"/>
      <c r="CA82" s="1"/>
      <c r="CB82" s="1">
        <v>1.5</v>
      </c>
      <c r="CC82" s="1"/>
      <c r="CD82" s="1"/>
      <c r="CE82" s="1"/>
    </row>
    <row r="83" spans="1:83">
      <c r="A83">
        <v>78</v>
      </c>
      <c r="B83" s="1">
        <f t="shared" ca="1" si="41"/>
        <v>2034</v>
      </c>
      <c r="C83" s="1" t="s">
        <v>28</v>
      </c>
      <c r="D83" s="1">
        <v>6</v>
      </c>
      <c r="E83" s="1">
        <f t="shared" ca="1" si="53"/>
        <v>2033</v>
      </c>
      <c r="F83" s="1">
        <f ca="1">SUMIF($G$6:G83,G83,$G$6:$G$78)/G83</f>
        <v>34</v>
      </c>
      <c r="G83" s="1">
        <v>2</v>
      </c>
      <c r="H83" s="1">
        <v>1005</v>
      </c>
      <c r="I83" s="1">
        <f t="shared" ca="1" si="42"/>
        <v>74</v>
      </c>
      <c r="J83" s="1">
        <f>VLOOKUP($J$3,[1]!龙魂分图属性,J$4,FALSE)*(AH83*$AG83)/IF(SUMPRODUCT(AH$6:AH$96*$AG$6:$AG$96)=0,1,SUMPRODUCT(AH$6:AH$96*$AG$6:$AG$96))</f>
        <v>30850.211155667861</v>
      </c>
      <c r="K83" s="1">
        <f>VLOOKUP($J$3,[1]!龙魂分图属性,K$4,FALSE)*(AI83*$AG83)/IF(SUMPRODUCT(AI$6:AI$96*$AG$6:$AG$96)=0,1,SUMPRODUCT(AI$6:AI$96*$AG$6:$AG$96))</f>
        <v>0</v>
      </c>
      <c r="L83" s="1">
        <f>VLOOKUP($J$3,[1]!龙魂分图属性,L$4,FALSE)*(AJ83*$AG83)/IF(SUMPRODUCT(AJ$6:AJ$96*$AG$6:$AG$96)=0,1,SUMPRODUCT(AJ$6:AJ$96*$AG$6:$AG$96))</f>
        <v>0</v>
      </c>
      <c r="M83" s="1">
        <f>VLOOKUP($J$3,[1]!龙魂分图属性,M$4,FALSE)*(AK83*$AG83)/IF(SUMPRODUCT(AK$6:AK$96*$AG$6:$AG$96)=0,1,SUMPRODUCT(AK$6:AK$96*$AG$6:$AG$96))</f>
        <v>0</v>
      </c>
      <c r="N83" s="1">
        <f>VLOOKUP($J$3,[1]!龙魂分图属性,N$4,FALSE)*(AL83*$AG83)/IF(SUMPRODUCT(AL$6:AL$96*$AG$6:$AG$96)=0,1,SUMPRODUCT(AL$6:AL$96*$AG$6:$AG$96))</f>
        <v>0</v>
      </c>
      <c r="O83" s="1">
        <f>VLOOKUP($J$3,[1]!龙魂分图属性,O$4,FALSE)*(AM83*$AG83)/IF(SUMPRODUCT(AM$6:AM$96*$AG$6:$AG$96)=0,1,SUMPRODUCT(AM$6:AM$96*$AG$6:$AG$96))</f>
        <v>0</v>
      </c>
      <c r="P83" s="1">
        <f>VLOOKUP($J$3,[1]!龙魂分图属性,P$4,FALSE)*(AN83*$AG83)/IF(SUMPRODUCT(AN$6:AN$96*$AG$6:$AG$96)=0,1,SUMPRODUCT(AN$6:AN$96*$AG$6:$AG$96))</f>
        <v>0</v>
      </c>
      <c r="Q83" s="1">
        <f>VLOOKUP($J$3,[1]!龙魂分图属性,Q$4,FALSE)*(AO83*$AG83)/IF(SUMPRODUCT(AO$6:AO$96*$AG$6:$AG$96)=0,1,SUMPRODUCT(AO$6:AO$96*$AG$6:$AG$96))</f>
        <v>0</v>
      </c>
      <c r="R83" s="1">
        <f t="shared" si="37"/>
        <v>1</v>
      </c>
      <c r="S83" s="1" t="str">
        <f t="array" aca="1" ref="S83" ca="1">OFFSET($I$5,0,MATCH(1,1/(J83:Q83&gt;0),0))</f>
        <v>生命</v>
      </c>
      <c r="T83" s="1">
        <f t="shared" si="38"/>
        <v>30850</v>
      </c>
      <c r="U83" s="1">
        <f t="shared" ca="1" si="43"/>
        <v>0.1671282556102083</v>
      </c>
      <c r="V83" s="19">
        <f t="shared" si="39"/>
        <v>1234.0084462267146</v>
      </c>
      <c r="W83" s="18">
        <f t="shared" ca="1" si="44"/>
        <v>76</v>
      </c>
      <c r="X83" s="1">
        <f ca="1">(VLOOKUP(W83,[2]龙魂的投放!$G$17:$L$117,6,FALSE)+SUMIF(龙魂整图属性辅助表!$E$12:$E$17,H83,龙魂整图属性辅助表!$T$12:$T$17)/COUNTIF($H$6:$H$96,H83))/INDEX($C$1:$C$2,G83)</f>
        <v>7383.6015443419756</v>
      </c>
      <c r="Y83" s="1">
        <f t="shared" ca="1" si="45"/>
        <v>0.12408759124087587</v>
      </c>
      <c r="Z83" s="1">
        <f t="shared" ref="Z83:Z84" ca="1" si="54">AE83</f>
        <v>1008</v>
      </c>
      <c r="AA83" s="1">
        <f t="shared" ca="1" si="46"/>
        <v>8.058823529411768</v>
      </c>
      <c r="AB83" s="18">
        <f t="shared" ca="1" si="47"/>
        <v>11</v>
      </c>
      <c r="AC83" s="1">
        <f t="shared" ca="1" si="48"/>
        <v>11088</v>
      </c>
      <c r="AD83" s="21">
        <f t="shared" ca="1" si="49"/>
        <v>4</v>
      </c>
      <c r="AE83" s="21">
        <f t="shared" ca="1" si="50"/>
        <v>1008</v>
      </c>
      <c r="AF83">
        <v>2.66</v>
      </c>
      <c r="AG83">
        <f t="shared" si="40"/>
        <v>21.96</v>
      </c>
      <c r="AH83" s="1">
        <v>1.5</v>
      </c>
      <c r="AI83" s="1"/>
      <c r="AJ83" s="1"/>
      <c r="AK83" s="1"/>
      <c r="AL83" s="1"/>
      <c r="AM83" s="1"/>
      <c r="AN83" s="1"/>
      <c r="AO83" s="1"/>
      <c r="AY83" s="1">
        <v>2034</v>
      </c>
      <c r="AZ83" s="1" t="s">
        <v>103</v>
      </c>
      <c r="BA83" s="1">
        <v>6</v>
      </c>
      <c r="BB83" s="1">
        <v>2033</v>
      </c>
      <c r="BC83" s="1">
        <v>34</v>
      </c>
      <c r="BD83" s="1">
        <v>2</v>
      </c>
      <c r="BE83" s="1">
        <v>1005</v>
      </c>
      <c r="BF83" s="1">
        <v>75</v>
      </c>
      <c r="BG83" s="1">
        <v>0</v>
      </c>
      <c r="BH83" s="1">
        <v>0</v>
      </c>
      <c r="BI83" s="1">
        <v>0</v>
      </c>
      <c r="BJ83" s="1">
        <v>1588.2042745029105</v>
      </c>
      <c r="BK83" s="1">
        <v>0</v>
      </c>
      <c r="BL83" s="1">
        <v>0</v>
      </c>
      <c r="BM83" s="1">
        <v>0</v>
      </c>
      <c r="BN83" s="1">
        <v>0</v>
      </c>
      <c r="BO83" s="1">
        <v>1</v>
      </c>
      <c r="BP83" s="1" t="s">
        <v>93</v>
      </c>
      <c r="BQ83" s="1">
        <v>1588</v>
      </c>
      <c r="BR83" s="1"/>
      <c r="BS83" s="1">
        <v>257.90437946018096</v>
      </c>
      <c r="BT83" s="1">
        <v>4464.7692146480604</v>
      </c>
      <c r="BU83" s="1"/>
      <c r="BV83" s="1">
        <v>2304</v>
      </c>
      <c r="BX83" s="1"/>
      <c r="BY83" s="1"/>
      <c r="BZ83" s="1"/>
      <c r="CA83" s="1">
        <v>1.5</v>
      </c>
      <c r="CB83" s="1"/>
      <c r="CC83" s="1"/>
      <c r="CD83" s="1"/>
      <c r="CE83" s="1"/>
    </row>
    <row r="84" spans="1:83">
      <c r="A84">
        <v>79</v>
      </c>
      <c r="B84" s="1">
        <f t="shared" ca="1" si="41"/>
        <v>2035</v>
      </c>
      <c r="C84" s="1" t="s">
        <v>14</v>
      </c>
      <c r="D84" s="1">
        <v>6</v>
      </c>
      <c r="E84" s="1">
        <f t="shared" ca="1" si="53"/>
        <v>2034</v>
      </c>
      <c r="F84" s="1">
        <f ca="1">SUMIF($G$6:G84,G84,$G$6:$G$78)/G84</f>
        <v>35</v>
      </c>
      <c r="G84" s="1">
        <v>2</v>
      </c>
      <c r="H84" s="1">
        <v>1005</v>
      </c>
      <c r="I84" s="1">
        <f t="shared" ca="1" si="42"/>
        <v>74</v>
      </c>
      <c r="J84" s="1">
        <f>VLOOKUP($J$3,[1]!龙魂分图属性,J$4,FALSE)*(AH84*$AG84)/IF(SUMPRODUCT(AH$6:AH$96*$AG$6:$AG$96)=0,1,SUMPRODUCT(AH$6:AH$96*$AG$6:$AG$96))</f>
        <v>0</v>
      </c>
      <c r="K84" s="1">
        <f>VLOOKUP($J$3,[1]!龙魂分图属性,K$4,FALSE)*(AI84*$AG84)/IF(SUMPRODUCT(AI$6:AI$96*$AG$6:$AG$96)=0,1,SUMPRODUCT(AI$6:AI$96*$AG$6:$AG$96))</f>
        <v>0</v>
      </c>
      <c r="L84" s="1">
        <f>VLOOKUP($J$3,[1]!龙魂分图属性,L$4,FALSE)*(AJ84*$AG84)/IF(SUMPRODUCT(AJ$6:AJ$96*$AG$6:$AG$96)=0,1,SUMPRODUCT(AJ$6:AJ$96*$AG$6:$AG$96))</f>
        <v>0</v>
      </c>
      <c r="M84" s="1">
        <f>VLOOKUP($J$3,[1]!龙魂分图属性,M$4,FALSE)*(AK84*$AG84)/IF(SUMPRODUCT(AK$6:AK$96*$AG$6:$AG$96)=0,1,SUMPRODUCT(AK$6:AK$96*$AG$6:$AG$96))</f>
        <v>3203.216683660708</v>
      </c>
      <c r="N84" s="1">
        <f>VLOOKUP($J$3,[1]!龙魂分图属性,N$4,FALSE)*(AL84*$AG84)/IF(SUMPRODUCT(AL$6:AL$96*$AG$6:$AG$96)=0,1,SUMPRODUCT(AL$6:AL$96*$AG$6:$AG$96))</f>
        <v>0</v>
      </c>
      <c r="O84" s="1">
        <f>VLOOKUP($J$3,[1]!龙魂分图属性,O$4,FALSE)*(AM84*$AG84)/IF(SUMPRODUCT(AM$6:AM$96*$AG$6:$AG$96)=0,1,SUMPRODUCT(AM$6:AM$96*$AG$6:$AG$96))</f>
        <v>0</v>
      </c>
      <c r="P84" s="1">
        <f>VLOOKUP($J$3,[1]!龙魂分图属性,P$4,FALSE)*(AN84*$AG84)/IF(SUMPRODUCT(AN$6:AN$96*$AG$6:$AG$96)=0,1,SUMPRODUCT(AN$6:AN$96*$AG$6:$AG$96))</f>
        <v>0</v>
      </c>
      <c r="Q84" s="1">
        <f>VLOOKUP($J$3,[1]!龙魂分图属性,Q$4,FALSE)*(AO84*$AG84)/IF(SUMPRODUCT(AO$6:AO$96*$AG$6:$AG$96)=0,1,SUMPRODUCT(AO$6:AO$96*$AG$6:$AG$96))</f>
        <v>0</v>
      </c>
      <c r="R84" s="1">
        <f t="shared" si="37"/>
        <v>1</v>
      </c>
      <c r="S84" s="1" t="str">
        <f t="array" aca="1" ref="S84" ca="1">OFFSET($I$5,0,MATCH(1,1/(J84:Q84&gt;0),0))</f>
        <v>闪避值</v>
      </c>
      <c r="T84" s="1">
        <f t="shared" si="38"/>
        <v>3203</v>
      </c>
      <c r="U84" s="1">
        <f t="shared" ca="1" si="43"/>
        <v>0.14081447027846064</v>
      </c>
      <c r="V84" s="19">
        <f t="shared" si="39"/>
        <v>1089.0936724446408</v>
      </c>
      <c r="W84" s="18">
        <f t="shared" ca="1" si="44"/>
        <v>77</v>
      </c>
      <c r="X84" s="1">
        <f ca="1">(VLOOKUP(W84,[2]龙魂的投放!$G$17:$L$117,6,FALSE)+SUMIF(龙魂整图属性辅助表!$E$12:$E$17,H84,龙魂整图属性辅助表!$T$12:$T$17)/COUNTIF($H$6:$H$96,H84))/INDEX($C$1:$C$2,G84)</f>
        <v>7734.2454244294486</v>
      </c>
      <c r="Y84" s="1">
        <f t="shared" ca="1" si="45"/>
        <v>0.11409395973154357</v>
      </c>
      <c r="Z84" s="1">
        <f t="shared" ca="1" si="54"/>
        <v>1015</v>
      </c>
      <c r="AA84" s="1">
        <f t="shared" ca="1" si="46"/>
        <v>8.7647058823529456</v>
      </c>
      <c r="AB84" s="18">
        <f t="shared" ca="1" si="47"/>
        <v>11</v>
      </c>
      <c r="AC84" s="1">
        <f t="shared" ca="1" si="48"/>
        <v>11165</v>
      </c>
      <c r="AD84" s="21">
        <f t="shared" ca="1" si="49"/>
        <v>5</v>
      </c>
      <c r="AE84" s="21">
        <f t="shared" ca="1" si="50"/>
        <v>1015</v>
      </c>
      <c r="AF84">
        <v>2.7</v>
      </c>
      <c r="AG84">
        <f t="shared" si="40"/>
        <v>22.200000000000003</v>
      </c>
      <c r="AH84" s="1"/>
      <c r="AI84" s="1"/>
      <c r="AJ84" s="1"/>
      <c r="AK84" s="1">
        <v>1.5</v>
      </c>
      <c r="AL84" s="1"/>
      <c r="AM84" s="1"/>
      <c r="AN84" s="1"/>
      <c r="AO84" s="1"/>
      <c r="AY84" s="1">
        <v>2035</v>
      </c>
      <c r="AZ84" s="1" t="s">
        <v>14</v>
      </c>
      <c r="BA84" s="1">
        <v>6</v>
      </c>
      <c r="BB84" s="1">
        <v>2034</v>
      </c>
      <c r="BC84" s="1">
        <v>35</v>
      </c>
      <c r="BD84" s="1">
        <v>2</v>
      </c>
      <c r="BE84" s="1">
        <v>1005</v>
      </c>
      <c r="BF84" s="1">
        <v>76</v>
      </c>
      <c r="BG84" s="1">
        <v>0</v>
      </c>
      <c r="BH84" s="1">
        <v>0</v>
      </c>
      <c r="BI84" s="1">
        <v>241.16697605961804</v>
      </c>
      <c r="BJ84" s="1">
        <v>0</v>
      </c>
      <c r="BK84" s="1">
        <v>0</v>
      </c>
      <c r="BL84" s="1">
        <v>0</v>
      </c>
      <c r="BM84" s="1">
        <v>0</v>
      </c>
      <c r="BN84" s="1">
        <v>0</v>
      </c>
      <c r="BO84" s="1">
        <v>1</v>
      </c>
      <c r="BP84" s="1" t="s">
        <v>92</v>
      </c>
      <c r="BQ84" s="1">
        <v>241</v>
      </c>
      <c r="BR84" s="1"/>
      <c r="BS84" s="1">
        <v>241.16697605961804</v>
      </c>
      <c r="BT84" s="1">
        <v>4914.6351816651322</v>
      </c>
      <c r="BU84" s="1"/>
      <c r="BV84" s="1">
        <v>2322</v>
      </c>
      <c r="BX84" s="1"/>
      <c r="BY84" s="1"/>
      <c r="BZ84" s="1">
        <v>1.5</v>
      </c>
      <c r="CA84" s="1"/>
      <c r="CB84" s="1"/>
      <c r="CC84" s="1"/>
      <c r="CD84" s="1"/>
      <c r="CE84" s="1"/>
    </row>
    <row r="85" spans="1:83">
      <c r="A85">
        <v>80</v>
      </c>
      <c r="B85" s="1">
        <f t="shared" ca="1" si="41"/>
        <v>1045</v>
      </c>
      <c r="C85" s="1" t="s">
        <v>15</v>
      </c>
      <c r="D85" s="1">
        <v>6</v>
      </c>
      <c r="E85" s="1">
        <v>1044</v>
      </c>
      <c r="F85" s="1">
        <f ca="1">SUMIF($G$6:G85,G85,$G$6:$G$78)/G85</f>
        <v>45</v>
      </c>
      <c r="G85" s="1">
        <v>1</v>
      </c>
      <c r="H85" s="1">
        <v>1005</v>
      </c>
      <c r="I85" s="1">
        <f t="shared" ca="1" si="42"/>
        <v>75</v>
      </c>
      <c r="J85" s="1">
        <f>VLOOKUP($J$3,[1]!龙魂分图属性,J$4,FALSE)*(AH85*$AG85)/IF(SUMPRODUCT(AH$6:AH$96*$AG$6:$AG$96)=0,1,SUMPRODUCT(AH$6:AH$96*$AG$6:$AG$96))</f>
        <v>21016.355140655342</v>
      </c>
      <c r="K85" s="1">
        <f>VLOOKUP($J$3,[1]!龙魂分图属性,K$4,FALSE)*(AI85*$AG85)/IF(SUMPRODUCT(AI$6:AI$96*$AG$6:$AG$96)=0,1,SUMPRODUCT(AI$6:AI$96*$AG$6:$AG$96))</f>
        <v>0</v>
      </c>
      <c r="L85" s="1">
        <f>VLOOKUP($J$3,[1]!龙魂分图属性,L$4,FALSE)*(AJ85*$AG85)/IF(SUMPRODUCT(AJ$6:AJ$96*$AG$6:$AG$96)=0,1,SUMPRODUCT(AJ$6:AJ$96*$AG$6:$AG$96))</f>
        <v>0</v>
      </c>
      <c r="M85" s="1">
        <f>VLOOKUP($J$3,[1]!龙魂分图属性,M$4,FALSE)*(AK85*$AG85)/IF(SUMPRODUCT(AK$6:AK$96*$AG$6:$AG$96)=0,1,SUMPRODUCT(AK$6:AK$96*$AG$6:$AG$96))</f>
        <v>0</v>
      </c>
      <c r="N85" s="1">
        <f>VLOOKUP($J$3,[1]!龙魂分图属性,N$4,FALSE)*(AL85*$AG85)/IF(SUMPRODUCT(AL$6:AL$96*$AG$6:$AG$96)=0,1,SUMPRODUCT(AL$6:AL$96*$AG$6:$AG$96))</f>
        <v>0</v>
      </c>
      <c r="O85" s="1">
        <f>VLOOKUP($J$3,[1]!龙魂分图属性,O$4,FALSE)*(AM85*$AG85)/IF(SUMPRODUCT(AM$6:AM$96*$AG$6:$AG$96)=0,1,SUMPRODUCT(AM$6:AM$96*$AG$6:$AG$96))</f>
        <v>0</v>
      </c>
      <c r="P85" s="1">
        <f>VLOOKUP($J$3,[1]!龙魂分图属性,P$4,FALSE)*(AN85*$AG85)/IF(SUMPRODUCT(AN$6:AN$96*$AG$6:$AG$96)=0,1,SUMPRODUCT(AN$6:AN$96*$AG$6:$AG$96))</f>
        <v>0</v>
      </c>
      <c r="Q85" s="1">
        <f>VLOOKUP($J$3,[1]!龙魂分图属性,Q$4,FALSE)*(AO85*$AG85)/IF(SUMPRODUCT(AO$6:AO$96*$AG$6:$AG$96)=0,1,SUMPRODUCT(AO$6:AO$96*$AG$6:$AG$96))</f>
        <v>0</v>
      </c>
      <c r="R85" s="1">
        <f t="shared" si="37"/>
        <v>1</v>
      </c>
      <c r="S85" s="1" t="str">
        <f t="array" aca="1" ref="S85" ca="1">OFFSET($I$5,0,MATCH(1,1/(J85:Q85&gt;0),0))</f>
        <v>生命</v>
      </c>
      <c r="T85" s="1">
        <f t="shared" si="38"/>
        <v>21016</v>
      </c>
      <c r="U85" s="1">
        <f t="shared" ca="1" si="43"/>
        <v>0.2386180376839756</v>
      </c>
      <c r="V85" s="19">
        <f t="shared" si="39"/>
        <v>840.65420562621364</v>
      </c>
      <c r="W85" s="18">
        <f t="shared" ca="1" si="44"/>
        <v>75</v>
      </c>
      <c r="X85" s="1">
        <f ca="1">(VLOOKUP(W85,[2]龙魂的投放!$G$17:$L$117,6,FALSE)+SUMIF(龙魂整图属性辅助表!$E$12:$E$17,H85,龙魂整图属性辅助表!$T$12:$T$17)/COUNTIF($H$6:$H$96,H85))/INDEX($C$1:$C$2,G85)</f>
        <v>3523.0119809281618</v>
      </c>
      <c r="Y85" s="1">
        <f t="shared" ca="1" si="45"/>
        <v>0.18644067796610164</v>
      </c>
      <c r="Z85" s="1">
        <f t="shared" ca="1" si="52"/>
        <v>687</v>
      </c>
      <c r="AA85" s="1">
        <f t="shared" ca="1" si="46"/>
        <v>5.3636363636363651</v>
      </c>
      <c r="AB85" s="18">
        <f t="shared" ca="1" si="47"/>
        <v>7</v>
      </c>
      <c r="AC85" s="1">
        <f t="shared" ca="1" si="48"/>
        <v>4809</v>
      </c>
      <c r="AD85" s="21">
        <f t="shared" ca="1" si="49"/>
        <v>3</v>
      </c>
      <c r="AE85" s="21">
        <f t="shared" ca="1" si="50"/>
        <v>690</v>
      </c>
      <c r="AF85">
        <v>2.74</v>
      </c>
      <c r="AG85">
        <f t="shared" si="40"/>
        <v>22.44</v>
      </c>
      <c r="AH85" s="1">
        <v>1</v>
      </c>
      <c r="AI85" s="1"/>
      <c r="AJ85" s="1"/>
      <c r="AK85" s="1"/>
      <c r="AL85" s="1"/>
      <c r="AM85" s="1"/>
      <c r="AN85" s="1"/>
      <c r="AO85" s="1"/>
      <c r="AY85" s="1">
        <v>1045</v>
      </c>
      <c r="AZ85" s="1" t="s">
        <v>15</v>
      </c>
      <c r="BA85" s="1">
        <v>6</v>
      </c>
      <c r="BB85" s="1">
        <v>1044</v>
      </c>
      <c r="BC85" s="1">
        <v>45</v>
      </c>
      <c r="BD85" s="1">
        <v>1</v>
      </c>
      <c r="BE85" s="1">
        <v>1005</v>
      </c>
      <c r="BF85" s="1">
        <v>74</v>
      </c>
      <c r="BG85" s="1">
        <v>0</v>
      </c>
      <c r="BH85" s="1">
        <v>294.56287468551363</v>
      </c>
      <c r="BI85" s="1">
        <v>0</v>
      </c>
      <c r="BJ85" s="1">
        <v>0</v>
      </c>
      <c r="BK85" s="1">
        <v>0</v>
      </c>
      <c r="BL85" s="1">
        <v>0</v>
      </c>
      <c r="BM85" s="1">
        <v>0</v>
      </c>
      <c r="BN85" s="1">
        <v>0</v>
      </c>
      <c r="BO85" s="1">
        <v>1</v>
      </c>
      <c r="BP85" s="1" t="s">
        <v>91</v>
      </c>
      <c r="BQ85" s="1">
        <v>295</v>
      </c>
      <c r="BR85" s="1"/>
      <c r="BS85" s="1">
        <v>294.56287468551363</v>
      </c>
      <c r="BT85" s="1">
        <v>2028.0410857795498</v>
      </c>
      <c r="BU85" s="1"/>
      <c r="BV85" s="1">
        <v>1560.0000000000002</v>
      </c>
      <c r="BX85" s="1"/>
      <c r="BY85" s="1">
        <v>1</v>
      </c>
      <c r="BZ85" s="1"/>
      <c r="CA85" s="1"/>
      <c r="CB85" s="1"/>
      <c r="CC85" s="1"/>
      <c r="CD85" s="1"/>
      <c r="CE85" s="1"/>
    </row>
    <row r="86" spans="1:83">
      <c r="A86">
        <v>81</v>
      </c>
      <c r="B86" s="1">
        <f t="shared" ca="1" si="41"/>
        <v>2036</v>
      </c>
      <c r="C86" s="1" t="s">
        <v>16</v>
      </c>
      <c r="D86" s="1">
        <v>6</v>
      </c>
      <c r="E86" s="1">
        <f t="shared" ca="1" si="53"/>
        <v>1045</v>
      </c>
      <c r="F86" s="1">
        <f ca="1">SUMIF($G$6:G86,G86,$G$6:$G$78)/G86</f>
        <v>36</v>
      </c>
      <c r="G86" s="1">
        <v>2</v>
      </c>
      <c r="H86" s="1">
        <v>1005</v>
      </c>
      <c r="I86" s="1">
        <f t="shared" ca="1" si="42"/>
        <v>75</v>
      </c>
      <c r="J86" s="1">
        <f>VLOOKUP($J$3,[1]!龙魂分图属性,J$4,FALSE)*(AH86*$AG86)/IF(SUMPRODUCT(AH$6:AH$96*$AG$6:$AG$96)=0,1,SUMPRODUCT(AH$6:AH$96*$AG$6:$AG$96))</f>
        <v>0</v>
      </c>
      <c r="K86" s="1">
        <f>VLOOKUP($J$3,[1]!龙魂分图属性,K$4,FALSE)*(AI86*$AG86)/IF(SUMPRODUCT(AI$6:AI$96*$AG$6:$AG$96)=0,1,SUMPRODUCT(AI$6:AI$96*$AG$6:$AG$96))</f>
        <v>1168.5103769469681</v>
      </c>
      <c r="L86" s="1">
        <f>VLOOKUP($J$3,[1]!龙魂分图属性,L$4,FALSE)*(AJ86*$AG86)/IF(SUMPRODUCT(AJ$6:AJ$96*$AG$6:$AG$96)=0,1,SUMPRODUCT(AJ$6:AJ$96*$AG$6:$AG$96))</f>
        <v>0</v>
      </c>
      <c r="M86" s="1">
        <f>VLOOKUP($J$3,[1]!龙魂分图属性,M$4,FALSE)*(AK86*$AG86)/IF(SUMPRODUCT(AK$6:AK$96*$AG$6:$AG$96)=0,1,SUMPRODUCT(AK$6:AK$96*$AG$6:$AG$96))</f>
        <v>0</v>
      </c>
      <c r="N86" s="1">
        <f>VLOOKUP($J$3,[1]!龙魂分图属性,N$4,FALSE)*(AL86*$AG86)/IF(SUMPRODUCT(AL$6:AL$96*$AG$6:$AG$96)=0,1,SUMPRODUCT(AL$6:AL$96*$AG$6:$AG$96))</f>
        <v>0</v>
      </c>
      <c r="O86" s="1">
        <f>VLOOKUP($J$3,[1]!龙魂分图属性,O$4,FALSE)*(AM86*$AG86)/IF(SUMPRODUCT(AM$6:AM$96*$AG$6:$AG$96)=0,1,SUMPRODUCT(AM$6:AM$96*$AG$6:$AG$96))</f>
        <v>0</v>
      </c>
      <c r="P86" s="1">
        <f>VLOOKUP($J$3,[1]!龙魂分图属性,P$4,FALSE)*(AN86*$AG86)/IF(SUMPRODUCT(AN$6:AN$96*$AG$6:$AG$96)=0,1,SUMPRODUCT(AN$6:AN$96*$AG$6:$AG$96))</f>
        <v>0</v>
      </c>
      <c r="Q86" s="1">
        <f>VLOOKUP($J$3,[1]!龙魂分图属性,Q$4,FALSE)*(AO86*$AG86)/IF(SUMPRODUCT(AO$6:AO$96*$AG$6:$AG$96)=0,1,SUMPRODUCT(AO$6:AO$96*$AG$6:$AG$96))</f>
        <v>0</v>
      </c>
      <c r="R86" s="1">
        <f t="shared" si="37"/>
        <v>1</v>
      </c>
      <c r="S86" s="1" t="str">
        <f t="array" aca="1" ref="S86" ca="1">OFFSET($I$5,0,MATCH(1,1/(J86:Q86&gt;0),0))</f>
        <v>攻击</v>
      </c>
      <c r="T86" s="1">
        <f t="shared" si="38"/>
        <v>1169</v>
      </c>
      <c r="U86" s="1">
        <f t="shared" ca="1" si="43"/>
        <v>0.15825750752251697</v>
      </c>
      <c r="V86" s="19">
        <f t="shared" si="39"/>
        <v>1168.5103769469681</v>
      </c>
      <c r="W86" s="18">
        <f t="shared" ca="1" si="44"/>
        <v>76</v>
      </c>
      <c r="X86" s="1">
        <f ca="1">(VLOOKUP(W86,[2]龙魂的投放!$G$17:$L$117,6,FALSE)+SUMIF(龙魂整图属性辅助表!$E$12:$E$17,H86,龙魂整图属性辅助表!$T$12:$T$17)/COUNTIF($H$6:$H$96,H86))/INDEX($C$1:$C$2,G86)</f>
        <v>7383.6015443419756</v>
      </c>
      <c r="Y86" s="1">
        <f t="shared" ca="1" si="45"/>
        <v>0.12408759124087587</v>
      </c>
      <c r="Z86" s="1">
        <f ca="1">AE86</f>
        <v>1008</v>
      </c>
      <c r="AA86" s="1">
        <f t="shared" ca="1" si="46"/>
        <v>8.058823529411768</v>
      </c>
      <c r="AB86" s="18">
        <f t="shared" ca="1" si="47"/>
        <v>11</v>
      </c>
      <c r="AC86" s="1">
        <f t="shared" ca="1" si="48"/>
        <v>11088</v>
      </c>
      <c r="AD86" s="21">
        <f t="shared" ca="1" si="49"/>
        <v>4</v>
      </c>
      <c r="AE86" s="21">
        <f t="shared" ca="1" si="50"/>
        <v>1008</v>
      </c>
      <c r="AF86">
        <v>2.78</v>
      </c>
      <c r="AG86">
        <f t="shared" si="40"/>
        <v>22.68</v>
      </c>
      <c r="AH86" s="1"/>
      <c r="AI86" s="1">
        <v>1.5</v>
      </c>
      <c r="AJ86" s="1"/>
      <c r="AK86" s="1"/>
      <c r="AL86" s="1"/>
      <c r="AM86" s="1"/>
      <c r="AN86" s="1"/>
      <c r="AO86" s="1"/>
      <c r="AY86" s="1">
        <v>2036</v>
      </c>
      <c r="AZ86" s="1" t="s">
        <v>16</v>
      </c>
      <c r="BA86" s="1">
        <v>6</v>
      </c>
      <c r="BB86" s="1">
        <v>1045</v>
      </c>
      <c r="BC86" s="1">
        <v>36</v>
      </c>
      <c r="BD86" s="1">
        <v>2</v>
      </c>
      <c r="BE86" s="1">
        <v>1005</v>
      </c>
      <c r="BF86" s="1">
        <v>75</v>
      </c>
      <c r="BG86" s="1">
        <v>17192.680215469885</v>
      </c>
      <c r="BH86" s="1">
        <v>0</v>
      </c>
      <c r="BI86" s="1">
        <v>0</v>
      </c>
      <c r="BJ86" s="1">
        <v>0</v>
      </c>
      <c r="BK86" s="1">
        <v>0</v>
      </c>
      <c r="BL86" s="1">
        <v>0</v>
      </c>
      <c r="BM86" s="1">
        <v>0</v>
      </c>
      <c r="BN86" s="1">
        <v>0</v>
      </c>
      <c r="BO86" s="1">
        <v>1</v>
      </c>
      <c r="BP86" s="1" t="s">
        <v>90</v>
      </c>
      <c r="BQ86" s="1">
        <v>17193</v>
      </c>
      <c r="BR86" s="1"/>
      <c r="BS86" s="1">
        <v>702.18159506987558</v>
      </c>
      <c r="BT86" s="1">
        <v>4464.7692146480604</v>
      </c>
      <c r="BU86" s="1"/>
      <c r="BV86" s="1">
        <v>2358</v>
      </c>
      <c r="BX86" s="1">
        <v>1.5</v>
      </c>
      <c r="BY86" s="1"/>
      <c r="BZ86" s="1"/>
      <c r="CA86" s="1"/>
      <c r="CB86" s="1"/>
      <c r="CC86" s="1"/>
      <c r="CD86" s="1"/>
      <c r="CE86" s="1"/>
    </row>
    <row r="87" spans="1:83">
      <c r="A87">
        <v>82</v>
      </c>
      <c r="B87" s="1">
        <f ca="1">G87*1000+F87</f>
        <v>2037</v>
      </c>
      <c r="C87" s="1" t="s">
        <v>17</v>
      </c>
      <c r="D87" s="1">
        <v>6</v>
      </c>
      <c r="E87" s="1">
        <v>1045</v>
      </c>
      <c r="F87" s="1">
        <f ca="1">SUMIF($G$6:G87,G87,$G$6:$G$78)/G87</f>
        <v>37</v>
      </c>
      <c r="G87" s="1">
        <v>2</v>
      </c>
      <c r="H87" s="1">
        <v>1005</v>
      </c>
      <c r="I87" s="1">
        <f t="shared" ca="1" si="42"/>
        <v>75</v>
      </c>
      <c r="J87" s="1">
        <f>VLOOKUP($J$3,[1]!龙魂分图属性,J$4,FALSE)*(AH87*$AG87)/IF(SUMPRODUCT(AH$6:AH$96*$AG$6:$AG$96)=0,1,SUMPRODUCT(AH$6:AH$96*$AG$6:$AG$96))</f>
        <v>0</v>
      </c>
      <c r="K87" s="1">
        <f>VLOOKUP($J$3,[1]!龙魂分图属性,K$4,FALSE)*(AI87*$AG87)/IF(SUMPRODUCT(AI$6:AI$96*$AG$6:$AG$96)=0,1,SUMPRODUCT(AI$6:AI$96*$AG$6:$AG$96))</f>
        <v>0</v>
      </c>
      <c r="L87" s="1">
        <f>VLOOKUP($J$3,[1]!龙魂分图属性,L$4,FALSE)*(AJ87*$AG87)/IF(SUMPRODUCT(AJ$6:AJ$96*$AG$6:$AG$96)=0,1,SUMPRODUCT(AJ$6:AJ$96*$AG$6:$AG$96))</f>
        <v>1170.226648453496</v>
      </c>
      <c r="M87" s="1">
        <f>VLOOKUP($J$3,[1]!龙魂分图属性,M$4,FALSE)*(AK87*$AG87)/IF(SUMPRODUCT(AK$6:AK$96*$AG$6:$AG$96)=0,1,SUMPRODUCT(AK$6:AK$96*$AG$6:$AG$96))</f>
        <v>0</v>
      </c>
      <c r="N87" s="1">
        <f>VLOOKUP($J$3,[1]!龙魂分图属性,N$4,FALSE)*(AL87*$AG87)/IF(SUMPRODUCT(AL$6:AL$96*$AG$6:$AG$96)=0,1,SUMPRODUCT(AL$6:AL$96*$AG$6:$AG$96))</f>
        <v>0</v>
      </c>
      <c r="O87" s="1">
        <f>VLOOKUP($J$3,[1]!龙魂分图属性,O$4,FALSE)*(AM87*$AG87)/IF(SUMPRODUCT(AM$6:AM$96*$AG$6:$AG$96)=0,1,SUMPRODUCT(AM$6:AM$96*$AG$6:$AG$96))</f>
        <v>0</v>
      </c>
      <c r="P87" s="1">
        <f>VLOOKUP($J$3,[1]!龙魂分图属性,P$4,FALSE)*(AN87*$AG87)/IF(SUMPRODUCT(AN$6:AN$96*$AG$6:$AG$96)=0,1,SUMPRODUCT(AN$6:AN$96*$AG$6:$AG$96))</f>
        <v>0</v>
      </c>
      <c r="Q87" s="1">
        <f>VLOOKUP($J$3,[1]!龙魂分图属性,Q$4,FALSE)*(AO87*$AG87)/IF(SUMPRODUCT(AO$6:AO$96*$AG$6:$AG$96)=0,1,SUMPRODUCT(AO$6:AO$96*$AG$6:$AG$96))</f>
        <v>0</v>
      </c>
      <c r="R87" s="1">
        <f>COUNTIF(J87:Q87,"&gt;0")</f>
        <v>1</v>
      </c>
      <c r="S87" s="1" t="str">
        <f t="array" aca="1" ref="S87" ca="1">OFFSET($I$5,0,MATCH(1,1/(J87:Q87&gt;0),0))</f>
        <v>防御</v>
      </c>
      <c r="T87" s="1">
        <f>ROUND(SUM(J87:Q87),0)</f>
        <v>1170</v>
      </c>
      <c r="U87" s="1">
        <f t="shared" ca="1" si="43"/>
        <v>0.15848995120142093</v>
      </c>
      <c r="V87" s="19">
        <f t="shared" si="39"/>
        <v>1170.226648453496</v>
      </c>
      <c r="W87" s="18">
        <f t="shared" ca="1" si="44"/>
        <v>76</v>
      </c>
      <c r="X87" s="1">
        <f ca="1">(VLOOKUP(W87,[2]龙魂的投放!$G$17:$L$117,6,FALSE)+SUMIF(龙魂整图属性辅助表!$E$12:$E$17,H87,龙魂整图属性辅助表!$T$12:$T$17)/COUNTIF($H$6:$H$96,H87))/INDEX($C$1:$C$2,G87)</f>
        <v>7383.6015443419756</v>
      </c>
      <c r="Y87" s="1">
        <f t="shared" ca="1" si="45"/>
        <v>0.12408759124087587</v>
      </c>
      <c r="Z87" s="1">
        <f t="shared" ref="Z87:Z91" ca="1" si="55">AE87</f>
        <v>1008</v>
      </c>
      <c r="AA87" s="1">
        <f t="shared" ca="1" si="46"/>
        <v>8.058823529411768</v>
      </c>
      <c r="AB87" s="18">
        <f t="shared" ca="1" si="47"/>
        <v>11</v>
      </c>
      <c r="AC87" s="1">
        <f t="shared" ca="1" si="48"/>
        <v>11088</v>
      </c>
      <c r="AD87" s="21">
        <f t="shared" ca="1" si="49"/>
        <v>4</v>
      </c>
      <c r="AE87" s="21">
        <f t="shared" ca="1" si="50"/>
        <v>1008</v>
      </c>
      <c r="AF87">
        <v>2.82</v>
      </c>
      <c r="AG87">
        <f t="shared" si="40"/>
        <v>22.919999999999998</v>
      </c>
      <c r="AH87" s="1"/>
      <c r="AI87" s="1"/>
      <c r="AJ87" s="1">
        <v>1.5</v>
      </c>
      <c r="AK87" s="1"/>
      <c r="AL87" s="1"/>
      <c r="AM87" s="1"/>
      <c r="AN87" s="1"/>
      <c r="AO87" s="1"/>
      <c r="AY87" s="1">
        <v>2037</v>
      </c>
      <c r="AZ87" s="1" t="s">
        <v>17</v>
      </c>
      <c r="BA87" s="1">
        <v>6</v>
      </c>
      <c r="BB87" s="1">
        <v>2036</v>
      </c>
      <c r="BC87" s="1">
        <v>37</v>
      </c>
      <c r="BD87" s="1">
        <v>2</v>
      </c>
      <c r="BE87" s="1">
        <v>1005</v>
      </c>
      <c r="BF87" s="1">
        <v>76</v>
      </c>
      <c r="BG87" s="1">
        <v>0</v>
      </c>
      <c r="BH87" s="1">
        <v>448.64191682870535</v>
      </c>
      <c r="BI87" s="1">
        <v>0</v>
      </c>
      <c r="BJ87" s="1">
        <v>0</v>
      </c>
      <c r="BK87" s="1">
        <v>0</v>
      </c>
      <c r="BL87" s="1">
        <v>0</v>
      </c>
      <c r="BM87" s="1">
        <v>0</v>
      </c>
      <c r="BN87" s="1">
        <v>0</v>
      </c>
      <c r="BO87" s="1">
        <v>1</v>
      </c>
      <c r="BP87" s="1" t="s">
        <v>91</v>
      </c>
      <c r="BQ87" s="1">
        <v>449</v>
      </c>
      <c r="BR87" s="1"/>
      <c r="BS87" s="1">
        <v>448.64191682870535</v>
      </c>
      <c r="BT87" s="1">
        <v>4914.6351816651322</v>
      </c>
      <c r="BU87" s="1"/>
      <c r="BV87" s="1">
        <v>2376</v>
      </c>
      <c r="BX87" s="1"/>
      <c r="BY87" s="1">
        <v>1.5</v>
      </c>
      <c r="BZ87" s="1"/>
      <c r="CA87" s="1"/>
      <c r="CB87" s="1"/>
      <c r="CC87" s="1"/>
      <c r="CD87" s="1"/>
      <c r="CE87" s="1"/>
    </row>
    <row r="88" spans="1:83">
      <c r="A88">
        <v>83</v>
      </c>
      <c r="B88" s="1">
        <f ca="1">G88*1000+F88</f>
        <v>2038</v>
      </c>
      <c r="C88" s="1" t="s">
        <v>18</v>
      </c>
      <c r="D88" s="1">
        <v>6</v>
      </c>
      <c r="E88" s="1">
        <f ca="1">B87</f>
        <v>2037</v>
      </c>
      <c r="F88" s="1">
        <f ca="1">SUMIF($G$6:G88,G88,$G$6:$G$78)/G88</f>
        <v>38</v>
      </c>
      <c r="G88" s="1">
        <v>2</v>
      </c>
      <c r="H88" s="1">
        <v>1005</v>
      </c>
      <c r="I88" s="1">
        <f t="shared" ca="1" si="42"/>
        <v>75</v>
      </c>
      <c r="J88" s="1">
        <f>VLOOKUP($J$3,[1]!龙魂分图属性,J$4,FALSE)*(AH88*$AG88)/IF(SUMPRODUCT(AH$6:AH$96*$AG$6:$AG$96)=0,1,SUMPRODUCT(AH$6:AH$96*$AG$6:$AG$96))</f>
        <v>32536.015043955729</v>
      </c>
      <c r="K88" s="1">
        <f>VLOOKUP($J$3,[1]!龙魂分图属性,K$4,FALSE)*(AI88*$AG88)/IF(SUMPRODUCT(AI$6:AI$96*$AG$6:$AG$96)=0,1,SUMPRODUCT(AI$6:AI$96*$AG$6:$AG$96))</f>
        <v>0</v>
      </c>
      <c r="L88" s="1">
        <f>VLOOKUP($J$3,[1]!龙魂分图属性,L$4,FALSE)*(AJ88*$AG88)/IF(SUMPRODUCT(AJ$6:AJ$96*$AG$6:$AG$96)=0,1,SUMPRODUCT(AJ$6:AJ$96*$AG$6:$AG$96))</f>
        <v>0</v>
      </c>
      <c r="M88" s="1">
        <f>VLOOKUP($J$3,[1]!龙魂分图属性,M$4,FALSE)*(AK88*$AG88)/IF(SUMPRODUCT(AK$6:AK$96*$AG$6:$AG$96)=0,1,SUMPRODUCT(AK$6:AK$96*$AG$6:$AG$96))</f>
        <v>0</v>
      </c>
      <c r="N88" s="1">
        <f>VLOOKUP($J$3,[1]!龙魂分图属性,N$4,FALSE)*(AL88*$AG88)/IF(SUMPRODUCT(AL$6:AL$96*$AG$6:$AG$96)=0,1,SUMPRODUCT(AL$6:AL$96*$AG$6:$AG$96))</f>
        <v>0</v>
      </c>
      <c r="O88" s="1">
        <f>VLOOKUP($J$3,[1]!龙魂分图属性,O$4,FALSE)*(AM88*$AG88)/IF(SUMPRODUCT(AM$6:AM$96*$AG$6:$AG$96)=0,1,SUMPRODUCT(AM$6:AM$96*$AG$6:$AG$96))</f>
        <v>0</v>
      </c>
      <c r="P88" s="1">
        <f>VLOOKUP($J$3,[1]!龙魂分图属性,P$4,FALSE)*(AN88*$AG88)/IF(SUMPRODUCT(AN$6:AN$96*$AG$6:$AG$96)=0,1,SUMPRODUCT(AN$6:AN$96*$AG$6:$AG$96))</f>
        <v>0</v>
      </c>
      <c r="Q88" s="1">
        <f>VLOOKUP($J$3,[1]!龙魂分图属性,Q$4,FALSE)*(AO88*$AG88)/IF(SUMPRODUCT(AO$6:AO$96*$AG$6:$AG$96)=0,1,SUMPRODUCT(AO$6:AO$96*$AG$6:$AG$96))</f>
        <v>0</v>
      </c>
      <c r="R88" s="1">
        <f>COUNTIF(J88:Q88,"&gt;0")</f>
        <v>1</v>
      </c>
      <c r="S88" s="1" t="str">
        <f t="array" aca="1" ref="S88" ca="1">OFFSET($I$5,0,MATCH(1,1/(J88:Q88&gt;0),0))</f>
        <v>生命</v>
      </c>
      <c r="T88" s="1">
        <f>ROUND(SUM(J88:Q88),0)</f>
        <v>32536</v>
      </c>
      <c r="U88" s="1">
        <f t="shared" ca="1" si="43"/>
        <v>0.16826988676199603</v>
      </c>
      <c r="V88" s="19">
        <f t="shared" si="39"/>
        <v>1301.4406017582291</v>
      </c>
      <c r="W88" s="18">
        <f t="shared" ca="1" si="44"/>
        <v>77</v>
      </c>
      <c r="X88" s="1">
        <f ca="1">(VLOOKUP(W88,[2]龙魂的投放!$G$17:$L$117,6,FALSE)+SUMIF(龙魂整图属性辅助表!$E$12:$E$17,H88,龙魂整图属性辅助表!$T$12:$T$17)/COUNTIF($H$6:$H$96,H88))/INDEX($C$1:$C$2,G88)</f>
        <v>7734.2454244294486</v>
      </c>
      <c r="Y88" s="1">
        <f t="shared" ca="1" si="45"/>
        <v>0.11409395973154357</v>
      </c>
      <c r="Z88" s="1">
        <f t="shared" ca="1" si="55"/>
        <v>1015</v>
      </c>
      <c r="AA88" s="1">
        <f t="shared" ca="1" si="46"/>
        <v>8.7647058823529456</v>
      </c>
      <c r="AB88" s="18">
        <f t="shared" ca="1" si="47"/>
        <v>11</v>
      </c>
      <c r="AC88" s="1">
        <f t="shared" ca="1" si="48"/>
        <v>11165</v>
      </c>
      <c r="AD88" s="21">
        <f t="shared" ca="1" si="49"/>
        <v>5</v>
      </c>
      <c r="AE88" s="21">
        <f t="shared" ca="1" si="50"/>
        <v>1015</v>
      </c>
      <c r="AF88">
        <v>2.86</v>
      </c>
      <c r="AG88">
        <f t="shared" si="40"/>
        <v>23.16</v>
      </c>
      <c r="AH88" s="1">
        <v>1.5</v>
      </c>
      <c r="AI88" s="1"/>
      <c r="AJ88" s="1"/>
      <c r="AK88" s="1"/>
      <c r="AL88" s="1"/>
      <c r="AM88" s="1"/>
      <c r="AN88" s="1"/>
      <c r="AO88" s="1"/>
      <c r="AY88" s="1">
        <v>2038</v>
      </c>
      <c r="AZ88" s="1" t="s">
        <v>18</v>
      </c>
      <c r="BA88" s="1">
        <v>6</v>
      </c>
      <c r="BB88" s="1">
        <v>2037</v>
      </c>
      <c r="BC88" s="1">
        <v>38</v>
      </c>
      <c r="BD88" s="1">
        <v>2</v>
      </c>
      <c r="BE88" s="1">
        <v>1005</v>
      </c>
      <c r="BF88" s="1">
        <v>77</v>
      </c>
      <c r="BG88" s="1">
        <v>0</v>
      </c>
      <c r="BH88" s="1">
        <v>0</v>
      </c>
      <c r="BI88" s="1">
        <v>248.64502182890854</v>
      </c>
      <c r="BJ88" s="1">
        <v>0</v>
      </c>
      <c r="BK88" s="1">
        <v>0</v>
      </c>
      <c r="BL88" s="1">
        <v>0</v>
      </c>
      <c r="BM88" s="1">
        <v>0</v>
      </c>
      <c r="BN88" s="1">
        <v>0</v>
      </c>
      <c r="BO88" s="1">
        <v>1</v>
      </c>
      <c r="BP88" s="1" t="s">
        <v>92</v>
      </c>
      <c r="BQ88" s="1">
        <v>249</v>
      </c>
      <c r="BR88" s="1"/>
      <c r="BS88" s="1">
        <v>248.64502182890854</v>
      </c>
      <c r="BT88" s="1">
        <v>5409.8292224415891</v>
      </c>
      <c r="BU88" s="1"/>
      <c r="BV88" s="1">
        <v>2394</v>
      </c>
      <c r="BX88" s="1"/>
      <c r="BY88" s="1"/>
      <c r="BZ88" s="1">
        <v>1.5</v>
      </c>
      <c r="CA88" s="1"/>
      <c r="CB88" s="1"/>
      <c r="CC88" s="1"/>
      <c r="CD88" s="1"/>
      <c r="CE88" s="1"/>
    </row>
    <row r="89" spans="1:83">
      <c r="A89">
        <v>84</v>
      </c>
      <c r="B89" s="1">
        <f ca="1">G89*1000+F89</f>
        <v>2039</v>
      </c>
      <c r="C89" s="1" t="s">
        <v>19</v>
      </c>
      <c r="D89" s="1">
        <v>6</v>
      </c>
      <c r="E89" s="1">
        <f ca="1">B88</f>
        <v>2038</v>
      </c>
      <c r="F89" s="1">
        <f ca="1">SUMIF($G$6:G89,G89,$G$6:$G$78)/G89</f>
        <v>39</v>
      </c>
      <c r="G89" s="1">
        <v>2</v>
      </c>
      <c r="H89" s="1">
        <v>1005</v>
      </c>
      <c r="I89" s="1">
        <f t="shared" ca="1" si="42"/>
        <v>75</v>
      </c>
      <c r="J89" s="1">
        <f>VLOOKUP($J$3,[1]!龙魂分图属性,J$4,FALSE)*(AH89*$AG89)/IF(SUMPRODUCT(AH$6:AH$96*$AG$6:$AG$96)=0,1,SUMPRODUCT(AH$6:AH$96*$AG$6:$AG$96))</f>
        <v>0</v>
      </c>
      <c r="K89" s="1">
        <f>VLOOKUP($J$3,[1]!龙魂分图属性,K$4,FALSE)*(AI89*$AG89)/IF(SUMPRODUCT(AI$6:AI$96*$AG$6:$AG$96)=0,1,SUMPRODUCT(AI$6:AI$96*$AG$6:$AG$96))</f>
        <v>1205.6059444690939</v>
      </c>
      <c r="L89" s="1">
        <f>VLOOKUP($J$3,[1]!龙魂分图属性,L$4,FALSE)*(AJ89*$AG89)/IF(SUMPRODUCT(AJ$6:AJ$96*$AG$6:$AG$96)=0,1,SUMPRODUCT(AJ$6:AJ$96*$AG$6:$AG$96))</f>
        <v>0</v>
      </c>
      <c r="M89" s="1">
        <f>VLOOKUP($J$3,[1]!龙魂分图属性,M$4,FALSE)*(AK89*$AG89)/IF(SUMPRODUCT(AK$6:AK$96*$AG$6:$AG$96)=0,1,SUMPRODUCT(AK$6:AK$96*$AG$6:$AG$96))</f>
        <v>0</v>
      </c>
      <c r="N89" s="1">
        <f>VLOOKUP($J$3,[1]!龙魂分图属性,N$4,FALSE)*(AL89*$AG89)/IF(SUMPRODUCT(AL$6:AL$96*$AG$6:$AG$96)=0,1,SUMPRODUCT(AL$6:AL$96*$AG$6:$AG$96))</f>
        <v>0</v>
      </c>
      <c r="O89" s="1">
        <f>VLOOKUP($J$3,[1]!龙魂分图属性,O$4,FALSE)*(AM89*$AG89)/IF(SUMPRODUCT(AM$6:AM$96*$AG$6:$AG$96)=0,1,SUMPRODUCT(AM$6:AM$96*$AG$6:$AG$96))</f>
        <v>0</v>
      </c>
      <c r="P89" s="1">
        <f>VLOOKUP($J$3,[1]!龙魂分图属性,P$4,FALSE)*(AN89*$AG89)/IF(SUMPRODUCT(AN$6:AN$96*$AG$6:$AG$96)=0,1,SUMPRODUCT(AN$6:AN$96*$AG$6:$AG$96))</f>
        <v>0</v>
      </c>
      <c r="Q89" s="1">
        <f>VLOOKUP($J$3,[1]!龙魂分图属性,Q$4,FALSE)*(AO89*$AG89)/IF(SUMPRODUCT(AO$6:AO$96*$AG$6:$AG$96)=0,1,SUMPRODUCT(AO$6:AO$96*$AG$6:$AG$96))</f>
        <v>0</v>
      </c>
      <c r="R89" s="1">
        <f>COUNTIF(J89:Q89,"&gt;0")</f>
        <v>1</v>
      </c>
      <c r="S89" s="1" t="str">
        <f t="array" aca="1" ref="S89" ca="1">OFFSET($I$5,0,MATCH(1,1/(J89:Q89&gt;0),0))</f>
        <v>攻击</v>
      </c>
      <c r="T89" s="1">
        <f>ROUND(SUM(J89:Q89),0)</f>
        <v>1206</v>
      </c>
      <c r="U89" s="1">
        <f t="shared" ca="1" si="43"/>
        <v>0.14887259407807632</v>
      </c>
      <c r="V89" s="19">
        <f t="shared" si="39"/>
        <v>1205.6059444690939</v>
      </c>
      <c r="W89" s="18">
        <f t="shared" ca="1" si="44"/>
        <v>78</v>
      </c>
      <c r="X89" s="1">
        <f ca="1">(VLOOKUP(W89,[2]龙魂的投放!$G$17:$L$117,6,FALSE)+SUMIF(龙魂整图属性辅助表!$E$12:$E$17,H89,龙魂整图属性辅助表!$T$12:$T$17)/COUNTIF($H$6:$H$96,H89))/INDEX($C$1:$C$2,G89)</f>
        <v>8098.2396520666061</v>
      </c>
      <c r="Y89" s="1">
        <f t="shared" ca="1" si="45"/>
        <v>0.10559006211180122</v>
      </c>
      <c r="Z89" s="1">
        <f t="shared" ca="1" si="55"/>
        <v>1026</v>
      </c>
      <c r="AA89" s="1">
        <f t="shared" ca="1" si="46"/>
        <v>9.4705882352941195</v>
      </c>
      <c r="AB89" s="18">
        <f t="shared" ca="1" si="47"/>
        <v>12</v>
      </c>
      <c r="AC89" s="1">
        <f t="shared" ca="1" si="48"/>
        <v>12312</v>
      </c>
      <c r="AD89" s="21">
        <f t="shared" ca="1" si="49"/>
        <v>6</v>
      </c>
      <c r="AE89" s="21">
        <f t="shared" ca="1" si="50"/>
        <v>1026</v>
      </c>
      <c r="AF89">
        <v>2.9</v>
      </c>
      <c r="AG89">
        <f t="shared" si="40"/>
        <v>23.4</v>
      </c>
      <c r="AH89" s="1"/>
      <c r="AI89" s="1">
        <v>1.5</v>
      </c>
      <c r="AJ89" s="1"/>
      <c r="AK89" s="1"/>
      <c r="AL89" s="1"/>
      <c r="AM89" s="1"/>
      <c r="AN89" s="1"/>
      <c r="AO89" s="1"/>
      <c r="AY89" s="1">
        <v>2039</v>
      </c>
      <c r="AZ89" s="1" t="s">
        <v>19</v>
      </c>
      <c r="BA89" s="1">
        <v>6</v>
      </c>
      <c r="BB89" s="1">
        <v>2038</v>
      </c>
      <c r="BC89" s="1">
        <v>39</v>
      </c>
      <c r="BD89" s="1">
        <v>2</v>
      </c>
      <c r="BE89" s="1">
        <v>1005</v>
      </c>
      <c r="BF89" s="1">
        <v>78</v>
      </c>
      <c r="BG89" s="1">
        <v>0</v>
      </c>
      <c r="BH89" s="1">
        <v>0</v>
      </c>
      <c r="BI89" s="1">
        <v>0</v>
      </c>
      <c r="BJ89" s="1">
        <v>1662.6513498702341</v>
      </c>
      <c r="BK89" s="1">
        <v>0</v>
      </c>
      <c r="BL89" s="1">
        <v>0</v>
      </c>
      <c r="BM89" s="1">
        <v>0</v>
      </c>
      <c r="BN89" s="1">
        <v>0</v>
      </c>
      <c r="BO89" s="1">
        <v>1</v>
      </c>
      <c r="BP89" s="1" t="s">
        <v>93</v>
      </c>
      <c r="BQ89" s="1">
        <v>1663</v>
      </c>
      <c r="BR89" s="1"/>
      <c r="BS89" s="1">
        <v>269.99364724737688</v>
      </c>
      <c r="BT89" s="1">
        <v>5954.9185512620788</v>
      </c>
      <c r="BU89" s="1"/>
      <c r="BV89" s="1">
        <v>2411.9999999999995</v>
      </c>
      <c r="BX89" s="1"/>
      <c r="BY89" s="1"/>
      <c r="BZ89" s="1"/>
      <c r="CA89" s="1">
        <v>1.5</v>
      </c>
      <c r="CB89" s="1"/>
      <c r="CC89" s="1"/>
      <c r="CD89" s="1"/>
      <c r="CE89" s="1"/>
    </row>
    <row r="90" spans="1:83">
      <c r="A90">
        <v>85</v>
      </c>
      <c r="B90" s="1">
        <f ca="1">G90*1000+F90</f>
        <v>2040</v>
      </c>
      <c r="C90" s="1" t="s">
        <v>24</v>
      </c>
      <c r="D90" s="1">
        <v>6</v>
      </c>
      <c r="E90" s="1">
        <f ca="1">B89</f>
        <v>2039</v>
      </c>
      <c r="F90" s="1">
        <f ca="1">SUMIF($G$6:G90,G90,$G$6:$G$78)/G90</f>
        <v>40</v>
      </c>
      <c r="G90" s="1">
        <v>2</v>
      </c>
      <c r="H90" s="1">
        <v>1005</v>
      </c>
      <c r="I90" s="1">
        <f t="shared" ca="1" si="42"/>
        <v>75</v>
      </c>
      <c r="J90" s="1">
        <f>VLOOKUP($J$3,[1]!龙魂分图属性,J$4,FALSE)*(AH90*$AG90)/IF(SUMPRODUCT(AH$6:AH$96*$AG$6:$AG$96)=0,1,SUMPRODUCT(AH$6:AH$96*$AG$6:$AG$96))</f>
        <v>0</v>
      </c>
      <c r="K90" s="1">
        <f>VLOOKUP($J$3,[1]!龙魂分图属性,K$4,FALSE)*(AI90*$AG90)/IF(SUMPRODUCT(AI$6:AI$96*$AG$6:$AG$96)=0,1,SUMPRODUCT(AI$6:AI$96*$AG$6:$AG$96))</f>
        <v>0</v>
      </c>
      <c r="L90" s="1">
        <f>VLOOKUP($J$3,[1]!龙魂分图属性,L$4,FALSE)*(AJ90*$AG90)/IF(SUMPRODUCT(AJ$6:AJ$96*$AG$6:$AG$96)=0,1,SUMPRODUCT(AJ$6:AJ$96*$AG$6:$AG$96))</f>
        <v>0</v>
      </c>
      <c r="M90" s="1">
        <f>VLOOKUP($J$3,[1]!龙魂分图属性,M$4,FALSE)*(AK90*$AG90)/IF(SUMPRODUCT(AK$6:AK$96*$AG$6:$AG$96)=0,1,SUMPRODUCT(AK$6:AK$96*$AG$6:$AG$96))</f>
        <v>0</v>
      </c>
      <c r="N90" s="1">
        <f>VLOOKUP($J$3,[1]!龙魂分图属性,N$4,FALSE)*(AL90*$AG90)/IF(SUMPRODUCT(AL$6:AL$96*$AG$6:$AG$96)=0,1,SUMPRODUCT(AL$6:AL$96*$AG$6:$AG$96))</f>
        <v>0</v>
      </c>
      <c r="O90" s="1">
        <f>VLOOKUP($J$3,[1]!龙魂分图属性,O$4,FALSE)*(AM90*$AG90)/IF(SUMPRODUCT(AM$6:AM$96*$AG$6:$AG$96)=0,1,SUMPRODUCT(AM$6:AM$96*$AG$6:$AG$96))</f>
        <v>4470.6683308748443</v>
      </c>
      <c r="P90" s="1">
        <f>VLOOKUP($J$3,[1]!龙魂分图属性,P$4,FALSE)*(AN90*$AG90)/IF(SUMPRODUCT(AN$6:AN$96*$AG$6:$AG$96)=0,1,SUMPRODUCT(AN$6:AN$96*$AG$6:$AG$96))</f>
        <v>0</v>
      </c>
      <c r="Q90" s="1">
        <f>VLOOKUP($J$3,[1]!龙魂分图属性,Q$4,FALSE)*(AO90*$AG90)/IF(SUMPRODUCT(AO$6:AO$96*$AG$6:$AG$96)=0,1,SUMPRODUCT(AO$6:AO$96*$AG$6:$AG$96))</f>
        <v>0</v>
      </c>
      <c r="R90" s="1">
        <f>COUNTIF(J90:Q90,"&gt;0")</f>
        <v>1</v>
      </c>
      <c r="S90" s="1" t="str">
        <f t="array" aca="1" ref="S90" ca="1">OFFSET($I$5,0,MATCH(1,1/(J90:Q90&gt;0),0))</f>
        <v>暴击值</v>
      </c>
      <c r="T90" s="1">
        <f>ROUND(SUM(J90:Q90),0)</f>
        <v>4471</v>
      </c>
      <c r="U90" s="1">
        <f t="shared" ca="1" si="43"/>
        <v>9.4941813664667266E-2</v>
      </c>
      <c r="V90" s="19">
        <f t="shared" si="39"/>
        <v>804.72029955747189</v>
      </c>
      <c r="W90" s="18">
        <f t="shared" ca="1" si="44"/>
        <v>79</v>
      </c>
      <c r="X90" s="1">
        <f ca="1">(VLOOKUP(W90,[2]龙魂的投放!$G$17:$L$117,6,FALSE)+SUMIF(龙魂整图属性辅助表!$E$12:$E$17,H90,龙魂整图属性辅助表!$T$12:$T$17)/COUNTIF($H$6:$H$96,H90))/INDEX($C$1:$C$2,G90)</f>
        <v>8475.9313994119511</v>
      </c>
      <c r="Y90" s="1">
        <f t="shared" ca="1" si="45"/>
        <v>9.8265895953757232E-2</v>
      </c>
      <c r="Z90" s="1">
        <f t="shared" ca="1" si="55"/>
        <v>1041</v>
      </c>
      <c r="AA90" s="1">
        <f t="shared" ca="1" si="46"/>
        <v>10.176470588235293</v>
      </c>
      <c r="AB90" s="18">
        <f t="shared" ca="1" si="47"/>
        <v>13</v>
      </c>
      <c r="AC90" s="1">
        <f t="shared" ca="1" si="48"/>
        <v>13533</v>
      </c>
      <c r="AD90" s="21">
        <f t="shared" ca="1" si="49"/>
        <v>7</v>
      </c>
      <c r="AE90" s="21">
        <f t="shared" ca="1" si="50"/>
        <v>1041</v>
      </c>
      <c r="AF90">
        <v>2.94</v>
      </c>
      <c r="AG90">
        <f t="shared" si="40"/>
        <v>23.64</v>
      </c>
      <c r="AH90" s="1"/>
      <c r="AI90" s="1"/>
      <c r="AJ90" s="1"/>
      <c r="AK90" s="1"/>
      <c r="AL90" s="1"/>
      <c r="AM90" s="1">
        <v>1.5</v>
      </c>
      <c r="AN90" s="1"/>
      <c r="AO90" s="1"/>
      <c r="AY90" s="1">
        <v>2040</v>
      </c>
      <c r="AZ90" s="1" t="s">
        <v>20</v>
      </c>
      <c r="BA90" s="1">
        <v>6</v>
      </c>
      <c r="BB90" s="1">
        <v>2039</v>
      </c>
      <c r="BC90" s="1">
        <v>40</v>
      </c>
      <c r="BD90" s="1">
        <v>2</v>
      </c>
      <c r="BE90" s="1">
        <v>1005</v>
      </c>
      <c r="BF90" s="1">
        <v>79</v>
      </c>
      <c r="BG90" s="1">
        <v>0</v>
      </c>
      <c r="BH90" s="1">
        <v>0</v>
      </c>
      <c r="BI90" s="1">
        <v>0</v>
      </c>
      <c r="BJ90" s="1">
        <v>0</v>
      </c>
      <c r="BK90" s="1">
        <v>1956.1555505913748</v>
      </c>
      <c r="BL90" s="1">
        <v>0</v>
      </c>
      <c r="BM90" s="1">
        <v>0</v>
      </c>
      <c r="BN90" s="1">
        <v>0</v>
      </c>
      <c r="BO90" s="1">
        <v>1</v>
      </c>
      <c r="BP90" s="1" t="s">
        <v>94</v>
      </c>
      <c r="BQ90" s="1">
        <v>1956</v>
      </c>
      <c r="BR90" s="1"/>
      <c r="BS90" s="1">
        <v>317.65503436940452</v>
      </c>
      <c r="BT90" s="1">
        <v>6554.9305706476262</v>
      </c>
      <c r="BU90" s="1"/>
      <c r="BV90" s="1">
        <v>2430.0000000000005</v>
      </c>
      <c r="BX90" s="1"/>
      <c r="BY90" s="1"/>
      <c r="BZ90" s="1"/>
      <c r="CA90" s="1"/>
      <c r="CB90" s="1">
        <v>1.5</v>
      </c>
      <c r="CC90" s="1"/>
      <c r="CD90" s="1"/>
      <c r="CE90" s="1"/>
    </row>
    <row r="91" spans="1:83">
      <c r="A91">
        <v>86</v>
      </c>
      <c r="B91" s="1">
        <f ca="1">G91*1000+F91</f>
        <v>2041</v>
      </c>
      <c r="C91" s="1" t="s">
        <v>21</v>
      </c>
      <c r="D91" s="1">
        <v>6</v>
      </c>
      <c r="E91" s="1">
        <f ca="1">B90</f>
        <v>2040</v>
      </c>
      <c r="F91" s="1">
        <f ca="1">SUMIF($G$6:G91,G91,$G$6:$G$78)/G91</f>
        <v>41</v>
      </c>
      <c r="G91" s="1">
        <v>2</v>
      </c>
      <c r="H91" s="1">
        <v>1005</v>
      </c>
      <c r="I91" s="1">
        <f t="shared" ca="1" si="42"/>
        <v>75</v>
      </c>
      <c r="J91" s="1">
        <f>VLOOKUP($J$3,[1]!龙魂分图属性,J$4,FALSE)*(AH91*$AG91)/IF(SUMPRODUCT(AH$6:AH$96*$AG$6:$AG$96)=0,1,SUMPRODUCT(AH$6:AH$96*$AG$6:$AG$96))</f>
        <v>0</v>
      </c>
      <c r="K91" s="1">
        <f>VLOOKUP($J$3,[1]!龙魂分图属性,K$4,FALSE)*(AI91*$AG91)/IF(SUMPRODUCT(AI$6:AI$96*$AG$6:$AG$96)=0,1,SUMPRODUCT(AI$6:AI$96*$AG$6:$AG$96))</f>
        <v>0</v>
      </c>
      <c r="L91" s="1">
        <f>VLOOKUP($J$3,[1]!龙魂分图属性,L$4,FALSE)*(AJ91*$AG91)/IF(SUMPRODUCT(AJ$6:AJ$96*$AG$6:$AG$96)=0,1,SUMPRODUCT(AJ$6:AJ$96*$AG$6:$AG$96))</f>
        <v>0</v>
      </c>
      <c r="M91" s="1">
        <f>VLOOKUP($J$3,[1]!龙魂分图属性,M$4,FALSE)*(AK91*$AG91)/IF(SUMPRODUCT(AK$6:AK$96*$AG$6:$AG$96)=0,1,SUMPRODUCT(AK$6:AK$96*$AG$6:$AG$96))</f>
        <v>0</v>
      </c>
      <c r="N91" s="1">
        <f>VLOOKUP($J$3,[1]!龙魂分图属性,N$4,FALSE)*(AL91*$AG91)/IF(SUMPRODUCT(AL$6:AL$96*$AG$6:$AG$96)=0,1,SUMPRODUCT(AL$6:AL$96*$AG$6:$AG$96))</f>
        <v>3149.8971139133637</v>
      </c>
      <c r="O91" s="1">
        <f>VLOOKUP($J$3,[1]!龙魂分图属性,O$4,FALSE)*(AM91*$AG91)/IF(SUMPRODUCT(AM$6:AM$96*$AG$6:$AG$96)=0,1,SUMPRODUCT(AM$6:AM$96*$AG$6:$AG$96))</f>
        <v>0</v>
      </c>
      <c r="P91" s="1">
        <f>VLOOKUP($J$3,[1]!龙魂分图属性,P$4,FALSE)*(AN91*$AG91)/IF(SUMPRODUCT(AN$6:AN$96*$AG$6:$AG$96)=0,1,SUMPRODUCT(AN$6:AN$96*$AG$6:$AG$96))</f>
        <v>0</v>
      </c>
      <c r="Q91" s="1">
        <f>VLOOKUP($J$3,[1]!龙魂分图属性,Q$4,FALSE)*(AO91*$AG91)/IF(SUMPRODUCT(AO$6:AO$96*$AG$6:$AG$96)=0,1,SUMPRODUCT(AO$6:AO$96*$AG$6:$AG$96))</f>
        <v>0</v>
      </c>
      <c r="R91" s="1">
        <f>COUNTIF(J91:Q91,"&gt;0")</f>
        <v>1</v>
      </c>
      <c r="S91" s="1" t="str">
        <f t="array" aca="1" ref="S91" ca="1">OFFSET($I$5,0,MATCH(1,1/(J91:Q91&gt;0),0))</f>
        <v>命中值</v>
      </c>
      <c r="T91" s="1">
        <f>ROUND(SUM(J91:Q91),0)</f>
        <v>3150</v>
      </c>
      <c r="U91" s="1">
        <f t="shared" ca="1" si="43"/>
        <v>0.12099384410842859</v>
      </c>
      <c r="V91" s="19">
        <f t="shared" si="39"/>
        <v>1070.9650187305438</v>
      </c>
      <c r="W91" s="18">
        <f t="shared" ca="1" si="44"/>
        <v>80</v>
      </c>
      <c r="X91" s="1">
        <f ca="1">(VLOOKUP(W91,[2]龙魂的投放!$G$17:$L$117,6,FALSE)+SUMIF(龙魂整图属性辅助表!$E$12:$E$17,H91,龙魂整图属性辅助表!$T$12:$T$17)/COUNTIF($H$6:$H$96,H91))/INDEX($C$1:$C$2,G91)</f>
        <v>8851.4008842532421</v>
      </c>
      <c r="Y91" s="1">
        <f t="shared" ca="1" si="45"/>
        <v>9.1891891891891841E-2</v>
      </c>
      <c r="Z91" s="1">
        <f t="shared" ca="1" si="55"/>
        <v>1057</v>
      </c>
      <c r="AA91" s="1">
        <f t="shared" ca="1" si="46"/>
        <v>10.882352941176476</v>
      </c>
      <c r="AB91" s="18">
        <f t="shared" ca="1" si="47"/>
        <v>13</v>
      </c>
      <c r="AC91" s="1">
        <f t="shared" ca="1" si="48"/>
        <v>13741</v>
      </c>
      <c r="AD91" s="21">
        <f t="shared" ca="1" si="49"/>
        <v>8</v>
      </c>
      <c r="AE91" s="21">
        <f t="shared" ca="1" si="50"/>
        <v>1057</v>
      </c>
      <c r="AF91">
        <v>2.98</v>
      </c>
      <c r="AG91">
        <f t="shared" si="40"/>
        <v>23.88</v>
      </c>
      <c r="AH91" s="1"/>
      <c r="AI91" s="1"/>
      <c r="AJ91" s="1"/>
      <c r="AK91" s="1"/>
      <c r="AL91" s="1">
        <v>1.5</v>
      </c>
      <c r="AM91" s="1"/>
      <c r="AN91" s="1"/>
      <c r="AO91" s="1"/>
      <c r="AY91" s="1">
        <v>2041</v>
      </c>
      <c r="AZ91" s="1" t="s">
        <v>21</v>
      </c>
      <c r="BA91" s="1">
        <v>6</v>
      </c>
      <c r="BB91" s="1">
        <v>2040</v>
      </c>
      <c r="BC91" s="1">
        <v>41</v>
      </c>
      <c r="BD91" s="1">
        <v>2</v>
      </c>
      <c r="BE91" s="1">
        <v>1005</v>
      </c>
      <c r="BF91" s="1">
        <v>80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2027.4551214361136</v>
      </c>
      <c r="BM91" s="1">
        <v>0</v>
      </c>
      <c r="BN91" s="1">
        <v>0</v>
      </c>
      <c r="BO91" s="1">
        <v>1</v>
      </c>
      <c r="BP91" s="1" t="s">
        <v>95</v>
      </c>
      <c r="BQ91" s="1">
        <v>2027</v>
      </c>
      <c r="BR91" s="1"/>
      <c r="BS91" s="1">
        <v>161.89941955074124</v>
      </c>
      <c r="BT91" s="1">
        <v>7215.3992394915931</v>
      </c>
      <c r="BU91" s="1"/>
      <c r="BV91" s="1">
        <v>2448</v>
      </c>
      <c r="BX91" s="1"/>
      <c r="BY91" s="1"/>
      <c r="BZ91" s="1"/>
      <c r="CA91" s="1"/>
      <c r="CB91" s="1"/>
      <c r="CC91" s="1">
        <v>1.5</v>
      </c>
      <c r="CD91" s="1"/>
      <c r="CE91" s="1"/>
    </row>
    <row r="92" spans="1:83">
      <c r="A92">
        <v>87</v>
      </c>
      <c r="B92" s="1">
        <f t="shared" ca="1" si="41"/>
        <v>1046</v>
      </c>
      <c r="C92" s="1" t="s">
        <v>127</v>
      </c>
      <c r="D92" s="1">
        <v>6</v>
      </c>
      <c r="E92" s="1">
        <v>1045</v>
      </c>
      <c r="F92" s="1">
        <f ca="1">SUMIF($G$6:G92,G92,$G$6:$G$78)/G92</f>
        <v>46</v>
      </c>
      <c r="G92" s="1">
        <v>1</v>
      </c>
      <c r="H92" s="1">
        <v>1005</v>
      </c>
      <c r="I92" s="1">
        <f t="shared" ca="1" si="42"/>
        <v>76</v>
      </c>
      <c r="J92" s="1">
        <f>VLOOKUP($J$3,[1]!龙魂分图属性,J$4,FALSE)*(AH92*$AG92)/IF(SUMPRODUCT(AH$6:AH$96*$AG$6:$AG$96)=0,1,SUMPRODUCT(AH$6:AH$96*$AG$6:$AG$96))</f>
        <v>0</v>
      </c>
      <c r="K92" s="1">
        <f>VLOOKUP($J$3,[1]!龙魂分图属性,K$4,FALSE)*(AI92*$AG92)/IF(SUMPRODUCT(AI$6:AI$96*$AG$6:$AG$96)=0,1,SUMPRODUCT(AI$6:AI$96*$AG$6:$AG$96))</f>
        <v>0</v>
      </c>
      <c r="L92" s="1">
        <f>VLOOKUP($J$3,[1]!龙魂分图属性,L$4,FALSE)*(AJ92*$AG92)/IF(SUMPRODUCT(AJ$6:AJ$96*$AG$6:$AG$96)=0,1,SUMPRODUCT(AJ$6:AJ$96*$AG$6:$AG$96))</f>
        <v>0</v>
      </c>
      <c r="M92" s="1">
        <f>VLOOKUP($J$3,[1]!龙魂分图属性,M$4,FALSE)*(AK92*$AG92)/IF(SUMPRODUCT(AK$6:AK$96*$AG$6:$AG$96)=0,1,SUMPRODUCT(AK$6:AK$96*$AG$6:$AG$96))</f>
        <v>2320.1677600569446</v>
      </c>
      <c r="N92" s="1">
        <f>VLOOKUP($J$3,[1]!龙魂分图属性,N$4,FALSE)*(AL92*$AG92)/IF(SUMPRODUCT(AL$6:AL$96*$AG$6:$AG$96)=0,1,SUMPRODUCT(AL$6:AL$96*$AG$6:$AG$96))</f>
        <v>0</v>
      </c>
      <c r="O92" s="1">
        <f>VLOOKUP($J$3,[1]!龙魂分图属性,O$4,FALSE)*(AM92*$AG92)/IF(SUMPRODUCT(AM$6:AM$96*$AG$6:$AG$96)=0,1,SUMPRODUCT(AM$6:AM$96*$AG$6:$AG$96))</f>
        <v>0</v>
      </c>
      <c r="P92" s="1">
        <f>VLOOKUP($J$3,[1]!龙魂分图属性,P$4,FALSE)*(AN92*$AG92)/IF(SUMPRODUCT(AN$6:AN$96*$AG$6:$AG$96)=0,1,SUMPRODUCT(AN$6:AN$96*$AG$6:$AG$96))</f>
        <v>0</v>
      </c>
      <c r="Q92" s="1">
        <f>VLOOKUP($J$3,[1]!龙魂分图属性,Q$4,FALSE)*(AO92*$AG92)/IF(SUMPRODUCT(AO$6:AO$96*$AG$6:$AG$96)=0,1,SUMPRODUCT(AO$6:AO$96*$AG$6:$AG$96))</f>
        <v>0</v>
      </c>
      <c r="R92" s="1">
        <f t="shared" si="37"/>
        <v>1</v>
      </c>
      <c r="S92" s="1" t="str">
        <f t="array" aca="1" ref="S92" ca="1">OFFSET($I$5,0,MATCH(1,1/(J92:Q92&gt;0),0))</f>
        <v>闪避值</v>
      </c>
      <c r="T92" s="1">
        <f t="shared" si="38"/>
        <v>2320</v>
      </c>
      <c r="U92" s="1">
        <f t="shared" ca="1" si="43"/>
        <v>0.21367811729327654</v>
      </c>
      <c r="V92" s="19">
        <f t="shared" si="39"/>
        <v>788.85703841936129</v>
      </c>
      <c r="W92" s="18">
        <f t="shared" ca="1" si="44"/>
        <v>76</v>
      </c>
      <c r="X92" s="1">
        <f ca="1">(VLOOKUP(W92,[2]龙魂的投放!$G$17:$L$117,6,FALSE)+SUMIF(龙魂整图属性辅助表!$E$12:$E$17,H92,龙魂整图属性辅助表!$T$12:$T$17)/COUNTIF($H$6:$H$96,H92))/INDEX($C$1:$C$2,G92)</f>
        <v>3691.8007721709878</v>
      </c>
      <c r="Y92" s="1">
        <f t="shared" ca="1" si="45"/>
        <v>0.16923076923076918</v>
      </c>
      <c r="Z92" s="1">
        <f t="shared" ca="1" si="52"/>
        <v>689</v>
      </c>
      <c r="AA92" s="1">
        <f t="shared" ca="1" si="46"/>
        <v>5.9090909090909109</v>
      </c>
      <c r="AB92" s="18">
        <f t="shared" ca="1" si="47"/>
        <v>7</v>
      </c>
      <c r="AC92" s="1">
        <f t="shared" ca="1" si="48"/>
        <v>4823</v>
      </c>
      <c r="AD92" s="21">
        <f t="shared" ca="1" si="49"/>
        <v>4</v>
      </c>
      <c r="AE92" s="21">
        <f t="shared" ca="1" si="50"/>
        <v>687</v>
      </c>
      <c r="AF92">
        <v>3.02</v>
      </c>
      <c r="AG92">
        <f t="shared" si="40"/>
        <v>24.119999999999997</v>
      </c>
      <c r="AH92" s="1"/>
      <c r="AI92" s="1"/>
      <c r="AJ92" s="1"/>
      <c r="AK92" s="1">
        <v>1</v>
      </c>
      <c r="AL92" s="1"/>
      <c r="AM92" s="1"/>
      <c r="AN92" s="1"/>
      <c r="AO92" s="1"/>
      <c r="AY92" s="1">
        <v>1046</v>
      </c>
      <c r="AZ92" s="1" t="s">
        <v>128</v>
      </c>
      <c r="BA92" s="1">
        <v>6</v>
      </c>
      <c r="BB92" s="1">
        <v>1045</v>
      </c>
      <c r="BC92" s="1">
        <v>46</v>
      </c>
      <c r="BD92" s="1">
        <v>1</v>
      </c>
      <c r="BE92" s="1">
        <v>1005</v>
      </c>
      <c r="BF92" s="1">
        <v>75</v>
      </c>
      <c r="BG92" s="1">
        <v>0</v>
      </c>
      <c r="BH92" s="1">
        <v>0</v>
      </c>
      <c r="BI92" s="1">
        <v>170.74871173213268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1</v>
      </c>
      <c r="BP92" s="1" t="s">
        <v>92</v>
      </c>
      <c r="BQ92" s="1">
        <v>171</v>
      </c>
      <c r="BR92" s="1"/>
      <c r="BS92" s="1">
        <v>170.74871173213268</v>
      </c>
      <c r="BT92" s="1">
        <v>2232.3846073240302</v>
      </c>
      <c r="BU92" s="1"/>
      <c r="BV92" s="1">
        <v>1644.0000000000002</v>
      </c>
      <c r="BX92" s="1"/>
      <c r="BY92" s="1"/>
      <c r="BZ92" s="1"/>
      <c r="CA92" s="1"/>
      <c r="CB92" s="1"/>
      <c r="CC92" s="1"/>
      <c r="CD92" s="1">
        <v>1</v>
      </c>
      <c r="CE92" s="1"/>
    </row>
    <row r="93" spans="1:83">
      <c r="A93">
        <v>88</v>
      </c>
      <c r="B93" s="1">
        <f t="shared" ca="1" si="41"/>
        <v>1047</v>
      </c>
      <c r="C93" s="1" t="s">
        <v>22</v>
      </c>
      <c r="D93" s="1">
        <v>6</v>
      </c>
      <c r="E93" s="1">
        <f t="shared" ref="E93:E96" ca="1" si="56">B92</f>
        <v>1046</v>
      </c>
      <c r="F93" s="1">
        <f ca="1">SUMIF($G$6:G93,G93,$G$6:$G$78)/G93</f>
        <v>47</v>
      </c>
      <c r="G93" s="1">
        <v>1</v>
      </c>
      <c r="H93" s="1">
        <v>1005</v>
      </c>
      <c r="I93" s="1">
        <f t="shared" ca="1" si="42"/>
        <v>77</v>
      </c>
      <c r="J93" s="1">
        <f>VLOOKUP($J$3,[1]!龙魂分图属性,J$4,FALSE)*(AH93*$AG93)/IF(SUMPRODUCT(AH$6:AH$96*$AG$6:$AG$96)=0,1,SUMPRODUCT(AH$6:AH$96*$AG$6:$AG$96))</f>
        <v>0</v>
      </c>
      <c r="K93" s="1">
        <f>VLOOKUP($J$3,[1]!龙魂分图属性,K$4,FALSE)*(AI93*$AG93)/IF(SUMPRODUCT(AI$6:AI$96*$AG$6:$AG$96)=0,1,SUMPRODUCT(AI$6:AI$96*$AG$6:$AG$96))</f>
        <v>0</v>
      </c>
      <c r="L93" s="1">
        <f>VLOOKUP($J$3,[1]!龙魂分图属性,L$4,FALSE)*(AJ93*$AG93)/IF(SUMPRODUCT(AJ$6:AJ$96*$AG$6:$AG$96)=0,1,SUMPRODUCT(AJ$6:AJ$96*$AG$6:$AG$96))</f>
        <v>0</v>
      </c>
      <c r="M93" s="1">
        <f>VLOOKUP($J$3,[1]!龙魂分图属性,M$4,FALSE)*(AK93*$AG93)/IF(SUMPRODUCT(AK$6:AK$96*$AG$6:$AG$96)=0,1,SUMPRODUCT(AK$6:AK$96*$AG$6:$AG$96))</f>
        <v>0</v>
      </c>
      <c r="N93" s="1">
        <f>VLOOKUP($J$3,[1]!龙魂分图属性,N$4,FALSE)*(AL93*$AG93)/IF(SUMPRODUCT(AL$6:AL$96*$AG$6:$AG$96)=0,1,SUMPRODUCT(AL$6:AL$96*$AG$6:$AG$96))</f>
        <v>2142.141085843929</v>
      </c>
      <c r="O93" s="1">
        <f>VLOOKUP($J$3,[1]!龙魂分图属性,O$4,FALSE)*(AM93*$AG93)/IF(SUMPRODUCT(AM$6:AM$96*$AG$6:$AG$96)=0,1,SUMPRODUCT(AM$6:AM$96*$AG$6:$AG$96))</f>
        <v>0</v>
      </c>
      <c r="P93" s="1">
        <f>VLOOKUP($J$3,[1]!龙魂分图属性,P$4,FALSE)*(AN93*$AG93)/IF(SUMPRODUCT(AN$6:AN$96*$AG$6:$AG$96)=0,1,SUMPRODUCT(AN$6:AN$96*$AG$6:$AG$96))</f>
        <v>0</v>
      </c>
      <c r="Q93" s="1">
        <f>VLOOKUP($J$3,[1]!龙魂分图属性,Q$4,FALSE)*(AO93*$AG93)/IF(SUMPRODUCT(AO$6:AO$96*$AG$6:$AG$96)=0,1,SUMPRODUCT(AO$6:AO$96*$AG$6:$AG$96))</f>
        <v>0</v>
      </c>
      <c r="R93" s="1">
        <f t="shared" si="37"/>
        <v>1</v>
      </c>
      <c r="S93" s="1" t="str">
        <f t="array" aca="1" ref="S93" ca="1">OFFSET($I$5,0,MATCH(1,1/(J93:Q93&gt;0),0))</f>
        <v>命中值</v>
      </c>
      <c r="T93" s="1">
        <f t="shared" si="38"/>
        <v>2142</v>
      </c>
      <c r="U93" s="1">
        <f t="shared" ca="1" si="43"/>
        <v>0.18833846851728636</v>
      </c>
      <c r="V93" s="19">
        <f t="shared" si="39"/>
        <v>728.32796918693589</v>
      </c>
      <c r="W93" s="18">
        <f t="shared" ca="1" si="44"/>
        <v>77</v>
      </c>
      <c r="X93" s="1">
        <f ca="1">(VLOOKUP(W93,[2]龙魂的投放!$G$17:$L$117,6,FALSE)+SUMIF(龙魂整图属性辅助表!$E$12:$E$17,H93,龙魂整图属性辅助表!$T$12:$T$17)/COUNTIF($H$6:$H$96,H93))/INDEX($C$1:$C$2,G93)</f>
        <v>3867.1227122147243</v>
      </c>
      <c r="Y93" s="1">
        <f t="shared" ca="1" si="45"/>
        <v>0.15492957746478875</v>
      </c>
      <c r="Z93" s="1">
        <f t="shared" ca="1" si="52"/>
        <v>690</v>
      </c>
      <c r="AA93" s="1">
        <f t="shared" ca="1" si="46"/>
        <v>6.4545454545454541</v>
      </c>
      <c r="AB93" s="18">
        <f t="shared" ca="1" si="47"/>
        <v>8</v>
      </c>
      <c r="AC93" s="1">
        <f t="shared" ca="1" si="48"/>
        <v>5520</v>
      </c>
      <c r="AD93" s="21">
        <f t="shared" ca="1" si="49"/>
        <v>5</v>
      </c>
      <c r="AE93" s="21">
        <f t="shared" ca="1" si="50"/>
        <v>689</v>
      </c>
      <c r="AF93">
        <v>3.06</v>
      </c>
      <c r="AG93">
        <f t="shared" si="40"/>
        <v>24.360000000000003</v>
      </c>
      <c r="AH93" s="1"/>
      <c r="AI93" s="1"/>
      <c r="AJ93" s="1"/>
      <c r="AK93" s="1"/>
      <c r="AL93" s="1">
        <v>1</v>
      </c>
      <c r="AM93" s="1"/>
      <c r="AN93" s="1"/>
      <c r="AO93" s="1"/>
      <c r="AY93" s="1">
        <v>1047</v>
      </c>
      <c r="AZ93" s="1" t="s">
        <v>22</v>
      </c>
      <c r="BA93" s="1">
        <v>6</v>
      </c>
      <c r="BB93" s="1">
        <v>1046</v>
      </c>
      <c r="BC93" s="1">
        <v>47</v>
      </c>
      <c r="BD93" s="1">
        <v>1</v>
      </c>
      <c r="BE93" s="1">
        <v>1005</v>
      </c>
      <c r="BF93" s="1">
        <v>76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2016.8067226890751</v>
      </c>
      <c r="BO93" s="1">
        <v>1</v>
      </c>
      <c r="BP93" s="1" t="s">
        <v>97</v>
      </c>
      <c r="BQ93" s="1">
        <v>2017</v>
      </c>
      <c r="BR93" s="1"/>
      <c r="BS93" s="1">
        <v>161.04910747326886</v>
      </c>
      <c r="BT93" s="1">
        <v>2457.3175908325661</v>
      </c>
      <c r="BU93" s="1"/>
      <c r="BV93" s="1">
        <v>1655.9999999999998</v>
      </c>
      <c r="BX93" s="1"/>
      <c r="BY93" s="1"/>
      <c r="BZ93" s="1"/>
      <c r="CA93" s="1"/>
      <c r="CB93" s="1"/>
      <c r="CC93" s="1"/>
      <c r="CD93" s="1"/>
      <c r="CE93" s="1">
        <v>1</v>
      </c>
    </row>
    <row r="94" spans="1:83">
      <c r="A94">
        <v>89</v>
      </c>
      <c r="B94" s="1">
        <f t="shared" ca="1" si="41"/>
        <v>1048</v>
      </c>
      <c r="C94" s="1" t="s">
        <v>130</v>
      </c>
      <c r="D94" s="1">
        <v>6</v>
      </c>
      <c r="E94" s="1">
        <f t="shared" ca="1" si="56"/>
        <v>1047</v>
      </c>
      <c r="F94" s="1">
        <f ca="1">SUMIF($G$6:G94,G94,$G$6:$G$78)/G94</f>
        <v>48</v>
      </c>
      <c r="G94" s="1">
        <v>1</v>
      </c>
      <c r="H94" s="1">
        <v>1005</v>
      </c>
      <c r="I94" s="1">
        <f t="shared" ca="1" si="42"/>
        <v>78</v>
      </c>
      <c r="J94" s="1">
        <f>VLOOKUP($J$3,[1]!龙魂分图属性,J$4,FALSE)*(AH94*$AG94)/IF(SUMPRODUCT(AH$6:AH$96*$AG$6:$AG$96)=0,1,SUMPRODUCT(AH$6:AH$96*$AG$6:$AG$96))</f>
        <v>0</v>
      </c>
      <c r="K94" s="1">
        <f>VLOOKUP($J$3,[1]!龙魂分图属性,K$4,FALSE)*(AI94*$AG94)/IF(SUMPRODUCT(AI$6:AI$96*$AG$6:$AG$96)=0,1,SUMPRODUCT(AI$6:AI$96*$AG$6:$AG$96))</f>
        <v>844.95459355953597</v>
      </c>
      <c r="L94" s="1">
        <f>VLOOKUP($J$3,[1]!龙魂分图属性,L$4,FALSE)*(AJ94*$AG94)/IF(SUMPRODUCT(AJ$6:AJ$96*$AG$6:$AG$96)=0,1,SUMPRODUCT(AJ$6:AJ$96*$AG$6:$AG$96))</f>
        <v>0</v>
      </c>
      <c r="M94" s="1">
        <f>VLOOKUP($J$3,[1]!龙魂分图属性,M$4,FALSE)*(AK94*$AG94)/IF(SUMPRODUCT(AK$6:AK$96*$AG$6:$AG$96)=0,1,SUMPRODUCT(AK$6:AK$96*$AG$6:$AG$96))</f>
        <v>0</v>
      </c>
      <c r="N94" s="1">
        <f>VLOOKUP($J$3,[1]!龙魂分图属性,N$4,FALSE)*(AL94*$AG94)/IF(SUMPRODUCT(AL$6:AL$96*$AG$6:$AG$96)=0,1,SUMPRODUCT(AL$6:AL$96*$AG$6:$AG$96))</f>
        <v>0</v>
      </c>
      <c r="O94" s="1">
        <f>VLOOKUP($J$3,[1]!龙魂分图属性,O$4,FALSE)*(AM94*$AG94)/IF(SUMPRODUCT(AM$6:AM$96*$AG$6:$AG$96)=0,1,SUMPRODUCT(AM$6:AM$96*$AG$6:$AG$96))</f>
        <v>0</v>
      </c>
      <c r="P94" s="1">
        <f>VLOOKUP($J$3,[1]!龙魂分图属性,P$4,FALSE)*(AN94*$AG94)/IF(SUMPRODUCT(AN$6:AN$96*$AG$6:$AG$96)=0,1,SUMPRODUCT(AN$6:AN$96*$AG$6:$AG$96))</f>
        <v>0</v>
      </c>
      <c r="Q94" s="1">
        <f>VLOOKUP($J$3,[1]!龙魂分图属性,Q$4,FALSE)*(AO94*$AG94)/IF(SUMPRODUCT(AO$6:AO$96*$AG$6:$AG$96)=0,1,SUMPRODUCT(AO$6:AO$96*$AG$6:$AG$96))</f>
        <v>0</v>
      </c>
      <c r="R94" s="1">
        <f t="shared" si="37"/>
        <v>1</v>
      </c>
      <c r="S94" s="1" t="str">
        <f t="array" aca="1" ref="S94" ca="1">OFFSET($I$5,0,MATCH(1,1/(J94:Q94&gt;0),0))</f>
        <v>攻击</v>
      </c>
      <c r="T94" s="1">
        <f t="shared" si="38"/>
        <v>845</v>
      </c>
      <c r="U94" s="1">
        <f t="shared" ca="1" si="43"/>
        <v>0.20867611477610701</v>
      </c>
      <c r="V94" s="19">
        <f t="shared" si="39"/>
        <v>844.95459355953597</v>
      </c>
      <c r="W94" s="18">
        <f t="shared" ca="1" si="44"/>
        <v>78</v>
      </c>
      <c r="X94" s="1">
        <f ca="1">(VLOOKUP(W94,[2]龙魂的投放!$G$17:$L$117,6,FALSE)+SUMIF(龙魂整图属性辅助表!$E$12:$E$17,H94,龙魂整图属性辅助表!$T$12:$T$17)/COUNTIF($H$6:$H$96,H94))/INDEX($C$1:$C$2,G94)</f>
        <v>4049.1198260333031</v>
      </c>
      <c r="Y94" s="1">
        <f t="shared" ca="1" si="45"/>
        <v>0.1428571428571429</v>
      </c>
      <c r="Z94" s="1">
        <f t="shared" ca="1" si="52"/>
        <v>694</v>
      </c>
      <c r="AA94" s="1">
        <f t="shared" ca="1" si="46"/>
        <v>6.9999999999999973</v>
      </c>
      <c r="AB94" s="18">
        <f t="shared" ca="1" si="47"/>
        <v>8</v>
      </c>
      <c r="AC94" s="1">
        <f t="shared" ca="1" si="48"/>
        <v>5552</v>
      </c>
      <c r="AD94" s="21">
        <f t="shared" ca="1" si="49"/>
        <v>6</v>
      </c>
      <c r="AE94" s="21">
        <f t="shared" ca="1" si="50"/>
        <v>694</v>
      </c>
      <c r="AF94">
        <v>3.1</v>
      </c>
      <c r="AG94">
        <f t="shared" si="40"/>
        <v>24.599999999999998</v>
      </c>
      <c r="AH94" s="1"/>
      <c r="AI94" s="1">
        <v>1</v>
      </c>
      <c r="AJ94" s="1"/>
      <c r="AK94" s="1"/>
      <c r="AL94" s="1"/>
      <c r="AM94" s="1"/>
      <c r="AN94" s="1"/>
      <c r="AO94" s="1"/>
      <c r="AY94" s="1">
        <v>1048</v>
      </c>
      <c r="AZ94" s="1" t="s">
        <v>136</v>
      </c>
      <c r="BA94" s="1">
        <v>6</v>
      </c>
      <c r="BB94" s="1">
        <v>1047</v>
      </c>
      <c r="BC94" s="1">
        <v>48</v>
      </c>
      <c r="BD94" s="1">
        <v>1</v>
      </c>
      <c r="BE94" s="1">
        <v>1005</v>
      </c>
      <c r="BF94" s="1">
        <v>77</v>
      </c>
      <c r="BG94" s="1">
        <v>0</v>
      </c>
      <c r="BH94" s="1">
        <v>0</v>
      </c>
      <c r="BI94" s="1">
        <v>173.2413936552295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1</v>
      </c>
      <c r="BP94" s="1" t="s">
        <v>92</v>
      </c>
      <c r="BQ94" s="1">
        <v>173</v>
      </c>
      <c r="BR94" s="1"/>
      <c r="BS94" s="1">
        <v>173.2413936552295</v>
      </c>
      <c r="BT94" s="1">
        <v>2704.9146112207945</v>
      </c>
      <c r="BU94" s="1"/>
      <c r="BV94" s="1">
        <v>1668</v>
      </c>
      <c r="BX94" s="1"/>
      <c r="BY94" s="1"/>
      <c r="BZ94" s="1">
        <v>1</v>
      </c>
      <c r="CA94" s="1"/>
      <c r="CB94" s="1"/>
      <c r="CC94" s="1"/>
      <c r="CD94" s="1"/>
      <c r="CE94" s="1"/>
    </row>
    <row r="95" spans="1:83">
      <c r="A95">
        <v>90</v>
      </c>
      <c r="B95" s="1">
        <f t="shared" ca="1" si="41"/>
        <v>1049</v>
      </c>
      <c r="C95" s="1" t="s">
        <v>132</v>
      </c>
      <c r="D95" s="1">
        <v>6</v>
      </c>
      <c r="E95" s="1">
        <f t="shared" ca="1" si="56"/>
        <v>1048</v>
      </c>
      <c r="F95" s="1">
        <f ca="1">SUMIF($G$6:G95,G95,$G$6:$G$78)/G95</f>
        <v>49</v>
      </c>
      <c r="G95" s="1">
        <v>1</v>
      </c>
      <c r="H95" s="1">
        <v>1005</v>
      </c>
      <c r="I95" s="1">
        <f t="shared" ca="1" si="42"/>
        <v>79</v>
      </c>
      <c r="J95" s="1">
        <f>VLOOKUP($J$3,[1]!龙魂分图属性,J$4,FALSE)*(AH95*$AG95)/IF(SUMPRODUCT(AH$6:AH$96*$AG$6:$AG$96)=0,1,SUMPRODUCT(AH$6:AH$96*$AG$6:$AG$96))</f>
        <v>0</v>
      </c>
      <c r="K95" s="1">
        <f>VLOOKUP($J$3,[1]!龙魂分图属性,K$4,FALSE)*(AI95*$AG95)/IF(SUMPRODUCT(AI$6:AI$96*$AG$6:$AG$96)=0,1,SUMPRODUCT(AI$6:AI$96*$AG$6:$AG$96))</f>
        <v>0</v>
      </c>
      <c r="L95" s="1">
        <f>VLOOKUP($J$3,[1]!龙魂分图属性,L$4,FALSE)*(AJ95*$AG95)/IF(SUMPRODUCT(AJ$6:AJ$96*$AG$6:$AG$96)=0,1,SUMPRODUCT(AJ$6:AJ$96*$AG$6:$AG$96))</f>
        <v>845.50407061037936</v>
      </c>
      <c r="M95" s="1">
        <f>VLOOKUP($J$3,[1]!龙魂分图属性,M$4,FALSE)*(AK95*$AG95)/IF(SUMPRODUCT(AK$6:AK$96*$AG$6:$AG$96)=0,1,SUMPRODUCT(AK$6:AK$96*$AG$6:$AG$96))</f>
        <v>0</v>
      </c>
      <c r="N95" s="1">
        <f>VLOOKUP($J$3,[1]!龙魂分图属性,N$4,FALSE)*(AL95*$AG95)/IF(SUMPRODUCT(AL$6:AL$96*$AG$6:$AG$96)=0,1,SUMPRODUCT(AL$6:AL$96*$AG$6:$AG$96))</f>
        <v>0</v>
      </c>
      <c r="O95" s="1">
        <f>VLOOKUP($J$3,[1]!龙魂分图属性,O$4,FALSE)*(AM95*$AG95)/IF(SUMPRODUCT(AM$6:AM$96*$AG$6:$AG$96)=0,1,SUMPRODUCT(AM$6:AM$96*$AG$6:$AG$96))</f>
        <v>0</v>
      </c>
      <c r="P95" s="1">
        <f>VLOOKUP($J$3,[1]!龙魂分图属性,P$4,FALSE)*(AN95*$AG95)/IF(SUMPRODUCT(AN$6:AN$96*$AG$6:$AG$96)=0,1,SUMPRODUCT(AN$6:AN$96*$AG$6:$AG$96))</f>
        <v>0</v>
      </c>
      <c r="Q95" s="1">
        <f>VLOOKUP($J$3,[1]!龙魂分图属性,Q$4,FALSE)*(AO95*$AG95)/IF(SUMPRODUCT(AO$6:AO$96*$AG$6:$AG$96)=0,1,SUMPRODUCT(AO$6:AO$96*$AG$6:$AG$96))</f>
        <v>0</v>
      </c>
      <c r="R95" s="1">
        <f t="shared" si="37"/>
        <v>1</v>
      </c>
      <c r="S95" s="1" t="str">
        <f t="array" aca="1" ref="S95" ca="1">OFFSET($I$5,0,MATCH(1,1/(J95:Q95&gt;0),0))</f>
        <v>防御</v>
      </c>
      <c r="T95" s="1">
        <f t="shared" si="38"/>
        <v>846</v>
      </c>
      <c r="U95" s="1">
        <f t="shared" ca="1" si="43"/>
        <v>0.19950705846180852</v>
      </c>
      <c r="V95" s="19">
        <f t="shared" si="39"/>
        <v>845.50407061037936</v>
      </c>
      <c r="W95" s="18">
        <f t="shared" ca="1" si="44"/>
        <v>79</v>
      </c>
      <c r="X95" s="1">
        <f ca="1">(VLOOKUP(W95,[2]龙魂的投放!$G$17:$L$117,6,FALSE)+SUMIF(龙魂整图属性辅助表!$E$12:$E$17,H95,龙魂整图属性辅助表!$T$12:$T$17)/COUNTIF($H$6:$H$96,H95))/INDEX($C$1:$C$2,G95)</f>
        <v>4237.9656997059756</v>
      </c>
      <c r="Y95" s="1">
        <f t="shared" ca="1" si="45"/>
        <v>0.13253012048192769</v>
      </c>
      <c r="Z95" s="1">
        <f t="shared" ca="1" si="52"/>
        <v>702</v>
      </c>
      <c r="AA95" s="1">
        <f t="shared" ca="1" si="46"/>
        <v>7.5454545454545467</v>
      </c>
      <c r="AB95" s="18">
        <f t="shared" ca="1" si="47"/>
        <v>9</v>
      </c>
      <c r="AC95" s="1">
        <f t="shared" ca="1" si="48"/>
        <v>6318</v>
      </c>
      <c r="AD95" s="21">
        <f ca="1">W95-VLOOKUP(D95,$D$6:$W$96,20,0)</f>
        <v>7</v>
      </c>
      <c r="AE95" s="21">
        <f t="shared" ca="1" si="50"/>
        <v>702</v>
      </c>
      <c r="AF95">
        <v>3.14</v>
      </c>
      <c r="AG95">
        <f t="shared" si="40"/>
        <v>24.840000000000003</v>
      </c>
      <c r="AH95" s="1"/>
      <c r="AI95" s="1"/>
      <c r="AJ95" s="1">
        <v>1</v>
      </c>
      <c r="AK95" s="1"/>
      <c r="AL95" s="1"/>
      <c r="AM95" s="1"/>
      <c r="AN95" s="1"/>
      <c r="AO95" s="1"/>
      <c r="AY95" s="1">
        <v>1049</v>
      </c>
      <c r="AZ95" s="1" t="s">
        <v>133</v>
      </c>
      <c r="BA95" s="1">
        <v>6</v>
      </c>
      <c r="BB95" s="1">
        <v>1048</v>
      </c>
      <c r="BC95" s="1">
        <v>49</v>
      </c>
      <c r="BD95" s="1">
        <v>1</v>
      </c>
      <c r="BE95" s="1">
        <v>1005</v>
      </c>
      <c r="BF95" s="1">
        <v>78</v>
      </c>
      <c r="BG95" s="1">
        <v>0</v>
      </c>
      <c r="BH95" s="1">
        <v>317.22155735363003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1</v>
      </c>
      <c r="BP95" s="1" t="s">
        <v>91</v>
      </c>
      <c r="BQ95" s="1">
        <v>317</v>
      </c>
      <c r="BR95" s="1"/>
      <c r="BS95" s="1">
        <v>317.22155735363003</v>
      </c>
      <c r="BT95" s="1">
        <v>2977.4592756310394</v>
      </c>
      <c r="BU95" s="1"/>
      <c r="BV95" s="1">
        <v>1679.9999999999998</v>
      </c>
      <c r="BX95" s="1"/>
      <c r="BY95" s="1">
        <v>1</v>
      </c>
      <c r="BZ95" s="1"/>
      <c r="CA95" s="1"/>
      <c r="CB95" s="1"/>
      <c r="CC95" s="1"/>
      <c r="CD95" s="1"/>
      <c r="CE95" s="1"/>
    </row>
    <row r="96" spans="1:83">
      <c r="A96">
        <v>91</v>
      </c>
      <c r="B96" s="1">
        <f t="shared" ca="1" si="41"/>
        <v>1050</v>
      </c>
      <c r="C96" s="1" t="s">
        <v>134</v>
      </c>
      <c r="D96" s="1">
        <v>6</v>
      </c>
      <c r="E96" s="1">
        <f t="shared" ca="1" si="56"/>
        <v>1049</v>
      </c>
      <c r="F96" s="1">
        <f ca="1">SUMIF($G$6:G96,G96,$G$6:$G$78)/G96</f>
        <v>50</v>
      </c>
      <c r="G96" s="1">
        <v>1</v>
      </c>
      <c r="H96" s="1">
        <v>1005</v>
      </c>
      <c r="I96" s="1">
        <f t="shared" ca="1" si="42"/>
        <v>80</v>
      </c>
      <c r="J96" s="1">
        <f>VLOOKUP($J$3,[1]!龙魂分图属性,J$4,FALSE)*(AH96*$AG96)/IF(SUMPRODUCT(AH$6:AH$96*$AG$6:$AG$96)=0,1,SUMPRODUCT(AH$6:AH$96*$AG$6:$AG$96))</f>
        <v>23488.867510144202</v>
      </c>
      <c r="K96" s="1">
        <f>VLOOKUP($J$3,[1]!龙魂分图属性,K$4,FALSE)*(AI96*$AG96)/IF(SUMPRODUCT(AI$6:AI$96*$AG$6:$AG$96)=0,1,SUMPRODUCT(AI$6:AI$96*$AG$6:$AG$96))</f>
        <v>0</v>
      </c>
      <c r="L96" s="1">
        <f>VLOOKUP($J$3,[1]!龙魂分图属性,L$4,FALSE)*(AJ96*$AG96)/IF(SUMPRODUCT(AJ$6:AJ$96*$AG$6:$AG$96)=0,1,SUMPRODUCT(AJ$6:AJ$96*$AG$6:$AG$96))</f>
        <v>0</v>
      </c>
      <c r="M96" s="1">
        <f>VLOOKUP($J$3,[1]!龙魂分图属性,M$4,FALSE)*(AK96*$AG96)/IF(SUMPRODUCT(AK$6:AK$96*$AG$6:$AG$96)=0,1,SUMPRODUCT(AK$6:AK$96*$AG$6:$AG$96))</f>
        <v>0</v>
      </c>
      <c r="N96" s="1">
        <f>VLOOKUP($J$3,[1]!龙魂分图属性,N$4,FALSE)*(AL96*$AG96)/IF(SUMPRODUCT(AL$6:AL$96*$AG$6:$AG$96)=0,1,SUMPRODUCT(AL$6:AL$96*$AG$6:$AG$96))</f>
        <v>0</v>
      </c>
      <c r="O96" s="1">
        <f>VLOOKUP($J$3,[1]!龙魂分图属性,O$4,FALSE)*(AM96*$AG96)/IF(SUMPRODUCT(AM$6:AM$96*$AG$6:$AG$96)=0,1,SUMPRODUCT(AM$6:AM$96*$AG$6:$AG$96))</f>
        <v>0</v>
      </c>
      <c r="P96" s="1">
        <f>VLOOKUP($J$3,[1]!龙魂分图属性,P$4,FALSE)*(AN96*$AG96)/IF(SUMPRODUCT(AN$6:AN$96*$AG$6:$AG$96)=0,1,SUMPRODUCT(AN$6:AN$96*$AG$6:$AG$96))</f>
        <v>0</v>
      </c>
      <c r="Q96" s="1">
        <f>VLOOKUP($J$3,[1]!龙魂分图属性,Q$4,FALSE)*(AO96*$AG96)/IF(SUMPRODUCT(AO$6:AO$96*$AG$6:$AG$96)=0,1,SUMPRODUCT(AO$6:AO$96*$AG$6:$AG$96))</f>
        <v>0</v>
      </c>
      <c r="R96" s="1">
        <f t="shared" si="37"/>
        <v>1</v>
      </c>
      <c r="S96" s="1" t="str">
        <f t="array" aca="1" ref="S96" ca="1">OFFSET($I$5,0,MATCH(1,1/(J96:Q96&gt;0),0))</f>
        <v>生命</v>
      </c>
      <c r="T96" s="1">
        <f t="shared" si="38"/>
        <v>23489</v>
      </c>
      <c r="U96" s="1">
        <f t="shared" ca="1" si="43"/>
        <v>0.21229514123063803</v>
      </c>
      <c r="V96" s="19">
        <f t="shared" si="39"/>
        <v>939.55470040576813</v>
      </c>
      <c r="W96" s="18">
        <f t="shared" ca="1" si="44"/>
        <v>80</v>
      </c>
      <c r="X96" s="1">
        <f ca="1">(VLOOKUP(W96,[2]龙魂的投放!$G$17:$L$117,6,FALSE)+SUMIF(龙魂整图属性辅助表!$E$12:$E$17,H96,龙魂整图属性辅助表!$T$12:$T$17)/COUNTIF($H$6:$H$96,H96))/INDEX($C$1:$C$2,G96)</f>
        <v>4425.7004421266211</v>
      </c>
      <c r="Y96" s="1">
        <f t="shared" ca="1" si="45"/>
        <v>0.1235955056179775</v>
      </c>
      <c r="Z96" s="1">
        <f t="shared" ca="1" si="52"/>
        <v>711</v>
      </c>
      <c r="AA96" s="1">
        <f t="shared" ca="1" si="46"/>
        <v>8.0909090909090935</v>
      </c>
      <c r="AB96" s="18">
        <f t="shared" ca="1" si="47"/>
        <v>10</v>
      </c>
      <c r="AC96" s="1">
        <f t="shared" ca="1" si="48"/>
        <v>7110</v>
      </c>
      <c r="AD96" s="21">
        <f t="shared" ca="1" si="49"/>
        <v>8</v>
      </c>
      <c r="AE96" s="21">
        <f t="shared" ca="1" si="50"/>
        <v>711</v>
      </c>
      <c r="AF96">
        <v>3.18</v>
      </c>
      <c r="AG96">
        <f t="shared" si="40"/>
        <v>25.08</v>
      </c>
      <c r="AH96" s="1">
        <v>1</v>
      </c>
      <c r="AI96" s="1"/>
      <c r="AJ96" s="1"/>
      <c r="AK96" s="1"/>
      <c r="AL96" s="1"/>
      <c r="AM96" s="1"/>
      <c r="AN96" s="1"/>
      <c r="AO96" s="1"/>
      <c r="AY96" s="1">
        <v>1050</v>
      </c>
      <c r="AZ96" s="1" t="s">
        <v>135</v>
      </c>
      <c r="BA96" s="1">
        <v>6</v>
      </c>
      <c r="BB96" s="1">
        <v>1049</v>
      </c>
      <c r="BC96" s="1">
        <v>50</v>
      </c>
      <c r="BD96" s="1">
        <v>1</v>
      </c>
      <c r="BE96" s="1">
        <v>1005</v>
      </c>
      <c r="BF96" s="1">
        <v>79</v>
      </c>
      <c r="BG96" s="1">
        <v>12336.732368352437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1</v>
      </c>
      <c r="BP96" s="1" t="s">
        <v>90</v>
      </c>
      <c r="BQ96" s="1">
        <v>12337</v>
      </c>
      <c r="BR96" s="1"/>
      <c r="BS96" s="1">
        <v>503.85549569899473</v>
      </c>
      <c r="BT96" s="1">
        <v>3277.4652853238131</v>
      </c>
      <c r="BU96" s="1"/>
      <c r="BV96" s="1">
        <v>1692.0000000000002</v>
      </c>
      <c r="BX96" s="1">
        <v>1</v>
      </c>
      <c r="BY96" s="1"/>
      <c r="BZ96" s="1"/>
      <c r="CA96" s="1"/>
      <c r="CB96" s="1"/>
      <c r="CC96" s="1"/>
      <c r="CD96" s="1"/>
      <c r="CE96" s="1"/>
    </row>
    <row r="97" spans="21:83">
      <c r="U97" s="15"/>
    </row>
    <row r="98" spans="21:83">
      <c r="AH98">
        <f>COUNT(AH6:AH96)</f>
        <v>27</v>
      </c>
      <c r="AI98">
        <f t="shared" ref="AI98:AO98" si="57">COUNT(AI6:AI96)</f>
        <v>19</v>
      </c>
      <c r="AJ98">
        <f t="shared" si="57"/>
        <v>11</v>
      </c>
      <c r="AK98">
        <f t="shared" si="57"/>
        <v>10</v>
      </c>
      <c r="AL98">
        <f t="shared" si="57"/>
        <v>10</v>
      </c>
      <c r="AM98">
        <f t="shared" si="57"/>
        <v>6</v>
      </c>
      <c r="AN98">
        <f t="shared" si="57"/>
        <v>2</v>
      </c>
      <c r="AO98">
        <f t="shared" si="57"/>
        <v>6</v>
      </c>
      <c r="BX98">
        <f>COUNT(BX6:BX96)</f>
        <v>24</v>
      </c>
      <c r="BY98">
        <f t="shared" ref="BY98:CE98" si="58">COUNT(BY6:BY96)</f>
        <v>19</v>
      </c>
      <c r="BZ98">
        <f t="shared" si="58"/>
        <v>15</v>
      </c>
      <c r="CA98">
        <f t="shared" si="58"/>
        <v>11</v>
      </c>
      <c r="CB98">
        <f t="shared" si="58"/>
        <v>9</v>
      </c>
      <c r="CC98">
        <f t="shared" si="58"/>
        <v>5</v>
      </c>
      <c r="CD98">
        <f t="shared" si="58"/>
        <v>3</v>
      </c>
      <c r="CE98">
        <f t="shared" si="58"/>
        <v>5</v>
      </c>
    </row>
    <row r="99" spans="21:83">
      <c r="AH99" t="str">
        <f>AH5</f>
        <v>生命</v>
      </c>
      <c r="AI99" t="str">
        <f t="shared" ref="AI99:AO99" si="59">AI5</f>
        <v>攻击</v>
      </c>
      <c r="AJ99" t="str">
        <f t="shared" si="59"/>
        <v>防御</v>
      </c>
      <c r="AK99" t="str">
        <f t="shared" si="59"/>
        <v>闪避值</v>
      </c>
      <c r="AL99" t="str">
        <f t="shared" si="59"/>
        <v>命中值</v>
      </c>
      <c r="AM99" t="str">
        <f t="shared" si="59"/>
        <v>暴击值</v>
      </c>
      <c r="AN99" t="str">
        <f t="shared" si="59"/>
        <v>暴击倍数</v>
      </c>
      <c r="AO99" t="str">
        <f t="shared" si="59"/>
        <v>韧性值</v>
      </c>
    </row>
    <row r="100" spans="21:83">
      <c r="AG100" t="s">
        <v>106</v>
      </c>
      <c r="AH100">
        <f>[1]龙魂规划!F$43</f>
        <v>313585.27855872444</v>
      </c>
      <c r="AI100">
        <f>[1]龙魂规划!G$43</f>
        <v>8848.8385026737997</v>
      </c>
      <c r="AJ100">
        <f>[1]龙魂规划!H$43</f>
        <v>4779.7019064124797</v>
      </c>
      <c r="AK100">
        <f>[1]龙魂规划!I$43</f>
        <v>12499.999999999996</v>
      </c>
      <c r="AL100">
        <f>[1]龙魂规划!J$43</f>
        <v>12499.999999999996</v>
      </c>
      <c r="AM100">
        <f>[1]龙魂规划!K$43</f>
        <v>11111.111111111111</v>
      </c>
      <c r="AN100">
        <f>[1]龙魂规划!L$43</f>
        <v>7142.8571428571431</v>
      </c>
      <c r="AO100">
        <f>[1]龙魂规划!M$43</f>
        <v>11111.111111111111</v>
      </c>
    </row>
    <row r="101" spans="21:83">
      <c r="AG101" t="s">
        <v>107</v>
      </c>
      <c r="AH101">
        <f t="shared" ref="AH101:AO101" si="60">AH100*J2</f>
        <v>12543.411142348978</v>
      </c>
      <c r="AI101">
        <f t="shared" si="60"/>
        <v>8848.8385026737997</v>
      </c>
      <c r="AJ101">
        <f t="shared" si="60"/>
        <v>4779.7019064124797</v>
      </c>
      <c r="AK101">
        <f t="shared" si="60"/>
        <v>4249.9999999999991</v>
      </c>
      <c r="AL101">
        <f t="shared" si="60"/>
        <v>4249.9999999999991</v>
      </c>
      <c r="AM101">
        <f t="shared" si="60"/>
        <v>2000</v>
      </c>
      <c r="AN101" s="11">
        <f t="shared" si="60"/>
        <v>857.14285714285711</v>
      </c>
      <c r="AO101">
        <f t="shared" si="60"/>
        <v>2000</v>
      </c>
    </row>
    <row r="102" spans="21:83">
      <c r="AG102">
        <v>2.9</v>
      </c>
      <c r="AH102">
        <f>AH101/MIN($AH$101:$AO$101)*$AG$102</f>
        <v>42.438541031614044</v>
      </c>
      <c r="AI102">
        <f t="shared" ref="AI102:AO102" si="61">AI101/MIN($AH$101:$AO$101)*$AG$102</f>
        <v>29.938570267379689</v>
      </c>
      <c r="AJ102">
        <f t="shared" si="61"/>
        <v>16.171324783362223</v>
      </c>
      <c r="AK102">
        <f t="shared" si="61"/>
        <v>14.379166666666663</v>
      </c>
      <c r="AL102">
        <f t="shared" si="61"/>
        <v>14.379166666666663</v>
      </c>
      <c r="AM102">
        <f t="shared" si="61"/>
        <v>6.7666666666666666</v>
      </c>
      <c r="AN102">
        <f>AN101/MIN($AH$101:$AO$101)*$AG$102</f>
        <v>2.9</v>
      </c>
      <c r="AO102">
        <f t="shared" si="61"/>
        <v>6.7666666666666666</v>
      </c>
      <c r="AP102">
        <f>SUM(AH102:AO102)</f>
        <v>133.74010274902261</v>
      </c>
    </row>
    <row r="103" spans="21:83">
      <c r="AG103">
        <v>1</v>
      </c>
      <c r="AH103">
        <v>16</v>
      </c>
      <c r="AI103">
        <v>10</v>
      </c>
      <c r="AJ103">
        <v>6</v>
      </c>
      <c r="AK103">
        <v>6</v>
      </c>
      <c r="AL103">
        <v>5</v>
      </c>
      <c r="AM103">
        <v>3</v>
      </c>
      <c r="AN103">
        <v>1</v>
      </c>
      <c r="AO103">
        <v>3</v>
      </c>
      <c r="AP103">
        <f>SUM(AH103:AO103)</f>
        <v>50</v>
      </c>
    </row>
    <row r="104" spans="21:83">
      <c r="AG104">
        <v>1.5</v>
      </c>
      <c r="AH104">
        <f>ROUND((AH102-AH103)/$AG$104,0)</f>
        <v>18</v>
      </c>
      <c r="AI104">
        <f t="shared" ref="AI104:AO104" si="62">ROUND((AI102-AI103)/$AG$104,0)</f>
        <v>13</v>
      </c>
      <c r="AJ104">
        <f t="shared" si="62"/>
        <v>7</v>
      </c>
      <c r="AK104">
        <f t="shared" si="62"/>
        <v>6</v>
      </c>
      <c r="AL104">
        <f t="shared" si="62"/>
        <v>6</v>
      </c>
      <c r="AM104">
        <f t="shared" si="62"/>
        <v>3</v>
      </c>
      <c r="AN104">
        <f>ROUND((AN102-AN103)/$AG$104,0)</f>
        <v>1</v>
      </c>
      <c r="AO104">
        <f t="shared" si="62"/>
        <v>3</v>
      </c>
      <c r="AP104">
        <f>SUM(AH104:AO104)</f>
        <v>57</v>
      </c>
    </row>
    <row r="105" spans="21:83">
      <c r="AH105">
        <f t="shared" ref="AH105:AO105" si="63">SUM(AH103:AH104)</f>
        <v>34</v>
      </c>
      <c r="AI105">
        <f t="shared" si="63"/>
        <v>23</v>
      </c>
      <c r="AJ105">
        <f t="shared" si="63"/>
        <v>13</v>
      </c>
      <c r="AK105">
        <f t="shared" si="63"/>
        <v>12</v>
      </c>
      <c r="AL105">
        <f t="shared" si="63"/>
        <v>11</v>
      </c>
      <c r="AM105">
        <f t="shared" si="63"/>
        <v>6</v>
      </c>
      <c r="AN105">
        <f t="shared" si="63"/>
        <v>2</v>
      </c>
      <c r="AO105">
        <f t="shared" si="63"/>
        <v>6</v>
      </c>
      <c r="AP105">
        <f>SUM(AH103:AO104)</f>
        <v>107</v>
      </c>
    </row>
    <row r="107" spans="21:83">
      <c r="AH107">
        <v>15</v>
      </c>
      <c r="AI107">
        <v>12</v>
      </c>
      <c r="AJ107">
        <v>6</v>
      </c>
      <c r="AK107">
        <v>5</v>
      </c>
      <c r="AL107">
        <v>5</v>
      </c>
      <c r="AM107">
        <v>2</v>
      </c>
      <c r="AN107">
        <v>2</v>
      </c>
      <c r="AO107">
        <v>3</v>
      </c>
      <c r="AP107">
        <f>SUM(AH107:AO107)</f>
        <v>50</v>
      </c>
      <c r="AX107">
        <v>51</v>
      </c>
    </row>
    <row r="108" spans="21:83">
      <c r="AH108">
        <v>11</v>
      </c>
      <c r="AI108">
        <v>10</v>
      </c>
      <c r="AJ108">
        <v>7</v>
      </c>
      <c r="AK108">
        <v>4</v>
      </c>
      <c r="AL108">
        <v>4</v>
      </c>
      <c r="AM108">
        <v>3</v>
      </c>
      <c r="AN108">
        <v>0</v>
      </c>
      <c r="AO108">
        <v>2</v>
      </c>
      <c r="AP108">
        <f>SUM(AH108:AO108)</f>
        <v>41</v>
      </c>
      <c r="AX108">
        <v>40</v>
      </c>
    </row>
    <row r="109" spans="21:83">
      <c r="AH109">
        <f t="shared" ref="AH109:AO109" si="64">SUM(AH107:AH108)</f>
        <v>26</v>
      </c>
      <c r="AI109">
        <f t="shared" si="64"/>
        <v>22</v>
      </c>
      <c r="AJ109">
        <f t="shared" si="64"/>
        <v>13</v>
      </c>
      <c r="AK109">
        <f t="shared" si="64"/>
        <v>9</v>
      </c>
      <c r="AL109">
        <f t="shared" si="64"/>
        <v>9</v>
      </c>
      <c r="AM109">
        <f t="shared" si="64"/>
        <v>5</v>
      </c>
      <c r="AN109">
        <f t="shared" si="64"/>
        <v>2</v>
      </c>
      <c r="AO109">
        <f t="shared" si="64"/>
        <v>5</v>
      </c>
      <c r="AP109">
        <f>SUM(AH109:AO109)</f>
        <v>91</v>
      </c>
    </row>
  </sheetData>
  <autoFilter ref="G5:G96"/>
  <phoneticPr fontId="1" type="noConversion"/>
  <conditionalFormatting sqref="U97 B6:I96 R6:AE96">
    <cfRule type="expression" dxfId="13" priority="71">
      <formula>$G6=2</formula>
    </cfRule>
  </conditionalFormatting>
  <conditionalFormatting sqref="AM6:AO10 U97 B6:I96 R6:AE96">
    <cfRule type="expression" dxfId="12" priority="73">
      <formula>$H6=1000</formula>
    </cfRule>
    <cfRule type="expression" dxfId="11" priority="74">
      <formula>$H6=1005</formula>
    </cfRule>
    <cfRule type="expression" dxfId="10" priority="75">
      <formula>$H6=1004</formula>
    </cfRule>
    <cfRule type="expression" dxfId="9" priority="76">
      <formula>$H6=1003</formula>
    </cfRule>
    <cfRule type="expression" dxfId="8" priority="77">
      <formula>$H6=1002</formula>
    </cfRule>
    <cfRule type="expression" dxfId="7" priority="83">
      <formula>$H6=1001</formula>
    </cfRule>
  </conditionalFormatting>
  <conditionalFormatting sqref="AH11:AO96">
    <cfRule type="expression" dxfId="67" priority="65">
      <formula>$H11=1000</formula>
    </cfRule>
    <cfRule type="expression" dxfId="66" priority="66">
      <formula>$H11=1005</formula>
    </cfRule>
    <cfRule type="expression" dxfId="65" priority="67">
      <formula>$H11=1004</formula>
    </cfRule>
    <cfRule type="expression" dxfId="64" priority="68">
      <formula>$H11=1003</formula>
    </cfRule>
    <cfRule type="expression" dxfId="63" priority="69">
      <formula>$H11=1002</formula>
    </cfRule>
    <cfRule type="expression" dxfId="62" priority="70">
      <formula>$H11=1001</formula>
    </cfRule>
  </conditionalFormatting>
  <conditionalFormatting sqref="AM6:AO10 AH11:AO96">
    <cfRule type="cellIs" dxfId="61" priority="62" stopIfTrue="1" operator="greaterThan">
      <formula>0</formula>
    </cfRule>
  </conditionalFormatting>
  <conditionalFormatting sqref="J6:Q96">
    <cfRule type="expression" dxfId="60" priority="55">
      <formula>$G6=2</formula>
    </cfRule>
  </conditionalFormatting>
  <conditionalFormatting sqref="J6:Q96">
    <cfRule type="expression" dxfId="59" priority="56">
      <formula>$H6=1000</formula>
    </cfRule>
    <cfRule type="expression" dxfId="58" priority="57">
      <formula>$H6=1005</formula>
    </cfRule>
    <cfRule type="expression" dxfId="57" priority="58">
      <formula>$H6=1004</formula>
    </cfRule>
    <cfRule type="expression" dxfId="56" priority="59">
      <formula>$H6=1003</formula>
    </cfRule>
    <cfRule type="expression" dxfId="55" priority="60">
      <formula>$H6=1002</formula>
    </cfRule>
    <cfRule type="expression" dxfId="54" priority="61">
      <formula>$H6=1001</formula>
    </cfRule>
  </conditionalFormatting>
  <conditionalFormatting sqref="J6:Q96">
    <cfRule type="cellIs" dxfId="53" priority="54" stopIfTrue="1" operator="greaterThan">
      <formula>0</formula>
    </cfRule>
  </conditionalFormatting>
  <conditionalFormatting sqref="AC6:AE96">
    <cfRule type="cellIs" dxfId="52" priority="53" operator="equal">
      <formula>0</formula>
    </cfRule>
  </conditionalFormatting>
  <conditionalFormatting sqref="BG6:BN96">
    <cfRule type="cellIs" dxfId="51" priority="31" stopIfTrue="1" operator="greaterThan">
      <formula>0</formula>
    </cfRule>
  </conditionalFormatting>
  <conditionalFormatting sqref="BV6:BV96">
    <cfRule type="cellIs" dxfId="50" priority="30" operator="equal">
      <formula>0</formula>
    </cfRule>
  </conditionalFormatting>
  <conditionalFormatting sqref="AY6:BF96 BO6:BV96">
    <cfRule type="expression" dxfId="49" priority="84">
      <formula>$BD6=2</formula>
    </cfRule>
  </conditionalFormatting>
  <conditionalFormatting sqref="AY6:BV96">
    <cfRule type="expression" dxfId="48" priority="86">
      <formula>$BE6=1000</formula>
    </cfRule>
    <cfRule type="expression" dxfId="47" priority="87">
      <formula>$BE6=1005</formula>
    </cfRule>
    <cfRule type="expression" dxfId="46" priority="88">
      <formula>$BE6=1004</formula>
    </cfRule>
    <cfRule type="expression" dxfId="45" priority="89">
      <formula>$BE6=1003</formula>
    </cfRule>
    <cfRule type="expression" dxfId="44" priority="90">
      <formula>$BE6=1002</formula>
    </cfRule>
    <cfRule type="expression" dxfId="43" priority="91">
      <formula>$BE6=1001</formula>
    </cfRule>
  </conditionalFormatting>
  <conditionalFormatting sqref="BG6:BN96">
    <cfRule type="expression" dxfId="42" priority="98">
      <formula>$BD6=2</formula>
    </cfRule>
  </conditionalFormatting>
  <conditionalFormatting sqref="BX6:CE96">
    <cfRule type="expression" dxfId="41" priority="24">
      <formula>$H6=1000</formula>
    </cfRule>
    <cfRule type="expression" dxfId="40" priority="25">
      <formula>$H6=1005</formula>
    </cfRule>
    <cfRule type="expression" dxfId="39" priority="26">
      <formula>$H6=1004</formula>
    </cfRule>
    <cfRule type="expression" dxfId="38" priority="27">
      <formula>$H6=1003</formula>
    </cfRule>
    <cfRule type="expression" dxfId="37" priority="28">
      <formula>$H6=1002</formula>
    </cfRule>
    <cfRule type="expression" dxfId="36" priority="29">
      <formula>$H6=1001</formula>
    </cfRule>
  </conditionalFormatting>
  <conditionalFormatting sqref="BX6:CE96">
    <cfRule type="cellIs" dxfId="35" priority="23" stopIfTrue="1" operator="greaterThan">
      <formula>0</formula>
    </cfRule>
  </conditionalFormatting>
  <conditionalFormatting sqref="AH6:AL10">
    <cfRule type="expression" dxfId="34" priority="17">
      <formula>$H6=1000</formula>
    </cfRule>
    <cfRule type="expression" dxfId="33" priority="18">
      <formula>$H6=1005</formula>
    </cfRule>
    <cfRule type="expression" dxfId="32" priority="19">
      <formula>$H6=1004</formula>
    </cfRule>
    <cfRule type="expression" dxfId="31" priority="20">
      <formula>$H6=1003</formula>
    </cfRule>
    <cfRule type="expression" dxfId="30" priority="21">
      <formula>$H6=1002</formula>
    </cfRule>
    <cfRule type="expression" dxfId="29" priority="22">
      <formula>$H6=1001</formula>
    </cfRule>
  </conditionalFormatting>
  <conditionalFormatting sqref="AH6:AL10">
    <cfRule type="cellIs" dxfId="28" priority="16" stopIfTrue="1" operator="greaterThan">
      <formula>0</formula>
    </cfRule>
  </conditionalFormatting>
  <conditionalFormatting sqref="Y3">
    <cfRule type="expression" dxfId="27" priority="2">
      <formula>$G3=2</formula>
    </cfRule>
  </conditionalFormatting>
  <conditionalFormatting sqref="Y3">
    <cfRule type="expression" dxfId="26" priority="3">
      <formula>$H3=1000</formula>
    </cfRule>
    <cfRule type="expression" dxfId="25" priority="4">
      <formula>$H3=1005</formula>
    </cfRule>
    <cfRule type="expression" dxfId="24" priority="5">
      <formula>$H3=1004</formula>
    </cfRule>
    <cfRule type="expression" dxfId="23" priority="6">
      <formula>$H3=1003</formula>
    </cfRule>
    <cfRule type="expression" dxfId="22" priority="7">
      <formula>$H3=1002</formula>
    </cfRule>
    <cfRule type="expression" dxfId="21" priority="8">
      <formula>$H3=1001</formula>
    </cfRule>
  </conditionalFormatting>
  <conditionalFormatting sqref="Y6:Y9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{5AFE58CD-C9B2-4CE6-8B65-D975E1214321}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FE58CD-C9B2-4CE6-8B65-D975E12143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Y6:Y96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L94"/>
  <sheetViews>
    <sheetView topLeftCell="A2" workbookViewId="0">
      <selection activeCell="I33" sqref="I33"/>
    </sheetView>
  </sheetViews>
  <sheetFormatPr defaultRowHeight="13.5"/>
  <cols>
    <col min="9" max="9" width="13.875" bestFit="1" customWidth="1"/>
    <col min="10" max="10" width="15.375" customWidth="1"/>
    <col min="11" max="11" width="12.125" customWidth="1"/>
    <col min="12" max="12" width="14.25" customWidth="1"/>
  </cols>
  <sheetData>
    <row r="2" spans="2:12">
      <c r="J2">
        <f ca="1">SUMPRODUCT(龙魂辅助表!Z6:Z96,龙魂辅助表!AA6:AA96)</f>
        <v>242326.11395875362</v>
      </c>
    </row>
    <row r="3" spans="2:12">
      <c r="B3" s="6" t="s">
        <v>68</v>
      </c>
      <c r="C3" s="6" t="s">
        <v>142</v>
      </c>
      <c r="D3" s="6" t="s">
        <v>69</v>
      </c>
      <c r="E3" s="6" t="s">
        <v>74</v>
      </c>
      <c r="F3" s="6" t="s">
        <v>75</v>
      </c>
      <c r="G3" s="6" t="s">
        <v>77</v>
      </c>
      <c r="I3" s="6" t="s">
        <v>70</v>
      </c>
      <c r="J3" s="1">
        <f ca="1">J16+J17</f>
        <v>242326.1139587537</v>
      </c>
    </row>
    <row r="4" spans="2:12">
      <c r="B4" s="1">
        <f>D_龙魂表!A2</f>
        <v>1001</v>
      </c>
      <c r="C4" s="1">
        <f>龙魂辅助表!G6</f>
        <v>1</v>
      </c>
      <c r="D4" s="1" t="str">
        <f>D_龙魂表!B2</f>
        <v>赑屃</v>
      </c>
      <c r="E4" s="1">
        <f>龙魂辅助表!D6</f>
        <v>1</v>
      </c>
      <c r="F4" s="1">
        <f>龙魂辅助表!V6</f>
        <v>34.691225182728921</v>
      </c>
      <c r="G4" s="1">
        <f ca="1">龙魂辅助表!Z6*龙魂辅助表!AA6</f>
        <v>61</v>
      </c>
      <c r="I4" s="6" t="s">
        <v>71</v>
      </c>
      <c r="J4" s="1">
        <f>SUM(龙魂辅助表!V6:V96)+SUM(龙魂整图属性辅助表!T12:T17)</f>
        <v>44763.774408578116</v>
      </c>
    </row>
    <row r="5" spans="2:12">
      <c r="B5" s="1">
        <f>D_龙魂表!A3</f>
        <v>1002</v>
      </c>
      <c r="C5" s="1">
        <f>龙魂辅助表!G7</f>
        <v>1</v>
      </c>
      <c r="D5" s="1" t="str">
        <f>D_龙魂表!B3</f>
        <v>鸱吻</v>
      </c>
      <c r="E5" s="1">
        <f>龙魂辅助表!D7</f>
        <v>1</v>
      </c>
      <c r="F5" s="1">
        <f>龙魂辅助表!V7</f>
        <v>38.211554801191532</v>
      </c>
      <c r="G5" s="1">
        <f ca="1">龙魂辅助表!Z7*龙魂辅助表!AA7</f>
        <v>80.499999999999986</v>
      </c>
      <c r="I5" s="6" t="s">
        <v>73</v>
      </c>
      <c r="J5" s="1">
        <f ca="1">J3/J4</f>
        <v>5.4134423908703413</v>
      </c>
    </row>
    <row r="6" spans="2:12">
      <c r="B6" s="1">
        <f>D_龙魂表!A4</f>
        <v>1003</v>
      </c>
      <c r="C6" s="1">
        <f>龙魂辅助表!G8</f>
        <v>1</v>
      </c>
      <c r="D6" s="1" t="str">
        <f>D_龙魂表!B4</f>
        <v>蒲牢</v>
      </c>
      <c r="E6" s="1">
        <f>龙魂辅助表!D8</f>
        <v>1</v>
      </c>
      <c r="F6" s="1">
        <f>龙魂辅助表!V8</f>
        <v>35.059146245116374</v>
      </c>
      <c r="G6" s="1">
        <f ca="1">龙魂辅助表!Z8*龙魂辅助表!AA8</f>
        <v>93.333333333333329</v>
      </c>
    </row>
    <row r="7" spans="2:12">
      <c r="B7" s="1">
        <f>D_龙魂表!A5</f>
        <v>1004</v>
      </c>
      <c r="C7" s="1">
        <f>龙魂辅助表!G9</f>
        <v>1</v>
      </c>
      <c r="D7" s="1" t="str">
        <f>D_龙魂表!B5</f>
        <v>睚眦</v>
      </c>
      <c r="E7" s="1">
        <f>龙魂辅助表!D9</f>
        <v>1</v>
      </c>
      <c r="F7" s="1">
        <f>龙魂辅助表!V9</f>
        <v>38.960800973763916</v>
      </c>
      <c r="G7" s="1">
        <f ca="1">龙魂辅助表!Z9*龙魂辅助表!AA9</f>
        <v>112.49999999999999</v>
      </c>
    </row>
    <row r="8" spans="2:12">
      <c r="B8" s="1">
        <f>D_龙魂表!A6</f>
        <v>1005</v>
      </c>
      <c r="C8" s="1">
        <f>龙魂辅助表!G10</f>
        <v>1</v>
      </c>
      <c r="D8" s="1" t="str">
        <f>D_龙魂表!B6</f>
        <v>饕餮</v>
      </c>
      <c r="E8" s="1">
        <f>龙魂辅助表!D10</f>
        <v>1</v>
      </c>
      <c r="F8" s="1">
        <f>龙魂辅助表!V10</f>
        <v>34.340791473479662</v>
      </c>
      <c r="G8" s="1">
        <f ca="1">龙魂辅助表!Z10*龙魂辅助表!AA10</f>
        <v>135</v>
      </c>
      <c r="I8" s="6" t="s">
        <v>74</v>
      </c>
      <c r="J8" s="6" t="s">
        <v>75</v>
      </c>
      <c r="K8" s="6" t="s">
        <v>76</v>
      </c>
      <c r="L8" s="6" t="s">
        <v>73</v>
      </c>
    </row>
    <row r="9" spans="2:12">
      <c r="B9" s="1">
        <f>D_龙魂表!A7</f>
        <v>1006</v>
      </c>
      <c r="C9" s="1">
        <f>龙魂辅助表!G11</f>
        <v>1</v>
      </c>
      <c r="D9" s="1" t="str">
        <f>D_龙魂表!B7</f>
        <v>蚣蝮</v>
      </c>
      <c r="E9" s="1">
        <f>龙魂辅助表!D11</f>
        <v>1</v>
      </c>
      <c r="F9" s="1">
        <f>龙魂辅助表!V11</f>
        <v>31.69243215673859</v>
      </c>
      <c r="G9" s="1">
        <f ca="1">龙魂辅助表!Z11*龙魂辅助表!AA11</f>
        <v>150.33333333333334</v>
      </c>
      <c r="I9" s="1">
        <v>1</v>
      </c>
      <c r="J9" s="1">
        <f>SUMIF($E$4:$E$94,I9,$F$4:$F$94)+龙魂整图属性辅助表!T12</f>
        <v>655.46828845205755</v>
      </c>
      <c r="K9" s="1">
        <f ca="1">SUMIF($E$4:$E$94,I9,$G$4:$G$94)</f>
        <v>2028.6666666666665</v>
      </c>
      <c r="L9" s="1">
        <f ca="1">K9/J9</f>
        <v>3.0949882738912211</v>
      </c>
    </row>
    <row r="10" spans="2:12">
      <c r="B10" s="1">
        <f>D_龙魂表!A8</f>
        <v>2001</v>
      </c>
      <c r="C10" s="1">
        <f>龙魂辅助表!G12</f>
        <v>2</v>
      </c>
      <c r="D10" s="1" t="str">
        <f>D_龙魂表!B8</f>
        <v>狴犴</v>
      </c>
      <c r="E10" s="1">
        <f>龙魂辅助表!D12</f>
        <v>1</v>
      </c>
      <c r="F10" s="1">
        <f>龙魂辅助表!V12</f>
        <v>55.128135067603871</v>
      </c>
      <c r="G10" s="1">
        <f ca="1">龙魂辅助表!Z12*龙魂辅助表!AA12</f>
        <v>323.99999999999994</v>
      </c>
      <c r="I10" s="1">
        <v>2</v>
      </c>
      <c r="J10" s="1">
        <f>SUMIF($E$4:$E$94,I10,$F$4:$F$94)+龙魂整图属性辅助表!T13</f>
        <v>1904.1873426363941</v>
      </c>
      <c r="K10" s="1">
        <f t="shared" ref="K10:K14" ca="1" si="0">SUMIF($E$4:$E$94,I10,$G$4:$G$94)</f>
        <v>6498.0793650793657</v>
      </c>
      <c r="L10" s="1">
        <f t="shared" ref="L10:L14" ca="1" si="1">K10/J10</f>
        <v>3.4125210369703516</v>
      </c>
    </row>
    <row r="11" spans="2:12">
      <c r="B11" s="1">
        <f>D_龙魂表!A9</f>
        <v>2002</v>
      </c>
      <c r="C11" s="1">
        <f>龙魂辅助表!G13</f>
        <v>2</v>
      </c>
      <c r="D11" s="1" t="str">
        <f>D_龙魂表!B9</f>
        <v>狻猊</v>
      </c>
      <c r="E11" s="1">
        <f>龙魂辅助表!D13</f>
        <v>1</v>
      </c>
      <c r="F11" s="1">
        <f>龙魂辅助表!V13</f>
        <v>60.688939978363017</v>
      </c>
      <c r="G11" s="1">
        <f ca="1">龙魂辅助表!Z13*龙魂辅助表!AA13</f>
        <v>407.42857142857139</v>
      </c>
      <c r="I11" s="1">
        <v>3</v>
      </c>
      <c r="J11" s="1">
        <f>SUMIF($E$4:$E$94,I11,$F$4:$F$94)+龙魂整图属性辅助表!T14</f>
        <v>3844.2373171886156</v>
      </c>
      <c r="K11" s="1">
        <f t="shared" ca="1" si="0"/>
        <v>13668.988636363638</v>
      </c>
      <c r="L11" s="1">
        <f t="shared" ca="1" si="1"/>
        <v>3.5557088463935163</v>
      </c>
    </row>
    <row r="12" spans="2:12">
      <c r="B12" s="1">
        <f>D_龙魂表!A10</f>
        <v>2003</v>
      </c>
      <c r="C12" s="1">
        <f>龙魂辅助表!G14</f>
        <v>2</v>
      </c>
      <c r="D12" s="1" t="str">
        <f>D_龙魂表!B10</f>
        <v>椒图</v>
      </c>
      <c r="E12" s="1">
        <f>龙魂辅助表!D14</f>
        <v>1</v>
      </c>
      <c r="F12" s="1">
        <f>龙魂辅助表!V14</f>
        <v>55.652139913364344</v>
      </c>
      <c r="G12" s="1">
        <f ca="1">龙魂辅助表!Z14*龙魂辅助表!AA14</f>
        <v>478.57142857142856</v>
      </c>
      <c r="I12" s="1">
        <v>4</v>
      </c>
      <c r="J12" s="1">
        <f>SUMIF($E$4:$E$94,I12,$F$4:$F$94)+龙魂整图属性辅助表!T15</f>
        <v>7281.5532501892067</v>
      </c>
      <c r="K12" s="1">
        <f t="shared" ca="1" si="0"/>
        <v>33245.196581196586</v>
      </c>
      <c r="L12" s="1">
        <f t="shared" ca="1" si="1"/>
        <v>4.5656737565343946</v>
      </c>
    </row>
    <row r="13" spans="2:12">
      <c r="B13" s="1">
        <f>D_龙魂表!A11</f>
        <v>1007</v>
      </c>
      <c r="C13" s="1">
        <f>龙魂辅助表!G15</f>
        <v>1</v>
      </c>
      <c r="D13" s="1" t="str">
        <f>D_龙魂表!B11</f>
        <v>貔貅</v>
      </c>
      <c r="E13" s="1">
        <f>龙魂辅助表!D15</f>
        <v>1</v>
      </c>
      <c r="F13" s="1">
        <f>龙魂辅助表!V15</f>
        <v>24.963122659707253</v>
      </c>
      <c r="G13" s="1">
        <f ca="1">龙魂辅助表!Z15*龙魂辅助表!AA15</f>
        <v>186</v>
      </c>
      <c r="I13" s="1">
        <v>5</v>
      </c>
      <c r="J13" s="1">
        <f>SUMIF($E$4:$E$94,I13,$F$4:$F$94)+龙魂整图属性辅助表!T16</f>
        <v>12321.256905446699</v>
      </c>
      <c r="K13" s="1">
        <f t="shared" ca="1" si="0"/>
        <v>68837.166666666672</v>
      </c>
      <c r="L13" s="1">
        <f t="shared" ca="1" si="1"/>
        <v>5.5868623789701779</v>
      </c>
    </row>
    <row r="14" spans="2:12">
      <c r="B14" s="1">
        <f>D_龙魂表!A12</f>
        <v>1008</v>
      </c>
      <c r="C14" s="1">
        <f>龙魂辅助表!G16</f>
        <v>1</v>
      </c>
      <c r="D14" s="1" t="str">
        <f>D_龙魂表!B12</f>
        <v>赑屃</v>
      </c>
      <c r="E14" s="1">
        <f>龙魂辅助表!D16</f>
        <v>2</v>
      </c>
      <c r="F14" s="1">
        <f>龙魂辅助表!V16</f>
        <v>62.234975290929377</v>
      </c>
      <c r="G14" s="1">
        <f ca="1">龙魂辅助表!Z16*龙魂辅助表!AA16</f>
        <v>114.42857142857142</v>
      </c>
      <c r="I14" s="1">
        <v>6</v>
      </c>
      <c r="J14" s="1">
        <f>SUMIF($E$4:$E$94,I14,$F$4:$F$94)+龙魂整图属性辅助表!T17</f>
        <v>18757.071304665136</v>
      </c>
      <c r="K14" s="1">
        <f t="shared" ca="1" si="0"/>
        <v>118048.01604278077</v>
      </c>
      <c r="L14" s="1">
        <f t="shared" ca="1" si="1"/>
        <v>6.2935206741694607</v>
      </c>
    </row>
    <row r="15" spans="2:12">
      <c r="B15" s="1">
        <f>D_龙魂表!A13</f>
        <v>1009</v>
      </c>
      <c r="C15" s="1">
        <f>龙魂辅助表!G17</f>
        <v>1</v>
      </c>
      <c r="D15" s="1" t="str">
        <f>D_龙魂表!B13</f>
        <v>鸱吻</v>
      </c>
      <c r="E15" s="1">
        <f>龙魂辅助表!D17</f>
        <v>2</v>
      </c>
      <c r="F15" s="1">
        <f>龙魂辅助表!V17</f>
        <v>85.182414310067045</v>
      </c>
      <c r="G15" s="1">
        <f ca="1">龙魂辅助表!Z17*龙魂辅助表!AA17</f>
        <v>150.85714285714286</v>
      </c>
    </row>
    <row r="16" spans="2:12">
      <c r="B16" s="1">
        <f>D_龙魂表!A14</f>
        <v>1010</v>
      </c>
      <c r="C16" s="1">
        <f>龙魂辅助表!G18</f>
        <v>1</v>
      </c>
      <c r="D16" s="1" t="str">
        <f>D_龙魂表!B14</f>
        <v>蒲牢</v>
      </c>
      <c r="E16" s="1">
        <f>龙魂辅助表!D18</f>
        <v>2</v>
      </c>
      <c r="F16" s="1">
        <f>龙魂辅助表!V18</f>
        <v>94.405017744120229</v>
      </c>
      <c r="G16" s="1">
        <f ca="1">龙魂辅助表!Z18*龙魂辅助表!AA18</f>
        <v>191.28571428571431</v>
      </c>
      <c r="I16" s="6" t="s">
        <v>78</v>
      </c>
      <c r="J16" s="1">
        <f ca="1">SUMIF(C4:C94,1,G4:G94)</f>
        <v>75611.083152958163</v>
      </c>
      <c r="K16">
        <f ca="1">J16/SUM($J$16:$J$17)</f>
        <v>0.31202201825358333</v>
      </c>
    </row>
    <row r="17" spans="2:11">
      <c r="B17" s="1">
        <f>D_龙魂表!A15</f>
        <v>1011</v>
      </c>
      <c r="C17" s="1">
        <f>龙魂辅助表!G19</f>
        <v>1</v>
      </c>
      <c r="D17" s="1" t="str">
        <f>D_龙魂表!B15</f>
        <v>睚眦</v>
      </c>
      <c r="E17" s="1">
        <f>龙魂辅助表!D19</f>
        <v>2</v>
      </c>
      <c r="F17" s="1">
        <f>龙魂辅助表!V19</f>
        <v>83.726120163912327</v>
      </c>
      <c r="G17" s="1">
        <f ca="1">龙魂辅助表!Z19*龙魂辅助表!AA19</f>
        <v>233.57142857142856</v>
      </c>
      <c r="I17" s="6" t="s">
        <v>79</v>
      </c>
      <c r="J17" s="1">
        <f ca="1">SUMIF(C4:C94,2,G4:G94)</f>
        <v>166715.03080579554</v>
      </c>
      <c r="K17">
        <f ca="1">J17/SUM($J$16:$J$17)</f>
        <v>0.68797798174641667</v>
      </c>
    </row>
    <row r="18" spans="2:11">
      <c r="B18" s="1">
        <f>D_龙魂表!A16</f>
        <v>2004</v>
      </c>
      <c r="C18" s="1">
        <f>龙魂辅助表!G20</f>
        <v>2</v>
      </c>
      <c r="D18" s="1" t="str">
        <f>D_龙魂表!B16</f>
        <v>饕餮</v>
      </c>
      <c r="E18" s="1">
        <f>龙魂辅助表!D20</f>
        <v>2</v>
      </c>
      <c r="F18" s="1">
        <f>龙魂辅助表!V20</f>
        <v>133.95621605212159</v>
      </c>
      <c r="G18" s="1">
        <f ca="1">龙魂辅助表!Z20*龙魂辅助表!AA20</f>
        <v>465.66666666666669</v>
      </c>
    </row>
    <row r="19" spans="2:11">
      <c r="B19" s="1">
        <f>D_龙魂表!A17</f>
        <v>2005</v>
      </c>
      <c r="C19" s="1">
        <f>龙魂辅助表!G21</f>
        <v>2</v>
      </c>
      <c r="D19" s="1" t="str">
        <f>D_龙魂表!B17</f>
        <v>蚣蝮</v>
      </c>
      <c r="E19" s="1">
        <f>龙魂辅助表!D21</f>
        <v>2</v>
      </c>
      <c r="F19" s="1">
        <f>龙魂辅助表!V21</f>
        <v>148.35074216933182</v>
      </c>
      <c r="G19" s="1">
        <f ca="1">龙魂辅助表!Z21*龙魂辅助表!AA21</f>
        <v>559.1111111111112</v>
      </c>
    </row>
    <row r="20" spans="2:11">
      <c r="B20" s="1">
        <f>D_龙魂表!A18</f>
        <v>1012</v>
      </c>
      <c r="C20" s="1">
        <f>龙魂辅助表!G22</f>
        <v>1</v>
      </c>
      <c r="D20" s="1" t="str">
        <f>D_龙魂表!B18</f>
        <v>狴犴</v>
      </c>
      <c r="E20" s="1">
        <f>龙魂辅助表!D22</f>
        <v>2</v>
      </c>
      <c r="F20" s="1">
        <f>龙魂辅助表!V22</f>
        <v>91.22185624942901</v>
      </c>
      <c r="G20" s="1">
        <f ca="1">龙魂辅助表!Z22*龙魂辅助表!AA22</f>
        <v>274.42857142857144</v>
      </c>
    </row>
    <row r="21" spans="2:11">
      <c r="B21" s="1">
        <f>D_龙魂表!A19</f>
        <v>1013</v>
      </c>
      <c r="C21" s="1">
        <f>龙魂辅助表!G23</f>
        <v>1</v>
      </c>
      <c r="D21" s="1" t="str">
        <f>D_龙魂表!B19</f>
        <v>狻猊</v>
      </c>
      <c r="E21" s="1">
        <f>龙魂辅助表!D23</f>
        <v>2</v>
      </c>
      <c r="F21" s="1">
        <f>龙魂辅助表!V23</f>
        <v>81.323976855027311</v>
      </c>
      <c r="G21" s="1">
        <f ca="1">龙魂辅助表!Z23*龙魂辅助表!AA23</f>
        <v>336.57142857142856</v>
      </c>
    </row>
    <row r="22" spans="2:11">
      <c r="B22" s="1">
        <f>D_龙魂表!A20</f>
        <v>1014</v>
      </c>
      <c r="C22" s="1">
        <f>龙魂辅助表!G24</f>
        <v>1</v>
      </c>
      <c r="D22" s="1" t="str">
        <f>D_龙魂表!B20</f>
        <v>椒图</v>
      </c>
      <c r="E22" s="1">
        <f>龙魂辅助表!D24</f>
        <v>2</v>
      </c>
      <c r="F22" s="1">
        <f>龙魂辅助表!V24</f>
        <v>103.39597181498883</v>
      </c>
      <c r="G22" s="1">
        <f ca="1">龙魂辅助表!Z24*龙魂辅助表!AA24</f>
        <v>371.99999999999994</v>
      </c>
    </row>
    <row r="23" spans="2:11">
      <c r="B23" s="1">
        <f>D_龙魂表!A21</f>
        <v>1015</v>
      </c>
      <c r="C23" s="1">
        <f>龙魂辅助表!G25</f>
        <v>1</v>
      </c>
      <c r="D23" s="1" t="str">
        <f>D_龙魂表!B21</f>
        <v>貔貅</v>
      </c>
      <c r="E23" s="1">
        <f>龙魂辅助表!D25</f>
        <v>2</v>
      </c>
      <c r="F23" s="1">
        <f>龙魂辅助表!V25</f>
        <v>96.17369357588214</v>
      </c>
      <c r="G23" s="1">
        <f ca="1">龙魂辅助表!Z25*龙魂辅助表!AA25</f>
        <v>417.28571428571428</v>
      </c>
    </row>
    <row r="24" spans="2:11">
      <c r="B24" s="1">
        <f>D_龙魂表!A22</f>
        <v>2006</v>
      </c>
      <c r="C24" s="1">
        <f>龙魂辅助表!G26</f>
        <v>2</v>
      </c>
      <c r="D24" s="1" t="str">
        <f>D_龙魂表!B22</f>
        <v>犼</v>
      </c>
      <c r="E24" s="1">
        <f>龙魂辅助表!D26</f>
        <v>2</v>
      </c>
      <c r="F24" s="1">
        <f>龙魂辅助表!V26</f>
        <v>139.32549683526034</v>
      </c>
      <c r="G24" s="1">
        <f ca="1">龙魂辅助表!Z26*龙魂辅助表!AA26</f>
        <v>887.44444444444446</v>
      </c>
    </row>
    <row r="25" spans="2:11">
      <c r="B25" s="1">
        <f>D_龙魂表!A23</f>
        <v>2007</v>
      </c>
      <c r="C25" s="1">
        <f>龙魂辅助表!G27</f>
        <v>2</v>
      </c>
      <c r="D25" s="1" t="str">
        <f>D_龙魂表!B23</f>
        <v>螭</v>
      </c>
      <c r="E25" s="1">
        <f>龙魂辅助表!D27</f>
        <v>2</v>
      </c>
      <c r="F25" s="1">
        <f>龙魂辅助表!V27</f>
        <v>161.83717327563471</v>
      </c>
      <c r="G25" s="1">
        <f ca="1">龙魂辅助表!Z27*龙魂辅助表!AA27</f>
        <v>887.44444444444446</v>
      </c>
    </row>
    <row r="26" spans="2:11">
      <c r="B26" s="1">
        <f>D_龙魂表!A24</f>
        <v>2008</v>
      </c>
      <c r="C26" s="1">
        <f>龙魂辅助表!G28</f>
        <v>2</v>
      </c>
      <c r="D26" s="1" t="str">
        <f>D_龙魂表!B24</f>
        <v>麒麟</v>
      </c>
      <c r="E26" s="1">
        <f>龙魂辅助表!D28</f>
        <v>2</v>
      </c>
      <c r="F26" s="1">
        <f>龙魂辅助表!V28</f>
        <v>130.95552155331606</v>
      </c>
      <c r="G26" s="1">
        <f ca="1">龙魂辅助表!Z28*龙魂辅助表!AA28</f>
        <v>1136.5555555555559</v>
      </c>
    </row>
    <row r="27" spans="2:11">
      <c r="B27" s="1">
        <f>D_龙魂表!A25</f>
        <v>1016</v>
      </c>
      <c r="C27" s="1">
        <f>龙魂辅助表!G29</f>
        <v>1</v>
      </c>
      <c r="D27" s="1" t="s">
        <v>123</v>
      </c>
      <c r="E27" s="1">
        <f>龙魂辅助表!D29</f>
        <v>2</v>
      </c>
      <c r="F27" s="1">
        <f>龙魂辅助表!V29</f>
        <v>75.498166746373357</v>
      </c>
      <c r="G27" s="1">
        <f ca="1">龙魂辅助表!Z29*龙魂辅助表!AA29</f>
        <v>471.42857142857139</v>
      </c>
    </row>
    <row r="28" spans="2:11">
      <c r="B28" s="1">
        <f>D_龙魂表!A26</f>
        <v>1017</v>
      </c>
      <c r="C28" s="1">
        <f>龙魂辅助表!G30</f>
        <v>1</v>
      </c>
      <c r="D28" s="1" t="str">
        <f>D_龙魂表!B26</f>
        <v>赑屃</v>
      </c>
      <c r="E28" s="1">
        <f>龙魂辅助表!D30</f>
        <v>3</v>
      </c>
      <c r="F28" s="1">
        <f>龙魂辅助表!V30</f>
        <v>179.81908141737193</v>
      </c>
      <c r="G28" s="1">
        <f ca="1">龙魂辅助表!Z30*龙魂辅助表!AA30</f>
        <v>318.5</v>
      </c>
    </row>
    <row r="29" spans="2:11">
      <c r="B29" s="1">
        <f>D_龙魂表!A27</f>
        <v>1018</v>
      </c>
      <c r="C29" s="1">
        <f>龙魂辅助表!G31</f>
        <v>1</v>
      </c>
      <c r="D29" s="1" t="str">
        <f>D_龙魂表!B27</f>
        <v>鸱吻</v>
      </c>
      <c r="E29" s="1">
        <f>龙魂辅助表!D31</f>
        <v>3</v>
      </c>
      <c r="F29" s="1">
        <f>龙魂辅助表!V31</f>
        <v>159.43938898401274</v>
      </c>
      <c r="G29" s="1">
        <f ca="1">龙魂辅助表!Z31*龙魂辅助表!AA31</f>
        <v>399.5</v>
      </c>
    </row>
    <row r="30" spans="2:11">
      <c r="B30" s="1">
        <f>D_龙魂表!A28</f>
        <v>2009</v>
      </c>
      <c r="C30" s="1">
        <f>龙魂辅助表!G32</f>
        <v>2</v>
      </c>
      <c r="D30" s="1" t="str">
        <f>D_龙魂表!B28</f>
        <v>蒲牢</v>
      </c>
      <c r="E30" s="1">
        <f>龙魂辅助表!D32</f>
        <v>3</v>
      </c>
      <c r="F30" s="1">
        <f>龙魂辅助表!V32</f>
        <v>278.15764156749708</v>
      </c>
      <c r="G30" s="1">
        <f ca="1">龙魂辅助表!Z32*龙魂辅助表!AA32</f>
        <v>909.45454545454538</v>
      </c>
    </row>
    <row r="31" spans="2:11">
      <c r="B31" s="1">
        <f>D_龙魂表!A29</f>
        <v>1019</v>
      </c>
      <c r="C31" s="1">
        <f>龙魂辅助表!G33</f>
        <v>1</v>
      </c>
      <c r="D31" s="1" t="str">
        <f>D_龙魂表!B29</f>
        <v>睚眦</v>
      </c>
      <c r="E31" s="1">
        <f>龙魂辅助表!D33</f>
        <v>3</v>
      </c>
      <c r="F31" s="1">
        <f>龙魂辅助表!V33</f>
        <v>172.5974322210028</v>
      </c>
      <c r="G31" s="1">
        <f ca="1">龙魂辅助表!Z33*龙魂辅助表!AA33</f>
        <v>485</v>
      </c>
    </row>
    <row r="32" spans="2:11">
      <c r="B32" s="1">
        <f>D_龙魂表!A30</f>
        <v>2010</v>
      </c>
      <c r="C32" s="1">
        <f>龙魂辅助表!G34</f>
        <v>2</v>
      </c>
      <c r="D32" s="1" t="str">
        <f>D_龙魂表!B30</f>
        <v>饕餮</v>
      </c>
      <c r="E32" s="1">
        <f>龙魂辅助表!D34</f>
        <v>3</v>
      </c>
      <c r="F32" s="1">
        <f>龙魂辅助表!V34</f>
        <v>173.60717122432769</v>
      </c>
      <c r="G32" s="1">
        <f ca="1">龙魂辅助表!Z34*龙魂辅助表!AA34</f>
        <v>1085.2727272727273</v>
      </c>
    </row>
    <row r="33" spans="2:7">
      <c r="B33" s="1">
        <f>D_龙魂表!A31</f>
        <v>2011</v>
      </c>
      <c r="C33" s="1">
        <f>龙魂辅助表!G35</f>
        <v>2</v>
      </c>
      <c r="D33" s="1" t="str">
        <f>D_龙魂表!B31</f>
        <v>蚣蝮</v>
      </c>
      <c r="E33" s="1">
        <f>龙魂辅助表!D35</f>
        <v>3</v>
      </c>
      <c r="F33" s="1">
        <f>龙魂辅助表!V35</f>
        <v>266.62439156528046</v>
      </c>
      <c r="G33" s="1">
        <f ca="1">龙魂辅助表!Z35*龙魂辅助表!AA35</f>
        <v>1300.9090909090912</v>
      </c>
    </row>
    <row r="34" spans="2:7">
      <c r="B34" s="1">
        <f>D_龙魂表!A32</f>
        <v>2012</v>
      </c>
      <c r="C34" s="1">
        <f>龙魂辅助表!G36</f>
        <v>2</v>
      </c>
      <c r="D34" s="1" t="str">
        <f>D_龙魂表!B32</f>
        <v>狴犴</v>
      </c>
      <c r="E34" s="1">
        <f>龙魂辅助表!D36</f>
        <v>3</v>
      </c>
      <c r="F34" s="1">
        <f>龙魂辅助表!V36</f>
        <v>268.04929774785575</v>
      </c>
      <c r="G34" s="1">
        <f ca="1">龙魂辅助表!Z36*龙魂辅助表!AA36</f>
        <v>1453.545454545455</v>
      </c>
    </row>
    <row r="35" spans="2:7">
      <c r="B35" s="1">
        <f>D_龙魂表!A33</f>
        <v>1020</v>
      </c>
      <c r="C35" s="1">
        <f>龙魂辅助表!G37</f>
        <v>1</v>
      </c>
      <c r="D35" s="1" t="str">
        <f>D_龙魂表!B33</f>
        <v>狻猊</v>
      </c>
      <c r="E35" s="1">
        <f>龙魂辅助表!D37</f>
        <v>3</v>
      </c>
      <c r="F35" s="1">
        <f>龙魂辅助表!V37</f>
        <v>199.48679344739688</v>
      </c>
      <c r="G35" s="1">
        <f ca="1">龙魂辅助表!Z37*龙魂辅助表!AA37</f>
        <v>575</v>
      </c>
    </row>
    <row r="36" spans="2:7">
      <c r="B36" s="1">
        <f>D_龙魂表!A34</f>
        <v>1021</v>
      </c>
      <c r="C36" s="1">
        <f>龙魂辅助表!G38</f>
        <v>1</v>
      </c>
      <c r="D36" s="1" t="str">
        <f>D_龙魂表!B34</f>
        <v>椒图</v>
      </c>
      <c r="E36" s="1">
        <f>龙魂辅助表!D38</f>
        <v>3</v>
      </c>
      <c r="F36" s="1">
        <f>龙魂辅助表!V38</f>
        <v>183.80523274138682</v>
      </c>
      <c r="G36" s="1">
        <f ca="1">龙魂辅助表!Z38*龙魂辅助表!AA38</f>
        <v>650</v>
      </c>
    </row>
    <row r="37" spans="2:7">
      <c r="B37" s="1">
        <f>D_龙魂表!A35</f>
        <v>2013</v>
      </c>
      <c r="C37" s="1">
        <f>龙魂辅助表!G39</f>
        <v>2</v>
      </c>
      <c r="D37" s="1" t="str">
        <f>D_龙魂表!B35</f>
        <v>貔貅</v>
      </c>
      <c r="E37" s="1">
        <f>龙魂辅助表!D39</f>
        <v>3</v>
      </c>
      <c r="F37" s="1">
        <f>龙魂辅助表!V39</f>
        <v>245.54160291246757</v>
      </c>
      <c r="G37" s="1">
        <f ca="1">龙魂辅助表!Z39*龙魂辅助表!AA39</f>
        <v>1088.8181818181822</v>
      </c>
    </row>
    <row r="38" spans="2:7">
      <c r="B38" s="1">
        <f>D_龙魂表!A36</f>
        <v>2014</v>
      </c>
      <c r="C38" s="1">
        <f>龙魂辅助表!G40</f>
        <v>2</v>
      </c>
      <c r="D38" s="1" t="str">
        <f>D_龙魂表!B36</f>
        <v>犼</v>
      </c>
      <c r="E38" s="1">
        <f>龙魂辅助表!D40</f>
        <v>3</v>
      </c>
      <c r="F38" s="1">
        <f>龙魂辅助表!V40</f>
        <v>212.33859397417507</v>
      </c>
      <c r="G38" s="1">
        <f ca="1">龙魂辅助表!Z40*龙魂辅助表!AA40</f>
        <v>1323.636363636364</v>
      </c>
    </row>
    <row r="39" spans="2:7">
      <c r="B39" s="1">
        <f>D_龙魂表!A37</f>
        <v>2015</v>
      </c>
      <c r="C39" s="1">
        <f>龙魂辅助表!G41</f>
        <v>2</v>
      </c>
      <c r="D39" s="1" t="str">
        <f>D_龙魂表!B37</f>
        <v>螭</v>
      </c>
      <c r="E39" s="1">
        <f>龙魂辅助表!D41</f>
        <v>3</v>
      </c>
      <c r="F39" s="1">
        <f>龙魂辅助表!V41</f>
        <v>316.08822905397403</v>
      </c>
      <c r="G39" s="1">
        <f ca="1">龙魂辅助表!Z41*龙魂辅助表!AA41</f>
        <v>1458.7272727272727</v>
      </c>
    </row>
    <row r="40" spans="2:7">
      <c r="B40" s="1">
        <f>D_龙魂表!A38</f>
        <v>1022</v>
      </c>
      <c r="C40" s="1">
        <f>龙魂辅助表!G42</f>
        <v>1</v>
      </c>
      <c r="D40" s="1" t="str">
        <f>D_龙魂表!B38</f>
        <v>麒麟</v>
      </c>
      <c r="E40" s="1">
        <f>龙魂辅助表!D42</f>
        <v>3</v>
      </c>
      <c r="F40" s="1">
        <f>龙魂辅助表!V42</f>
        <v>171.20330392340904</v>
      </c>
      <c r="G40" s="1">
        <f ca="1">龙魂辅助表!Z42*龙魂辅助表!AA42</f>
        <v>735.875</v>
      </c>
    </row>
    <row r="41" spans="2:7">
      <c r="B41" s="1">
        <f>D_龙魂表!A39</f>
        <v>1023</v>
      </c>
      <c r="C41" s="1">
        <f>龙魂辅助表!G43</f>
        <v>1</v>
      </c>
      <c r="D41" s="1" t="s">
        <v>123</v>
      </c>
      <c r="E41" s="1">
        <f>龙魂辅助表!D43</f>
        <v>3</v>
      </c>
      <c r="F41" s="1">
        <f>龙魂辅助表!V43</f>
        <v>216.34483233027558</v>
      </c>
      <c r="G41" s="1">
        <f ca="1">龙魂辅助表!Z43*龙魂辅助表!AA43</f>
        <v>896</v>
      </c>
    </row>
    <row r="42" spans="2:7">
      <c r="B42" s="1">
        <f>D_龙魂表!A40</f>
        <v>1024</v>
      </c>
      <c r="C42" s="1">
        <f>龙魂辅助表!G44</f>
        <v>1</v>
      </c>
      <c r="D42" s="1" t="str">
        <f>D_龙魂表!B40</f>
        <v>蟠螭</v>
      </c>
      <c r="E42" s="1">
        <f>龙魂辅助表!D44</f>
        <v>3</v>
      </c>
      <c r="F42" s="1">
        <f>龙魂辅助表!V44</f>
        <v>200.93432407818236</v>
      </c>
      <c r="G42" s="1">
        <f ca="1">龙魂辅助表!Z44*龙魂辅助表!AA44</f>
        <v>988.75000000000023</v>
      </c>
    </row>
    <row r="43" spans="2:7">
      <c r="B43" s="1">
        <f>D_龙魂表!A41</f>
        <v>1025</v>
      </c>
      <c r="C43" s="1">
        <f>龙魂辅助表!G45</f>
        <v>1</v>
      </c>
      <c r="D43" s="1" t="str">
        <f>D_龙魂表!B41</f>
        <v>赑屃</v>
      </c>
      <c r="E43" s="1">
        <f>龙魂辅助表!D45</f>
        <v>4</v>
      </c>
      <c r="F43" s="1">
        <f>龙魂辅助表!V45</f>
        <v>274.7263317878373</v>
      </c>
      <c r="G43" s="1">
        <f ca="1">龙魂辅助表!Z45*龙魂辅助表!AA45</f>
        <v>667.33333333333326</v>
      </c>
    </row>
    <row r="44" spans="2:7">
      <c r="B44" s="1">
        <f>D_龙魂表!A42</f>
        <v>1026</v>
      </c>
      <c r="C44" s="1">
        <f>龙魂辅助表!G46</f>
        <v>1</v>
      </c>
      <c r="D44" s="1" t="str">
        <f>D_龙魂表!B42</f>
        <v>鸱吻</v>
      </c>
      <c r="E44" s="1">
        <f>龙魂辅助表!D46</f>
        <v>4</v>
      </c>
      <c r="F44" s="1">
        <f>龙魂辅助表!V46</f>
        <v>319.17886951583506</v>
      </c>
      <c r="G44" s="1">
        <f ca="1">龙魂辅助表!Z46*龙魂辅助表!AA46</f>
        <v>800</v>
      </c>
    </row>
    <row r="45" spans="2:7">
      <c r="B45" s="1">
        <f>D_龙魂表!A43</f>
        <v>2016</v>
      </c>
      <c r="C45" s="1">
        <f>龙魂辅助表!G47</f>
        <v>2</v>
      </c>
      <c r="D45" s="1" t="str">
        <f>D_龙魂表!B43</f>
        <v>蒲牢</v>
      </c>
      <c r="E45" s="1">
        <f>龙魂辅助表!D47</f>
        <v>4</v>
      </c>
      <c r="F45" s="1">
        <f>龙魂辅助表!V47</f>
        <v>294.11097242709633</v>
      </c>
      <c r="G45" s="1">
        <f ca="1">龙魂辅助表!Z47*龙魂辅助表!AA47</f>
        <v>1862.8461538461536</v>
      </c>
    </row>
    <row r="46" spans="2:7">
      <c r="B46" s="1">
        <f>D_龙魂表!A44</f>
        <v>2017</v>
      </c>
      <c r="C46" s="1">
        <f>龙魂辅助表!G48</f>
        <v>2</v>
      </c>
      <c r="D46" s="1" t="str">
        <f>D_龙魂表!B44</f>
        <v>睚眦</v>
      </c>
      <c r="E46" s="1">
        <f>龙魂辅助表!D48</f>
        <v>4</v>
      </c>
      <c r="F46" s="1">
        <f>龙魂辅助表!V48</f>
        <v>451.32940485253266</v>
      </c>
      <c r="G46" s="1">
        <f ca="1">龙魂辅助表!Z48*龙魂辅助表!AA48</f>
        <v>2101.8461538461543</v>
      </c>
    </row>
    <row r="47" spans="2:7">
      <c r="B47" s="1">
        <f>D_龙魂表!A45</f>
        <v>2018</v>
      </c>
      <c r="C47" s="1">
        <f>龙魂辅助表!G49</f>
        <v>2</v>
      </c>
      <c r="D47" s="1" t="str">
        <f>D_龙魂表!B45</f>
        <v>饕餮</v>
      </c>
      <c r="E47" s="1">
        <f>龙魂辅助表!D49</f>
        <v>4</v>
      </c>
      <c r="F47" s="1">
        <f>龙魂辅助表!V49</f>
        <v>435.63746897785626</v>
      </c>
      <c r="G47" s="1">
        <f ca="1">龙魂辅助表!Z49*龙魂辅助表!AA49</f>
        <v>2398.8461538461547</v>
      </c>
    </row>
    <row r="48" spans="2:7">
      <c r="B48" s="1">
        <f>D_龙魂表!A46</f>
        <v>2019</v>
      </c>
      <c r="C48" s="1">
        <f>龙魂辅助表!G50</f>
        <v>2</v>
      </c>
      <c r="D48" s="1" t="str">
        <f>D_龙魂表!B46</f>
        <v>蚣蝮</v>
      </c>
      <c r="E48" s="1">
        <f>龙魂辅助表!D50</f>
        <v>4</v>
      </c>
      <c r="F48" s="1">
        <f>龙魂辅助表!V50</f>
        <v>505.74116648635851</v>
      </c>
      <c r="G48" s="1">
        <f ca="1">龙魂辅助表!Z50*龙魂辅助表!AA50</f>
        <v>3020.7692307692305</v>
      </c>
    </row>
    <row r="49" spans="2:7">
      <c r="B49" s="1">
        <f>D_龙魂表!A47</f>
        <v>1027</v>
      </c>
      <c r="C49" s="1">
        <f>龙魂辅助表!G51</f>
        <v>1</v>
      </c>
      <c r="D49" s="1" t="str">
        <f>D_龙魂表!B47</f>
        <v>狴犴</v>
      </c>
      <c r="E49" s="1">
        <f>龙魂辅助表!D51</f>
        <v>4</v>
      </c>
      <c r="F49" s="1">
        <f>龙魂辅助表!V51</f>
        <v>313.25145907573045</v>
      </c>
      <c r="G49" s="1">
        <f ca="1">龙魂辅助表!Z51*龙魂辅助表!AA51</f>
        <v>950.55555555555577</v>
      </c>
    </row>
    <row r="50" spans="2:7">
      <c r="B50" s="1">
        <f>D_龙魂表!A48</f>
        <v>1028</v>
      </c>
      <c r="C50" s="1">
        <f>龙魂辅助表!G52</f>
        <v>1</v>
      </c>
      <c r="D50" s="1" t="str">
        <f>D_龙魂表!B48</f>
        <v>狻猊</v>
      </c>
      <c r="E50" s="1">
        <f>龙魂辅助表!D52</f>
        <v>4</v>
      </c>
      <c r="F50" s="1">
        <f>龙魂辅助表!V52</f>
        <v>314.51117602415076</v>
      </c>
      <c r="G50" s="1">
        <f ca="1">龙魂辅助表!Z52*龙魂辅助表!AA52</f>
        <v>1118.3333333333335</v>
      </c>
    </row>
    <row r="51" spans="2:7">
      <c r="B51" s="1">
        <f>D_龙魂表!A49</f>
        <v>2020</v>
      </c>
      <c r="C51" s="1">
        <f>龙魂辅助表!G53</f>
        <v>2</v>
      </c>
      <c r="D51" s="1" t="str">
        <f>D_龙魂表!B49</f>
        <v>椒图</v>
      </c>
      <c r="E51" s="1">
        <f>龙魂辅助表!D53</f>
        <v>4</v>
      </c>
      <c r="F51" s="1">
        <f>龙魂辅助表!V53</f>
        <v>419.77523347227338</v>
      </c>
      <c r="G51" s="1">
        <f ca="1">龙魂辅助表!Z53*龙魂辅助表!AA53</f>
        <v>2345.5384615384623</v>
      </c>
    </row>
    <row r="52" spans="2:7">
      <c r="B52" s="1">
        <f>D_龙魂表!A50</f>
        <v>2021</v>
      </c>
      <c r="C52" s="1">
        <f>龙魂辅助表!G54</f>
        <v>2</v>
      </c>
      <c r="D52" s="1" t="str">
        <f>D_龙魂表!B50</f>
        <v>貔貅</v>
      </c>
      <c r="E52" s="1">
        <f>龙魂辅助表!D54</f>
        <v>4</v>
      </c>
      <c r="F52" s="1">
        <f>龙魂辅助表!V54</f>
        <v>488.42497237465869</v>
      </c>
      <c r="G52" s="1">
        <f ca="1">龙魂辅助表!Z54*龙魂辅助表!AA54</f>
        <v>2850.7692307692305</v>
      </c>
    </row>
    <row r="53" spans="2:7">
      <c r="B53" s="1">
        <f>D_龙魂表!A51</f>
        <v>2022</v>
      </c>
      <c r="C53" s="1">
        <f>龙魂辅助表!G55</f>
        <v>2</v>
      </c>
      <c r="D53" s="1" t="str">
        <f>D_龙魂表!B51</f>
        <v>犼</v>
      </c>
      <c r="E53" s="1">
        <f>龙魂辅助表!D55</f>
        <v>4</v>
      </c>
      <c r="F53" s="1">
        <f>龙魂辅助表!V55</f>
        <v>539.45724425211563</v>
      </c>
      <c r="G53" s="1">
        <f ca="1">龙魂辅助表!Z55*龙魂辅助表!AA55</f>
        <v>3305.0769230769233</v>
      </c>
    </row>
    <row r="54" spans="2:7">
      <c r="B54" s="1">
        <f>D_龙魂表!A52</f>
        <v>2023</v>
      </c>
      <c r="C54" s="1">
        <f>龙魂辅助表!G56</f>
        <v>2</v>
      </c>
      <c r="D54" s="1" t="str">
        <f>D_龙魂表!B52</f>
        <v>螭</v>
      </c>
      <c r="E54" s="1">
        <f>龙魂辅助表!D56</f>
        <v>4</v>
      </c>
      <c r="F54" s="1">
        <f>龙魂辅助表!V56</f>
        <v>496.27412840174435</v>
      </c>
      <c r="G54" s="1">
        <f ca="1">龙魂辅助表!Z56*龙魂辅助表!AA56</f>
        <v>3682.6153846153848</v>
      </c>
    </row>
    <row r="55" spans="2:7">
      <c r="B55" s="1">
        <f>D_龙魂表!A53</f>
        <v>1029</v>
      </c>
      <c r="C55" s="1">
        <f>龙魂辅助表!G57</f>
        <v>1</v>
      </c>
      <c r="D55" s="1" t="str">
        <f>D_龙魂表!B53</f>
        <v>麒麟</v>
      </c>
      <c r="E55" s="1">
        <f>龙魂辅助表!D57</f>
        <v>4</v>
      </c>
      <c r="F55" s="1">
        <f>龙魂辅助表!V57</f>
        <v>368.62911690561242</v>
      </c>
      <c r="G55" s="1">
        <f ca="1">龙魂辅助表!Z57*龙魂辅助表!AA57</f>
        <v>1282.6666666666667</v>
      </c>
    </row>
    <row r="56" spans="2:7">
      <c r="B56" s="1">
        <f>D_龙魂表!A54</f>
        <v>1030</v>
      </c>
      <c r="C56" s="1">
        <f>龙魂辅助表!G58</f>
        <v>1</v>
      </c>
      <c r="D56" s="1" t="s">
        <v>123</v>
      </c>
      <c r="E56" s="1">
        <f>龙魂辅助表!D58</f>
        <v>4</v>
      </c>
      <c r="F56" s="1">
        <f>龙魂辅助表!V58</f>
        <v>226.02972880971296</v>
      </c>
      <c r="G56" s="1">
        <f ca="1">龙魂辅助表!Z58*龙魂辅助表!AA58</f>
        <v>1444.1111111111113</v>
      </c>
    </row>
    <row r="57" spans="2:7">
      <c r="B57" s="1">
        <f>D_龙魂表!A55</f>
        <v>1031</v>
      </c>
      <c r="C57" s="1">
        <f>龙魂辅助表!G59</f>
        <v>1</v>
      </c>
      <c r="D57" s="1" t="str">
        <f>D_龙魂表!B55</f>
        <v>蟠螭</v>
      </c>
      <c r="E57" s="1">
        <f>龙魂辅助表!D59</f>
        <v>4</v>
      </c>
      <c r="F57" s="1">
        <f>龙魂辅助表!V59</f>
        <v>301.37709069804242</v>
      </c>
      <c r="G57" s="1">
        <f ca="1">龙魂辅助表!Z59*龙魂辅助表!AA59</f>
        <v>1610.0000000000002</v>
      </c>
    </row>
    <row r="58" spans="2:7">
      <c r="B58" s="1">
        <f>D_龙魂表!A56</f>
        <v>1032</v>
      </c>
      <c r="C58" s="1">
        <f>龙魂辅助表!G60</f>
        <v>1</v>
      </c>
      <c r="D58" s="1" t="s">
        <v>124</v>
      </c>
      <c r="E58" s="1">
        <f>龙魂辅助表!D60</f>
        <v>4</v>
      </c>
      <c r="F58" s="1">
        <f>龙魂辅助表!V60</f>
        <v>382.11554801191522</v>
      </c>
      <c r="G58" s="1">
        <f ca="1">龙魂辅助表!Z60*龙魂辅助表!AA60</f>
        <v>1807.5555555555557</v>
      </c>
    </row>
    <row r="59" spans="2:7">
      <c r="B59" s="1">
        <f>D_龙魂表!A57</f>
        <v>1033</v>
      </c>
      <c r="C59" s="1">
        <f>龙魂辅助表!G61</f>
        <v>1</v>
      </c>
      <c r="D59" s="1" t="s">
        <v>125</v>
      </c>
      <c r="E59" s="1">
        <f>龙魂辅助表!D61</f>
        <v>4</v>
      </c>
      <c r="F59" s="1">
        <f>龙魂辅助表!V61</f>
        <v>263.22333811573412</v>
      </c>
      <c r="G59" s="1">
        <f ca="1">龙魂辅助表!Z61*龙魂辅助表!AA61</f>
        <v>1996.3333333333337</v>
      </c>
    </row>
    <row r="60" spans="2:7">
      <c r="B60" s="1">
        <f>D_龙魂表!A58</f>
        <v>1034</v>
      </c>
      <c r="C60" s="1">
        <f>龙魂辅助表!G62</f>
        <v>1</v>
      </c>
      <c r="D60" s="1" t="s">
        <v>126</v>
      </c>
      <c r="E60" s="1">
        <f>龙魂辅助表!D62</f>
        <v>5</v>
      </c>
      <c r="F60" s="1">
        <f>龙魂辅助表!V62</f>
        <v>480.86846787941079</v>
      </c>
      <c r="G60" s="1">
        <f ca="1">龙魂辅助表!Z62*龙魂辅助表!AA62</f>
        <v>1367.9999999999998</v>
      </c>
    </row>
    <row r="61" spans="2:7">
      <c r="B61" s="1">
        <f>D_龙魂表!A59</f>
        <v>1035</v>
      </c>
      <c r="C61" s="1">
        <f>龙魂辅助表!G63</f>
        <v>1</v>
      </c>
      <c r="D61" s="1" t="str">
        <f>D_龙魂表!B59</f>
        <v>赑屃</v>
      </c>
      <c r="E61" s="1">
        <f>龙魂辅助表!D63</f>
        <v>5</v>
      </c>
      <c r="F61" s="1">
        <f>龙魂辅助表!V63</f>
        <v>531.02822481067631</v>
      </c>
      <c r="G61" s="1">
        <f ca="1">龙魂辅助表!Z63*龙魂辅助表!AA63</f>
        <v>1687</v>
      </c>
    </row>
    <row r="62" spans="2:7">
      <c r="B62" s="1">
        <f>D_龙魂表!A60</f>
        <v>1036</v>
      </c>
      <c r="C62" s="1">
        <f>龙魂辅助表!G64</f>
        <v>1</v>
      </c>
      <c r="D62" s="1" t="str">
        <f>D_龙魂表!B60</f>
        <v>鸱吻</v>
      </c>
      <c r="E62" s="1">
        <f>龙魂辅助表!D64</f>
        <v>5</v>
      </c>
      <c r="F62" s="1">
        <f>龙魂辅助表!V64</f>
        <v>488.44538700720392</v>
      </c>
      <c r="G62" s="1">
        <f ca="1">龙魂辅助表!Z64*龙魂辅助表!AA64</f>
        <v>1932</v>
      </c>
    </row>
    <row r="63" spans="2:7">
      <c r="B63" s="1">
        <f>D_龙魂表!A61</f>
        <v>2024</v>
      </c>
      <c r="C63" s="1">
        <f>龙魂辅助表!G65</f>
        <v>2</v>
      </c>
      <c r="D63" s="1" t="str">
        <f>D_龙魂表!B61</f>
        <v>蒲牢</v>
      </c>
      <c r="E63" s="1">
        <f>龙魂辅助表!D65</f>
        <v>5</v>
      </c>
      <c r="F63" s="1">
        <f>龙魂辅助表!V65</f>
        <v>555.71496891439506</v>
      </c>
      <c r="G63" s="1">
        <f ca="1">龙魂辅助表!Z65*龙魂辅助表!AA65</f>
        <v>4363.6666666666652</v>
      </c>
    </row>
    <row r="64" spans="2:7">
      <c r="B64" s="1">
        <f>D_龙魂表!A62</f>
        <v>2025</v>
      </c>
      <c r="C64" s="1">
        <f>龙魂辅助表!G66</f>
        <v>2</v>
      </c>
      <c r="D64" s="1" t="str">
        <f>D_龙魂表!B62</f>
        <v>睚眦</v>
      </c>
      <c r="E64" s="1">
        <f>龙魂辅助表!D66</f>
        <v>5</v>
      </c>
      <c r="F64" s="1">
        <f>龙魂辅助表!V66</f>
        <v>757.3678369100719</v>
      </c>
      <c r="G64" s="1">
        <f ca="1">龙魂辅助表!Z66*龙魂辅助表!AA66</f>
        <v>4822.9999999999982</v>
      </c>
    </row>
    <row r="65" spans="2:7">
      <c r="B65" s="1">
        <f>D_龙魂表!A63</f>
        <v>2026</v>
      </c>
      <c r="C65" s="1">
        <f>龙魂辅助表!G67</f>
        <v>2</v>
      </c>
      <c r="D65" s="1" t="str">
        <f>D_龙魂表!B63</f>
        <v>饕餮</v>
      </c>
      <c r="E65" s="1">
        <f>龙魂辅助表!D67</f>
        <v>5</v>
      </c>
      <c r="F65" s="1">
        <f>龙魂辅助表!V67</f>
        <v>729.74181881144295</v>
      </c>
      <c r="G65" s="1">
        <f ca="1">龙魂辅助表!Z67*龙魂辅助表!AA67</f>
        <v>4363.6666666666652</v>
      </c>
    </row>
    <row r="66" spans="2:7">
      <c r="B66" s="1">
        <f>D_龙魂表!A64</f>
        <v>2027</v>
      </c>
      <c r="C66" s="1">
        <f>龙魂辅助表!G68</f>
        <v>2</v>
      </c>
      <c r="D66" s="1" t="str">
        <f>D_龙魂表!B64</f>
        <v>蚣蝮</v>
      </c>
      <c r="E66" s="1">
        <f>龙魂辅助表!D68</f>
        <v>5</v>
      </c>
      <c r="F66" s="1">
        <f>龙魂辅助表!V68</f>
        <v>845.71161729107712</v>
      </c>
      <c r="G66" s="1">
        <f ca="1">龙魂辅助表!Z68*龙魂辅助表!AA68</f>
        <v>4822.9999999999982</v>
      </c>
    </row>
    <row r="67" spans="2:7">
      <c r="B67" s="1">
        <f>D_龙魂表!A65</f>
        <v>2028</v>
      </c>
      <c r="C67" s="1">
        <f>龙魂辅助表!G69</f>
        <v>2</v>
      </c>
      <c r="D67" s="1" t="str">
        <f>D_龙魂表!B65</f>
        <v>狴犴</v>
      </c>
      <c r="E67" s="1">
        <f>龙魂辅助表!D69</f>
        <v>5</v>
      </c>
      <c r="F67" s="1">
        <f>龙魂辅助表!V69</f>
        <v>685.93955321944816</v>
      </c>
      <c r="G67" s="1">
        <f ca="1">龙魂辅助表!Z69*龙魂辅助表!AA69</f>
        <v>5305.3333333333321</v>
      </c>
    </row>
    <row r="68" spans="2:7">
      <c r="B68" s="1">
        <f>D_龙魂表!A66</f>
        <v>1037</v>
      </c>
      <c r="C68" s="1">
        <f>龙魂辅助表!G70</f>
        <v>1</v>
      </c>
      <c r="D68" s="1" t="str">
        <f>D_龙魂表!B66</f>
        <v>狻猊</v>
      </c>
      <c r="E68" s="1">
        <f>龙魂辅助表!D70</f>
        <v>5</v>
      </c>
      <c r="F68" s="1">
        <f>龙魂辅助表!V70</f>
        <v>576.91955288073484</v>
      </c>
      <c r="G68" s="1">
        <f ca="1">龙魂辅助表!Z70*龙魂辅助表!AA70</f>
        <v>2182.5</v>
      </c>
    </row>
    <row r="69" spans="2:7">
      <c r="B69" s="1">
        <f>D_龙魂表!A67</f>
        <v>1038</v>
      </c>
      <c r="C69" s="1">
        <f>龙魂辅助表!G71</f>
        <v>1</v>
      </c>
      <c r="D69" s="1" t="str">
        <f>D_龙魂表!B67</f>
        <v>椒图</v>
      </c>
      <c r="E69" s="1">
        <f>龙魂辅助表!D71</f>
        <v>5</v>
      </c>
      <c r="F69" s="1">
        <f>龙魂辅助表!V71</f>
        <v>534.96617051584451</v>
      </c>
      <c r="G69" s="1">
        <f ca="1">龙魂辅助表!Z71*龙魂辅助表!AA71</f>
        <v>2430.0000000000005</v>
      </c>
    </row>
    <row r="70" spans="2:7">
      <c r="B70" s="1">
        <f>D_龙魂表!A68</f>
        <v>1039</v>
      </c>
      <c r="C70" s="1">
        <f>龙魂辅助表!G72</f>
        <v>1</v>
      </c>
      <c r="D70" s="1" t="str">
        <f>D_龙魂表!B68</f>
        <v>貔貅</v>
      </c>
      <c r="E70" s="1">
        <f>龙魂辅助表!D72</f>
        <v>5</v>
      </c>
      <c r="F70" s="1">
        <f>龙魂辅助表!V72</f>
        <v>515.11187210219498</v>
      </c>
      <c r="G70" s="1">
        <f ca="1">龙魂辅助表!Z72*龙魂辅助表!AA72</f>
        <v>2711.5000000000009</v>
      </c>
    </row>
    <row r="71" spans="2:7">
      <c r="B71" s="1">
        <f>D_龙魂表!A69</f>
        <v>2029</v>
      </c>
      <c r="C71" s="1">
        <f>龙魂辅助表!G73</f>
        <v>2</v>
      </c>
      <c r="D71" s="1" t="str">
        <f>D_龙魂表!B69</f>
        <v>犼</v>
      </c>
      <c r="E71" s="1">
        <f>龙魂辅助表!D73</f>
        <v>5</v>
      </c>
      <c r="F71" s="1">
        <f>龙魂辅助表!V73</f>
        <v>820.48182331924465</v>
      </c>
      <c r="G71" s="1">
        <f ca="1">龙魂辅助表!Z73*龙魂辅助表!AA73</f>
        <v>5833.3333333333339</v>
      </c>
    </row>
    <row r="72" spans="2:7">
      <c r="B72" s="1">
        <f>D_龙魂表!A70</f>
        <v>2030</v>
      </c>
      <c r="C72" s="1">
        <f>龙魂辅助表!G74</f>
        <v>2</v>
      </c>
      <c r="D72" s="1" t="str">
        <f>D_龙魂表!B70</f>
        <v>螭</v>
      </c>
      <c r="E72" s="1">
        <f>龙魂辅助表!D74</f>
        <v>5</v>
      </c>
      <c r="F72" s="1">
        <f>龙魂辅助表!V74</f>
        <v>904.71475338115238</v>
      </c>
      <c r="G72" s="1">
        <f ca="1">龙魂辅助表!Z74*龙魂辅助表!AA74</f>
        <v>5930.9999999999973</v>
      </c>
    </row>
    <row r="73" spans="2:7">
      <c r="B73" s="1">
        <f>D_龙魂表!A71</f>
        <v>2031</v>
      </c>
      <c r="C73" s="1">
        <f>龙魂辅助表!G75</f>
        <v>2</v>
      </c>
      <c r="D73" s="1" t="str">
        <f>D_龙魂表!B71</f>
        <v>麒麟</v>
      </c>
      <c r="E73" s="1">
        <f>龙魂辅助表!D75</f>
        <v>5</v>
      </c>
      <c r="F73" s="1">
        <f>龙魂辅助表!V75</f>
        <v>830.95282301835277</v>
      </c>
      <c r="G73" s="1">
        <f ca="1">龙魂辅助表!Z75*龙魂辅助表!AA75</f>
        <v>6969.6666666666679</v>
      </c>
    </row>
    <row r="74" spans="2:7">
      <c r="B74" s="1">
        <f>D_龙魂表!A72</f>
        <v>2032</v>
      </c>
      <c r="C74" s="1">
        <f>龙魂辅助表!G76</f>
        <v>2</v>
      </c>
      <c r="D74" s="1" t="s">
        <v>123</v>
      </c>
      <c r="E74" s="1">
        <f>龙魂辅助表!D76</f>
        <v>5</v>
      </c>
      <c r="F74" s="1">
        <f>龙魂辅助表!V76</f>
        <v>737.74600327124961</v>
      </c>
      <c r="G74" s="1">
        <f ca="1">龙魂辅助表!Z76*龙魂辅助表!AA76</f>
        <v>7594.9999999999982</v>
      </c>
    </row>
    <row r="75" spans="2:7">
      <c r="B75" s="1">
        <f>D_龙魂表!A73</f>
        <v>1040</v>
      </c>
      <c r="C75" s="1">
        <f>龙魂辅助表!G77</f>
        <v>1</v>
      </c>
      <c r="D75" s="1" t="str">
        <f>D_龙魂表!B73</f>
        <v>蟠螭</v>
      </c>
      <c r="E75" s="1">
        <f>龙魂辅助表!D77</f>
        <v>5</v>
      </c>
      <c r="F75" s="1">
        <f>龙魂辅助表!V77</f>
        <v>622.81088095079326</v>
      </c>
      <c r="G75" s="1">
        <f ca="1">龙魂辅助表!Z77*龙魂辅助表!AA77</f>
        <v>3054.0000000000009</v>
      </c>
    </row>
    <row r="76" spans="2:7">
      <c r="B76" s="1">
        <f>D_龙魂表!A74</f>
        <v>1041</v>
      </c>
      <c r="C76" s="1">
        <f>龙魂辅助表!G78</f>
        <v>1</v>
      </c>
      <c r="D76" s="1" t="s">
        <v>124</v>
      </c>
      <c r="E76" s="1">
        <f>龙魂辅助表!D78</f>
        <v>5</v>
      </c>
      <c r="F76" s="1">
        <f>龙魂辅助表!V78</f>
        <v>502.29515116340406</v>
      </c>
      <c r="G76" s="1">
        <f ca="1">龙魂辅助表!Z78*龙魂辅助表!AA78</f>
        <v>3464.5</v>
      </c>
    </row>
    <row r="77" spans="2:7">
      <c r="B77" s="1">
        <f ca="1">D_龙魂表!A75</f>
        <v>1042</v>
      </c>
      <c r="C77" s="1">
        <f>龙魂辅助表!G79</f>
        <v>1</v>
      </c>
      <c r="D77" s="1" t="str">
        <f>D_龙魂表!B75</f>
        <v>赑屃</v>
      </c>
      <c r="E77" s="1">
        <f>龙魂辅助表!D79</f>
        <v>6</v>
      </c>
      <c r="F77" s="1">
        <f>龙魂辅助表!V79</f>
        <v>476.56870532168386</v>
      </c>
      <c r="G77" s="1">
        <f ca="1">龙魂辅助表!Z79*龙魂辅助表!AA79</f>
        <v>2415.272727272727</v>
      </c>
    </row>
    <row r="78" spans="2:7">
      <c r="B78" s="1">
        <f ca="1">D_龙魂表!A76</f>
        <v>1043</v>
      </c>
      <c r="C78" s="1">
        <f>龙魂辅助表!G80</f>
        <v>1</v>
      </c>
      <c r="D78" s="1" t="str">
        <f>D_龙魂表!B76</f>
        <v>鸱吻</v>
      </c>
      <c r="E78" s="1">
        <f>龙魂辅助表!D80</f>
        <v>6</v>
      </c>
      <c r="F78" s="1">
        <f>龙魂辅助表!V80</f>
        <v>795.69943527187058</v>
      </c>
      <c r="G78" s="1">
        <f ca="1">龙魂辅助表!Z80*龙魂辅助表!AA80</f>
        <v>2832.8181818181815</v>
      </c>
    </row>
    <row r="79" spans="2:7">
      <c r="B79" s="1">
        <f ca="1">D_龙魂表!A77</f>
        <v>1044</v>
      </c>
      <c r="C79" s="1">
        <f>龙魂辅助表!G81</f>
        <v>1</v>
      </c>
      <c r="D79" s="1" t="str">
        <f>D_龙魂表!B77</f>
        <v>蒲牢</v>
      </c>
      <c r="E79" s="1">
        <f>龙魂辅助表!D81</f>
        <v>6</v>
      </c>
      <c r="F79" s="1">
        <f>龙魂辅助表!V81</f>
        <v>737.78962071783872</v>
      </c>
      <c r="G79" s="1">
        <f ca="1">龙魂辅助表!Z81*龙魂辅助表!AA81</f>
        <v>3310.0909090909099</v>
      </c>
    </row>
    <row r="80" spans="2:7">
      <c r="B80" s="1">
        <f ca="1">D_龙魂表!A78</f>
        <v>2033</v>
      </c>
      <c r="C80" s="1">
        <f>龙魂辅助表!G82</f>
        <v>2</v>
      </c>
      <c r="D80" s="1" t="str">
        <f>D_龙魂表!B78</f>
        <v>睚眦</v>
      </c>
      <c r="E80" s="1">
        <f>龙魂辅助表!D82</f>
        <v>6</v>
      </c>
      <c r="F80" s="1">
        <f>龙魂辅助表!V82</f>
        <v>830.98995695839324</v>
      </c>
      <c r="G80" s="1">
        <f ca="1">龙魂辅助表!Z82*龙魂辅助表!AA82</f>
        <v>7397.0588235294117</v>
      </c>
    </row>
    <row r="81" spans="2:7">
      <c r="B81" s="1">
        <f ca="1">D_龙魂表!A79</f>
        <v>2034</v>
      </c>
      <c r="C81" s="1">
        <f>龙魂辅助表!G83</f>
        <v>2</v>
      </c>
      <c r="D81" s="1" t="str">
        <f>D_龙魂表!B79</f>
        <v>饕餮</v>
      </c>
      <c r="E81" s="1">
        <f>龙魂辅助表!D83</f>
        <v>6</v>
      </c>
      <c r="F81" s="1">
        <f>龙魂辅助表!V83</f>
        <v>1234.0084462267146</v>
      </c>
      <c r="G81" s="1">
        <f ca="1">龙魂辅助表!Z83*龙魂辅助表!AA83</f>
        <v>8123.2941176470622</v>
      </c>
    </row>
    <row r="82" spans="2:7">
      <c r="B82" s="1">
        <f ca="1">D_龙魂表!A80</f>
        <v>2035</v>
      </c>
      <c r="C82" s="1">
        <f>龙魂辅助表!G84</f>
        <v>2</v>
      </c>
      <c r="D82" s="1" t="str">
        <f>D_龙魂表!B80</f>
        <v>蚣蝮</v>
      </c>
      <c r="E82" s="1">
        <f>龙魂辅助表!D84</f>
        <v>6</v>
      </c>
      <c r="F82" s="1">
        <f>龙魂辅助表!V84</f>
        <v>1089.0936724446408</v>
      </c>
      <c r="G82" s="1">
        <f ca="1">龙魂辅助表!Z84*龙魂辅助表!AA84</f>
        <v>8896.1764705882397</v>
      </c>
    </row>
    <row r="83" spans="2:7">
      <c r="B83" s="1">
        <f ca="1">D_龙魂表!A81</f>
        <v>1045</v>
      </c>
      <c r="C83" s="1">
        <f>龙魂辅助表!G85</f>
        <v>1</v>
      </c>
      <c r="D83" s="1" t="str">
        <f>D_龙魂表!B81</f>
        <v>狴犴</v>
      </c>
      <c r="E83" s="1">
        <f>龙魂辅助表!D85</f>
        <v>6</v>
      </c>
      <c r="F83" s="1">
        <f>龙魂辅助表!V85</f>
        <v>840.65420562621364</v>
      </c>
      <c r="G83" s="1">
        <f ca="1">龙魂辅助表!Z85*龙魂辅助表!AA85</f>
        <v>3684.8181818181829</v>
      </c>
    </row>
    <row r="84" spans="2:7">
      <c r="B84" s="1">
        <f ca="1">D_龙魂表!A82</f>
        <v>2036</v>
      </c>
      <c r="C84" s="1">
        <f>龙魂辅助表!G86</f>
        <v>2</v>
      </c>
      <c r="D84" s="1" t="str">
        <f>D_龙魂表!B82</f>
        <v>狻猊</v>
      </c>
      <c r="E84" s="1">
        <f>龙魂辅助表!D86</f>
        <v>6</v>
      </c>
      <c r="F84" s="1">
        <f>龙魂辅助表!V86</f>
        <v>1168.5103769469681</v>
      </c>
      <c r="G84" s="1">
        <f ca="1">龙魂辅助表!Z86*龙魂辅助表!AA86</f>
        <v>8123.2941176470622</v>
      </c>
    </row>
    <row r="85" spans="2:7">
      <c r="B85" s="1">
        <f ca="1">D_龙魂表!A83</f>
        <v>2037</v>
      </c>
      <c r="C85" s="1">
        <f>龙魂辅助表!G87</f>
        <v>2</v>
      </c>
      <c r="D85" s="1" t="str">
        <f>D_龙魂表!B83</f>
        <v>椒图</v>
      </c>
      <c r="E85" s="1">
        <f>龙魂辅助表!D87</f>
        <v>6</v>
      </c>
      <c r="F85" s="1">
        <f>龙魂辅助表!V87</f>
        <v>1170.226648453496</v>
      </c>
      <c r="G85" s="1">
        <f ca="1">龙魂辅助表!Z87*龙魂辅助表!AA87</f>
        <v>8123.2941176470622</v>
      </c>
    </row>
    <row r="86" spans="2:7">
      <c r="B86" s="1">
        <f ca="1">D_龙魂表!A84</f>
        <v>2038</v>
      </c>
      <c r="C86" s="1">
        <f>龙魂辅助表!G88</f>
        <v>2</v>
      </c>
      <c r="D86" s="1" t="str">
        <f>D_龙魂表!B84</f>
        <v>貔貅</v>
      </c>
      <c r="E86" s="1">
        <f>龙魂辅助表!D88</f>
        <v>6</v>
      </c>
      <c r="F86" s="1">
        <f>龙魂辅助表!V88</f>
        <v>1301.4406017582291</v>
      </c>
      <c r="G86" s="1">
        <f ca="1">龙魂辅助表!Z88*龙魂辅助表!AA88</f>
        <v>8896.1764705882397</v>
      </c>
    </row>
    <row r="87" spans="2:7">
      <c r="B87" s="1">
        <f ca="1">D_龙魂表!A85</f>
        <v>2039</v>
      </c>
      <c r="C87" s="1">
        <f>龙魂辅助表!G89</f>
        <v>2</v>
      </c>
      <c r="D87" s="1" t="str">
        <f>D_龙魂表!B85</f>
        <v>犼</v>
      </c>
      <c r="E87" s="1">
        <f>龙魂辅助表!D89</f>
        <v>6</v>
      </c>
      <c r="F87" s="1">
        <f>龙魂辅助表!V89</f>
        <v>1205.6059444690939</v>
      </c>
      <c r="G87" s="1">
        <f ca="1">龙魂辅助表!Z89*龙魂辅助表!AA89</f>
        <v>9716.8235294117658</v>
      </c>
    </row>
    <row r="88" spans="2:7">
      <c r="B88" s="1">
        <f ca="1">D_龙魂表!A86</f>
        <v>2040</v>
      </c>
      <c r="C88" s="1">
        <f>龙魂辅助表!G90</f>
        <v>2</v>
      </c>
      <c r="D88" s="1" t="str">
        <f>D_龙魂表!B86</f>
        <v>螭</v>
      </c>
      <c r="E88" s="1">
        <f>龙魂辅助表!D90</f>
        <v>6</v>
      </c>
      <c r="F88" s="1">
        <f>龙魂辅助表!V90</f>
        <v>804.72029955747189</v>
      </c>
      <c r="G88" s="1">
        <f ca="1">龙魂辅助表!Z90*龙魂辅助表!AA90</f>
        <v>10593.705882352941</v>
      </c>
    </row>
    <row r="89" spans="2:7">
      <c r="B89" s="1">
        <f ca="1">D_龙魂表!A87</f>
        <v>2041</v>
      </c>
      <c r="C89" s="1">
        <f>龙魂辅助表!G91</f>
        <v>2</v>
      </c>
      <c r="D89" s="1" t="str">
        <f>D_龙魂表!B87</f>
        <v>麒麟</v>
      </c>
      <c r="E89" s="1">
        <f>龙魂辅助表!D91</f>
        <v>6</v>
      </c>
      <c r="F89" s="1">
        <f>龙魂辅助表!V91</f>
        <v>1070.9650187305438</v>
      </c>
      <c r="G89" s="1">
        <f ca="1">龙魂辅助表!Z91*龙魂辅助表!AA91</f>
        <v>11502.647058823535</v>
      </c>
    </row>
    <row r="90" spans="2:7">
      <c r="B90" s="1">
        <f ca="1">D_龙魂表!A88</f>
        <v>1046</v>
      </c>
      <c r="C90" s="1">
        <f>龙魂辅助表!G92</f>
        <v>1</v>
      </c>
      <c r="D90" s="1" t="s">
        <v>123</v>
      </c>
      <c r="E90" s="1">
        <f>龙魂辅助表!D92</f>
        <v>6</v>
      </c>
      <c r="F90" s="1">
        <f>龙魂辅助表!V92</f>
        <v>788.85703841936129</v>
      </c>
      <c r="G90" s="1">
        <f ca="1">龙魂辅助表!Z92*龙魂辅助表!AA92</f>
        <v>4071.3636363636379</v>
      </c>
    </row>
    <row r="91" spans="2:7">
      <c r="B91" s="1">
        <f ca="1">D_龙魂表!A89</f>
        <v>1047</v>
      </c>
      <c r="C91" s="1">
        <f>龙魂辅助表!G93</f>
        <v>1</v>
      </c>
      <c r="D91" s="1" t="str">
        <f>D_龙魂表!B89</f>
        <v>蟠螭</v>
      </c>
      <c r="E91" s="1">
        <f>龙魂辅助表!D93</f>
        <v>6</v>
      </c>
      <c r="F91" s="1">
        <f>龙魂辅助表!V93</f>
        <v>728.32796918693589</v>
      </c>
      <c r="G91" s="1">
        <f ca="1">龙魂辅助表!Z93*龙魂辅助表!AA93</f>
        <v>4453.6363636363631</v>
      </c>
    </row>
    <row r="92" spans="2:7">
      <c r="B92" s="1">
        <f ca="1">D_龙魂表!A90</f>
        <v>1048</v>
      </c>
      <c r="C92" s="1">
        <f>龙魂辅助表!G94</f>
        <v>1</v>
      </c>
      <c r="D92" s="1" t="s">
        <v>124</v>
      </c>
      <c r="E92" s="1">
        <f>龙魂辅助表!D94</f>
        <v>6</v>
      </c>
      <c r="F92" s="1">
        <f>龙魂辅助表!V94</f>
        <v>844.95459355953597</v>
      </c>
      <c r="G92" s="1">
        <f ca="1">龙魂辅助表!Z94*龙魂辅助表!AA94</f>
        <v>4857.9999999999982</v>
      </c>
    </row>
    <row r="93" spans="2:7">
      <c r="B93" s="1">
        <f ca="1">D_龙魂表!A91</f>
        <v>1049</v>
      </c>
      <c r="C93" s="1">
        <f>龙魂辅助表!G95</f>
        <v>1</v>
      </c>
      <c r="D93" s="1" t="s">
        <v>125</v>
      </c>
      <c r="E93" s="1">
        <f>龙魂辅助表!D95</f>
        <v>6</v>
      </c>
      <c r="F93" s="1">
        <f>龙魂辅助表!V95</f>
        <v>845.50407061037936</v>
      </c>
      <c r="G93" s="1">
        <f ca="1">龙魂辅助表!Z95*龙魂辅助表!AA95</f>
        <v>5296.9090909090919</v>
      </c>
    </row>
    <row r="94" spans="2:7">
      <c r="B94" s="1">
        <f ca="1">D_龙魂表!A92</f>
        <v>1050</v>
      </c>
      <c r="C94" s="1">
        <f>龙魂辅助表!G96</f>
        <v>1</v>
      </c>
      <c r="D94" s="1" t="s">
        <v>126</v>
      </c>
      <c r="E94" s="1">
        <f>龙魂辅助表!D96</f>
        <v>6</v>
      </c>
      <c r="F94" s="1">
        <f>龙魂辅助表!V96</f>
        <v>939.55470040576813</v>
      </c>
      <c r="G94" s="1">
        <f ca="1">龙魂辅助表!Z96*龙魂辅助表!AA96</f>
        <v>5752.6363636363658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17"/>
  <sheetViews>
    <sheetView workbookViewId="0">
      <selection activeCell="K15" sqref="K15"/>
    </sheetView>
  </sheetViews>
  <sheetFormatPr defaultRowHeight="13.5"/>
  <cols>
    <col min="6" max="6" width="11.625" bestFit="1" customWidth="1"/>
    <col min="7" max="7" width="11.625" customWidth="1"/>
    <col min="13" max="13" width="20.375" customWidth="1"/>
    <col min="15" max="16" width="11.625" bestFit="1" customWidth="1"/>
    <col min="17" max="17" width="13.875" bestFit="1" customWidth="1"/>
    <col min="18" max="19" width="11.625" bestFit="1" customWidth="1"/>
    <col min="20" max="20" width="12.75" bestFit="1" customWidth="1"/>
    <col min="24" max="24" width="10.5" bestFit="1" customWidth="1"/>
    <col min="25" max="25" width="12.75" bestFit="1" customWidth="1"/>
    <col min="26" max="26" width="10.5" bestFit="1" customWidth="1"/>
    <col min="27" max="27" width="12.75" bestFit="1" customWidth="1"/>
    <col min="28" max="28" width="10.5" bestFit="1" customWidth="1"/>
    <col min="29" max="29" width="11.625" bestFit="1" customWidth="1"/>
    <col min="30" max="30" width="10.5" bestFit="1" customWidth="1"/>
    <col min="31" max="31" width="12.75" bestFit="1" customWidth="1"/>
    <col min="32" max="32" width="16.125" bestFit="1" customWidth="1"/>
    <col min="33" max="34" width="11.625" bestFit="1" customWidth="1"/>
    <col min="35" max="35" width="12.75" bestFit="1" customWidth="1"/>
    <col min="36" max="36" width="11.625" bestFit="1" customWidth="1"/>
    <col min="37" max="37" width="12.75" bestFit="1" customWidth="1"/>
  </cols>
  <sheetData>
    <row r="1" spans="1:37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4" spans="1:37">
      <c r="Q4" t="str">
        <f>[1]各种公式!C12</f>
        <v>生命</v>
      </c>
      <c r="R4" t="str">
        <f>[1]各种公式!D12</f>
        <v>攻击</v>
      </c>
      <c r="S4" t="str">
        <f>[1]各种公式!E12</f>
        <v>防御</v>
      </c>
      <c r="T4" t="str">
        <f>[1]各种公式!F12</f>
        <v>闪避值</v>
      </c>
      <c r="U4" t="str">
        <f>[1]各种公式!G12</f>
        <v>命中值</v>
      </c>
      <c r="V4" t="str">
        <f>[1]各种公式!H12</f>
        <v>暴击值</v>
      </c>
      <c r="W4" t="str">
        <f>[1]各种公式!I12</f>
        <v>暴击倍数</v>
      </c>
      <c r="X4" t="str">
        <f>[1]各种公式!J12</f>
        <v>韧性值</v>
      </c>
      <c r="Y4" t="str">
        <f>[1]各种公式!K12</f>
        <v>伤害减免</v>
      </c>
      <c r="Z4" t="str">
        <f>[1]各种公式!L12</f>
        <v>伤害加深</v>
      </c>
      <c r="AA4" t="str">
        <f>[1]各种公式!M12</f>
        <v>生命加成</v>
      </c>
      <c r="AB4" t="str">
        <f>[1]各种公式!N12</f>
        <v>攻击加成</v>
      </c>
      <c r="AC4" t="str">
        <f>[1]各种公式!O12</f>
        <v>防御加成</v>
      </c>
    </row>
    <row r="5" spans="1:37">
      <c r="Q5">
        <f>[1]各种公式!C13</f>
        <v>0.04</v>
      </c>
      <c r="R5">
        <f>[1]各种公式!D13</f>
        <v>1</v>
      </c>
      <c r="S5">
        <f>[1]各种公式!E13</f>
        <v>1</v>
      </c>
      <c r="T5">
        <f>[1]各种公式!F13</f>
        <v>0.34</v>
      </c>
      <c r="U5">
        <f>[1]各种公式!G13</f>
        <v>0.34</v>
      </c>
      <c r="V5">
        <f>[1]各种公式!H13</f>
        <v>0.18</v>
      </c>
      <c r="W5">
        <f>[1]各种公式!I13</f>
        <v>0.12</v>
      </c>
      <c r="X5">
        <f>[1]各种公式!J13</f>
        <v>0.18</v>
      </c>
      <c r="Y5">
        <f>[1]各种公式!K13</f>
        <v>0.3</v>
      </c>
      <c r="Z5">
        <f>[1]各种公式!L13</f>
        <v>0.3</v>
      </c>
      <c r="AA5">
        <f>[1]各种公式!M13</f>
        <v>0.4</v>
      </c>
      <c r="AB5">
        <f>[1]各种公式!N13</f>
        <v>0.36</v>
      </c>
      <c r="AC5">
        <f>[1]各种公式!O13</f>
        <v>0.24</v>
      </c>
    </row>
    <row r="10" spans="1:37">
      <c r="X10">
        <v>1</v>
      </c>
      <c r="Y10">
        <v>1</v>
      </c>
      <c r="Z10">
        <v>2</v>
      </c>
      <c r="AA10">
        <v>2</v>
      </c>
      <c r="AB10">
        <v>3</v>
      </c>
      <c r="AC10">
        <v>3</v>
      </c>
      <c r="AD10">
        <v>4</v>
      </c>
      <c r="AE10">
        <v>4</v>
      </c>
      <c r="AF10">
        <v>5</v>
      </c>
      <c r="AG10">
        <v>5</v>
      </c>
      <c r="AH10">
        <v>6</v>
      </c>
      <c r="AI10">
        <v>6</v>
      </c>
      <c r="AJ10">
        <v>7</v>
      </c>
      <c r="AK10">
        <v>7</v>
      </c>
    </row>
    <row r="11" spans="1:37">
      <c r="E11" s="4" t="s">
        <v>51</v>
      </c>
      <c r="F11" s="4" t="s">
        <v>52</v>
      </c>
      <c r="G11" s="4" t="str">
        <f>[1]各种公式!C12</f>
        <v>生命</v>
      </c>
      <c r="H11" s="4" t="str">
        <f>[1]各种公式!D12</f>
        <v>攻击</v>
      </c>
      <c r="I11" s="4" t="str">
        <f>[1]各种公式!E12</f>
        <v>防御</v>
      </c>
      <c r="J11" s="4" t="str">
        <f>[1]各种公式!F12</f>
        <v>闪避值</v>
      </c>
      <c r="K11" s="4" t="str">
        <f>[1]各种公式!G12</f>
        <v>命中值</v>
      </c>
      <c r="L11" s="4" t="str">
        <f>[1]各种公式!H12</f>
        <v>暴击值</v>
      </c>
      <c r="M11" s="4" t="str">
        <f>[1]各种公式!I12</f>
        <v>暴击倍数</v>
      </c>
      <c r="N11" s="4" t="str">
        <f>[1]各种公式!J12</f>
        <v>韧性值</v>
      </c>
      <c r="O11" s="4" t="str">
        <f>[1]各种公式!K12</f>
        <v>伤害减免</v>
      </c>
      <c r="P11" s="4" t="str">
        <f>[1]各种公式!L12</f>
        <v>伤害加深</v>
      </c>
      <c r="Q11" s="4" t="str">
        <f>[1]各种公式!M12</f>
        <v>生命加成</v>
      </c>
      <c r="R11" s="4" t="str">
        <f>[1]各种公式!N12</f>
        <v>攻击加成</v>
      </c>
      <c r="S11" s="4" t="str">
        <f>[1]各种公式!O12</f>
        <v>防御加成</v>
      </c>
      <c r="T11" s="4" t="s">
        <v>72</v>
      </c>
      <c r="W11" s="4" t="s">
        <v>53</v>
      </c>
      <c r="X11" s="4" t="s">
        <v>54</v>
      </c>
      <c r="Y11" s="4" t="s">
        <v>55</v>
      </c>
      <c r="Z11" s="4" t="s">
        <v>56</v>
      </c>
      <c r="AA11" s="4" t="s">
        <v>57</v>
      </c>
      <c r="AB11" s="4" t="s">
        <v>58</v>
      </c>
      <c r="AC11" s="4" t="s">
        <v>59</v>
      </c>
      <c r="AD11" s="4" t="s">
        <v>60</v>
      </c>
      <c r="AE11" s="4" t="s">
        <v>61</v>
      </c>
      <c r="AF11" s="4" t="s">
        <v>62</v>
      </c>
      <c r="AG11" s="4" t="s">
        <v>63</v>
      </c>
      <c r="AH11" s="4" t="s">
        <v>64</v>
      </c>
      <c r="AI11" s="4" t="s">
        <v>65</v>
      </c>
      <c r="AJ11" s="4" t="s">
        <v>66</v>
      </c>
      <c r="AK11" s="4" t="s">
        <v>67</v>
      </c>
    </row>
    <row r="12" spans="1:37">
      <c r="E12" s="4">
        <v>1000</v>
      </c>
      <c r="F12" s="4" t="s">
        <v>117</v>
      </c>
      <c r="G12" s="4">
        <f>ROUND([1]龙魂规划!F65,0)</f>
        <v>2727</v>
      </c>
      <c r="H12" s="4">
        <f>ROUND([1]龙魂规划!G65,0)</f>
        <v>0</v>
      </c>
      <c r="I12" s="4">
        <f>ROUND([1]龙魂规划!H65,0)</f>
        <v>137</v>
      </c>
      <c r="J12" s="4">
        <f>ROUND([1]龙魂规划!I65,0)</f>
        <v>0</v>
      </c>
      <c r="K12" s="4">
        <f>ROUND([1]龙魂规划!J65,0)</f>
        <v>0</v>
      </c>
      <c r="L12" s="4">
        <f>ROUND([1]龙魂规划!K65,0)</f>
        <v>0</v>
      </c>
      <c r="M12" s="4">
        <f>ROUND([1]龙魂规划!L65,3)</f>
        <v>0</v>
      </c>
      <c r="N12" s="4">
        <f>ROUND([1]龙魂规划!M65,3)</f>
        <v>0</v>
      </c>
      <c r="O12" s="4">
        <f>ROUND([1]龙魂规划!N65,3)</f>
        <v>0</v>
      </c>
      <c r="P12" s="4">
        <f>ROUND([1]龙魂规划!O65,3)</f>
        <v>0</v>
      </c>
      <c r="Q12" s="4">
        <f>ROUND([1]龙魂规划!P65,3)</f>
        <v>0</v>
      </c>
      <c r="R12" s="4">
        <f>ROUND([1]龙魂规划!Q65,2)</f>
        <v>0</v>
      </c>
      <c r="S12" s="4">
        <f>ROUND([1]龙魂规划!R65,2)</f>
        <v>0</v>
      </c>
      <c r="T12" s="1">
        <f>SUMPRODUCT(G12:S12,$Q$5:$AC$5)</f>
        <v>246.07999999999998</v>
      </c>
      <c r="W12" s="1">
        <f>COUNTIF(G12:S12,"&gt;0")</f>
        <v>2</v>
      </c>
      <c r="X12" s="1" t="str">
        <f t="array" aca="1" ref="X12" ca="1">IFERROR(OFFSET($F$11,0,SMALL(IF($G12:$S12&gt;0,COLUMN($A:$M),""),X$10)),0)</f>
        <v>生命</v>
      </c>
      <c r="Y12" s="1">
        <f t="array" aca="1" ref="Y12" ca="1">IFERROR(OFFSET($F12,0,SMALL(IF($G12:$S12&gt;0,COLUMN($A:$M),""),Y$10)),0)</f>
        <v>2727</v>
      </c>
      <c r="Z12" s="1" t="str">
        <f t="array" aca="1" ref="Z12" ca="1">IFERROR(OFFSET($F$11,0,SMALL(IF($G12:$S12&gt;0,COLUMN($A:$M),""),Z$10)),0)</f>
        <v>防御</v>
      </c>
      <c r="AA12" s="1">
        <f t="array" aca="1" ref="AA12" ca="1">IFERROR(OFFSET($F12,0,SMALL(IF($G12:$S12&gt;0,COLUMN($A:$M),""),AA$10)),0)</f>
        <v>137</v>
      </c>
      <c r="AB12" s="1">
        <f t="array" aca="1" ref="AB12" ca="1">IFERROR(OFFSET($F$11,0,SMALL(IF($G12:$S12&gt;0,COLUMN($A:$M),""),AB$10)),0)</f>
        <v>0</v>
      </c>
      <c r="AC12" s="1">
        <f t="array" aca="1" ref="AC12" ca="1">IFERROR(OFFSET($F12,0,SMALL(IF($G12:$S12&gt;0,COLUMN($A:$M),""),AC$10)),0)</f>
        <v>0</v>
      </c>
      <c r="AD12" s="1">
        <f t="array" aca="1" ref="AD12" ca="1">IFERROR(OFFSET($F$11,0,SMALL(IF($G12:$S12&gt;0,COLUMN($A:$M),""),AD$10)),0)</f>
        <v>0</v>
      </c>
      <c r="AE12" s="1">
        <f t="array" aca="1" ref="AE12" ca="1">IFERROR(OFFSET($F12,0,SMALL(IF($G12:$S12&gt;0,COLUMN($A:$M),""),AE$10)),0)</f>
        <v>0</v>
      </c>
      <c r="AF12" s="1">
        <f t="array" aca="1" ref="AF12" ca="1">IFERROR(OFFSET($F$11,0,SMALL(IF($G12:$S12&gt;0,COLUMN($A:$M),""),AF$10)),0)</f>
        <v>0</v>
      </c>
      <c r="AG12" s="1">
        <f t="array" aca="1" ref="AG12" ca="1">IFERROR(OFFSET($F12,0,SMALL(IF($G12:$S12&gt;0,COLUMN($A:$M),""),AG$10)),0)</f>
        <v>0</v>
      </c>
      <c r="AH12" s="1">
        <f t="array" aca="1" ref="AH12" ca="1">IFERROR(OFFSET($F$11,0,SMALL(IF($G12:$S12&gt;0,COLUMN($A:$M),""),AH$10)),0)</f>
        <v>0</v>
      </c>
      <c r="AI12" s="1">
        <f t="array" aca="1" ref="AI12" ca="1">IFERROR(OFFSET($F12,0,SMALL(IF($G12:$S12&gt;0,COLUMN($A:$M),""),AI$10)),0)</f>
        <v>0</v>
      </c>
      <c r="AJ12" s="1">
        <f t="array" aca="1" ref="AJ12" ca="1">IFERROR(OFFSET($F$11,0,SMALL(IF($G12:$S12&gt;0,COLUMN($A:$M),""),AJ$10)),0)</f>
        <v>0</v>
      </c>
      <c r="AK12" s="1">
        <f t="array" aca="1" ref="AK12" ca="1">IFERROR(OFFSET($F12,0,SMALL(IF($G12:$S12&gt;0,COLUMN($A:$M),""),AK$10)),0)</f>
        <v>0</v>
      </c>
    </row>
    <row r="13" spans="1:37">
      <c r="E13" s="4">
        <v>1001</v>
      </c>
      <c r="F13" s="4" t="s">
        <v>118</v>
      </c>
      <c r="G13" s="4">
        <f>ROUND([1]龙魂规划!F66,0)</f>
        <v>4090</v>
      </c>
      <c r="H13" s="4">
        <f>ROUND([1]龙魂规划!G66,0)</f>
        <v>253</v>
      </c>
      <c r="I13" s="4">
        <f>ROUND([1]龙魂规划!H66,0)</f>
        <v>0</v>
      </c>
      <c r="J13" s="4">
        <f>ROUND([1]龙魂规划!I66,0)</f>
        <v>0</v>
      </c>
      <c r="K13" s="4">
        <f>ROUND([1]龙魂规划!J66,0)</f>
        <v>0</v>
      </c>
      <c r="L13" s="4">
        <f>ROUND([1]龙魂规划!K66,0)</f>
        <v>0</v>
      </c>
      <c r="M13" s="4">
        <f>ROUND([1]龙魂规划!L66,3)</f>
        <v>0</v>
      </c>
      <c r="N13" s="4">
        <f>ROUND([1]龙魂规划!M66,3)</f>
        <v>0</v>
      </c>
      <c r="O13" s="4">
        <f>ROUND([1]龙魂规划!N66,3)</f>
        <v>0</v>
      </c>
      <c r="P13" s="4">
        <f>ROUND([1]龙魂规划!O66,3)</f>
        <v>0</v>
      </c>
      <c r="Q13" s="4">
        <f>ROUND([1]龙魂规划!P66,3)</f>
        <v>0</v>
      </c>
      <c r="R13" s="4">
        <f t="array" ref="R13">ROUND([1]龙魂规划!Q66,2)</f>
        <v>0</v>
      </c>
      <c r="S13" s="4">
        <f>ROUND([1]龙魂规划!R66,2)</f>
        <v>0</v>
      </c>
      <c r="T13" s="1">
        <f t="shared" ref="T13:T17" si="0">SUMPRODUCT(G13:S13,$Q$5:$AC$5)</f>
        <v>416.6</v>
      </c>
      <c r="U13">
        <f>T13-T12</f>
        <v>170.52000000000004</v>
      </c>
      <c r="W13" s="1">
        <f t="shared" ref="W13:W17" si="1">COUNTIF(G13:S13,"&gt;0")</f>
        <v>2</v>
      </c>
      <c r="X13" s="1" t="str">
        <f t="array" aca="1" ref="X13" ca="1">OFFSET($F$11,0,SMALL(IF($G13:$S13&gt;0,COLUMN($A:$M),""),X$10))</f>
        <v>生命</v>
      </c>
      <c r="Y13" s="1">
        <f t="array" aca="1" ref="Y13" ca="1">IFERROR(OFFSET($F13,0,SMALL(IF($G13:$S13&gt;0,COLUMN($A:$M),""),Y$10)),0)</f>
        <v>4090</v>
      </c>
      <c r="Z13" s="1" t="str">
        <f t="array" aca="1" ref="Z13" ca="1">IFERROR(OFFSET($F$11,0,SMALL(IF($G13:$S13&gt;0,COLUMN($A:$M),""),Z$10)),0)</f>
        <v>攻击</v>
      </c>
      <c r="AA13" s="1">
        <f t="array" aca="1" ref="AA13" ca="1">IFERROR(OFFSET($F13,0,SMALL(IF($G13:$S13&gt;0,COLUMN($A:$M),""),AA$10)),0)</f>
        <v>253</v>
      </c>
      <c r="AB13" s="1">
        <f t="array" aca="1" ref="AB13" ca="1">IFERROR(OFFSET($F$11,0,SMALL(IF($G13:$S13&gt;0,COLUMN($A:$M),""),AB$10)),0)</f>
        <v>0</v>
      </c>
      <c r="AC13" s="1">
        <f t="array" aca="1" ref="AC13" ca="1">IFERROR(OFFSET($F13,0,SMALL(IF($G13:$S13&gt;0,COLUMN($A:$M),""),AC$10)),0)</f>
        <v>0</v>
      </c>
      <c r="AD13" s="1">
        <f t="array" aca="1" ref="AD13" ca="1">IFERROR(OFFSET($F$11,0,SMALL(IF($G13:$S13&gt;0,COLUMN($A:$M),""),AD$10)),0)</f>
        <v>0</v>
      </c>
      <c r="AE13" s="1">
        <f t="array" aca="1" ref="AE13" ca="1">IFERROR(OFFSET($F13,0,SMALL(IF($G13:$S13&gt;0,COLUMN($A:$M),""),AE$10)),0)</f>
        <v>0</v>
      </c>
      <c r="AF13" s="1">
        <f t="array" aca="1" ref="AF13" ca="1">IFERROR(OFFSET($F$11,0,SMALL(IF($G13:$S13&gt;0,COLUMN($A:$M),""),AF$10)),0)</f>
        <v>0</v>
      </c>
      <c r="AG13" s="1">
        <f t="array" aca="1" ref="AG13" ca="1">IFERROR(OFFSET($F13,0,SMALL(IF($G13:$S13&gt;0,COLUMN($A:$M),""),AG$10)),0)</f>
        <v>0</v>
      </c>
      <c r="AH13" s="1">
        <f t="array" aca="1" ref="AH13" ca="1">IFERROR(OFFSET($F$11,0,SMALL(IF($G13:$S13&gt;0,COLUMN($A:$M),""),AH$10)),0)</f>
        <v>0</v>
      </c>
      <c r="AI13" s="1">
        <f t="array" aca="1" ref="AI13" ca="1">IFERROR(OFFSET($F13,0,SMALL(IF($G13:$S13&gt;0,COLUMN($A:$M),""),AI$10)),0)</f>
        <v>0</v>
      </c>
      <c r="AJ13" s="1">
        <f t="array" aca="1" ref="AJ13" ca="1">IFERROR(OFFSET($F$11,0,SMALL(IF($G13:$S13&gt;0,COLUMN($A:$M),""),AJ$10)),0)</f>
        <v>0</v>
      </c>
      <c r="AK13" s="1">
        <f t="array" aca="1" ref="AK13" ca="1">IFERROR(OFFSET($F13,0,SMALL(IF($G13:$S13&gt;0,COLUMN($A:$M),""),AK$10)),0)</f>
        <v>0</v>
      </c>
    </row>
    <row r="14" spans="1:37">
      <c r="E14" s="4">
        <v>1002</v>
      </c>
      <c r="F14" s="4" t="s">
        <v>119</v>
      </c>
      <c r="G14" s="4">
        <f>ROUND([1]龙魂规划!F67,0)</f>
        <v>8180</v>
      </c>
      <c r="H14" s="4">
        <f>ROUND([1]龙魂规划!G67,0)</f>
        <v>0</v>
      </c>
      <c r="I14" s="4">
        <f>ROUND([1]龙魂规划!H67,0)</f>
        <v>273</v>
      </c>
      <c r="J14" s="4">
        <f>ROUND([1]龙魂规划!I67,0)</f>
        <v>0</v>
      </c>
      <c r="K14" s="4">
        <f>ROUND([1]龙魂规划!J67,0)</f>
        <v>0</v>
      </c>
      <c r="L14" s="4">
        <f>ROUND([1]龙魂规划!K67,0)</f>
        <v>0</v>
      </c>
      <c r="M14" s="4">
        <f>ROUND([1]龙魂规划!L67,3)</f>
        <v>0</v>
      </c>
      <c r="N14" s="4">
        <f>ROUND([1]龙魂规划!M67,3)</f>
        <v>0</v>
      </c>
      <c r="O14" s="4">
        <f>ROUND([1]龙魂规划!N67,3)</f>
        <v>0</v>
      </c>
      <c r="P14" s="4">
        <f>ROUND([1]龙魂规划!O67,3)</f>
        <v>0</v>
      </c>
      <c r="Q14" s="4">
        <f>ROUND([1]龙魂规划!P67,3)</f>
        <v>0</v>
      </c>
      <c r="R14" s="4">
        <f>ROUND([1]龙魂规划!Q67,2)</f>
        <v>0</v>
      </c>
      <c r="S14" s="4">
        <f>ROUND([1]龙魂规划!R67,2)</f>
        <v>0</v>
      </c>
      <c r="T14" s="1">
        <f t="shared" si="0"/>
        <v>600.20000000000005</v>
      </c>
      <c r="U14">
        <f t="shared" ref="U14:U17" si="2">T14-T13</f>
        <v>183.60000000000002</v>
      </c>
      <c r="W14" s="1">
        <f t="shared" si="1"/>
        <v>2</v>
      </c>
      <c r="X14" s="1" t="str">
        <f t="array" aca="1" ref="X14" ca="1">OFFSET($F$11,0,SMALL(IF($G14:$S14&gt;0,COLUMN($A:$M),""),X$10))</f>
        <v>生命</v>
      </c>
      <c r="Y14" s="1">
        <f t="array" aca="1" ref="Y14" ca="1">IFERROR(OFFSET($F14,0,SMALL(IF($G14:$S14&gt;0,COLUMN($A:$M),""),Y$10)),0)</f>
        <v>8180</v>
      </c>
      <c r="Z14" s="1" t="str">
        <f t="array" aca="1" ref="Z14" ca="1">IFERROR(OFFSET($F$11,0,SMALL(IF($G14:$S14&gt;0,COLUMN($A:$M),""),Z$10)),0)</f>
        <v>防御</v>
      </c>
      <c r="AA14" s="1">
        <f t="array" aca="1" ref="AA14" ca="1">IFERROR(OFFSET($F14,0,SMALL(IF($G14:$S14&gt;0,COLUMN($A:$M),""),AA$10)),0)</f>
        <v>273</v>
      </c>
      <c r="AB14" s="1">
        <f t="array" aca="1" ref="AB14" ca="1">IFERROR(OFFSET($F$11,0,SMALL(IF($G14:$S14&gt;0,COLUMN($A:$M),""),AB$10)),0)</f>
        <v>0</v>
      </c>
      <c r="AC14" s="1">
        <f t="array" aca="1" ref="AC14" ca="1">IFERROR(OFFSET($F14,0,SMALL(IF($G14:$S14&gt;0,COLUMN($A:$M),""),AC$10)),0)</f>
        <v>0</v>
      </c>
      <c r="AD14" s="1">
        <f t="array" aca="1" ref="AD14" ca="1">IFERROR(OFFSET($F$11,0,SMALL(IF($G14:$S14&gt;0,COLUMN($A:$M),""),AD$10)),0)</f>
        <v>0</v>
      </c>
      <c r="AE14" s="1">
        <f t="array" aca="1" ref="AE14" ca="1">IFERROR(OFFSET($F14,0,SMALL(IF($G14:$S14&gt;0,COLUMN($A:$M),""),AE$10)),0)</f>
        <v>0</v>
      </c>
      <c r="AF14" s="1">
        <f t="array" aca="1" ref="AF14" ca="1">IFERROR(OFFSET($F$11,0,SMALL(IF($G14:$S14&gt;0,COLUMN($A:$M),""),AF$10)),0)</f>
        <v>0</v>
      </c>
      <c r="AG14" s="1">
        <f t="array" aca="1" ref="AG14" ca="1">IFERROR(OFFSET($F14,0,SMALL(IF($G14:$S14&gt;0,COLUMN($A:$M),""),AG$10)),0)</f>
        <v>0</v>
      </c>
      <c r="AH14" s="1">
        <f t="array" aca="1" ref="AH14" ca="1">IFERROR(OFFSET($F$11,0,SMALL(IF($G14:$S14&gt;0,COLUMN($A:$M),""),AH$10)),0)</f>
        <v>0</v>
      </c>
      <c r="AI14" s="1">
        <f t="array" aca="1" ref="AI14" ca="1">IFERROR(OFFSET($F14,0,SMALL(IF($G14:$S14&gt;0,COLUMN($A:$M),""),AI$10)),0)</f>
        <v>0</v>
      </c>
      <c r="AJ14" s="1">
        <f t="array" aca="1" ref="AJ14" ca="1">IFERROR(OFFSET($F$11,0,SMALL(IF($G14:$S14&gt;0,COLUMN($A:$M),""),AJ$10)),0)</f>
        <v>0</v>
      </c>
      <c r="AK14" s="1">
        <f t="array" aca="1" ref="AK14" ca="1">IFERROR(OFFSET($F14,0,SMALL(IF($G14:$S14&gt;0,COLUMN($A:$M),""),AK$10)),0)</f>
        <v>0</v>
      </c>
    </row>
    <row r="15" spans="1:37">
      <c r="E15" s="4">
        <v>1003</v>
      </c>
      <c r="F15" s="4" t="s">
        <v>120</v>
      </c>
      <c r="G15" s="4">
        <f>ROUND([1]龙魂规划!F68,0)</f>
        <v>9544</v>
      </c>
      <c r="H15" s="4">
        <f>ROUND([1]龙魂规划!G68,0)</f>
        <v>506</v>
      </c>
      <c r="I15" s="4">
        <f>ROUND([1]龙魂规划!H68,0)</f>
        <v>0</v>
      </c>
      <c r="J15" s="4">
        <f>ROUND([1]龙魂规划!I68,0)</f>
        <v>0</v>
      </c>
      <c r="K15" s="4">
        <f>ROUND([1]龙魂规划!J68,0)</f>
        <v>0</v>
      </c>
      <c r="L15" s="4">
        <f>ROUND([1]龙魂规划!K68,0)</f>
        <v>0</v>
      </c>
      <c r="M15" s="4">
        <f>ROUND([1]龙魂规划!L68,3)</f>
        <v>0</v>
      </c>
      <c r="N15" s="4">
        <f>ROUND([1]龙魂规划!M68,3)</f>
        <v>0</v>
      </c>
      <c r="O15" s="4">
        <f>ROUND([1]龙魂规划!N68,3)</f>
        <v>0</v>
      </c>
      <c r="P15" s="4">
        <f>ROUND([1]龙魂规划!O68,3)</f>
        <v>0</v>
      </c>
      <c r="Q15" s="4">
        <f>ROUND([1]龙魂规划!P68,3)</f>
        <v>0</v>
      </c>
      <c r="R15" s="4">
        <f>ROUND([1]龙魂规划!Q68,2)</f>
        <v>0</v>
      </c>
      <c r="S15" s="4">
        <f>ROUND([1]龙魂规划!R68,2)</f>
        <v>0</v>
      </c>
      <c r="T15" s="1">
        <f t="shared" si="0"/>
        <v>887.76</v>
      </c>
      <c r="U15">
        <f t="shared" si="2"/>
        <v>287.55999999999995</v>
      </c>
      <c r="W15" s="1">
        <f t="shared" si="1"/>
        <v>2</v>
      </c>
      <c r="X15" s="1" t="str">
        <f t="array" aca="1" ref="X15" ca="1">OFFSET($F$11,0,SMALL(IF($G15:$S15&gt;0,COLUMN($A:$M),""),X$10))</f>
        <v>生命</v>
      </c>
      <c r="Y15" s="1">
        <f t="array" aca="1" ref="Y15" ca="1">IFERROR(OFFSET($F15,0,SMALL(IF($G15:$S15&gt;0,COLUMN($A:$M),""),Y$10)),0)</f>
        <v>9544</v>
      </c>
      <c r="Z15" s="1" t="str">
        <f t="array" aca="1" ref="Z15" ca="1">IFERROR(OFFSET($F$11,0,SMALL(IF($G15:$S15&gt;0,COLUMN($A:$M),""),Z$10)),0)</f>
        <v>攻击</v>
      </c>
      <c r="AA15" s="1">
        <f t="array" aca="1" ref="AA15" ca="1">IFERROR(OFFSET($F15,0,SMALL(IF($G15:$S15&gt;0,COLUMN($A:$M),""),AA$10)),0)</f>
        <v>506</v>
      </c>
      <c r="AB15" s="1">
        <f t="array" aca="1" ref="AB15" ca="1">IFERROR(OFFSET($F$11,0,SMALL(IF($G15:$S15&gt;0,COLUMN($A:$M),""),AB$10)),0)</f>
        <v>0</v>
      </c>
      <c r="AC15" s="1">
        <f t="array" aca="1" ref="AC15" ca="1">IFERROR(OFFSET($F15,0,SMALL(IF($G15:$S15&gt;0,COLUMN($A:$M),""),AC$10)),0)</f>
        <v>0</v>
      </c>
      <c r="AD15" s="1">
        <f t="array" aca="1" ref="AD15" ca="1">IFERROR(OFFSET($F$11,0,SMALL(IF($G15:$S15&gt;0,COLUMN($A:$M),""),AD$10)),0)</f>
        <v>0</v>
      </c>
      <c r="AE15" s="1">
        <f t="array" aca="1" ref="AE15" ca="1">IFERROR(OFFSET($F15,0,SMALL(IF($G15:$S15&gt;0,COLUMN($A:$M),""),AE$10)),0)</f>
        <v>0</v>
      </c>
      <c r="AF15" s="1">
        <f t="array" aca="1" ref="AF15" ca="1">IFERROR(OFFSET($F$11,0,SMALL(IF($G15:$S15&gt;0,COLUMN($A:$M),""),AF$10)),0)</f>
        <v>0</v>
      </c>
      <c r="AG15" s="1">
        <f t="array" aca="1" ref="AG15" ca="1">IFERROR(OFFSET($F15,0,SMALL(IF($G15:$S15&gt;0,COLUMN($A:$M),""),AG$10)),0)</f>
        <v>0</v>
      </c>
      <c r="AH15" s="1">
        <f t="array" aca="1" ref="AH15" ca="1">IFERROR(OFFSET($F$11,0,SMALL(IF($G15:$S15&gt;0,COLUMN($A:$M),""),AH$10)),0)</f>
        <v>0</v>
      </c>
      <c r="AI15" s="1">
        <f t="array" aca="1" ref="AI15" ca="1">IFERROR(OFFSET($F15,0,SMALL(IF($G15:$S15&gt;0,COLUMN($A:$M),""),AI$10)),0)</f>
        <v>0</v>
      </c>
      <c r="AJ15" s="1">
        <f t="array" aca="1" ref="AJ15" ca="1">IFERROR(OFFSET($F$11,0,SMALL(IF($G15:$S15&gt;0,COLUMN($A:$M),""),AJ$10)),0)</f>
        <v>0</v>
      </c>
      <c r="AK15" s="1">
        <f t="array" aca="1" ref="AK15" ca="1">IFERROR(OFFSET($F15,0,SMALL(IF($G15:$S15&gt;0,COLUMN($A:$M),""),AK$10)),0)</f>
        <v>0</v>
      </c>
    </row>
    <row r="16" spans="1:37">
      <c r="E16" s="4">
        <v>1004</v>
      </c>
      <c r="F16" s="4" t="s">
        <v>121</v>
      </c>
      <c r="G16" s="4">
        <f>ROUND([1]龙魂规划!F69,0)</f>
        <v>16361</v>
      </c>
      <c r="H16" s="4">
        <f>ROUND([1]龙魂规划!G69,0)</f>
        <v>0</v>
      </c>
      <c r="I16" s="4">
        <f>ROUND([1]龙魂规划!H69,0)</f>
        <v>546</v>
      </c>
      <c r="J16" s="4">
        <f>ROUND([1]龙魂规划!I69,0)</f>
        <v>0</v>
      </c>
      <c r="K16" s="4">
        <f>ROUND([1]龙魂规划!J69,0)</f>
        <v>0</v>
      </c>
      <c r="L16" s="4">
        <f>ROUND([1]龙魂规划!K69,0)</f>
        <v>0</v>
      </c>
      <c r="M16" s="4">
        <f>ROUND([1]龙魂规划!L69,3)</f>
        <v>0</v>
      </c>
      <c r="N16" s="4">
        <f>ROUND([1]龙魂规划!M69,3)</f>
        <v>0</v>
      </c>
      <c r="O16" s="4">
        <f>ROUND([1]龙魂规划!N69,3)</f>
        <v>0</v>
      </c>
      <c r="P16" s="4">
        <f>ROUND([1]龙魂规划!O69,3)</f>
        <v>0</v>
      </c>
      <c r="Q16" s="4">
        <f>ROUND([1]龙魂规划!P69,3)</f>
        <v>0</v>
      </c>
      <c r="R16" s="4">
        <f>ROUND([1]龙魂规划!Q69,2)</f>
        <v>0</v>
      </c>
      <c r="S16" s="4">
        <f>ROUND([1]龙魂规划!R69,2)</f>
        <v>0</v>
      </c>
      <c r="T16" s="1">
        <f t="shared" si="0"/>
        <v>1200.44</v>
      </c>
      <c r="U16">
        <f t="shared" si="2"/>
        <v>312.68000000000006</v>
      </c>
      <c r="W16" s="1">
        <f t="shared" si="1"/>
        <v>2</v>
      </c>
      <c r="X16" s="1" t="str">
        <f t="array" aca="1" ref="X16" ca="1">OFFSET($F$11,0,SMALL(IF($G16:$S16&gt;0,COLUMN($A:$M),""),X$10))</f>
        <v>生命</v>
      </c>
      <c r="Y16" s="1">
        <f t="array" aca="1" ref="Y16" ca="1">IFERROR(OFFSET($F16,0,SMALL(IF($G16:$S16&gt;0,COLUMN($A:$M),""),Y$10)),0)</f>
        <v>16361</v>
      </c>
      <c r="Z16" s="1" t="str">
        <f t="array" aca="1" ref="Z16" ca="1">IFERROR(OFFSET($F$11,0,SMALL(IF($G16:$S16&gt;0,COLUMN($A:$M),""),Z$10)),0)</f>
        <v>防御</v>
      </c>
      <c r="AA16" s="1">
        <f t="array" aca="1" ref="AA16" ca="1">IFERROR(OFFSET($F16,0,SMALL(IF($G16:$S16&gt;0,COLUMN($A:$M),""),AA$10)),0)</f>
        <v>546</v>
      </c>
      <c r="AB16" s="1">
        <f t="array" aca="1" ref="AB16" ca="1">IFERROR(OFFSET($F$11,0,SMALL(IF($G16:$S16&gt;0,COLUMN($A:$M),""),AB$10)),0)</f>
        <v>0</v>
      </c>
      <c r="AC16" s="1">
        <f t="array" aca="1" ref="AC16" ca="1">IFERROR(OFFSET($F16,0,SMALL(IF($G16:$S16&gt;0,COLUMN($A:$M),""),AC$10)),0)</f>
        <v>0</v>
      </c>
      <c r="AD16" s="1">
        <f t="array" aca="1" ref="AD16" ca="1">IFERROR(OFFSET($F$11,0,SMALL(IF($G16:$S16&gt;0,COLUMN($A:$M),""),AD$10)),0)</f>
        <v>0</v>
      </c>
      <c r="AE16" s="1">
        <f t="array" aca="1" ref="AE16" ca="1">IFERROR(OFFSET($F16,0,SMALL(IF($G16:$S16&gt;0,COLUMN($A:$M),""),AE$10)),0)</f>
        <v>0</v>
      </c>
      <c r="AF16" s="1">
        <f t="array" aca="1" ref="AF16" ca="1">IFERROR(OFFSET($F$11,0,SMALL(IF($G16:$S16&gt;0,COLUMN($A:$M),""),AF$10)),0)</f>
        <v>0</v>
      </c>
      <c r="AG16" s="1">
        <f t="array" aca="1" ref="AG16" ca="1">IFERROR(OFFSET($F16,0,SMALL(IF($G16:$S16&gt;0,COLUMN($A:$M),""),AG$10)),0)</f>
        <v>0</v>
      </c>
      <c r="AH16" s="1">
        <f t="array" aca="1" ref="AH16" ca="1">IFERROR(OFFSET($F$11,0,SMALL(IF($G16:$S16&gt;0,COLUMN($A:$M),""),AH$10)),0)</f>
        <v>0</v>
      </c>
      <c r="AI16" s="1">
        <f t="array" aca="1" ref="AI16" ca="1">IFERROR(OFFSET($F16,0,SMALL(IF($G16:$S16&gt;0,COLUMN($A:$M),""),AI$10)),0)</f>
        <v>0</v>
      </c>
      <c r="AJ16" s="1">
        <f t="array" aca="1" ref="AJ16" ca="1">IFERROR(OFFSET($F$11,0,SMALL(IF($G16:$S16&gt;0,COLUMN($A:$M),""),AJ$10)),0)</f>
        <v>0</v>
      </c>
      <c r="AK16" s="1">
        <f t="array" aca="1" ref="AK16" ca="1">IFERROR(OFFSET($F16,0,SMALL(IF($G16:$S16&gt;0,COLUMN($A:$M),""),AK$10)),0)</f>
        <v>0</v>
      </c>
    </row>
    <row r="17" spans="5:37">
      <c r="E17" s="4">
        <v>1005</v>
      </c>
      <c r="F17" s="4" t="s">
        <v>122</v>
      </c>
      <c r="G17" s="4">
        <f>ROUND([1]龙魂规划!F70,0)</f>
        <v>21815</v>
      </c>
      <c r="H17" s="4">
        <f>ROUND([1]龙魂规划!G70,0)</f>
        <v>1011</v>
      </c>
      <c r="I17" s="4">
        <f>ROUND([1]龙魂规划!H70,0)</f>
        <v>0</v>
      </c>
      <c r="J17" s="4">
        <f>ROUND([1]龙魂规划!I70,0)</f>
        <v>0</v>
      </c>
      <c r="K17" s="4">
        <f>ROUND([1]龙魂规划!J70,0)</f>
        <v>0</v>
      </c>
      <c r="L17" s="4">
        <f>ROUND([1]龙魂规划!K70,0)</f>
        <v>0</v>
      </c>
      <c r="M17" s="4">
        <f>ROUND([1]龙魂规划!L70,3)</f>
        <v>0</v>
      </c>
      <c r="N17" s="4">
        <f>ROUND([1]龙魂规划!M70,3)</f>
        <v>0</v>
      </c>
      <c r="O17" s="4">
        <f>ROUND([1]龙魂规划!N70,3)</f>
        <v>0</v>
      </c>
      <c r="P17" s="4">
        <f>ROUND([1]龙魂规划!O70,3)</f>
        <v>0</v>
      </c>
      <c r="Q17" s="4">
        <f>ROUND([1]龙魂规划!P70,3)</f>
        <v>0</v>
      </c>
      <c r="R17" s="4">
        <f>ROUND([1]龙魂规划!Q70,2)</f>
        <v>0</v>
      </c>
      <c r="S17" s="4">
        <f>ROUND([1]龙魂规划!R70,2)</f>
        <v>0</v>
      </c>
      <c r="T17" s="1">
        <f t="shared" si="0"/>
        <v>1883.6</v>
      </c>
      <c r="U17">
        <f t="shared" si="2"/>
        <v>683.15999999999985</v>
      </c>
      <c r="W17" s="1">
        <f t="shared" si="1"/>
        <v>2</v>
      </c>
      <c r="X17" s="1" t="str">
        <f t="array" aca="1" ref="X17" ca="1">OFFSET($F$11,0,SMALL(IF($G17:$S17&gt;0,COLUMN($A:$M),""),X$10))</f>
        <v>生命</v>
      </c>
      <c r="Y17" s="1">
        <f t="array" aca="1" ref="Y17" ca="1">IFERROR(OFFSET($F17,0,SMALL(IF($G17:$S17&gt;0,COLUMN($A:$M),""),Y$10)),0)</f>
        <v>21815</v>
      </c>
      <c r="Z17" s="1" t="str">
        <f t="array" aca="1" ref="Z17" ca="1">IFERROR(OFFSET($F$11,0,SMALL(IF($G17:$S17&gt;0,COLUMN($A:$M),""),Z$10)),0)</f>
        <v>攻击</v>
      </c>
      <c r="AA17" s="1">
        <f t="array" aca="1" ref="AA17" ca="1">IFERROR(OFFSET($F17,0,SMALL(IF($G17:$S17&gt;0,COLUMN($A:$M),""),AA$10)),0)</f>
        <v>1011</v>
      </c>
      <c r="AB17" s="1">
        <f t="array" aca="1" ref="AB17" ca="1">IFERROR(OFFSET($F$11,0,SMALL(IF($G17:$S17&gt;0,COLUMN($A:$M),""),AB$10)),0)</f>
        <v>0</v>
      </c>
      <c r="AC17" s="1">
        <f t="array" aca="1" ref="AC17" ca="1">IFERROR(OFFSET($F17,0,SMALL(IF($G17:$S17&gt;0,COLUMN($A:$M),""),AC$10)),0)</f>
        <v>0</v>
      </c>
      <c r="AD17" s="1">
        <f t="array" aca="1" ref="AD17" ca="1">IFERROR(OFFSET($F$11,0,SMALL(IF($G17:$S17&gt;0,COLUMN($A:$M),""),AD$10)),0)</f>
        <v>0</v>
      </c>
      <c r="AE17" s="1">
        <f t="array" aca="1" ref="AE17" ca="1">IFERROR(OFFSET($F17,0,SMALL(IF($G17:$S17&gt;0,COLUMN($A:$M),""),AE$10)),0)</f>
        <v>0</v>
      </c>
      <c r="AF17" s="1">
        <f t="array" aca="1" ref="AF17" ca="1">IFERROR(OFFSET($F$11,0,SMALL(IF($G17:$S17&gt;0,COLUMN($A:$M),""),AF$10)),0)</f>
        <v>0</v>
      </c>
      <c r="AG17" s="1">
        <f t="array" aca="1" ref="AG17" ca="1">IFERROR(OFFSET($F17,0,SMALL(IF($G17:$S17&gt;0,COLUMN($A:$M),""),AG$10)),0)</f>
        <v>0</v>
      </c>
      <c r="AH17" s="1">
        <f t="array" aca="1" ref="AH17" ca="1">IFERROR(OFFSET($F$11,0,SMALL(IF($G17:$S17&gt;0,COLUMN($A:$M),""),AH$10)),0)</f>
        <v>0</v>
      </c>
      <c r="AI17" s="1">
        <f t="array" aca="1" ref="AI17" ca="1">IFERROR(OFFSET($F17,0,SMALL(IF($G17:$S17&gt;0,COLUMN($A:$M),""),AI$10)),0)</f>
        <v>0</v>
      </c>
      <c r="AJ17" s="1">
        <f t="array" aca="1" ref="AJ17" ca="1">IFERROR(OFFSET($F$11,0,SMALL(IF($G17:$S17&gt;0,COLUMN($A:$M),""),AJ$10)),0)</f>
        <v>0</v>
      </c>
      <c r="AK17" s="1">
        <f t="array" aca="1" ref="AK17" ca="1">IFERROR(OFFSET($F17,0,SMALL(IF($G17:$S17&gt;0,COLUMN($A:$M),""),AK$10)),0)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D_龙魂表</vt:lpstr>
      <vt:lpstr>D_龙魂整图属性</vt:lpstr>
      <vt:lpstr>龙魂辅助表</vt:lpstr>
      <vt:lpstr>消耗&amp;估值</vt:lpstr>
      <vt:lpstr>龙魂整图属性辅助表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2015-08-10T02:52:20Z</dcterms:modified>
</cp:coreProperties>
</file>