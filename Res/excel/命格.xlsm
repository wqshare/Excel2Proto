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Excel2Proto\Res\excel\"/>
    </mc:Choice>
  </mc:AlternateContent>
  <bookViews>
    <workbookView xWindow="240" yWindow="108" windowWidth="14808" windowHeight="8016" activeTab="1"/>
  </bookViews>
  <sheets>
    <sheet name="D_猎命表" sheetId="2" r:id="rId1"/>
    <sheet name="D_LIEMING" sheetId="10" r:id="rId2"/>
    <sheet name="D_猎命产出表" sheetId="1" r:id="rId3"/>
    <sheet name="D_命格表" sheetId="3" r:id="rId4"/>
    <sheet name="D_命格装备表" sheetId="4" r:id="rId5"/>
    <sheet name="猎命辅助表" sheetId="9" r:id="rId6"/>
    <sheet name="命格辅助表" sheetId="5" r:id="rId7"/>
    <sheet name="数值对比" sheetId="7" r:id="rId8"/>
    <sheet name="定义数据" sheetId="6" r:id="rId9"/>
  </sheets>
  <externalReferences>
    <externalReference r:id="rId10"/>
    <externalReference r:id="rId11"/>
  </externalReferences>
  <definedNames>
    <definedName name="_xlnm._FilterDatabase" localSheetId="3" hidden="1">D_命格表!$A$1:$U$474</definedName>
    <definedName name="命格属性表">命格辅助表!$A$93:$AB$152</definedName>
    <definedName name="命格数据查询表">D_命格表!$A$2:$U$474</definedName>
  </definedNames>
  <calcPr calcId="152511"/>
</workbook>
</file>

<file path=xl/calcChain.xml><?xml version="1.0" encoding="utf-8"?>
<calcChain xmlns="http://schemas.openxmlformats.org/spreadsheetml/2006/main">
  <c r="H31" i="9" l="1"/>
  <c r="H32" i="9"/>
  <c r="H33" i="9"/>
  <c r="H34" i="9"/>
  <c r="H35" i="9"/>
  <c r="H36" i="9"/>
  <c r="H37" i="9"/>
  <c r="H38" i="9"/>
  <c r="AB38" i="9"/>
  <c r="AA38" i="9"/>
  <c r="M23" i="5" l="1"/>
  <c r="J23" i="5"/>
  <c r="G14" i="6"/>
  <c r="N23" i="5"/>
  <c r="BP2" i="1" l="1"/>
  <c r="BQ2" i="1"/>
  <c r="BS2" i="1"/>
  <c r="BT2" i="1"/>
  <c r="BV2" i="1"/>
  <c r="BW2" i="1"/>
  <c r="BY2" i="1"/>
  <c r="BZ2" i="1"/>
  <c r="CB2" i="1"/>
  <c r="CC2" i="1"/>
  <c r="CE2" i="1"/>
  <c r="CF2" i="1"/>
  <c r="CH2" i="1"/>
  <c r="CI2" i="1"/>
  <c r="CK2" i="1"/>
  <c r="CL2" i="1"/>
  <c r="CN2" i="1"/>
  <c r="CO2" i="1"/>
  <c r="CQ2" i="1"/>
  <c r="CR2" i="1"/>
  <c r="CT2" i="1"/>
  <c r="CU2" i="1"/>
  <c r="CW2" i="1"/>
  <c r="CX2" i="1"/>
  <c r="CZ2" i="1"/>
  <c r="DA2" i="1"/>
  <c r="DC2" i="1"/>
  <c r="DD2" i="1"/>
  <c r="DF2" i="1"/>
  <c r="DG2" i="1"/>
  <c r="DI2" i="1"/>
  <c r="DJ2" i="1"/>
  <c r="DL2" i="1"/>
  <c r="DM2" i="1"/>
  <c r="DO2" i="1"/>
  <c r="DP2" i="1"/>
  <c r="DR2" i="1"/>
  <c r="DS2" i="1"/>
  <c r="DU2" i="1"/>
  <c r="DV2" i="1"/>
  <c r="DX2" i="1"/>
  <c r="BP3" i="1"/>
  <c r="BQ3" i="1"/>
  <c r="BS3" i="1"/>
  <c r="BT3" i="1"/>
  <c r="BV3" i="1"/>
  <c r="BW3" i="1"/>
  <c r="BY3" i="1"/>
  <c r="BZ3" i="1"/>
  <c r="CB3" i="1"/>
  <c r="CC3" i="1"/>
  <c r="CE3" i="1"/>
  <c r="CF3" i="1"/>
  <c r="CH3" i="1"/>
  <c r="CI3" i="1"/>
  <c r="CK3" i="1"/>
  <c r="CL3" i="1"/>
  <c r="CN3" i="1"/>
  <c r="CO3" i="1"/>
  <c r="CQ3" i="1"/>
  <c r="CR3" i="1"/>
  <c r="CT3" i="1"/>
  <c r="CU3" i="1"/>
  <c r="CW3" i="1"/>
  <c r="CX3" i="1"/>
  <c r="CZ3" i="1"/>
  <c r="DA3" i="1"/>
  <c r="DC3" i="1"/>
  <c r="DD3" i="1"/>
  <c r="DF3" i="1"/>
  <c r="DG3" i="1"/>
  <c r="DI3" i="1"/>
  <c r="DJ3" i="1"/>
  <c r="DL3" i="1"/>
  <c r="DM3" i="1"/>
  <c r="DO3" i="1"/>
  <c r="DP3" i="1"/>
  <c r="DR3" i="1"/>
  <c r="DS3" i="1"/>
  <c r="DU3" i="1"/>
  <c r="DV3" i="1"/>
  <c r="DX3" i="1"/>
  <c r="BP4" i="1"/>
  <c r="BQ4" i="1"/>
  <c r="BS4" i="1"/>
  <c r="BT4" i="1"/>
  <c r="BV4" i="1"/>
  <c r="BW4" i="1"/>
  <c r="BY4" i="1"/>
  <c r="BZ4" i="1"/>
  <c r="CB4" i="1"/>
  <c r="CC4" i="1"/>
  <c r="CE4" i="1"/>
  <c r="CF4" i="1"/>
  <c r="CH4" i="1"/>
  <c r="CI4" i="1"/>
  <c r="CK4" i="1"/>
  <c r="CL4" i="1"/>
  <c r="CN4" i="1"/>
  <c r="CO4" i="1"/>
  <c r="CQ4" i="1"/>
  <c r="CR4" i="1"/>
  <c r="CT4" i="1"/>
  <c r="CU4" i="1"/>
  <c r="CW4" i="1"/>
  <c r="CX4" i="1"/>
  <c r="CZ4" i="1"/>
  <c r="DA4" i="1"/>
  <c r="DC4" i="1"/>
  <c r="DD4" i="1"/>
  <c r="DF4" i="1"/>
  <c r="DG4" i="1"/>
  <c r="DI4" i="1"/>
  <c r="DJ4" i="1"/>
  <c r="DL4" i="1"/>
  <c r="DM4" i="1"/>
  <c r="DO4" i="1"/>
  <c r="DP4" i="1"/>
  <c r="DR4" i="1"/>
  <c r="DS4" i="1"/>
  <c r="DU4" i="1"/>
  <c r="DV4" i="1"/>
  <c r="DX4" i="1"/>
  <c r="BQ5" i="1"/>
  <c r="BT5" i="1"/>
  <c r="BW5" i="1"/>
  <c r="BZ5" i="1"/>
  <c r="CC5" i="1"/>
  <c r="CF5" i="1"/>
  <c r="CI5" i="1"/>
  <c r="CL5" i="1"/>
  <c r="CO5" i="1"/>
  <c r="CP5" i="1"/>
  <c r="CR5" i="1"/>
  <c r="CU5" i="1"/>
  <c r="CV5" i="1"/>
  <c r="CX5" i="1"/>
  <c r="DA5" i="1"/>
  <c r="DD5" i="1"/>
  <c r="DF5" i="1"/>
  <c r="DG5" i="1"/>
  <c r="DI5" i="1"/>
  <c r="DJ5" i="1"/>
  <c r="DL5" i="1"/>
  <c r="DM5" i="1"/>
  <c r="DO5" i="1"/>
  <c r="DP5" i="1"/>
  <c r="DR5" i="1"/>
  <c r="DS5" i="1"/>
  <c r="DU5" i="1"/>
  <c r="DV5" i="1"/>
  <c r="DX5" i="1"/>
  <c r="BQ6" i="1"/>
  <c r="BR6" i="1"/>
  <c r="BT6" i="1"/>
  <c r="BW6" i="1"/>
  <c r="BX6" i="1"/>
  <c r="BZ6" i="1"/>
  <c r="CC6" i="1"/>
  <c r="CF6" i="1"/>
  <c r="CH6" i="1"/>
  <c r="BP7" i="1"/>
  <c r="BQ7" i="1"/>
  <c r="BS7" i="1"/>
  <c r="BT7" i="1"/>
  <c r="BV7" i="1"/>
  <c r="BW7" i="1"/>
  <c r="BY7" i="1"/>
  <c r="BZ7" i="1"/>
  <c r="CB7" i="1"/>
  <c r="CC7" i="1"/>
  <c r="CE7" i="1"/>
  <c r="CF7" i="1"/>
  <c r="CH7" i="1"/>
  <c r="CI7" i="1"/>
  <c r="CK7" i="1"/>
  <c r="CL7" i="1"/>
  <c r="CN7" i="1"/>
  <c r="CO7" i="1"/>
  <c r="CQ7" i="1"/>
  <c r="CR7" i="1"/>
  <c r="CT7" i="1"/>
  <c r="CU7" i="1"/>
  <c r="CW7" i="1"/>
  <c r="CX7" i="1"/>
  <c r="CZ7" i="1"/>
  <c r="DA7" i="1"/>
  <c r="DC7" i="1"/>
  <c r="DD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BQ8" i="1"/>
  <c r="BT8" i="1"/>
  <c r="BW8" i="1"/>
  <c r="BZ8" i="1"/>
  <c r="CC8" i="1"/>
  <c r="CF8" i="1"/>
  <c r="CI8" i="1"/>
  <c r="CL8" i="1"/>
  <c r="CO8" i="1"/>
  <c r="CP8" i="1"/>
  <c r="CR8" i="1"/>
  <c r="CU8" i="1"/>
  <c r="CV8" i="1"/>
  <c r="CX8" i="1"/>
  <c r="DA8" i="1"/>
  <c r="DD8" i="1"/>
  <c r="DF8" i="1"/>
  <c r="DG8" i="1"/>
  <c r="DI8" i="1"/>
  <c r="DJ8" i="1"/>
  <c r="DL8" i="1"/>
  <c r="DM8" i="1"/>
  <c r="DO8" i="1"/>
  <c r="DP8" i="1"/>
  <c r="DR8" i="1"/>
  <c r="DS8" i="1"/>
  <c r="DU8" i="1"/>
  <c r="DV8" i="1"/>
  <c r="DX8" i="1"/>
  <c r="BQ9" i="1"/>
  <c r="BR9" i="1"/>
  <c r="BT9" i="1"/>
  <c r="BW9" i="1"/>
  <c r="BX9" i="1"/>
  <c r="BZ9" i="1"/>
  <c r="CC9" i="1"/>
  <c r="CF9" i="1"/>
  <c r="CH9" i="1"/>
  <c r="W2" i="1"/>
  <c r="X2" i="1"/>
  <c r="Z2" i="1"/>
  <c r="AA2" i="1"/>
  <c r="AC2" i="1"/>
  <c r="AD2" i="1"/>
  <c r="AF2" i="1"/>
  <c r="AG2" i="1"/>
  <c r="AI2" i="1"/>
  <c r="AJ2" i="1"/>
  <c r="AL2" i="1"/>
  <c r="AM2" i="1"/>
  <c r="AO2" i="1"/>
  <c r="AP2" i="1"/>
  <c r="AR2" i="1"/>
  <c r="AS2" i="1"/>
  <c r="AU2" i="1"/>
  <c r="AV2" i="1"/>
  <c r="AX2" i="1"/>
  <c r="AY2" i="1"/>
  <c r="BA2" i="1"/>
  <c r="BB2" i="1"/>
  <c r="BD2" i="1"/>
  <c r="BE2" i="1"/>
  <c r="BG2" i="1"/>
  <c r="BH2" i="1"/>
  <c r="BJ2" i="1"/>
  <c r="BK2" i="1"/>
  <c r="BM2" i="1"/>
  <c r="BN2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O3" i="1"/>
  <c r="AP3" i="1"/>
  <c r="AR3" i="1"/>
  <c r="AS3" i="1"/>
  <c r="AU3" i="1"/>
  <c r="AV3" i="1"/>
  <c r="AX3" i="1"/>
  <c r="AY3" i="1"/>
  <c r="BA3" i="1"/>
  <c r="BB3" i="1"/>
  <c r="BD3" i="1"/>
  <c r="BE3" i="1"/>
  <c r="BG3" i="1"/>
  <c r="BH3" i="1"/>
  <c r="BJ3" i="1"/>
  <c r="BK3" i="1"/>
  <c r="BM3" i="1"/>
  <c r="BN3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L4" i="1"/>
  <c r="AM4" i="1"/>
  <c r="AO4" i="1"/>
  <c r="AP4" i="1"/>
  <c r="AR4" i="1"/>
  <c r="AS4" i="1"/>
  <c r="AU4" i="1"/>
  <c r="AV4" i="1"/>
  <c r="AX4" i="1"/>
  <c r="AY4" i="1"/>
  <c r="BA4" i="1"/>
  <c r="BB4" i="1"/>
  <c r="BD4" i="1"/>
  <c r="BE4" i="1"/>
  <c r="BG4" i="1"/>
  <c r="BH4" i="1"/>
  <c r="BJ4" i="1"/>
  <c r="BK4" i="1"/>
  <c r="BM4" i="1"/>
  <c r="BN4" i="1"/>
  <c r="BO4" i="1"/>
  <c r="X5" i="1"/>
  <c r="AA5" i="1"/>
  <c r="AD5" i="1"/>
  <c r="AG5" i="1"/>
  <c r="AJ5" i="1"/>
  <c r="AM5" i="1"/>
  <c r="AP5" i="1"/>
  <c r="AS5" i="1"/>
  <c r="AV5" i="1"/>
  <c r="AY5" i="1"/>
  <c r="BB5" i="1"/>
  <c r="BE5" i="1"/>
  <c r="BH5" i="1"/>
  <c r="BK5" i="1"/>
  <c r="BN5" i="1"/>
  <c r="BO5" i="1"/>
  <c r="X6" i="1"/>
  <c r="AA6" i="1"/>
  <c r="AD6" i="1"/>
  <c r="AG6" i="1"/>
  <c r="AJ6" i="1"/>
  <c r="AM6" i="1"/>
  <c r="AP6" i="1"/>
  <c r="AQ6" i="1"/>
  <c r="AS6" i="1"/>
  <c r="AV6" i="1"/>
  <c r="AY6" i="1"/>
  <c r="BB6" i="1"/>
  <c r="BE6" i="1"/>
  <c r="BH6" i="1"/>
  <c r="BK6" i="1"/>
  <c r="BN6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L7" i="1"/>
  <c r="AM7" i="1"/>
  <c r="AO7" i="1"/>
  <c r="AP7" i="1"/>
  <c r="AR7" i="1"/>
  <c r="AS7" i="1"/>
  <c r="AU7" i="1"/>
  <c r="AV7" i="1"/>
  <c r="AX7" i="1"/>
  <c r="AY7" i="1"/>
  <c r="BA7" i="1"/>
  <c r="BB7" i="1"/>
  <c r="BD7" i="1"/>
  <c r="BE7" i="1"/>
  <c r="BG7" i="1"/>
  <c r="BH7" i="1"/>
  <c r="BJ7" i="1"/>
  <c r="BK7" i="1"/>
  <c r="BM7" i="1"/>
  <c r="BN7" i="1"/>
  <c r="BO7" i="1"/>
  <c r="X8" i="1"/>
  <c r="AA8" i="1"/>
  <c r="AD8" i="1"/>
  <c r="AG8" i="1"/>
  <c r="AJ8" i="1"/>
  <c r="AM8" i="1"/>
  <c r="AP8" i="1"/>
  <c r="AS8" i="1"/>
  <c r="AV8" i="1"/>
  <c r="AY8" i="1"/>
  <c r="BB8" i="1"/>
  <c r="BE8" i="1"/>
  <c r="BH8" i="1"/>
  <c r="BK8" i="1"/>
  <c r="BN8" i="1"/>
  <c r="BO8" i="1"/>
  <c r="X9" i="1"/>
  <c r="AA9" i="1"/>
  <c r="AD9" i="1"/>
  <c r="AG9" i="1"/>
  <c r="AJ9" i="1"/>
  <c r="AM9" i="1"/>
  <c r="AP9" i="1"/>
  <c r="AQ9" i="1"/>
  <c r="AS9" i="1"/>
  <c r="AV9" i="1"/>
  <c r="AY9" i="1"/>
  <c r="BB9" i="1"/>
  <c r="BE9" i="1"/>
  <c r="BH9" i="1"/>
  <c r="BK9" i="1"/>
  <c r="BN9" i="1"/>
  <c r="J2" i="1"/>
  <c r="K2" i="1"/>
  <c r="L2" i="1"/>
  <c r="M2" i="1"/>
  <c r="N2" i="1"/>
  <c r="O2" i="1"/>
  <c r="Q2" i="1"/>
  <c r="R2" i="1"/>
  <c r="T2" i="1"/>
  <c r="U2" i="1"/>
  <c r="J3" i="1"/>
  <c r="K3" i="1"/>
  <c r="L3" i="1"/>
  <c r="M3" i="1"/>
  <c r="N3" i="1"/>
  <c r="O3" i="1"/>
  <c r="P3" i="1"/>
  <c r="Q3" i="1"/>
  <c r="R3" i="1"/>
  <c r="S3" i="1"/>
  <c r="T3" i="1"/>
  <c r="U3" i="1"/>
  <c r="J4" i="1"/>
  <c r="K4" i="1"/>
  <c r="L4" i="1"/>
  <c r="M4" i="1"/>
  <c r="N4" i="1"/>
  <c r="O4" i="1"/>
  <c r="P4" i="1"/>
  <c r="Q4" i="1"/>
  <c r="R4" i="1"/>
  <c r="T4" i="1"/>
  <c r="U4" i="1"/>
  <c r="J5" i="1"/>
  <c r="L5" i="1"/>
  <c r="M5" i="1"/>
  <c r="O5" i="1"/>
  <c r="P5" i="1"/>
  <c r="R5" i="1"/>
  <c r="U5" i="1"/>
  <c r="L6" i="1"/>
  <c r="O6" i="1"/>
  <c r="R6" i="1"/>
  <c r="U6" i="1"/>
  <c r="J7" i="1"/>
  <c r="K7" i="1"/>
  <c r="L7" i="1"/>
  <c r="M7" i="1"/>
  <c r="N7" i="1"/>
  <c r="O7" i="1"/>
  <c r="P7" i="1"/>
  <c r="Q7" i="1"/>
  <c r="R7" i="1"/>
  <c r="T7" i="1"/>
  <c r="U7" i="1"/>
  <c r="J8" i="1"/>
  <c r="L8" i="1"/>
  <c r="M8" i="1"/>
  <c r="O8" i="1"/>
  <c r="P8" i="1"/>
  <c r="R8" i="1"/>
  <c r="U8" i="1"/>
  <c r="L9" i="1"/>
  <c r="O9" i="1"/>
  <c r="R9" i="1"/>
  <c r="U9" i="1"/>
  <c r="C3" i="1"/>
  <c r="D3" i="1"/>
  <c r="E3" i="1"/>
  <c r="F3" i="1"/>
  <c r="G3" i="1"/>
  <c r="H3" i="1"/>
  <c r="I3" i="1"/>
  <c r="C4" i="1"/>
  <c r="D4" i="1"/>
  <c r="E4" i="1"/>
  <c r="F4" i="1"/>
  <c r="G4" i="1"/>
  <c r="H4" i="1"/>
  <c r="I4" i="1"/>
  <c r="C5" i="1"/>
  <c r="D5" i="1"/>
  <c r="F5" i="1"/>
  <c r="G5" i="1"/>
  <c r="I5" i="1"/>
  <c r="C6" i="1"/>
  <c r="D6" i="1"/>
  <c r="F6" i="1"/>
  <c r="G6" i="1"/>
  <c r="I6" i="1"/>
  <c r="C7" i="1"/>
  <c r="D7" i="1"/>
  <c r="E7" i="1"/>
  <c r="F7" i="1"/>
  <c r="G7" i="1"/>
  <c r="H7" i="1"/>
  <c r="I7" i="1"/>
  <c r="C8" i="1"/>
  <c r="D8" i="1"/>
  <c r="F8" i="1"/>
  <c r="G8" i="1"/>
  <c r="I8" i="1"/>
  <c r="C9" i="1"/>
  <c r="D9" i="1"/>
  <c r="F9" i="1"/>
  <c r="G9" i="1"/>
  <c r="I9" i="1"/>
  <c r="D2" i="1"/>
  <c r="E2" i="1"/>
  <c r="F2" i="1"/>
  <c r="G2" i="1"/>
  <c r="H2" i="1"/>
  <c r="I2" i="1"/>
  <c r="C2" i="1"/>
  <c r="P32" i="9" l="1"/>
  <c r="P33" i="9"/>
  <c r="P34" i="9"/>
  <c r="P35" i="9"/>
  <c r="P36" i="9"/>
  <c r="P37" i="9"/>
  <c r="P38" i="9"/>
  <c r="P31" i="9"/>
  <c r="Y32" i="9" l="1"/>
  <c r="Z32" i="9"/>
  <c r="AA32" i="9"/>
  <c r="AB32" i="9"/>
  <c r="AC32" i="9"/>
  <c r="AD32" i="9"/>
  <c r="Y33" i="9"/>
  <c r="Z33" i="9"/>
  <c r="AA33" i="9"/>
  <c r="AB33" i="9"/>
  <c r="AC33" i="9"/>
  <c r="AD33" i="9"/>
  <c r="Y34" i="9"/>
  <c r="Z34" i="9"/>
  <c r="AA34" i="9"/>
  <c r="AB34" i="9"/>
  <c r="AC34" i="9"/>
  <c r="AD34" i="9"/>
  <c r="Y35" i="9"/>
  <c r="Z35" i="9"/>
  <c r="AA35" i="9"/>
  <c r="AB35" i="9"/>
  <c r="AC35" i="9"/>
  <c r="AD35" i="9"/>
  <c r="Y36" i="9"/>
  <c r="Z36" i="9"/>
  <c r="AA36" i="9"/>
  <c r="AB36" i="9"/>
  <c r="AC36" i="9"/>
  <c r="AD36" i="9"/>
  <c r="Y37" i="9"/>
  <c r="Z37" i="9"/>
  <c r="AA37" i="9"/>
  <c r="AB37" i="9"/>
  <c r="AC37" i="9"/>
  <c r="AD37" i="9"/>
  <c r="Y38" i="9"/>
  <c r="Z38" i="9"/>
  <c r="AC38" i="9"/>
  <c r="AD38" i="9"/>
  <c r="Z31" i="9"/>
  <c r="AA31" i="9"/>
  <c r="AB31" i="9"/>
  <c r="AC31" i="9"/>
  <c r="AD31" i="9"/>
  <c r="Y31" i="9"/>
  <c r="B58" i="5" l="1"/>
  <c r="DQ38" i="9"/>
  <c r="DT38" i="9" s="1"/>
  <c r="DW38" i="9" s="1"/>
  <c r="DZ38" i="9" s="1"/>
  <c r="EC38" i="9" s="1"/>
  <c r="CG38" i="9"/>
  <c r="CJ38" i="9" s="1"/>
  <c r="CD38" i="9"/>
  <c r="CE38" i="9" s="1"/>
  <c r="AZ9" i="1" s="1"/>
  <c r="CB38" i="9"/>
  <c r="AW9" i="1" s="1"/>
  <c r="AT38" i="9"/>
  <c r="AW38" i="9" s="1"/>
  <c r="AR38" i="9"/>
  <c r="M9" i="1" s="1"/>
  <c r="AN38" i="9"/>
  <c r="AO38" i="9" s="1"/>
  <c r="J9" i="1" s="1"/>
  <c r="AK38" i="9"/>
  <c r="EY37" i="9"/>
  <c r="DT8" i="1" s="1"/>
  <c r="EV37" i="9"/>
  <c r="DQ8" i="1" s="1"/>
  <c r="ES37" i="9"/>
  <c r="DN8" i="1" s="1"/>
  <c r="EP37" i="9"/>
  <c r="DK8" i="1" s="1"/>
  <c r="EM37" i="9"/>
  <c r="DH8" i="1" s="1"/>
  <c r="EJ37" i="9"/>
  <c r="DE8" i="1" s="1"/>
  <c r="DE37" i="9"/>
  <c r="DH37" i="9" s="1"/>
  <c r="DB37" i="9"/>
  <c r="DC37" i="9" s="1"/>
  <c r="BX8" i="1" s="1"/>
  <c r="CZ37" i="9"/>
  <c r="BU8" i="1" s="1"/>
  <c r="BV37" i="9"/>
  <c r="AQ8" i="1" s="1"/>
  <c r="BU37" i="9"/>
  <c r="BX37" i="9" s="1"/>
  <c r="BS37" i="9"/>
  <c r="AN8" i="1" s="1"/>
  <c r="BR37" i="9"/>
  <c r="BP37" i="9"/>
  <c r="AK8" i="1" s="1"/>
  <c r="AW37" i="9"/>
  <c r="AZ37" i="9" s="1"/>
  <c r="AT37" i="9"/>
  <c r="AK37" i="9"/>
  <c r="AN37" i="9" s="1"/>
  <c r="AT35" i="9"/>
  <c r="AW35" i="9" s="1"/>
  <c r="AR35" i="9"/>
  <c r="M6" i="1" s="1"/>
  <c r="CB35" i="9"/>
  <c r="AW6" i="1" s="1"/>
  <c r="CD35" i="9"/>
  <c r="CE35" i="9"/>
  <c r="AZ6" i="1" s="1"/>
  <c r="CG35" i="9"/>
  <c r="CJ35" i="9" s="1"/>
  <c r="CH35" i="9"/>
  <c r="BC6" i="1" s="1"/>
  <c r="DQ35" i="9"/>
  <c r="DT35" i="9" s="1"/>
  <c r="DW35" i="9" s="1"/>
  <c r="DZ35" i="9" s="1"/>
  <c r="EC35" i="9" s="1"/>
  <c r="EY34" i="9"/>
  <c r="DT5" i="1" s="1"/>
  <c r="EV34" i="9"/>
  <c r="DQ5" i="1" s="1"/>
  <c r="ES34" i="9"/>
  <c r="DN5" i="1" s="1"/>
  <c r="EP34" i="9"/>
  <c r="DK5" i="1" s="1"/>
  <c r="EM34" i="9"/>
  <c r="DH5" i="1" s="1"/>
  <c r="EJ34" i="9"/>
  <c r="DE5" i="1" s="1"/>
  <c r="DN34" i="9"/>
  <c r="DQ34" i="9" s="1"/>
  <c r="AZ34" i="9"/>
  <c r="DB34" i="9"/>
  <c r="BP34" i="9"/>
  <c r="AK5" i="1" s="1"/>
  <c r="BR34" i="9"/>
  <c r="BU34" i="9" s="1"/>
  <c r="BS34" i="9"/>
  <c r="AN5" i="1" s="1"/>
  <c r="CZ34" i="9"/>
  <c r="BU5" i="1" s="1"/>
  <c r="DC34" i="9"/>
  <c r="BX5" i="1" s="1"/>
  <c r="DE34" i="9"/>
  <c r="DF34" i="9"/>
  <c r="CA5" i="1" s="1"/>
  <c r="DH34" i="9"/>
  <c r="DI34" i="9" s="1"/>
  <c r="CD5" i="1" s="1"/>
  <c r="CM38" i="9" l="1"/>
  <c r="CK38" i="9"/>
  <c r="BF9" i="1" s="1"/>
  <c r="BC37" i="9"/>
  <c r="BA37" i="9"/>
  <c r="V8" i="1" s="1"/>
  <c r="DK37" i="9"/>
  <c r="DI37" i="9"/>
  <c r="CD8" i="1" s="1"/>
  <c r="EF38" i="9"/>
  <c r="EI38" i="9" s="1"/>
  <c r="EL38" i="9" s="1"/>
  <c r="EO38" i="9" s="1"/>
  <c r="ER38" i="9" s="1"/>
  <c r="EU38" i="9" s="1"/>
  <c r="EX38" i="9" s="1"/>
  <c r="ED38" i="9"/>
  <c r="CA37" i="9"/>
  <c r="BY37" i="9"/>
  <c r="AT8" i="1" s="1"/>
  <c r="AX38" i="9"/>
  <c r="S9" i="1" s="1"/>
  <c r="AZ38" i="9"/>
  <c r="AX37" i="9"/>
  <c r="S8" i="1" s="1"/>
  <c r="CH38" i="9"/>
  <c r="BC9" i="1" s="1"/>
  <c r="DF37" i="9"/>
  <c r="CA8" i="1" s="1"/>
  <c r="AU38" i="9"/>
  <c r="P9" i="1" s="1"/>
  <c r="AZ35" i="9"/>
  <c r="AX35" i="9"/>
  <c r="S6" i="1" s="1"/>
  <c r="AU35" i="9"/>
  <c r="P6" i="1" s="1"/>
  <c r="CK35" i="9"/>
  <c r="BF6" i="1" s="1"/>
  <c r="CM35" i="9"/>
  <c r="ED35" i="9"/>
  <c r="EF35" i="9"/>
  <c r="EI35" i="9" s="1"/>
  <c r="EL35" i="9" s="1"/>
  <c r="EO35" i="9" s="1"/>
  <c r="ER35" i="9" s="1"/>
  <c r="EU35" i="9" s="1"/>
  <c r="EX35" i="9" s="1"/>
  <c r="DT34" i="9"/>
  <c r="DW34" i="9" s="1"/>
  <c r="DR34" i="9"/>
  <c r="CM5" i="1" s="1"/>
  <c r="DO34" i="9"/>
  <c r="CJ5" i="1" s="1"/>
  <c r="BV34" i="9"/>
  <c r="AQ5" i="1" s="1"/>
  <c r="BX34" i="9"/>
  <c r="DK34" i="9"/>
  <c r="DL37" i="9" l="1"/>
  <c r="CG8" i="1" s="1"/>
  <c r="DN37" i="9"/>
  <c r="BC38" i="9"/>
  <c r="BA38" i="9"/>
  <c r="V9" i="1" s="1"/>
  <c r="BD37" i="9"/>
  <c r="Y8" i="1" s="1"/>
  <c r="BF37" i="9"/>
  <c r="CB37" i="9"/>
  <c r="AW8" i="1" s="1"/>
  <c r="CD37" i="9"/>
  <c r="CN38" i="9"/>
  <c r="BI9" i="1" s="1"/>
  <c r="CP38" i="9"/>
  <c r="BA35" i="9"/>
  <c r="V6" i="1" s="1"/>
  <c r="BC35" i="9"/>
  <c r="CP35" i="9"/>
  <c r="CN35" i="9"/>
  <c r="BI6" i="1" s="1"/>
  <c r="DZ34" i="9"/>
  <c r="EC34" i="9" s="1"/>
  <c r="DX34" i="9"/>
  <c r="CS5" i="1" s="1"/>
  <c r="BY34" i="9"/>
  <c r="AT5" i="1" s="1"/>
  <c r="CA34" i="9"/>
  <c r="DL34" i="9"/>
  <c r="CG5" i="1" s="1"/>
  <c r="CS38" i="9" l="1"/>
  <c r="CQ38" i="9"/>
  <c r="BL9" i="1" s="1"/>
  <c r="DQ37" i="9"/>
  <c r="DO37" i="9"/>
  <c r="CJ8" i="1" s="1"/>
  <c r="CG37" i="9"/>
  <c r="CE37" i="9"/>
  <c r="AZ8" i="1" s="1"/>
  <c r="BI37" i="9"/>
  <c r="BG37" i="9"/>
  <c r="AB8" i="1" s="1"/>
  <c r="BF38" i="9"/>
  <c r="BD38" i="9"/>
  <c r="Y9" i="1" s="1"/>
  <c r="BF35" i="9"/>
  <c r="BD35" i="9"/>
  <c r="Y6" i="1" s="1"/>
  <c r="CQ35" i="9"/>
  <c r="BL6" i="1" s="1"/>
  <c r="CS35" i="9"/>
  <c r="ED34" i="9"/>
  <c r="CY5" i="1" s="1"/>
  <c r="EF34" i="9"/>
  <c r="EG34" i="9" s="1"/>
  <c r="DB5" i="1" s="1"/>
  <c r="CB34" i="9"/>
  <c r="AW5" i="1" s="1"/>
  <c r="CD34" i="9"/>
  <c r="DR37" i="9" l="1"/>
  <c r="CM8" i="1" s="1"/>
  <c r="DT37" i="9"/>
  <c r="DW37" i="9" s="1"/>
  <c r="CV38" i="9"/>
  <c r="CY38" i="9" s="1"/>
  <c r="CT38" i="9"/>
  <c r="BO9" i="1" s="1"/>
  <c r="BL37" i="9"/>
  <c r="BM37" i="9" s="1"/>
  <c r="AH8" i="1" s="1"/>
  <c r="BJ37" i="9"/>
  <c r="AE8" i="1" s="1"/>
  <c r="CJ37" i="9"/>
  <c r="CH37" i="9"/>
  <c r="BC8" i="1" s="1"/>
  <c r="BG38" i="9"/>
  <c r="AB9" i="1" s="1"/>
  <c r="BI38" i="9"/>
  <c r="BI35" i="9"/>
  <c r="BG35" i="9"/>
  <c r="AB6" i="1" s="1"/>
  <c r="CT35" i="9"/>
  <c r="BO6" i="1" s="1"/>
  <c r="CV35" i="9"/>
  <c r="CY35" i="9" s="1"/>
  <c r="CE34" i="9"/>
  <c r="AZ5" i="1" s="1"/>
  <c r="CG34" i="9"/>
  <c r="DB38" i="9" l="1"/>
  <c r="DE38" i="9" s="1"/>
  <c r="CZ38" i="9"/>
  <c r="BU9" i="1" s="1"/>
  <c r="BL38" i="9"/>
  <c r="BJ38" i="9"/>
  <c r="AE9" i="1" s="1"/>
  <c r="CK37" i="9"/>
  <c r="BF8" i="1" s="1"/>
  <c r="CM37" i="9"/>
  <c r="DZ37" i="9"/>
  <c r="EC37" i="9" s="1"/>
  <c r="DX37" i="9"/>
  <c r="CS8" i="1" s="1"/>
  <c r="BL35" i="9"/>
  <c r="BJ35" i="9"/>
  <c r="AE6" i="1" s="1"/>
  <c r="CZ35" i="9"/>
  <c r="BU6" i="1" s="1"/>
  <c r="DB35" i="9"/>
  <c r="DE35" i="9" s="1"/>
  <c r="CH34" i="9"/>
  <c r="BC5" i="1" s="1"/>
  <c r="CJ34" i="9"/>
  <c r="BM38" i="9" l="1"/>
  <c r="AH9" i="1" s="1"/>
  <c r="BO38" i="9"/>
  <c r="ED37" i="9"/>
  <c r="CY8" i="1" s="1"/>
  <c r="EF37" i="9"/>
  <c r="EG37" i="9" s="1"/>
  <c r="DB8" i="1" s="1"/>
  <c r="CP37" i="9"/>
  <c r="CN37" i="9"/>
  <c r="BI8" i="1" s="1"/>
  <c r="DF38" i="9"/>
  <c r="CA9" i="1" s="1"/>
  <c r="DH38" i="9"/>
  <c r="BO35" i="9"/>
  <c r="BM35" i="9"/>
  <c r="AH6" i="1" s="1"/>
  <c r="DH35" i="9"/>
  <c r="DF35" i="9"/>
  <c r="CA6" i="1" s="1"/>
  <c r="CK34" i="9"/>
  <c r="BF5" i="1" s="1"/>
  <c r="CM34" i="9"/>
  <c r="CN34" i="9" s="1"/>
  <c r="BI5" i="1" s="1"/>
  <c r="CS37" i="9" l="1"/>
  <c r="CV37" i="9" s="1"/>
  <c r="CW37" i="9" s="1"/>
  <c r="BR8" i="1" s="1"/>
  <c r="CQ37" i="9"/>
  <c r="BL8" i="1" s="1"/>
  <c r="DK38" i="9"/>
  <c r="DL38" i="9" s="1"/>
  <c r="CG9" i="1" s="1"/>
  <c r="DI38" i="9"/>
  <c r="CD9" i="1" s="1"/>
  <c r="BR38" i="9"/>
  <c r="BP38" i="9"/>
  <c r="AK9" i="1" s="1"/>
  <c r="BP35" i="9"/>
  <c r="AK6" i="1" s="1"/>
  <c r="BR35" i="9"/>
  <c r="DK35" i="9"/>
  <c r="DL35" i="9" s="1"/>
  <c r="CG6" i="1" s="1"/>
  <c r="DI35" i="9"/>
  <c r="CD6" i="1" s="1"/>
  <c r="BU38" i="9" l="1"/>
  <c r="BX38" i="9" s="1"/>
  <c r="BY38" i="9" s="1"/>
  <c r="AT9" i="1" s="1"/>
  <c r="BS38" i="9"/>
  <c r="AN9" i="1" s="1"/>
  <c r="BU35" i="9"/>
  <c r="BX35" i="9" s="1"/>
  <c r="BY35" i="9" s="1"/>
  <c r="AT6" i="1" s="1"/>
  <c r="BS35" i="9"/>
  <c r="AN6" i="1" s="1"/>
  <c r="M2" i="9" l="1"/>
  <c r="K2" i="9" l="1"/>
  <c r="J3" i="3"/>
  <c r="J4" i="3"/>
  <c r="J5" i="3"/>
  <c r="J6" i="3"/>
  <c r="J7" i="3"/>
  <c r="J8" i="3"/>
  <c r="J9" i="3"/>
  <c r="J10" i="3"/>
  <c r="V4" i="5"/>
  <c r="V5" i="5" s="1"/>
  <c r="V6" i="5" s="1"/>
  <c r="V7" i="5" s="1"/>
  <c r="V8" i="5" s="1"/>
  <c r="V9" i="5" s="1"/>
  <c r="V10" i="5" s="1"/>
  <c r="T4" i="5"/>
  <c r="T5" i="5" s="1"/>
  <c r="T6" i="5" s="1"/>
  <c r="T7" i="5" s="1"/>
  <c r="T8" i="5" s="1"/>
  <c r="T9" i="5" s="1"/>
  <c r="T10" i="5" s="1"/>
  <c r="U3" i="5" s="1"/>
  <c r="U7" i="5" l="1"/>
  <c r="U4" i="5"/>
  <c r="U10" i="5"/>
  <c r="U9" i="5"/>
  <c r="U8" i="5"/>
  <c r="U6" i="5"/>
  <c r="U5" i="5"/>
  <c r="U2" i="3" l="1"/>
  <c r="X79" i="5" l="1"/>
  <c r="L474" i="3" l="1"/>
  <c r="L466" i="3"/>
  <c r="L458" i="3"/>
  <c r="L450" i="3"/>
  <c r="L442" i="3"/>
  <c r="L434" i="3"/>
  <c r="L426" i="3"/>
  <c r="L418" i="3"/>
  <c r="L410" i="3"/>
  <c r="L402" i="3"/>
  <c r="L394" i="3"/>
  <c r="L386" i="3"/>
  <c r="L378" i="3"/>
  <c r="L370" i="3"/>
  <c r="L362" i="3"/>
  <c r="L354" i="3"/>
  <c r="L346" i="3"/>
  <c r="L338" i="3"/>
  <c r="L330" i="3"/>
  <c r="L322" i="3"/>
  <c r="L314" i="3"/>
  <c r="L306" i="3"/>
  <c r="L298" i="3"/>
  <c r="L290" i="3"/>
  <c r="L282" i="3"/>
  <c r="L274" i="3"/>
  <c r="L266" i="3"/>
  <c r="L258" i="3"/>
  <c r="L250" i="3"/>
  <c r="L242" i="3"/>
  <c r="L234" i="3"/>
  <c r="L226" i="3"/>
  <c r="L218" i="3"/>
  <c r="L210" i="3"/>
  <c r="L202" i="3"/>
  <c r="L194" i="3"/>
  <c r="L186" i="3"/>
  <c r="L178" i="3"/>
  <c r="L170" i="3"/>
  <c r="L162" i="3"/>
  <c r="L154" i="3"/>
  <c r="L146" i="3"/>
  <c r="L138" i="3"/>
  <c r="L130" i="3"/>
  <c r="L122" i="3"/>
  <c r="L114" i="3"/>
  <c r="L106" i="3"/>
  <c r="L98" i="3"/>
  <c r="L90" i="3"/>
  <c r="L82" i="3"/>
  <c r="L74" i="3"/>
  <c r="L66" i="3"/>
  <c r="L58" i="3"/>
  <c r="L50" i="3"/>
  <c r="L42" i="3"/>
  <c r="L34" i="3"/>
  <c r="L26" i="3"/>
  <c r="L18" i="3"/>
  <c r="L10" i="3"/>
  <c r="C5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V33" i="7" s="1"/>
  <c r="B34" i="7"/>
  <c r="V34" i="7" s="1"/>
  <c r="B35" i="7"/>
  <c r="V35" i="7" s="1"/>
  <c r="B36" i="7"/>
  <c r="V36" i="7" s="1"/>
  <c r="B37" i="7"/>
  <c r="V37" i="7" s="1"/>
  <c r="B38" i="7"/>
  <c r="V38" i="7" s="1"/>
  <c r="B39" i="7"/>
  <c r="V39" i="7" s="1"/>
  <c r="B40" i="7"/>
  <c r="V40" i="7" s="1"/>
  <c r="B41" i="7"/>
  <c r="V41" i="7" s="1"/>
  <c r="B42" i="7"/>
  <c r="V42" i="7" s="1"/>
  <c r="B43" i="7"/>
  <c r="V43" i="7" s="1"/>
  <c r="B44" i="7"/>
  <c r="V44" i="7" s="1"/>
  <c r="B45" i="7"/>
  <c r="V45" i="7" s="1"/>
  <c r="B46" i="7"/>
  <c r="V46" i="7" s="1"/>
  <c r="B47" i="7"/>
  <c r="V47" i="7" s="1"/>
  <c r="B48" i="7"/>
  <c r="V48" i="7" s="1"/>
  <c r="B49" i="7"/>
  <c r="V49" i="7" s="1"/>
  <c r="B50" i="7"/>
  <c r="V50" i="7" s="1"/>
  <c r="B51" i="7"/>
  <c r="V51" i="7" s="1"/>
  <c r="B52" i="7"/>
  <c r="V52" i="7" s="1"/>
  <c r="B53" i="7"/>
  <c r="V53" i="7" s="1"/>
  <c r="B54" i="7"/>
  <c r="V54" i="7" s="1"/>
  <c r="B55" i="7"/>
  <c r="V55" i="7" s="1"/>
  <c r="B56" i="7"/>
  <c r="V56" i="7" s="1"/>
  <c r="B57" i="7"/>
  <c r="V57" i="7" s="1"/>
  <c r="B58" i="7"/>
  <c r="V58" i="7" s="1"/>
  <c r="B59" i="7"/>
  <c r="V59" i="7" s="1"/>
  <c r="B60" i="7"/>
  <c r="V60" i="7" s="1"/>
  <c r="B61" i="7"/>
  <c r="V61" i="7" s="1"/>
  <c r="B62" i="7"/>
  <c r="V62" i="7" s="1"/>
  <c r="B63" i="7"/>
  <c r="V63" i="7" s="1"/>
  <c r="B64" i="7"/>
  <c r="V64" i="7" s="1"/>
  <c r="B65" i="7"/>
  <c r="V65" i="7" s="1"/>
  <c r="B66" i="7"/>
  <c r="V66" i="7" s="1"/>
  <c r="B67" i="7"/>
  <c r="V67" i="7" s="1"/>
  <c r="B68" i="7"/>
  <c r="V68" i="7" s="1"/>
  <c r="B69" i="7"/>
  <c r="V69" i="7" s="1"/>
  <c r="B70" i="7"/>
  <c r="V70" i="7" s="1"/>
  <c r="B71" i="7"/>
  <c r="V71" i="7" s="1"/>
  <c r="B72" i="7"/>
  <c r="V72" i="7" s="1"/>
  <c r="B73" i="7"/>
  <c r="V73" i="7" s="1"/>
  <c r="B74" i="7"/>
  <c r="V74" i="7" s="1"/>
  <c r="B75" i="7"/>
  <c r="V75" i="7" s="1"/>
  <c r="B76" i="7"/>
  <c r="V76" i="7" s="1"/>
  <c r="B77" i="7"/>
  <c r="V77" i="7" s="1"/>
  <c r="B78" i="7"/>
  <c r="V78" i="7" s="1"/>
  <c r="B79" i="7"/>
  <c r="V79" i="7" s="1"/>
  <c r="B80" i="7"/>
  <c r="V80" i="7" s="1"/>
  <c r="B81" i="7"/>
  <c r="V81" i="7" s="1"/>
  <c r="B82" i="7"/>
  <c r="V82" i="7" s="1"/>
  <c r="B83" i="7"/>
  <c r="V83" i="7" s="1"/>
  <c r="B84" i="7"/>
  <c r="V84" i="7" s="1"/>
  <c r="B85" i="7"/>
  <c r="V85" i="7" s="1"/>
  <c r="B86" i="7"/>
  <c r="V86" i="7" s="1"/>
  <c r="B87" i="7"/>
  <c r="V87" i="7" s="1"/>
  <c r="B88" i="7"/>
  <c r="V88" i="7" s="1"/>
  <c r="B89" i="7"/>
  <c r="V89" i="7" s="1"/>
  <c r="B90" i="7"/>
  <c r="V90" i="7" s="1"/>
  <c r="B91" i="7"/>
  <c r="V91" i="7" s="1"/>
  <c r="B92" i="7"/>
  <c r="V92" i="7" s="1"/>
  <c r="B93" i="7"/>
  <c r="V93" i="7" s="1"/>
  <c r="B94" i="7"/>
  <c r="V94" i="7" s="1"/>
  <c r="B95" i="7"/>
  <c r="V95" i="7" s="1"/>
  <c r="B96" i="7"/>
  <c r="V96" i="7" s="1"/>
  <c r="B97" i="7"/>
  <c r="V97" i="7" s="1"/>
  <c r="B98" i="7"/>
  <c r="V98" i="7" s="1"/>
  <c r="B99" i="7"/>
  <c r="V99" i="7" s="1"/>
  <c r="B100" i="7"/>
  <c r="V100" i="7" s="1"/>
  <c r="B101" i="7"/>
  <c r="V101" i="7" s="1"/>
  <c r="B102" i="7"/>
  <c r="V102" i="7" s="1"/>
  <c r="B103" i="7"/>
  <c r="V103" i="7" s="1"/>
  <c r="B4" i="7"/>
  <c r="M474" i="3" l="1"/>
  <c r="M466" i="3"/>
  <c r="M458" i="3"/>
  <c r="M450" i="3"/>
  <c r="M442" i="3"/>
  <c r="M434" i="3"/>
  <c r="M426" i="3"/>
  <c r="M418" i="3"/>
  <c r="M410" i="3"/>
  <c r="M402" i="3"/>
  <c r="M394" i="3"/>
  <c r="M386" i="3"/>
  <c r="M378" i="3"/>
  <c r="M370" i="3"/>
  <c r="M362" i="3"/>
  <c r="M354" i="3"/>
  <c r="M346" i="3"/>
  <c r="M338" i="3"/>
  <c r="M330" i="3"/>
  <c r="M322" i="3"/>
  <c r="M314" i="3"/>
  <c r="M306" i="3"/>
  <c r="M298" i="3"/>
  <c r="M290" i="3"/>
  <c r="M282" i="3"/>
  <c r="M274" i="3"/>
  <c r="M266" i="3"/>
  <c r="M258" i="3"/>
  <c r="M250" i="3"/>
  <c r="M242" i="3"/>
  <c r="M234" i="3"/>
  <c r="M226" i="3"/>
  <c r="M218" i="3"/>
  <c r="M210" i="3"/>
  <c r="M202" i="3"/>
  <c r="M194" i="3"/>
  <c r="M186" i="3"/>
  <c r="M178" i="3"/>
  <c r="M170" i="3"/>
  <c r="M162" i="3"/>
  <c r="M154" i="3"/>
  <c r="M146" i="3"/>
  <c r="M138" i="3"/>
  <c r="M130" i="3"/>
  <c r="M122" i="3"/>
  <c r="M114" i="3"/>
  <c r="M106" i="3"/>
  <c r="M98" i="3"/>
  <c r="M90" i="3"/>
  <c r="M82" i="3"/>
  <c r="M74" i="3"/>
  <c r="M66" i="3"/>
  <c r="M58" i="3"/>
  <c r="M50" i="3"/>
  <c r="M42" i="3"/>
  <c r="M34" i="3"/>
  <c r="M26" i="3"/>
  <c r="M18" i="3"/>
  <c r="M10" i="3"/>
  <c r="N25" i="5" l="1"/>
  <c r="J25" i="5"/>
  <c r="D35" i="5"/>
  <c r="D36" i="5"/>
  <c r="D37" i="5"/>
  <c r="D38" i="5"/>
  <c r="D34" i="5"/>
  <c r="O34" i="5" s="1"/>
  <c r="D42" i="5"/>
  <c r="EJ36" i="9"/>
  <c r="DE7" i="1" s="1"/>
  <c r="EG36" i="9"/>
  <c r="DB7" i="1" s="1"/>
  <c r="ED36" i="9"/>
  <c r="CY7" i="1" s="1"/>
  <c r="EA36" i="9"/>
  <c r="CV7" i="1" s="1"/>
  <c r="DX36" i="9"/>
  <c r="CS7" i="1" s="1"/>
  <c r="DU36" i="9"/>
  <c r="CP7" i="1" s="1"/>
  <c r="DR36" i="9"/>
  <c r="CM7" i="1" s="1"/>
  <c r="DO36" i="9"/>
  <c r="CJ7" i="1" s="1"/>
  <c r="DL36" i="9"/>
  <c r="CG7" i="1" s="1"/>
  <c r="DI36" i="9"/>
  <c r="CD7" i="1" s="1"/>
  <c r="DF36" i="9"/>
  <c r="CA7" i="1" s="1"/>
  <c r="DC36" i="9"/>
  <c r="BX7" i="1" s="1"/>
  <c r="CZ36" i="9"/>
  <c r="BU7" i="1" s="1"/>
  <c r="BU36" i="9"/>
  <c r="BX36" i="9" s="1"/>
  <c r="BR36" i="9"/>
  <c r="BS36" i="9" s="1"/>
  <c r="AN7" i="1" s="1"/>
  <c r="BP36" i="9"/>
  <c r="AK7" i="1" s="1"/>
  <c r="AW36" i="9"/>
  <c r="AZ36" i="9" s="1"/>
  <c r="AT36" i="9"/>
  <c r="AN36" i="9"/>
  <c r="AK36" i="9"/>
  <c r="E38" i="5" l="1"/>
  <c r="E39" i="5" s="1"/>
  <c r="M38" i="5"/>
  <c r="H23" i="5"/>
  <c r="J21" i="5"/>
  <c r="H21" i="5" s="1"/>
  <c r="BC36" i="9"/>
  <c r="AX36" i="9"/>
  <c r="S7" i="1" s="1"/>
  <c r="CA36" i="9"/>
  <c r="BY36" i="9"/>
  <c r="AT7" i="1" s="1"/>
  <c r="BV36" i="9"/>
  <c r="AQ7" i="1" s="1"/>
  <c r="CB36" i="9" l="1"/>
  <c r="AW7" i="1" s="1"/>
  <c r="CD36" i="9"/>
  <c r="BF36" i="9"/>
  <c r="BI36" i="9" l="1"/>
  <c r="CG36" i="9"/>
  <c r="CE36" i="9"/>
  <c r="AZ7" i="1" s="1"/>
  <c r="CJ36" i="9" l="1"/>
  <c r="CH36" i="9"/>
  <c r="BC7" i="1" s="1"/>
  <c r="BL36" i="9"/>
  <c r="CM36" i="9" l="1"/>
  <c r="CK36" i="9"/>
  <c r="BF7" i="1" s="1"/>
  <c r="CN36" i="9" l="1"/>
  <c r="BI7" i="1" s="1"/>
  <c r="CP36" i="9"/>
  <c r="CQ36" i="9" l="1"/>
  <c r="BL7" i="1" s="1"/>
  <c r="CS36" i="9"/>
  <c r="CV36" i="9" l="1"/>
  <c r="CW36" i="9" s="1"/>
  <c r="BR7" i="1" s="1"/>
  <c r="K25" i="5" l="1"/>
  <c r="K23" i="5" l="1"/>
  <c r="K21" i="5" s="1"/>
  <c r="N21" i="5"/>
  <c r="D21" i="5" l="1"/>
  <c r="C34" i="5" l="1"/>
  <c r="C35" i="5"/>
  <c r="C36" i="5"/>
  <c r="C37" i="5"/>
  <c r="C38" i="5"/>
  <c r="C42" i="5"/>
  <c r="C43" i="5"/>
  <c r="C44" i="5"/>
  <c r="C45" i="5"/>
  <c r="C46" i="5"/>
  <c r="D43" i="5"/>
  <c r="D44" i="5"/>
  <c r="D45" i="5"/>
  <c r="D46" i="5"/>
  <c r="D11" i="5"/>
  <c r="D12" i="5"/>
  <c r="D13" i="5"/>
  <c r="D14" i="5"/>
  <c r="D10" i="5"/>
  <c r="D220" i="5" l="1"/>
  <c r="D219" i="5"/>
  <c r="D218" i="5"/>
  <c r="D217" i="5"/>
  <c r="D216" i="5"/>
  <c r="D215" i="5"/>
  <c r="D214" i="5"/>
  <c r="D213" i="5"/>
  <c r="D212" i="5"/>
  <c r="D211" i="5"/>
  <c r="D210" i="5"/>
  <c r="D209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I6" i="3" l="1"/>
  <c r="C58" i="9" l="1"/>
  <c r="B88" i="9" l="1"/>
  <c r="A84" i="9"/>
  <c r="C79" i="9"/>
  <c r="D79" i="9"/>
  <c r="E79" i="9"/>
  <c r="F79" i="9"/>
  <c r="F85" i="9" s="1"/>
  <c r="G79" i="9"/>
  <c r="B79" i="9"/>
  <c r="A78" i="9"/>
  <c r="A79" i="9"/>
  <c r="A85" i="9" s="1"/>
  <c r="A77" i="9"/>
  <c r="A64" i="9"/>
  <c r="E66" i="9"/>
  <c r="B66" i="9"/>
  <c r="C63" i="9"/>
  <c r="E63" i="9" s="1"/>
  <c r="B63" i="9"/>
  <c r="B62" i="9"/>
  <c r="A60" i="9"/>
  <c r="A55" i="9"/>
  <c r="B58" i="9"/>
  <c r="B59" i="9"/>
  <c r="B57" i="9"/>
  <c r="E85" i="9" l="1"/>
  <c r="D85" i="9"/>
  <c r="C85" i="9"/>
  <c r="G85" i="9"/>
  <c r="B85" i="9"/>
  <c r="A83" i="9"/>
  <c r="E62" i="9"/>
  <c r="C59" i="9"/>
  <c r="F78" i="9" l="1"/>
  <c r="F84" i="9" s="1"/>
  <c r="E78" i="9"/>
  <c r="E84" i="9" s="1"/>
  <c r="C78" i="9"/>
  <c r="C84" i="9" s="1"/>
  <c r="D78" i="9"/>
  <c r="D84" i="9" s="1"/>
  <c r="G78" i="9"/>
  <c r="G84" i="9" s="1"/>
  <c r="B78" i="9"/>
  <c r="B84" i="9" s="1"/>
  <c r="E59" i="9"/>
  <c r="E58" i="9"/>
  <c r="E57" i="9"/>
  <c r="E77" i="9" l="1"/>
  <c r="E83" i="9" s="1"/>
  <c r="E86" i="9" s="1"/>
  <c r="E87" i="9" s="1"/>
  <c r="G77" i="9"/>
  <c r="G83" i="9" s="1"/>
  <c r="G86" i="9" s="1"/>
  <c r="G87" i="9" s="1"/>
  <c r="C77" i="9"/>
  <c r="C83" i="9" s="1"/>
  <c r="C86" i="9" s="1"/>
  <c r="C87" i="9" s="1"/>
  <c r="B77" i="9"/>
  <c r="B83" i="9" s="1"/>
  <c r="D77" i="9"/>
  <c r="D83" i="9" s="1"/>
  <c r="D86" i="9" s="1"/>
  <c r="D87" i="9" s="1"/>
  <c r="F77" i="9"/>
  <c r="F83" i="9" s="1"/>
  <c r="F86" i="9" s="1"/>
  <c r="F87" i="9" s="1"/>
  <c r="I15" i="3" l="1"/>
  <c r="Q134" i="5" l="1"/>
  <c r="K134" i="5"/>
  <c r="Q133" i="5"/>
  <c r="K133" i="5"/>
  <c r="Q132" i="5"/>
  <c r="K132" i="5"/>
  <c r="Q131" i="5"/>
  <c r="Q128" i="5"/>
  <c r="K128" i="5"/>
  <c r="Q127" i="5"/>
  <c r="K127" i="5"/>
  <c r="Q126" i="5"/>
  <c r="K126" i="5"/>
  <c r="Q125" i="5"/>
  <c r="K125" i="5"/>
  <c r="Q124" i="5"/>
  <c r="K124" i="5"/>
  <c r="Q130" i="5"/>
  <c r="Q129" i="5"/>
  <c r="C12" i="9" l="1"/>
  <c r="C13" i="9" l="1"/>
  <c r="FB37" i="9"/>
  <c r="DW8" i="1" s="1"/>
  <c r="D54" i="5" l="1"/>
  <c r="B4" i="5"/>
  <c r="E4" i="5"/>
  <c r="C5" i="5"/>
  <c r="E3" i="5"/>
  <c r="B3" i="5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H13" i="6"/>
  <c r="I13" i="6"/>
  <c r="J13" i="6"/>
  <c r="K13" i="6"/>
  <c r="L13" i="6"/>
  <c r="N13" i="6"/>
  <c r="O13" i="6"/>
  <c r="Q13" i="6"/>
  <c r="R13" i="6"/>
  <c r="S13" i="6"/>
  <c r="M135" i="5" l="1"/>
  <c r="I18" i="5"/>
  <c r="L9" i="5" s="1"/>
  <c r="AO160" i="5"/>
  <c r="AA160" i="5"/>
  <c r="M160" i="5"/>
  <c r="G18" i="5"/>
  <c r="J9" i="5" s="1"/>
  <c r="AM160" i="5"/>
  <c r="Y160" i="5"/>
  <c r="K160" i="5"/>
  <c r="F18" i="5"/>
  <c r="I9" i="5" s="1"/>
  <c r="X160" i="5"/>
  <c r="J160" i="5"/>
  <c r="AL160" i="5"/>
  <c r="D18" i="5"/>
  <c r="G9" i="5" s="1"/>
  <c r="H160" i="5"/>
  <c r="AJ160" i="5"/>
  <c r="V160" i="5"/>
  <c r="C18" i="5"/>
  <c r="F9" i="5" s="1"/>
  <c r="G160" i="5"/>
  <c r="AI160" i="5"/>
  <c r="U160" i="5"/>
  <c r="J18" i="5"/>
  <c r="M9" i="5" s="1"/>
  <c r="N160" i="5"/>
  <c r="AP160" i="5"/>
  <c r="AB160" i="5"/>
  <c r="E18" i="5"/>
  <c r="H9" i="5" s="1"/>
  <c r="W160" i="5"/>
  <c r="I160" i="5"/>
  <c r="AK160" i="5"/>
  <c r="N18" i="5"/>
  <c r="Q9" i="5" s="1"/>
  <c r="AT160" i="5"/>
  <c r="AF160" i="5"/>
  <c r="R160" i="5"/>
  <c r="M18" i="5"/>
  <c r="P9" i="5" s="1"/>
  <c r="AE160" i="5"/>
  <c r="Q160" i="5"/>
  <c r="AS160" i="5"/>
  <c r="L18" i="5"/>
  <c r="O9" i="5" s="1"/>
  <c r="AD160" i="5"/>
  <c r="P160" i="5"/>
  <c r="AR160" i="5"/>
  <c r="L144" i="5"/>
  <c r="L145" i="5"/>
  <c r="L143" i="5"/>
  <c r="L146" i="5"/>
  <c r="L141" i="5"/>
  <c r="L142" i="5"/>
  <c r="W134" i="5"/>
  <c r="W133" i="5"/>
  <c r="W132" i="5"/>
  <c r="W131" i="5"/>
  <c r="S128" i="5"/>
  <c r="P126" i="5"/>
  <c r="N124" i="5"/>
  <c r="S133" i="5"/>
  <c r="S131" i="5"/>
  <c r="L125" i="5"/>
  <c r="U134" i="5"/>
  <c r="U133" i="5"/>
  <c r="U132" i="5"/>
  <c r="U131" i="5"/>
  <c r="P127" i="5"/>
  <c r="N125" i="5"/>
  <c r="L124" i="5"/>
  <c r="P129" i="5"/>
  <c r="S134" i="5"/>
  <c r="S132" i="5"/>
  <c r="P128" i="5"/>
  <c r="N126" i="5"/>
  <c r="L132" i="5"/>
  <c r="L127" i="5"/>
  <c r="L129" i="5"/>
  <c r="L128" i="5"/>
  <c r="P130" i="5"/>
  <c r="P131" i="5"/>
  <c r="N130" i="5"/>
  <c r="S127" i="5"/>
  <c r="L130" i="5"/>
  <c r="N127" i="5"/>
  <c r="N129" i="5"/>
  <c r="P133" i="5"/>
  <c r="N128" i="5"/>
  <c r="P125" i="5"/>
  <c r="N133" i="5"/>
  <c r="S126" i="5"/>
  <c r="L133" i="5"/>
  <c r="P134" i="5"/>
  <c r="N131" i="5"/>
  <c r="S124" i="5"/>
  <c r="S125" i="5"/>
  <c r="N134" i="5"/>
  <c r="L131" i="5"/>
  <c r="L126" i="5"/>
  <c r="L134" i="5"/>
  <c r="P132" i="5"/>
  <c r="P124" i="5"/>
  <c r="N132" i="5"/>
  <c r="L94" i="5"/>
  <c r="P4" i="3" s="1"/>
  <c r="K96" i="5"/>
  <c r="K99" i="5"/>
  <c r="K102" i="5"/>
  <c r="K103" i="5"/>
  <c r="K104" i="5"/>
  <c r="K107" i="5"/>
  <c r="K110" i="5"/>
  <c r="K111" i="5"/>
  <c r="K112" i="5"/>
  <c r="K113" i="5"/>
  <c r="K114" i="5"/>
  <c r="K115" i="5"/>
  <c r="K116" i="5"/>
  <c r="K119" i="5"/>
  <c r="K122" i="5"/>
  <c r="K123" i="5"/>
  <c r="K137" i="5"/>
  <c r="K140" i="5"/>
  <c r="K141" i="5"/>
  <c r="K142" i="5"/>
  <c r="K143" i="5"/>
  <c r="K144" i="5"/>
  <c r="K145" i="5"/>
  <c r="K146" i="5"/>
  <c r="K150" i="5"/>
  <c r="K151" i="5"/>
  <c r="K152" i="5"/>
  <c r="AH37" i="7" l="1"/>
  <c r="AG37" i="7"/>
  <c r="AF37" i="7"/>
  <c r="AE37" i="7"/>
  <c r="AD37" i="7"/>
  <c r="AC38" i="7"/>
  <c r="AC39" i="7" s="1"/>
  <c r="AC40" i="7" s="1"/>
  <c r="AC41" i="7" s="1"/>
  <c r="AC42" i="7" l="1"/>
  <c r="AC43" i="7" l="1"/>
  <c r="AC44" i="7" l="1"/>
  <c r="C76" i="5"/>
  <c r="J76" i="5" s="1"/>
  <c r="K76" i="5" s="1"/>
  <c r="L76" i="5" s="1"/>
  <c r="M76" i="5" s="1"/>
  <c r="N76" i="5" s="1"/>
  <c r="BN32" i="9"/>
  <c r="BK32" i="9" s="1"/>
  <c r="BH32" i="9" s="1"/>
  <c r="BE32" i="9" s="1"/>
  <c r="BB32" i="9" s="1"/>
  <c r="CU33" i="9"/>
  <c r="EH34" i="9"/>
  <c r="EW35" i="9"/>
  <c r="ET35" i="9" s="1"/>
  <c r="EQ35" i="9" s="1"/>
  <c r="EN35" i="9" s="1"/>
  <c r="EK35" i="9" s="1"/>
  <c r="EH35" i="9" s="1"/>
  <c r="EE35" i="9" s="1"/>
  <c r="EB35" i="9" s="1"/>
  <c r="DY35" i="9" s="1"/>
  <c r="DV35" i="9" s="1"/>
  <c r="DS35" i="9" s="1"/>
  <c r="DP35" i="9" s="1"/>
  <c r="DM35" i="9" s="1"/>
  <c r="DJ35" i="9" s="1"/>
  <c r="CU36" i="9"/>
  <c r="CR36" i="9" s="1"/>
  <c r="CO36" i="9" s="1"/>
  <c r="CL36" i="9" s="1"/>
  <c r="CI36" i="9" s="1"/>
  <c r="CF36" i="9" s="1"/>
  <c r="CC36" i="9" s="1"/>
  <c r="BZ36" i="9" s="1"/>
  <c r="BW36" i="9" s="1"/>
  <c r="BT36" i="9" s="1"/>
  <c r="BQ36" i="9" s="1"/>
  <c r="BN36" i="9" s="1"/>
  <c r="EH37" i="9"/>
  <c r="EW38" i="9"/>
  <c r="ET38" i="9" s="1"/>
  <c r="EQ38" i="9" s="1"/>
  <c r="EN38" i="9" s="1"/>
  <c r="EK38" i="9" s="1"/>
  <c r="EH38" i="9" s="1"/>
  <c r="EE38" i="9" s="1"/>
  <c r="EB38" i="9" s="1"/>
  <c r="DY38" i="9" s="1"/>
  <c r="DV38" i="9" s="1"/>
  <c r="DS38" i="9" s="1"/>
  <c r="DP38" i="9" s="1"/>
  <c r="DM38" i="9" s="1"/>
  <c r="DJ38" i="9" s="1"/>
  <c r="AP31" i="9"/>
  <c r="AM31" i="9" s="1"/>
  <c r="BC34" i="9"/>
  <c r="BF34" i="9" s="1"/>
  <c r="BA34" i="9"/>
  <c r="V5" i="1" s="1"/>
  <c r="AT34" i="9"/>
  <c r="AW34" i="9" s="1"/>
  <c r="AX34" i="9" s="1"/>
  <c r="S5" i="1" s="1"/>
  <c r="AK34" i="9"/>
  <c r="BR33" i="9"/>
  <c r="AT33" i="9"/>
  <c r="AK33" i="9"/>
  <c r="AN33" i="9" s="1"/>
  <c r="AN31" i="9"/>
  <c r="FB34" i="9"/>
  <c r="DW5" i="1" s="1"/>
  <c r="FB33" i="9"/>
  <c r="DW4" i="1" s="1"/>
  <c r="EY33" i="9"/>
  <c r="DT4" i="1" s="1"/>
  <c r="EV33" i="9"/>
  <c r="DQ4" i="1" s="1"/>
  <c r="ES33" i="9"/>
  <c r="DN4" i="1" s="1"/>
  <c r="EP33" i="9"/>
  <c r="DK4" i="1" s="1"/>
  <c r="EM33" i="9"/>
  <c r="DH4" i="1" s="1"/>
  <c r="EJ33" i="9"/>
  <c r="DE4" i="1" s="1"/>
  <c r="EG33" i="9"/>
  <c r="DB4" i="1" s="1"/>
  <c r="ED33" i="9"/>
  <c r="CY4" i="1" s="1"/>
  <c r="EA33" i="9"/>
  <c r="CV4" i="1" s="1"/>
  <c r="DX33" i="9"/>
  <c r="CS4" i="1" s="1"/>
  <c r="DU33" i="9"/>
  <c r="CP4" i="1" s="1"/>
  <c r="DR33" i="9"/>
  <c r="CM4" i="1" s="1"/>
  <c r="DO33" i="9"/>
  <c r="CJ4" i="1" s="1"/>
  <c r="DL33" i="9"/>
  <c r="CG4" i="1" s="1"/>
  <c r="DI33" i="9"/>
  <c r="CD4" i="1" s="1"/>
  <c r="DF33" i="9"/>
  <c r="CA4" i="1" s="1"/>
  <c r="DC33" i="9"/>
  <c r="BX4" i="1" s="1"/>
  <c r="CZ33" i="9"/>
  <c r="BU4" i="1" s="1"/>
  <c r="BP33" i="9"/>
  <c r="AK4" i="1" s="1"/>
  <c r="FB32" i="9"/>
  <c r="DW3" i="1" s="1"/>
  <c r="EY32" i="9"/>
  <c r="DT3" i="1" s="1"/>
  <c r="EV32" i="9"/>
  <c r="DQ3" i="1" s="1"/>
  <c r="ES32" i="9"/>
  <c r="DN3" i="1" s="1"/>
  <c r="EP32" i="9"/>
  <c r="DK3" i="1" s="1"/>
  <c r="EM32" i="9"/>
  <c r="DH3" i="1" s="1"/>
  <c r="EJ32" i="9"/>
  <c r="DE3" i="1" s="1"/>
  <c r="EG32" i="9"/>
  <c r="DB3" i="1" s="1"/>
  <c r="ED32" i="9"/>
  <c r="CY3" i="1" s="1"/>
  <c r="EA32" i="9"/>
  <c r="CV3" i="1" s="1"/>
  <c r="DX32" i="9"/>
  <c r="CS3" i="1" s="1"/>
  <c r="DU32" i="9"/>
  <c r="CP3" i="1" s="1"/>
  <c r="DR32" i="9"/>
  <c r="CM3" i="1" s="1"/>
  <c r="DO32" i="9"/>
  <c r="CJ3" i="1" s="1"/>
  <c r="DL32" i="9"/>
  <c r="CG3" i="1" s="1"/>
  <c r="DI32" i="9"/>
  <c r="CD3" i="1" s="1"/>
  <c r="DF32" i="9"/>
  <c r="CA3" i="1" s="1"/>
  <c r="DC32" i="9"/>
  <c r="BX3" i="1" s="1"/>
  <c r="CZ32" i="9"/>
  <c r="BU3" i="1" s="1"/>
  <c r="CW32" i="9"/>
  <c r="BR3" i="1" s="1"/>
  <c r="CT32" i="9"/>
  <c r="BO3" i="1" s="1"/>
  <c r="CQ32" i="9"/>
  <c r="BL3" i="1" s="1"/>
  <c r="CN32" i="9"/>
  <c r="BI3" i="1" s="1"/>
  <c r="CK32" i="9"/>
  <c r="BF3" i="1" s="1"/>
  <c r="CH32" i="9"/>
  <c r="BC3" i="1" s="1"/>
  <c r="CE32" i="9"/>
  <c r="AZ3" i="1" s="1"/>
  <c r="CB32" i="9"/>
  <c r="AW3" i="1" s="1"/>
  <c r="BY32" i="9"/>
  <c r="AT3" i="1" s="1"/>
  <c r="BV32" i="9"/>
  <c r="AQ3" i="1" s="1"/>
  <c r="BS32" i="9"/>
  <c r="AN3" i="1" s="1"/>
  <c r="FB31" i="9"/>
  <c r="DW2" i="1" s="1"/>
  <c r="EY31" i="9"/>
  <c r="DT2" i="1" s="1"/>
  <c r="EV31" i="9"/>
  <c r="DQ2" i="1" s="1"/>
  <c r="ES31" i="9"/>
  <c r="DN2" i="1" s="1"/>
  <c r="EP31" i="9"/>
  <c r="DK2" i="1" s="1"/>
  <c r="EM31" i="9"/>
  <c r="DH2" i="1" s="1"/>
  <c r="EJ31" i="9"/>
  <c r="DE2" i="1" s="1"/>
  <c r="EG31" i="9"/>
  <c r="DB2" i="1" s="1"/>
  <c r="ED31" i="9"/>
  <c r="CY2" i="1" s="1"/>
  <c r="EA31" i="9"/>
  <c r="CV2" i="1" s="1"/>
  <c r="DX31" i="9"/>
  <c r="CS2" i="1" s="1"/>
  <c r="DU31" i="9"/>
  <c r="CP2" i="1" s="1"/>
  <c r="DR31" i="9"/>
  <c r="CM2" i="1" s="1"/>
  <c r="DO31" i="9"/>
  <c r="CJ2" i="1" s="1"/>
  <c r="DL31" i="9"/>
  <c r="CG2" i="1" s="1"/>
  <c r="DI31" i="9"/>
  <c r="CD2" i="1" s="1"/>
  <c r="DF31" i="9"/>
  <c r="CA2" i="1" s="1"/>
  <c r="DC31" i="9"/>
  <c r="BX2" i="1" s="1"/>
  <c r="CZ31" i="9"/>
  <c r="BU2" i="1" s="1"/>
  <c r="CW31" i="9"/>
  <c r="BR2" i="1" s="1"/>
  <c r="CT31" i="9"/>
  <c r="BO2" i="1" s="1"/>
  <c r="CQ31" i="9"/>
  <c r="BL2" i="1" s="1"/>
  <c r="CN31" i="9"/>
  <c r="BI2" i="1" s="1"/>
  <c r="CK31" i="9"/>
  <c r="BF2" i="1" s="1"/>
  <c r="CH31" i="9"/>
  <c r="BC2" i="1" s="1"/>
  <c r="CE31" i="9"/>
  <c r="AZ2" i="1" s="1"/>
  <c r="CB31" i="9"/>
  <c r="AW2" i="1" s="1"/>
  <c r="BY31" i="9"/>
  <c r="AT2" i="1" s="1"/>
  <c r="BV31" i="9"/>
  <c r="AQ2" i="1" s="1"/>
  <c r="BS31" i="9"/>
  <c r="AN2" i="1" s="1"/>
  <c r="BP31" i="9"/>
  <c r="AK2" i="1" s="1"/>
  <c r="BM31" i="9"/>
  <c r="AH2" i="1" s="1"/>
  <c r="BJ31" i="9"/>
  <c r="AE2" i="1" s="1"/>
  <c r="BG31" i="9"/>
  <c r="AB2" i="1" s="1"/>
  <c r="BD31" i="9"/>
  <c r="Y2" i="1" s="1"/>
  <c r="BA31" i="9"/>
  <c r="V2" i="1" s="1"/>
  <c r="AX31" i="9"/>
  <c r="S2" i="1" s="1"/>
  <c r="AU31" i="9"/>
  <c r="P2" i="1" s="1"/>
  <c r="D105" i="5"/>
  <c r="B43" i="3"/>
  <c r="B44" i="3"/>
  <c r="B45" i="3"/>
  <c r="B46" i="3"/>
  <c r="B47" i="3"/>
  <c r="B48" i="3"/>
  <c r="B49" i="3"/>
  <c r="B5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51" i="3"/>
  <c r="B252" i="3"/>
  <c r="B253" i="3"/>
  <c r="B254" i="3"/>
  <c r="B255" i="3"/>
  <c r="B256" i="3"/>
  <c r="B257" i="3"/>
  <c r="B258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71" i="3"/>
  <c r="B372" i="3"/>
  <c r="B373" i="3"/>
  <c r="B374" i="3"/>
  <c r="B375" i="3"/>
  <c r="B376" i="3"/>
  <c r="B377" i="3"/>
  <c r="B378" i="3"/>
  <c r="P2" i="3"/>
  <c r="Q2" i="3" s="1"/>
  <c r="R2" i="3"/>
  <c r="S2" i="3" s="1"/>
  <c r="D95" i="5"/>
  <c r="O95" i="5"/>
  <c r="Q95" i="5"/>
  <c r="V95" i="5"/>
  <c r="X95" i="5"/>
  <c r="D94" i="5"/>
  <c r="O94" i="5"/>
  <c r="Q94" i="5"/>
  <c r="V94" i="5"/>
  <c r="X94" i="5"/>
  <c r="Q112" i="5"/>
  <c r="X112" i="5"/>
  <c r="Q113" i="5"/>
  <c r="X113" i="5"/>
  <c r="Q114" i="5"/>
  <c r="X114" i="5"/>
  <c r="Q115" i="5"/>
  <c r="X115" i="5"/>
  <c r="Q116" i="5"/>
  <c r="X116" i="5"/>
  <c r="O117" i="5"/>
  <c r="Q117" i="5"/>
  <c r="V117" i="5"/>
  <c r="X117" i="5"/>
  <c r="O118" i="5"/>
  <c r="Q118" i="5"/>
  <c r="V118" i="5"/>
  <c r="X118" i="5"/>
  <c r="O119" i="5"/>
  <c r="Q119" i="5"/>
  <c r="V119" i="5"/>
  <c r="X119" i="5"/>
  <c r="O120" i="5"/>
  <c r="Q120" i="5"/>
  <c r="V120" i="5"/>
  <c r="X120" i="5"/>
  <c r="O121" i="5"/>
  <c r="Q121" i="5"/>
  <c r="V121" i="5"/>
  <c r="X121" i="5"/>
  <c r="O122" i="5"/>
  <c r="Q122" i="5"/>
  <c r="V122" i="5"/>
  <c r="X122" i="5"/>
  <c r="O123" i="5"/>
  <c r="Q123" i="5"/>
  <c r="V123" i="5"/>
  <c r="X123" i="5"/>
  <c r="X124" i="5"/>
  <c r="X125" i="5"/>
  <c r="X126" i="5"/>
  <c r="X127" i="5"/>
  <c r="X128" i="5"/>
  <c r="X129" i="5"/>
  <c r="X130" i="5"/>
  <c r="X131" i="5"/>
  <c r="X132" i="5"/>
  <c r="X133" i="5"/>
  <c r="X134" i="5"/>
  <c r="O135" i="5"/>
  <c r="Q135" i="5"/>
  <c r="V135" i="5"/>
  <c r="X135" i="5"/>
  <c r="O136" i="5"/>
  <c r="Q136" i="5"/>
  <c r="V136" i="5"/>
  <c r="X136" i="5"/>
  <c r="O137" i="5"/>
  <c r="Q137" i="5"/>
  <c r="V137" i="5"/>
  <c r="X137" i="5"/>
  <c r="O138" i="5"/>
  <c r="Q138" i="5"/>
  <c r="V138" i="5"/>
  <c r="X138" i="5"/>
  <c r="O139" i="5"/>
  <c r="Q139" i="5"/>
  <c r="V139" i="5"/>
  <c r="X139" i="5"/>
  <c r="O140" i="5"/>
  <c r="Q140" i="5"/>
  <c r="V140" i="5"/>
  <c r="X140" i="5"/>
  <c r="O141" i="5"/>
  <c r="Q141" i="5"/>
  <c r="V141" i="5"/>
  <c r="X141" i="5"/>
  <c r="Q142" i="5"/>
  <c r="X142" i="5"/>
  <c r="Q143" i="5"/>
  <c r="X143" i="5"/>
  <c r="Q144" i="5"/>
  <c r="X144" i="5"/>
  <c r="Q145" i="5"/>
  <c r="X145" i="5"/>
  <c r="Q146" i="5"/>
  <c r="X146" i="5"/>
  <c r="Q147" i="5"/>
  <c r="X147" i="5"/>
  <c r="Q148" i="5"/>
  <c r="X148" i="5"/>
  <c r="Q149" i="5"/>
  <c r="X149" i="5"/>
  <c r="Q150" i="5"/>
  <c r="X150" i="5"/>
  <c r="Q151" i="5"/>
  <c r="X151" i="5"/>
  <c r="Q152" i="5"/>
  <c r="X152" i="5"/>
  <c r="X111" i="5"/>
  <c r="Q111" i="5"/>
  <c r="X110" i="5"/>
  <c r="Q110" i="5"/>
  <c r="X109" i="5"/>
  <c r="Q109" i="5"/>
  <c r="X108" i="5"/>
  <c r="Q108" i="5"/>
  <c r="X107" i="5"/>
  <c r="Q107" i="5"/>
  <c r="X106" i="5"/>
  <c r="Q106" i="5"/>
  <c r="X105" i="5"/>
  <c r="V105" i="5"/>
  <c r="Q105" i="5"/>
  <c r="O105" i="5"/>
  <c r="X104" i="5"/>
  <c r="Q104" i="5"/>
  <c r="X103" i="5"/>
  <c r="V103" i="5"/>
  <c r="Q103" i="5"/>
  <c r="O103" i="5"/>
  <c r="X102" i="5"/>
  <c r="V102" i="5"/>
  <c r="Q102" i="5"/>
  <c r="O102" i="5"/>
  <c r="X101" i="5"/>
  <c r="V101" i="5"/>
  <c r="Q101" i="5"/>
  <c r="O101" i="5"/>
  <c r="X100" i="5"/>
  <c r="V100" i="5"/>
  <c r="Q100" i="5"/>
  <c r="O100" i="5"/>
  <c r="X99" i="5"/>
  <c r="V99" i="5"/>
  <c r="Q99" i="5"/>
  <c r="O99" i="5"/>
  <c r="X98" i="5"/>
  <c r="V98" i="5"/>
  <c r="Q98" i="5"/>
  <c r="O98" i="5"/>
  <c r="X97" i="5"/>
  <c r="V97" i="5"/>
  <c r="Q97" i="5"/>
  <c r="O97" i="5"/>
  <c r="X96" i="5"/>
  <c r="V96" i="5"/>
  <c r="Q96" i="5"/>
  <c r="O96" i="5"/>
  <c r="DG38" i="9" l="1"/>
  <c r="CE9" i="1"/>
  <c r="EE37" i="9"/>
  <c r="DC8" i="1"/>
  <c r="DG35" i="9"/>
  <c r="CE6" i="1"/>
  <c r="EE34" i="9"/>
  <c r="DC5" i="1"/>
  <c r="BK36" i="9"/>
  <c r="BH36" i="9" s="1"/>
  <c r="BE36" i="9" s="1"/>
  <c r="BB36" i="9" s="1"/>
  <c r="AY36" i="9" s="1"/>
  <c r="AV36" i="9" s="1"/>
  <c r="AS36" i="9" s="1"/>
  <c r="AP36" i="9" s="1"/>
  <c r="AM36" i="9" s="1"/>
  <c r="AJ36" i="9" s="1"/>
  <c r="O2" i="3"/>
  <c r="D76" i="5"/>
  <c r="E76" i="5" s="1"/>
  <c r="CR33" i="9"/>
  <c r="BS33" i="9"/>
  <c r="AN4" i="1" s="1"/>
  <c r="BU33" i="9"/>
  <c r="AJ31" i="9"/>
  <c r="AY32" i="9"/>
  <c r="AV32" i="9" s="1"/>
  <c r="AS32" i="9" s="1"/>
  <c r="AP32" i="9" s="1"/>
  <c r="AM32" i="9" s="1"/>
  <c r="AJ32" i="9" s="1"/>
  <c r="AQ31" i="9"/>
  <c r="AW33" i="9"/>
  <c r="AN34" i="9"/>
  <c r="F76" i="5"/>
  <c r="AC45" i="7"/>
  <c r="C77" i="5"/>
  <c r="J77" i="5" s="1"/>
  <c r="K77" i="5" s="1"/>
  <c r="L77" i="5" s="1"/>
  <c r="M77" i="5" s="1"/>
  <c r="N77" i="5" s="1"/>
  <c r="BI34" i="9"/>
  <c r="BG34" i="9"/>
  <c r="AB5" i="1" s="1"/>
  <c r="BD34" i="9"/>
  <c r="Y5" i="1" s="1"/>
  <c r="D97" i="5"/>
  <c r="D96" i="5"/>
  <c r="W32" i="9"/>
  <c r="AG32" i="9" s="1"/>
  <c r="B3" i="1" s="1"/>
  <c r="W33" i="9"/>
  <c r="AG33" i="9" s="1"/>
  <c r="B4" i="1" s="1"/>
  <c r="W34" i="9"/>
  <c r="AG34" i="9" s="1"/>
  <c r="B5" i="1" s="1"/>
  <c r="W35" i="9"/>
  <c r="AG35" i="9" s="1"/>
  <c r="B6" i="1" s="1"/>
  <c r="W36" i="9"/>
  <c r="W37" i="9"/>
  <c r="AG37" i="9" s="1"/>
  <c r="W38" i="9"/>
  <c r="AG38" i="9" s="1"/>
  <c r="W31" i="9"/>
  <c r="AG31" i="9" s="1"/>
  <c r="B2" i="1" s="1"/>
  <c r="B12" i="9"/>
  <c r="B13" i="9"/>
  <c r="B14" i="9"/>
  <c r="B15" i="9"/>
  <c r="B11" i="9"/>
  <c r="A22" i="9"/>
  <c r="A23" i="9"/>
  <c r="A24" i="9"/>
  <c r="A25" i="9"/>
  <c r="A21" i="9"/>
  <c r="B22" i="9"/>
  <c r="B23" i="9"/>
  <c r="B24" i="9"/>
  <c r="B25" i="9"/>
  <c r="B21" i="9"/>
  <c r="J3" i="9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33" i="7"/>
  <c r="DD38" i="9" l="1"/>
  <c r="CB9" i="1"/>
  <c r="EB37" i="9"/>
  <c r="CZ8" i="1"/>
  <c r="DD35" i="9"/>
  <c r="CB6" i="1"/>
  <c r="EB34" i="9"/>
  <c r="CZ5" i="1"/>
  <c r="C14" i="9"/>
  <c r="AG36" i="9"/>
  <c r="B7" i="1" s="1"/>
  <c r="Y78" i="5"/>
  <c r="R76" i="5"/>
  <c r="R77" i="5" s="1"/>
  <c r="Z78" i="5"/>
  <c r="S76" i="5"/>
  <c r="S77" i="5" s="1"/>
  <c r="B9" i="1"/>
  <c r="B8" i="1"/>
  <c r="CO33" i="9"/>
  <c r="BX33" i="9"/>
  <c r="BV33" i="9"/>
  <c r="AQ4" i="1" s="1"/>
  <c r="AZ33" i="9"/>
  <c r="AX33" i="9"/>
  <c r="S4" i="1" s="1"/>
  <c r="G76" i="5"/>
  <c r="AC46" i="7"/>
  <c r="J11" i="3"/>
  <c r="J19" i="3"/>
  <c r="C78" i="5"/>
  <c r="J78" i="5" s="1"/>
  <c r="K78" i="5" s="1"/>
  <c r="L78" i="5" s="1"/>
  <c r="M78" i="5" s="1"/>
  <c r="N78" i="5" s="1"/>
  <c r="D77" i="5"/>
  <c r="BL34" i="9"/>
  <c r="BJ34" i="9"/>
  <c r="AE5" i="1" s="1"/>
  <c r="D98" i="5"/>
  <c r="DA38" i="9" l="1"/>
  <c r="BY9" i="1"/>
  <c r="DY37" i="9"/>
  <c r="CW8" i="1"/>
  <c r="DA35" i="9"/>
  <c r="BY6" i="1"/>
  <c r="DY34" i="9"/>
  <c r="CW5" i="1"/>
  <c r="C15" i="9"/>
  <c r="E15" i="9" s="1"/>
  <c r="B46" i="9" s="1"/>
  <c r="AA78" i="5"/>
  <c r="T76" i="5"/>
  <c r="T77" i="5" s="1"/>
  <c r="AB78" i="5"/>
  <c r="U76" i="5"/>
  <c r="U77" i="5" s="1"/>
  <c r="CL33" i="9"/>
  <c r="CA33" i="9"/>
  <c r="BY33" i="9"/>
  <c r="AT4" i="1" s="1"/>
  <c r="C22" i="9"/>
  <c r="C23" i="9"/>
  <c r="BC33" i="9"/>
  <c r="AC47" i="7"/>
  <c r="J12" i="3"/>
  <c r="J20" i="3"/>
  <c r="E77" i="5"/>
  <c r="R78" i="5"/>
  <c r="C79" i="5"/>
  <c r="J79" i="5" s="1"/>
  <c r="K79" i="5" s="1"/>
  <c r="L79" i="5" s="1"/>
  <c r="M79" i="5" s="1"/>
  <c r="N79" i="5" s="1"/>
  <c r="D78" i="5"/>
  <c r="BM34" i="9"/>
  <c r="AH5" i="1" s="1"/>
  <c r="D99" i="5"/>
  <c r="CX38" i="9" l="1"/>
  <c r="BV9" i="1"/>
  <c r="DV37" i="9"/>
  <c r="CT8" i="1"/>
  <c r="CX35" i="9"/>
  <c r="BV6" i="1"/>
  <c r="DV34" i="9"/>
  <c r="CT5" i="1"/>
  <c r="F46" i="9"/>
  <c r="C46" i="9"/>
  <c r="E12" i="9"/>
  <c r="D43" i="9" s="1"/>
  <c r="G46" i="9"/>
  <c r="E14" i="9"/>
  <c r="E45" i="9" s="1"/>
  <c r="E11" i="9"/>
  <c r="E42" i="9" s="1"/>
  <c r="D46" i="9"/>
  <c r="E46" i="9"/>
  <c r="J4" i="9"/>
  <c r="E13" i="9"/>
  <c r="Y79" i="5"/>
  <c r="CI33" i="9"/>
  <c r="CD33" i="9"/>
  <c r="CB33" i="9"/>
  <c r="AW4" i="1" s="1"/>
  <c r="CP34" i="9"/>
  <c r="C25" i="9"/>
  <c r="C24" i="9"/>
  <c r="BF33" i="9"/>
  <c r="AC48" i="7"/>
  <c r="J27" i="3"/>
  <c r="J59" i="3"/>
  <c r="J51" i="3"/>
  <c r="J75" i="3"/>
  <c r="J35" i="3"/>
  <c r="J83" i="3"/>
  <c r="J67" i="3"/>
  <c r="J43" i="3"/>
  <c r="E78" i="5"/>
  <c r="R79" i="5"/>
  <c r="F77" i="5"/>
  <c r="J21" i="3"/>
  <c r="J13" i="3"/>
  <c r="C80" i="5"/>
  <c r="J80" i="5" s="1"/>
  <c r="K80" i="5" s="1"/>
  <c r="L80" i="5" s="1"/>
  <c r="M80" i="5" s="1"/>
  <c r="N80" i="5" s="1"/>
  <c r="D79" i="5"/>
  <c r="D100" i="5"/>
  <c r="CU38" i="9" l="1"/>
  <c r="BS9" i="1"/>
  <c r="DS37" i="9"/>
  <c r="CQ8" i="1"/>
  <c r="CU35" i="9"/>
  <c r="BS6" i="1"/>
  <c r="DS34" i="9"/>
  <c r="CQ5" i="1"/>
  <c r="E43" i="9"/>
  <c r="F45" i="9"/>
  <c r="B43" i="9"/>
  <c r="D45" i="9"/>
  <c r="C43" i="9"/>
  <c r="C42" i="9"/>
  <c r="B45" i="9"/>
  <c r="C45" i="9"/>
  <c r="G43" i="9"/>
  <c r="F43" i="9"/>
  <c r="D20" i="9"/>
  <c r="B42" i="9"/>
  <c r="G42" i="9"/>
  <c r="G45" i="9"/>
  <c r="D42" i="9"/>
  <c r="D25" i="9"/>
  <c r="F42" i="9"/>
  <c r="D21" i="9"/>
  <c r="J5" i="9"/>
  <c r="D22" i="9"/>
  <c r="D23" i="9"/>
  <c r="E44" i="9"/>
  <c r="F44" i="9"/>
  <c r="C44" i="9"/>
  <c r="D24" i="9"/>
  <c r="D44" i="9"/>
  <c r="B44" i="9"/>
  <c r="G44" i="9"/>
  <c r="Z79" i="5"/>
  <c r="S78" i="5"/>
  <c r="S79" i="5" s="1"/>
  <c r="Y80" i="5"/>
  <c r="CF33" i="9"/>
  <c r="CG33" i="9"/>
  <c r="CE33" i="9"/>
  <c r="AZ4" i="1" s="1"/>
  <c r="CS34" i="9"/>
  <c r="CV34" i="9" s="1"/>
  <c r="CQ34" i="9"/>
  <c r="BL5" i="1" s="1"/>
  <c r="BI33" i="9"/>
  <c r="AC49" i="7"/>
  <c r="J107" i="3"/>
  <c r="J115" i="3"/>
  <c r="J171" i="3"/>
  <c r="J179" i="3"/>
  <c r="J99" i="3"/>
  <c r="J91" i="3"/>
  <c r="J155" i="3"/>
  <c r="J163" i="3"/>
  <c r="J147" i="3"/>
  <c r="J123" i="3"/>
  <c r="J139" i="3"/>
  <c r="J131" i="3"/>
  <c r="E79" i="5"/>
  <c r="R80" i="5"/>
  <c r="G77" i="5"/>
  <c r="J14" i="3"/>
  <c r="J22" i="3"/>
  <c r="J84" i="3"/>
  <c r="J52" i="3"/>
  <c r="J36" i="3"/>
  <c r="J76" i="3"/>
  <c r="J28" i="3"/>
  <c r="J60" i="3"/>
  <c r="J44" i="3"/>
  <c r="J68" i="3"/>
  <c r="F78" i="5"/>
  <c r="D80" i="5"/>
  <c r="C81" i="5"/>
  <c r="J81" i="5" s="1"/>
  <c r="K81" i="5" s="1"/>
  <c r="L81" i="5" s="1"/>
  <c r="M81" i="5" s="1"/>
  <c r="N81" i="5" s="1"/>
  <c r="D101" i="5"/>
  <c r="CR38" i="9" l="1"/>
  <c r="BP9" i="1"/>
  <c r="DP37" i="9"/>
  <c r="CN8" i="1"/>
  <c r="CR35" i="9"/>
  <c r="BP6" i="1"/>
  <c r="DP34" i="9"/>
  <c r="CN5" i="1"/>
  <c r="H22" i="9"/>
  <c r="C88" i="9"/>
  <c r="C89" i="9" s="1"/>
  <c r="Z80" i="5"/>
  <c r="AA105" i="5"/>
  <c r="AA100" i="5"/>
  <c r="AA101" i="5"/>
  <c r="AA97" i="5"/>
  <c r="AA98" i="5"/>
  <c r="AA99" i="5"/>
  <c r="D88" i="9"/>
  <c r="D89" i="9" s="1"/>
  <c r="G88" i="9"/>
  <c r="G89" i="9" s="1"/>
  <c r="E88" i="9"/>
  <c r="E89" i="9" s="1"/>
  <c r="H21" i="9"/>
  <c r="AA95" i="5"/>
  <c r="AA94" i="5"/>
  <c r="AA96" i="5"/>
  <c r="H24" i="9"/>
  <c r="F88" i="9"/>
  <c r="F89" i="9" s="1"/>
  <c r="H23" i="9"/>
  <c r="Y81" i="5"/>
  <c r="Y82" i="5" s="1"/>
  <c r="T78" i="5"/>
  <c r="AA79" i="5"/>
  <c r="AB79" i="5"/>
  <c r="U78" i="5"/>
  <c r="CW34" i="9"/>
  <c r="BR5" i="1" s="1"/>
  <c r="CC33" i="9"/>
  <c r="CH33" i="9"/>
  <c r="BC4" i="1" s="1"/>
  <c r="CJ33" i="9"/>
  <c r="BL33" i="9"/>
  <c r="AC50" i="7"/>
  <c r="E80" i="5"/>
  <c r="R81" i="5"/>
  <c r="J29" i="3"/>
  <c r="J69" i="3"/>
  <c r="J61" i="3"/>
  <c r="J45" i="3"/>
  <c r="J53" i="3"/>
  <c r="J77" i="3"/>
  <c r="J37" i="3"/>
  <c r="J85" i="3"/>
  <c r="J203" i="3"/>
  <c r="J291" i="3"/>
  <c r="J227" i="3"/>
  <c r="J211" i="3"/>
  <c r="J219" i="3"/>
  <c r="J275" i="3"/>
  <c r="J283" i="3"/>
  <c r="J195" i="3"/>
  <c r="J259" i="3"/>
  <c r="J323" i="3"/>
  <c r="J307" i="3"/>
  <c r="J243" i="3"/>
  <c r="J187" i="3"/>
  <c r="J315" i="3"/>
  <c r="J251" i="3"/>
  <c r="J299" i="3"/>
  <c r="J267" i="3"/>
  <c r="J235" i="3"/>
  <c r="G78" i="5"/>
  <c r="J23" i="3"/>
  <c r="J15" i="3"/>
  <c r="J347" i="3"/>
  <c r="J355" i="3"/>
  <c r="J435" i="3"/>
  <c r="J467" i="3"/>
  <c r="J387" i="3"/>
  <c r="J459" i="3"/>
  <c r="J331" i="3"/>
  <c r="J379" i="3"/>
  <c r="J419" i="3"/>
  <c r="J443" i="3"/>
  <c r="J363" i="3"/>
  <c r="J395" i="3"/>
  <c r="J339" i="3"/>
  <c r="J371" i="3"/>
  <c r="J451" i="3"/>
  <c r="J403" i="3"/>
  <c r="J427" i="3"/>
  <c r="J411" i="3"/>
  <c r="J180" i="3"/>
  <c r="J156" i="3"/>
  <c r="J164" i="3"/>
  <c r="J116" i="3"/>
  <c r="J148" i="3"/>
  <c r="J172" i="3"/>
  <c r="J92" i="3"/>
  <c r="J124" i="3"/>
  <c r="J132" i="3"/>
  <c r="J108" i="3"/>
  <c r="J140" i="3"/>
  <c r="J100" i="3"/>
  <c r="F79" i="5"/>
  <c r="D81" i="5"/>
  <c r="C82" i="5"/>
  <c r="J82" i="5" s="1"/>
  <c r="K82" i="5" s="1"/>
  <c r="L82" i="5" s="1"/>
  <c r="M82" i="5" s="1"/>
  <c r="N82" i="5" s="1"/>
  <c r="D102" i="5"/>
  <c r="CO38" i="9" l="1"/>
  <c r="BM9" i="1"/>
  <c r="DM37" i="9"/>
  <c r="CK8" i="1"/>
  <c r="CO35" i="9"/>
  <c r="BM6" i="1"/>
  <c r="DM34" i="9"/>
  <c r="CK5" i="1"/>
  <c r="H89" i="9"/>
  <c r="AA102" i="5"/>
  <c r="AB80" i="5"/>
  <c r="Z81" i="5"/>
  <c r="Z82" i="5" s="1"/>
  <c r="S80" i="5"/>
  <c r="AA80" i="5"/>
  <c r="T79" i="5"/>
  <c r="U79" i="5"/>
  <c r="BZ33" i="9"/>
  <c r="CM33" i="9"/>
  <c r="CK33" i="9"/>
  <c r="BF4" i="1" s="1"/>
  <c r="AC51" i="7"/>
  <c r="G79" i="5"/>
  <c r="J244" i="3"/>
  <c r="J300" i="3"/>
  <c r="J308" i="3"/>
  <c r="J236" i="3"/>
  <c r="J292" i="3"/>
  <c r="J228" i="3"/>
  <c r="J204" i="3"/>
  <c r="J212" i="3"/>
  <c r="J220" i="3"/>
  <c r="J276" i="3"/>
  <c r="J284" i="3"/>
  <c r="J196" i="3"/>
  <c r="J252" i="3"/>
  <c r="J188" i="3"/>
  <c r="J268" i="3"/>
  <c r="J260" i="3"/>
  <c r="J316" i="3"/>
  <c r="J324" i="3"/>
  <c r="J332" i="3"/>
  <c r="J340" i="3"/>
  <c r="J396" i="3"/>
  <c r="J372" i="3"/>
  <c r="J420" i="3"/>
  <c r="J444" i="3"/>
  <c r="J468" i="3"/>
  <c r="J348" i="3"/>
  <c r="J364" i="3"/>
  <c r="J388" i="3"/>
  <c r="J380" i="3"/>
  <c r="J356" i="3"/>
  <c r="J428" i="3"/>
  <c r="J460" i="3"/>
  <c r="J412" i="3"/>
  <c r="J404" i="3"/>
  <c r="J436" i="3"/>
  <c r="J452" i="3"/>
  <c r="J16" i="3"/>
  <c r="J24" i="3"/>
  <c r="E81" i="5"/>
  <c r="R82" i="5"/>
  <c r="J70" i="3"/>
  <c r="J62" i="3"/>
  <c r="J46" i="3"/>
  <c r="J54" i="3"/>
  <c r="J30" i="3"/>
  <c r="J38" i="3"/>
  <c r="J86" i="3"/>
  <c r="J78" i="3"/>
  <c r="J109" i="3"/>
  <c r="J117" i="3"/>
  <c r="J173" i="3"/>
  <c r="J181" i="3"/>
  <c r="J101" i="3"/>
  <c r="J93" i="3"/>
  <c r="J157" i="3"/>
  <c r="J165" i="3"/>
  <c r="J141" i="3"/>
  <c r="J149" i="3"/>
  <c r="J125" i="3"/>
  <c r="J133" i="3"/>
  <c r="F80" i="5"/>
  <c r="C83" i="5"/>
  <c r="J83" i="5" s="1"/>
  <c r="K83" i="5" s="1"/>
  <c r="L83" i="5" s="1"/>
  <c r="M83" i="5" s="1"/>
  <c r="N83" i="5" s="1"/>
  <c r="D82" i="5"/>
  <c r="D103" i="5"/>
  <c r="CL38" i="9" l="1"/>
  <c r="BJ9" i="1"/>
  <c r="DJ37" i="9"/>
  <c r="CH8" i="1"/>
  <c r="CL35" i="9"/>
  <c r="BJ6" i="1"/>
  <c r="DJ34" i="9"/>
  <c r="CH5" i="1"/>
  <c r="AA103" i="5"/>
  <c r="J333" i="3"/>
  <c r="AA81" i="5"/>
  <c r="U80" i="5"/>
  <c r="Y83" i="5"/>
  <c r="S81" i="5"/>
  <c r="T80" i="5"/>
  <c r="BW33" i="9"/>
  <c r="CN33" i="9"/>
  <c r="BI4" i="1" s="1"/>
  <c r="CP33" i="9"/>
  <c r="AC52" i="7"/>
  <c r="E82" i="5"/>
  <c r="R83" i="5"/>
  <c r="J63" i="3"/>
  <c r="J47" i="3"/>
  <c r="J31" i="3"/>
  <c r="J87" i="3"/>
  <c r="J71" i="3"/>
  <c r="J55" i="3"/>
  <c r="J39" i="3"/>
  <c r="J79" i="3"/>
  <c r="J25" i="3"/>
  <c r="J17" i="3"/>
  <c r="F81" i="5"/>
  <c r="Z83" i="5"/>
  <c r="J221" i="3"/>
  <c r="J245" i="3"/>
  <c r="J301" i="3"/>
  <c r="J309" i="3"/>
  <c r="J237" i="3"/>
  <c r="J293" i="3"/>
  <c r="J229" i="3"/>
  <c r="J261" i="3"/>
  <c r="J277" i="3"/>
  <c r="J197" i="3"/>
  <c r="J213" i="3"/>
  <c r="J325" i="3"/>
  <c r="J205" i="3"/>
  <c r="J189" i="3"/>
  <c r="J317" i="3"/>
  <c r="J285" i="3"/>
  <c r="J253" i="3"/>
  <c r="J269" i="3"/>
  <c r="G80" i="5"/>
  <c r="J134" i="3"/>
  <c r="J126" i="3"/>
  <c r="J110" i="3"/>
  <c r="J174" i="3"/>
  <c r="J102" i="3"/>
  <c r="J150" i="3"/>
  <c r="J158" i="3"/>
  <c r="J94" i="3"/>
  <c r="J142" i="3"/>
  <c r="J182" i="3"/>
  <c r="J166" i="3"/>
  <c r="J118" i="3"/>
  <c r="J453" i="3"/>
  <c r="J397" i="3"/>
  <c r="J445" i="3"/>
  <c r="J413" i="3"/>
  <c r="J349" i="3"/>
  <c r="J469" i="3"/>
  <c r="J429" i="3"/>
  <c r="J341" i="3"/>
  <c r="J437" i="3"/>
  <c r="D83" i="5"/>
  <c r="C84" i="5"/>
  <c r="J84" i="5" s="1"/>
  <c r="D104" i="5"/>
  <c r="CI38" i="9" l="1"/>
  <c r="BG9" i="1"/>
  <c r="DG37" i="9"/>
  <c r="CE8" i="1"/>
  <c r="CI35" i="9"/>
  <c r="BG6" i="1"/>
  <c r="DG34" i="9"/>
  <c r="CE5" i="1"/>
  <c r="K84" i="5"/>
  <c r="L84" i="5" s="1"/>
  <c r="M84" i="5" s="1"/>
  <c r="N84" i="5" s="1"/>
  <c r="AA104" i="5"/>
  <c r="J365" i="3"/>
  <c r="J389" i="3"/>
  <c r="AB81" i="5"/>
  <c r="AB82" i="5" s="1"/>
  <c r="J421" i="3"/>
  <c r="J461" i="3"/>
  <c r="J405" i="3"/>
  <c r="J381" i="3"/>
  <c r="J373" i="3"/>
  <c r="J357" i="3"/>
  <c r="Y84" i="5"/>
  <c r="AA82" i="5"/>
  <c r="S82" i="5"/>
  <c r="U81" i="5"/>
  <c r="T81" i="5"/>
  <c r="BT33" i="9"/>
  <c r="CS33" i="9"/>
  <c r="CQ33" i="9"/>
  <c r="BL4" i="1" s="1"/>
  <c r="AC53" i="7"/>
  <c r="J127" i="3"/>
  <c r="J135" i="3"/>
  <c r="J143" i="3"/>
  <c r="J119" i="3"/>
  <c r="J159" i="3"/>
  <c r="J103" i="3"/>
  <c r="J95" i="3"/>
  <c r="J111" i="3"/>
  <c r="J175" i="3"/>
  <c r="J167" i="3"/>
  <c r="J151" i="3"/>
  <c r="J183" i="3"/>
  <c r="G81" i="5"/>
  <c r="E83" i="5"/>
  <c r="R84" i="5"/>
  <c r="D84" i="5"/>
  <c r="C85" i="5"/>
  <c r="J85" i="5" s="1"/>
  <c r="J254" i="3"/>
  <c r="J318" i="3"/>
  <c r="J246" i="3"/>
  <c r="J302" i="3"/>
  <c r="J310" i="3"/>
  <c r="J238" i="3"/>
  <c r="J294" i="3"/>
  <c r="J206" i="3"/>
  <c r="J286" i="3"/>
  <c r="J262" i="3"/>
  <c r="J198" i="3"/>
  <c r="J278" i="3"/>
  <c r="J230" i="3"/>
  <c r="J222" i="3"/>
  <c r="J214" i="3"/>
  <c r="J326" i="3"/>
  <c r="J190" i="3"/>
  <c r="J270" i="3"/>
  <c r="J334" i="3"/>
  <c r="J446" i="3"/>
  <c r="J350" i="3"/>
  <c r="J470" i="3"/>
  <c r="J342" i="3"/>
  <c r="J398" i="3"/>
  <c r="J366" i="3"/>
  <c r="J374" i="3"/>
  <c r="J422" i="3"/>
  <c r="J390" i="3"/>
  <c r="J406" i="3"/>
  <c r="J382" i="3"/>
  <c r="J430" i="3"/>
  <c r="J358" i="3"/>
  <c r="J462" i="3"/>
  <c r="J414" i="3"/>
  <c r="J454" i="3"/>
  <c r="J438" i="3"/>
  <c r="J32" i="3"/>
  <c r="J80" i="3"/>
  <c r="J72" i="3"/>
  <c r="J64" i="3"/>
  <c r="J40" i="3"/>
  <c r="J48" i="3"/>
  <c r="J56" i="3"/>
  <c r="J88" i="3"/>
  <c r="F82" i="5"/>
  <c r="Z84" i="5"/>
  <c r="D106" i="5"/>
  <c r="CF38" i="9" l="1"/>
  <c r="BD9" i="1"/>
  <c r="DD37" i="9"/>
  <c r="CB8" i="1"/>
  <c r="CF35" i="9"/>
  <c r="BD6" i="1"/>
  <c r="DD34" i="9"/>
  <c r="CB5" i="1"/>
  <c r="K85" i="5"/>
  <c r="AA106" i="5"/>
  <c r="J455" i="3"/>
  <c r="T82" i="5"/>
  <c r="Y85" i="5"/>
  <c r="S83" i="5"/>
  <c r="AA83" i="5"/>
  <c r="C86" i="5"/>
  <c r="BQ33" i="9"/>
  <c r="CV33" i="9"/>
  <c r="AC54" i="7"/>
  <c r="G82" i="5"/>
  <c r="F83" i="5"/>
  <c r="Z85" i="5"/>
  <c r="J26" i="3"/>
  <c r="J18" i="3"/>
  <c r="J73" i="3"/>
  <c r="J57" i="3"/>
  <c r="J33" i="3"/>
  <c r="J41" i="3"/>
  <c r="J81" i="3"/>
  <c r="J49" i="3"/>
  <c r="J65" i="3"/>
  <c r="J89" i="3"/>
  <c r="J231" i="3"/>
  <c r="J327" i="3"/>
  <c r="J239" i="3"/>
  <c r="J255" i="3"/>
  <c r="J247" i="3"/>
  <c r="J303" i="3"/>
  <c r="J263" i="3"/>
  <c r="J223" i="3"/>
  <c r="J191" i="3"/>
  <c r="J319" i="3"/>
  <c r="J215" i="3"/>
  <c r="J295" i="3"/>
  <c r="J287" i="3"/>
  <c r="J279" i="3"/>
  <c r="J311" i="3"/>
  <c r="J207" i="3"/>
  <c r="J199" i="3"/>
  <c r="J271" i="3"/>
  <c r="J367" i="3"/>
  <c r="J383" i="3"/>
  <c r="J447" i="3"/>
  <c r="J399" i="3"/>
  <c r="J423" i="3"/>
  <c r="J471" i="3"/>
  <c r="J463" i="3"/>
  <c r="J415" i="3"/>
  <c r="J343" i="3"/>
  <c r="D85" i="5"/>
  <c r="J152" i="3"/>
  <c r="J128" i="3"/>
  <c r="J112" i="3"/>
  <c r="J176" i="3"/>
  <c r="J104" i="3"/>
  <c r="J96" i="3"/>
  <c r="J168" i="3"/>
  <c r="J144" i="3"/>
  <c r="J160" i="3"/>
  <c r="J184" i="3"/>
  <c r="J136" i="3"/>
  <c r="J120" i="3"/>
  <c r="E84" i="5"/>
  <c r="R85" i="5"/>
  <c r="D107" i="5"/>
  <c r="V106" i="5"/>
  <c r="O106" i="5"/>
  <c r="CC38" i="9" l="1"/>
  <c r="BA9" i="1"/>
  <c r="DA37" i="9"/>
  <c r="BY8" i="1"/>
  <c r="CC35" i="9"/>
  <c r="BA6" i="1"/>
  <c r="DA34" i="9"/>
  <c r="BY5" i="1"/>
  <c r="L85" i="5"/>
  <c r="J86" i="5"/>
  <c r="K86" i="5" s="1"/>
  <c r="L86" i="5" s="1"/>
  <c r="M86" i="5" s="1"/>
  <c r="N86" i="5" s="1"/>
  <c r="AA107" i="5"/>
  <c r="J335" i="3"/>
  <c r="J391" i="3"/>
  <c r="AB83" i="5"/>
  <c r="AB84" i="5" s="1"/>
  <c r="J439" i="3"/>
  <c r="J359" i="3"/>
  <c r="J407" i="3"/>
  <c r="J431" i="3"/>
  <c r="J351" i="3"/>
  <c r="U82" i="5"/>
  <c r="U83" i="5" s="1"/>
  <c r="J375" i="3"/>
  <c r="S84" i="5"/>
  <c r="T83" i="5"/>
  <c r="T84" i="5" s="1"/>
  <c r="D86" i="5"/>
  <c r="Y86" i="5"/>
  <c r="AA84" i="5"/>
  <c r="BN33" i="9"/>
  <c r="CW33" i="9"/>
  <c r="BR4" i="1" s="1"/>
  <c r="AC55" i="7"/>
  <c r="R86" i="5"/>
  <c r="E85" i="5"/>
  <c r="J145" i="3"/>
  <c r="J137" i="3"/>
  <c r="J121" i="3"/>
  <c r="J129" i="3"/>
  <c r="J185" i="3"/>
  <c r="J161" i="3"/>
  <c r="J177" i="3"/>
  <c r="J105" i="3"/>
  <c r="J153" i="3"/>
  <c r="J113" i="3"/>
  <c r="J97" i="3"/>
  <c r="J169" i="3"/>
  <c r="F84" i="5"/>
  <c r="Z86" i="5"/>
  <c r="G83" i="5"/>
  <c r="J192" i="3"/>
  <c r="J264" i="3"/>
  <c r="J328" i="3"/>
  <c r="J256" i="3"/>
  <c r="J320" i="3"/>
  <c r="J248" i="3"/>
  <c r="J304" i="3"/>
  <c r="J312" i="3"/>
  <c r="J216" i="3"/>
  <c r="J272" i="3"/>
  <c r="J232" i="3"/>
  <c r="J288" i="3"/>
  <c r="J296" i="3"/>
  <c r="J208" i="3"/>
  <c r="J200" i="3"/>
  <c r="J224" i="3"/>
  <c r="J240" i="3"/>
  <c r="J280" i="3"/>
  <c r="J34" i="3"/>
  <c r="J82" i="3"/>
  <c r="J74" i="3"/>
  <c r="J58" i="3"/>
  <c r="J90" i="3"/>
  <c r="J50" i="3"/>
  <c r="J66" i="3"/>
  <c r="J42" i="3"/>
  <c r="J336" i="3"/>
  <c r="J376" i="3"/>
  <c r="J440" i="3"/>
  <c r="J448" i="3"/>
  <c r="J416" i="3"/>
  <c r="J472" i="3"/>
  <c r="J392" i="3"/>
  <c r="J464" i="3"/>
  <c r="J424" i="3"/>
  <c r="J368" i="3"/>
  <c r="J408" i="3"/>
  <c r="J384" i="3"/>
  <c r="J360" i="3"/>
  <c r="J456" i="3"/>
  <c r="D108" i="5"/>
  <c r="O107" i="5"/>
  <c r="V107" i="5"/>
  <c r="BZ38" i="9" l="1"/>
  <c r="AX9" i="1"/>
  <c r="CX37" i="9"/>
  <c r="BV8" i="1"/>
  <c r="BZ35" i="9"/>
  <c r="AX6" i="1"/>
  <c r="CX34" i="9"/>
  <c r="BV5" i="1"/>
  <c r="M85" i="5"/>
  <c r="AA108" i="5"/>
  <c r="J400" i="3"/>
  <c r="J344" i="3"/>
  <c r="J432" i="3"/>
  <c r="J352" i="3"/>
  <c r="J361" i="3"/>
  <c r="E86" i="5"/>
  <c r="K87" i="5"/>
  <c r="S85" i="5"/>
  <c r="S86" i="5" s="1"/>
  <c r="AA85" i="5"/>
  <c r="Y87" i="5"/>
  <c r="BK33" i="9"/>
  <c r="AC56" i="7"/>
  <c r="J98" i="3"/>
  <c r="J146" i="3"/>
  <c r="J122" i="3"/>
  <c r="J130" i="3"/>
  <c r="J186" i="3"/>
  <c r="J114" i="3"/>
  <c r="J162" i="3"/>
  <c r="J178" i="3"/>
  <c r="J154" i="3"/>
  <c r="J170" i="3"/>
  <c r="J138" i="3"/>
  <c r="J106" i="3"/>
  <c r="G84" i="5"/>
  <c r="T85" i="5"/>
  <c r="J193" i="3"/>
  <c r="J201" i="3"/>
  <c r="J265" i="3"/>
  <c r="J329" i="3"/>
  <c r="J233" i="3"/>
  <c r="J313" i="3"/>
  <c r="J217" i="3"/>
  <c r="J273" i="3"/>
  <c r="J209" i="3"/>
  <c r="J249" i="3"/>
  <c r="J281" i="3"/>
  <c r="J297" i="3"/>
  <c r="J225" i="3"/>
  <c r="J321" i="3"/>
  <c r="J305" i="3"/>
  <c r="J289" i="3"/>
  <c r="J257" i="3"/>
  <c r="J241" i="3"/>
  <c r="F85" i="5"/>
  <c r="J457" i="3"/>
  <c r="J441" i="3"/>
  <c r="J337" i="3"/>
  <c r="J377" i="3"/>
  <c r="J433" i="3"/>
  <c r="J353" i="3"/>
  <c r="O108" i="5"/>
  <c r="V108" i="5"/>
  <c r="D109" i="5"/>
  <c r="BW38" i="9" l="1"/>
  <c r="AU9" i="1"/>
  <c r="BS8" i="1"/>
  <c r="CU37" i="9"/>
  <c r="AU6" i="1"/>
  <c r="BW35" i="9"/>
  <c r="CU34" i="9"/>
  <c r="BS5" i="1"/>
  <c r="N85" i="5"/>
  <c r="AA109" i="5"/>
  <c r="U84" i="5"/>
  <c r="U85" i="5" s="1"/>
  <c r="J465" i="3"/>
  <c r="J473" i="3"/>
  <c r="J425" i="3"/>
  <c r="J449" i="3"/>
  <c r="J385" i="3"/>
  <c r="J417" i="3"/>
  <c r="J409" i="3"/>
  <c r="J401" i="3"/>
  <c r="F86" i="5"/>
  <c r="AB85" i="5"/>
  <c r="J393" i="3"/>
  <c r="J369" i="3"/>
  <c r="J345" i="3"/>
  <c r="J346" i="3"/>
  <c r="AA86" i="5"/>
  <c r="AA87" i="5" s="1"/>
  <c r="Z87" i="5"/>
  <c r="L87" i="5"/>
  <c r="BH33" i="9"/>
  <c r="AC57" i="7"/>
  <c r="J274" i="3"/>
  <c r="J226" i="3"/>
  <c r="J306" i="3"/>
  <c r="J210" i="3"/>
  <c r="J290" i="3"/>
  <c r="J330" i="3"/>
  <c r="J194" i="3"/>
  <c r="J266" i="3"/>
  <c r="J234" i="3"/>
  <c r="J322" i="3"/>
  <c r="J298" i="3"/>
  <c r="J314" i="3"/>
  <c r="J250" i="3"/>
  <c r="J218" i="3"/>
  <c r="J242" i="3"/>
  <c r="J282" i="3"/>
  <c r="J258" i="3"/>
  <c r="J202" i="3"/>
  <c r="J426" i="3"/>
  <c r="J418" i="3"/>
  <c r="J442" i="3"/>
  <c r="J450" i="3"/>
  <c r="J466" i="3"/>
  <c r="J474" i="3"/>
  <c r="J370" i="3"/>
  <c r="J410" i="3"/>
  <c r="J378" i="3"/>
  <c r="J362" i="3"/>
  <c r="J386" i="3"/>
  <c r="J402" i="3"/>
  <c r="G85" i="5"/>
  <c r="D110" i="5"/>
  <c r="V109" i="5"/>
  <c r="O109" i="5"/>
  <c r="BT38" i="9" l="1"/>
  <c r="AR9" i="1"/>
  <c r="CR37" i="9"/>
  <c r="BP8" i="1"/>
  <c r="BT35" i="9"/>
  <c r="AR6" i="1"/>
  <c r="CR34" i="9"/>
  <c r="BP5" i="1"/>
  <c r="AA110" i="5"/>
  <c r="G86" i="5"/>
  <c r="J458" i="3"/>
  <c r="J394" i="3"/>
  <c r="J354" i="3"/>
  <c r="J434" i="3"/>
  <c r="AB86" i="5"/>
  <c r="J338" i="3"/>
  <c r="T86" i="5"/>
  <c r="U86" i="5"/>
  <c r="M87" i="5"/>
  <c r="BE33" i="9"/>
  <c r="AC58" i="7"/>
  <c r="D111" i="5"/>
  <c r="O111" i="5"/>
  <c r="V111" i="5"/>
  <c r="V110" i="5"/>
  <c r="O110" i="5"/>
  <c r="BQ38" i="9" l="1"/>
  <c r="AO9" i="1"/>
  <c r="CO37" i="9"/>
  <c r="BM8" i="1"/>
  <c r="BQ35" i="9"/>
  <c r="AO6" i="1"/>
  <c r="CO34" i="9"/>
  <c r="BM5" i="1"/>
  <c r="AA111" i="5"/>
  <c r="AB87" i="5"/>
  <c r="BB33" i="9"/>
  <c r="AC59" i="7"/>
  <c r="D112" i="5"/>
  <c r="BN38" i="9" l="1"/>
  <c r="AL9" i="1"/>
  <c r="BJ8" i="1"/>
  <c r="CL37" i="9"/>
  <c r="BN35" i="9"/>
  <c r="AL6" i="1"/>
  <c r="CL34" i="9"/>
  <c r="BJ5" i="1"/>
  <c r="AA112" i="5"/>
  <c r="N87" i="5"/>
  <c r="AY33" i="9"/>
  <c r="AC60" i="7"/>
  <c r="D113" i="5"/>
  <c r="BK38" i="9" l="1"/>
  <c r="AI9" i="1"/>
  <c r="CI37" i="9"/>
  <c r="BG8" i="1"/>
  <c r="BK35" i="9"/>
  <c r="AI6" i="1"/>
  <c r="BG5" i="1"/>
  <c r="CI34" i="9"/>
  <c r="AA113" i="5"/>
  <c r="AV33" i="9"/>
  <c r="AC61" i="7"/>
  <c r="D114" i="5"/>
  <c r="BH38" i="9" l="1"/>
  <c r="AF9" i="1"/>
  <c r="BD8" i="1"/>
  <c r="CF37" i="9"/>
  <c r="AF6" i="1"/>
  <c r="BH35" i="9"/>
  <c r="CF34" i="9"/>
  <c r="BD5" i="1"/>
  <c r="AA114" i="5"/>
  <c r="AS33" i="9"/>
  <c r="AC62" i="7"/>
  <c r="D115" i="5"/>
  <c r="D5" i="7"/>
  <c r="D7" i="7"/>
  <c r="D13" i="7"/>
  <c r="D14" i="7"/>
  <c r="D21" i="7"/>
  <c r="D22" i="7"/>
  <c r="D29" i="7"/>
  <c r="D37" i="7"/>
  <c r="D38" i="7"/>
  <c r="D76" i="7"/>
  <c r="D78" i="7"/>
  <c r="D102" i="7"/>
  <c r="D49" i="7"/>
  <c r="H6" i="6"/>
  <c r="I6" i="6"/>
  <c r="H2" i="6"/>
  <c r="I2" i="6"/>
  <c r="J2" i="6"/>
  <c r="H3" i="6"/>
  <c r="I3" i="6"/>
  <c r="J3" i="6"/>
  <c r="H4" i="6"/>
  <c r="I4" i="6"/>
  <c r="H5" i="6"/>
  <c r="I5" i="6"/>
  <c r="I1" i="6"/>
  <c r="J1" i="6"/>
  <c r="K1" i="6"/>
  <c r="L1" i="6"/>
  <c r="M1" i="6"/>
  <c r="H1" i="6"/>
  <c r="AC9" i="1" l="1"/>
  <c r="BE38" i="9"/>
  <c r="CC37" i="9"/>
  <c r="BA8" i="1"/>
  <c r="AC6" i="1"/>
  <c r="BE35" i="9"/>
  <c r="CC34" i="9"/>
  <c r="BA5" i="1"/>
  <c r="AA115" i="5"/>
  <c r="AP33" i="9"/>
  <c r="D73" i="7"/>
  <c r="D89" i="7"/>
  <c r="AC63" i="7"/>
  <c r="W94" i="7"/>
  <c r="W86" i="7"/>
  <c r="W70" i="7"/>
  <c r="W62" i="7"/>
  <c r="W54" i="7"/>
  <c r="D116" i="5"/>
  <c r="D69" i="7"/>
  <c r="D61" i="7"/>
  <c r="W87" i="7"/>
  <c r="W71" i="7"/>
  <c r="W47" i="7"/>
  <c r="W46" i="7"/>
  <c r="D93" i="7"/>
  <c r="W67" i="7"/>
  <c r="D94" i="7"/>
  <c r="W93" i="7"/>
  <c r="W95" i="7"/>
  <c r="D46" i="7"/>
  <c r="D86" i="7"/>
  <c r="W91" i="7"/>
  <c r="W35" i="7"/>
  <c r="W78" i="7"/>
  <c r="W102" i="7"/>
  <c r="W63" i="7"/>
  <c r="W39" i="7"/>
  <c r="D77" i="7"/>
  <c r="W82" i="7"/>
  <c r="W42" i="7"/>
  <c r="W76" i="7"/>
  <c r="W99" i="7"/>
  <c r="W75" i="7"/>
  <c r="W51" i="7"/>
  <c r="D85" i="7"/>
  <c r="W96" i="7"/>
  <c r="W88" i="7"/>
  <c r="W80" i="7"/>
  <c r="W72" i="7"/>
  <c r="W64" i="7"/>
  <c r="W56" i="7"/>
  <c r="W48" i="7"/>
  <c r="W40" i="7"/>
  <c r="W55" i="7"/>
  <c r="D24" i="7"/>
  <c r="D8" i="7"/>
  <c r="W43" i="7"/>
  <c r="W66" i="7"/>
  <c r="W90" i="7"/>
  <c r="W83" i="7"/>
  <c r="W33" i="7"/>
  <c r="D23" i="7"/>
  <c r="W101" i="7"/>
  <c r="W85" i="7"/>
  <c r="W69" i="7"/>
  <c r="W61" i="7"/>
  <c r="W45" i="7"/>
  <c r="D52" i="7"/>
  <c r="D36" i="7"/>
  <c r="D95" i="7"/>
  <c r="D15" i="7"/>
  <c r="W98" i="7"/>
  <c r="W74" i="7"/>
  <c r="W50" i="7"/>
  <c r="D47" i="7"/>
  <c r="D40" i="7"/>
  <c r="W58" i="7"/>
  <c r="W100" i="7"/>
  <c r="W84" i="7"/>
  <c r="W68" i="7"/>
  <c r="W44" i="7"/>
  <c r="W34" i="7"/>
  <c r="W92" i="7"/>
  <c r="W60" i="7"/>
  <c r="W59" i="7"/>
  <c r="W97" i="7"/>
  <c r="W89" i="7"/>
  <c r="W81" i="7"/>
  <c r="W73" i="7"/>
  <c r="W65" i="7"/>
  <c r="W57" i="7"/>
  <c r="W49" i="7"/>
  <c r="W41" i="7"/>
  <c r="D25" i="7"/>
  <c r="W52" i="7"/>
  <c r="W36" i="7"/>
  <c r="D19" i="7"/>
  <c r="D65" i="7"/>
  <c r="D91" i="7"/>
  <c r="D74" i="7"/>
  <c r="D66" i="7"/>
  <c r="D18" i="7"/>
  <c r="D10" i="7"/>
  <c r="D90" i="7"/>
  <c r="D96" i="7"/>
  <c r="D88" i="7"/>
  <c r="D80" i="7"/>
  <c r="D64" i="7"/>
  <c r="D32" i="7"/>
  <c r="D16" i="7"/>
  <c r="D26" i="7"/>
  <c r="D11" i="7"/>
  <c r="D67" i="7"/>
  <c r="D70" i="7"/>
  <c r="D75" i="7"/>
  <c r="D51" i="7"/>
  <c r="D50" i="7"/>
  <c r="D53" i="7"/>
  <c r="D9" i="7"/>
  <c r="D103" i="7"/>
  <c r="D79" i="7"/>
  <c r="D63" i="7"/>
  <c r="D39" i="7"/>
  <c r="D31" i="7"/>
  <c r="D101" i="7"/>
  <c r="D45" i="7"/>
  <c r="D62" i="7"/>
  <c r="D54" i="7"/>
  <c r="D30" i="7"/>
  <c r="D12" i="7"/>
  <c r="D56" i="7"/>
  <c r="D72" i="7"/>
  <c r="D55" i="7"/>
  <c r="D92" i="7"/>
  <c r="D48" i="7"/>
  <c r="D87" i="7"/>
  <c r="D71" i="7"/>
  <c r="D44" i="7"/>
  <c r="D100" i="7"/>
  <c r="D27" i="7"/>
  <c r="D60" i="7"/>
  <c r="D84" i="7"/>
  <c r="D20" i="7"/>
  <c r="D43" i="7"/>
  <c r="D83" i="7"/>
  <c r="D42" i="7"/>
  <c r="D68" i="7"/>
  <c r="D59" i="7"/>
  <c r="D28" i="7"/>
  <c r="D99" i="7"/>
  <c r="D81" i="7"/>
  <c r="D58" i="7"/>
  <c r="D35" i="7"/>
  <c r="D17" i="7"/>
  <c r="D82" i="7"/>
  <c r="D41" i="7"/>
  <c r="D98" i="7"/>
  <c r="D57" i="7"/>
  <c r="D34" i="7"/>
  <c r="D97" i="7"/>
  <c r="D33" i="7"/>
  <c r="BB38" i="9" l="1"/>
  <c r="Z9" i="1"/>
  <c r="AX8" i="1"/>
  <c r="BZ37" i="9"/>
  <c r="BB35" i="9"/>
  <c r="Z6" i="1"/>
  <c r="BZ34" i="9"/>
  <c r="AX5" i="1"/>
  <c r="AA116" i="5"/>
  <c r="AM33" i="9"/>
  <c r="AC64" i="7"/>
  <c r="D117" i="5"/>
  <c r="W79" i="7"/>
  <c r="W77" i="7"/>
  <c r="W38" i="7"/>
  <c r="W103" i="7"/>
  <c r="W37" i="7"/>
  <c r="W53" i="7"/>
  <c r="F2" i="6"/>
  <c r="F3" i="6"/>
  <c r="F4" i="6"/>
  <c r="F1" i="6"/>
  <c r="G33" i="5"/>
  <c r="M33" i="5"/>
  <c r="O33" i="5"/>
  <c r="P33" i="5"/>
  <c r="Q33" i="5"/>
  <c r="Q14" i="6"/>
  <c r="S14" i="6"/>
  <c r="I14" i="6"/>
  <c r="H14" i="6"/>
  <c r="L33" i="5"/>
  <c r="J33" i="5"/>
  <c r="I33" i="5"/>
  <c r="H33" i="5"/>
  <c r="F33" i="5"/>
  <c r="G13" i="6"/>
  <c r="B13" i="6"/>
  <c r="AY38" i="9" l="1"/>
  <c r="W9" i="1"/>
  <c r="BW37" i="9"/>
  <c r="AU8" i="1"/>
  <c r="AY35" i="9"/>
  <c r="W6" i="1"/>
  <c r="BW34" i="9"/>
  <c r="AU5" i="1"/>
  <c r="E14" i="5"/>
  <c r="Q14" i="5"/>
  <c r="N19" i="5" s="1"/>
  <c r="N20" i="5" s="1"/>
  <c r="P14" i="5"/>
  <c r="M19" i="5" s="1"/>
  <c r="O14" i="5"/>
  <c r="L19" i="5" s="1"/>
  <c r="L20" i="5" s="1"/>
  <c r="I13" i="5"/>
  <c r="G10" i="5"/>
  <c r="F10" i="5"/>
  <c r="P12" i="5"/>
  <c r="G13" i="5"/>
  <c r="H12" i="5"/>
  <c r="E12" i="5"/>
  <c r="F14" i="5"/>
  <c r="C19" i="5" s="1"/>
  <c r="I11" i="5"/>
  <c r="O12" i="5"/>
  <c r="P10" i="5"/>
  <c r="E10" i="5"/>
  <c r="F11" i="5"/>
  <c r="F12" i="5"/>
  <c r="H14" i="5"/>
  <c r="E19" i="5" s="1"/>
  <c r="E11" i="5"/>
  <c r="H10" i="5"/>
  <c r="F13" i="5"/>
  <c r="O13" i="5"/>
  <c r="P11" i="5"/>
  <c r="H13" i="5"/>
  <c r="B19" i="5"/>
  <c r="H11" i="5"/>
  <c r="G12" i="5"/>
  <c r="I14" i="5"/>
  <c r="F19" i="5" s="1"/>
  <c r="E13" i="5"/>
  <c r="I10" i="5"/>
  <c r="G11" i="5"/>
  <c r="G14" i="5"/>
  <c r="D19" i="5" s="1"/>
  <c r="O10" i="5"/>
  <c r="O11" i="5"/>
  <c r="P13" i="5"/>
  <c r="I12" i="5"/>
  <c r="J10" i="5"/>
  <c r="L12" i="5"/>
  <c r="Q11" i="5"/>
  <c r="J14" i="5"/>
  <c r="G19" i="5" s="1"/>
  <c r="Q10" i="5"/>
  <c r="J11" i="5"/>
  <c r="L14" i="5"/>
  <c r="I19" i="5" s="1"/>
  <c r="J12" i="5"/>
  <c r="Q12" i="5"/>
  <c r="J13" i="5"/>
  <c r="L11" i="5"/>
  <c r="L10" i="5"/>
  <c r="L13" i="5"/>
  <c r="Q13" i="5"/>
  <c r="O54" i="5"/>
  <c r="Q54" i="5"/>
  <c r="T54" i="5" s="1"/>
  <c r="I54" i="5"/>
  <c r="F54" i="5"/>
  <c r="H54" i="5"/>
  <c r="L54" i="5"/>
  <c r="E54" i="5"/>
  <c r="G54" i="5"/>
  <c r="P54" i="5"/>
  <c r="S54" i="5" s="1"/>
  <c r="J54" i="5"/>
  <c r="AH160" i="5"/>
  <c r="T160" i="5"/>
  <c r="F160" i="5"/>
  <c r="AA117" i="5"/>
  <c r="E33" i="5"/>
  <c r="E41" i="5" s="1"/>
  <c r="E49" i="5" s="1"/>
  <c r="B18" i="5"/>
  <c r="E9" i="5" s="1"/>
  <c r="AJ33" i="9"/>
  <c r="AC65" i="7"/>
  <c r="U94" i="5"/>
  <c r="P112" i="5"/>
  <c r="N113" i="5"/>
  <c r="S115" i="5"/>
  <c r="P116" i="5"/>
  <c r="N117" i="5"/>
  <c r="S119" i="5"/>
  <c r="P120" i="5"/>
  <c r="N121" i="5"/>
  <c r="S123" i="5"/>
  <c r="N135" i="5"/>
  <c r="S137" i="5"/>
  <c r="P138" i="5"/>
  <c r="N139" i="5"/>
  <c r="S141" i="5"/>
  <c r="P95" i="5"/>
  <c r="L114" i="5"/>
  <c r="W114" i="5"/>
  <c r="U115" i="5"/>
  <c r="L118" i="5"/>
  <c r="W118" i="5"/>
  <c r="U119" i="5"/>
  <c r="L122" i="5"/>
  <c r="W122" i="5"/>
  <c r="U123" i="5"/>
  <c r="W126" i="5"/>
  <c r="U127" i="5"/>
  <c r="L136" i="5"/>
  <c r="W136" i="5"/>
  <c r="U137" i="5"/>
  <c r="L140" i="5"/>
  <c r="W140" i="5"/>
  <c r="U141" i="5"/>
  <c r="W144" i="5"/>
  <c r="U145" i="5"/>
  <c r="P147" i="5"/>
  <c r="P148" i="5"/>
  <c r="P149" i="5"/>
  <c r="P150" i="5"/>
  <c r="P151" i="5"/>
  <c r="P152" i="5"/>
  <c r="U111" i="5"/>
  <c r="U110" i="5"/>
  <c r="U109" i="5"/>
  <c r="U108" i="5"/>
  <c r="U107" i="5"/>
  <c r="U106" i="5"/>
  <c r="N104" i="5"/>
  <c r="P103" i="5"/>
  <c r="S102" i="5"/>
  <c r="N100" i="5"/>
  <c r="P99" i="5"/>
  <c r="U95" i="5"/>
  <c r="S113" i="5"/>
  <c r="P114" i="5"/>
  <c r="N115" i="5"/>
  <c r="S117" i="5"/>
  <c r="P118" i="5"/>
  <c r="N119" i="5"/>
  <c r="S121" i="5"/>
  <c r="P122" i="5"/>
  <c r="N123" i="5"/>
  <c r="U129" i="5"/>
  <c r="U130" i="5"/>
  <c r="S135" i="5"/>
  <c r="P136" i="5"/>
  <c r="N137" i="5"/>
  <c r="S139" i="5"/>
  <c r="L95" i="5"/>
  <c r="W95" i="5"/>
  <c r="N112" i="5"/>
  <c r="S114" i="5"/>
  <c r="P115" i="5"/>
  <c r="N116" i="5"/>
  <c r="S118" i="5"/>
  <c r="P119" i="5"/>
  <c r="N120" i="5"/>
  <c r="S122" i="5"/>
  <c r="P123" i="5"/>
  <c r="S136" i="5"/>
  <c r="P137" i="5"/>
  <c r="N138" i="5"/>
  <c r="S140" i="5"/>
  <c r="P141" i="5"/>
  <c r="N142" i="5"/>
  <c r="S144" i="5"/>
  <c r="P145" i="5"/>
  <c r="N146" i="5"/>
  <c r="L111" i="5"/>
  <c r="L110" i="5"/>
  <c r="L109" i="5"/>
  <c r="U112" i="5"/>
  <c r="U113" i="5"/>
  <c r="L116" i="5"/>
  <c r="L117" i="5"/>
  <c r="N118" i="5"/>
  <c r="U120" i="5"/>
  <c r="U121" i="5"/>
  <c r="U128" i="5"/>
  <c r="W135" i="5"/>
  <c r="L137" i="5"/>
  <c r="P139" i="5"/>
  <c r="P140" i="5"/>
  <c r="S142" i="5"/>
  <c r="P143" i="5"/>
  <c r="P146" i="5"/>
  <c r="N147" i="5"/>
  <c r="S149" i="5"/>
  <c r="U150" i="5"/>
  <c r="W151" i="5"/>
  <c r="W110" i="5"/>
  <c r="N108" i="5"/>
  <c r="L107" i="5"/>
  <c r="N105" i="5"/>
  <c r="P104" i="5"/>
  <c r="U101" i="5"/>
  <c r="W100" i="5"/>
  <c r="L99" i="5"/>
  <c r="U96" i="5"/>
  <c r="N94" i="5"/>
  <c r="U118" i="5"/>
  <c r="U143" i="5"/>
  <c r="U144" i="5"/>
  <c r="U146" i="5"/>
  <c r="W148" i="5"/>
  <c r="L151" i="5"/>
  <c r="P110" i="5"/>
  <c r="W107" i="5"/>
  <c r="S106" i="5"/>
  <c r="L103" i="5"/>
  <c r="L113" i="5"/>
  <c r="N122" i="5"/>
  <c r="U124" i="5"/>
  <c r="W138" i="5"/>
  <c r="W147" i="5"/>
  <c r="N151" i="5"/>
  <c r="W103" i="5"/>
  <c r="L102" i="5"/>
  <c r="P94" i="5"/>
  <c r="W94" i="5"/>
  <c r="S138" i="5"/>
  <c r="U142" i="5"/>
  <c r="P144" i="5"/>
  <c r="S148" i="5"/>
  <c r="U149" i="5"/>
  <c r="W150" i="5"/>
  <c r="S110" i="5"/>
  <c r="P109" i="5"/>
  <c r="L108" i="5"/>
  <c r="W105" i="5"/>
  <c r="L105" i="5"/>
  <c r="P102" i="5"/>
  <c r="S101" i="5"/>
  <c r="W99" i="5"/>
  <c r="N98" i="5"/>
  <c r="P97" i="5"/>
  <c r="S96" i="5"/>
  <c r="W120" i="5"/>
  <c r="L123" i="5"/>
  <c r="L135" i="5"/>
  <c r="W141" i="5"/>
  <c r="S145" i="5"/>
  <c r="S147" i="5"/>
  <c r="U148" i="5"/>
  <c r="W111" i="5"/>
  <c r="N109" i="5"/>
  <c r="W106" i="5"/>
  <c r="L104" i="5"/>
  <c r="U126" i="5"/>
  <c r="S130" i="5"/>
  <c r="N152" i="5"/>
  <c r="U105" i="5"/>
  <c r="W104" i="5"/>
  <c r="P101" i="5"/>
  <c r="S100" i="5"/>
  <c r="N114" i="5"/>
  <c r="U116" i="5"/>
  <c r="U117" i="5"/>
  <c r="L120" i="5"/>
  <c r="U125" i="5"/>
  <c r="W139" i="5"/>
  <c r="N110" i="5"/>
  <c r="S107" i="5"/>
  <c r="S99" i="5"/>
  <c r="S95" i="5"/>
  <c r="N95" i="5"/>
  <c r="W112" i="5"/>
  <c r="W113" i="5"/>
  <c r="L115" i="5"/>
  <c r="P117" i="5"/>
  <c r="W119" i="5"/>
  <c r="W121" i="5"/>
  <c r="W127" i="5"/>
  <c r="W128" i="5"/>
  <c r="N136" i="5"/>
  <c r="U138" i="5"/>
  <c r="U139" i="5"/>
  <c r="U140" i="5"/>
  <c r="S143" i="5"/>
  <c r="S146" i="5"/>
  <c r="W149" i="5"/>
  <c r="L152" i="5"/>
  <c r="N103" i="5"/>
  <c r="U100" i="5"/>
  <c r="W98" i="5"/>
  <c r="L98" i="5"/>
  <c r="S116" i="5"/>
  <c r="W142" i="5"/>
  <c r="U147" i="5"/>
  <c r="S111" i="5"/>
  <c r="N102" i="5"/>
  <c r="U99" i="5"/>
  <c r="N97" i="5"/>
  <c r="P96" i="5"/>
  <c r="L112" i="5"/>
  <c r="L121" i="5"/>
  <c r="W130" i="5"/>
  <c r="P135" i="5"/>
  <c r="W137" i="5"/>
  <c r="W145" i="5"/>
  <c r="L150" i="5"/>
  <c r="W108" i="5"/>
  <c r="S105" i="5"/>
  <c r="U98" i="5"/>
  <c r="W97" i="5"/>
  <c r="L97" i="5"/>
  <c r="P113" i="5"/>
  <c r="W115" i="5"/>
  <c r="W116" i="5"/>
  <c r="W117" i="5"/>
  <c r="L119" i="5"/>
  <c r="P121" i="5"/>
  <c r="W123" i="5"/>
  <c r="W124" i="5"/>
  <c r="W125" i="5"/>
  <c r="S129" i="5"/>
  <c r="U135" i="5"/>
  <c r="L138" i="5"/>
  <c r="L139" i="5"/>
  <c r="N140" i="5"/>
  <c r="N141" i="5"/>
  <c r="P142" i="5"/>
  <c r="N143" i="5"/>
  <c r="L148" i="5"/>
  <c r="N149" i="5"/>
  <c r="S151" i="5"/>
  <c r="U152" i="5"/>
  <c r="N111" i="5"/>
  <c r="W109" i="5"/>
  <c r="P107" i="5"/>
  <c r="N106" i="5"/>
  <c r="P105" i="5"/>
  <c r="S104" i="5"/>
  <c r="U103" i="5"/>
  <c r="W101" i="5"/>
  <c r="L101" i="5"/>
  <c r="U97" i="5"/>
  <c r="W96" i="5"/>
  <c r="L96" i="5"/>
  <c r="S94" i="5"/>
  <c r="S112" i="5"/>
  <c r="U114" i="5"/>
  <c r="S120" i="5"/>
  <c r="U122" i="5"/>
  <c r="W129" i="5"/>
  <c r="N144" i="5"/>
  <c r="N145" i="5"/>
  <c r="L147" i="5"/>
  <c r="N148" i="5"/>
  <c r="S150" i="5"/>
  <c r="U151" i="5"/>
  <c r="W152" i="5"/>
  <c r="S109" i="5"/>
  <c r="P108" i="5"/>
  <c r="N107" i="5"/>
  <c r="L106" i="5"/>
  <c r="S103" i="5"/>
  <c r="W146" i="5"/>
  <c r="U102" i="5"/>
  <c r="N99" i="5"/>
  <c r="N96" i="5"/>
  <c r="U136" i="5"/>
  <c r="W143" i="5"/>
  <c r="P111" i="5"/>
  <c r="P100" i="5"/>
  <c r="S97" i="5"/>
  <c r="N150" i="5"/>
  <c r="S108" i="5"/>
  <c r="P106" i="5"/>
  <c r="N101" i="5"/>
  <c r="P98" i="5"/>
  <c r="S98" i="5"/>
  <c r="L100" i="5"/>
  <c r="L149" i="5"/>
  <c r="U104" i="5"/>
  <c r="W102" i="5"/>
  <c r="S152" i="5"/>
  <c r="J41" i="5"/>
  <c r="J49" i="5" s="1"/>
  <c r="G41" i="5"/>
  <c r="G49" i="5" s="1"/>
  <c r="H41" i="5"/>
  <c r="H49" i="5" s="1"/>
  <c r="I41" i="5"/>
  <c r="I49" i="5" s="1"/>
  <c r="Q41" i="5"/>
  <c r="Q49" i="5" s="1"/>
  <c r="P41" i="5"/>
  <c r="P49" i="5" s="1"/>
  <c r="F41" i="5"/>
  <c r="F49" i="5" s="1"/>
  <c r="O41" i="5"/>
  <c r="O49" i="5" s="1"/>
  <c r="D118" i="5"/>
  <c r="L41" i="5"/>
  <c r="L49" i="5" s="1"/>
  <c r="M41" i="5"/>
  <c r="M49" i="5" s="1"/>
  <c r="AV38" i="9" l="1"/>
  <c r="T9" i="1"/>
  <c r="BT37" i="9"/>
  <c r="AR8" i="1"/>
  <c r="AV35" i="9"/>
  <c r="T6" i="1"/>
  <c r="BT34" i="9"/>
  <c r="AR5" i="1"/>
  <c r="AA118" i="5"/>
  <c r="I170" i="3"/>
  <c r="C170" i="3" s="1"/>
  <c r="I160" i="3"/>
  <c r="C160" i="3" s="1"/>
  <c r="I277" i="3"/>
  <c r="C277" i="3" s="1"/>
  <c r="I406" i="3"/>
  <c r="C406" i="3" s="1"/>
  <c r="I412" i="3"/>
  <c r="C412" i="3" s="1"/>
  <c r="I270" i="3"/>
  <c r="C270" i="3" s="1"/>
  <c r="I262" i="3"/>
  <c r="C262" i="3" s="1"/>
  <c r="I182" i="3"/>
  <c r="C182" i="3" s="1"/>
  <c r="I178" i="3"/>
  <c r="C178" i="3" s="1"/>
  <c r="I316" i="3"/>
  <c r="C316" i="3" s="1"/>
  <c r="AC66" i="7"/>
  <c r="I300" i="3"/>
  <c r="C300" i="3" s="1"/>
  <c r="I453" i="3"/>
  <c r="C453" i="3" s="1"/>
  <c r="I428" i="3"/>
  <c r="C428" i="3" s="1"/>
  <c r="P54" i="3"/>
  <c r="P51" i="3"/>
  <c r="P57" i="3"/>
  <c r="P52" i="3"/>
  <c r="P56" i="3"/>
  <c r="P53" i="3"/>
  <c r="P58" i="3"/>
  <c r="P55" i="3"/>
  <c r="I115" i="3"/>
  <c r="C115" i="3" s="1"/>
  <c r="I122" i="3"/>
  <c r="C122" i="3" s="1"/>
  <c r="I117" i="3"/>
  <c r="C117" i="3" s="1"/>
  <c r="I120" i="3"/>
  <c r="C120" i="3" s="1"/>
  <c r="I119" i="3"/>
  <c r="C119" i="3" s="1"/>
  <c r="I118" i="3"/>
  <c r="C118" i="3" s="1"/>
  <c r="I116" i="3"/>
  <c r="C116" i="3" s="1"/>
  <c r="I121" i="3"/>
  <c r="C121" i="3" s="1"/>
  <c r="R13" i="3"/>
  <c r="S13" i="3" s="1"/>
  <c r="R16" i="3"/>
  <c r="S16" i="3" s="1"/>
  <c r="R12" i="3"/>
  <c r="S12" i="3" s="1"/>
  <c r="R17" i="3"/>
  <c r="S17" i="3" s="1"/>
  <c r="R14" i="3"/>
  <c r="S14" i="3" s="1"/>
  <c r="R18" i="3"/>
  <c r="S18" i="3" s="1"/>
  <c r="R15" i="3"/>
  <c r="S15" i="3" s="1"/>
  <c r="R11" i="3"/>
  <c r="S11" i="3" s="1"/>
  <c r="I356" i="3"/>
  <c r="C356" i="3" s="1"/>
  <c r="I357" i="3"/>
  <c r="C357" i="3" s="1"/>
  <c r="I358" i="3"/>
  <c r="C358" i="3" s="1"/>
  <c r="I359" i="3"/>
  <c r="C359" i="3" s="1"/>
  <c r="I360" i="3"/>
  <c r="C360" i="3" s="1"/>
  <c r="I355" i="3"/>
  <c r="C355" i="3" s="1"/>
  <c r="I362" i="3"/>
  <c r="C362" i="3" s="1"/>
  <c r="I361" i="3"/>
  <c r="C361" i="3" s="1"/>
  <c r="T419" i="3"/>
  <c r="U419" i="3" s="1"/>
  <c r="T422" i="3"/>
  <c r="U422" i="3" s="1"/>
  <c r="T423" i="3"/>
  <c r="U423" i="3" s="1"/>
  <c r="T426" i="3"/>
  <c r="U426" i="3" s="1"/>
  <c r="T421" i="3"/>
  <c r="U421" i="3" s="1"/>
  <c r="T424" i="3"/>
  <c r="U424" i="3" s="1"/>
  <c r="T420" i="3"/>
  <c r="U420" i="3" s="1"/>
  <c r="T425" i="3"/>
  <c r="U425" i="3" s="1"/>
  <c r="P319" i="3"/>
  <c r="P321" i="3"/>
  <c r="P320" i="3"/>
  <c r="P317" i="3"/>
  <c r="P322" i="3"/>
  <c r="P318" i="3"/>
  <c r="P316" i="3"/>
  <c r="P315" i="3"/>
  <c r="R209" i="3"/>
  <c r="S209" i="3" s="1"/>
  <c r="R203" i="3"/>
  <c r="S203" i="3" s="1"/>
  <c r="R208" i="3"/>
  <c r="S208" i="3" s="1"/>
  <c r="R207" i="3"/>
  <c r="S207" i="3" s="1"/>
  <c r="R206" i="3"/>
  <c r="S206" i="3" s="1"/>
  <c r="R204" i="3"/>
  <c r="S204" i="3" s="1"/>
  <c r="R205" i="3"/>
  <c r="S205" i="3" s="1"/>
  <c r="R210" i="3"/>
  <c r="S210" i="3" s="1"/>
  <c r="R395" i="3"/>
  <c r="R397" i="3"/>
  <c r="R396" i="3"/>
  <c r="R401" i="3"/>
  <c r="R398" i="3"/>
  <c r="R402" i="3"/>
  <c r="R400" i="3"/>
  <c r="R399" i="3"/>
  <c r="P302" i="3"/>
  <c r="P304" i="3"/>
  <c r="P303" i="3"/>
  <c r="P306" i="3"/>
  <c r="P305" i="3"/>
  <c r="P299" i="3"/>
  <c r="P301" i="3"/>
  <c r="P300" i="3"/>
  <c r="T401" i="3"/>
  <c r="U401" i="3" s="1"/>
  <c r="T400" i="3"/>
  <c r="U400" i="3" s="1"/>
  <c r="T395" i="3"/>
  <c r="U395" i="3" s="1"/>
  <c r="T396" i="3"/>
  <c r="U396" i="3" s="1"/>
  <c r="T399" i="3"/>
  <c r="U399" i="3" s="1"/>
  <c r="T397" i="3"/>
  <c r="U397" i="3" s="1"/>
  <c r="T402" i="3"/>
  <c r="U402" i="3" s="1"/>
  <c r="T398" i="3"/>
  <c r="U398" i="3" s="1"/>
  <c r="P192" i="3"/>
  <c r="P191" i="3"/>
  <c r="P193" i="3"/>
  <c r="P187" i="3"/>
  <c r="P194" i="3"/>
  <c r="P189" i="3"/>
  <c r="P190" i="3"/>
  <c r="P188" i="3"/>
  <c r="T198" i="3"/>
  <c r="U198" i="3" s="1"/>
  <c r="T201" i="3"/>
  <c r="U201" i="3" s="1"/>
  <c r="T197" i="3"/>
  <c r="U197" i="3" s="1"/>
  <c r="T195" i="3"/>
  <c r="U195" i="3" s="1"/>
  <c r="T199" i="3"/>
  <c r="U199" i="3" s="1"/>
  <c r="T202" i="3"/>
  <c r="U202" i="3" s="1"/>
  <c r="T196" i="3"/>
  <c r="U196" i="3" s="1"/>
  <c r="T200" i="3"/>
  <c r="U200" i="3" s="1"/>
  <c r="I74" i="3"/>
  <c r="C74" i="3" s="1"/>
  <c r="I73" i="3"/>
  <c r="C73" i="3" s="1"/>
  <c r="I69" i="3"/>
  <c r="C69" i="3" s="1"/>
  <c r="I68" i="3"/>
  <c r="C68" i="3" s="1"/>
  <c r="I70" i="3"/>
  <c r="C70" i="3" s="1"/>
  <c r="I67" i="3"/>
  <c r="C67" i="3" s="1"/>
  <c r="I72" i="3"/>
  <c r="C72" i="3" s="1"/>
  <c r="I71" i="3"/>
  <c r="C71" i="3" s="1"/>
  <c r="R327" i="3"/>
  <c r="S327" i="3" s="1"/>
  <c r="R330" i="3"/>
  <c r="S330" i="3" s="1"/>
  <c r="R329" i="3"/>
  <c r="S329" i="3" s="1"/>
  <c r="R324" i="3"/>
  <c r="S324" i="3" s="1"/>
  <c r="R323" i="3"/>
  <c r="S323" i="3" s="1"/>
  <c r="R328" i="3"/>
  <c r="S328" i="3" s="1"/>
  <c r="R325" i="3"/>
  <c r="S325" i="3" s="1"/>
  <c r="R326" i="3"/>
  <c r="S326" i="3" s="1"/>
  <c r="I34" i="3"/>
  <c r="C34" i="3" s="1"/>
  <c r="I33" i="3"/>
  <c r="C33" i="3" s="1"/>
  <c r="I27" i="3"/>
  <c r="C27" i="3" s="1"/>
  <c r="I29" i="3"/>
  <c r="C29" i="3" s="1"/>
  <c r="I32" i="3"/>
  <c r="C32" i="3" s="1"/>
  <c r="I30" i="3"/>
  <c r="C30" i="3" s="1"/>
  <c r="I28" i="3"/>
  <c r="C28" i="3" s="1"/>
  <c r="I31" i="3"/>
  <c r="C31" i="3" s="1"/>
  <c r="T387" i="3"/>
  <c r="U387" i="3" s="1"/>
  <c r="T393" i="3"/>
  <c r="U393" i="3" s="1"/>
  <c r="T392" i="3"/>
  <c r="U392" i="3" s="1"/>
  <c r="T391" i="3"/>
  <c r="U391" i="3" s="1"/>
  <c r="T388" i="3"/>
  <c r="U388" i="3" s="1"/>
  <c r="T390" i="3"/>
  <c r="U390" i="3" s="1"/>
  <c r="T394" i="3"/>
  <c r="U394" i="3" s="1"/>
  <c r="T389" i="3"/>
  <c r="U389" i="3" s="1"/>
  <c r="R41" i="3"/>
  <c r="S41" i="3" s="1"/>
  <c r="R42" i="3"/>
  <c r="S42" i="3" s="1"/>
  <c r="R39" i="3"/>
  <c r="S39" i="3" s="1"/>
  <c r="R35" i="3"/>
  <c r="S35" i="3" s="1"/>
  <c r="R36" i="3"/>
  <c r="S36" i="3" s="1"/>
  <c r="R38" i="3"/>
  <c r="S38" i="3" s="1"/>
  <c r="R40" i="3"/>
  <c r="S40" i="3" s="1"/>
  <c r="R37" i="3"/>
  <c r="S37" i="3" s="1"/>
  <c r="R60" i="3"/>
  <c r="S60" i="3" s="1"/>
  <c r="R62" i="3"/>
  <c r="S62" i="3" s="1"/>
  <c r="R59" i="3"/>
  <c r="S59" i="3" s="1"/>
  <c r="R64" i="3"/>
  <c r="S64" i="3" s="1"/>
  <c r="R63" i="3"/>
  <c r="S63" i="3" s="1"/>
  <c r="R66" i="3"/>
  <c r="S66" i="3" s="1"/>
  <c r="R61" i="3"/>
  <c r="S61" i="3" s="1"/>
  <c r="R65" i="3"/>
  <c r="S65" i="3" s="1"/>
  <c r="R111" i="3"/>
  <c r="S111" i="3" s="1"/>
  <c r="R108" i="3"/>
  <c r="S108" i="3" s="1"/>
  <c r="R107" i="3"/>
  <c r="S107" i="3" s="1"/>
  <c r="R112" i="3"/>
  <c r="S112" i="3" s="1"/>
  <c r="R110" i="3"/>
  <c r="S110" i="3" s="1"/>
  <c r="R113" i="3"/>
  <c r="S113" i="3" s="1"/>
  <c r="R109" i="3"/>
  <c r="S109" i="3" s="1"/>
  <c r="R114" i="3"/>
  <c r="S114" i="3" s="1"/>
  <c r="I148" i="3"/>
  <c r="C148" i="3" s="1"/>
  <c r="I152" i="3"/>
  <c r="C152" i="3" s="1"/>
  <c r="I147" i="3"/>
  <c r="C147" i="3" s="1"/>
  <c r="I149" i="3"/>
  <c r="C149" i="3" s="1"/>
  <c r="I151" i="3"/>
  <c r="C151" i="3" s="1"/>
  <c r="I154" i="3"/>
  <c r="C154" i="3" s="1"/>
  <c r="I153" i="3"/>
  <c r="C153" i="3" s="1"/>
  <c r="I150" i="3"/>
  <c r="C150" i="3" s="1"/>
  <c r="R443" i="3"/>
  <c r="R449" i="3"/>
  <c r="R450" i="3"/>
  <c r="R447" i="3"/>
  <c r="R448" i="3"/>
  <c r="R444" i="3"/>
  <c r="R446" i="3"/>
  <c r="R445" i="3"/>
  <c r="P368" i="3"/>
  <c r="P369" i="3"/>
  <c r="P364" i="3"/>
  <c r="P365" i="3"/>
  <c r="P370" i="3"/>
  <c r="P366" i="3"/>
  <c r="P363" i="3"/>
  <c r="P367" i="3"/>
  <c r="T337" i="3"/>
  <c r="U337" i="3" s="1"/>
  <c r="T336" i="3"/>
  <c r="U336" i="3" s="1"/>
  <c r="T332" i="3"/>
  <c r="U332" i="3" s="1"/>
  <c r="T333" i="3"/>
  <c r="U333" i="3" s="1"/>
  <c r="T334" i="3"/>
  <c r="U334" i="3" s="1"/>
  <c r="T331" i="3"/>
  <c r="U331" i="3" s="1"/>
  <c r="T335" i="3"/>
  <c r="U335" i="3" s="1"/>
  <c r="T338" i="3"/>
  <c r="U338" i="3" s="1"/>
  <c r="I139" i="3"/>
  <c r="C139" i="3" s="1"/>
  <c r="I141" i="3"/>
  <c r="C141" i="3" s="1"/>
  <c r="I143" i="3"/>
  <c r="C143" i="3" s="1"/>
  <c r="I146" i="3"/>
  <c r="C146" i="3" s="1"/>
  <c r="I145" i="3"/>
  <c r="C145" i="3" s="1"/>
  <c r="I144" i="3"/>
  <c r="C144" i="3" s="1"/>
  <c r="I142" i="3"/>
  <c r="C142" i="3" s="1"/>
  <c r="I140" i="3"/>
  <c r="C140" i="3" s="1"/>
  <c r="P467" i="3"/>
  <c r="P470" i="3"/>
  <c r="P473" i="3"/>
  <c r="P472" i="3"/>
  <c r="P474" i="3"/>
  <c r="P469" i="3"/>
  <c r="P468" i="3"/>
  <c r="P471" i="3"/>
  <c r="T71" i="3"/>
  <c r="U71" i="3" s="1"/>
  <c r="T70" i="3"/>
  <c r="U70" i="3" s="1"/>
  <c r="T67" i="3"/>
  <c r="U67" i="3" s="1"/>
  <c r="T73" i="3"/>
  <c r="U73" i="3" s="1"/>
  <c r="T74" i="3"/>
  <c r="U74" i="3" s="1"/>
  <c r="T69" i="3"/>
  <c r="U69" i="3" s="1"/>
  <c r="T68" i="3"/>
  <c r="U68" i="3" s="1"/>
  <c r="T72" i="3"/>
  <c r="U72" i="3" s="1"/>
  <c r="P73" i="3"/>
  <c r="P69" i="3"/>
  <c r="P74" i="3"/>
  <c r="P67" i="3"/>
  <c r="P68" i="3"/>
  <c r="P71" i="3"/>
  <c r="P70" i="3"/>
  <c r="P72" i="3"/>
  <c r="P348" i="3"/>
  <c r="P351" i="3"/>
  <c r="P347" i="3"/>
  <c r="P350" i="3"/>
  <c r="P349" i="3"/>
  <c r="P353" i="3"/>
  <c r="P352" i="3"/>
  <c r="P354" i="3"/>
  <c r="P243" i="3"/>
  <c r="P246" i="3"/>
  <c r="P247" i="3"/>
  <c r="P249" i="3"/>
  <c r="P245" i="3"/>
  <c r="P244" i="3"/>
  <c r="P250" i="3"/>
  <c r="P248" i="3"/>
  <c r="P130" i="3"/>
  <c r="P123" i="3"/>
  <c r="P127" i="3"/>
  <c r="P124" i="3"/>
  <c r="P125" i="3"/>
  <c r="P128" i="3"/>
  <c r="P126" i="3"/>
  <c r="P129" i="3"/>
  <c r="I377" i="3"/>
  <c r="C377" i="3" s="1"/>
  <c r="I371" i="3"/>
  <c r="C371" i="3" s="1"/>
  <c r="I375" i="3"/>
  <c r="C375" i="3" s="1"/>
  <c r="I376" i="3"/>
  <c r="C376" i="3" s="1"/>
  <c r="I372" i="3"/>
  <c r="C372" i="3" s="1"/>
  <c r="I378" i="3"/>
  <c r="C378" i="3" s="1"/>
  <c r="I373" i="3"/>
  <c r="C373" i="3" s="1"/>
  <c r="I374" i="3"/>
  <c r="C374" i="3" s="1"/>
  <c r="R151" i="3"/>
  <c r="R149" i="3"/>
  <c r="R153" i="3"/>
  <c r="R152" i="3"/>
  <c r="R154" i="3"/>
  <c r="R147" i="3"/>
  <c r="R150" i="3"/>
  <c r="R148" i="3"/>
  <c r="T294" i="3"/>
  <c r="U294" i="3" s="1"/>
  <c r="T291" i="3"/>
  <c r="U291" i="3" s="1"/>
  <c r="T298" i="3"/>
  <c r="U298" i="3" s="1"/>
  <c r="T295" i="3"/>
  <c r="U295" i="3" s="1"/>
  <c r="T293" i="3"/>
  <c r="U293" i="3" s="1"/>
  <c r="T297" i="3"/>
  <c r="U297" i="3" s="1"/>
  <c r="T292" i="3"/>
  <c r="U292" i="3" s="1"/>
  <c r="T296" i="3"/>
  <c r="U296" i="3" s="1"/>
  <c r="R368" i="3"/>
  <c r="S368" i="3" s="1"/>
  <c r="R369" i="3"/>
  <c r="S369" i="3" s="1"/>
  <c r="R366" i="3"/>
  <c r="S366" i="3" s="1"/>
  <c r="R364" i="3"/>
  <c r="S364" i="3" s="1"/>
  <c r="R370" i="3"/>
  <c r="S370" i="3" s="1"/>
  <c r="R365" i="3"/>
  <c r="S365" i="3" s="1"/>
  <c r="R363" i="3"/>
  <c r="S363" i="3" s="1"/>
  <c r="R367" i="3"/>
  <c r="S367" i="3" s="1"/>
  <c r="R295" i="3"/>
  <c r="S295" i="3" s="1"/>
  <c r="R294" i="3"/>
  <c r="S294" i="3" s="1"/>
  <c r="R297" i="3"/>
  <c r="S297" i="3" s="1"/>
  <c r="R296" i="3"/>
  <c r="S296" i="3" s="1"/>
  <c r="R298" i="3"/>
  <c r="S298" i="3" s="1"/>
  <c r="R293" i="3"/>
  <c r="S293" i="3" s="1"/>
  <c r="R292" i="3"/>
  <c r="S292" i="3" s="1"/>
  <c r="R291" i="3"/>
  <c r="S291" i="3" s="1"/>
  <c r="T106" i="3"/>
  <c r="U106" i="3" s="1"/>
  <c r="T100" i="3"/>
  <c r="U100" i="3" s="1"/>
  <c r="T103" i="3"/>
  <c r="U103" i="3" s="1"/>
  <c r="T102" i="3"/>
  <c r="U102" i="3" s="1"/>
  <c r="T99" i="3"/>
  <c r="U99" i="3" s="1"/>
  <c r="T104" i="3"/>
  <c r="U104" i="3" s="1"/>
  <c r="T101" i="3"/>
  <c r="U101" i="3" s="1"/>
  <c r="T105" i="3"/>
  <c r="U105" i="3" s="1"/>
  <c r="T116" i="3"/>
  <c r="U116" i="3" s="1"/>
  <c r="T122" i="3"/>
  <c r="U122" i="3" s="1"/>
  <c r="T115" i="3"/>
  <c r="U115" i="3" s="1"/>
  <c r="T121" i="3"/>
  <c r="U121" i="3" s="1"/>
  <c r="T119" i="3"/>
  <c r="U119" i="3" s="1"/>
  <c r="T120" i="3"/>
  <c r="U120" i="3" s="1"/>
  <c r="T117" i="3"/>
  <c r="U117" i="3" s="1"/>
  <c r="T118" i="3"/>
  <c r="U118" i="3" s="1"/>
  <c r="T97" i="3"/>
  <c r="U97" i="3" s="1"/>
  <c r="T91" i="3"/>
  <c r="U91" i="3" s="1"/>
  <c r="T96" i="3"/>
  <c r="U96" i="3" s="1"/>
  <c r="T93" i="3"/>
  <c r="U93" i="3" s="1"/>
  <c r="T95" i="3"/>
  <c r="U95" i="3" s="1"/>
  <c r="T92" i="3"/>
  <c r="U92" i="3" s="1"/>
  <c r="T98" i="3"/>
  <c r="U98" i="3" s="1"/>
  <c r="T94" i="3"/>
  <c r="U94" i="3" s="1"/>
  <c r="P442" i="3"/>
  <c r="P437" i="3"/>
  <c r="P439" i="3"/>
  <c r="P436" i="3"/>
  <c r="P440" i="3"/>
  <c r="P435" i="3"/>
  <c r="P441" i="3"/>
  <c r="P438" i="3"/>
  <c r="P362" i="3"/>
  <c r="P360" i="3"/>
  <c r="P361" i="3"/>
  <c r="P355" i="3"/>
  <c r="P357" i="3"/>
  <c r="P356" i="3"/>
  <c r="P358" i="3"/>
  <c r="P359" i="3"/>
  <c r="T66" i="3"/>
  <c r="U66" i="3" s="1"/>
  <c r="T62" i="3"/>
  <c r="U62" i="3" s="1"/>
  <c r="T59" i="3"/>
  <c r="U59" i="3" s="1"/>
  <c r="T60" i="3"/>
  <c r="U60" i="3" s="1"/>
  <c r="T64" i="3"/>
  <c r="U64" i="3" s="1"/>
  <c r="T61" i="3"/>
  <c r="U61" i="3" s="1"/>
  <c r="T65" i="3"/>
  <c r="U65" i="3" s="1"/>
  <c r="T63" i="3"/>
  <c r="U63" i="3" s="1"/>
  <c r="P242" i="3"/>
  <c r="P235" i="3"/>
  <c r="P240" i="3"/>
  <c r="P241" i="3"/>
  <c r="P238" i="3"/>
  <c r="P236" i="3"/>
  <c r="P237" i="3"/>
  <c r="P239" i="3"/>
  <c r="P97" i="3"/>
  <c r="P91" i="3"/>
  <c r="P98" i="3"/>
  <c r="P95" i="3"/>
  <c r="P96" i="3"/>
  <c r="P92" i="3"/>
  <c r="P93" i="3"/>
  <c r="P94" i="3"/>
  <c r="T404" i="3"/>
  <c r="U404" i="3" s="1"/>
  <c r="T409" i="3"/>
  <c r="U409" i="3" s="1"/>
  <c r="T408" i="3"/>
  <c r="U408" i="3" s="1"/>
  <c r="T403" i="3"/>
  <c r="U403" i="3" s="1"/>
  <c r="T410" i="3"/>
  <c r="U410" i="3" s="1"/>
  <c r="T407" i="3"/>
  <c r="U407" i="3" s="1"/>
  <c r="T406" i="3"/>
  <c r="U406" i="3" s="1"/>
  <c r="T405" i="3"/>
  <c r="U405" i="3" s="1"/>
  <c r="P80" i="3"/>
  <c r="P76" i="3"/>
  <c r="P77" i="3"/>
  <c r="P82" i="3"/>
  <c r="P81" i="3"/>
  <c r="P79" i="3"/>
  <c r="P75" i="3"/>
  <c r="P78" i="3"/>
  <c r="P134" i="3"/>
  <c r="P136" i="3"/>
  <c r="P135" i="3"/>
  <c r="P133" i="3"/>
  <c r="P137" i="3"/>
  <c r="P131" i="3"/>
  <c r="P132" i="3"/>
  <c r="P138" i="3"/>
  <c r="R357" i="3"/>
  <c r="S357" i="3" s="1"/>
  <c r="R355" i="3"/>
  <c r="S355" i="3" s="1"/>
  <c r="R359" i="3"/>
  <c r="S359" i="3" s="1"/>
  <c r="R361" i="3"/>
  <c r="S361" i="3" s="1"/>
  <c r="R362" i="3"/>
  <c r="S362" i="3" s="1"/>
  <c r="R356" i="3"/>
  <c r="S356" i="3" s="1"/>
  <c r="R360" i="3"/>
  <c r="S360" i="3" s="1"/>
  <c r="R358" i="3"/>
  <c r="S358" i="3" s="1"/>
  <c r="I233" i="3"/>
  <c r="C233" i="3" s="1"/>
  <c r="I234" i="3"/>
  <c r="C234" i="3" s="1"/>
  <c r="I227" i="3"/>
  <c r="C227" i="3" s="1"/>
  <c r="I230" i="3"/>
  <c r="C230" i="3" s="1"/>
  <c r="I232" i="3"/>
  <c r="C232" i="3" s="1"/>
  <c r="I229" i="3"/>
  <c r="C229" i="3" s="1"/>
  <c r="I228" i="3"/>
  <c r="C228" i="3" s="1"/>
  <c r="I231" i="3"/>
  <c r="C231" i="3" s="1"/>
  <c r="T234" i="3"/>
  <c r="U234" i="3" s="1"/>
  <c r="T227" i="3"/>
  <c r="U227" i="3" s="1"/>
  <c r="T228" i="3"/>
  <c r="U228" i="3" s="1"/>
  <c r="T231" i="3"/>
  <c r="U231" i="3" s="1"/>
  <c r="T230" i="3"/>
  <c r="U230" i="3" s="1"/>
  <c r="T232" i="3"/>
  <c r="U232" i="3" s="1"/>
  <c r="T229" i="3"/>
  <c r="U229" i="3" s="1"/>
  <c r="T233" i="3"/>
  <c r="U233" i="3" s="1"/>
  <c r="T440" i="3"/>
  <c r="U440" i="3" s="1"/>
  <c r="T441" i="3"/>
  <c r="U441" i="3" s="1"/>
  <c r="T439" i="3"/>
  <c r="U439" i="3" s="1"/>
  <c r="T442" i="3"/>
  <c r="U442" i="3" s="1"/>
  <c r="T437" i="3"/>
  <c r="U437" i="3" s="1"/>
  <c r="T435" i="3"/>
  <c r="U435" i="3" s="1"/>
  <c r="T438" i="3"/>
  <c r="U438" i="3" s="1"/>
  <c r="T436" i="3"/>
  <c r="U436" i="3" s="1"/>
  <c r="T285" i="3"/>
  <c r="U285" i="3" s="1"/>
  <c r="T286" i="3"/>
  <c r="U286" i="3" s="1"/>
  <c r="T284" i="3"/>
  <c r="U284" i="3" s="1"/>
  <c r="T288" i="3"/>
  <c r="U288" i="3" s="1"/>
  <c r="T289" i="3"/>
  <c r="U289" i="3" s="1"/>
  <c r="T287" i="3"/>
  <c r="U287" i="3" s="1"/>
  <c r="T290" i="3"/>
  <c r="U290" i="3" s="1"/>
  <c r="T283" i="3"/>
  <c r="U283" i="3" s="1"/>
  <c r="T357" i="3"/>
  <c r="U357" i="3" s="1"/>
  <c r="T358" i="3"/>
  <c r="U358" i="3" s="1"/>
  <c r="T362" i="3"/>
  <c r="U362" i="3" s="1"/>
  <c r="T359" i="3"/>
  <c r="U359" i="3" s="1"/>
  <c r="T360" i="3"/>
  <c r="U360" i="3" s="1"/>
  <c r="T355" i="3"/>
  <c r="U355" i="3" s="1"/>
  <c r="T356" i="3"/>
  <c r="U356" i="3" s="1"/>
  <c r="T361" i="3"/>
  <c r="U361" i="3" s="1"/>
  <c r="R287" i="3"/>
  <c r="R288" i="3"/>
  <c r="R285" i="3"/>
  <c r="R283" i="3"/>
  <c r="R290" i="3"/>
  <c r="R284" i="3"/>
  <c r="R289" i="3"/>
  <c r="R286" i="3"/>
  <c r="I208" i="3"/>
  <c r="C208" i="3" s="1"/>
  <c r="I205" i="3"/>
  <c r="C205" i="3" s="1"/>
  <c r="I206" i="3"/>
  <c r="C206" i="3" s="1"/>
  <c r="I203" i="3"/>
  <c r="C203" i="3" s="1"/>
  <c r="I209" i="3"/>
  <c r="C209" i="3" s="1"/>
  <c r="I210" i="3"/>
  <c r="C210" i="3" s="1"/>
  <c r="I204" i="3"/>
  <c r="C204" i="3" s="1"/>
  <c r="I207" i="3"/>
  <c r="C207" i="3" s="1"/>
  <c r="P147" i="3"/>
  <c r="P149" i="3"/>
  <c r="P153" i="3"/>
  <c r="P151" i="3"/>
  <c r="P154" i="3"/>
  <c r="P148" i="3"/>
  <c r="P152" i="3"/>
  <c r="P150" i="3"/>
  <c r="I24" i="3"/>
  <c r="C24" i="3" s="1"/>
  <c r="I23" i="3"/>
  <c r="C23" i="3" s="1"/>
  <c r="I19" i="3"/>
  <c r="C19" i="3" s="1"/>
  <c r="I20" i="3"/>
  <c r="C20" i="3" s="1"/>
  <c r="I22" i="3"/>
  <c r="C22" i="3" s="1"/>
  <c r="I25" i="3"/>
  <c r="C25" i="3" s="1"/>
  <c r="I21" i="3"/>
  <c r="C21" i="3" s="1"/>
  <c r="I26" i="3"/>
  <c r="C26" i="3" s="1"/>
  <c r="P116" i="3"/>
  <c r="P117" i="3"/>
  <c r="P120" i="3"/>
  <c r="P122" i="3"/>
  <c r="P121" i="3"/>
  <c r="P115" i="3"/>
  <c r="P119" i="3"/>
  <c r="P118" i="3"/>
  <c r="R97" i="3"/>
  <c r="S97" i="3" s="1"/>
  <c r="R94" i="3"/>
  <c r="S94" i="3" s="1"/>
  <c r="R92" i="3"/>
  <c r="S92" i="3" s="1"/>
  <c r="R91" i="3"/>
  <c r="S91" i="3" s="1"/>
  <c r="R96" i="3"/>
  <c r="S96" i="3" s="1"/>
  <c r="R95" i="3"/>
  <c r="S95" i="3" s="1"/>
  <c r="R93" i="3"/>
  <c r="S93" i="3" s="1"/>
  <c r="R98" i="3"/>
  <c r="S98" i="3" s="1"/>
  <c r="T209" i="3"/>
  <c r="U209" i="3" s="1"/>
  <c r="T207" i="3"/>
  <c r="U207" i="3" s="1"/>
  <c r="T203" i="3"/>
  <c r="U203" i="3" s="1"/>
  <c r="T206" i="3"/>
  <c r="U206" i="3" s="1"/>
  <c r="T204" i="3"/>
  <c r="U204" i="3" s="1"/>
  <c r="T205" i="3"/>
  <c r="U205" i="3" s="1"/>
  <c r="T210" i="3"/>
  <c r="U210" i="3" s="1"/>
  <c r="T208" i="3"/>
  <c r="U208" i="3" s="1"/>
  <c r="P343" i="3"/>
  <c r="P340" i="3"/>
  <c r="P344" i="3"/>
  <c r="P345" i="3"/>
  <c r="P339" i="3"/>
  <c r="P346" i="3"/>
  <c r="P341" i="3"/>
  <c r="P342" i="3"/>
  <c r="T184" i="3"/>
  <c r="U184" i="3" s="1"/>
  <c r="T180" i="3"/>
  <c r="U180" i="3" s="1"/>
  <c r="T183" i="3"/>
  <c r="U183" i="3" s="1"/>
  <c r="T179" i="3"/>
  <c r="U179" i="3" s="1"/>
  <c r="T186" i="3"/>
  <c r="U186" i="3" s="1"/>
  <c r="T182" i="3"/>
  <c r="U182" i="3" s="1"/>
  <c r="T181" i="3"/>
  <c r="U181" i="3" s="1"/>
  <c r="T185" i="3"/>
  <c r="U185" i="3" s="1"/>
  <c r="R458" i="3"/>
  <c r="R453" i="3"/>
  <c r="R457" i="3"/>
  <c r="R455" i="3"/>
  <c r="R451" i="3"/>
  <c r="R454" i="3"/>
  <c r="R452" i="3"/>
  <c r="R456" i="3"/>
  <c r="I12" i="3"/>
  <c r="C12" i="3" s="1"/>
  <c r="I14" i="3"/>
  <c r="C14" i="3" s="1"/>
  <c r="I17" i="3"/>
  <c r="C17" i="3" s="1"/>
  <c r="I18" i="3"/>
  <c r="C18" i="3" s="1"/>
  <c r="I13" i="3"/>
  <c r="C13" i="3" s="1"/>
  <c r="C15" i="3"/>
  <c r="I16" i="3"/>
  <c r="C16" i="3" s="1"/>
  <c r="I11" i="3"/>
  <c r="C11" i="3" s="1"/>
  <c r="P213" i="3"/>
  <c r="P212" i="3"/>
  <c r="P214" i="3"/>
  <c r="P218" i="3"/>
  <c r="P216" i="3"/>
  <c r="P215" i="3"/>
  <c r="P211" i="3"/>
  <c r="P217" i="3"/>
  <c r="R473" i="3"/>
  <c r="S473" i="3" s="1"/>
  <c r="R468" i="3"/>
  <c r="S468" i="3" s="1"/>
  <c r="R467" i="3"/>
  <c r="S467" i="3" s="1"/>
  <c r="R474" i="3"/>
  <c r="S474" i="3" s="1"/>
  <c r="R469" i="3"/>
  <c r="S469" i="3" s="1"/>
  <c r="R470" i="3"/>
  <c r="S470" i="3" s="1"/>
  <c r="R471" i="3"/>
  <c r="S471" i="3" s="1"/>
  <c r="R472" i="3"/>
  <c r="S472" i="3" s="1"/>
  <c r="T411" i="3"/>
  <c r="U411" i="3" s="1"/>
  <c r="T418" i="3"/>
  <c r="U418" i="3" s="1"/>
  <c r="T414" i="3"/>
  <c r="U414" i="3" s="1"/>
  <c r="T413" i="3"/>
  <c r="U413" i="3" s="1"/>
  <c r="T416" i="3"/>
  <c r="U416" i="3" s="1"/>
  <c r="T415" i="3"/>
  <c r="U415" i="3" s="1"/>
  <c r="T412" i="3"/>
  <c r="U412" i="3" s="1"/>
  <c r="T417" i="3"/>
  <c r="U417" i="3" s="1"/>
  <c r="R251" i="3"/>
  <c r="R254" i="3"/>
  <c r="R255" i="3"/>
  <c r="R256" i="3"/>
  <c r="R257" i="3"/>
  <c r="R258" i="3"/>
  <c r="R252" i="3"/>
  <c r="R253" i="3"/>
  <c r="P385" i="3"/>
  <c r="P386" i="3"/>
  <c r="P383" i="3"/>
  <c r="P380" i="3"/>
  <c r="P384" i="3"/>
  <c r="P379" i="3"/>
  <c r="P381" i="3"/>
  <c r="P382" i="3"/>
  <c r="R144" i="3"/>
  <c r="S144" i="3" s="1"/>
  <c r="R143" i="3"/>
  <c r="S143" i="3" s="1"/>
  <c r="R146" i="3"/>
  <c r="S146" i="3" s="1"/>
  <c r="R139" i="3"/>
  <c r="S139" i="3" s="1"/>
  <c r="R140" i="3"/>
  <c r="S140" i="3" s="1"/>
  <c r="R145" i="3"/>
  <c r="S145" i="3" s="1"/>
  <c r="R142" i="3"/>
  <c r="S142" i="3" s="1"/>
  <c r="R141" i="3"/>
  <c r="S141" i="3" s="1"/>
  <c r="R417" i="3"/>
  <c r="R416" i="3"/>
  <c r="R414" i="3"/>
  <c r="R412" i="3"/>
  <c r="R413" i="3"/>
  <c r="R411" i="3"/>
  <c r="R415" i="3"/>
  <c r="R418" i="3"/>
  <c r="I84" i="3"/>
  <c r="C84" i="3" s="1"/>
  <c r="I87" i="3"/>
  <c r="C87" i="3" s="1"/>
  <c r="I90" i="3"/>
  <c r="C90" i="3" s="1"/>
  <c r="I85" i="3"/>
  <c r="C85" i="3" s="1"/>
  <c r="I88" i="3"/>
  <c r="C88" i="3" s="1"/>
  <c r="I89" i="3"/>
  <c r="C89" i="3" s="1"/>
  <c r="I86" i="3"/>
  <c r="C86" i="3" s="1"/>
  <c r="I83" i="3"/>
  <c r="C83" i="3" s="1"/>
  <c r="P27" i="3"/>
  <c r="P31" i="3"/>
  <c r="P33" i="3"/>
  <c r="P30" i="3"/>
  <c r="P34" i="3"/>
  <c r="P32" i="3"/>
  <c r="P28" i="3"/>
  <c r="P29" i="3"/>
  <c r="P393" i="3"/>
  <c r="P389" i="3"/>
  <c r="P387" i="3"/>
  <c r="P392" i="3"/>
  <c r="P391" i="3"/>
  <c r="P390" i="3"/>
  <c r="P388" i="3"/>
  <c r="P394" i="3"/>
  <c r="I58" i="3"/>
  <c r="C58" i="3" s="1"/>
  <c r="I52" i="3"/>
  <c r="C52" i="3" s="1"/>
  <c r="I53" i="3"/>
  <c r="C53" i="3" s="1"/>
  <c r="I54" i="3"/>
  <c r="C54" i="3" s="1"/>
  <c r="I56" i="3"/>
  <c r="C56" i="3" s="1"/>
  <c r="I55" i="3"/>
  <c r="C55" i="3" s="1"/>
  <c r="I51" i="3"/>
  <c r="C51" i="3" s="1"/>
  <c r="I57" i="3"/>
  <c r="C57" i="3" s="1"/>
  <c r="P84" i="3"/>
  <c r="P88" i="3"/>
  <c r="P85" i="3"/>
  <c r="P90" i="3"/>
  <c r="P87" i="3"/>
  <c r="P89" i="3"/>
  <c r="P83" i="3"/>
  <c r="P86" i="3"/>
  <c r="P335" i="3"/>
  <c r="P331" i="3"/>
  <c r="P337" i="3"/>
  <c r="P338" i="3"/>
  <c r="P334" i="3"/>
  <c r="P333" i="3"/>
  <c r="P336" i="3"/>
  <c r="P332" i="3"/>
  <c r="P161" i="3"/>
  <c r="P157" i="3"/>
  <c r="P158" i="3"/>
  <c r="P155" i="3"/>
  <c r="P156" i="3"/>
  <c r="P162" i="3"/>
  <c r="P159" i="3"/>
  <c r="P160" i="3"/>
  <c r="T237" i="3"/>
  <c r="U237" i="3" s="1"/>
  <c r="T242" i="3"/>
  <c r="U242" i="3" s="1"/>
  <c r="T240" i="3"/>
  <c r="U240" i="3" s="1"/>
  <c r="T235" i="3"/>
  <c r="U235" i="3" s="1"/>
  <c r="T236" i="3"/>
  <c r="U236" i="3" s="1"/>
  <c r="T238" i="3"/>
  <c r="U238" i="3" s="1"/>
  <c r="T241" i="3"/>
  <c r="U241" i="3" s="1"/>
  <c r="T239" i="3"/>
  <c r="U239" i="3" s="1"/>
  <c r="R235" i="3"/>
  <c r="S235" i="3" s="1"/>
  <c r="R237" i="3"/>
  <c r="S237" i="3" s="1"/>
  <c r="R239" i="3"/>
  <c r="S239" i="3" s="1"/>
  <c r="R242" i="3"/>
  <c r="S242" i="3" s="1"/>
  <c r="R238" i="3"/>
  <c r="S238" i="3" s="1"/>
  <c r="R236" i="3"/>
  <c r="S236" i="3" s="1"/>
  <c r="R241" i="3"/>
  <c r="S241" i="3" s="1"/>
  <c r="R240" i="3"/>
  <c r="S240" i="3" s="1"/>
  <c r="T448" i="3"/>
  <c r="U448" i="3" s="1"/>
  <c r="T444" i="3"/>
  <c r="U444" i="3" s="1"/>
  <c r="T443" i="3"/>
  <c r="U443" i="3" s="1"/>
  <c r="T450" i="3"/>
  <c r="U450" i="3" s="1"/>
  <c r="T445" i="3"/>
  <c r="U445" i="3" s="1"/>
  <c r="T446" i="3"/>
  <c r="U446" i="3" s="1"/>
  <c r="T447" i="3"/>
  <c r="U447" i="3" s="1"/>
  <c r="T449" i="3"/>
  <c r="U449" i="3" s="1"/>
  <c r="P371" i="3"/>
  <c r="P373" i="3"/>
  <c r="P374" i="3"/>
  <c r="P375" i="3"/>
  <c r="P372" i="3"/>
  <c r="P376" i="3"/>
  <c r="P377" i="3"/>
  <c r="P378" i="3"/>
  <c r="T216" i="3"/>
  <c r="U216" i="3" s="1"/>
  <c r="T211" i="3"/>
  <c r="U211" i="3" s="1"/>
  <c r="T218" i="3"/>
  <c r="U218" i="3" s="1"/>
  <c r="T214" i="3"/>
  <c r="U214" i="3" s="1"/>
  <c r="T212" i="3"/>
  <c r="U212" i="3" s="1"/>
  <c r="T213" i="3"/>
  <c r="U213" i="3" s="1"/>
  <c r="T217" i="3"/>
  <c r="U217" i="3" s="1"/>
  <c r="T215" i="3"/>
  <c r="U215" i="3" s="1"/>
  <c r="P447" i="3"/>
  <c r="P444" i="3"/>
  <c r="P446" i="3"/>
  <c r="P450" i="3"/>
  <c r="P449" i="3"/>
  <c r="P448" i="3"/>
  <c r="P443" i="3"/>
  <c r="P445" i="3"/>
  <c r="R405" i="3"/>
  <c r="R407" i="3"/>
  <c r="R403" i="3"/>
  <c r="R408" i="3"/>
  <c r="R406" i="3"/>
  <c r="R409" i="3"/>
  <c r="R404" i="3"/>
  <c r="R410" i="3"/>
  <c r="C6" i="3"/>
  <c r="I10" i="3"/>
  <c r="C10" i="3" s="1"/>
  <c r="I3" i="3"/>
  <c r="C3" i="3" s="1"/>
  <c r="I8" i="3"/>
  <c r="C8" i="3" s="1"/>
  <c r="I4" i="3"/>
  <c r="C4" i="3" s="1"/>
  <c r="I7" i="3"/>
  <c r="C7" i="3" s="1"/>
  <c r="I5" i="3"/>
  <c r="C5" i="3" s="1"/>
  <c r="I9" i="3"/>
  <c r="C9" i="3" s="1"/>
  <c r="P323" i="3"/>
  <c r="P325" i="3"/>
  <c r="P326" i="3"/>
  <c r="P328" i="3"/>
  <c r="P327" i="3"/>
  <c r="P330" i="3"/>
  <c r="P324" i="3"/>
  <c r="P329" i="3"/>
  <c r="R26" i="3"/>
  <c r="S26" i="3" s="1"/>
  <c r="R19" i="3"/>
  <c r="S19" i="3" s="1"/>
  <c r="R24" i="3"/>
  <c r="S24" i="3" s="1"/>
  <c r="R25" i="3"/>
  <c r="S25" i="3" s="1"/>
  <c r="R23" i="3"/>
  <c r="S23" i="3" s="1"/>
  <c r="R21" i="3"/>
  <c r="S21" i="3" s="1"/>
  <c r="R22" i="3"/>
  <c r="S22" i="3" s="1"/>
  <c r="R20" i="3"/>
  <c r="S20" i="3" s="1"/>
  <c r="I129" i="3"/>
  <c r="C129" i="3" s="1"/>
  <c r="I124" i="3"/>
  <c r="C124" i="3" s="1"/>
  <c r="I127" i="3"/>
  <c r="C127" i="3" s="1"/>
  <c r="I123" i="3"/>
  <c r="C123" i="3" s="1"/>
  <c r="I126" i="3"/>
  <c r="C126" i="3" s="1"/>
  <c r="I128" i="3"/>
  <c r="C128" i="3" s="1"/>
  <c r="I130" i="3"/>
  <c r="C130" i="3" s="1"/>
  <c r="I125" i="3"/>
  <c r="C125" i="3" s="1"/>
  <c r="P25" i="3"/>
  <c r="P24" i="3"/>
  <c r="P23" i="3"/>
  <c r="P26" i="3"/>
  <c r="P20" i="3"/>
  <c r="P22" i="3"/>
  <c r="P21" i="3"/>
  <c r="P19" i="3"/>
  <c r="R105" i="3"/>
  <c r="S105" i="3" s="1"/>
  <c r="R104" i="3"/>
  <c r="S104" i="3" s="1"/>
  <c r="R103" i="3"/>
  <c r="S103" i="3" s="1"/>
  <c r="R100" i="3"/>
  <c r="S100" i="3" s="1"/>
  <c r="R102" i="3"/>
  <c r="S102" i="3" s="1"/>
  <c r="R101" i="3"/>
  <c r="S101" i="3" s="1"/>
  <c r="R99" i="3"/>
  <c r="S99" i="3" s="1"/>
  <c r="R106" i="3"/>
  <c r="S106" i="3" s="1"/>
  <c r="P422" i="3"/>
  <c r="P424" i="3"/>
  <c r="P421" i="3"/>
  <c r="P425" i="3"/>
  <c r="P420" i="3"/>
  <c r="P423" i="3"/>
  <c r="P426" i="3"/>
  <c r="P419" i="3"/>
  <c r="T226" i="3"/>
  <c r="U226" i="3" s="1"/>
  <c r="T224" i="3"/>
  <c r="U224" i="3" s="1"/>
  <c r="T225" i="3"/>
  <c r="U225" i="3" s="1"/>
  <c r="T221" i="3"/>
  <c r="U221" i="3" s="1"/>
  <c r="T219" i="3"/>
  <c r="U219" i="3" s="1"/>
  <c r="T223" i="3"/>
  <c r="U223" i="3" s="1"/>
  <c r="T222" i="3"/>
  <c r="U222" i="3" s="1"/>
  <c r="T220" i="3"/>
  <c r="U220" i="3" s="1"/>
  <c r="P221" i="3"/>
  <c r="P220" i="3"/>
  <c r="P225" i="3"/>
  <c r="P224" i="3"/>
  <c r="P226" i="3"/>
  <c r="P222" i="3"/>
  <c r="P219" i="3"/>
  <c r="P223" i="3"/>
  <c r="P7" i="3"/>
  <c r="P6" i="3"/>
  <c r="P5" i="3"/>
  <c r="P8" i="3"/>
  <c r="P10" i="3"/>
  <c r="P9" i="3"/>
  <c r="P3" i="3"/>
  <c r="P288" i="3"/>
  <c r="P284" i="3"/>
  <c r="P287" i="3"/>
  <c r="P290" i="3"/>
  <c r="P286" i="3"/>
  <c r="P283" i="3"/>
  <c r="P285" i="3"/>
  <c r="P289" i="3"/>
  <c r="R123" i="3"/>
  <c r="S123" i="3" s="1"/>
  <c r="R129" i="3"/>
  <c r="S129" i="3" s="1"/>
  <c r="R125" i="3"/>
  <c r="S125" i="3" s="1"/>
  <c r="R127" i="3"/>
  <c r="S127" i="3" s="1"/>
  <c r="R124" i="3"/>
  <c r="S124" i="3" s="1"/>
  <c r="R126" i="3"/>
  <c r="S126" i="3" s="1"/>
  <c r="R128" i="3"/>
  <c r="S128" i="3" s="1"/>
  <c r="R130" i="3"/>
  <c r="S130" i="3" s="1"/>
  <c r="R462" i="3"/>
  <c r="R464" i="3"/>
  <c r="R461" i="3"/>
  <c r="R465" i="3"/>
  <c r="R460" i="3"/>
  <c r="R463" i="3"/>
  <c r="R466" i="3"/>
  <c r="R459" i="3"/>
  <c r="I99" i="3"/>
  <c r="C99" i="3" s="1"/>
  <c r="I100" i="3"/>
  <c r="C100" i="3" s="1"/>
  <c r="I102" i="3"/>
  <c r="C102" i="3" s="1"/>
  <c r="I106" i="3"/>
  <c r="C106" i="3" s="1"/>
  <c r="I103" i="3"/>
  <c r="C103" i="3" s="1"/>
  <c r="I105" i="3"/>
  <c r="C105" i="3" s="1"/>
  <c r="I101" i="3"/>
  <c r="C101" i="3" s="1"/>
  <c r="I104" i="3"/>
  <c r="C104" i="3" s="1"/>
  <c r="T86" i="3"/>
  <c r="U86" i="3" s="1"/>
  <c r="T89" i="3"/>
  <c r="U89" i="3" s="1"/>
  <c r="T88" i="3"/>
  <c r="U88" i="3" s="1"/>
  <c r="T84" i="3"/>
  <c r="U84" i="3" s="1"/>
  <c r="T83" i="3"/>
  <c r="U83" i="3" s="1"/>
  <c r="T87" i="3"/>
  <c r="U87" i="3" s="1"/>
  <c r="T85" i="3"/>
  <c r="U85" i="3" s="1"/>
  <c r="T90" i="3"/>
  <c r="U90" i="3" s="1"/>
  <c r="R430" i="3"/>
  <c r="R428" i="3"/>
  <c r="R433" i="3"/>
  <c r="R434" i="3"/>
  <c r="R429" i="3"/>
  <c r="R427" i="3"/>
  <c r="R432" i="3"/>
  <c r="R431" i="3"/>
  <c r="P142" i="3"/>
  <c r="P144" i="3"/>
  <c r="P145" i="3"/>
  <c r="P146" i="3"/>
  <c r="P140" i="3"/>
  <c r="P141" i="3"/>
  <c r="P139" i="3"/>
  <c r="P143" i="3"/>
  <c r="T347" i="3"/>
  <c r="U347" i="3" s="1"/>
  <c r="T352" i="3"/>
  <c r="U352" i="3" s="1"/>
  <c r="T353" i="3"/>
  <c r="U353" i="3" s="1"/>
  <c r="T349" i="3"/>
  <c r="U349" i="3" s="1"/>
  <c r="T350" i="3"/>
  <c r="U350" i="3" s="1"/>
  <c r="T354" i="3"/>
  <c r="U354" i="3" s="1"/>
  <c r="T351" i="3"/>
  <c r="U351" i="3" s="1"/>
  <c r="T348" i="3"/>
  <c r="U348" i="3" s="1"/>
  <c r="R214" i="3"/>
  <c r="S214" i="3" s="1"/>
  <c r="R216" i="3"/>
  <c r="S216" i="3" s="1"/>
  <c r="R218" i="3"/>
  <c r="S218" i="3" s="1"/>
  <c r="R213" i="3"/>
  <c r="S213" i="3" s="1"/>
  <c r="R211" i="3"/>
  <c r="S211" i="3" s="1"/>
  <c r="R212" i="3"/>
  <c r="S212" i="3" s="1"/>
  <c r="R215" i="3"/>
  <c r="S215" i="3" s="1"/>
  <c r="R217" i="3"/>
  <c r="S217" i="3" s="1"/>
  <c r="P11" i="3"/>
  <c r="P12" i="3"/>
  <c r="P13" i="3"/>
  <c r="P14" i="3"/>
  <c r="P15" i="3"/>
  <c r="P16" i="3"/>
  <c r="P18" i="3"/>
  <c r="P17" i="3"/>
  <c r="I220" i="3"/>
  <c r="C220" i="3" s="1"/>
  <c r="I226" i="3"/>
  <c r="C226" i="3" s="1"/>
  <c r="I219" i="3"/>
  <c r="C219" i="3" s="1"/>
  <c r="I222" i="3"/>
  <c r="C222" i="3" s="1"/>
  <c r="I224" i="3"/>
  <c r="C224" i="3" s="1"/>
  <c r="I223" i="3"/>
  <c r="C223" i="3" s="1"/>
  <c r="I225" i="3"/>
  <c r="C225" i="3" s="1"/>
  <c r="I221" i="3"/>
  <c r="C221" i="3" s="1"/>
  <c r="T49" i="3"/>
  <c r="U49" i="3" s="1"/>
  <c r="T48" i="3"/>
  <c r="U48" i="3" s="1"/>
  <c r="T44" i="3"/>
  <c r="U44" i="3" s="1"/>
  <c r="T45" i="3"/>
  <c r="U45" i="3" s="1"/>
  <c r="T50" i="3"/>
  <c r="U50" i="3" s="1"/>
  <c r="T47" i="3"/>
  <c r="U47" i="3" s="1"/>
  <c r="T43" i="3"/>
  <c r="U43" i="3" s="1"/>
  <c r="T46" i="3"/>
  <c r="U46" i="3" s="1"/>
  <c r="T431" i="3"/>
  <c r="U431" i="3" s="1"/>
  <c r="T432" i="3"/>
  <c r="U432" i="3" s="1"/>
  <c r="T434" i="3"/>
  <c r="U434" i="3" s="1"/>
  <c r="T429" i="3"/>
  <c r="U429" i="3" s="1"/>
  <c r="T430" i="3"/>
  <c r="U430" i="3" s="1"/>
  <c r="T427" i="3"/>
  <c r="U427" i="3" s="1"/>
  <c r="T428" i="3"/>
  <c r="U428" i="3" s="1"/>
  <c r="T433" i="3"/>
  <c r="U433" i="3" s="1"/>
  <c r="P200" i="3"/>
  <c r="P202" i="3"/>
  <c r="P197" i="3"/>
  <c r="P199" i="3"/>
  <c r="P196" i="3"/>
  <c r="P198" i="3"/>
  <c r="P195" i="3"/>
  <c r="P201" i="3"/>
  <c r="I354" i="3"/>
  <c r="C354" i="3" s="1"/>
  <c r="I352" i="3"/>
  <c r="C352" i="3" s="1"/>
  <c r="I349" i="3"/>
  <c r="C349" i="3" s="1"/>
  <c r="I348" i="3"/>
  <c r="C348" i="3" s="1"/>
  <c r="I353" i="3"/>
  <c r="C353" i="3" s="1"/>
  <c r="I351" i="3"/>
  <c r="C351" i="3" s="1"/>
  <c r="I347" i="3"/>
  <c r="C347" i="3" s="1"/>
  <c r="I350" i="3"/>
  <c r="C350" i="3" s="1"/>
  <c r="T276" i="3"/>
  <c r="U276" i="3" s="1"/>
  <c r="T280" i="3"/>
  <c r="U280" i="3" s="1"/>
  <c r="T282" i="3"/>
  <c r="U282" i="3" s="1"/>
  <c r="T275" i="3"/>
  <c r="U275" i="3" s="1"/>
  <c r="T281" i="3"/>
  <c r="U281" i="3" s="1"/>
  <c r="T278" i="3"/>
  <c r="U278" i="3" s="1"/>
  <c r="T279" i="3"/>
  <c r="U279" i="3" s="1"/>
  <c r="T277" i="3"/>
  <c r="U277" i="3" s="1"/>
  <c r="R189" i="3"/>
  <c r="S189" i="3" s="1"/>
  <c r="R193" i="3"/>
  <c r="S193" i="3" s="1"/>
  <c r="R190" i="3"/>
  <c r="S190" i="3" s="1"/>
  <c r="R194" i="3"/>
  <c r="S194" i="3" s="1"/>
  <c r="R192" i="3"/>
  <c r="S192" i="3" s="1"/>
  <c r="R191" i="3"/>
  <c r="S191" i="3" s="1"/>
  <c r="R187" i="3"/>
  <c r="S187" i="3" s="1"/>
  <c r="R188" i="3"/>
  <c r="S188" i="3" s="1"/>
  <c r="R44" i="3"/>
  <c r="S44" i="3" s="1"/>
  <c r="R47" i="3"/>
  <c r="S47" i="3" s="1"/>
  <c r="R50" i="3"/>
  <c r="S50" i="3" s="1"/>
  <c r="R48" i="3"/>
  <c r="S48" i="3" s="1"/>
  <c r="R49" i="3"/>
  <c r="S49" i="3" s="1"/>
  <c r="R45" i="3"/>
  <c r="S45" i="3" s="1"/>
  <c r="R43" i="3"/>
  <c r="S43" i="3" s="1"/>
  <c r="R46" i="3"/>
  <c r="S46" i="3" s="1"/>
  <c r="T107" i="3"/>
  <c r="U107" i="3" s="1"/>
  <c r="T113" i="3"/>
  <c r="U113" i="3" s="1"/>
  <c r="T108" i="3"/>
  <c r="U108" i="3" s="1"/>
  <c r="T114" i="3"/>
  <c r="U114" i="3" s="1"/>
  <c r="T111" i="3"/>
  <c r="U111" i="3" s="1"/>
  <c r="T109" i="3"/>
  <c r="U109" i="3" s="1"/>
  <c r="T112" i="3"/>
  <c r="U112" i="3" s="1"/>
  <c r="T110" i="3"/>
  <c r="U110" i="3" s="1"/>
  <c r="P413" i="3"/>
  <c r="P411" i="3"/>
  <c r="P414" i="3"/>
  <c r="P417" i="3"/>
  <c r="P418" i="3"/>
  <c r="P412" i="3"/>
  <c r="P415" i="3"/>
  <c r="P416" i="3"/>
  <c r="P203" i="3"/>
  <c r="P208" i="3"/>
  <c r="P204" i="3"/>
  <c r="P206" i="3"/>
  <c r="P205" i="3"/>
  <c r="P210" i="3"/>
  <c r="P207" i="3"/>
  <c r="P209" i="3"/>
  <c r="I93" i="3"/>
  <c r="C93" i="3" s="1"/>
  <c r="I95" i="3"/>
  <c r="C95" i="3" s="1"/>
  <c r="I97" i="3"/>
  <c r="C97" i="3" s="1"/>
  <c r="I96" i="3"/>
  <c r="C96" i="3" s="1"/>
  <c r="I94" i="3"/>
  <c r="C94" i="3" s="1"/>
  <c r="I91" i="3"/>
  <c r="C91" i="3" s="1"/>
  <c r="I92" i="3"/>
  <c r="C92" i="3" s="1"/>
  <c r="I98" i="3"/>
  <c r="C98" i="3" s="1"/>
  <c r="I250" i="3"/>
  <c r="C250" i="3" s="1"/>
  <c r="I247" i="3"/>
  <c r="C247" i="3" s="1"/>
  <c r="I246" i="3"/>
  <c r="C246" i="3" s="1"/>
  <c r="I245" i="3"/>
  <c r="C245" i="3" s="1"/>
  <c r="I249" i="3"/>
  <c r="C249" i="3" s="1"/>
  <c r="I243" i="3"/>
  <c r="C243" i="3" s="1"/>
  <c r="I248" i="3"/>
  <c r="C248" i="3" s="1"/>
  <c r="I244" i="3"/>
  <c r="C244" i="3" s="1"/>
  <c r="R424" i="3"/>
  <c r="R425" i="3"/>
  <c r="R420" i="3"/>
  <c r="R423" i="3"/>
  <c r="R426" i="3"/>
  <c r="R422" i="3"/>
  <c r="R419" i="3"/>
  <c r="R421" i="3"/>
  <c r="I370" i="3"/>
  <c r="C370" i="3" s="1"/>
  <c r="I369" i="3"/>
  <c r="C369" i="3" s="1"/>
  <c r="I364" i="3"/>
  <c r="C364" i="3" s="1"/>
  <c r="I367" i="3"/>
  <c r="C367" i="3" s="1"/>
  <c r="I363" i="3"/>
  <c r="C363" i="3" s="1"/>
  <c r="I368" i="3"/>
  <c r="C368" i="3" s="1"/>
  <c r="I366" i="3"/>
  <c r="C366" i="3" s="1"/>
  <c r="I365" i="3"/>
  <c r="C365" i="3" s="1"/>
  <c r="R338" i="3"/>
  <c r="S338" i="3" s="1"/>
  <c r="R334" i="3"/>
  <c r="S334" i="3" s="1"/>
  <c r="R332" i="3"/>
  <c r="S332" i="3" s="1"/>
  <c r="R336" i="3"/>
  <c r="S336" i="3" s="1"/>
  <c r="R333" i="3"/>
  <c r="S333" i="3" s="1"/>
  <c r="R331" i="3"/>
  <c r="S331" i="3" s="1"/>
  <c r="R335" i="3"/>
  <c r="S335" i="3" s="1"/>
  <c r="R337" i="3"/>
  <c r="S337" i="3" s="1"/>
  <c r="T28" i="3"/>
  <c r="U28" i="3" s="1"/>
  <c r="T31" i="3"/>
  <c r="U31" i="3" s="1"/>
  <c r="T34" i="3"/>
  <c r="U34" i="3" s="1"/>
  <c r="T30" i="3"/>
  <c r="U30" i="3" s="1"/>
  <c r="T33" i="3"/>
  <c r="U33" i="3" s="1"/>
  <c r="T27" i="3"/>
  <c r="U27" i="3" s="1"/>
  <c r="T29" i="3"/>
  <c r="U29" i="3" s="1"/>
  <c r="T32" i="3"/>
  <c r="U32" i="3" s="1"/>
  <c r="T131" i="3"/>
  <c r="U131" i="3" s="1"/>
  <c r="T135" i="3"/>
  <c r="U135" i="3" s="1"/>
  <c r="T134" i="3"/>
  <c r="U134" i="3" s="1"/>
  <c r="T137" i="3"/>
  <c r="U137" i="3" s="1"/>
  <c r="T133" i="3"/>
  <c r="U133" i="3" s="1"/>
  <c r="T136" i="3"/>
  <c r="U136" i="3" s="1"/>
  <c r="T138" i="3"/>
  <c r="U138" i="3" s="1"/>
  <c r="T132" i="3"/>
  <c r="U132" i="3" s="1"/>
  <c r="R275" i="3"/>
  <c r="R281" i="3"/>
  <c r="R277" i="3"/>
  <c r="R278" i="3"/>
  <c r="R279" i="3"/>
  <c r="R276" i="3"/>
  <c r="R280" i="3"/>
  <c r="R282" i="3"/>
  <c r="P458" i="3"/>
  <c r="P457" i="3"/>
  <c r="P456" i="3"/>
  <c r="P454" i="3"/>
  <c r="P455" i="3"/>
  <c r="P451" i="3"/>
  <c r="P452" i="3"/>
  <c r="P453" i="3"/>
  <c r="I43" i="3"/>
  <c r="C43" i="3" s="1"/>
  <c r="I44" i="3"/>
  <c r="C44" i="3" s="1"/>
  <c r="I49" i="3"/>
  <c r="C49" i="3" s="1"/>
  <c r="I46" i="3"/>
  <c r="C46" i="3" s="1"/>
  <c r="I47" i="3"/>
  <c r="C47" i="3" s="1"/>
  <c r="I48" i="3"/>
  <c r="C48" i="3" s="1"/>
  <c r="I50" i="3"/>
  <c r="C50" i="3" s="1"/>
  <c r="I45" i="3"/>
  <c r="C45" i="3" s="1"/>
  <c r="R5" i="3"/>
  <c r="S5" i="3" s="1"/>
  <c r="R3" i="3"/>
  <c r="S3" i="3" s="1"/>
  <c r="R7" i="3"/>
  <c r="S7" i="3" s="1"/>
  <c r="R8" i="3"/>
  <c r="S8" i="3" s="1"/>
  <c r="R10" i="3"/>
  <c r="S10" i="3" s="1"/>
  <c r="R9" i="3"/>
  <c r="S9" i="3" s="1"/>
  <c r="R6" i="3"/>
  <c r="S6" i="3" s="1"/>
  <c r="R4" i="3"/>
  <c r="S4" i="3" s="1"/>
  <c r="T273" i="3"/>
  <c r="U273" i="3" s="1"/>
  <c r="T270" i="3"/>
  <c r="U270" i="3" s="1"/>
  <c r="T267" i="3"/>
  <c r="U267" i="3" s="1"/>
  <c r="T268" i="3"/>
  <c r="U268" i="3" s="1"/>
  <c r="T272" i="3"/>
  <c r="U272" i="3" s="1"/>
  <c r="T269" i="3"/>
  <c r="U269" i="3" s="1"/>
  <c r="T271" i="3"/>
  <c r="U271" i="3" s="1"/>
  <c r="T274" i="3"/>
  <c r="U274" i="3" s="1"/>
  <c r="T339" i="3"/>
  <c r="U339" i="3" s="1"/>
  <c r="T342" i="3"/>
  <c r="U342" i="3" s="1"/>
  <c r="T343" i="3"/>
  <c r="U343" i="3" s="1"/>
  <c r="T340" i="3"/>
  <c r="U340" i="3" s="1"/>
  <c r="T344" i="3"/>
  <c r="U344" i="3" s="1"/>
  <c r="T346" i="3"/>
  <c r="U346" i="3" s="1"/>
  <c r="T341" i="3"/>
  <c r="U341" i="3" s="1"/>
  <c r="T345" i="3"/>
  <c r="U345" i="3" s="1"/>
  <c r="T75" i="3"/>
  <c r="U75" i="3" s="1"/>
  <c r="T76" i="3"/>
  <c r="U76" i="3" s="1"/>
  <c r="T78" i="3"/>
  <c r="U78" i="3" s="1"/>
  <c r="T82" i="3"/>
  <c r="U82" i="3" s="1"/>
  <c r="T80" i="3"/>
  <c r="U80" i="3" s="1"/>
  <c r="T77" i="3"/>
  <c r="U77" i="3" s="1"/>
  <c r="T79" i="3"/>
  <c r="U79" i="3" s="1"/>
  <c r="T81" i="3"/>
  <c r="U81" i="3" s="1"/>
  <c r="T318" i="3"/>
  <c r="U318" i="3" s="1"/>
  <c r="T321" i="3"/>
  <c r="U321" i="3" s="1"/>
  <c r="T322" i="3"/>
  <c r="U322" i="3" s="1"/>
  <c r="T320" i="3"/>
  <c r="U320" i="3" s="1"/>
  <c r="T315" i="3"/>
  <c r="U315" i="3" s="1"/>
  <c r="T316" i="3"/>
  <c r="U316" i="3" s="1"/>
  <c r="T317" i="3"/>
  <c r="U317" i="3" s="1"/>
  <c r="T319" i="3"/>
  <c r="U319" i="3" s="1"/>
  <c r="T249" i="3"/>
  <c r="U249" i="3" s="1"/>
  <c r="T244" i="3"/>
  <c r="U244" i="3" s="1"/>
  <c r="T245" i="3"/>
  <c r="U245" i="3" s="1"/>
  <c r="T248" i="3"/>
  <c r="U248" i="3" s="1"/>
  <c r="T247" i="3"/>
  <c r="U247" i="3" s="1"/>
  <c r="T246" i="3"/>
  <c r="U246" i="3" s="1"/>
  <c r="T243" i="3"/>
  <c r="U243" i="3" s="1"/>
  <c r="T250" i="3"/>
  <c r="U250" i="3" s="1"/>
  <c r="T52" i="3"/>
  <c r="U52" i="3" s="1"/>
  <c r="T56" i="3"/>
  <c r="U56" i="3" s="1"/>
  <c r="T53" i="3"/>
  <c r="U53" i="3" s="1"/>
  <c r="T54" i="3"/>
  <c r="U54" i="3" s="1"/>
  <c r="T55" i="3"/>
  <c r="U55" i="3" s="1"/>
  <c r="T57" i="3"/>
  <c r="U57" i="3" s="1"/>
  <c r="T51" i="3"/>
  <c r="U51" i="3" s="1"/>
  <c r="T58" i="3"/>
  <c r="U58" i="3" s="1"/>
  <c r="I79" i="3"/>
  <c r="C79" i="3" s="1"/>
  <c r="I77" i="3"/>
  <c r="C77" i="3" s="1"/>
  <c r="I80" i="3"/>
  <c r="C80" i="3" s="1"/>
  <c r="I78" i="3"/>
  <c r="C78" i="3" s="1"/>
  <c r="I75" i="3"/>
  <c r="C75" i="3" s="1"/>
  <c r="I76" i="3"/>
  <c r="C76" i="3" s="1"/>
  <c r="I82" i="3"/>
  <c r="C82" i="3" s="1"/>
  <c r="I81" i="3"/>
  <c r="C81" i="3" s="1"/>
  <c r="R435" i="3"/>
  <c r="S435" i="3" s="1"/>
  <c r="R439" i="3"/>
  <c r="S439" i="3" s="1"/>
  <c r="R440" i="3"/>
  <c r="S440" i="3" s="1"/>
  <c r="R442" i="3"/>
  <c r="S442" i="3" s="1"/>
  <c r="R441" i="3"/>
  <c r="S441" i="3" s="1"/>
  <c r="R438" i="3"/>
  <c r="S438" i="3" s="1"/>
  <c r="R436" i="3"/>
  <c r="S436" i="3" s="1"/>
  <c r="R437" i="3"/>
  <c r="S437" i="3" s="1"/>
  <c r="I216" i="3"/>
  <c r="C216" i="3" s="1"/>
  <c r="I215" i="3"/>
  <c r="C215" i="3" s="1"/>
  <c r="I217" i="3"/>
  <c r="C217" i="3" s="1"/>
  <c r="I218" i="3"/>
  <c r="C218" i="3" s="1"/>
  <c r="I214" i="3"/>
  <c r="C214" i="3" s="1"/>
  <c r="I212" i="3"/>
  <c r="C212" i="3" s="1"/>
  <c r="I211" i="3"/>
  <c r="C211" i="3" s="1"/>
  <c r="I213" i="3"/>
  <c r="C213" i="3" s="1"/>
  <c r="R381" i="3"/>
  <c r="S381" i="3" s="1"/>
  <c r="R383" i="3"/>
  <c r="S383" i="3" s="1"/>
  <c r="R386" i="3"/>
  <c r="S386" i="3" s="1"/>
  <c r="R379" i="3"/>
  <c r="S379" i="3" s="1"/>
  <c r="R385" i="3"/>
  <c r="S385" i="3" s="1"/>
  <c r="R380" i="3"/>
  <c r="S380" i="3" s="1"/>
  <c r="R382" i="3"/>
  <c r="S382" i="3" s="1"/>
  <c r="R384" i="3"/>
  <c r="S384" i="3" s="1"/>
  <c r="P267" i="3"/>
  <c r="P269" i="3"/>
  <c r="P270" i="3"/>
  <c r="P271" i="3"/>
  <c r="P272" i="3"/>
  <c r="P273" i="3"/>
  <c r="P274" i="3"/>
  <c r="P268" i="3"/>
  <c r="T188" i="3"/>
  <c r="U188" i="3" s="1"/>
  <c r="T191" i="3"/>
  <c r="U191" i="3" s="1"/>
  <c r="T194" i="3"/>
  <c r="U194" i="3" s="1"/>
  <c r="T189" i="3"/>
  <c r="U189" i="3" s="1"/>
  <c r="T193" i="3"/>
  <c r="U193" i="3" s="1"/>
  <c r="T187" i="3"/>
  <c r="U187" i="3" s="1"/>
  <c r="T192" i="3"/>
  <c r="U192" i="3" s="1"/>
  <c r="T190" i="3"/>
  <c r="U190" i="3" s="1"/>
  <c r="I109" i="3"/>
  <c r="C109" i="3" s="1"/>
  <c r="I114" i="3"/>
  <c r="C114" i="3" s="1"/>
  <c r="I107" i="3"/>
  <c r="C107" i="3" s="1"/>
  <c r="I108" i="3"/>
  <c r="C108" i="3" s="1"/>
  <c r="I112" i="3"/>
  <c r="C112" i="3" s="1"/>
  <c r="I113" i="3"/>
  <c r="C113" i="3" s="1"/>
  <c r="I110" i="3"/>
  <c r="C110" i="3" s="1"/>
  <c r="I111" i="3"/>
  <c r="C111" i="3" s="1"/>
  <c r="T375" i="3"/>
  <c r="U375" i="3" s="1"/>
  <c r="T377" i="3"/>
  <c r="U377" i="3" s="1"/>
  <c r="T371" i="3"/>
  <c r="U371" i="3" s="1"/>
  <c r="T373" i="3"/>
  <c r="U373" i="3" s="1"/>
  <c r="T376" i="3"/>
  <c r="U376" i="3" s="1"/>
  <c r="T372" i="3"/>
  <c r="U372" i="3" s="1"/>
  <c r="T378" i="3"/>
  <c r="U378" i="3" s="1"/>
  <c r="T374" i="3"/>
  <c r="U374" i="3" s="1"/>
  <c r="R266" i="3"/>
  <c r="R265" i="3"/>
  <c r="R264" i="3"/>
  <c r="R261" i="3"/>
  <c r="R262" i="3"/>
  <c r="R263" i="3"/>
  <c r="R259" i="3"/>
  <c r="R260" i="3"/>
  <c r="R394" i="3"/>
  <c r="R390" i="3"/>
  <c r="R392" i="3"/>
  <c r="R391" i="3"/>
  <c r="R393" i="3"/>
  <c r="R388" i="3"/>
  <c r="R387" i="3"/>
  <c r="R389" i="3"/>
  <c r="T173" i="3"/>
  <c r="U173" i="3" s="1"/>
  <c r="T176" i="3"/>
  <c r="U176" i="3" s="1"/>
  <c r="T178" i="3"/>
  <c r="U178" i="3" s="1"/>
  <c r="T175" i="3"/>
  <c r="U175" i="3" s="1"/>
  <c r="T177" i="3"/>
  <c r="U177" i="3" s="1"/>
  <c r="T172" i="3"/>
  <c r="U172" i="3" s="1"/>
  <c r="T171" i="3"/>
  <c r="U171" i="3" s="1"/>
  <c r="T174" i="3"/>
  <c r="U174" i="3" s="1"/>
  <c r="I337" i="3"/>
  <c r="C337" i="3" s="1"/>
  <c r="I334" i="3"/>
  <c r="C334" i="3" s="1"/>
  <c r="I333" i="3"/>
  <c r="C333" i="3" s="1"/>
  <c r="I331" i="3"/>
  <c r="C331" i="3" s="1"/>
  <c r="I336" i="3"/>
  <c r="C336" i="3" s="1"/>
  <c r="I338" i="3"/>
  <c r="C338" i="3" s="1"/>
  <c r="I332" i="3"/>
  <c r="C332" i="3" s="1"/>
  <c r="I335" i="3"/>
  <c r="C335" i="3" s="1"/>
  <c r="T263" i="3"/>
  <c r="U263" i="3" s="1"/>
  <c r="T266" i="3"/>
  <c r="U266" i="3" s="1"/>
  <c r="T265" i="3"/>
  <c r="U265" i="3" s="1"/>
  <c r="T262" i="3"/>
  <c r="U262" i="3" s="1"/>
  <c r="T261" i="3"/>
  <c r="U261" i="3" s="1"/>
  <c r="T259" i="3"/>
  <c r="U259" i="3" s="1"/>
  <c r="T260" i="3"/>
  <c r="U260" i="3" s="1"/>
  <c r="T264" i="3"/>
  <c r="U264" i="3" s="1"/>
  <c r="R175" i="3"/>
  <c r="R176" i="3"/>
  <c r="R177" i="3"/>
  <c r="R171" i="3"/>
  <c r="R174" i="3"/>
  <c r="R172" i="3"/>
  <c r="R173" i="3"/>
  <c r="R178" i="3"/>
  <c r="R83" i="3"/>
  <c r="R88" i="3"/>
  <c r="R87" i="3"/>
  <c r="R89" i="3"/>
  <c r="R90" i="3"/>
  <c r="R85" i="3"/>
  <c r="R84" i="3"/>
  <c r="R86" i="3"/>
  <c r="T462" i="3"/>
  <c r="U462" i="3" s="1"/>
  <c r="T460" i="3"/>
  <c r="U460" i="3" s="1"/>
  <c r="T464" i="3"/>
  <c r="U464" i="3" s="1"/>
  <c r="T466" i="3"/>
  <c r="U466" i="3" s="1"/>
  <c r="T465" i="3"/>
  <c r="U465" i="3" s="1"/>
  <c r="T461" i="3"/>
  <c r="U461" i="3" s="1"/>
  <c r="T459" i="3"/>
  <c r="U459" i="3" s="1"/>
  <c r="T463" i="3"/>
  <c r="U463" i="3" s="1"/>
  <c r="T309" i="3"/>
  <c r="U309" i="3" s="1"/>
  <c r="T311" i="3"/>
  <c r="U311" i="3" s="1"/>
  <c r="T308" i="3"/>
  <c r="U308" i="3" s="1"/>
  <c r="T312" i="3"/>
  <c r="U312" i="3" s="1"/>
  <c r="T314" i="3"/>
  <c r="U314" i="3" s="1"/>
  <c r="T307" i="3"/>
  <c r="U307" i="3" s="1"/>
  <c r="T313" i="3"/>
  <c r="U313" i="3" s="1"/>
  <c r="T310" i="3"/>
  <c r="U310" i="3" s="1"/>
  <c r="T15" i="3"/>
  <c r="U15" i="3" s="1"/>
  <c r="T16" i="3"/>
  <c r="U16" i="3" s="1"/>
  <c r="T13" i="3"/>
  <c r="U13" i="3" s="1"/>
  <c r="T14" i="3"/>
  <c r="U14" i="3" s="1"/>
  <c r="T17" i="3"/>
  <c r="U17" i="3" s="1"/>
  <c r="T12" i="3"/>
  <c r="U12" i="3" s="1"/>
  <c r="T18" i="3"/>
  <c r="U18" i="3" s="1"/>
  <c r="T11" i="3"/>
  <c r="U11" i="3" s="1"/>
  <c r="R310" i="3"/>
  <c r="R313" i="3"/>
  <c r="R308" i="3"/>
  <c r="R309" i="3"/>
  <c r="R312" i="3"/>
  <c r="R311" i="3"/>
  <c r="R314" i="3"/>
  <c r="R307" i="3"/>
  <c r="I242" i="3"/>
  <c r="C242" i="3" s="1"/>
  <c r="I238" i="3"/>
  <c r="C238" i="3" s="1"/>
  <c r="I235" i="3"/>
  <c r="C235" i="3" s="1"/>
  <c r="I236" i="3"/>
  <c r="C236" i="3" s="1"/>
  <c r="I239" i="3"/>
  <c r="C239" i="3" s="1"/>
  <c r="I241" i="3"/>
  <c r="C241" i="3" s="1"/>
  <c r="I237" i="3"/>
  <c r="C237" i="3" s="1"/>
  <c r="I240" i="3"/>
  <c r="C240" i="3" s="1"/>
  <c r="T148" i="3"/>
  <c r="U148" i="3" s="1"/>
  <c r="T149" i="3"/>
  <c r="U149" i="3" s="1"/>
  <c r="T152" i="3"/>
  <c r="U152" i="3" s="1"/>
  <c r="T151" i="3"/>
  <c r="U151" i="3" s="1"/>
  <c r="T147" i="3"/>
  <c r="U147" i="3" s="1"/>
  <c r="T153" i="3"/>
  <c r="U153" i="3" s="1"/>
  <c r="T150" i="3"/>
  <c r="U150" i="3" s="1"/>
  <c r="T154" i="3"/>
  <c r="U154" i="3" s="1"/>
  <c r="T253" i="3"/>
  <c r="U253" i="3" s="1"/>
  <c r="T255" i="3"/>
  <c r="U255" i="3" s="1"/>
  <c r="T254" i="3"/>
  <c r="U254" i="3" s="1"/>
  <c r="T252" i="3"/>
  <c r="U252" i="3" s="1"/>
  <c r="T258" i="3"/>
  <c r="U258" i="3" s="1"/>
  <c r="T257" i="3"/>
  <c r="U257" i="3" s="1"/>
  <c r="T256" i="3"/>
  <c r="U256" i="3" s="1"/>
  <c r="T251" i="3"/>
  <c r="U251" i="3" s="1"/>
  <c r="R195" i="3"/>
  <c r="S195" i="3" s="1"/>
  <c r="R197" i="3"/>
  <c r="S197" i="3" s="1"/>
  <c r="R198" i="3"/>
  <c r="S198" i="3" s="1"/>
  <c r="R201" i="3"/>
  <c r="S201" i="3" s="1"/>
  <c r="R199" i="3"/>
  <c r="S199" i="3" s="1"/>
  <c r="R200" i="3"/>
  <c r="S200" i="3" s="1"/>
  <c r="R196" i="3"/>
  <c r="S196" i="3" s="1"/>
  <c r="R202" i="3"/>
  <c r="S202" i="3" s="1"/>
  <c r="I340" i="3"/>
  <c r="C340" i="3" s="1"/>
  <c r="I341" i="3"/>
  <c r="C341" i="3" s="1"/>
  <c r="I344" i="3"/>
  <c r="C344" i="3" s="1"/>
  <c r="I343" i="3"/>
  <c r="C343" i="3" s="1"/>
  <c r="I342" i="3"/>
  <c r="C342" i="3" s="1"/>
  <c r="I339" i="3"/>
  <c r="C339" i="3" s="1"/>
  <c r="I345" i="3"/>
  <c r="C345" i="3" s="1"/>
  <c r="I346" i="3"/>
  <c r="C346" i="3" s="1"/>
  <c r="R53" i="3"/>
  <c r="S53" i="3" s="1"/>
  <c r="R55" i="3"/>
  <c r="S55" i="3" s="1"/>
  <c r="R51" i="3"/>
  <c r="S51" i="3" s="1"/>
  <c r="R54" i="3"/>
  <c r="S54" i="3" s="1"/>
  <c r="R56" i="3"/>
  <c r="S56" i="3" s="1"/>
  <c r="R57" i="3"/>
  <c r="S57" i="3" s="1"/>
  <c r="R52" i="3"/>
  <c r="S52" i="3" s="1"/>
  <c r="R58" i="3"/>
  <c r="S58" i="3" s="1"/>
  <c r="P402" i="3"/>
  <c r="P395" i="3"/>
  <c r="P398" i="3"/>
  <c r="P401" i="3"/>
  <c r="P397" i="3"/>
  <c r="P400" i="3"/>
  <c r="P396" i="3"/>
  <c r="P399" i="3"/>
  <c r="T22" i="3"/>
  <c r="U22" i="3" s="1"/>
  <c r="T19" i="3"/>
  <c r="U19" i="3" s="1"/>
  <c r="T25" i="3"/>
  <c r="U25" i="3" s="1"/>
  <c r="T20" i="3"/>
  <c r="U20" i="3" s="1"/>
  <c r="T24" i="3"/>
  <c r="U24" i="3" s="1"/>
  <c r="T26" i="3"/>
  <c r="U26" i="3" s="1"/>
  <c r="T21" i="3"/>
  <c r="U21" i="3" s="1"/>
  <c r="T23" i="3"/>
  <c r="U23" i="3" s="1"/>
  <c r="P39" i="3"/>
  <c r="P35" i="3"/>
  <c r="P41" i="3"/>
  <c r="P36" i="3"/>
  <c r="P38" i="3"/>
  <c r="P37" i="3"/>
  <c r="P40" i="3"/>
  <c r="P42" i="3"/>
  <c r="T125" i="3"/>
  <c r="U125" i="3" s="1"/>
  <c r="T124" i="3"/>
  <c r="U124" i="3" s="1"/>
  <c r="T123" i="3"/>
  <c r="U123" i="3" s="1"/>
  <c r="T129" i="3"/>
  <c r="U129" i="3" s="1"/>
  <c r="T130" i="3"/>
  <c r="U130" i="3" s="1"/>
  <c r="T127" i="3"/>
  <c r="U127" i="3" s="1"/>
  <c r="T128" i="3"/>
  <c r="U128" i="3" s="1"/>
  <c r="T126" i="3"/>
  <c r="U126" i="3" s="1"/>
  <c r="P112" i="3"/>
  <c r="P114" i="3"/>
  <c r="P111" i="3"/>
  <c r="P113" i="3"/>
  <c r="P109" i="3"/>
  <c r="P108" i="3"/>
  <c r="P107" i="3"/>
  <c r="P110" i="3"/>
  <c r="R349" i="3"/>
  <c r="S349" i="3" s="1"/>
  <c r="R350" i="3"/>
  <c r="S350" i="3" s="1"/>
  <c r="R351" i="3"/>
  <c r="S351" i="3" s="1"/>
  <c r="R353" i="3"/>
  <c r="S353" i="3" s="1"/>
  <c r="R354" i="3"/>
  <c r="S354" i="3" s="1"/>
  <c r="R348" i="3"/>
  <c r="S348" i="3" s="1"/>
  <c r="R347" i="3"/>
  <c r="S347" i="3" s="1"/>
  <c r="R352" i="3"/>
  <c r="S352" i="3" s="1"/>
  <c r="T329" i="3"/>
  <c r="U329" i="3" s="1"/>
  <c r="T330" i="3"/>
  <c r="U330" i="3" s="1"/>
  <c r="T326" i="3"/>
  <c r="U326" i="3" s="1"/>
  <c r="T325" i="3"/>
  <c r="U325" i="3" s="1"/>
  <c r="T323" i="3"/>
  <c r="U323" i="3" s="1"/>
  <c r="T327" i="3"/>
  <c r="U327" i="3" s="1"/>
  <c r="T324" i="3"/>
  <c r="U324" i="3" s="1"/>
  <c r="T328" i="3"/>
  <c r="U328" i="3" s="1"/>
  <c r="P264" i="3"/>
  <c r="P262" i="3"/>
  <c r="P261" i="3"/>
  <c r="P266" i="3"/>
  <c r="P260" i="3"/>
  <c r="P265" i="3"/>
  <c r="P263" i="3"/>
  <c r="P259" i="3"/>
  <c r="P60" i="3"/>
  <c r="P65" i="3"/>
  <c r="P62" i="3"/>
  <c r="P64" i="3"/>
  <c r="P61" i="3"/>
  <c r="P59" i="3"/>
  <c r="P63" i="3"/>
  <c r="P66" i="3"/>
  <c r="R32" i="3"/>
  <c r="S32" i="3" s="1"/>
  <c r="R28" i="3"/>
  <c r="S28" i="3" s="1"/>
  <c r="R34" i="3"/>
  <c r="S34" i="3" s="1"/>
  <c r="R27" i="3"/>
  <c r="S27" i="3" s="1"/>
  <c r="R33" i="3"/>
  <c r="S33" i="3" s="1"/>
  <c r="R30" i="3"/>
  <c r="S30" i="3" s="1"/>
  <c r="R29" i="3"/>
  <c r="S29" i="3" s="1"/>
  <c r="R31" i="3"/>
  <c r="S31" i="3" s="1"/>
  <c r="P314" i="3"/>
  <c r="P310" i="3"/>
  <c r="P307" i="3"/>
  <c r="P308" i="3"/>
  <c r="P311" i="3"/>
  <c r="P313" i="3"/>
  <c r="P309" i="3"/>
  <c r="P312" i="3"/>
  <c r="I135" i="3"/>
  <c r="C135" i="3" s="1"/>
  <c r="I138" i="3"/>
  <c r="C138" i="3" s="1"/>
  <c r="I133" i="3"/>
  <c r="C133" i="3" s="1"/>
  <c r="I132" i="3"/>
  <c r="C132" i="3" s="1"/>
  <c r="I137" i="3"/>
  <c r="C137" i="3" s="1"/>
  <c r="I134" i="3"/>
  <c r="C134" i="3" s="1"/>
  <c r="I136" i="3"/>
  <c r="C136" i="3" s="1"/>
  <c r="I131" i="3"/>
  <c r="C131" i="3" s="1"/>
  <c r="P297" i="3"/>
  <c r="P293" i="3"/>
  <c r="P295" i="3"/>
  <c r="P294" i="3"/>
  <c r="P298" i="3"/>
  <c r="P296" i="3"/>
  <c r="P291" i="3"/>
  <c r="P292" i="3"/>
  <c r="P282" i="3"/>
  <c r="P279" i="3"/>
  <c r="P278" i="3"/>
  <c r="P281" i="3"/>
  <c r="P276" i="3"/>
  <c r="P277" i="3"/>
  <c r="P280" i="3"/>
  <c r="P275" i="3"/>
  <c r="P464" i="3"/>
  <c r="P462" i="3"/>
  <c r="P466" i="3"/>
  <c r="P461" i="3"/>
  <c r="P460" i="3"/>
  <c r="P463" i="3"/>
  <c r="P459" i="3"/>
  <c r="P465" i="3"/>
  <c r="R119" i="3"/>
  <c r="S119" i="3" s="1"/>
  <c r="R121" i="3"/>
  <c r="S121" i="3" s="1"/>
  <c r="R122" i="3"/>
  <c r="S122" i="3" s="1"/>
  <c r="R118" i="3"/>
  <c r="S118" i="3" s="1"/>
  <c r="R120" i="3"/>
  <c r="S120" i="3" s="1"/>
  <c r="R116" i="3"/>
  <c r="S116" i="3" s="1"/>
  <c r="R117" i="3"/>
  <c r="S117" i="3" s="1"/>
  <c r="R115" i="3"/>
  <c r="S115" i="3" s="1"/>
  <c r="I394" i="3"/>
  <c r="C394" i="3" s="1"/>
  <c r="I393" i="3"/>
  <c r="C393" i="3" s="1"/>
  <c r="I391" i="3"/>
  <c r="C391" i="3" s="1"/>
  <c r="I387" i="3"/>
  <c r="C387" i="3" s="1"/>
  <c r="I392" i="3"/>
  <c r="C392" i="3" s="1"/>
  <c r="I388" i="3"/>
  <c r="C388" i="3" s="1"/>
  <c r="I389" i="3"/>
  <c r="C389" i="3" s="1"/>
  <c r="I390" i="3"/>
  <c r="C390" i="3" s="1"/>
  <c r="P180" i="3"/>
  <c r="P186" i="3"/>
  <c r="P181" i="3"/>
  <c r="P182" i="3"/>
  <c r="P179" i="3"/>
  <c r="P183" i="3"/>
  <c r="P185" i="3"/>
  <c r="P184" i="3"/>
  <c r="R179" i="3"/>
  <c r="R182" i="3"/>
  <c r="R184" i="3"/>
  <c r="R181" i="3"/>
  <c r="R180" i="3"/>
  <c r="R186" i="3"/>
  <c r="R183" i="3"/>
  <c r="R185" i="3"/>
  <c r="R269" i="3"/>
  <c r="R271" i="3"/>
  <c r="R270" i="3"/>
  <c r="R274" i="3"/>
  <c r="R272" i="3"/>
  <c r="R267" i="3"/>
  <c r="R268" i="3"/>
  <c r="R273" i="3"/>
  <c r="T468" i="3"/>
  <c r="U468" i="3" s="1"/>
  <c r="T474" i="3"/>
  <c r="U474" i="3" s="1"/>
  <c r="T472" i="3"/>
  <c r="U472" i="3" s="1"/>
  <c r="T470" i="3"/>
  <c r="U470" i="3" s="1"/>
  <c r="T473" i="3"/>
  <c r="U473" i="3" s="1"/>
  <c r="T471" i="3"/>
  <c r="U471" i="3" s="1"/>
  <c r="T467" i="3"/>
  <c r="U467" i="3" s="1"/>
  <c r="T469" i="3"/>
  <c r="U469" i="3" s="1"/>
  <c r="P405" i="3"/>
  <c r="P410" i="3"/>
  <c r="P404" i="3"/>
  <c r="P408" i="3"/>
  <c r="P409" i="3"/>
  <c r="P403" i="3"/>
  <c r="P406" i="3"/>
  <c r="P407" i="3"/>
  <c r="P167" i="3"/>
  <c r="P165" i="3"/>
  <c r="P166" i="3"/>
  <c r="P169" i="3"/>
  <c r="P164" i="3"/>
  <c r="P170" i="3"/>
  <c r="P168" i="3"/>
  <c r="P163" i="3"/>
  <c r="R322" i="3"/>
  <c r="R318" i="3"/>
  <c r="R320" i="3"/>
  <c r="R321" i="3"/>
  <c r="R319" i="3"/>
  <c r="R315" i="3"/>
  <c r="R316" i="3"/>
  <c r="R317" i="3"/>
  <c r="R158" i="3"/>
  <c r="R161" i="3"/>
  <c r="R157" i="3"/>
  <c r="R160" i="3"/>
  <c r="R162" i="3"/>
  <c r="R155" i="3"/>
  <c r="R159" i="3"/>
  <c r="R156" i="3"/>
  <c r="I37" i="3"/>
  <c r="C37" i="3" s="1"/>
  <c r="I42" i="3"/>
  <c r="C42" i="3" s="1"/>
  <c r="I40" i="3"/>
  <c r="C40" i="3" s="1"/>
  <c r="I39" i="3"/>
  <c r="C39" i="3" s="1"/>
  <c r="I35" i="3"/>
  <c r="C35" i="3" s="1"/>
  <c r="I38" i="3"/>
  <c r="C38" i="3" s="1"/>
  <c r="I36" i="3"/>
  <c r="C36" i="3" s="1"/>
  <c r="I41" i="3"/>
  <c r="C41" i="3" s="1"/>
  <c r="T39" i="3"/>
  <c r="U39" i="3" s="1"/>
  <c r="T42" i="3"/>
  <c r="U42" i="3" s="1"/>
  <c r="T41" i="3"/>
  <c r="U41" i="3" s="1"/>
  <c r="T35" i="3"/>
  <c r="U35" i="3" s="1"/>
  <c r="T36" i="3"/>
  <c r="U36" i="3" s="1"/>
  <c r="T40" i="3"/>
  <c r="U40" i="3" s="1"/>
  <c r="T37" i="3"/>
  <c r="U37" i="3" s="1"/>
  <c r="T38" i="3"/>
  <c r="U38" i="3" s="1"/>
  <c r="T139" i="3"/>
  <c r="U139" i="3" s="1"/>
  <c r="T145" i="3"/>
  <c r="U145" i="3" s="1"/>
  <c r="T141" i="3"/>
  <c r="U141" i="3" s="1"/>
  <c r="T146" i="3"/>
  <c r="U146" i="3" s="1"/>
  <c r="T140" i="3"/>
  <c r="U140" i="3" s="1"/>
  <c r="T144" i="3"/>
  <c r="U144" i="3" s="1"/>
  <c r="T142" i="3"/>
  <c r="U142" i="3" s="1"/>
  <c r="T143" i="3"/>
  <c r="U143" i="3" s="1"/>
  <c r="P101" i="3"/>
  <c r="P102" i="3"/>
  <c r="P100" i="3"/>
  <c r="P104" i="3"/>
  <c r="P99" i="3"/>
  <c r="P105" i="3"/>
  <c r="P106" i="3"/>
  <c r="P103" i="3"/>
  <c r="P431" i="3"/>
  <c r="P433" i="3"/>
  <c r="P429" i="3"/>
  <c r="P427" i="3"/>
  <c r="P430" i="3"/>
  <c r="P434" i="3"/>
  <c r="P428" i="3"/>
  <c r="P432" i="3"/>
  <c r="R377" i="3"/>
  <c r="S377" i="3" s="1"/>
  <c r="R375" i="3"/>
  <c r="S375" i="3" s="1"/>
  <c r="R376" i="3"/>
  <c r="S376" i="3" s="1"/>
  <c r="R374" i="3"/>
  <c r="S374" i="3" s="1"/>
  <c r="R378" i="3"/>
  <c r="S378" i="3" s="1"/>
  <c r="R371" i="3"/>
  <c r="S371" i="3" s="1"/>
  <c r="R372" i="3"/>
  <c r="S372" i="3" s="1"/>
  <c r="R373" i="3"/>
  <c r="S373" i="3" s="1"/>
  <c r="T155" i="3"/>
  <c r="U155" i="3" s="1"/>
  <c r="T162" i="3"/>
  <c r="U162" i="3" s="1"/>
  <c r="T157" i="3"/>
  <c r="U157" i="3" s="1"/>
  <c r="T160" i="3"/>
  <c r="U160" i="3" s="1"/>
  <c r="T158" i="3"/>
  <c r="U158" i="3" s="1"/>
  <c r="T156" i="3"/>
  <c r="U156" i="3" s="1"/>
  <c r="T161" i="3"/>
  <c r="U161" i="3" s="1"/>
  <c r="T159" i="3"/>
  <c r="U159" i="3" s="1"/>
  <c r="R68" i="3"/>
  <c r="S68" i="3" s="1"/>
  <c r="R74" i="3"/>
  <c r="S74" i="3" s="1"/>
  <c r="R69" i="3"/>
  <c r="S69" i="3" s="1"/>
  <c r="R71" i="3"/>
  <c r="S71" i="3" s="1"/>
  <c r="R70" i="3"/>
  <c r="S70" i="3" s="1"/>
  <c r="R72" i="3"/>
  <c r="S72" i="3" s="1"/>
  <c r="R73" i="3"/>
  <c r="S73" i="3" s="1"/>
  <c r="R67" i="3"/>
  <c r="S67" i="3" s="1"/>
  <c r="R75" i="3"/>
  <c r="S75" i="3" s="1"/>
  <c r="R81" i="3"/>
  <c r="S81" i="3" s="1"/>
  <c r="R78" i="3"/>
  <c r="S78" i="3" s="1"/>
  <c r="R79" i="3"/>
  <c r="S79" i="3" s="1"/>
  <c r="R80" i="3"/>
  <c r="S80" i="3" s="1"/>
  <c r="R82" i="3"/>
  <c r="S82" i="3" s="1"/>
  <c r="R77" i="3"/>
  <c r="S77" i="3" s="1"/>
  <c r="R76" i="3"/>
  <c r="S76" i="3" s="1"/>
  <c r="R344" i="3"/>
  <c r="S344" i="3" s="1"/>
  <c r="R346" i="3"/>
  <c r="S346" i="3" s="1"/>
  <c r="R339" i="3"/>
  <c r="S339" i="3" s="1"/>
  <c r="R343" i="3"/>
  <c r="S343" i="3" s="1"/>
  <c r="R341" i="3"/>
  <c r="S341" i="3" s="1"/>
  <c r="R345" i="3"/>
  <c r="S345" i="3" s="1"/>
  <c r="R342" i="3"/>
  <c r="S342" i="3" s="1"/>
  <c r="R340" i="3"/>
  <c r="S340" i="3" s="1"/>
  <c r="P174" i="3"/>
  <c r="P175" i="3"/>
  <c r="P171" i="3"/>
  <c r="P178" i="3"/>
  <c r="P173" i="3"/>
  <c r="P177" i="3"/>
  <c r="P176" i="3"/>
  <c r="P172" i="3"/>
  <c r="R136" i="3"/>
  <c r="S136" i="3" s="1"/>
  <c r="R138" i="3"/>
  <c r="S138" i="3" s="1"/>
  <c r="R135" i="3"/>
  <c r="S135" i="3" s="1"/>
  <c r="R133" i="3"/>
  <c r="S133" i="3" s="1"/>
  <c r="R137" i="3"/>
  <c r="S137" i="3" s="1"/>
  <c r="R132" i="3"/>
  <c r="S132" i="3" s="1"/>
  <c r="R134" i="3"/>
  <c r="S134" i="3" s="1"/>
  <c r="R131" i="3"/>
  <c r="S131" i="3" s="1"/>
  <c r="R170" i="3"/>
  <c r="R165" i="3"/>
  <c r="R168" i="3"/>
  <c r="R164" i="3"/>
  <c r="R169" i="3"/>
  <c r="R166" i="3"/>
  <c r="R163" i="3"/>
  <c r="R167" i="3"/>
  <c r="I63" i="3"/>
  <c r="C63" i="3" s="1"/>
  <c r="I62" i="3"/>
  <c r="C62" i="3" s="1"/>
  <c r="I59" i="3"/>
  <c r="C59" i="3" s="1"/>
  <c r="I61" i="3"/>
  <c r="C61" i="3" s="1"/>
  <c r="I65" i="3"/>
  <c r="C65" i="3" s="1"/>
  <c r="I60" i="3"/>
  <c r="C60" i="3" s="1"/>
  <c r="I64" i="3"/>
  <c r="C64" i="3" s="1"/>
  <c r="I66" i="3"/>
  <c r="C66" i="3" s="1"/>
  <c r="T9" i="3"/>
  <c r="U9" i="3" s="1"/>
  <c r="T5" i="3"/>
  <c r="U5" i="3" s="1"/>
  <c r="T6" i="3"/>
  <c r="U6" i="3" s="1"/>
  <c r="T3" i="3"/>
  <c r="U3" i="3" s="1"/>
  <c r="T10" i="3"/>
  <c r="U10" i="3" s="1"/>
  <c r="T4" i="3"/>
  <c r="U4" i="3" s="1"/>
  <c r="T7" i="3"/>
  <c r="U7" i="3" s="1"/>
  <c r="T8" i="3"/>
  <c r="U8" i="3" s="1"/>
  <c r="R227" i="3"/>
  <c r="S227" i="3" s="1"/>
  <c r="R230" i="3"/>
  <c r="S230" i="3" s="1"/>
  <c r="R228" i="3"/>
  <c r="S228" i="3" s="1"/>
  <c r="R231" i="3"/>
  <c r="S231" i="3" s="1"/>
  <c r="R232" i="3"/>
  <c r="S232" i="3" s="1"/>
  <c r="R234" i="3"/>
  <c r="S234" i="3" s="1"/>
  <c r="R233" i="3"/>
  <c r="S233" i="3" s="1"/>
  <c r="R229" i="3"/>
  <c r="S229" i="3" s="1"/>
  <c r="P44" i="3"/>
  <c r="P46" i="3"/>
  <c r="P48" i="3"/>
  <c r="P45" i="3"/>
  <c r="P49" i="3"/>
  <c r="P47" i="3"/>
  <c r="P43" i="3"/>
  <c r="P50" i="3"/>
  <c r="T368" i="3"/>
  <c r="U368" i="3" s="1"/>
  <c r="T365" i="3"/>
  <c r="U365" i="3" s="1"/>
  <c r="T367" i="3"/>
  <c r="U367" i="3" s="1"/>
  <c r="T370" i="3"/>
  <c r="U370" i="3" s="1"/>
  <c r="T369" i="3"/>
  <c r="U369" i="3" s="1"/>
  <c r="T364" i="3"/>
  <c r="U364" i="3" s="1"/>
  <c r="T366" i="3"/>
  <c r="U366" i="3" s="1"/>
  <c r="T363" i="3"/>
  <c r="U363" i="3" s="1"/>
  <c r="P257" i="3"/>
  <c r="P255" i="3"/>
  <c r="P256" i="3"/>
  <c r="P251" i="3"/>
  <c r="P258" i="3"/>
  <c r="P253" i="3"/>
  <c r="P252" i="3"/>
  <c r="P254" i="3"/>
  <c r="T383" i="3"/>
  <c r="U383" i="3" s="1"/>
  <c r="T380" i="3"/>
  <c r="U380" i="3" s="1"/>
  <c r="T381" i="3"/>
  <c r="U381" i="3" s="1"/>
  <c r="T385" i="3"/>
  <c r="U385" i="3" s="1"/>
  <c r="T379" i="3"/>
  <c r="U379" i="3" s="1"/>
  <c r="T386" i="3"/>
  <c r="U386" i="3" s="1"/>
  <c r="T382" i="3"/>
  <c r="U382" i="3" s="1"/>
  <c r="T384" i="3"/>
  <c r="U384" i="3" s="1"/>
  <c r="R249" i="3"/>
  <c r="R243" i="3"/>
  <c r="R250" i="3"/>
  <c r="R245" i="3"/>
  <c r="R244" i="3"/>
  <c r="R247" i="3"/>
  <c r="R246" i="3"/>
  <c r="R248" i="3"/>
  <c r="T168" i="3"/>
  <c r="U168" i="3" s="1"/>
  <c r="T169" i="3"/>
  <c r="U169" i="3" s="1"/>
  <c r="T165" i="3"/>
  <c r="U165" i="3" s="1"/>
  <c r="T163" i="3"/>
  <c r="U163" i="3" s="1"/>
  <c r="T166" i="3"/>
  <c r="U166" i="3" s="1"/>
  <c r="T164" i="3"/>
  <c r="U164" i="3" s="1"/>
  <c r="T170" i="3"/>
  <c r="U170" i="3" s="1"/>
  <c r="T167" i="3"/>
  <c r="U167" i="3" s="1"/>
  <c r="T454" i="3"/>
  <c r="U454" i="3" s="1"/>
  <c r="T458" i="3"/>
  <c r="U458" i="3" s="1"/>
  <c r="T452" i="3"/>
  <c r="U452" i="3" s="1"/>
  <c r="T456" i="3"/>
  <c r="U456" i="3" s="1"/>
  <c r="T455" i="3"/>
  <c r="U455" i="3" s="1"/>
  <c r="T451" i="3"/>
  <c r="U451" i="3" s="1"/>
  <c r="T453" i="3"/>
  <c r="U453" i="3" s="1"/>
  <c r="T457" i="3"/>
  <c r="U457" i="3" s="1"/>
  <c r="T300" i="3"/>
  <c r="U300" i="3" s="1"/>
  <c r="T304" i="3"/>
  <c r="U304" i="3" s="1"/>
  <c r="T299" i="3"/>
  <c r="U299" i="3" s="1"/>
  <c r="T303" i="3"/>
  <c r="U303" i="3" s="1"/>
  <c r="T306" i="3"/>
  <c r="U306" i="3" s="1"/>
  <c r="T301" i="3"/>
  <c r="U301" i="3" s="1"/>
  <c r="T302" i="3"/>
  <c r="U302" i="3" s="1"/>
  <c r="T305" i="3"/>
  <c r="U305" i="3" s="1"/>
  <c r="P232" i="3"/>
  <c r="P231" i="3"/>
  <c r="P229" i="3"/>
  <c r="P233" i="3"/>
  <c r="P228" i="3"/>
  <c r="P227" i="3"/>
  <c r="P230" i="3"/>
  <c r="P234" i="3"/>
  <c r="I386" i="3"/>
  <c r="C386" i="3" s="1"/>
  <c r="I384" i="3"/>
  <c r="C384" i="3" s="1"/>
  <c r="I379" i="3"/>
  <c r="C379" i="3" s="1"/>
  <c r="I382" i="3"/>
  <c r="C382" i="3" s="1"/>
  <c r="I385" i="3"/>
  <c r="C385" i="3" s="1"/>
  <c r="I383" i="3"/>
  <c r="C383" i="3" s="1"/>
  <c r="I380" i="3"/>
  <c r="C380" i="3" s="1"/>
  <c r="I381" i="3"/>
  <c r="C381" i="3" s="1"/>
  <c r="R303" i="3"/>
  <c r="R305" i="3"/>
  <c r="R302" i="3"/>
  <c r="R306" i="3"/>
  <c r="R300" i="3"/>
  <c r="R304" i="3"/>
  <c r="R299" i="3"/>
  <c r="R301" i="3"/>
  <c r="R221" i="3"/>
  <c r="S221" i="3" s="1"/>
  <c r="R220" i="3"/>
  <c r="S220" i="3" s="1"/>
  <c r="R223" i="3"/>
  <c r="S223" i="3" s="1"/>
  <c r="R219" i="3"/>
  <c r="S219" i="3" s="1"/>
  <c r="R225" i="3"/>
  <c r="S225" i="3" s="1"/>
  <c r="R222" i="3"/>
  <c r="S222" i="3" s="1"/>
  <c r="R226" i="3"/>
  <c r="S226" i="3" s="1"/>
  <c r="R224" i="3"/>
  <c r="S224" i="3" s="1"/>
  <c r="D119" i="5"/>
  <c r="Q9" i="1" l="1"/>
  <c r="AS38" i="9"/>
  <c r="BQ37" i="9"/>
  <c r="AO8" i="1"/>
  <c r="AS35" i="9"/>
  <c r="Q6" i="1"/>
  <c r="BQ34" i="9"/>
  <c r="AO5" i="1"/>
  <c r="AA119" i="5"/>
  <c r="I167" i="3"/>
  <c r="C167" i="3" s="1"/>
  <c r="I155" i="3"/>
  <c r="C155" i="3" s="1"/>
  <c r="I473" i="3"/>
  <c r="C473" i="3" s="1"/>
  <c r="I253" i="3"/>
  <c r="C253" i="3" s="1"/>
  <c r="I161" i="3"/>
  <c r="C161" i="3" s="1"/>
  <c r="I158" i="3"/>
  <c r="C158" i="3" s="1"/>
  <c r="I156" i="3"/>
  <c r="C156" i="3" s="1"/>
  <c r="I282" i="3"/>
  <c r="C282" i="3" s="1"/>
  <c r="I164" i="3"/>
  <c r="C164" i="3" s="1"/>
  <c r="I166" i="3"/>
  <c r="C166" i="3" s="1"/>
  <c r="I163" i="3"/>
  <c r="C163" i="3" s="1"/>
  <c r="I165" i="3"/>
  <c r="C165" i="3" s="1"/>
  <c r="I169" i="3"/>
  <c r="C169" i="3" s="1"/>
  <c r="I168" i="3"/>
  <c r="C168" i="3" s="1"/>
  <c r="I159" i="3"/>
  <c r="C159" i="3" s="1"/>
  <c r="I162" i="3"/>
  <c r="C162" i="3" s="1"/>
  <c r="I157" i="3"/>
  <c r="C157" i="3" s="1"/>
  <c r="I174" i="3"/>
  <c r="C174" i="3" s="1"/>
  <c r="I171" i="3"/>
  <c r="C171" i="3" s="1"/>
  <c r="I279" i="3"/>
  <c r="C279" i="3" s="1"/>
  <c r="I252" i="3"/>
  <c r="C252" i="3" s="1"/>
  <c r="I257" i="3"/>
  <c r="C257" i="3" s="1"/>
  <c r="I254" i="3"/>
  <c r="C254" i="3" s="1"/>
  <c r="I258" i="3"/>
  <c r="C258" i="3" s="1"/>
  <c r="I251" i="3"/>
  <c r="C251" i="3" s="1"/>
  <c r="I255" i="3"/>
  <c r="C255" i="3" s="1"/>
  <c r="I256" i="3"/>
  <c r="C256" i="3" s="1"/>
  <c r="I407" i="3"/>
  <c r="C407" i="3" s="1"/>
  <c r="I177" i="3"/>
  <c r="C177" i="3" s="1"/>
  <c r="I276" i="3"/>
  <c r="C276" i="3" s="1"/>
  <c r="I275" i="3"/>
  <c r="C275" i="3" s="1"/>
  <c r="I278" i="3"/>
  <c r="C278" i="3" s="1"/>
  <c r="I281" i="3"/>
  <c r="C281" i="3" s="1"/>
  <c r="I280" i="3"/>
  <c r="C280" i="3" s="1"/>
  <c r="I400" i="3"/>
  <c r="C400" i="3" s="1"/>
  <c r="I402" i="3"/>
  <c r="C402" i="3" s="1"/>
  <c r="I395" i="3"/>
  <c r="C395" i="3" s="1"/>
  <c r="I399" i="3"/>
  <c r="C399" i="3" s="1"/>
  <c r="I401" i="3"/>
  <c r="C401" i="3" s="1"/>
  <c r="I396" i="3"/>
  <c r="C396" i="3" s="1"/>
  <c r="I397" i="3"/>
  <c r="C397" i="3" s="1"/>
  <c r="I398" i="3"/>
  <c r="C398" i="3" s="1"/>
  <c r="I417" i="3"/>
  <c r="C417" i="3" s="1"/>
  <c r="I414" i="3"/>
  <c r="C414" i="3" s="1"/>
  <c r="I183" i="3"/>
  <c r="C183" i="3" s="1"/>
  <c r="I260" i="3"/>
  <c r="C260" i="3" s="1"/>
  <c r="I185" i="3"/>
  <c r="C185" i="3" s="1"/>
  <c r="I404" i="3"/>
  <c r="C404" i="3" s="1"/>
  <c r="I184" i="3"/>
  <c r="C184" i="3" s="1"/>
  <c r="I180" i="3"/>
  <c r="C180" i="3" s="1"/>
  <c r="I410" i="3"/>
  <c r="C410" i="3" s="1"/>
  <c r="I415" i="3"/>
  <c r="C415" i="3" s="1"/>
  <c r="I179" i="3"/>
  <c r="C179" i="3" s="1"/>
  <c r="I408" i="3"/>
  <c r="C408" i="3" s="1"/>
  <c r="I409" i="3"/>
  <c r="C409" i="3" s="1"/>
  <c r="I416" i="3"/>
  <c r="C416" i="3" s="1"/>
  <c r="I181" i="3"/>
  <c r="C181" i="3" s="1"/>
  <c r="I405" i="3"/>
  <c r="C405" i="3" s="1"/>
  <c r="I186" i="3"/>
  <c r="C186" i="3" s="1"/>
  <c r="I403" i="3"/>
  <c r="C403" i="3" s="1"/>
  <c r="I418" i="3"/>
  <c r="C418" i="3" s="1"/>
  <c r="I413" i="3"/>
  <c r="C413" i="3" s="1"/>
  <c r="I411" i="3"/>
  <c r="C411" i="3" s="1"/>
  <c r="I267" i="3"/>
  <c r="C267" i="3" s="1"/>
  <c r="I272" i="3"/>
  <c r="C272" i="3" s="1"/>
  <c r="I271" i="3"/>
  <c r="C271" i="3" s="1"/>
  <c r="I273" i="3"/>
  <c r="C273" i="3" s="1"/>
  <c r="I470" i="3"/>
  <c r="C470" i="3" s="1"/>
  <c r="I468" i="3"/>
  <c r="C468" i="3" s="1"/>
  <c r="I472" i="3"/>
  <c r="C472" i="3" s="1"/>
  <c r="I474" i="3"/>
  <c r="C474" i="3" s="1"/>
  <c r="I471" i="3"/>
  <c r="C471" i="3" s="1"/>
  <c r="I469" i="3"/>
  <c r="C469" i="3" s="1"/>
  <c r="I467" i="3"/>
  <c r="C467" i="3" s="1"/>
  <c r="I269" i="3"/>
  <c r="C269" i="3" s="1"/>
  <c r="I274" i="3"/>
  <c r="C274" i="3" s="1"/>
  <c r="I263" i="3"/>
  <c r="C263" i="3" s="1"/>
  <c r="I268" i="3"/>
  <c r="C268" i="3" s="1"/>
  <c r="I265" i="3"/>
  <c r="C265" i="3" s="1"/>
  <c r="I264" i="3"/>
  <c r="C264" i="3" s="1"/>
  <c r="I266" i="3"/>
  <c r="C266" i="3" s="1"/>
  <c r="I424" i="3"/>
  <c r="C424" i="3" s="1"/>
  <c r="I419" i="3"/>
  <c r="C419" i="3" s="1"/>
  <c r="I423" i="3"/>
  <c r="C423" i="3" s="1"/>
  <c r="I426" i="3"/>
  <c r="C426" i="3" s="1"/>
  <c r="I425" i="3"/>
  <c r="C425" i="3" s="1"/>
  <c r="I422" i="3"/>
  <c r="C422" i="3" s="1"/>
  <c r="I421" i="3"/>
  <c r="C421" i="3" s="1"/>
  <c r="I420" i="3"/>
  <c r="C420" i="3" s="1"/>
  <c r="I261" i="3"/>
  <c r="C261" i="3" s="1"/>
  <c r="I259" i="3"/>
  <c r="C259" i="3" s="1"/>
  <c r="I175" i="3"/>
  <c r="C175" i="3" s="1"/>
  <c r="I172" i="3"/>
  <c r="C172" i="3" s="1"/>
  <c r="I173" i="3"/>
  <c r="C173" i="3" s="1"/>
  <c r="I176" i="3"/>
  <c r="C176" i="3" s="1"/>
  <c r="I322" i="3"/>
  <c r="C322" i="3" s="1"/>
  <c r="I320" i="3"/>
  <c r="C320" i="3" s="1"/>
  <c r="I319" i="3"/>
  <c r="C319" i="3" s="1"/>
  <c r="I321" i="3"/>
  <c r="C321" i="3" s="1"/>
  <c r="I318" i="3"/>
  <c r="C318" i="3" s="1"/>
  <c r="I315" i="3"/>
  <c r="C315" i="3" s="1"/>
  <c r="I317" i="3"/>
  <c r="C317" i="3" s="1"/>
  <c r="I325" i="3"/>
  <c r="C325" i="3" s="1"/>
  <c r="I323" i="3"/>
  <c r="C323" i="3" s="1"/>
  <c r="I326" i="3"/>
  <c r="C326" i="3" s="1"/>
  <c r="I329" i="3"/>
  <c r="C329" i="3" s="1"/>
  <c r="I328" i="3"/>
  <c r="C328" i="3" s="1"/>
  <c r="I330" i="3"/>
  <c r="C330" i="3" s="1"/>
  <c r="I313" i="3"/>
  <c r="C313" i="3" s="1"/>
  <c r="I308" i="3"/>
  <c r="C308" i="3" s="1"/>
  <c r="I458" i="3"/>
  <c r="C458" i="3" s="1"/>
  <c r="I434" i="3"/>
  <c r="C434" i="3" s="1"/>
  <c r="I327" i="3"/>
  <c r="C327" i="3" s="1"/>
  <c r="I324" i="3"/>
  <c r="C324" i="3" s="1"/>
  <c r="I303" i="3"/>
  <c r="C303" i="3" s="1"/>
  <c r="I305" i="3"/>
  <c r="C305" i="3" s="1"/>
  <c r="I454" i="3"/>
  <c r="C454" i="3" s="1"/>
  <c r="I306" i="3"/>
  <c r="C306" i="3" s="1"/>
  <c r="I452" i="3"/>
  <c r="C452" i="3" s="1"/>
  <c r="I457" i="3"/>
  <c r="C457" i="3" s="1"/>
  <c r="I302" i="3"/>
  <c r="C302" i="3" s="1"/>
  <c r="I301" i="3"/>
  <c r="C301" i="3" s="1"/>
  <c r="I432" i="3"/>
  <c r="C432" i="3" s="1"/>
  <c r="I427" i="3"/>
  <c r="C427" i="3" s="1"/>
  <c r="I431" i="3"/>
  <c r="C431" i="3" s="1"/>
  <c r="I456" i="3"/>
  <c r="C456" i="3" s="1"/>
  <c r="I433" i="3"/>
  <c r="C433" i="3" s="1"/>
  <c r="I429" i="3"/>
  <c r="C429" i="3" s="1"/>
  <c r="I455" i="3"/>
  <c r="C455" i="3" s="1"/>
  <c r="I430" i="3"/>
  <c r="C430" i="3" s="1"/>
  <c r="I451" i="3"/>
  <c r="C451" i="3" s="1"/>
  <c r="AC67" i="7"/>
  <c r="I311" i="3"/>
  <c r="C311" i="3" s="1"/>
  <c r="I299" i="3"/>
  <c r="C299" i="3" s="1"/>
  <c r="I307" i="3"/>
  <c r="C307" i="3" s="1"/>
  <c r="I304" i="3"/>
  <c r="C304" i="3" s="1"/>
  <c r="I312" i="3"/>
  <c r="C312" i="3" s="1"/>
  <c r="I309" i="3"/>
  <c r="C309" i="3" s="1"/>
  <c r="I314" i="3"/>
  <c r="C314" i="3" s="1"/>
  <c r="I310" i="3"/>
  <c r="C310" i="3" s="1"/>
  <c r="I441" i="3"/>
  <c r="C441" i="3" s="1"/>
  <c r="I440" i="3"/>
  <c r="C440" i="3" s="1"/>
  <c r="I437" i="3"/>
  <c r="C437" i="3" s="1"/>
  <c r="I442" i="3"/>
  <c r="C442" i="3" s="1"/>
  <c r="I435" i="3"/>
  <c r="C435" i="3" s="1"/>
  <c r="I438" i="3"/>
  <c r="C438" i="3" s="1"/>
  <c r="I439" i="3"/>
  <c r="C439" i="3" s="1"/>
  <c r="I436" i="3"/>
  <c r="C436" i="3" s="1"/>
  <c r="I443" i="3"/>
  <c r="C443" i="3" s="1"/>
  <c r="I447" i="3"/>
  <c r="C447" i="3" s="1"/>
  <c r="I444" i="3"/>
  <c r="C444" i="3" s="1"/>
  <c r="I448" i="3"/>
  <c r="C448" i="3" s="1"/>
  <c r="I446" i="3"/>
  <c r="C446" i="3" s="1"/>
  <c r="I449" i="3"/>
  <c r="C449" i="3" s="1"/>
  <c r="I450" i="3"/>
  <c r="C450" i="3" s="1"/>
  <c r="I445" i="3"/>
  <c r="C445" i="3" s="1"/>
  <c r="I459" i="3"/>
  <c r="C459" i="3" s="1"/>
  <c r="I463" i="3"/>
  <c r="C463" i="3" s="1"/>
  <c r="I464" i="3"/>
  <c r="C464" i="3" s="1"/>
  <c r="I466" i="3"/>
  <c r="C466" i="3" s="1"/>
  <c r="I461" i="3"/>
  <c r="C461" i="3" s="1"/>
  <c r="I462" i="3"/>
  <c r="C462" i="3" s="1"/>
  <c r="I465" i="3"/>
  <c r="C465" i="3" s="1"/>
  <c r="I460" i="3"/>
  <c r="C460" i="3" s="1"/>
  <c r="I283" i="3"/>
  <c r="C283" i="3" s="1"/>
  <c r="I284" i="3"/>
  <c r="C284" i="3" s="1"/>
  <c r="I287" i="3"/>
  <c r="C287" i="3" s="1"/>
  <c r="I286" i="3"/>
  <c r="C286" i="3" s="1"/>
  <c r="I288" i="3"/>
  <c r="C288" i="3" s="1"/>
  <c r="I290" i="3"/>
  <c r="C290" i="3" s="1"/>
  <c r="I285" i="3"/>
  <c r="C285" i="3" s="1"/>
  <c r="I289" i="3"/>
  <c r="C289" i="3" s="1"/>
  <c r="I296" i="3"/>
  <c r="C296" i="3" s="1"/>
  <c r="I291" i="3"/>
  <c r="C291" i="3" s="1"/>
  <c r="I292" i="3"/>
  <c r="C292" i="3" s="1"/>
  <c r="I295" i="3"/>
  <c r="C295" i="3" s="1"/>
  <c r="I298" i="3"/>
  <c r="C298" i="3" s="1"/>
  <c r="I293" i="3"/>
  <c r="C293" i="3" s="1"/>
  <c r="I297" i="3"/>
  <c r="C297" i="3" s="1"/>
  <c r="I294" i="3"/>
  <c r="C294" i="3" s="1"/>
  <c r="K52" i="3"/>
  <c r="K84" i="3"/>
  <c r="K28" i="3"/>
  <c r="K60" i="3"/>
  <c r="K36" i="3"/>
  <c r="K68" i="3"/>
  <c r="K44" i="3"/>
  <c r="K76" i="3"/>
  <c r="K51" i="3"/>
  <c r="K43" i="3"/>
  <c r="K75" i="3"/>
  <c r="K35" i="3"/>
  <c r="K67" i="3"/>
  <c r="K27" i="3"/>
  <c r="K59" i="3"/>
  <c r="K83" i="3"/>
  <c r="D120" i="5"/>
  <c r="AP38" i="9" l="1"/>
  <c r="N9" i="1"/>
  <c r="AL8" i="1"/>
  <c r="BN37" i="9"/>
  <c r="N6" i="1"/>
  <c r="AP35" i="9"/>
  <c r="AL5" i="1"/>
  <c r="BN34" i="9"/>
  <c r="AA120" i="5"/>
  <c r="AC68" i="7"/>
  <c r="K85" i="3"/>
  <c r="K45" i="3"/>
  <c r="K37" i="3"/>
  <c r="K77" i="3"/>
  <c r="K69" i="3"/>
  <c r="K29" i="3"/>
  <c r="K61" i="3"/>
  <c r="K53" i="3"/>
  <c r="K108" i="3"/>
  <c r="K132" i="3"/>
  <c r="K92" i="3"/>
  <c r="K116" i="3"/>
  <c r="K140" i="3"/>
  <c r="K164" i="3"/>
  <c r="K124" i="3"/>
  <c r="K180" i="3"/>
  <c r="K156" i="3"/>
  <c r="K100" i="3"/>
  <c r="K148" i="3"/>
  <c r="K172" i="3"/>
  <c r="K99" i="3"/>
  <c r="K123" i="3"/>
  <c r="K147" i="3"/>
  <c r="K171" i="3"/>
  <c r="K155" i="3"/>
  <c r="K163" i="3"/>
  <c r="K107" i="3"/>
  <c r="K179" i="3"/>
  <c r="K91" i="3"/>
  <c r="K139" i="3"/>
  <c r="K115" i="3"/>
  <c r="K131" i="3"/>
  <c r="D121" i="5"/>
  <c r="K9" i="1" l="1"/>
  <c r="AM38" i="9"/>
  <c r="BK37" i="9"/>
  <c r="AI8" i="1"/>
  <c r="K6" i="1"/>
  <c r="AM35" i="9"/>
  <c r="BK34" i="9"/>
  <c r="AI5" i="1"/>
  <c r="AA121" i="5"/>
  <c r="AC69" i="7"/>
  <c r="K283" i="3"/>
  <c r="K307" i="3"/>
  <c r="K195" i="3"/>
  <c r="K251" i="3"/>
  <c r="K259" i="3"/>
  <c r="K315" i="3"/>
  <c r="K299" i="3"/>
  <c r="K219" i="3"/>
  <c r="K275" i="3"/>
  <c r="K235" i="3"/>
  <c r="K291" i="3"/>
  <c r="K211" i="3"/>
  <c r="K267" i="3"/>
  <c r="K187" i="3"/>
  <c r="K203" i="3"/>
  <c r="K243" i="3"/>
  <c r="K227" i="3"/>
  <c r="K323" i="3"/>
  <c r="K396" i="3"/>
  <c r="K468" i="3"/>
  <c r="K348" i="3"/>
  <c r="K388" i="3"/>
  <c r="K460" i="3"/>
  <c r="K340" i="3"/>
  <c r="K412" i="3"/>
  <c r="K452" i="3"/>
  <c r="K332" i="3"/>
  <c r="K364" i="3"/>
  <c r="K372" i="3"/>
  <c r="K404" i="3"/>
  <c r="K420" i="3"/>
  <c r="K436" i="3"/>
  <c r="K356" i="3"/>
  <c r="K428" i="3"/>
  <c r="K444" i="3"/>
  <c r="K380" i="3"/>
  <c r="K188" i="3"/>
  <c r="K212" i="3"/>
  <c r="K236" i="3"/>
  <c r="K260" i="3"/>
  <c r="K220" i="3"/>
  <c r="K244" i="3"/>
  <c r="K268" i="3"/>
  <c r="K292" i="3"/>
  <c r="K316" i="3"/>
  <c r="K196" i="3"/>
  <c r="K324" i="3"/>
  <c r="K228" i="3"/>
  <c r="K284" i="3"/>
  <c r="K276" i="3"/>
  <c r="K252" i="3"/>
  <c r="K308" i="3"/>
  <c r="K300" i="3"/>
  <c r="K204" i="3"/>
  <c r="K331" i="3"/>
  <c r="K363" i="3"/>
  <c r="K395" i="3"/>
  <c r="K427" i="3"/>
  <c r="K459" i="3"/>
  <c r="K339" i="3"/>
  <c r="K371" i="3"/>
  <c r="K403" i="3"/>
  <c r="K435" i="3"/>
  <c r="K467" i="3"/>
  <c r="K347" i="3"/>
  <c r="K379" i="3"/>
  <c r="K411" i="3"/>
  <c r="K443" i="3"/>
  <c r="K355" i="3"/>
  <c r="K419" i="3"/>
  <c r="K451" i="3"/>
  <c r="K387" i="3"/>
  <c r="K46" i="3"/>
  <c r="K78" i="3"/>
  <c r="K54" i="3"/>
  <c r="K86" i="3"/>
  <c r="K30" i="3"/>
  <c r="K62" i="3"/>
  <c r="K38" i="3"/>
  <c r="K70" i="3"/>
  <c r="K157" i="3"/>
  <c r="K181" i="3"/>
  <c r="K93" i="3"/>
  <c r="K141" i="3"/>
  <c r="K133" i="3"/>
  <c r="K117" i="3"/>
  <c r="K173" i="3"/>
  <c r="K125" i="3"/>
  <c r="K109" i="3"/>
  <c r="K165" i="3"/>
  <c r="K149" i="3"/>
  <c r="K101" i="3"/>
  <c r="D122" i="5"/>
  <c r="H9" i="1" l="1"/>
  <c r="AJ38" i="9"/>
  <c r="E9" i="1" s="1"/>
  <c r="BH37" i="9"/>
  <c r="AF8" i="1"/>
  <c r="H6" i="1"/>
  <c r="AJ35" i="9"/>
  <c r="E6" i="1" s="1"/>
  <c r="BH34" i="9"/>
  <c r="AF5" i="1"/>
  <c r="AA122" i="5"/>
  <c r="AC70" i="7"/>
  <c r="K63" i="3"/>
  <c r="K55" i="3"/>
  <c r="K47" i="3"/>
  <c r="K79" i="3"/>
  <c r="K39" i="3"/>
  <c r="K87" i="3"/>
  <c r="K71" i="3"/>
  <c r="K31" i="3"/>
  <c r="K110" i="3"/>
  <c r="K134" i="3"/>
  <c r="K94" i="3"/>
  <c r="K118" i="3"/>
  <c r="K142" i="3"/>
  <c r="K166" i="3"/>
  <c r="K102" i="3"/>
  <c r="K150" i="3"/>
  <c r="K126" i="3"/>
  <c r="K182" i="3"/>
  <c r="K158" i="3"/>
  <c r="K174" i="3"/>
  <c r="K357" i="3"/>
  <c r="K389" i="3"/>
  <c r="K421" i="3"/>
  <c r="K453" i="3"/>
  <c r="K333" i="3"/>
  <c r="K365" i="3"/>
  <c r="K397" i="3"/>
  <c r="K429" i="3"/>
  <c r="K461" i="3"/>
  <c r="K341" i="3"/>
  <c r="K373" i="3"/>
  <c r="K405" i="3"/>
  <c r="K437" i="3"/>
  <c r="K469" i="3"/>
  <c r="K381" i="3"/>
  <c r="K349" i="3"/>
  <c r="K413" i="3"/>
  <c r="K445" i="3"/>
  <c r="K205" i="3"/>
  <c r="K229" i="3"/>
  <c r="K253" i="3"/>
  <c r="K277" i="3"/>
  <c r="K301" i="3"/>
  <c r="K325" i="3"/>
  <c r="K285" i="3"/>
  <c r="K309" i="3"/>
  <c r="K189" i="3"/>
  <c r="K245" i="3"/>
  <c r="K237" i="3"/>
  <c r="K293" i="3"/>
  <c r="K261" i="3"/>
  <c r="K317" i="3"/>
  <c r="K197" i="3"/>
  <c r="K213" i="3"/>
  <c r="K269" i="3"/>
  <c r="K221" i="3"/>
  <c r="D123" i="5"/>
  <c r="AC8" i="1" l="1"/>
  <c r="BE37" i="9"/>
  <c r="BE34" i="9"/>
  <c r="AC5" i="1"/>
  <c r="AA123" i="5"/>
  <c r="AC71" i="7"/>
  <c r="K103" i="3"/>
  <c r="K127" i="3"/>
  <c r="K151" i="3"/>
  <c r="K175" i="3"/>
  <c r="K159" i="3"/>
  <c r="K183" i="3"/>
  <c r="K119" i="3"/>
  <c r="K167" i="3"/>
  <c r="K95" i="3"/>
  <c r="K143" i="3"/>
  <c r="K111" i="3"/>
  <c r="K135" i="3"/>
  <c r="K190" i="3"/>
  <c r="K214" i="3"/>
  <c r="K238" i="3"/>
  <c r="K262" i="3"/>
  <c r="K206" i="3"/>
  <c r="K270" i="3"/>
  <c r="K198" i="3"/>
  <c r="K254" i="3"/>
  <c r="K310" i="3"/>
  <c r="K318" i="3"/>
  <c r="K302" i="3"/>
  <c r="K222" i="3"/>
  <c r="K278" i="3"/>
  <c r="K294" i="3"/>
  <c r="K230" i="3"/>
  <c r="K286" i="3"/>
  <c r="K326" i="3"/>
  <c r="K246" i="3"/>
  <c r="K40" i="3"/>
  <c r="K72" i="3"/>
  <c r="K48" i="3"/>
  <c r="K80" i="3"/>
  <c r="K56" i="3"/>
  <c r="K88" i="3"/>
  <c r="K32" i="3"/>
  <c r="K64" i="3"/>
  <c r="D124" i="5"/>
  <c r="Z8" i="1" l="1"/>
  <c r="BB37" i="9"/>
  <c r="BB34" i="9"/>
  <c r="Z5" i="1"/>
  <c r="AA124" i="5"/>
  <c r="AC72" i="7"/>
  <c r="K112" i="3"/>
  <c r="K136" i="3"/>
  <c r="K96" i="3"/>
  <c r="K144" i="3"/>
  <c r="K184" i="3"/>
  <c r="K128" i="3"/>
  <c r="K104" i="3"/>
  <c r="K152" i="3"/>
  <c r="K168" i="3"/>
  <c r="K176" i="3"/>
  <c r="K160" i="3"/>
  <c r="K120" i="3"/>
  <c r="K199" i="3"/>
  <c r="K207" i="3"/>
  <c r="K231" i="3"/>
  <c r="K255" i="3"/>
  <c r="K279" i="3"/>
  <c r="K303" i="3"/>
  <c r="K327" i="3"/>
  <c r="K287" i="3"/>
  <c r="K311" i="3"/>
  <c r="K215" i="3"/>
  <c r="K263" i="3"/>
  <c r="K247" i="3"/>
  <c r="K223" i="3"/>
  <c r="K319" i="3"/>
  <c r="K239" i="3"/>
  <c r="K295" i="3"/>
  <c r="K271" i="3"/>
  <c r="K191" i="3"/>
  <c r="K366" i="3"/>
  <c r="K438" i="3"/>
  <c r="K358" i="3"/>
  <c r="K430" i="3"/>
  <c r="K350" i="3"/>
  <c r="K422" i="3"/>
  <c r="K382" i="3"/>
  <c r="K398" i="3"/>
  <c r="K414" i="3"/>
  <c r="K446" i="3"/>
  <c r="K334" i="3"/>
  <c r="K454" i="3"/>
  <c r="K470" i="3"/>
  <c r="K342" i="3"/>
  <c r="K374" i="3"/>
  <c r="K390" i="3"/>
  <c r="K406" i="3"/>
  <c r="K462" i="3"/>
  <c r="K73" i="3"/>
  <c r="K33" i="3"/>
  <c r="K65" i="3"/>
  <c r="K57" i="3"/>
  <c r="K89" i="3"/>
  <c r="K49" i="3"/>
  <c r="K41" i="3"/>
  <c r="K81" i="3"/>
  <c r="D125" i="5"/>
  <c r="AY37" i="9" l="1"/>
  <c r="W8" i="1"/>
  <c r="AY34" i="9"/>
  <c r="W5" i="1"/>
  <c r="AA125" i="5"/>
  <c r="AC73" i="7"/>
  <c r="K105" i="3"/>
  <c r="K129" i="3"/>
  <c r="K153" i="3"/>
  <c r="K177" i="3"/>
  <c r="K161" i="3"/>
  <c r="K185" i="3"/>
  <c r="K113" i="3"/>
  <c r="K169" i="3"/>
  <c r="K137" i="3"/>
  <c r="K121" i="3"/>
  <c r="K97" i="3"/>
  <c r="K145" i="3"/>
  <c r="K34" i="3"/>
  <c r="K66" i="3"/>
  <c r="K42" i="3"/>
  <c r="K74" i="3"/>
  <c r="K50" i="3"/>
  <c r="K82" i="3"/>
  <c r="K58" i="3"/>
  <c r="K90" i="3"/>
  <c r="K351" i="3"/>
  <c r="K383" i="3"/>
  <c r="K415" i="3"/>
  <c r="K447" i="3"/>
  <c r="K359" i="3"/>
  <c r="K391" i="3"/>
  <c r="K423" i="3"/>
  <c r="K455" i="3"/>
  <c r="K335" i="3"/>
  <c r="K367" i="3"/>
  <c r="K399" i="3"/>
  <c r="K431" i="3"/>
  <c r="K463" i="3"/>
  <c r="K407" i="3"/>
  <c r="K471" i="3"/>
  <c r="K439" i="3"/>
  <c r="K343" i="3"/>
  <c r="K375" i="3"/>
  <c r="K224" i="3"/>
  <c r="K248" i="3"/>
  <c r="K272" i="3"/>
  <c r="K296" i="3"/>
  <c r="K320" i="3"/>
  <c r="K280" i="3"/>
  <c r="K328" i="3"/>
  <c r="K192" i="3"/>
  <c r="K208" i="3"/>
  <c r="K304" i="3"/>
  <c r="K264" i="3"/>
  <c r="K232" i="3"/>
  <c r="K288" i="3"/>
  <c r="K200" i="3"/>
  <c r="K240" i="3"/>
  <c r="K256" i="3"/>
  <c r="K312" i="3"/>
  <c r="K216" i="3"/>
  <c r="D126" i="5"/>
  <c r="T8" i="1" l="1"/>
  <c r="AV37" i="9"/>
  <c r="AV34" i="9"/>
  <c r="T5" i="1"/>
  <c r="AA126" i="5"/>
  <c r="AC74" i="7"/>
  <c r="K98" i="3"/>
  <c r="K122" i="3"/>
  <c r="K146" i="3"/>
  <c r="K170" i="3"/>
  <c r="K162" i="3"/>
  <c r="K106" i="3"/>
  <c r="K154" i="3"/>
  <c r="K138" i="3"/>
  <c r="K186" i="3"/>
  <c r="K130" i="3"/>
  <c r="K114" i="3"/>
  <c r="K178" i="3"/>
  <c r="K201" i="3"/>
  <c r="K209" i="3"/>
  <c r="K233" i="3"/>
  <c r="K257" i="3"/>
  <c r="K281" i="3"/>
  <c r="K305" i="3"/>
  <c r="K329" i="3"/>
  <c r="K225" i="3"/>
  <c r="K217" i="3"/>
  <c r="K273" i="3"/>
  <c r="K265" i="3"/>
  <c r="K313" i="3"/>
  <c r="K321" i="3"/>
  <c r="K193" i="3"/>
  <c r="K249" i="3"/>
  <c r="K241" i="3"/>
  <c r="K297" i="3"/>
  <c r="K289" i="3"/>
  <c r="K336" i="3"/>
  <c r="K376" i="3"/>
  <c r="K448" i="3"/>
  <c r="K400" i="3"/>
  <c r="K440" i="3"/>
  <c r="K392" i="3"/>
  <c r="K464" i="3"/>
  <c r="K432" i="3"/>
  <c r="K352" i="3"/>
  <c r="K368" i="3"/>
  <c r="K384" i="3"/>
  <c r="K416" i="3"/>
  <c r="K424" i="3"/>
  <c r="K456" i="3"/>
  <c r="K472" i="3"/>
  <c r="K360" i="3"/>
  <c r="K408" i="3"/>
  <c r="K344" i="3"/>
  <c r="D127" i="5"/>
  <c r="Q8" i="1" l="1"/>
  <c r="AS37" i="9"/>
  <c r="Q5" i="1"/>
  <c r="AS34" i="9"/>
  <c r="AA127" i="5"/>
  <c r="AC75" i="7"/>
  <c r="K345" i="3"/>
  <c r="K377" i="3"/>
  <c r="K409" i="3"/>
  <c r="K441" i="3"/>
  <c r="K473" i="3"/>
  <c r="K353" i="3"/>
  <c r="K385" i="3"/>
  <c r="K417" i="3"/>
  <c r="K449" i="3"/>
  <c r="K361" i="3"/>
  <c r="K393" i="3"/>
  <c r="K425" i="3"/>
  <c r="K457" i="3"/>
  <c r="K369" i="3"/>
  <c r="K433" i="3"/>
  <c r="K465" i="3"/>
  <c r="K401" i="3"/>
  <c r="K337" i="3"/>
  <c r="K194" i="3"/>
  <c r="K218" i="3"/>
  <c r="K242" i="3"/>
  <c r="K266" i="3"/>
  <c r="K226" i="3"/>
  <c r="K250" i="3"/>
  <c r="K274" i="3"/>
  <c r="K298" i="3"/>
  <c r="K322" i="3"/>
  <c r="K290" i="3"/>
  <c r="K210" i="3"/>
  <c r="K202" i="3"/>
  <c r="K258" i="3"/>
  <c r="K306" i="3"/>
  <c r="K282" i="3"/>
  <c r="K314" i="3"/>
  <c r="K234" i="3"/>
  <c r="K330" i="3"/>
  <c r="D128" i="5"/>
  <c r="AP37" i="9" l="1"/>
  <c r="N8" i="1"/>
  <c r="N5" i="1"/>
  <c r="AP34" i="9"/>
  <c r="AA128" i="5"/>
  <c r="AC76" i="7"/>
  <c r="K346" i="3"/>
  <c r="K418" i="3"/>
  <c r="K338" i="3"/>
  <c r="K410" i="3"/>
  <c r="K362" i="3"/>
  <c r="K402" i="3"/>
  <c r="K474" i="3"/>
  <c r="K434" i="3"/>
  <c r="K450" i="3"/>
  <c r="K466" i="3"/>
  <c r="K354" i="3"/>
  <c r="K370" i="3"/>
  <c r="K386" i="3"/>
  <c r="K394" i="3"/>
  <c r="K426" i="3"/>
  <c r="K442" i="3"/>
  <c r="K458" i="3"/>
  <c r="K378" i="3"/>
  <c r="D129" i="5"/>
  <c r="AM37" i="9" l="1"/>
  <c r="K8" i="1"/>
  <c r="K5" i="1"/>
  <c r="AM34" i="9"/>
  <c r="AA129" i="5"/>
  <c r="AC77" i="7"/>
  <c r="D130" i="5"/>
  <c r="H8" i="1" l="1"/>
  <c r="AJ37" i="9"/>
  <c r="E8" i="1" s="1"/>
  <c r="H5" i="1"/>
  <c r="AJ34" i="9"/>
  <c r="E5" i="1" s="1"/>
  <c r="AA130" i="5"/>
  <c r="AC78" i="7"/>
  <c r="D131" i="5"/>
  <c r="AA131" i="5" l="1"/>
  <c r="AC79" i="7"/>
  <c r="D132" i="5"/>
  <c r="AA132" i="5" l="1"/>
  <c r="AC80" i="7"/>
  <c r="D133" i="5"/>
  <c r="AA133" i="5" l="1"/>
  <c r="AC81" i="7"/>
  <c r="D134" i="5"/>
  <c r="AA134" i="5" l="1"/>
  <c r="AC82" i="7"/>
  <c r="D135" i="5"/>
  <c r="AA135" i="5" l="1"/>
  <c r="AC83" i="7"/>
  <c r="D136" i="5"/>
  <c r="AA136" i="5" l="1"/>
  <c r="AC84" i="7"/>
  <c r="D137" i="5"/>
  <c r="AA137" i="5" l="1"/>
  <c r="AC85" i="7"/>
  <c r="D138" i="5"/>
  <c r="AA138" i="5" l="1"/>
  <c r="AC86" i="7"/>
  <c r="D139" i="5"/>
  <c r="AA139" i="5" l="1"/>
  <c r="AC87" i="7"/>
  <c r="D140" i="5"/>
  <c r="AA140" i="5" l="1"/>
  <c r="AC88" i="7"/>
  <c r="D141" i="5"/>
  <c r="AA141" i="5" l="1"/>
  <c r="AC89" i="7"/>
  <c r="D142" i="5"/>
  <c r="AA142" i="5" l="1"/>
  <c r="AC90" i="7"/>
  <c r="D143" i="5"/>
  <c r="AA143" i="5" l="1"/>
  <c r="AC91" i="7"/>
  <c r="D144" i="5"/>
  <c r="AA144" i="5" l="1"/>
  <c r="AC92" i="7"/>
  <c r="D145" i="5"/>
  <c r="AA145" i="5" l="1"/>
  <c r="AC93" i="7"/>
  <c r="D146" i="5"/>
  <c r="AA146" i="5" l="1"/>
  <c r="AC94" i="7"/>
  <c r="D147" i="5"/>
  <c r="AA147" i="5" l="1"/>
  <c r="AC95" i="7"/>
  <c r="D148" i="5"/>
  <c r="AA148" i="5" l="1"/>
  <c r="AC96" i="7"/>
  <c r="D149" i="5"/>
  <c r="AA149" i="5" l="1"/>
  <c r="AC97" i="7"/>
  <c r="D150" i="5"/>
  <c r="AA150" i="5" l="1"/>
  <c r="AC98" i="7"/>
  <c r="D151" i="5"/>
  <c r="D152" i="5"/>
  <c r="AA151" i="5" l="1"/>
  <c r="AA152" i="5"/>
  <c r="AC99" i="7"/>
  <c r="AC100" i="7" l="1"/>
  <c r="AC101" i="7" l="1"/>
  <c r="AC102" i="7" l="1"/>
  <c r="AW32" i="9"/>
  <c r="AZ32" i="9" l="1"/>
  <c r="BC32" i="9" s="1"/>
  <c r="AC103" i="7"/>
  <c r="BA32" i="9" l="1"/>
  <c r="V3" i="1" s="1"/>
  <c r="BF32" i="9"/>
  <c r="BI32" i="9" l="1"/>
  <c r="AN32" i="9"/>
  <c r="BL32" i="9" l="1"/>
  <c r="AQ32" i="9"/>
  <c r="AK35" i="9"/>
  <c r="BO32" i="9" l="1"/>
  <c r="AN35" i="9"/>
  <c r="AO35" i="9" l="1"/>
  <c r="J6" i="1" s="1"/>
  <c r="P13" i="6" l="1"/>
  <c r="O160" i="5" l="1"/>
  <c r="AQ160" i="5"/>
  <c r="AC160" i="5"/>
  <c r="K18" i="5"/>
  <c r="N9" i="5" s="1"/>
  <c r="N33" i="5"/>
  <c r="N41" i="5" s="1"/>
  <c r="N49" i="5" s="1"/>
  <c r="M13" i="6"/>
  <c r="AN160" i="5" l="1"/>
  <c r="Z160" i="5"/>
  <c r="L160" i="5"/>
  <c r="H18" i="5"/>
  <c r="K9" i="5" s="1"/>
  <c r="K33" i="5"/>
  <c r="K41" i="5" s="1"/>
  <c r="K49" i="5" s="1"/>
  <c r="J4" i="6" l="1"/>
  <c r="J5" i="6" l="1"/>
  <c r="D50" i="5" l="1"/>
  <c r="J6" i="6"/>
  <c r="D51" i="5"/>
  <c r="D52" i="5"/>
  <c r="D53" i="5"/>
  <c r="P52" i="5" l="1"/>
  <c r="S52" i="5" s="1"/>
  <c r="E52" i="5"/>
  <c r="J52" i="5"/>
  <c r="Q52" i="5"/>
  <c r="T52" i="5" s="1"/>
  <c r="I52" i="5"/>
  <c r="H52" i="5"/>
  <c r="O52" i="5"/>
  <c r="G52" i="5"/>
  <c r="F52" i="5"/>
  <c r="L52" i="5"/>
  <c r="F53" i="5"/>
  <c r="P53" i="5"/>
  <c r="S53" i="5" s="1"/>
  <c r="E53" i="5"/>
  <c r="G53" i="5"/>
  <c r="L53" i="5"/>
  <c r="J53" i="5"/>
  <c r="Q53" i="5"/>
  <c r="T53" i="5" s="1"/>
  <c r="I53" i="5"/>
  <c r="H53" i="5"/>
  <c r="O53" i="5"/>
  <c r="P51" i="5"/>
  <c r="S51" i="5" s="1"/>
  <c r="H51" i="5"/>
  <c r="E51" i="5"/>
  <c r="O51" i="5"/>
  <c r="G51" i="5"/>
  <c r="Q51" i="5"/>
  <c r="T51" i="5" s="1"/>
  <c r="F51" i="5"/>
  <c r="L51" i="5"/>
  <c r="J51" i="5"/>
  <c r="I51" i="5"/>
  <c r="E50" i="5"/>
  <c r="G50" i="5"/>
  <c r="L50" i="5"/>
  <c r="P50" i="5"/>
  <c r="S50" i="5" s="1"/>
  <c r="O50" i="5"/>
  <c r="J50" i="5"/>
  <c r="H50" i="5"/>
  <c r="F50" i="5"/>
  <c r="Q50" i="5"/>
  <c r="T50" i="5" s="1"/>
  <c r="I50" i="5"/>
  <c r="K6" i="6" l="1"/>
  <c r="K5" i="6"/>
  <c r="K4" i="6"/>
  <c r="K3" i="6"/>
  <c r="K2" i="6"/>
  <c r="F49" i="7" l="1"/>
  <c r="F86" i="7"/>
  <c r="F73" i="7"/>
  <c r="F29" i="7"/>
  <c r="L29" i="7" s="1"/>
  <c r="F66" i="7"/>
  <c r="F58" i="7"/>
  <c r="F52" i="7"/>
  <c r="F14" i="7"/>
  <c r="L14" i="7" s="1"/>
  <c r="F77" i="7"/>
  <c r="F5" i="7"/>
  <c r="L5" i="7" s="1"/>
  <c r="F95" i="7"/>
  <c r="F89" i="7"/>
  <c r="F85" i="7"/>
  <c r="F98" i="7"/>
  <c r="F10" i="7"/>
  <c r="L10" i="7" s="1"/>
  <c r="F30" i="7"/>
  <c r="L30" i="7" s="1"/>
  <c r="F8" i="7"/>
  <c r="L8" i="7" s="1"/>
  <c r="F71" i="7"/>
  <c r="F99" i="7"/>
  <c r="F88" i="7"/>
  <c r="F48" i="7"/>
  <c r="F101" i="7"/>
  <c r="F83" i="7"/>
  <c r="F64" i="7"/>
  <c r="F34" i="7"/>
  <c r="L34" i="7" s="1"/>
  <c r="F61" i="7"/>
  <c r="F94" i="7"/>
  <c r="F27" i="7"/>
  <c r="L27" i="7" s="1"/>
  <c r="F96" i="7"/>
  <c r="F7" i="7"/>
  <c r="L7" i="7" s="1"/>
  <c r="F15" i="7"/>
  <c r="L15" i="7" s="1"/>
  <c r="F57" i="7"/>
  <c r="F65" i="7"/>
  <c r="F59" i="7"/>
  <c r="F31" i="7"/>
  <c r="L31" i="7" s="1"/>
  <c r="F67" i="7"/>
  <c r="F19" i="7"/>
  <c r="L19" i="7" s="1"/>
  <c r="F70" i="7"/>
  <c r="F25" i="7"/>
  <c r="L25" i="7" s="1"/>
  <c r="F33" i="7"/>
  <c r="L33" i="7" s="1"/>
  <c r="F90" i="7"/>
  <c r="F37" i="7"/>
  <c r="F28" i="7"/>
  <c r="L28" i="7" s="1"/>
  <c r="F40" i="7"/>
  <c r="F68" i="7"/>
  <c r="F38" i="7"/>
  <c r="F81" i="7"/>
  <c r="F102" i="7"/>
  <c r="F41" i="7"/>
  <c r="F55" i="7"/>
  <c r="F87" i="7"/>
  <c r="F60" i="7"/>
  <c r="F35" i="7"/>
  <c r="F54" i="7"/>
  <c r="F9" i="7"/>
  <c r="L9" i="7" s="1"/>
  <c r="F100" i="7"/>
  <c r="F36" i="7"/>
  <c r="F22" i="7"/>
  <c r="L22" i="7" s="1"/>
  <c r="F92" i="7"/>
  <c r="F75" i="7"/>
  <c r="F82" i="7"/>
  <c r="F69" i="7"/>
  <c r="F79" i="7"/>
  <c r="F84" i="7"/>
  <c r="F18" i="7"/>
  <c r="L18" i="7" s="1"/>
  <c r="F45" i="7"/>
  <c r="F50" i="7"/>
  <c r="F17" i="7"/>
  <c r="L17" i="7" s="1"/>
  <c r="F26" i="7"/>
  <c r="L26" i="7" s="1"/>
  <c r="F47" i="7"/>
  <c r="F24" i="7"/>
  <c r="L24" i="7" s="1"/>
  <c r="F13" i="7"/>
  <c r="L13" i="7" s="1"/>
  <c r="F21" i="7"/>
  <c r="L21" i="7" s="1"/>
  <c r="F62" i="7"/>
  <c r="F23" i="7"/>
  <c r="L23" i="7" s="1"/>
  <c r="F80" i="7"/>
  <c r="F56" i="7"/>
  <c r="F46" i="7"/>
  <c r="F97" i="7"/>
  <c r="F51" i="7"/>
  <c r="F42" i="7"/>
  <c r="F16" i="7"/>
  <c r="L16" i="7" s="1"/>
  <c r="F12" i="7"/>
  <c r="L12" i="7" s="1"/>
  <c r="F39" i="7"/>
  <c r="F74" i="7"/>
  <c r="F43" i="7"/>
  <c r="F72" i="7"/>
  <c r="F11" i="7"/>
  <c r="L11" i="7" s="1"/>
  <c r="F20" i="7"/>
  <c r="L20" i="7" s="1"/>
  <c r="F91" i="7"/>
  <c r="F103" i="7"/>
  <c r="F63" i="7"/>
  <c r="F44" i="7"/>
  <c r="F78" i="7"/>
  <c r="F76" i="7"/>
  <c r="F53" i="7"/>
  <c r="F93" i="7"/>
  <c r="F32" i="7"/>
  <c r="L32" i="7" s="1"/>
  <c r="H63" i="7"/>
  <c r="N63" i="7" s="1"/>
  <c r="H75" i="7"/>
  <c r="N75" i="7" s="1"/>
  <c r="H66" i="7"/>
  <c r="N66" i="7" s="1"/>
  <c r="H40" i="7"/>
  <c r="N40" i="7" s="1"/>
  <c r="H24" i="7"/>
  <c r="N24" i="7" s="1"/>
  <c r="H33" i="7"/>
  <c r="N33" i="7" s="1"/>
  <c r="H72" i="7"/>
  <c r="N72" i="7" s="1"/>
  <c r="H16" i="7"/>
  <c r="N16" i="7" s="1"/>
  <c r="H38" i="7"/>
  <c r="N38" i="7" s="1"/>
  <c r="H58" i="7"/>
  <c r="N58" i="7" s="1"/>
  <c r="H53" i="7"/>
  <c r="N53" i="7" s="1"/>
  <c r="H54" i="7"/>
  <c r="N54" i="7" s="1"/>
  <c r="H21" i="7"/>
  <c r="N21" i="7" s="1"/>
  <c r="H34" i="7"/>
  <c r="N34" i="7" s="1"/>
  <c r="H26" i="7"/>
  <c r="N26" i="7" s="1"/>
  <c r="H20" i="7"/>
  <c r="N20" i="7" s="1"/>
  <c r="H10" i="7"/>
  <c r="N10" i="7" s="1"/>
  <c r="H60" i="7"/>
  <c r="N60" i="7" s="1"/>
  <c r="H70" i="7"/>
  <c r="N70" i="7" s="1"/>
  <c r="H45" i="7"/>
  <c r="N45" i="7" s="1"/>
  <c r="H22" i="7"/>
  <c r="N22" i="7" s="1"/>
  <c r="H81" i="7"/>
  <c r="N81" i="7" s="1"/>
  <c r="H13" i="7"/>
  <c r="N13" i="7" s="1"/>
  <c r="H5" i="7"/>
  <c r="N5" i="7" s="1"/>
  <c r="H9" i="7"/>
  <c r="N9" i="7" s="1"/>
  <c r="H77" i="7"/>
  <c r="N77" i="7" s="1"/>
  <c r="H101" i="7"/>
  <c r="N101" i="7" s="1"/>
  <c r="H87" i="7"/>
  <c r="N87" i="7" s="1"/>
  <c r="H61" i="7"/>
  <c r="N61" i="7" s="1"/>
  <c r="H67" i="7"/>
  <c r="N67" i="7" s="1"/>
  <c r="H59" i="7"/>
  <c r="N59" i="7" s="1"/>
  <c r="H52" i="7"/>
  <c r="N52" i="7" s="1"/>
  <c r="H55" i="7"/>
  <c r="N55" i="7" s="1"/>
  <c r="H80" i="7"/>
  <c r="N80" i="7" s="1"/>
  <c r="H51" i="7"/>
  <c r="N51" i="7" s="1"/>
  <c r="H48" i="7"/>
  <c r="N48" i="7" s="1"/>
  <c r="H8" i="7"/>
  <c r="N8" i="7" s="1"/>
  <c r="H39" i="7"/>
  <c r="N39" i="7" s="1"/>
  <c r="H89" i="7"/>
  <c r="N89" i="7" s="1"/>
  <c r="H88" i="7"/>
  <c r="N88" i="7" s="1"/>
  <c r="H96" i="7"/>
  <c r="N96" i="7" s="1"/>
  <c r="H15" i="7"/>
  <c r="N15" i="7" s="1"/>
  <c r="H49" i="7"/>
  <c r="N49" i="7" s="1"/>
  <c r="H95" i="7"/>
  <c r="N95" i="7" s="1"/>
  <c r="H25" i="7"/>
  <c r="N25" i="7" s="1"/>
  <c r="H12" i="7"/>
  <c r="N12" i="7" s="1"/>
  <c r="H11" i="7"/>
  <c r="N11" i="7" s="1"/>
  <c r="H100" i="7"/>
  <c r="N100" i="7" s="1"/>
  <c r="H28" i="7"/>
  <c r="N28" i="7" s="1"/>
  <c r="H97" i="7"/>
  <c r="N97" i="7" s="1"/>
  <c r="H79" i="7"/>
  <c r="N79" i="7" s="1"/>
  <c r="H19" i="7"/>
  <c r="N19" i="7" s="1"/>
  <c r="H93" i="7"/>
  <c r="N93" i="7" s="1"/>
  <c r="H78" i="7"/>
  <c r="N78" i="7" s="1"/>
  <c r="H76" i="7"/>
  <c r="N76" i="7" s="1"/>
  <c r="H30" i="7"/>
  <c r="N30" i="7" s="1"/>
  <c r="H56" i="7"/>
  <c r="N56" i="7" s="1"/>
  <c r="H90" i="7"/>
  <c r="N90" i="7" s="1"/>
  <c r="H41" i="7"/>
  <c r="N41" i="7" s="1"/>
  <c r="H37" i="7"/>
  <c r="N37" i="7" s="1"/>
  <c r="H23" i="7"/>
  <c r="N23" i="7" s="1"/>
  <c r="H46" i="7"/>
  <c r="N46" i="7" s="1"/>
  <c r="H71" i="7"/>
  <c r="N71" i="7" s="1"/>
  <c r="H50" i="7"/>
  <c r="N50" i="7" s="1"/>
  <c r="H92" i="7"/>
  <c r="N92" i="7" s="1"/>
  <c r="H94" i="7"/>
  <c r="N94" i="7" s="1"/>
  <c r="H86" i="7"/>
  <c r="N86" i="7" s="1"/>
  <c r="H29" i="7"/>
  <c r="N29" i="7" s="1"/>
  <c r="H73" i="7"/>
  <c r="N73" i="7" s="1"/>
  <c r="H68" i="7"/>
  <c r="N68" i="7" s="1"/>
  <c r="H74" i="7"/>
  <c r="N74" i="7" s="1"/>
  <c r="H42" i="7"/>
  <c r="N42" i="7" s="1"/>
  <c r="H36" i="7"/>
  <c r="N36" i="7" s="1"/>
  <c r="H82" i="7"/>
  <c r="N82" i="7" s="1"/>
  <c r="H47" i="7"/>
  <c r="N47" i="7" s="1"/>
  <c r="H102" i="7"/>
  <c r="N102" i="7" s="1"/>
  <c r="H85" i="7"/>
  <c r="N85" i="7" s="1"/>
  <c r="H57" i="7"/>
  <c r="N57" i="7" s="1"/>
  <c r="H62" i="7"/>
  <c r="N62" i="7" s="1"/>
  <c r="H44" i="7"/>
  <c r="N44" i="7" s="1"/>
  <c r="H64" i="7"/>
  <c r="N64" i="7" s="1"/>
  <c r="H84" i="7"/>
  <c r="N84" i="7" s="1"/>
  <c r="H17" i="7"/>
  <c r="N17" i="7" s="1"/>
  <c r="H98" i="7"/>
  <c r="N98" i="7" s="1"/>
  <c r="H103" i="7"/>
  <c r="N103" i="7" s="1"/>
  <c r="H83" i="7"/>
  <c r="N83" i="7" s="1"/>
  <c r="H35" i="7"/>
  <c r="N35" i="7" s="1"/>
  <c r="H99" i="7"/>
  <c r="N99" i="7" s="1"/>
  <c r="H27" i="7"/>
  <c r="N27" i="7" s="1"/>
  <c r="H14" i="7"/>
  <c r="N14" i="7" s="1"/>
  <c r="H32" i="7"/>
  <c r="N32" i="7" s="1"/>
  <c r="H43" i="7"/>
  <c r="N43" i="7" s="1"/>
  <c r="H69" i="7"/>
  <c r="N69" i="7" s="1"/>
  <c r="H65" i="7"/>
  <c r="N65" i="7" s="1"/>
  <c r="H18" i="7"/>
  <c r="N18" i="7" s="1"/>
  <c r="H31" i="7"/>
  <c r="N31" i="7" s="1"/>
  <c r="H91" i="7"/>
  <c r="N91" i="7" s="1"/>
  <c r="H7" i="7"/>
  <c r="N7" i="7" s="1"/>
  <c r="I69" i="7"/>
  <c r="O69" i="7" s="1"/>
  <c r="I79" i="7"/>
  <c r="O79" i="7" s="1"/>
  <c r="I28" i="7"/>
  <c r="O28" i="7" s="1"/>
  <c r="I46" i="7"/>
  <c r="O46" i="7" s="1"/>
  <c r="I59" i="7"/>
  <c r="O59" i="7" s="1"/>
  <c r="I88" i="7"/>
  <c r="O88" i="7" s="1"/>
  <c r="I39" i="7"/>
  <c r="O39" i="7" s="1"/>
  <c r="I44" i="7"/>
  <c r="O44" i="7" s="1"/>
  <c r="I33" i="7"/>
  <c r="O33" i="7" s="1"/>
  <c r="I52" i="7"/>
  <c r="O52" i="7" s="1"/>
  <c r="I99" i="7"/>
  <c r="O99" i="7" s="1"/>
  <c r="I7" i="7"/>
  <c r="O7" i="7" s="1"/>
  <c r="I72" i="7"/>
  <c r="O72" i="7" s="1"/>
  <c r="I76" i="7"/>
  <c r="O76" i="7" s="1"/>
  <c r="I31" i="7"/>
  <c r="O31" i="7" s="1"/>
  <c r="I103" i="7"/>
  <c r="O103" i="7" s="1"/>
  <c r="I29" i="7"/>
  <c r="O29" i="7" s="1"/>
  <c r="I101" i="7"/>
  <c r="O101" i="7" s="1"/>
  <c r="I85" i="7"/>
  <c r="O85" i="7" s="1"/>
  <c r="I86" i="7"/>
  <c r="O86" i="7" s="1"/>
  <c r="I37" i="7"/>
  <c r="O37" i="7" s="1"/>
  <c r="I17" i="7"/>
  <c r="O17" i="7" s="1"/>
  <c r="I13" i="7"/>
  <c r="O13" i="7" s="1"/>
  <c r="I95" i="7"/>
  <c r="O95" i="7" s="1"/>
  <c r="I57" i="7"/>
  <c r="O57" i="7" s="1"/>
  <c r="I82" i="7"/>
  <c r="O82" i="7" s="1"/>
  <c r="I49" i="7"/>
  <c r="O49" i="7" s="1"/>
  <c r="I11" i="7"/>
  <c r="O11" i="7" s="1"/>
  <c r="I89" i="7"/>
  <c r="O89" i="7" s="1"/>
  <c r="I51" i="7"/>
  <c r="O51" i="7" s="1"/>
  <c r="I41" i="7"/>
  <c r="O41" i="7" s="1"/>
  <c r="I102" i="7"/>
  <c r="O102" i="7" s="1"/>
  <c r="I12" i="7"/>
  <c r="O12" i="7" s="1"/>
  <c r="I36" i="7"/>
  <c r="O36" i="7" s="1"/>
  <c r="I25" i="7"/>
  <c r="O25" i="7" s="1"/>
  <c r="I96" i="7"/>
  <c r="O96" i="7" s="1"/>
  <c r="I48" i="7"/>
  <c r="O48" i="7" s="1"/>
  <c r="I87" i="7"/>
  <c r="O87" i="7" s="1"/>
  <c r="I65" i="7"/>
  <c r="O65" i="7" s="1"/>
  <c r="I94" i="7"/>
  <c r="O94" i="7" s="1"/>
  <c r="I16" i="7"/>
  <c r="O16" i="7" s="1"/>
  <c r="I66" i="7"/>
  <c r="O66" i="7" s="1"/>
  <c r="I43" i="7"/>
  <c r="O43" i="7" s="1"/>
  <c r="I40" i="7"/>
  <c r="O40" i="7" s="1"/>
  <c r="I53" i="7"/>
  <c r="O53" i="7" s="1"/>
  <c r="I35" i="7"/>
  <c r="O35" i="7" s="1"/>
  <c r="I100" i="7"/>
  <c r="O100" i="7" s="1"/>
  <c r="I32" i="7"/>
  <c r="O32" i="7" s="1"/>
  <c r="I78" i="7"/>
  <c r="O78" i="7" s="1"/>
  <c r="I83" i="7"/>
  <c r="O83" i="7" s="1"/>
  <c r="I84" i="7"/>
  <c r="O84" i="7" s="1"/>
  <c r="I71" i="7"/>
  <c r="O71" i="7" s="1"/>
  <c r="I54" i="7"/>
  <c r="O54" i="7" s="1"/>
  <c r="I26" i="7"/>
  <c r="O26" i="7" s="1"/>
  <c r="I98" i="7"/>
  <c r="O98" i="7" s="1"/>
  <c r="I50" i="7"/>
  <c r="O50" i="7" s="1"/>
  <c r="I81" i="7"/>
  <c r="O81" i="7" s="1"/>
  <c r="I30" i="7"/>
  <c r="O30" i="7" s="1"/>
  <c r="I21" i="7"/>
  <c r="O21" i="7" s="1"/>
  <c r="I67" i="7"/>
  <c r="O67" i="7" s="1"/>
  <c r="I10" i="7"/>
  <c r="O10" i="7" s="1"/>
  <c r="I5" i="7"/>
  <c r="O5" i="7" s="1"/>
  <c r="I63" i="7"/>
  <c r="O63" i="7" s="1"/>
  <c r="I23" i="7"/>
  <c r="O23" i="7" s="1"/>
  <c r="I55" i="7"/>
  <c r="O55" i="7" s="1"/>
  <c r="I77" i="7"/>
  <c r="O77" i="7" s="1"/>
  <c r="I42" i="7"/>
  <c r="O42" i="7" s="1"/>
  <c r="I60" i="7"/>
  <c r="O60" i="7" s="1"/>
  <c r="I14" i="7"/>
  <c r="O14" i="7" s="1"/>
  <c r="I73" i="7"/>
  <c r="O73" i="7" s="1"/>
  <c r="I90" i="7"/>
  <c r="O90" i="7" s="1"/>
  <c r="I24" i="7"/>
  <c r="O24" i="7" s="1"/>
  <c r="I9" i="7"/>
  <c r="O9" i="7" s="1"/>
  <c r="I62" i="7"/>
  <c r="O62" i="7" s="1"/>
  <c r="I58" i="7"/>
  <c r="O58" i="7" s="1"/>
  <c r="I27" i="7"/>
  <c r="O27" i="7" s="1"/>
  <c r="I70" i="7"/>
  <c r="O70" i="7" s="1"/>
  <c r="I74" i="7"/>
  <c r="O74" i="7" s="1"/>
  <c r="I22" i="7"/>
  <c r="O22" i="7" s="1"/>
  <c r="I8" i="7"/>
  <c r="O8" i="7" s="1"/>
  <c r="I61" i="7"/>
  <c r="O61" i="7" s="1"/>
  <c r="I92" i="7"/>
  <c r="O92" i="7" s="1"/>
  <c r="I38" i="7"/>
  <c r="O38" i="7" s="1"/>
  <c r="I93" i="7"/>
  <c r="O93" i="7" s="1"/>
  <c r="I64" i="7"/>
  <c r="O64" i="7" s="1"/>
  <c r="I20" i="7"/>
  <c r="O20" i="7" s="1"/>
  <c r="I91" i="7"/>
  <c r="O91" i="7" s="1"/>
  <c r="I80" i="7"/>
  <c r="O80" i="7" s="1"/>
  <c r="I75" i="7"/>
  <c r="O75" i="7" s="1"/>
  <c r="I45" i="7"/>
  <c r="O45" i="7" s="1"/>
  <c r="I18" i="7"/>
  <c r="O18" i="7" s="1"/>
  <c r="I47" i="7"/>
  <c r="O47" i="7" s="1"/>
  <c r="I68" i="7"/>
  <c r="O68" i="7" s="1"/>
  <c r="I34" i="7"/>
  <c r="O34" i="7" s="1"/>
  <c r="I56" i="7"/>
  <c r="O56" i="7" s="1"/>
  <c r="I97" i="7"/>
  <c r="O97" i="7" s="1"/>
  <c r="I15" i="7"/>
  <c r="O15" i="7" s="1"/>
  <c r="I19" i="7"/>
  <c r="O19" i="7" s="1"/>
  <c r="J43" i="7"/>
  <c r="P43" i="7" s="1"/>
  <c r="J13" i="7"/>
  <c r="P13" i="7" s="1"/>
  <c r="J48" i="7"/>
  <c r="P48" i="7" s="1"/>
  <c r="J33" i="7"/>
  <c r="P33" i="7" s="1"/>
  <c r="J26" i="7"/>
  <c r="P26" i="7" s="1"/>
  <c r="J52" i="7"/>
  <c r="P52" i="7" s="1"/>
  <c r="J103" i="7"/>
  <c r="P103" i="7" s="1"/>
  <c r="J16" i="7"/>
  <c r="P16" i="7" s="1"/>
  <c r="J30" i="7"/>
  <c r="P30" i="7" s="1"/>
  <c r="J46" i="7"/>
  <c r="P46" i="7" s="1"/>
  <c r="J90" i="7"/>
  <c r="P90" i="7" s="1"/>
  <c r="J66" i="7"/>
  <c r="P66" i="7" s="1"/>
  <c r="J73" i="7"/>
  <c r="P73" i="7" s="1"/>
  <c r="J19" i="7"/>
  <c r="P19" i="7" s="1"/>
  <c r="J11" i="7"/>
  <c r="P11" i="7" s="1"/>
  <c r="J84" i="7"/>
  <c r="P84" i="7" s="1"/>
  <c r="J71" i="7"/>
  <c r="P71" i="7" s="1"/>
  <c r="J63" i="7"/>
  <c r="P63" i="7" s="1"/>
  <c r="J101" i="7"/>
  <c r="P101" i="7" s="1"/>
  <c r="J78" i="7"/>
  <c r="P78" i="7" s="1"/>
  <c r="J88" i="7"/>
  <c r="P88" i="7" s="1"/>
  <c r="J23" i="7"/>
  <c r="P23" i="7" s="1"/>
  <c r="J29" i="7"/>
  <c r="P29" i="7" s="1"/>
  <c r="J18" i="7"/>
  <c r="P18" i="7" s="1"/>
  <c r="J20" i="7"/>
  <c r="P20" i="7" s="1"/>
  <c r="J28" i="7"/>
  <c r="P28" i="7" s="1"/>
  <c r="J38" i="7"/>
  <c r="P38" i="7" s="1"/>
  <c r="J80" i="7"/>
  <c r="P80" i="7" s="1"/>
  <c r="J75" i="7"/>
  <c r="P75" i="7" s="1"/>
  <c r="J50" i="7"/>
  <c r="P50" i="7" s="1"/>
  <c r="J45" i="7"/>
  <c r="P45" i="7" s="1"/>
  <c r="J82" i="7"/>
  <c r="P82" i="7" s="1"/>
  <c r="J39" i="7"/>
  <c r="P39" i="7" s="1"/>
  <c r="J64" i="7"/>
  <c r="P64" i="7" s="1"/>
  <c r="J72" i="7"/>
  <c r="P72" i="7" s="1"/>
  <c r="J93" i="7"/>
  <c r="P93" i="7" s="1"/>
  <c r="J97" i="7"/>
  <c r="P97" i="7" s="1"/>
  <c r="J58" i="7"/>
  <c r="P58" i="7" s="1"/>
  <c r="J56" i="7"/>
  <c r="P56" i="7" s="1"/>
  <c r="J96" i="7"/>
  <c r="P96" i="7" s="1"/>
  <c r="J102" i="7"/>
  <c r="P102" i="7" s="1"/>
  <c r="J8" i="7"/>
  <c r="P8" i="7" s="1"/>
  <c r="J41" i="7"/>
  <c r="P41" i="7" s="1"/>
  <c r="J85" i="7"/>
  <c r="P85" i="7" s="1"/>
  <c r="J55" i="7"/>
  <c r="P55" i="7" s="1"/>
  <c r="J10" i="7"/>
  <c r="P10" i="7" s="1"/>
  <c r="J89" i="7"/>
  <c r="P89" i="7" s="1"/>
  <c r="J22" i="7"/>
  <c r="P22" i="7" s="1"/>
  <c r="J74" i="7"/>
  <c r="P74" i="7" s="1"/>
  <c r="J7" i="7"/>
  <c r="P7" i="7" s="1"/>
  <c r="J24" i="7"/>
  <c r="P24" i="7" s="1"/>
  <c r="J69" i="7"/>
  <c r="P69" i="7" s="1"/>
  <c r="J87" i="7"/>
  <c r="P87" i="7" s="1"/>
  <c r="J25" i="7"/>
  <c r="P25" i="7" s="1"/>
  <c r="J37" i="7"/>
  <c r="P37" i="7" s="1"/>
  <c r="J95" i="7"/>
  <c r="P95" i="7" s="1"/>
  <c r="J12" i="7"/>
  <c r="P12" i="7" s="1"/>
  <c r="J35" i="7"/>
  <c r="P35" i="7" s="1"/>
  <c r="J79" i="7"/>
  <c r="P79" i="7" s="1"/>
  <c r="J57" i="7"/>
  <c r="P57" i="7" s="1"/>
  <c r="J54" i="7"/>
  <c r="P54" i="7" s="1"/>
  <c r="J15" i="7"/>
  <c r="P15" i="7" s="1"/>
  <c r="J36" i="7"/>
  <c r="P36" i="7" s="1"/>
  <c r="J98" i="7"/>
  <c r="P98" i="7" s="1"/>
  <c r="J76" i="7"/>
  <c r="P76" i="7" s="1"/>
  <c r="J94" i="7"/>
  <c r="P94" i="7" s="1"/>
  <c r="J67" i="7"/>
  <c r="P67" i="7" s="1"/>
  <c r="J59" i="7"/>
  <c r="P59" i="7" s="1"/>
  <c r="J44" i="7"/>
  <c r="P44" i="7" s="1"/>
  <c r="J5" i="7"/>
  <c r="P5" i="7" s="1"/>
  <c r="J60" i="7"/>
  <c r="P60" i="7" s="1"/>
  <c r="J65" i="7"/>
  <c r="P65" i="7" s="1"/>
  <c r="J31" i="7"/>
  <c r="P31" i="7" s="1"/>
  <c r="J61" i="7"/>
  <c r="P61" i="7" s="1"/>
  <c r="J21" i="7"/>
  <c r="P21" i="7" s="1"/>
  <c r="J42" i="7"/>
  <c r="P42" i="7" s="1"/>
  <c r="J9" i="7"/>
  <c r="P9" i="7" s="1"/>
  <c r="J53" i="7"/>
  <c r="P53" i="7" s="1"/>
  <c r="J77" i="7"/>
  <c r="P77" i="7" s="1"/>
  <c r="J27" i="7"/>
  <c r="P27" i="7" s="1"/>
  <c r="J49" i="7"/>
  <c r="P49" i="7" s="1"/>
  <c r="J34" i="7"/>
  <c r="P34" i="7" s="1"/>
  <c r="J100" i="7"/>
  <c r="P100" i="7" s="1"/>
  <c r="J40" i="7"/>
  <c r="P40" i="7" s="1"/>
  <c r="J14" i="7"/>
  <c r="P14" i="7" s="1"/>
  <c r="J70" i="7"/>
  <c r="P70" i="7" s="1"/>
  <c r="J47" i="7"/>
  <c r="P47" i="7" s="1"/>
  <c r="J91" i="7"/>
  <c r="P91" i="7" s="1"/>
  <c r="J32" i="7"/>
  <c r="P32" i="7" s="1"/>
  <c r="J81" i="7"/>
  <c r="P81" i="7" s="1"/>
  <c r="J92" i="7"/>
  <c r="P92" i="7" s="1"/>
  <c r="J99" i="7"/>
  <c r="P99" i="7" s="1"/>
  <c r="J68" i="7"/>
  <c r="P68" i="7" s="1"/>
  <c r="J62" i="7"/>
  <c r="P62" i="7" s="1"/>
  <c r="J17" i="7"/>
  <c r="P17" i="7" s="1"/>
  <c r="J51" i="7"/>
  <c r="P51" i="7" s="1"/>
  <c r="J86" i="7"/>
  <c r="P86" i="7" s="1"/>
  <c r="J83" i="7"/>
  <c r="P83" i="7" s="1"/>
  <c r="G70" i="7"/>
  <c r="M70" i="7" s="1"/>
  <c r="G73" i="7"/>
  <c r="M73" i="7" s="1"/>
  <c r="G81" i="7"/>
  <c r="M81" i="7" s="1"/>
  <c r="G34" i="7"/>
  <c r="M34" i="7" s="1"/>
  <c r="G82" i="7"/>
  <c r="M82" i="7" s="1"/>
  <c r="G7" i="7"/>
  <c r="M7" i="7" s="1"/>
  <c r="G40" i="7"/>
  <c r="M40" i="7" s="1"/>
  <c r="G59" i="7"/>
  <c r="M59" i="7" s="1"/>
  <c r="G83" i="7"/>
  <c r="M83" i="7" s="1"/>
  <c r="G30" i="7"/>
  <c r="M30" i="7" s="1"/>
  <c r="G15" i="7"/>
  <c r="M15" i="7" s="1"/>
  <c r="G87" i="7"/>
  <c r="M87" i="7" s="1"/>
  <c r="G55" i="7"/>
  <c r="M55" i="7" s="1"/>
  <c r="G53" i="7"/>
  <c r="M53" i="7" s="1"/>
  <c r="G21" i="7"/>
  <c r="M21" i="7" s="1"/>
  <c r="G102" i="7"/>
  <c r="M102" i="7" s="1"/>
  <c r="G98" i="7"/>
  <c r="M98" i="7" s="1"/>
  <c r="G93" i="7"/>
  <c r="M93" i="7" s="1"/>
  <c r="G31" i="7"/>
  <c r="M31" i="7" s="1"/>
  <c r="G49" i="7"/>
  <c r="M49" i="7" s="1"/>
  <c r="G12" i="7"/>
  <c r="M12" i="7" s="1"/>
  <c r="G67" i="7"/>
  <c r="M67" i="7" s="1"/>
  <c r="G90" i="7"/>
  <c r="M90" i="7" s="1"/>
  <c r="G48" i="7"/>
  <c r="M48" i="7" s="1"/>
  <c r="G65" i="7"/>
  <c r="M65" i="7" s="1"/>
  <c r="G103" i="7"/>
  <c r="M103" i="7" s="1"/>
  <c r="G63" i="7"/>
  <c r="M63" i="7" s="1"/>
  <c r="G84" i="7"/>
  <c r="M84" i="7" s="1"/>
  <c r="G56" i="7"/>
  <c r="M56" i="7" s="1"/>
  <c r="G96" i="7"/>
  <c r="M96" i="7" s="1"/>
  <c r="G85" i="7"/>
  <c r="M85" i="7" s="1"/>
  <c r="G58" i="7"/>
  <c r="M58" i="7" s="1"/>
  <c r="G97" i="7"/>
  <c r="M97" i="7" s="1"/>
  <c r="G25" i="7"/>
  <c r="M25" i="7" s="1"/>
  <c r="G61" i="7"/>
  <c r="M61" i="7" s="1"/>
  <c r="G27" i="7"/>
  <c r="M27" i="7" s="1"/>
  <c r="G16" i="7"/>
  <c r="M16" i="7" s="1"/>
  <c r="G60" i="7"/>
  <c r="M60" i="7" s="1"/>
  <c r="G10" i="7"/>
  <c r="M10" i="7" s="1"/>
  <c r="G101" i="7"/>
  <c r="M101" i="7" s="1"/>
  <c r="G37" i="7"/>
  <c r="M37" i="7" s="1"/>
  <c r="G43" i="7"/>
  <c r="M43" i="7" s="1"/>
  <c r="G36" i="7"/>
  <c r="M36" i="7" s="1"/>
  <c r="G71" i="7"/>
  <c r="M71" i="7" s="1"/>
  <c r="G45" i="7"/>
  <c r="M45" i="7" s="1"/>
  <c r="G92" i="7"/>
  <c r="M92" i="7" s="1"/>
  <c r="G57" i="7"/>
  <c r="M57" i="7" s="1"/>
  <c r="G51" i="7"/>
  <c r="M51" i="7" s="1"/>
  <c r="G66" i="7"/>
  <c r="M66" i="7" s="1"/>
  <c r="G74" i="7"/>
  <c r="M74" i="7" s="1"/>
  <c r="G22" i="7"/>
  <c r="M22" i="7" s="1"/>
  <c r="G8" i="7"/>
  <c r="M8" i="7" s="1"/>
  <c r="G18" i="7"/>
  <c r="M18" i="7" s="1"/>
  <c r="G91" i="7"/>
  <c r="M91" i="7" s="1"/>
  <c r="G68" i="7"/>
  <c r="M68" i="7" s="1"/>
  <c r="G35" i="7"/>
  <c r="M35" i="7" s="1"/>
  <c r="G28" i="7"/>
  <c r="M28" i="7" s="1"/>
  <c r="G46" i="7"/>
  <c r="M46" i="7" s="1"/>
  <c r="G62" i="7"/>
  <c r="M62" i="7" s="1"/>
  <c r="G76" i="7"/>
  <c r="M76" i="7" s="1"/>
  <c r="G99" i="7"/>
  <c r="M99" i="7" s="1"/>
  <c r="G17" i="7"/>
  <c r="M17" i="7" s="1"/>
  <c r="G89" i="7"/>
  <c r="M89" i="7" s="1"/>
  <c r="G86" i="7"/>
  <c r="M86" i="7" s="1"/>
  <c r="G20" i="7"/>
  <c r="M20" i="7" s="1"/>
  <c r="G47" i="7"/>
  <c r="M47" i="7" s="1"/>
  <c r="G32" i="7"/>
  <c r="M32" i="7" s="1"/>
  <c r="G79" i="7"/>
  <c r="M79" i="7" s="1"/>
  <c r="G75" i="7"/>
  <c r="M75" i="7" s="1"/>
  <c r="G54" i="7"/>
  <c r="M54" i="7" s="1"/>
  <c r="G41" i="7"/>
  <c r="M41" i="7" s="1"/>
  <c r="G29" i="7"/>
  <c r="M29" i="7" s="1"/>
  <c r="G50" i="7"/>
  <c r="M50" i="7" s="1"/>
  <c r="G23" i="7"/>
  <c r="M23" i="7" s="1"/>
  <c r="G9" i="7"/>
  <c r="M9" i="7" s="1"/>
  <c r="G14" i="7"/>
  <c r="M14" i="7" s="1"/>
  <c r="G39" i="7"/>
  <c r="M39" i="7" s="1"/>
  <c r="G64" i="7"/>
  <c r="M64" i="7" s="1"/>
  <c r="G33" i="7"/>
  <c r="M33" i="7" s="1"/>
  <c r="G5" i="7"/>
  <c r="M5" i="7" s="1"/>
  <c r="G88" i="7"/>
  <c r="M88" i="7" s="1"/>
  <c r="G11" i="7"/>
  <c r="M11" i="7" s="1"/>
  <c r="G44" i="7"/>
  <c r="M44" i="7" s="1"/>
  <c r="G19" i="7"/>
  <c r="M19" i="7" s="1"/>
  <c r="G69" i="7"/>
  <c r="M69" i="7" s="1"/>
  <c r="G78" i="7"/>
  <c r="M78" i="7" s="1"/>
  <c r="G95" i="7"/>
  <c r="M95" i="7" s="1"/>
  <c r="G100" i="7"/>
  <c r="M100" i="7" s="1"/>
  <c r="G42" i="7"/>
  <c r="M42" i="7" s="1"/>
  <c r="G72" i="7"/>
  <c r="M72" i="7" s="1"/>
  <c r="G94" i="7"/>
  <c r="M94" i="7" s="1"/>
  <c r="G77" i="7"/>
  <c r="M77" i="7" s="1"/>
  <c r="G38" i="7"/>
  <c r="M38" i="7" s="1"/>
  <c r="G24" i="7"/>
  <c r="M24" i="7" s="1"/>
  <c r="G13" i="7"/>
  <c r="M13" i="7" s="1"/>
  <c r="G26" i="7"/>
  <c r="M26" i="7" s="1"/>
  <c r="G52" i="7"/>
  <c r="M52" i="7" s="1"/>
  <c r="G80" i="7"/>
  <c r="M80" i="7" s="1"/>
  <c r="R21" i="7" l="1"/>
  <c r="Q33" i="7"/>
  <c r="R33" i="7" s="1"/>
  <c r="Q34" i="7"/>
  <c r="R34" i="7" s="1"/>
  <c r="L81" i="7"/>
  <c r="Q81" i="7" s="1"/>
  <c r="K81" i="7"/>
  <c r="K43" i="7"/>
  <c r="L47" i="7"/>
  <c r="Q47" i="7" s="1"/>
  <c r="K47" i="7"/>
  <c r="L38" i="7"/>
  <c r="Q38" i="7" s="1"/>
  <c r="K38" i="7"/>
  <c r="L83" i="7"/>
  <c r="Q83" i="7" s="1"/>
  <c r="K83" i="7"/>
  <c r="K44" i="7"/>
  <c r="L74" i="7"/>
  <c r="Q74" i="7" s="1"/>
  <c r="K74" i="7"/>
  <c r="L56" i="7"/>
  <c r="Q56" i="7" s="1"/>
  <c r="K56" i="7"/>
  <c r="L82" i="7"/>
  <c r="Q82" i="7" s="1"/>
  <c r="K82" i="7"/>
  <c r="L35" i="7"/>
  <c r="Q35" i="7" s="1"/>
  <c r="R35" i="7" s="1"/>
  <c r="K35" i="7"/>
  <c r="L68" i="7"/>
  <c r="Q68" i="7" s="1"/>
  <c r="K68" i="7"/>
  <c r="L101" i="7"/>
  <c r="Q101" i="7" s="1"/>
  <c r="K101" i="7"/>
  <c r="L98" i="7"/>
  <c r="Q98" i="7" s="1"/>
  <c r="K98" i="7"/>
  <c r="L58" i="7"/>
  <c r="Q58" i="7" s="1"/>
  <c r="K58" i="7"/>
  <c r="L63" i="7"/>
  <c r="Q63" i="7" s="1"/>
  <c r="K63" i="7"/>
  <c r="K39" i="7"/>
  <c r="L80" i="7"/>
  <c r="Q80" i="7" s="1"/>
  <c r="K80" i="7"/>
  <c r="L75" i="7"/>
  <c r="Q75" i="7" s="1"/>
  <c r="K75" i="7"/>
  <c r="L60" i="7"/>
  <c r="Q60" i="7" s="1"/>
  <c r="K60" i="7"/>
  <c r="K40" i="7"/>
  <c r="L67" i="7"/>
  <c r="Q67" i="7" s="1"/>
  <c r="K67" i="7"/>
  <c r="L96" i="7"/>
  <c r="Q96" i="7" s="1"/>
  <c r="K96" i="7"/>
  <c r="L48" i="7"/>
  <c r="Q48" i="7" s="1"/>
  <c r="K48" i="7"/>
  <c r="L85" i="7"/>
  <c r="Q85" i="7" s="1"/>
  <c r="K85" i="7"/>
  <c r="L66" i="7"/>
  <c r="Q66" i="7" s="1"/>
  <c r="K66" i="7"/>
  <c r="L78" i="7"/>
  <c r="Q78" i="7" s="1"/>
  <c r="K78" i="7"/>
  <c r="K46" i="7"/>
  <c r="L54" i="7"/>
  <c r="Q54" i="7" s="1"/>
  <c r="K54" i="7"/>
  <c r="L103" i="7"/>
  <c r="Q103" i="7" s="1"/>
  <c r="K103" i="7"/>
  <c r="L50" i="7"/>
  <c r="Q50" i="7" s="1"/>
  <c r="K50" i="7"/>
  <c r="L89" i="7"/>
  <c r="Q89" i="7" s="1"/>
  <c r="K89" i="7"/>
  <c r="L93" i="7"/>
  <c r="Q93" i="7" s="1"/>
  <c r="K93" i="7"/>
  <c r="L91" i="7"/>
  <c r="Q91" i="7" s="1"/>
  <c r="K91" i="7"/>
  <c r="L62" i="7"/>
  <c r="Q62" i="7" s="1"/>
  <c r="K62" i="7"/>
  <c r="K45" i="7"/>
  <c r="L55" i="7"/>
  <c r="Q55" i="7" s="1"/>
  <c r="K55" i="7"/>
  <c r="L37" i="7"/>
  <c r="Q37" i="7" s="1"/>
  <c r="K37" i="7"/>
  <c r="L59" i="7"/>
  <c r="Q59" i="7" s="1"/>
  <c r="K59" i="7"/>
  <c r="L94" i="7"/>
  <c r="Q94" i="7" s="1"/>
  <c r="K94" i="7"/>
  <c r="L99" i="7"/>
  <c r="Q99" i="7" s="1"/>
  <c r="K99" i="7"/>
  <c r="L95" i="7"/>
  <c r="Q95" i="7" s="1"/>
  <c r="K95" i="7"/>
  <c r="L73" i="7"/>
  <c r="Q73" i="7" s="1"/>
  <c r="K73" i="7"/>
  <c r="L92" i="7"/>
  <c r="Q92" i="7" s="1"/>
  <c r="K92" i="7"/>
  <c r="L53" i="7"/>
  <c r="Q53" i="7" s="1"/>
  <c r="K53" i="7"/>
  <c r="K42" i="7"/>
  <c r="L36" i="7"/>
  <c r="Q36" i="7" s="1"/>
  <c r="K36" i="7"/>
  <c r="K41" i="7"/>
  <c r="L90" i="7"/>
  <c r="Q90" i="7" s="1"/>
  <c r="K90" i="7"/>
  <c r="L65" i="7"/>
  <c r="Q65" i="7" s="1"/>
  <c r="K65" i="7"/>
  <c r="L61" i="7"/>
  <c r="Q61" i="7" s="1"/>
  <c r="K61" i="7"/>
  <c r="L71" i="7"/>
  <c r="Q71" i="7" s="1"/>
  <c r="K71" i="7"/>
  <c r="L86" i="7"/>
  <c r="Q86" i="7" s="1"/>
  <c r="K86" i="7"/>
  <c r="L72" i="7"/>
  <c r="Q72" i="7" s="1"/>
  <c r="K72" i="7"/>
  <c r="L97" i="7"/>
  <c r="Q97" i="7" s="1"/>
  <c r="K97" i="7"/>
  <c r="L79" i="7"/>
  <c r="Q79" i="7" s="1"/>
  <c r="K79" i="7"/>
  <c r="L64" i="7"/>
  <c r="Q64" i="7" s="1"/>
  <c r="K64" i="7"/>
  <c r="L69" i="7"/>
  <c r="Q69" i="7" s="1"/>
  <c r="K69" i="7"/>
  <c r="L70" i="7"/>
  <c r="Q70" i="7" s="1"/>
  <c r="K70" i="7"/>
  <c r="L52" i="7"/>
  <c r="Q52" i="7" s="1"/>
  <c r="K52" i="7"/>
  <c r="L87" i="7"/>
  <c r="Q87" i="7" s="1"/>
  <c r="K87" i="7"/>
  <c r="L88" i="7"/>
  <c r="Q88" i="7" s="1"/>
  <c r="K88" i="7"/>
  <c r="L76" i="7"/>
  <c r="Q76" i="7" s="1"/>
  <c r="K76" i="7"/>
  <c r="L51" i="7"/>
  <c r="Q51" i="7" s="1"/>
  <c r="K51" i="7"/>
  <c r="L84" i="7"/>
  <c r="Q84" i="7" s="1"/>
  <c r="K84" i="7"/>
  <c r="L100" i="7"/>
  <c r="Q100" i="7" s="1"/>
  <c r="K100" i="7"/>
  <c r="L102" i="7"/>
  <c r="Q102" i="7" s="1"/>
  <c r="K102" i="7"/>
  <c r="L57" i="7"/>
  <c r="Q57" i="7" s="1"/>
  <c r="K57" i="7"/>
  <c r="L77" i="7"/>
  <c r="Q77" i="7" s="1"/>
  <c r="K77" i="7"/>
  <c r="L49" i="7"/>
  <c r="Q49" i="7" s="1"/>
  <c r="K49" i="7"/>
  <c r="R36" i="7" l="1"/>
  <c r="R37" i="7"/>
  <c r="R38" i="7"/>
  <c r="Q106" i="7"/>
  <c r="I193" i="3" l="1"/>
  <c r="C193" i="3" s="1"/>
  <c r="I194" i="3"/>
  <c r="C194" i="3" s="1"/>
  <c r="I190" i="3"/>
  <c r="C190" i="3" s="1"/>
  <c r="I192" i="3"/>
  <c r="C192" i="3" s="1"/>
  <c r="I189" i="3"/>
  <c r="C189" i="3" s="1"/>
  <c r="I191" i="3"/>
  <c r="C191" i="3" s="1"/>
  <c r="I188" i="3"/>
  <c r="C188" i="3" s="1"/>
  <c r="I187" i="3"/>
  <c r="C187" i="3" s="1"/>
  <c r="I200" i="3" l="1"/>
  <c r="C200" i="3" s="1"/>
  <c r="I196" i="3"/>
  <c r="C196" i="3" s="1"/>
  <c r="I202" i="3"/>
  <c r="C202" i="3" s="1"/>
  <c r="I199" i="3"/>
  <c r="C199" i="3" s="1"/>
  <c r="I197" i="3"/>
  <c r="C197" i="3" s="1"/>
  <c r="I201" i="3"/>
  <c r="C201" i="3" s="1"/>
  <c r="I198" i="3"/>
  <c r="C198" i="3" s="1"/>
  <c r="I195" i="3"/>
  <c r="C195" i="3" s="1"/>
  <c r="V134" i="5" l="1"/>
  <c r="O152" i="5"/>
  <c r="O134" i="5"/>
  <c r="V152" i="5"/>
  <c r="J87" i="5" l="1"/>
  <c r="O77" i="5"/>
  <c r="O78" i="5" s="1"/>
  <c r="O79" i="5" s="1"/>
  <c r="O80" i="5" s="1"/>
  <c r="O81" i="5" s="1"/>
  <c r="O82" i="5" s="1"/>
  <c r="O83" i="5" s="1"/>
  <c r="O84" i="5" s="1"/>
  <c r="O85" i="5" s="1"/>
  <c r="O86" i="5" s="1"/>
  <c r="X78" i="5"/>
  <c r="X80" i="5" s="1"/>
  <c r="Q76" i="5"/>
  <c r="J88" i="5" l="1"/>
  <c r="Q77" i="5"/>
  <c r="C21" i="9"/>
  <c r="L39" i="7"/>
  <c r="Q39" i="7" s="1"/>
  <c r="R39" i="7" s="1"/>
  <c r="X81" i="5"/>
  <c r="L40" i="7" l="1"/>
  <c r="Q40" i="7" s="1"/>
  <c r="R40" i="7" s="1"/>
  <c r="X82" i="5"/>
  <c r="X83" i="5" s="1"/>
  <c r="K19" i="3"/>
  <c r="K11" i="3"/>
  <c r="Q78" i="5"/>
  <c r="K3" i="3"/>
  <c r="D12" i="9"/>
  <c r="F12" i="9" s="1"/>
  <c r="D58" i="9"/>
  <c r="F58" i="9" s="1"/>
  <c r="D14" i="9"/>
  <c r="F14" i="9" s="1"/>
  <c r="D62" i="9"/>
  <c r="F62" i="9" s="1"/>
  <c r="D57" i="9"/>
  <c r="F57" i="9" s="1"/>
  <c r="D11" i="9"/>
  <c r="D59" i="9"/>
  <c r="F59" i="9" s="1"/>
  <c r="D66" i="9"/>
  <c r="F66" i="9" s="1"/>
  <c r="D63" i="9"/>
  <c r="F63" i="9" s="1"/>
  <c r="D13" i="9"/>
  <c r="F13" i="9" s="1"/>
  <c r="D15" i="9"/>
  <c r="F15" i="9" s="1"/>
  <c r="X84" i="5" l="1"/>
  <c r="L44" i="7" s="1"/>
  <c r="Q44" i="7" s="1"/>
  <c r="L41" i="7"/>
  <c r="Q41" i="7" s="1"/>
  <c r="R41" i="7" s="1"/>
  <c r="Z40" i="7"/>
  <c r="K4" i="3"/>
  <c r="K20" i="3"/>
  <c r="Q79" i="5"/>
  <c r="K12" i="3"/>
  <c r="F11" i="9"/>
  <c r="J6" i="9"/>
  <c r="K7" i="9" l="1"/>
  <c r="L42" i="7"/>
  <c r="Q42" i="7" s="1"/>
  <c r="R42" i="7" s="1"/>
  <c r="X85" i="5"/>
  <c r="K13" i="3"/>
  <c r="K21" i="3"/>
  <c r="K5" i="3"/>
  <c r="Q80" i="5"/>
  <c r="Z41" i="7"/>
  <c r="E23" i="9" l="1"/>
  <c r="F23" i="9" s="1"/>
  <c r="G23" i="9" s="1"/>
  <c r="E20" i="9"/>
  <c r="F20" i="9" s="1"/>
  <c r="G20" i="9" s="1"/>
  <c r="X86" i="5"/>
  <c r="X87" i="5" s="1"/>
  <c r="L46" i="7" s="1"/>
  <c r="Q46" i="7" s="1"/>
  <c r="L45" i="7"/>
  <c r="Q45" i="7" s="1"/>
  <c r="J7" i="9"/>
  <c r="K6" i="3"/>
  <c r="K14" i="3"/>
  <c r="K22" i="3"/>
  <c r="Q81" i="5"/>
  <c r="L43" i="7"/>
  <c r="Q43" i="7" s="1"/>
  <c r="R43" i="7" s="1"/>
  <c r="Z42" i="7"/>
  <c r="E25" i="9"/>
  <c r="F25" i="9" s="1"/>
  <c r="G25" i="9" s="1"/>
  <c r="K8" i="9"/>
  <c r="E22" i="9"/>
  <c r="F22" i="9" s="1"/>
  <c r="G22" i="9" s="1"/>
  <c r="E24" i="9"/>
  <c r="F24" i="9" s="1"/>
  <c r="G24" i="9" s="1"/>
  <c r="E21" i="9"/>
  <c r="F21" i="9" s="1"/>
  <c r="G21" i="9" s="1"/>
  <c r="R47" i="7" l="1"/>
  <c r="R44" i="7"/>
  <c r="R45" i="7"/>
  <c r="Z45" i="7" s="1"/>
  <c r="R46" i="7"/>
  <c r="Z46" i="7" s="1"/>
  <c r="J8" i="9"/>
  <c r="Z43" i="7"/>
  <c r="K7" i="3"/>
  <c r="Q82" i="5"/>
  <c r="K15" i="3"/>
  <c r="K23" i="3"/>
  <c r="Z44" i="7" l="1"/>
  <c r="R56" i="7"/>
  <c r="R100" i="7"/>
  <c r="R86" i="7"/>
  <c r="R98" i="7"/>
  <c r="R50" i="7"/>
  <c r="R91" i="7"/>
  <c r="R93" i="7"/>
  <c r="R97" i="7"/>
  <c r="R90" i="7"/>
  <c r="R95" i="7"/>
  <c r="R49" i="7"/>
  <c r="R94" i="7"/>
  <c r="R84" i="7"/>
  <c r="R101" i="7"/>
  <c r="R102" i="7"/>
  <c r="R103" i="7"/>
  <c r="R54" i="7"/>
  <c r="R92" i="7"/>
  <c r="R51" i="7"/>
  <c r="R53" i="7"/>
  <c r="R87" i="7"/>
  <c r="R48" i="7"/>
  <c r="R85" i="7"/>
  <c r="R99" i="7"/>
  <c r="R88" i="7"/>
  <c r="Z47" i="7"/>
  <c r="R52" i="7"/>
  <c r="R55" i="7"/>
  <c r="R89" i="7"/>
  <c r="R96" i="7"/>
  <c r="Q83" i="5"/>
  <c r="K8" i="3"/>
  <c r="K24" i="3"/>
  <c r="K16" i="3"/>
  <c r="Z53" i="7" l="1"/>
  <c r="Z50" i="7"/>
  <c r="Z52" i="7"/>
  <c r="Z98" i="7"/>
  <c r="Z92" i="7"/>
  <c r="Z88" i="7"/>
  <c r="Z95" i="7"/>
  <c r="Z99" i="7"/>
  <c r="Z103" i="7"/>
  <c r="Z90" i="7"/>
  <c r="R57" i="7"/>
  <c r="R63" i="7"/>
  <c r="R61" i="7"/>
  <c r="Z56" i="7"/>
  <c r="R60" i="7"/>
  <c r="R64" i="7"/>
  <c r="R62" i="7"/>
  <c r="R58" i="7"/>
  <c r="R59" i="7"/>
  <c r="Z84" i="7"/>
  <c r="Z51" i="7"/>
  <c r="Z86" i="7"/>
  <c r="Z102" i="7"/>
  <c r="Z97" i="7"/>
  <c r="Z96" i="7"/>
  <c r="Z48" i="7"/>
  <c r="Z101" i="7"/>
  <c r="Z93" i="7"/>
  <c r="Z55" i="7"/>
  <c r="Z94" i="7"/>
  <c r="Z49" i="7"/>
  <c r="Z54" i="7"/>
  <c r="Z100" i="7"/>
  <c r="Z85" i="7"/>
  <c r="Z89" i="7"/>
  <c r="Z87" i="7"/>
  <c r="Z91" i="7"/>
  <c r="Q84" i="5"/>
  <c r="K25" i="3"/>
  <c r="K9" i="3"/>
  <c r="K17" i="3"/>
  <c r="Z61" i="7" l="1"/>
  <c r="Z62" i="7"/>
  <c r="Z57" i="7"/>
  <c r="Z58" i="7"/>
  <c r="R69" i="7"/>
  <c r="R71" i="7"/>
  <c r="R68" i="7"/>
  <c r="R65" i="7"/>
  <c r="R67" i="7"/>
  <c r="R70" i="7"/>
  <c r="R66" i="7"/>
  <c r="Z64" i="7"/>
  <c r="Z60" i="7"/>
  <c r="Z63" i="7"/>
  <c r="Z59" i="7"/>
  <c r="K10" i="3"/>
  <c r="K26" i="3"/>
  <c r="Q85" i="5"/>
  <c r="K18" i="3"/>
  <c r="Z68" i="7" l="1"/>
  <c r="Z70" i="7"/>
  <c r="Z65" i="7"/>
  <c r="Z69" i="7"/>
  <c r="Z67" i="7"/>
  <c r="R74" i="7"/>
  <c r="R76" i="7"/>
  <c r="R75" i="7"/>
  <c r="R72" i="7"/>
  <c r="R73" i="7"/>
  <c r="R77" i="7"/>
  <c r="Z71" i="7"/>
  <c r="Z66" i="7"/>
  <c r="Q86" i="5"/>
  <c r="Z73" i="7" l="1"/>
  <c r="Z76" i="7"/>
  <c r="Z72" i="7"/>
  <c r="Z75" i="7"/>
  <c r="Z74" i="7"/>
  <c r="R78" i="7"/>
  <c r="R79" i="7"/>
  <c r="R80" i="7"/>
  <c r="R82" i="7"/>
  <c r="R81" i="7"/>
  <c r="Z77" i="7"/>
  <c r="C4" i="5"/>
  <c r="H25" i="5" s="1"/>
  <c r="Z80" i="7" l="1"/>
  <c r="Z79" i="7"/>
  <c r="Z81" i="7"/>
  <c r="R83" i="7"/>
  <c r="Z82" i="7"/>
  <c r="Z78" i="7"/>
  <c r="E25" i="5"/>
  <c r="G25" i="5"/>
  <c r="I25" i="5"/>
  <c r="F25" i="5"/>
  <c r="D5" i="5"/>
  <c r="D4" i="5"/>
  <c r="S35" i="7" l="1"/>
  <c r="Z83" i="7"/>
  <c r="S38" i="7"/>
  <c r="S34" i="7"/>
  <c r="S36" i="7"/>
  <c r="S37" i="7"/>
  <c r="S83" i="7"/>
  <c r="S33" i="7"/>
  <c r="T33" i="7" s="1"/>
  <c r="S39" i="7"/>
  <c r="S40" i="7"/>
  <c r="S41" i="7"/>
  <c r="S42" i="7"/>
  <c r="S43" i="7"/>
  <c r="S45" i="7"/>
  <c r="S47" i="7"/>
  <c r="S46" i="7"/>
  <c r="S44" i="7"/>
  <c r="S98" i="7"/>
  <c r="S99" i="7"/>
  <c r="S97" i="7"/>
  <c r="S93" i="7"/>
  <c r="S54" i="7"/>
  <c r="S87" i="7"/>
  <c r="U87" i="7" s="1"/>
  <c r="S103" i="7"/>
  <c r="S89" i="7"/>
  <c r="S84" i="7"/>
  <c r="S92" i="7"/>
  <c r="S51" i="7"/>
  <c r="S96" i="7"/>
  <c r="S100" i="7"/>
  <c r="U100" i="7" s="1"/>
  <c r="S91" i="7"/>
  <c r="S53" i="7"/>
  <c r="S55" i="7"/>
  <c r="S52" i="7"/>
  <c r="S56" i="7"/>
  <c r="S88" i="7"/>
  <c r="S90" i="7"/>
  <c r="S86" i="7"/>
  <c r="S48" i="7"/>
  <c r="S94" i="7"/>
  <c r="S85" i="7"/>
  <c r="S50" i="7"/>
  <c r="S102" i="7"/>
  <c r="S49" i="7"/>
  <c r="S95" i="7"/>
  <c r="S101" i="7"/>
  <c r="S58" i="7"/>
  <c r="S63" i="7"/>
  <c r="S64" i="7"/>
  <c r="S61" i="7"/>
  <c r="S62" i="7"/>
  <c r="S60" i="7"/>
  <c r="S57" i="7"/>
  <c r="S59" i="7"/>
  <c r="S67" i="7"/>
  <c r="S70" i="7"/>
  <c r="S66" i="7"/>
  <c r="S71" i="7"/>
  <c r="U71" i="7" s="1"/>
  <c r="S65" i="7"/>
  <c r="S68" i="7"/>
  <c r="S69" i="7"/>
  <c r="S73" i="7"/>
  <c r="S74" i="7"/>
  <c r="S76" i="7"/>
  <c r="S77" i="7"/>
  <c r="S72" i="7"/>
  <c r="S75" i="7"/>
  <c r="S82" i="7"/>
  <c r="S81" i="7"/>
  <c r="U81" i="7" s="1"/>
  <c r="S79" i="7"/>
  <c r="S78" i="7"/>
  <c r="S80" i="7"/>
  <c r="C3" i="5"/>
  <c r="D3" i="5"/>
  <c r="O28" i="5" s="1"/>
  <c r="E5" i="5"/>
  <c r="B5" i="5"/>
  <c r="T39" i="7" l="1"/>
  <c r="U76" i="7"/>
  <c r="T76" i="7"/>
  <c r="U94" i="7"/>
  <c r="T94" i="7"/>
  <c r="U103" i="7"/>
  <c r="T103" i="7"/>
  <c r="U78" i="7"/>
  <c r="T78" i="7"/>
  <c r="U58" i="7"/>
  <c r="T58" i="7"/>
  <c r="U47" i="7"/>
  <c r="T47" i="7"/>
  <c r="U79" i="7"/>
  <c r="T79" i="7"/>
  <c r="T59" i="7"/>
  <c r="U59" i="7"/>
  <c r="T87" i="7"/>
  <c r="U86" i="7"/>
  <c r="T86" i="7"/>
  <c r="U54" i="7"/>
  <c r="T54" i="7"/>
  <c r="U45" i="7"/>
  <c r="T45" i="7"/>
  <c r="T69" i="7"/>
  <c r="U69" i="7"/>
  <c r="U57" i="7"/>
  <c r="T57" i="7"/>
  <c r="U95" i="7"/>
  <c r="T95" i="7"/>
  <c r="U90" i="7"/>
  <c r="T90" i="7"/>
  <c r="T96" i="7"/>
  <c r="U96" i="7"/>
  <c r="T93" i="7"/>
  <c r="U93" i="7"/>
  <c r="T43" i="7"/>
  <c r="U43" i="7"/>
  <c r="T37" i="7"/>
  <c r="T36" i="7"/>
  <c r="T81" i="7"/>
  <c r="U80" i="7"/>
  <c r="T80" i="7"/>
  <c r="U63" i="7"/>
  <c r="T63" i="7"/>
  <c r="U67" i="7"/>
  <c r="T67" i="7"/>
  <c r="U101" i="7"/>
  <c r="T101" i="7"/>
  <c r="U68" i="7"/>
  <c r="T68" i="7"/>
  <c r="T60" i="7"/>
  <c r="U60" i="7"/>
  <c r="U49" i="7"/>
  <c r="T49" i="7"/>
  <c r="T88" i="7"/>
  <c r="U88" i="7"/>
  <c r="T97" i="7"/>
  <c r="U97" i="7"/>
  <c r="T42" i="7"/>
  <c r="U42" i="7"/>
  <c r="T35" i="7"/>
  <c r="T34" i="7"/>
  <c r="U75" i="7"/>
  <c r="T75" i="7"/>
  <c r="T65" i="7"/>
  <c r="U65" i="7"/>
  <c r="U62" i="7"/>
  <c r="T62" i="7"/>
  <c r="U102" i="7"/>
  <c r="T102" i="7"/>
  <c r="U56" i="7"/>
  <c r="T56" i="7"/>
  <c r="U92" i="7"/>
  <c r="T92" i="7"/>
  <c r="T100" i="7"/>
  <c r="U99" i="7"/>
  <c r="T99" i="7"/>
  <c r="U41" i="7"/>
  <c r="T41" i="7"/>
  <c r="T38" i="7"/>
  <c r="T71" i="7"/>
  <c r="T70" i="7"/>
  <c r="U70" i="7"/>
  <c r="U53" i="7"/>
  <c r="T53" i="7"/>
  <c r="T46" i="7"/>
  <c r="U46" i="7"/>
  <c r="U74" i="7"/>
  <c r="T74" i="7"/>
  <c r="U48" i="7"/>
  <c r="T48" i="7"/>
  <c r="U91" i="7"/>
  <c r="T91" i="7"/>
  <c r="U83" i="7"/>
  <c r="T83" i="7"/>
  <c r="T73" i="7"/>
  <c r="U73" i="7"/>
  <c r="U82" i="7"/>
  <c r="T82" i="7"/>
  <c r="U51" i="7"/>
  <c r="T51" i="7"/>
  <c r="U72" i="7"/>
  <c r="T72" i="7"/>
  <c r="T61" i="7"/>
  <c r="U61" i="7"/>
  <c r="T50" i="7"/>
  <c r="U50" i="7"/>
  <c r="T52" i="7"/>
  <c r="U52" i="7"/>
  <c r="U84" i="7"/>
  <c r="T84" i="7"/>
  <c r="U98" i="7"/>
  <c r="T98" i="7"/>
  <c r="U40" i="7"/>
  <c r="T40" i="7"/>
  <c r="Z104" i="7"/>
  <c r="AA83" i="7"/>
  <c r="U77" i="7"/>
  <c r="T77" i="7"/>
  <c r="T66" i="7"/>
  <c r="U66" i="7"/>
  <c r="U64" i="7"/>
  <c r="T64" i="7"/>
  <c r="U85" i="7"/>
  <c r="T85" i="7"/>
  <c r="T55" i="7"/>
  <c r="U55" i="7"/>
  <c r="U89" i="7"/>
  <c r="T89" i="7"/>
  <c r="U44" i="7"/>
  <c r="T44" i="7"/>
  <c r="G23" i="5"/>
  <c r="I23" i="5"/>
  <c r="I26" i="5" s="1"/>
  <c r="K26" i="5"/>
  <c r="H26" i="5"/>
  <c r="E23" i="5"/>
  <c r="F23" i="5"/>
  <c r="L2" i="6"/>
  <c r="L6" i="6"/>
  <c r="F26" i="5" l="1"/>
  <c r="J38" i="5"/>
  <c r="J34" i="5"/>
  <c r="G26" i="5"/>
  <c r="E26" i="5"/>
  <c r="Q38" i="5"/>
  <c r="Q39" i="5" s="1"/>
  <c r="Q46" i="5"/>
  <c r="T144" i="5" s="1"/>
  <c r="N26" i="5"/>
  <c r="Q35" i="5"/>
  <c r="Q37" i="5"/>
  <c r="Q36" i="5"/>
  <c r="Q34" i="5"/>
  <c r="Q44" i="5"/>
  <c r="T114" i="5" s="1"/>
  <c r="Q42" i="5"/>
  <c r="Q45" i="5"/>
  <c r="T126" i="5" s="1"/>
  <c r="Q43" i="5"/>
  <c r="L4" i="6"/>
  <c r="L5" i="6"/>
  <c r="L3" i="6"/>
  <c r="K100" i="5" l="1"/>
  <c r="AF178" i="5"/>
  <c r="AF180" i="5"/>
  <c r="AF179" i="5"/>
  <c r="M114" i="5"/>
  <c r="AF174" i="5"/>
  <c r="AF182" i="5"/>
  <c r="AF177" i="5"/>
  <c r="AF176" i="5"/>
  <c r="AF183" i="5"/>
  <c r="AF173" i="5"/>
  <c r="AF175" i="5"/>
  <c r="AF181" i="5"/>
  <c r="AF184" i="5"/>
  <c r="AF185" i="5"/>
  <c r="AF193" i="5"/>
  <c r="AF195" i="5"/>
  <c r="AF187" i="5"/>
  <c r="AF201" i="5"/>
  <c r="AF186" i="5"/>
  <c r="AF197" i="5"/>
  <c r="AF198" i="5"/>
  <c r="AF189" i="5"/>
  <c r="AF200" i="5"/>
  <c r="M126" i="5"/>
  <c r="AF192" i="5"/>
  <c r="AF202" i="5"/>
  <c r="AF196" i="5"/>
  <c r="AF191" i="5"/>
  <c r="AF199" i="5"/>
  <c r="AF188" i="5"/>
  <c r="AF190" i="5"/>
  <c r="AF194" i="5"/>
  <c r="AF171" i="5"/>
  <c r="AF172" i="5"/>
  <c r="AF165" i="5"/>
  <c r="AF167" i="5"/>
  <c r="AF170" i="5"/>
  <c r="AF169" i="5"/>
  <c r="AF166" i="5"/>
  <c r="AF168" i="5"/>
  <c r="AT171" i="5"/>
  <c r="AT172" i="5"/>
  <c r="AT165" i="5"/>
  <c r="AT167" i="5"/>
  <c r="AT170" i="5"/>
  <c r="AT169" i="5"/>
  <c r="AT168" i="5"/>
  <c r="AT166" i="5"/>
  <c r="AT190" i="5"/>
  <c r="AT198" i="5"/>
  <c r="AT192" i="5"/>
  <c r="AT200" i="5"/>
  <c r="AT191" i="5"/>
  <c r="AT199" i="5"/>
  <c r="AT186" i="5"/>
  <c r="AT194" i="5"/>
  <c r="AT202" i="5"/>
  <c r="AT189" i="5"/>
  <c r="AT197" i="5"/>
  <c r="AT196" i="5"/>
  <c r="AT185" i="5"/>
  <c r="AT187" i="5"/>
  <c r="AT188" i="5"/>
  <c r="AT193" i="5"/>
  <c r="AT195" i="5"/>
  <c r="AT201" i="5"/>
  <c r="AT203" i="5"/>
  <c r="AT211" i="5"/>
  <c r="AT219" i="5"/>
  <c r="AT204" i="5"/>
  <c r="AT212" i="5"/>
  <c r="AT220" i="5"/>
  <c r="AT206" i="5"/>
  <c r="AT217" i="5"/>
  <c r="AT218" i="5"/>
  <c r="AT205" i="5"/>
  <c r="AT213" i="5"/>
  <c r="AT214" i="5"/>
  <c r="AT207" i="5"/>
  <c r="AT215" i="5"/>
  <c r="AT208" i="5"/>
  <c r="AT216" i="5"/>
  <c r="AT209" i="5"/>
  <c r="AT210" i="5"/>
  <c r="AT162" i="5"/>
  <c r="AT164" i="5"/>
  <c r="AT163" i="5"/>
  <c r="AF209" i="5"/>
  <c r="AF212" i="5"/>
  <c r="AF208" i="5"/>
  <c r="AF218" i="5"/>
  <c r="AF220" i="5"/>
  <c r="AF204" i="5"/>
  <c r="AF215" i="5"/>
  <c r="AF207" i="5"/>
  <c r="AF219" i="5"/>
  <c r="AF210" i="5"/>
  <c r="AF206" i="5"/>
  <c r="AF216" i="5"/>
  <c r="AF217" i="5"/>
  <c r="AF211" i="5"/>
  <c r="AF203" i="5"/>
  <c r="AF214" i="5"/>
  <c r="AF205" i="5"/>
  <c r="AF213" i="5"/>
  <c r="M144" i="5"/>
  <c r="AT175" i="5"/>
  <c r="AT183" i="5"/>
  <c r="AT176" i="5"/>
  <c r="AT184" i="5"/>
  <c r="AT177" i="5"/>
  <c r="AT179" i="5"/>
  <c r="AT174" i="5"/>
  <c r="AT182" i="5"/>
  <c r="AT178" i="5"/>
  <c r="AT181" i="5"/>
  <c r="AT180" i="5"/>
  <c r="AT173" i="5"/>
  <c r="AF162" i="5"/>
  <c r="AF163" i="5"/>
  <c r="AF164" i="5"/>
  <c r="M5" i="6"/>
  <c r="D71" i="5"/>
  <c r="E71" i="5" s="1"/>
  <c r="D69" i="5"/>
  <c r="E69" i="5" s="1"/>
  <c r="M3" i="6"/>
  <c r="M6" i="6"/>
  <c r="D72" i="5"/>
  <c r="E72" i="5" s="1"/>
  <c r="M4" i="6"/>
  <c r="D70" i="5"/>
  <c r="E70" i="5" s="1"/>
  <c r="D68" i="5"/>
  <c r="E68" i="5" s="1"/>
  <c r="M2" i="6"/>
  <c r="Q164" i="3" l="1"/>
  <c r="Q165" i="3"/>
  <c r="Q170" i="3"/>
  <c r="Q168" i="3"/>
  <c r="Q169" i="3"/>
  <c r="Q167" i="3"/>
  <c r="Q166" i="3"/>
  <c r="Q163" i="3"/>
  <c r="Q405" i="3"/>
  <c r="Q407" i="3"/>
  <c r="Q409" i="3"/>
  <c r="Q408" i="3"/>
  <c r="Q404" i="3"/>
  <c r="Q410" i="3"/>
  <c r="Q403" i="3"/>
  <c r="Q406" i="3"/>
  <c r="Q262" i="3"/>
  <c r="Q265" i="3"/>
  <c r="Q260" i="3"/>
  <c r="Q264" i="3"/>
  <c r="Q259" i="3"/>
  <c r="Q263" i="3"/>
  <c r="Q266" i="3"/>
  <c r="Q261" i="3"/>
  <c r="K101" i="5"/>
  <c r="K108" i="5"/>
  <c r="N24" i="5"/>
  <c r="L24" i="5"/>
  <c r="K109" i="5" l="1"/>
  <c r="K138" i="5"/>
  <c r="K120" i="5"/>
  <c r="N22" i="5"/>
  <c r="L22" i="5"/>
  <c r="K139" i="5" l="1"/>
  <c r="K121" i="5"/>
  <c r="B20" i="5"/>
  <c r="C20" i="5"/>
  <c r="C24" i="5" l="1"/>
  <c r="B22" i="5"/>
  <c r="B24" i="5"/>
  <c r="J36" i="5"/>
  <c r="J46" i="5"/>
  <c r="J37" i="5"/>
  <c r="J43" i="5"/>
  <c r="J35" i="5"/>
  <c r="M103" i="5" s="1"/>
  <c r="L14" i="6"/>
  <c r="J39" i="5" s="1"/>
  <c r="J42" i="5"/>
  <c r="J44" i="5"/>
  <c r="J45" i="5"/>
  <c r="G20" i="5"/>
  <c r="G24" i="5" s="1"/>
  <c r="N38" i="5"/>
  <c r="N46" i="5"/>
  <c r="T145" i="5" s="1"/>
  <c r="P14" i="6"/>
  <c r="N43" i="5"/>
  <c r="N45" i="5"/>
  <c r="T127" i="5" s="1"/>
  <c r="N34" i="5"/>
  <c r="N35" i="5"/>
  <c r="N37" i="5"/>
  <c r="N44" i="5"/>
  <c r="T115" i="5" s="1"/>
  <c r="N42" i="5"/>
  <c r="N36" i="5"/>
  <c r="C22" i="5"/>
  <c r="D20" i="5"/>
  <c r="N39" i="5" l="1"/>
  <c r="D24" i="5"/>
  <c r="AC176" i="5"/>
  <c r="AC180" i="5"/>
  <c r="AC181" i="5"/>
  <c r="AC184" i="5"/>
  <c r="AC173" i="5"/>
  <c r="AC175" i="5"/>
  <c r="AC183" i="5"/>
  <c r="AC178" i="5"/>
  <c r="AC182" i="5"/>
  <c r="AC174" i="5"/>
  <c r="AC177" i="5"/>
  <c r="AC179" i="5"/>
  <c r="AQ204" i="5"/>
  <c r="AQ208" i="5"/>
  <c r="AQ212" i="5"/>
  <c r="AQ216" i="5"/>
  <c r="AQ220" i="5"/>
  <c r="AQ211" i="5"/>
  <c r="AQ206" i="5"/>
  <c r="AQ205" i="5"/>
  <c r="AQ210" i="5"/>
  <c r="AQ207" i="5"/>
  <c r="AQ214" i="5"/>
  <c r="AQ217" i="5"/>
  <c r="AQ219" i="5"/>
  <c r="AQ203" i="5"/>
  <c r="AQ213" i="5"/>
  <c r="AQ215" i="5"/>
  <c r="AQ209" i="5"/>
  <c r="AQ218" i="5"/>
  <c r="AC191" i="5"/>
  <c r="AC194" i="5"/>
  <c r="AC202" i="5"/>
  <c r="AC198" i="5"/>
  <c r="AC200" i="5"/>
  <c r="AC185" i="5"/>
  <c r="AC187" i="5"/>
  <c r="AC189" i="5"/>
  <c r="AC196" i="5"/>
  <c r="AC193" i="5"/>
  <c r="AC199" i="5"/>
  <c r="AC186" i="5"/>
  <c r="AC195" i="5"/>
  <c r="AC201" i="5"/>
  <c r="AC188" i="5"/>
  <c r="AC190" i="5"/>
  <c r="AC192" i="5"/>
  <c r="AC197" i="5"/>
  <c r="AC168" i="5"/>
  <c r="AC172" i="5"/>
  <c r="AC165" i="5"/>
  <c r="AC170" i="5"/>
  <c r="AC171" i="5"/>
  <c r="AC167" i="5"/>
  <c r="AC169" i="5"/>
  <c r="AC166" i="5"/>
  <c r="AQ168" i="5"/>
  <c r="AQ172" i="5"/>
  <c r="AQ169" i="5"/>
  <c r="AQ166" i="5"/>
  <c r="AQ167" i="5"/>
  <c r="AQ165" i="5"/>
  <c r="AQ170" i="5"/>
  <c r="AQ171" i="5"/>
  <c r="AC210" i="5"/>
  <c r="AC206" i="5"/>
  <c r="AC214" i="5"/>
  <c r="AC203" i="5"/>
  <c r="AC209" i="5"/>
  <c r="AC216" i="5"/>
  <c r="AC220" i="5"/>
  <c r="AC212" i="5"/>
  <c r="AC205" i="5"/>
  <c r="AC215" i="5"/>
  <c r="AC219" i="5"/>
  <c r="AC208" i="5"/>
  <c r="AC211" i="5"/>
  <c r="AC218" i="5"/>
  <c r="AC204" i="5"/>
  <c r="AC207" i="5"/>
  <c r="AC213" i="5"/>
  <c r="AC217" i="5"/>
  <c r="AQ176" i="5"/>
  <c r="AQ180" i="5"/>
  <c r="AQ184" i="5"/>
  <c r="AQ179" i="5"/>
  <c r="AQ174" i="5"/>
  <c r="AQ173" i="5"/>
  <c r="AQ178" i="5"/>
  <c r="AQ175" i="5"/>
  <c r="AQ177" i="5"/>
  <c r="AQ183" i="5"/>
  <c r="AQ181" i="5"/>
  <c r="AQ182" i="5"/>
  <c r="AQ188" i="5"/>
  <c r="AQ192" i="5"/>
  <c r="AQ196" i="5"/>
  <c r="AQ200" i="5"/>
  <c r="AQ189" i="5"/>
  <c r="AQ194" i="5"/>
  <c r="AQ191" i="5"/>
  <c r="AQ201" i="5"/>
  <c r="AQ195" i="5"/>
  <c r="AQ185" i="5"/>
  <c r="AQ190" i="5"/>
  <c r="AQ197" i="5"/>
  <c r="AQ202" i="5"/>
  <c r="AQ186" i="5"/>
  <c r="AQ198" i="5"/>
  <c r="AQ187" i="5"/>
  <c r="AQ193" i="5"/>
  <c r="AQ199" i="5"/>
  <c r="Y170" i="5"/>
  <c r="Y171" i="5"/>
  <c r="Y172" i="5"/>
  <c r="Y165" i="5"/>
  <c r="Y168" i="5"/>
  <c r="Y169" i="5"/>
  <c r="Y166" i="5"/>
  <c r="Y167" i="5"/>
  <c r="AM170" i="5"/>
  <c r="AM171" i="5"/>
  <c r="AM172" i="5"/>
  <c r="AM165" i="5"/>
  <c r="AM167" i="5"/>
  <c r="AM168" i="5"/>
  <c r="AM166" i="5"/>
  <c r="AM169" i="5"/>
  <c r="AM210" i="5"/>
  <c r="AM218" i="5"/>
  <c r="AM203" i="5"/>
  <c r="AM211" i="5"/>
  <c r="AM219" i="5"/>
  <c r="AM204" i="5"/>
  <c r="AM212" i="5"/>
  <c r="AM220" i="5"/>
  <c r="AM205" i="5"/>
  <c r="AM213" i="5"/>
  <c r="AM207" i="5"/>
  <c r="AM215" i="5"/>
  <c r="AM206" i="5"/>
  <c r="AM214" i="5"/>
  <c r="AM208" i="5"/>
  <c r="AM216" i="5"/>
  <c r="AM209" i="5"/>
  <c r="AM217" i="5"/>
  <c r="AM186" i="5"/>
  <c r="AM194" i="5"/>
  <c r="AM202" i="5"/>
  <c r="AM187" i="5"/>
  <c r="AM195" i="5"/>
  <c r="AM188" i="5"/>
  <c r="AM196" i="5"/>
  <c r="AM189" i="5"/>
  <c r="AM197" i="5"/>
  <c r="AM200" i="5"/>
  <c r="AM193" i="5"/>
  <c r="AM201" i="5"/>
  <c r="AM190" i="5"/>
  <c r="AM198" i="5"/>
  <c r="AM191" i="5"/>
  <c r="AM199" i="5"/>
  <c r="AM192" i="5"/>
  <c r="AM185" i="5"/>
  <c r="Y178" i="5"/>
  <c r="Y179" i="5"/>
  <c r="Y180" i="5"/>
  <c r="Y173" i="5"/>
  <c r="Y181" i="5"/>
  <c r="Y175" i="5"/>
  <c r="Y174" i="5"/>
  <c r="Y182" i="5"/>
  <c r="Y183" i="5"/>
  <c r="Y176" i="5"/>
  <c r="Y184" i="5"/>
  <c r="Y177" i="5"/>
  <c r="Y186" i="5"/>
  <c r="Y194" i="5"/>
  <c r="Y202" i="5"/>
  <c r="Y187" i="5"/>
  <c r="Y195" i="5"/>
  <c r="Y188" i="5"/>
  <c r="Y196" i="5"/>
  <c r="Y189" i="5"/>
  <c r="Y197" i="5"/>
  <c r="Y199" i="5"/>
  <c r="Y192" i="5"/>
  <c r="Y185" i="5"/>
  <c r="Y193" i="5"/>
  <c r="Y190" i="5"/>
  <c r="Y198" i="5"/>
  <c r="Y191" i="5"/>
  <c r="Y200" i="5"/>
  <c r="Y201" i="5"/>
  <c r="Y210" i="5"/>
  <c r="Y218" i="5"/>
  <c r="Y203" i="5"/>
  <c r="Y211" i="5"/>
  <c r="Y219" i="5"/>
  <c r="Y204" i="5"/>
  <c r="Y212" i="5"/>
  <c r="Y220" i="5"/>
  <c r="Y205" i="5"/>
  <c r="Y213" i="5"/>
  <c r="Y215" i="5"/>
  <c r="Y208" i="5"/>
  <c r="Y217" i="5"/>
  <c r="Y206" i="5"/>
  <c r="Y214" i="5"/>
  <c r="Y207" i="5"/>
  <c r="Y216" i="5"/>
  <c r="Y209" i="5"/>
  <c r="AM178" i="5"/>
  <c r="AM179" i="5"/>
  <c r="AM180" i="5"/>
  <c r="AM173" i="5"/>
  <c r="AM181" i="5"/>
  <c r="AM183" i="5"/>
  <c r="AM184" i="5"/>
  <c r="AM177" i="5"/>
  <c r="AM174" i="5"/>
  <c r="AM182" i="5"/>
  <c r="AM175" i="5"/>
  <c r="AM176" i="5"/>
  <c r="AC162" i="5"/>
  <c r="AC164" i="5"/>
  <c r="AC163" i="5"/>
  <c r="AM164" i="5"/>
  <c r="AM162" i="5"/>
  <c r="AM163" i="5"/>
  <c r="AQ164" i="5"/>
  <c r="AQ162" i="5"/>
  <c r="AQ163" i="5"/>
  <c r="Y162" i="5"/>
  <c r="Y164" i="5"/>
  <c r="Y163" i="5"/>
  <c r="H46" i="5"/>
  <c r="H38" i="5"/>
  <c r="J14" i="6"/>
  <c r="H42" i="5"/>
  <c r="H35" i="5"/>
  <c r="H37" i="5"/>
  <c r="H36" i="5"/>
  <c r="H44" i="5"/>
  <c r="H43" i="5"/>
  <c r="H34" i="5"/>
  <c r="H45" i="5"/>
  <c r="E20" i="5"/>
  <c r="E24" i="5" s="1"/>
  <c r="T103" i="5"/>
  <c r="Q79" i="3" s="1"/>
  <c r="G22" i="5"/>
  <c r="M123" i="5"/>
  <c r="M134" i="5"/>
  <c r="K34" i="5"/>
  <c r="K45" i="5"/>
  <c r="T124" i="5" s="1"/>
  <c r="K42" i="5"/>
  <c r="K44" i="5"/>
  <c r="T112" i="5" s="1"/>
  <c r="K35" i="5"/>
  <c r="M104" i="5" s="1"/>
  <c r="K46" i="5"/>
  <c r="T142" i="5" s="1"/>
  <c r="K37" i="5"/>
  <c r="K38" i="5"/>
  <c r="M14" i="6"/>
  <c r="K36" i="5"/>
  <c r="K43" i="5"/>
  <c r="T104" i="5" s="1"/>
  <c r="M141" i="5"/>
  <c r="M152" i="5"/>
  <c r="T141" i="5"/>
  <c r="T152" i="5"/>
  <c r="T123" i="5"/>
  <c r="T134" i="5"/>
  <c r="M111" i="5"/>
  <c r="T111" i="5"/>
  <c r="M127" i="5"/>
  <c r="M115" i="5"/>
  <c r="D4" i="7"/>
  <c r="H4" i="7"/>
  <c r="N4" i="7" s="1"/>
  <c r="G4" i="7"/>
  <c r="M4" i="7" s="1"/>
  <c r="F4" i="7"/>
  <c r="L4" i="7" s="1"/>
  <c r="J4" i="7"/>
  <c r="P4" i="7" s="1"/>
  <c r="I4" i="7"/>
  <c r="O4" i="7" s="1"/>
  <c r="D22" i="5"/>
  <c r="M145" i="5"/>
  <c r="H39" i="5" l="1"/>
  <c r="K39" i="5"/>
  <c r="Q76" i="3"/>
  <c r="O76" i="3" s="1"/>
  <c r="Q80" i="3"/>
  <c r="O80" i="3" s="1"/>
  <c r="Q75" i="3"/>
  <c r="O75" i="3" s="1"/>
  <c r="Q77" i="3"/>
  <c r="O77" i="3" s="1"/>
  <c r="Q142" i="3"/>
  <c r="O142" i="3" s="1"/>
  <c r="Q145" i="3"/>
  <c r="O145" i="3" s="1"/>
  <c r="Q139" i="3"/>
  <c r="O139" i="3" s="1"/>
  <c r="Q141" i="3"/>
  <c r="O141" i="3" s="1"/>
  <c r="Q143" i="3"/>
  <c r="O143" i="3" s="1"/>
  <c r="Q144" i="3"/>
  <c r="O144" i="3" s="1"/>
  <c r="Q140" i="3"/>
  <c r="O140" i="3" s="1"/>
  <c r="Q146" i="3"/>
  <c r="O146" i="3" s="1"/>
  <c r="Q330" i="3"/>
  <c r="O330" i="3" s="1"/>
  <c r="Q324" i="3"/>
  <c r="O324" i="3" s="1"/>
  <c r="Q325" i="3"/>
  <c r="O325" i="3" s="1"/>
  <c r="Q323" i="3"/>
  <c r="O323" i="3" s="1"/>
  <c r="Q329" i="3"/>
  <c r="O329" i="3" s="1"/>
  <c r="Q328" i="3"/>
  <c r="O328" i="3" s="1"/>
  <c r="Q327" i="3"/>
  <c r="O327" i="3" s="1"/>
  <c r="Q326" i="3"/>
  <c r="O326" i="3" s="1"/>
  <c r="Q82" i="3"/>
  <c r="O82" i="3" s="1"/>
  <c r="Q235" i="3"/>
  <c r="O235" i="3" s="1"/>
  <c r="Q242" i="3"/>
  <c r="O242" i="3" s="1"/>
  <c r="Q238" i="3"/>
  <c r="O238" i="3" s="1"/>
  <c r="Q236" i="3"/>
  <c r="O236" i="3" s="1"/>
  <c r="Q240" i="3"/>
  <c r="O240" i="3" s="1"/>
  <c r="Q241" i="3"/>
  <c r="O241" i="3" s="1"/>
  <c r="Q237" i="3"/>
  <c r="O237" i="3" s="1"/>
  <c r="Q239" i="3"/>
  <c r="O239" i="3" s="1"/>
  <c r="Q78" i="3"/>
  <c r="O78" i="3" s="1"/>
  <c r="Q173" i="3"/>
  <c r="Q174" i="3"/>
  <c r="Q172" i="3"/>
  <c r="Q175" i="3"/>
  <c r="Q178" i="3"/>
  <c r="Q176" i="3"/>
  <c r="Q177" i="3"/>
  <c r="Q171" i="3"/>
  <c r="Q472" i="3"/>
  <c r="O472" i="3" s="1"/>
  <c r="Q467" i="3"/>
  <c r="O467" i="3" s="1"/>
  <c r="Q469" i="3"/>
  <c r="O469" i="3" s="1"/>
  <c r="Q473" i="3"/>
  <c r="O473" i="3" s="1"/>
  <c r="Q474" i="3"/>
  <c r="O474" i="3" s="1"/>
  <c r="Q471" i="3"/>
  <c r="O471" i="3" s="1"/>
  <c r="Q470" i="3"/>
  <c r="O470" i="3" s="1"/>
  <c r="Q468" i="3"/>
  <c r="O468" i="3" s="1"/>
  <c r="Q83" i="3"/>
  <c r="Q87" i="3"/>
  <c r="Q88" i="3"/>
  <c r="Q84" i="3"/>
  <c r="Q89" i="3"/>
  <c r="Q85" i="3"/>
  <c r="Q90" i="3"/>
  <c r="Q86" i="3"/>
  <c r="Q81" i="3"/>
  <c r="O81" i="3" s="1"/>
  <c r="Q411" i="3"/>
  <c r="Q412" i="3"/>
  <c r="Q418" i="3"/>
  <c r="Q417" i="3"/>
  <c r="Q415" i="3"/>
  <c r="Q413" i="3"/>
  <c r="Q414" i="3"/>
  <c r="Q416" i="3"/>
  <c r="Q268" i="3"/>
  <c r="Q269" i="3"/>
  <c r="Q267" i="3"/>
  <c r="Q270" i="3"/>
  <c r="Q273" i="3"/>
  <c r="Q274" i="3"/>
  <c r="Q271" i="3"/>
  <c r="Q272" i="3"/>
  <c r="Q383" i="3"/>
  <c r="O383" i="3" s="1"/>
  <c r="Q386" i="3"/>
  <c r="O386" i="3" s="1"/>
  <c r="Q382" i="3"/>
  <c r="O382" i="3" s="1"/>
  <c r="Q384" i="3"/>
  <c r="O384" i="3" s="1"/>
  <c r="Q381" i="3"/>
  <c r="O381" i="3" s="1"/>
  <c r="Q385" i="3"/>
  <c r="O385" i="3" s="1"/>
  <c r="Q379" i="3"/>
  <c r="O379" i="3" s="1"/>
  <c r="Q380" i="3"/>
  <c r="O380" i="3" s="1"/>
  <c r="O79" i="3"/>
  <c r="R103" i="5"/>
  <c r="R134" i="5"/>
  <c r="R141" i="5"/>
  <c r="R152" i="5"/>
  <c r="D25" i="5"/>
  <c r="Z203" i="5"/>
  <c r="Z204" i="5"/>
  <c r="Z205" i="5"/>
  <c r="Z206" i="5"/>
  <c r="Z207" i="5"/>
  <c r="Z208" i="5"/>
  <c r="Z209" i="5"/>
  <c r="Z210" i="5"/>
  <c r="Z211" i="5"/>
  <c r="Z212" i="5"/>
  <c r="Z213" i="5"/>
  <c r="Z214" i="5"/>
  <c r="Z215" i="5"/>
  <c r="Z216" i="5"/>
  <c r="Z217" i="5"/>
  <c r="Z218" i="5"/>
  <c r="Z219" i="5"/>
  <c r="Z220" i="5"/>
  <c r="Z186" i="5"/>
  <c r="Z190" i="5"/>
  <c r="Z194" i="5"/>
  <c r="Z195" i="5"/>
  <c r="Z196" i="5"/>
  <c r="Z197" i="5"/>
  <c r="Z198" i="5"/>
  <c r="Z199" i="5"/>
  <c r="Z200" i="5"/>
  <c r="Z201" i="5"/>
  <c r="Z202" i="5"/>
  <c r="Z193" i="5"/>
  <c r="Z187" i="5"/>
  <c r="Z189" i="5"/>
  <c r="Z191" i="5"/>
  <c r="Z188" i="5"/>
  <c r="Z192" i="5"/>
  <c r="Z185" i="5"/>
  <c r="AN206" i="5"/>
  <c r="AN210" i="5"/>
  <c r="AN214" i="5"/>
  <c r="AN218" i="5"/>
  <c r="AN208" i="5"/>
  <c r="AN203" i="5"/>
  <c r="AN205" i="5"/>
  <c r="AN207" i="5"/>
  <c r="AN209" i="5"/>
  <c r="AN204" i="5"/>
  <c r="AN217" i="5"/>
  <c r="AN213" i="5"/>
  <c r="AN219" i="5"/>
  <c r="AN215" i="5"/>
  <c r="AN211" i="5"/>
  <c r="AN216" i="5"/>
  <c r="AN220" i="5"/>
  <c r="AN212" i="5"/>
  <c r="Z166" i="5"/>
  <c r="Z170" i="5"/>
  <c r="Z167" i="5"/>
  <c r="Z169" i="5"/>
  <c r="Z168" i="5"/>
  <c r="Z171" i="5"/>
  <c r="Z165" i="5"/>
  <c r="Z172" i="5"/>
  <c r="AN174" i="5"/>
  <c r="AN178" i="5"/>
  <c r="AN182" i="5"/>
  <c r="AN176" i="5"/>
  <c r="AN173" i="5"/>
  <c r="AN175" i="5"/>
  <c r="AN177" i="5"/>
  <c r="AN183" i="5"/>
  <c r="AN181" i="5"/>
  <c r="AN184" i="5"/>
  <c r="AN179" i="5"/>
  <c r="AN180" i="5"/>
  <c r="AN166" i="5"/>
  <c r="AN170" i="5"/>
  <c r="AN171" i="5"/>
  <c r="AN172" i="5"/>
  <c r="AN169" i="5"/>
  <c r="AN167" i="5"/>
  <c r="AN165" i="5"/>
  <c r="AN168" i="5"/>
  <c r="Z174" i="5"/>
  <c r="Z178" i="5"/>
  <c r="Z182" i="5"/>
  <c r="Z183" i="5"/>
  <c r="Z176" i="5"/>
  <c r="Z180" i="5"/>
  <c r="Z184" i="5"/>
  <c r="Z177" i="5"/>
  <c r="Z173" i="5"/>
  <c r="Z179" i="5"/>
  <c r="Z181" i="5"/>
  <c r="Z175" i="5"/>
  <c r="AN186" i="5"/>
  <c r="AN190" i="5"/>
  <c r="AN194" i="5"/>
  <c r="AN198" i="5"/>
  <c r="AN202" i="5"/>
  <c r="AN191" i="5"/>
  <c r="AN193" i="5"/>
  <c r="AN188" i="5"/>
  <c r="AN192" i="5"/>
  <c r="AN187" i="5"/>
  <c r="AN189" i="5"/>
  <c r="AN200" i="5"/>
  <c r="AN195" i="5"/>
  <c r="AN201" i="5"/>
  <c r="AN196" i="5"/>
  <c r="AN185" i="5"/>
  <c r="AN199" i="5"/>
  <c r="AN197" i="5"/>
  <c r="AN164" i="5"/>
  <c r="AN162" i="5"/>
  <c r="AN163" i="5"/>
  <c r="Z164" i="5"/>
  <c r="Z162" i="5"/>
  <c r="Z163" i="5"/>
  <c r="M121" i="5"/>
  <c r="W192" i="5"/>
  <c r="W200" i="5"/>
  <c r="W189" i="5"/>
  <c r="W197" i="5"/>
  <c r="W198" i="5"/>
  <c r="W186" i="5"/>
  <c r="W194" i="5"/>
  <c r="W202" i="5"/>
  <c r="W188" i="5"/>
  <c r="W191" i="5"/>
  <c r="W199" i="5"/>
  <c r="W196" i="5"/>
  <c r="W185" i="5"/>
  <c r="W193" i="5"/>
  <c r="W201" i="5"/>
  <c r="W190" i="5"/>
  <c r="W187" i="5"/>
  <c r="W195" i="5"/>
  <c r="M101" i="5"/>
  <c r="W168" i="5"/>
  <c r="W165" i="5"/>
  <c r="W166" i="5"/>
  <c r="W171" i="5"/>
  <c r="W170" i="5"/>
  <c r="W172" i="5"/>
  <c r="W167" i="5"/>
  <c r="W169" i="5"/>
  <c r="I46" i="5"/>
  <c r="I38" i="5"/>
  <c r="K14" i="6"/>
  <c r="I34" i="5"/>
  <c r="I45" i="5"/>
  <c r="I35" i="5"/>
  <c r="I44" i="5"/>
  <c r="I42" i="5"/>
  <c r="I43" i="5"/>
  <c r="I37" i="5"/>
  <c r="I36" i="5"/>
  <c r="F20" i="5"/>
  <c r="F24" i="5" s="1"/>
  <c r="E22" i="5"/>
  <c r="AK162" i="5"/>
  <c r="AK164" i="5"/>
  <c r="AK163" i="5"/>
  <c r="T121" i="5"/>
  <c r="AK185" i="5"/>
  <c r="AK193" i="5"/>
  <c r="AK201" i="5"/>
  <c r="AK190" i="5"/>
  <c r="AK198" i="5"/>
  <c r="AK199" i="5"/>
  <c r="AK187" i="5"/>
  <c r="AK195" i="5"/>
  <c r="AK197" i="5"/>
  <c r="AK194" i="5"/>
  <c r="AK202" i="5"/>
  <c r="AK188" i="5"/>
  <c r="AK196" i="5"/>
  <c r="AK192" i="5"/>
  <c r="AK200" i="5"/>
  <c r="AK189" i="5"/>
  <c r="AK186" i="5"/>
  <c r="AK191" i="5"/>
  <c r="W162" i="5"/>
  <c r="W164" i="5"/>
  <c r="W163" i="5"/>
  <c r="W208" i="5"/>
  <c r="W216" i="5"/>
  <c r="W205" i="5"/>
  <c r="W213" i="5"/>
  <c r="W203" i="5"/>
  <c r="W219" i="5"/>
  <c r="W210" i="5"/>
  <c r="W218" i="5"/>
  <c r="W212" i="5"/>
  <c r="W217" i="5"/>
  <c r="W211" i="5"/>
  <c r="W207" i="5"/>
  <c r="W215" i="5"/>
  <c r="W204" i="5"/>
  <c r="W220" i="5"/>
  <c r="W209" i="5"/>
  <c r="W206" i="5"/>
  <c r="W214" i="5"/>
  <c r="M139" i="5"/>
  <c r="T109" i="5"/>
  <c r="AK177" i="5"/>
  <c r="AK174" i="5"/>
  <c r="AK182" i="5"/>
  <c r="AK175" i="5"/>
  <c r="AK179" i="5"/>
  <c r="AK173" i="5"/>
  <c r="AK180" i="5"/>
  <c r="AK176" i="5"/>
  <c r="AK184" i="5"/>
  <c r="AK181" i="5"/>
  <c r="AK178" i="5"/>
  <c r="AK183" i="5"/>
  <c r="M109" i="5"/>
  <c r="W176" i="5"/>
  <c r="W184" i="5"/>
  <c r="W173" i="5"/>
  <c r="W181" i="5"/>
  <c r="W182" i="5"/>
  <c r="W179" i="5"/>
  <c r="W178" i="5"/>
  <c r="W174" i="5"/>
  <c r="W175" i="5"/>
  <c r="W183" i="5"/>
  <c r="W180" i="5"/>
  <c r="W177" i="5"/>
  <c r="T101" i="5"/>
  <c r="AK169" i="5"/>
  <c r="AK166" i="5"/>
  <c r="AK167" i="5"/>
  <c r="AK171" i="5"/>
  <c r="AK165" i="5"/>
  <c r="AK168" i="5"/>
  <c r="AK170" i="5"/>
  <c r="AK172" i="5"/>
  <c r="AK209" i="5"/>
  <c r="AK217" i="5"/>
  <c r="AK206" i="5"/>
  <c r="AK214" i="5"/>
  <c r="AK218" i="5"/>
  <c r="AK207" i="5"/>
  <c r="AK204" i="5"/>
  <c r="AK203" i="5"/>
  <c r="AK211" i="5"/>
  <c r="AK219" i="5"/>
  <c r="AK213" i="5"/>
  <c r="AK215" i="5"/>
  <c r="AK212" i="5"/>
  <c r="AK208" i="5"/>
  <c r="AK216" i="5"/>
  <c r="AK205" i="5"/>
  <c r="AK210" i="5"/>
  <c r="AK220" i="5"/>
  <c r="T139" i="5"/>
  <c r="M112" i="5"/>
  <c r="R123" i="5"/>
  <c r="R111" i="5"/>
  <c r="M142" i="5"/>
  <c r="M124" i="5"/>
  <c r="I39" i="5" l="1"/>
  <c r="Q247" i="3"/>
  <c r="Q246" i="3"/>
  <c r="Q248" i="3"/>
  <c r="Q249" i="3"/>
  <c r="Q244" i="3"/>
  <c r="Q250" i="3"/>
  <c r="Q243" i="3"/>
  <c r="Q245" i="3"/>
  <c r="Q394" i="3"/>
  <c r="Q393" i="3"/>
  <c r="Q392" i="3"/>
  <c r="Q388" i="3"/>
  <c r="Q387" i="3"/>
  <c r="Q391" i="3"/>
  <c r="Q390" i="3"/>
  <c r="Q389" i="3"/>
  <c r="Q148" i="3"/>
  <c r="Q150" i="3"/>
  <c r="Q152" i="3"/>
  <c r="Q147" i="3"/>
  <c r="Q151" i="3"/>
  <c r="Q149" i="3"/>
  <c r="Q153" i="3"/>
  <c r="Q154" i="3"/>
  <c r="Q63" i="3"/>
  <c r="O63" i="3" s="1"/>
  <c r="Q60" i="3"/>
  <c r="O60" i="3" s="1"/>
  <c r="Q66" i="3"/>
  <c r="O66" i="3" s="1"/>
  <c r="Q65" i="3"/>
  <c r="O65" i="3" s="1"/>
  <c r="Q62" i="3"/>
  <c r="O62" i="3" s="1"/>
  <c r="Q64" i="3"/>
  <c r="O64" i="3" s="1"/>
  <c r="Q61" i="3"/>
  <c r="O61" i="3" s="1"/>
  <c r="Q59" i="3"/>
  <c r="O59" i="3" s="1"/>
  <c r="Q221" i="3"/>
  <c r="O221" i="3" s="1"/>
  <c r="Q222" i="3"/>
  <c r="O222" i="3" s="1"/>
  <c r="Q225" i="3"/>
  <c r="O225" i="3" s="1"/>
  <c r="Q224" i="3"/>
  <c r="O224" i="3" s="1"/>
  <c r="Q220" i="3"/>
  <c r="O220" i="3" s="1"/>
  <c r="Q226" i="3"/>
  <c r="O226" i="3" s="1"/>
  <c r="Q223" i="3"/>
  <c r="O223" i="3" s="1"/>
  <c r="Q219" i="3"/>
  <c r="O219" i="3" s="1"/>
  <c r="Q363" i="3"/>
  <c r="O363" i="3" s="1"/>
  <c r="Q370" i="3"/>
  <c r="O370" i="3" s="1"/>
  <c r="Q365" i="3"/>
  <c r="O365" i="3" s="1"/>
  <c r="Q368" i="3"/>
  <c r="O368" i="3" s="1"/>
  <c r="Q364" i="3"/>
  <c r="O364" i="3" s="1"/>
  <c r="Q369" i="3"/>
  <c r="O369" i="3" s="1"/>
  <c r="Q366" i="3"/>
  <c r="O366" i="3" s="1"/>
  <c r="Q367" i="3"/>
  <c r="O367" i="3" s="1"/>
  <c r="Q128" i="3"/>
  <c r="O128" i="3" s="1"/>
  <c r="Q126" i="3"/>
  <c r="O126" i="3" s="1"/>
  <c r="Q129" i="3"/>
  <c r="O129" i="3" s="1"/>
  <c r="Q125" i="3"/>
  <c r="O125" i="3" s="1"/>
  <c r="Q130" i="3"/>
  <c r="O130" i="3" s="1"/>
  <c r="Q124" i="3"/>
  <c r="O124" i="3" s="1"/>
  <c r="Q123" i="3"/>
  <c r="O123" i="3" s="1"/>
  <c r="Q127" i="3"/>
  <c r="O127" i="3" s="1"/>
  <c r="G143" i="3"/>
  <c r="G80" i="3"/>
  <c r="G385" i="3"/>
  <c r="G146" i="3"/>
  <c r="G471" i="3"/>
  <c r="G235" i="3"/>
  <c r="G239" i="3"/>
  <c r="G236" i="3"/>
  <c r="G330" i="3"/>
  <c r="G326" i="3"/>
  <c r="G238" i="3"/>
  <c r="G383" i="3"/>
  <c r="G323" i="3"/>
  <c r="G75" i="3"/>
  <c r="G470" i="3"/>
  <c r="G468" i="3"/>
  <c r="G79" i="3"/>
  <c r="G78" i="3"/>
  <c r="G472" i="3"/>
  <c r="G386" i="3"/>
  <c r="G77" i="3"/>
  <c r="G327" i="3"/>
  <c r="G81" i="3"/>
  <c r="G325" i="3"/>
  <c r="G145" i="3"/>
  <c r="G380" i="3"/>
  <c r="G139" i="3"/>
  <c r="G328" i="3"/>
  <c r="G144" i="3"/>
  <c r="G240" i="3"/>
  <c r="G384" i="3"/>
  <c r="G76" i="3"/>
  <c r="G237" i="3"/>
  <c r="G382" i="3"/>
  <c r="G82" i="3"/>
  <c r="G473" i="3"/>
  <c r="G324" i="3"/>
  <c r="G140" i="3"/>
  <c r="G242" i="3"/>
  <c r="G467" i="3"/>
  <c r="R121" i="5"/>
  <c r="G474" i="3"/>
  <c r="G142" i="3"/>
  <c r="R101" i="5"/>
  <c r="G381" i="3"/>
  <c r="G241" i="3"/>
  <c r="R109" i="5"/>
  <c r="G469" i="3"/>
  <c r="G329" i="3"/>
  <c r="G379" i="3"/>
  <c r="G141" i="3"/>
  <c r="G34" i="5"/>
  <c r="G46" i="5"/>
  <c r="D26" i="5"/>
  <c r="G38" i="5"/>
  <c r="G39" i="5" s="1"/>
  <c r="G42" i="5"/>
  <c r="G44" i="5"/>
  <c r="G37" i="5"/>
  <c r="G35" i="5"/>
  <c r="G43" i="5"/>
  <c r="G36" i="5"/>
  <c r="G45" i="5"/>
  <c r="AL164" i="5"/>
  <c r="AL162" i="5"/>
  <c r="AL163" i="5"/>
  <c r="M100" i="5"/>
  <c r="X171" i="5"/>
  <c r="X168" i="5"/>
  <c r="X169" i="5"/>
  <c r="X165" i="5"/>
  <c r="X167" i="5"/>
  <c r="X172" i="5"/>
  <c r="X166" i="5"/>
  <c r="X170" i="5"/>
  <c r="T120" i="5"/>
  <c r="AL188" i="5"/>
  <c r="AL196" i="5"/>
  <c r="AL185" i="5"/>
  <c r="AL193" i="5"/>
  <c r="AL201" i="5"/>
  <c r="AL194" i="5"/>
  <c r="AL190" i="5"/>
  <c r="AL198" i="5"/>
  <c r="AL192" i="5"/>
  <c r="AL189" i="5"/>
  <c r="AL197" i="5"/>
  <c r="AL186" i="5"/>
  <c r="AL202" i="5"/>
  <c r="AL191" i="5"/>
  <c r="AL187" i="5"/>
  <c r="AL195" i="5"/>
  <c r="AL200" i="5"/>
  <c r="AL199" i="5"/>
  <c r="V130" i="5"/>
  <c r="T100" i="5"/>
  <c r="AL172" i="5"/>
  <c r="AL169" i="5"/>
  <c r="AL166" i="5"/>
  <c r="AL165" i="5"/>
  <c r="AL170" i="5"/>
  <c r="AL171" i="5"/>
  <c r="AL168" i="5"/>
  <c r="AL167" i="5"/>
  <c r="AL204" i="5"/>
  <c r="AL212" i="5"/>
  <c r="AL220" i="5"/>
  <c r="AL209" i="5"/>
  <c r="AL217" i="5"/>
  <c r="AL218" i="5"/>
  <c r="AL206" i="5"/>
  <c r="AL214" i="5"/>
  <c r="AL208" i="5"/>
  <c r="AL210" i="5"/>
  <c r="AL203" i="5"/>
  <c r="AL211" i="5"/>
  <c r="AL219" i="5"/>
  <c r="AL216" i="5"/>
  <c r="AL205" i="5"/>
  <c r="AL213" i="5"/>
  <c r="AL207" i="5"/>
  <c r="AL215" i="5"/>
  <c r="T138" i="5"/>
  <c r="V148" i="5"/>
  <c r="T108" i="5"/>
  <c r="AL180" i="5"/>
  <c r="AL177" i="5"/>
  <c r="AL174" i="5"/>
  <c r="AL182" i="5"/>
  <c r="AL184" i="5"/>
  <c r="AL173" i="5"/>
  <c r="AL183" i="5"/>
  <c r="AL179" i="5"/>
  <c r="AL176" i="5"/>
  <c r="AL181" i="5"/>
  <c r="AL178" i="5"/>
  <c r="AL175" i="5"/>
  <c r="F22" i="5"/>
  <c r="X162" i="5"/>
  <c r="X164" i="5"/>
  <c r="X163" i="5"/>
  <c r="M108" i="5"/>
  <c r="X179" i="5"/>
  <c r="X176" i="5"/>
  <c r="X184" i="5"/>
  <c r="X173" i="5"/>
  <c r="X181" i="5"/>
  <c r="X183" i="5"/>
  <c r="X180" i="5"/>
  <c r="X174" i="5"/>
  <c r="X182" i="5"/>
  <c r="X178" i="5"/>
  <c r="X175" i="5"/>
  <c r="X177" i="5"/>
  <c r="R139" i="5"/>
  <c r="M120" i="5"/>
  <c r="X187" i="5"/>
  <c r="X195" i="5"/>
  <c r="X192" i="5"/>
  <c r="X200" i="5"/>
  <c r="X188" i="5"/>
  <c r="X201" i="5"/>
  <c r="X198" i="5"/>
  <c r="X189" i="5"/>
  <c r="X197" i="5"/>
  <c r="X199" i="5"/>
  <c r="X196" i="5"/>
  <c r="X185" i="5"/>
  <c r="X193" i="5"/>
  <c r="X190" i="5"/>
  <c r="X186" i="5"/>
  <c r="X194" i="5"/>
  <c r="X202" i="5"/>
  <c r="X191" i="5"/>
  <c r="O130" i="5"/>
  <c r="X203" i="5"/>
  <c r="X211" i="5"/>
  <c r="X219" i="5"/>
  <c r="X208" i="5"/>
  <c r="X216" i="5"/>
  <c r="X212" i="5"/>
  <c r="X220" i="5"/>
  <c r="X217" i="5"/>
  <c r="X205" i="5"/>
  <c r="X213" i="5"/>
  <c r="X207" i="5"/>
  <c r="X204" i="5"/>
  <c r="X209" i="5"/>
  <c r="X210" i="5"/>
  <c r="X218" i="5"/>
  <c r="X215" i="5"/>
  <c r="X206" i="5"/>
  <c r="X214" i="5"/>
  <c r="M138" i="5"/>
  <c r="O148" i="5"/>
  <c r="L34" i="5"/>
  <c r="L44" i="5"/>
  <c r="L36" i="5"/>
  <c r="L38" i="5"/>
  <c r="L35" i="5"/>
  <c r="L42" i="5"/>
  <c r="L46" i="5"/>
  <c r="L37" i="5"/>
  <c r="N14" i="6"/>
  <c r="L43" i="5"/>
  <c r="L45" i="5"/>
  <c r="I20" i="5"/>
  <c r="I24" i="5" s="1"/>
  <c r="O14" i="6"/>
  <c r="M45" i="5"/>
  <c r="T128" i="5" s="1"/>
  <c r="M35" i="5"/>
  <c r="M37" i="5"/>
  <c r="J26" i="5" l="1"/>
  <c r="M39" i="5"/>
  <c r="L39" i="5"/>
  <c r="Q115" i="3"/>
  <c r="O115" i="3" s="1"/>
  <c r="Q118" i="3"/>
  <c r="O118" i="3" s="1"/>
  <c r="Q121" i="3"/>
  <c r="O121" i="3" s="1"/>
  <c r="Q122" i="3"/>
  <c r="O122" i="3" s="1"/>
  <c r="Q119" i="3"/>
  <c r="O119" i="3" s="1"/>
  <c r="Q116" i="3"/>
  <c r="O116" i="3" s="1"/>
  <c r="Q117" i="3"/>
  <c r="O117" i="3" s="1"/>
  <c r="Q120" i="3"/>
  <c r="O120" i="3" s="1"/>
  <c r="Q53" i="3"/>
  <c r="Q52" i="3"/>
  <c r="O52" i="3" s="1"/>
  <c r="Q51" i="3"/>
  <c r="O51" i="3" s="1"/>
  <c r="Q57" i="3"/>
  <c r="O57" i="3" s="1"/>
  <c r="Q56" i="3"/>
  <c r="O56" i="3" s="1"/>
  <c r="Q55" i="3"/>
  <c r="O55" i="3" s="1"/>
  <c r="Q58" i="3"/>
  <c r="O58" i="3" s="1"/>
  <c r="Q54" i="3"/>
  <c r="O54" i="3" s="1"/>
  <c r="Q216" i="3"/>
  <c r="O216" i="3" s="1"/>
  <c r="Q214" i="3"/>
  <c r="O214" i="3" s="1"/>
  <c r="Q218" i="3"/>
  <c r="O218" i="3" s="1"/>
  <c r="Q212" i="3"/>
  <c r="O212" i="3" s="1"/>
  <c r="Q217" i="3"/>
  <c r="O217" i="3" s="1"/>
  <c r="Q215" i="3"/>
  <c r="O215" i="3" s="1"/>
  <c r="Q211" i="3"/>
  <c r="O211" i="3" s="1"/>
  <c r="Q213" i="3"/>
  <c r="O213" i="3" s="1"/>
  <c r="Q358" i="3"/>
  <c r="O358" i="3" s="1"/>
  <c r="Q360" i="3"/>
  <c r="O360" i="3" s="1"/>
  <c r="Q362" i="3"/>
  <c r="O362" i="3" s="1"/>
  <c r="Q356" i="3"/>
  <c r="O356" i="3" s="1"/>
  <c r="Q361" i="3"/>
  <c r="O361" i="3" s="1"/>
  <c r="Q355" i="3"/>
  <c r="O355" i="3" s="1"/>
  <c r="Q357" i="3"/>
  <c r="O357" i="3" s="1"/>
  <c r="Q359" i="3"/>
  <c r="O359" i="3" s="1"/>
  <c r="O53" i="3"/>
  <c r="G66" i="3"/>
  <c r="G126" i="3"/>
  <c r="G60" i="3"/>
  <c r="G370" i="3"/>
  <c r="G220" i="3"/>
  <c r="G369" i="3"/>
  <c r="G367" i="3"/>
  <c r="G130" i="3"/>
  <c r="G221" i="3"/>
  <c r="G225" i="3"/>
  <c r="G223" i="3"/>
  <c r="G129" i="3"/>
  <c r="G124" i="3"/>
  <c r="G65" i="3"/>
  <c r="G226" i="3"/>
  <c r="G363" i="3"/>
  <c r="G62" i="3"/>
  <c r="G364" i="3"/>
  <c r="G125" i="3"/>
  <c r="G64" i="3"/>
  <c r="G219" i="3"/>
  <c r="G368" i="3"/>
  <c r="G123" i="3"/>
  <c r="G61" i="3"/>
  <c r="R120" i="5"/>
  <c r="G366" i="3"/>
  <c r="G128" i="3"/>
  <c r="G63" i="3"/>
  <c r="G224" i="3"/>
  <c r="G222" i="3"/>
  <c r="R138" i="5"/>
  <c r="G365" i="3"/>
  <c r="G127" i="3"/>
  <c r="G59" i="3"/>
  <c r="M46" i="5"/>
  <c r="AP217" i="5" s="1"/>
  <c r="M42" i="5"/>
  <c r="AP163" i="5" s="1"/>
  <c r="M34" i="5"/>
  <c r="AB163" i="5" s="1"/>
  <c r="AB205" i="5"/>
  <c r="M36" i="5"/>
  <c r="AB178" i="5" s="1"/>
  <c r="M44" i="5"/>
  <c r="M43" i="5"/>
  <c r="AP172" i="5" s="1"/>
  <c r="AJ165" i="5"/>
  <c r="AJ168" i="5"/>
  <c r="AJ166" i="5"/>
  <c r="AJ169" i="5"/>
  <c r="AJ171" i="5"/>
  <c r="T99" i="5"/>
  <c r="AJ172" i="5"/>
  <c r="AJ170" i="5"/>
  <c r="AJ167" i="5"/>
  <c r="M119" i="5"/>
  <c r="V196" i="5"/>
  <c r="V190" i="5"/>
  <c r="V185" i="5"/>
  <c r="V192" i="5"/>
  <c r="V198" i="5"/>
  <c r="V193" i="5"/>
  <c r="V187" i="5"/>
  <c r="V199" i="5"/>
  <c r="V188" i="5"/>
  <c r="V200" i="5"/>
  <c r="V202" i="5"/>
  <c r="V191" i="5"/>
  <c r="V189" i="5"/>
  <c r="V186" i="5"/>
  <c r="V194" i="5"/>
  <c r="V197" i="5"/>
  <c r="V201" i="5"/>
  <c r="V195" i="5"/>
  <c r="O133" i="5"/>
  <c r="O132" i="5"/>
  <c r="AJ184" i="5"/>
  <c r="AJ179" i="5"/>
  <c r="AJ173" i="5"/>
  <c r="AJ177" i="5"/>
  <c r="AJ175" i="5"/>
  <c r="AJ180" i="5"/>
  <c r="AJ183" i="5"/>
  <c r="AJ178" i="5"/>
  <c r="AJ174" i="5"/>
  <c r="AJ176" i="5"/>
  <c r="AJ181" i="5"/>
  <c r="AJ182" i="5"/>
  <c r="T107" i="5"/>
  <c r="V171" i="5"/>
  <c r="V165" i="5"/>
  <c r="V167" i="5"/>
  <c r="M99" i="5"/>
  <c r="V166" i="5"/>
  <c r="V172" i="5"/>
  <c r="V168" i="5"/>
  <c r="V169" i="5"/>
  <c r="V170" i="5"/>
  <c r="V203" i="5"/>
  <c r="V206" i="5"/>
  <c r="V217" i="5"/>
  <c r="V218" i="5"/>
  <c r="V211" i="5"/>
  <c r="V214" i="5"/>
  <c r="V204" i="5"/>
  <c r="V208" i="5"/>
  <c r="V209" i="5"/>
  <c r="V219" i="5"/>
  <c r="V215" i="5"/>
  <c r="V216" i="5"/>
  <c r="V207" i="5"/>
  <c r="V220" i="5"/>
  <c r="V212" i="5"/>
  <c r="V205" i="5"/>
  <c r="V210" i="5"/>
  <c r="V213" i="5"/>
  <c r="M137" i="5"/>
  <c r="O150" i="5"/>
  <c r="O151" i="5"/>
  <c r="AJ163" i="5"/>
  <c r="AJ162" i="5"/>
  <c r="T96" i="5"/>
  <c r="AJ164" i="5"/>
  <c r="T119" i="5"/>
  <c r="AJ187" i="5"/>
  <c r="AJ198" i="5"/>
  <c r="AJ185" i="5"/>
  <c r="AJ195" i="5"/>
  <c r="AJ199" i="5"/>
  <c r="AJ193" i="5"/>
  <c r="AJ188" i="5"/>
  <c r="AJ192" i="5"/>
  <c r="AJ196" i="5"/>
  <c r="AJ189" i="5"/>
  <c r="AJ202" i="5"/>
  <c r="AJ190" i="5"/>
  <c r="AJ201" i="5"/>
  <c r="AJ194" i="5"/>
  <c r="AJ186" i="5"/>
  <c r="AJ200" i="5"/>
  <c r="AJ197" i="5"/>
  <c r="AJ191" i="5"/>
  <c r="V133" i="5"/>
  <c r="V132" i="5"/>
  <c r="M96" i="5"/>
  <c r="V163" i="5"/>
  <c r="V162" i="5"/>
  <c r="V164" i="5"/>
  <c r="V178" i="5"/>
  <c r="V183" i="5"/>
  <c r="V179" i="5"/>
  <c r="V176" i="5"/>
  <c r="V180" i="5"/>
  <c r="V181" i="5"/>
  <c r="V184" i="5"/>
  <c r="V182" i="5"/>
  <c r="V174" i="5"/>
  <c r="M107" i="5"/>
  <c r="V177" i="5"/>
  <c r="V173" i="5"/>
  <c r="V175" i="5"/>
  <c r="AJ209" i="5"/>
  <c r="AJ219" i="5"/>
  <c r="AJ215" i="5"/>
  <c r="AJ214" i="5"/>
  <c r="AJ217" i="5"/>
  <c r="AJ212" i="5"/>
  <c r="AJ216" i="5"/>
  <c r="AJ220" i="5"/>
  <c r="AJ205" i="5"/>
  <c r="AJ210" i="5"/>
  <c r="AJ213" i="5"/>
  <c r="AJ203" i="5"/>
  <c r="AJ218" i="5"/>
  <c r="AJ207" i="5"/>
  <c r="AJ204" i="5"/>
  <c r="AJ208" i="5"/>
  <c r="AJ206" i="5"/>
  <c r="AJ211" i="5"/>
  <c r="T137" i="5"/>
  <c r="V150" i="5"/>
  <c r="V151" i="5"/>
  <c r="AB187" i="5"/>
  <c r="AB191" i="5"/>
  <c r="AB185" i="5"/>
  <c r="AB188" i="5"/>
  <c r="AB201" i="5"/>
  <c r="AB197" i="5"/>
  <c r="AB189" i="5"/>
  <c r="AB196" i="5"/>
  <c r="AB193" i="5"/>
  <c r="AB199" i="5"/>
  <c r="AB202" i="5"/>
  <c r="AB186" i="5"/>
  <c r="AB195" i="5"/>
  <c r="AB198" i="5"/>
  <c r="AB190" i="5"/>
  <c r="AB192" i="5"/>
  <c r="AB194" i="5"/>
  <c r="AB200" i="5"/>
  <c r="AA200" i="5"/>
  <c r="AA186" i="5"/>
  <c r="AA189" i="5"/>
  <c r="AA192" i="5"/>
  <c r="AA196" i="5"/>
  <c r="AA185" i="5"/>
  <c r="AA187" i="5"/>
  <c r="AA193" i="5"/>
  <c r="AA199" i="5"/>
  <c r="AA202" i="5"/>
  <c r="AA191" i="5"/>
  <c r="AA195" i="5"/>
  <c r="AA198" i="5"/>
  <c r="AA201" i="5"/>
  <c r="AA188" i="5"/>
  <c r="AA190" i="5"/>
  <c r="AA194" i="5"/>
  <c r="AA197" i="5"/>
  <c r="AO203" i="5"/>
  <c r="AO207" i="5"/>
  <c r="AO211" i="5"/>
  <c r="AO215" i="5"/>
  <c r="AO219" i="5"/>
  <c r="AO213" i="5"/>
  <c r="AO218" i="5"/>
  <c r="AO212" i="5"/>
  <c r="AO209" i="5"/>
  <c r="AO205" i="5"/>
  <c r="AO208" i="5"/>
  <c r="AO217" i="5"/>
  <c r="AO206" i="5"/>
  <c r="AO204" i="5"/>
  <c r="AO214" i="5"/>
  <c r="AO216" i="5"/>
  <c r="AO220" i="5"/>
  <c r="AO210" i="5"/>
  <c r="AO167" i="5"/>
  <c r="AO171" i="5"/>
  <c r="AO166" i="5"/>
  <c r="AO165" i="5"/>
  <c r="AO170" i="5"/>
  <c r="AO169" i="5"/>
  <c r="AO172" i="5"/>
  <c r="AO168" i="5"/>
  <c r="AO175" i="5"/>
  <c r="AO179" i="5"/>
  <c r="AO183" i="5"/>
  <c r="AO181" i="5"/>
  <c r="AO176" i="5"/>
  <c r="AO180" i="5"/>
  <c r="AO177" i="5"/>
  <c r="AO182" i="5"/>
  <c r="AO174" i="5"/>
  <c r="AO178" i="5"/>
  <c r="AO184" i="5"/>
  <c r="AO173" i="5"/>
  <c r="AA208" i="5"/>
  <c r="AA204" i="5"/>
  <c r="AA212" i="5"/>
  <c r="AA209" i="5"/>
  <c r="AA215" i="5"/>
  <c r="AA219" i="5"/>
  <c r="AA205" i="5"/>
  <c r="AA211" i="5"/>
  <c r="AA214" i="5"/>
  <c r="AA218" i="5"/>
  <c r="AA207" i="5"/>
  <c r="AA210" i="5"/>
  <c r="AA217" i="5"/>
  <c r="AA213" i="5"/>
  <c r="AA203" i="5"/>
  <c r="AA206" i="5"/>
  <c r="AA216" i="5"/>
  <c r="AA220" i="5"/>
  <c r="AB206" i="5"/>
  <c r="AB204" i="5"/>
  <c r="AA167" i="5"/>
  <c r="AA171" i="5"/>
  <c r="AA172" i="5"/>
  <c r="AA169" i="5"/>
  <c r="AA165" i="5"/>
  <c r="AA170" i="5"/>
  <c r="AA168" i="5"/>
  <c r="AA166" i="5"/>
  <c r="AB167" i="5"/>
  <c r="AB171" i="5"/>
  <c r="AB166" i="5"/>
  <c r="AB169" i="5"/>
  <c r="AB165" i="5"/>
  <c r="AB172" i="5"/>
  <c r="AB170" i="5"/>
  <c r="AB168" i="5"/>
  <c r="AP187" i="5"/>
  <c r="AP191" i="5"/>
  <c r="AP195" i="5"/>
  <c r="AP199" i="5"/>
  <c r="AP201" i="5"/>
  <c r="AP186" i="5"/>
  <c r="AP196" i="5"/>
  <c r="AP185" i="5"/>
  <c r="AP190" i="5"/>
  <c r="AP200" i="5"/>
  <c r="AP197" i="5"/>
  <c r="AP202" i="5"/>
  <c r="AP188" i="5"/>
  <c r="AP194" i="5"/>
  <c r="AP192" i="5"/>
  <c r="AP198" i="5"/>
  <c r="AP189" i="5"/>
  <c r="AP193" i="5"/>
  <c r="AO187" i="5"/>
  <c r="AO191" i="5"/>
  <c r="AO195" i="5"/>
  <c r="AO199" i="5"/>
  <c r="AO186" i="5"/>
  <c r="AO196" i="5"/>
  <c r="AO193" i="5"/>
  <c r="AO198" i="5"/>
  <c r="AO197" i="5"/>
  <c r="AO202" i="5"/>
  <c r="AO192" i="5"/>
  <c r="AO188" i="5"/>
  <c r="AO194" i="5"/>
  <c r="AO200" i="5"/>
  <c r="AO189" i="5"/>
  <c r="AO201" i="5"/>
  <c r="AO190" i="5"/>
  <c r="AO185" i="5"/>
  <c r="AA175" i="5"/>
  <c r="AA179" i="5"/>
  <c r="AA173" i="5"/>
  <c r="AA178" i="5"/>
  <c r="AA174" i="5"/>
  <c r="AA176" i="5"/>
  <c r="AA180" i="5"/>
  <c r="AA182" i="5"/>
  <c r="AA184" i="5"/>
  <c r="AA177" i="5"/>
  <c r="AA181" i="5"/>
  <c r="AA183" i="5"/>
  <c r="AA162" i="5"/>
  <c r="AA164" i="5"/>
  <c r="AA163" i="5"/>
  <c r="AO164" i="5"/>
  <c r="AO162" i="5"/>
  <c r="AO163" i="5"/>
  <c r="R108" i="5"/>
  <c r="R100" i="5"/>
  <c r="M102" i="5"/>
  <c r="T102" i="5"/>
  <c r="T110" i="5"/>
  <c r="M122" i="5"/>
  <c r="I22" i="5"/>
  <c r="M140" i="5"/>
  <c r="M110" i="5"/>
  <c r="T140" i="5"/>
  <c r="T122" i="5"/>
  <c r="M128" i="5"/>
  <c r="M146" i="5"/>
  <c r="Q44" i="3" l="1"/>
  <c r="Q50" i="3"/>
  <c r="O50" i="3" s="1"/>
  <c r="Q43" i="3"/>
  <c r="O43" i="3" s="1"/>
  <c r="Q46" i="3"/>
  <c r="O46" i="3" s="1"/>
  <c r="Q48" i="3"/>
  <c r="O48" i="3" s="1"/>
  <c r="Q45" i="3"/>
  <c r="O45" i="3" s="1"/>
  <c r="Q47" i="3"/>
  <c r="O47" i="3" s="1"/>
  <c r="Q49" i="3"/>
  <c r="O49" i="3" s="1"/>
  <c r="S311" i="3"/>
  <c r="S309" i="3"/>
  <c r="S314" i="3"/>
  <c r="S312" i="3"/>
  <c r="S308" i="3"/>
  <c r="S310" i="3"/>
  <c r="S307" i="3"/>
  <c r="S313" i="3"/>
  <c r="Q374" i="3"/>
  <c r="O374" i="3" s="1"/>
  <c r="Q372" i="3"/>
  <c r="O372" i="3" s="1"/>
  <c r="Q375" i="3"/>
  <c r="O375" i="3" s="1"/>
  <c r="Q376" i="3"/>
  <c r="O376" i="3" s="1"/>
  <c r="Q378" i="3"/>
  <c r="O378" i="3" s="1"/>
  <c r="Q373" i="3"/>
  <c r="O373" i="3" s="1"/>
  <c r="Q377" i="3"/>
  <c r="O377" i="3" s="1"/>
  <c r="Q371" i="3"/>
  <c r="O371" i="3" s="1"/>
  <c r="Q135" i="3"/>
  <c r="O135" i="3" s="1"/>
  <c r="Q131" i="3"/>
  <c r="O131" i="3" s="1"/>
  <c r="Q138" i="3"/>
  <c r="O138" i="3" s="1"/>
  <c r="Q132" i="3"/>
  <c r="O132" i="3" s="1"/>
  <c r="Q137" i="3"/>
  <c r="O137" i="3" s="1"/>
  <c r="Q133" i="3"/>
  <c r="O133" i="3" s="1"/>
  <c r="Q134" i="3"/>
  <c r="O134" i="3" s="1"/>
  <c r="Q136" i="3"/>
  <c r="O136" i="3" s="1"/>
  <c r="S315" i="3"/>
  <c r="S320" i="3"/>
  <c r="S319" i="3"/>
  <c r="S316" i="3"/>
  <c r="S322" i="3"/>
  <c r="S318" i="3"/>
  <c r="S321" i="3"/>
  <c r="S317" i="3"/>
  <c r="Q19" i="3"/>
  <c r="O19" i="3" s="1"/>
  <c r="Q21" i="3"/>
  <c r="O21" i="3" s="1"/>
  <c r="Q25" i="3"/>
  <c r="O25" i="3" s="1"/>
  <c r="Q22" i="3"/>
  <c r="O22" i="3" s="1"/>
  <c r="Q20" i="3"/>
  <c r="O20" i="3" s="1"/>
  <c r="Q23" i="3"/>
  <c r="O23" i="3" s="1"/>
  <c r="Q24" i="3"/>
  <c r="O24" i="3" s="1"/>
  <c r="Q26" i="3"/>
  <c r="O26" i="3" s="1"/>
  <c r="Q210" i="3"/>
  <c r="O210" i="3" s="1"/>
  <c r="Q207" i="3"/>
  <c r="O207" i="3" s="1"/>
  <c r="Q204" i="3"/>
  <c r="O204" i="3" s="1"/>
  <c r="Q206" i="3"/>
  <c r="O206" i="3" s="1"/>
  <c r="Q205" i="3"/>
  <c r="O205" i="3" s="1"/>
  <c r="Q208" i="3"/>
  <c r="O208" i="3" s="1"/>
  <c r="Q209" i="3"/>
  <c r="O209" i="3" s="1"/>
  <c r="Q203" i="3"/>
  <c r="O203" i="3" s="1"/>
  <c r="S465" i="3"/>
  <c r="S460" i="3"/>
  <c r="S461" i="3"/>
  <c r="S466" i="3"/>
  <c r="S463" i="3"/>
  <c r="S462" i="3"/>
  <c r="S459" i="3"/>
  <c r="S464" i="3"/>
  <c r="Q68" i="3"/>
  <c r="O68" i="3" s="1"/>
  <c r="Q74" i="3"/>
  <c r="O74" i="3" s="1"/>
  <c r="Q67" i="3"/>
  <c r="O67" i="3" s="1"/>
  <c r="Q69" i="3"/>
  <c r="O69" i="3" s="1"/>
  <c r="Q71" i="3"/>
  <c r="O71" i="3" s="1"/>
  <c r="Q72" i="3"/>
  <c r="O72" i="3" s="1"/>
  <c r="Q73" i="3"/>
  <c r="O73" i="3" s="1"/>
  <c r="Q70" i="3"/>
  <c r="O70" i="3" s="1"/>
  <c r="Q350" i="3"/>
  <c r="O350" i="3" s="1"/>
  <c r="Q349" i="3"/>
  <c r="O349" i="3" s="1"/>
  <c r="Q351" i="3"/>
  <c r="O351" i="3" s="1"/>
  <c r="Q347" i="3"/>
  <c r="O347" i="3" s="1"/>
  <c r="Q353" i="3"/>
  <c r="O353" i="3" s="1"/>
  <c r="Q354" i="3"/>
  <c r="O354" i="3" s="1"/>
  <c r="Q352" i="3"/>
  <c r="O352" i="3" s="1"/>
  <c r="Q348" i="3"/>
  <c r="O348" i="3" s="1"/>
  <c r="Q233" i="3"/>
  <c r="O233" i="3" s="1"/>
  <c r="Q229" i="3"/>
  <c r="O229" i="3" s="1"/>
  <c r="Q230" i="3"/>
  <c r="O230" i="3" s="1"/>
  <c r="Q232" i="3"/>
  <c r="O232" i="3" s="1"/>
  <c r="Q234" i="3"/>
  <c r="O234" i="3" s="1"/>
  <c r="Q231" i="3"/>
  <c r="O231" i="3" s="1"/>
  <c r="Q228" i="3"/>
  <c r="O228" i="3" s="1"/>
  <c r="Q227" i="3"/>
  <c r="O227" i="3" s="1"/>
  <c r="Q278" i="3"/>
  <c r="Q276" i="3"/>
  <c r="Q281" i="3"/>
  <c r="Q282" i="3"/>
  <c r="Q275" i="3"/>
  <c r="Q280" i="3"/>
  <c r="Q279" i="3"/>
  <c r="Q277" i="3"/>
  <c r="Q112" i="3"/>
  <c r="O112" i="3" s="1"/>
  <c r="Q107" i="3"/>
  <c r="O107" i="3" s="1"/>
  <c r="Q110" i="3"/>
  <c r="O110" i="3" s="1"/>
  <c r="Q114" i="3"/>
  <c r="O114" i="3" s="1"/>
  <c r="Q108" i="3"/>
  <c r="O108" i="3" s="1"/>
  <c r="Q113" i="3"/>
  <c r="O113" i="3" s="1"/>
  <c r="Q111" i="3"/>
  <c r="O111" i="3" s="1"/>
  <c r="Q109" i="3"/>
  <c r="O109" i="3" s="1"/>
  <c r="S458" i="3"/>
  <c r="S455" i="3"/>
  <c r="S453" i="3"/>
  <c r="S457" i="3"/>
  <c r="S452" i="3"/>
  <c r="S451" i="3"/>
  <c r="S456" i="3"/>
  <c r="S454" i="3"/>
  <c r="O44" i="3"/>
  <c r="G217" i="3"/>
  <c r="AP203" i="5"/>
  <c r="T146" i="5"/>
  <c r="Q426" i="3" s="1"/>
  <c r="AP181" i="5"/>
  <c r="T116" i="5"/>
  <c r="AP212" i="5"/>
  <c r="G357" i="3"/>
  <c r="G214" i="3"/>
  <c r="G212" i="3"/>
  <c r="G58" i="3"/>
  <c r="G115" i="3"/>
  <c r="G116" i="3"/>
  <c r="G358" i="3"/>
  <c r="G218" i="3"/>
  <c r="G120" i="3"/>
  <c r="G55" i="3"/>
  <c r="G51" i="3"/>
  <c r="G213" i="3"/>
  <c r="G355" i="3"/>
  <c r="G360" i="3"/>
  <c r="G362" i="3"/>
  <c r="G216" i="3"/>
  <c r="G121" i="3"/>
  <c r="G359" i="3"/>
  <c r="G117" i="3"/>
  <c r="G57" i="3"/>
  <c r="G53" i="3"/>
  <c r="G215" i="3"/>
  <c r="G119" i="3"/>
  <c r="G356" i="3"/>
  <c r="G52" i="3"/>
  <c r="G122" i="3"/>
  <c r="R110" i="5"/>
  <c r="G54" i="3"/>
  <c r="R102" i="5"/>
  <c r="R140" i="5"/>
  <c r="G211" i="3"/>
  <c r="G118" i="3"/>
  <c r="G361" i="3"/>
  <c r="G56" i="3"/>
  <c r="AP218" i="5"/>
  <c r="AP206" i="5"/>
  <c r="AP209" i="5"/>
  <c r="AP219" i="5"/>
  <c r="AP204" i="5"/>
  <c r="AP216" i="5"/>
  <c r="AP220" i="5"/>
  <c r="AP205" i="5"/>
  <c r="AP207" i="5"/>
  <c r="AP213" i="5"/>
  <c r="AP215" i="5"/>
  <c r="AP208" i="5"/>
  <c r="AP211" i="5"/>
  <c r="AP214" i="5"/>
  <c r="AP210" i="5"/>
  <c r="AB162" i="5"/>
  <c r="AP162" i="5"/>
  <c r="AP164" i="5"/>
  <c r="AB173" i="5"/>
  <c r="AB181" i="5"/>
  <c r="AB207" i="5"/>
  <c r="AB214" i="5"/>
  <c r="AB212" i="5"/>
  <c r="AB220" i="5"/>
  <c r="AB210" i="5"/>
  <c r="AB215" i="5"/>
  <c r="AB209" i="5"/>
  <c r="AB218" i="5"/>
  <c r="AB216" i="5"/>
  <c r="AB203" i="5"/>
  <c r="AB164" i="5"/>
  <c r="AB208" i="5"/>
  <c r="AB213" i="5"/>
  <c r="AB211" i="5"/>
  <c r="AB217" i="5"/>
  <c r="AB219" i="5"/>
  <c r="AB176" i="5"/>
  <c r="AB182" i="5"/>
  <c r="AB177" i="5"/>
  <c r="M116" i="5"/>
  <c r="AP175" i="5"/>
  <c r="AP165" i="5"/>
  <c r="AP182" i="5"/>
  <c r="AB184" i="5"/>
  <c r="AB183" i="5"/>
  <c r="AP176" i="5"/>
  <c r="AB180" i="5"/>
  <c r="AB179" i="5"/>
  <c r="AP170" i="5"/>
  <c r="AP178" i="5"/>
  <c r="AB174" i="5"/>
  <c r="AB175" i="5"/>
  <c r="AP174" i="5"/>
  <c r="AP168" i="5"/>
  <c r="AP169" i="5"/>
  <c r="AP180" i="5"/>
  <c r="AP171" i="5"/>
  <c r="AP184" i="5"/>
  <c r="AP166" i="5"/>
  <c r="AP177" i="5"/>
  <c r="AP183" i="5"/>
  <c r="AP167" i="5"/>
  <c r="AP173" i="5"/>
  <c r="AP179" i="5"/>
  <c r="R119" i="5"/>
  <c r="R137" i="5"/>
  <c r="R99" i="5"/>
  <c r="R107" i="5"/>
  <c r="R96" i="5"/>
  <c r="R122" i="5"/>
  <c r="Q419" i="3" l="1"/>
  <c r="Q421" i="3"/>
  <c r="Q425" i="3"/>
  <c r="Q423" i="3"/>
  <c r="Q185" i="3"/>
  <c r="Q181" i="3"/>
  <c r="Q180" i="3"/>
  <c r="Q184" i="3"/>
  <c r="Q183" i="3"/>
  <c r="Q179" i="3"/>
  <c r="Q186" i="3"/>
  <c r="Q182" i="3"/>
  <c r="Q424" i="3"/>
  <c r="Q422" i="3"/>
  <c r="Q420" i="3"/>
  <c r="G47" i="3"/>
  <c r="G110" i="3"/>
  <c r="G371" i="3"/>
  <c r="G67" i="3"/>
  <c r="G351" i="3"/>
  <c r="G26" i="3"/>
  <c r="G46" i="3"/>
  <c r="G375" i="3"/>
  <c r="G228" i="3"/>
  <c r="G229" i="3"/>
  <c r="G108" i="3"/>
  <c r="G378" i="3"/>
  <c r="G73" i="3"/>
  <c r="G348" i="3"/>
  <c r="G22" i="3"/>
  <c r="G23" i="3"/>
  <c r="G131" i="3"/>
  <c r="G136" i="3"/>
  <c r="G49" i="3"/>
  <c r="G206" i="3"/>
  <c r="G114" i="3"/>
  <c r="G234" i="3"/>
  <c r="G19" i="3"/>
  <c r="G208" i="3"/>
  <c r="G132" i="3"/>
  <c r="G24" i="3"/>
  <c r="G209" i="3"/>
  <c r="G133" i="3"/>
  <c r="G113" i="3"/>
  <c r="G44" i="3"/>
  <c r="G203" i="3"/>
  <c r="G138" i="3"/>
  <c r="G207" i="3"/>
  <c r="G69" i="3"/>
  <c r="G233" i="3"/>
  <c r="G376" i="3"/>
  <c r="G25" i="3"/>
  <c r="G112" i="3"/>
  <c r="G349" i="3"/>
  <c r="G72" i="3"/>
  <c r="G135" i="3"/>
  <c r="G372" i="3"/>
  <c r="G347" i="3"/>
  <c r="G74" i="3"/>
  <c r="G43" i="3"/>
  <c r="G205" i="3"/>
  <c r="G70" i="3"/>
  <c r="G230" i="3"/>
  <c r="G137" i="3"/>
  <c r="G107" i="3"/>
  <c r="G352" i="3"/>
  <c r="G210" i="3"/>
  <c r="G232" i="3"/>
  <c r="G204" i="3"/>
  <c r="G68" i="3"/>
  <c r="G227" i="3"/>
  <c r="G377" i="3"/>
  <c r="G111" i="3"/>
  <c r="G45" i="3"/>
  <c r="G353" i="3"/>
  <c r="G374" i="3"/>
  <c r="G231" i="3"/>
  <c r="G134" i="3"/>
  <c r="G21" i="3"/>
  <c r="G109" i="3"/>
  <c r="G48" i="3"/>
  <c r="G350" i="3"/>
  <c r="G71" i="3"/>
  <c r="G373" i="3"/>
  <c r="G20" i="3"/>
  <c r="G50" i="3"/>
  <c r="G354" i="3"/>
  <c r="F43" i="5"/>
  <c r="H131" i="5"/>
  <c r="H149" i="5" s="1"/>
  <c r="F46" i="5"/>
  <c r="V142" i="5" s="1"/>
  <c r="F44" i="5"/>
  <c r="V112" i="5" s="1"/>
  <c r="F45" i="5"/>
  <c r="V124" i="5" s="1"/>
  <c r="F42" i="5"/>
  <c r="AI164" i="5" s="1"/>
  <c r="K148" i="5"/>
  <c r="F34" i="5"/>
  <c r="M95" i="5" s="1"/>
  <c r="F38" i="5"/>
  <c r="F39" i="5" s="1"/>
  <c r="F37" i="5"/>
  <c r="O124" i="5" s="1"/>
  <c r="F35" i="5"/>
  <c r="C21" i="5"/>
  <c r="C25" i="5" s="1"/>
  <c r="C26" i="5" s="1"/>
  <c r="F36" i="5"/>
  <c r="O112" i="5" s="1"/>
  <c r="S152" i="3" l="1"/>
  <c r="S150" i="3"/>
  <c r="O150" i="3" s="1"/>
  <c r="S151" i="3"/>
  <c r="O151" i="3" s="1"/>
  <c r="S148" i="3"/>
  <c r="O148" i="3" s="1"/>
  <c r="S147" i="3"/>
  <c r="O147" i="3" s="1"/>
  <c r="S154" i="3"/>
  <c r="O154" i="3" s="1"/>
  <c r="S149" i="3"/>
  <c r="O149" i="3" s="1"/>
  <c r="S153" i="3"/>
  <c r="O153" i="3" s="1"/>
  <c r="S247" i="3"/>
  <c r="O247" i="3" s="1"/>
  <c r="S244" i="3"/>
  <c r="O244" i="3" s="1"/>
  <c r="S245" i="3"/>
  <c r="O245" i="3" s="1"/>
  <c r="S250" i="3"/>
  <c r="O250" i="3" s="1"/>
  <c r="S246" i="3"/>
  <c r="O246" i="3" s="1"/>
  <c r="S243" i="3"/>
  <c r="O243" i="3" s="1"/>
  <c r="S248" i="3"/>
  <c r="O248" i="3" s="1"/>
  <c r="S249" i="3"/>
  <c r="O249" i="3" s="1"/>
  <c r="O152" i="3"/>
  <c r="AI167" i="5"/>
  <c r="V104" i="5"/>
  <c r="U169" i="5"/>
  <c r="O104" i="5"/>
  <c r="M151" i="5"/>
  <c r="O142" i="5"/>
  <c r="R112" i="5"/>
  <c r="R124" i="5"/>
  <c r="T95" i="5"/>
  <c r="Q18" i="3" s="1"/>
  <c r="AI192" i="5"/>
  <c r="V129" i="5"/>
  <c r="U189" i="5"/>
  <c r="O129" i="5"/>
  <c r="AI175" i="5"/>
  <c r="U179" i="5"/>
  <c r="M148" i="5"/>
  <c r="M136" i="5"/>
  <c r="O147" i="5"/>
  <c r="T151" i="5"/>
  <c r="V147" i="5"/>
  <c r="K106" i="5"/>
  <c r="AI211" i="5"/>
  <c r="AI162" i="5"/>
  <c r="AI163" i="5"/>
  <c r="U173" i="5"/>
  <c r="R95" i="5"/>
  <c r="U162" i="5"/>
  <c r="AI213" i="5"/>
  <c r="U207" i="5"/>
  <c r="M130" i="5"/>
  <c r="AI186" i="5"/>
  <c r="U208" i="5"/>
  <c r="AI212" i="5"/>
  <c r="U218" i="5"/>
  <c r="AI207" i="5"/>
  <c r="U215" i="5"/>
  <c r="AI193" i="5"/>
  <c r="AI174" i="5"/>
  <c r="U205" i="5"/>
  <c r="AI202" i="5"/>
  <c r="AI183" i="5"/>
  <c r="V149" i="5"/>
  <c r="AI191" i="5"/>
  <c r="U192" i="5"/>
  <c r="AI200" i="5"/>
  <c r="AI182" i="5"/>
  <c r="AI203" i="5"/>
  <c r="M106" i="5"/>
  <c r="T136" i="5"/>
  <c r="K98" i="5"/>
  <c r="M98" i="5"/>
  <c r="K95" i="5"/>
  <c r="AI166" i="5"/>
  <c r="AI165" i="5"/>
  <c r="U177" i="5"/>
  <c r="U178" i="5"/>
  <c r="U180" i="5"/>
  <c r="U183" i="5"/>
  <c r="U184" i="5"/>
  <c r="U182" i="5"/>
  <c r="U174" i="5"/>
  <c r="U176" i="5"/>
  <c r="U181" i="5"/>
  <c r="U201" i="5"/>
  <c r="U175" i="5"/>
  <c r="U170" i="5"/>
  <c r="U165" i="5"/>
  <c r="U166" i="5"/>
  <c r="U167" i="5"/>
  <c r="U171" i="5"/>
  <c r="U168" i="5"/>
  <c r="U172" i="5"/>
  <c r="M133" i="5"/>
  <c r="U164" i="5"/>
  <c r="U163" i="5"/>
  <c r="AI181" i="5"/>
  <c r="AI178" i="5"/>
  <c r="AI173" i="5"/>
  <c r="T106" i="5"/>
  <c r="AI184" i="5"/>
  <c r="AI177" i="5"/>
  <c r="AI176" i="5"/>
  <c r="AI179" i="5"/>
  <c r="AI180" i="5"/>
  <c r="K118" i="5"/>
  <c r="AI168" i="5"/>
  <c r="AI170" i="5"/>
  <c r="AI171" i="5"/>
  <c r="AI172" i="5"/>
  <c r="T98" i="5"/>
  <c r="AI169" i="5"/>
  <c r="U198" i="5"/>
  <c r="U186" i="5"/>
  <c r="U190" i="5"/>
  <c r="U187" i="5"/>
  <c r="U202" i="5"/>
  <c r="U194" i="5"/>
  <c r="U196" i="5"/>
  <c r="U191" i="5"/>
  <c r="U200" i="5"/>
  <c r="U185" i="5"/>
  <c r="U197" i="5"/>
  <c r="M118" i="5"/>
  <c r="U199" i="5"/>
  <c r="U188" i="5"/>
  <c r="U193" i="5"/>
  <c r="O131" i="5"/>
  <c r="U195" i="5"/>
  <c r="U212" i="5"/>
  <c r="U210" i="5"/>
  <c r="U214" i="5"/>
  <c r="U213" i="5"/>
  <c r="U206" i="5"/>
  <c r="U209" i="5"/>
  <c r="U204" i="5"/>
  <c r="U217" i="5"/>
  <c r="U203" i="5"/>
  <c r="U216" i="5"/>
  <c r="AI214" i="5"/>
  <c r="AI210" i="5"/>
  <c r="AI185" i="5"/>
  <c r="U211" i="5"/>
  <c r="O149" i="5"/>
  <c r="AI187" i="5"/>
  <c r="AI198" i="5"/>
  <c r="T133" i="5"/>
  <c r="T130" i="5"/>
  <c r="AI189" i="5"/>
  <c r="AI201" i="5"/>
  <c r="T118" i="5"/>
  <c r="AI197" i="5"/>
  <c r="AI188" i="5"/>
  <c r="AI195" i="5"/>
  <c r="AI190" i="5"/>
  <c r="AI194" i="5"/>
  <c r="AI199" i="5"/>
  <c r="AI206" i="5"/>
  <c r="AI204" i="5"/>
  <c r="AI209" i="5"/>
  <c r="AI220" i="5"/>
  <c r="AI215" i="5"/>
  <c r="AI205" i="5"/>
  <c r="AI217" i="5"/>
  <c r="AI218" i="5"/>
  <c r="T148" i="5"/>
  <c r="AI216" i="5"/>
  <c r="AI208" i="5"/>
  <c r="U219" i="5"/>
  <c r="V131" i="5"/>
  <c r="AI196" i="5"/>
  <c r="U220" i="5"/>
  <c r="AI219" i="5"/>
  <c r="K130" i="5"/>
  <c r="S83" i="3" l="1"/>
  <c r="Q14" i="3"/>
  <c r="O14" i="3" s="1"/>
  <c r="Q17" i="3"/>
  <c r="O17" i="3" s="1"/>
  <c r="Q11" i="3"/>
  <c r="O11" i="3" s="1"/>
  <c r="Q12" i="3"/>
  <c r="O12" i="3" s="1"/>
  <c r="Q294" i="3"/>
  <c r="O294" i="3" s="1"/>
  <c r="Q296" i="3"/>
  <c r="O296" i="3" s="1"/>
  <c r="Q291" i="3"/>
  <c r="O291" i="3" s="1"/>
  <c r="Q298" i="3"/>
  <c r="O298" i="3" s="1"/>
  <c r="Q295" i="3"/>
  <c r="O295" i="3" s="1"/>
  <c r="Q292" i="3"/>
  <c r="O292" i="3" s="1"/>
  <c r="Q297" i="3"/>
  <c r="O297" i="3" s="1"/>
  <c r="Q293" i="3"/>
  <c r="O293" i="3" s="1"/>
  <c r="Q106" i="3"/>
  <c r="O106" i="3" s="1"/>
  <c r="Q105" i="3"/>
  <c r="O105" i="3" s="1"/>
  <c r="Q100" i="3"/>
  <c r="O100" i="3" s="1"/>
  <c r="Q101" i="3"/>
  <c r="O101" i="3" s="1"/>
  <c r="Q103" i="3"/>
  <c r="O103" i="3" s="1"/>
  <c r="Q102" i="3"/>
  <c r="O102" i="3" s="1"/>
  <c r="Q99" i="3"/>
  <c r="O99" i="3" s="1"/>
  <c r="Q104" i="3"/>
  <c r="O104" i="3" s="1"/>
  <c r="Q438" i="3"/>
  <c r="O438" i="3" s="1"/>
  <c r="Q442" i="3"/>
  <c r="O442" i="3" s="1"/>
  <c r="Q440" i="3"/>
  <c r="O440" i="3" s="1"/>
  <c r="Q441" i="3"/>
  <c r="O441" i="3" s="1"/>
  <c r="Q435" i="3"/>
  <c r="O435" i="3" s="1"/>
  <c r="Q437" i="3"/>
  <c r="O437" i="3" s="1"/>
  <c r="Q439" i="3"/>
  <c r="O439" i="3" s="1"/>
  <c r="Q436" i="3"/>
  <c r="O436" i="3" s="1"/>
  <c r="Q200" i="3"/>
  <c r="O200" i="3" s="1"/>
  <c r="Q201" i="3"/>
  <c r="O201" i="3" s="1"/>
  <c r="Q197" i="3"/>
  <c r="O197" i="3" s="1"/>
  <c r="Q202" i="3"/>
  <c r="O202" i="3" s="1"/>
  <c r="Q199" i="3"/>
  <c r="O199" i="3" s="1"/>
  <c r="Q195" i="3"/>
  <c r="O195" i="3" s="1"/>
  <c r="Q198" i="3"/>
  <c r="O198" i="3" s="1"/>
  <c r="Q196" i="3"/>
  <c r="O196" i="3" s="1"/>
  <c r="Q15" i="3"/>
  <c r="O15" i="3" s="1"/>
  <c r="S391" i="3"/>
  <c r="O391" i="3" s="1"/>
  <c r="S394" i="3"/>
  <c r="O394" i="3" s="1"/>
  <c r="S389" i="3"/>
  <c r="O389" i="3" s="1"/>
  <c r="S390" i="3"/>
  <c r="O390" i="3" s="1"/>
  <c r="S387" i="3"/>
  <c r="O387" i="3" s="1"/>
  <c r="S388" i="3"/>
  <c r="O388" i="3" s="1"/>
  <c r="S393" i="3"/>
  <c r="O393" i="3" s="1"/>
  <c r="S392" i="3"/>
  <c r="O392" i="3" s="1"/>
  <c r="S286" i="3"/>
  <c r="S284" i="3"/>
  <c r="S289" i="3"/>
  <c r="S290" i="3"/>
  <c r="S283" i="3"/>
  <c r="S287" i="3"/>
  <c r="S288" i="3"/>
  <c r="S285" i="3"/>
  <c r="Q460" i="3"/>
  <c r="O460" i="3" s="1"/>
  <c r="Q459" i="3"/>
  <c r="O459" i="3" s="1"/>
  <c r="Q461" i="3"/>
  <c r="O461" i="3" s="1"/>
  <c r="Q466" i="3"/>
  <c r="O466" i="3" s="1"/>
  <c r="Q464" i="3"/>
  <c r="O464" i="3" s="1"/>
  <c r="Q465" i="3"/>
  <c r="O465" i="3" s="1"/>
  <c r="Q463" i="3"/>
  <c r="O463" i="3" s="1"/>
  <c r="Q462" i="3"/>
  <c r="O462" i="3" s="1"/>
  <c r="S90" i="3"/>
  <c r="S85" i="3"/>
  <c r="S84" i="3"/>
  <c r="S89" i="3"/>
  <c r="S87" i="3"/>
  <c r="S86" i="3"/>
  <c r="S88" i="3"/>
  <c r="Q16" i="3"/>
  <c r="G16" i="3" s="1"/>
  <c r="S445" i="3"/>
  <c r="S449" i="3"/>
  <c r="S448" i="3"/>
  <c r="S447" i="3"/>
  <c r="S446" i="3"/>
  <c r="S443" i="3"/>
  <c r="S444" i="3"/>
  <c r="S450" i="3"/>
  <c r="Q37" i="3"/>
  <c r="O37" i="3" s="1"/>
  <c r="Q41" i="3"/>
  <c r="O41" i="3" s="1"/>
  <c r="Q39" i="3"/>
  <c r="O39" i="3" s="1"/>
  <c r="Q42" i="3"/>
  <c r="O42" i="3" s="1"/>
  <c r="Q40" i="3"/>
  <c r="O40" i="3" s="1"/>
  <c r="Q36" i="3"/>
  <c r="O36" i="3" s="1"/>
  <c r="Q35" i="3"/>
  <c r="O35" i="3" s="1"/>
  <c r="Q38" i="3"/>
  <c r="O38" i="3" s="1"/>
  <c r="S430" i="3"/>
  <c r="S431" i="3"/>
  <c r="S427" i="3"/>
  <c r="S429" i="3"/>
  <c r="S428" i="3"/>
  <c r="S432" i="3"/>
  <c r="S433" i="3"/>
  <c r="S434" i="3"/>
  <c r="Q13" i="3"/>
  <c r="O13" i="3" s="1"/>
  <c r="S299" i="3"/>
  <c r="S306" i="3"/>
  <c r="S304" i="3"/>
  <c r="S300" i="3"/>
  <c r="S302" i="3"/>
  <c r="S303" i="3"/>
  <c r="S301" i="3"/>
  <c r="S305" i="3"/>
  <c r="Q317" i="3"/>
  <c r="O317" i="3" s="1"/>
  <c r="Q321" i="3"/>
  <c r="O321" i="3" s="1"/>
  <c r="Q320" i="3"/>
  <c r="O320" i="3" s="1"/>
  <c r="Q315" i="3"/>
  <c r="O315" i="3" s="1"/>
  <c r="Q322" i="3"/>
  <c r="O322" i="3" s="1"/>
  <c r="Q316" i="3"/>
  <c r="O316" i="3" s="1"/>
  <c r="Q319" i="3"/>
  <c r="O319" i="3" s="1"/>
  <c r="Q318" i="3"/>
  <c r="O318" i="3" s="1"/>
  <c r="Q341" i="3"/>
  <c r="O341" i="3" s="1"/>
  <c r="Q345" i="3"/>
  <c r="O345" i="3" s="1"/>
  <c r="Q343" i="3"/>
  <c r="O343" i="3" s="1"/>
  <c r="Q339" i="3"/>
  <c r="O339" i="3" s="1"/>
  <c r="Q340" i="3"/>
  <c r="O340" i="3" s="1"/>
  <c r="Q344" i="3"/>
  <c r="O344" i="3" s="1"/>
  <c r="Q346" i="3"/>
  <c r="O346" i="3" s="1"/>
  <c r="Q342" i="3"/>
  <c r="O342" i="3" s="1"/>
  <c r="O18" i="3"/>
  <c r="R104" i="5"/>
  <c r="G153" i="3"/>
  <c r="G151" i="3"/>
  <c r="G246" i="3"/>
  <c r="G249" i="3"/>
  <c r="G154" i="3"/>
  <c r="G243" i="3"/>
  <c r="G250" i="3"/>
  <c r="G248" i="3"/>
  <c r="G149" i="3"/>
  <c r="R106" i="5"/>
  <c r="R148" i="5"/>
  <c r="G247" i="3"/>
  <c r="G150" i="3"/>
  <c r="G152" i="3"/>
  <c r="R130" i="5"/>
  <c r="G245" i="3"/>
  <c r="G147" i="3"/>
  <c r="G148" i="3"/>
  <c r="R151" i="5"/>
  <c r="R98" i="5"/>
  <c r="G244" i="3"/>
  <c r="R142" i="5"/>
  <c r="R118" i="5"/>
  <c r="K136" i="5"/>
  <c r="R133" i="5"/>
  <c r="O16" i="3" l="1"/>
  <c r="G199" i="3"/>
  <c r="O84" i="3"/>
  <c r="G84" i="3"/>
  <c r="O86" i="3"/>
  <c r="G86" i="3"/>
  <c r="O83" i="3"/>
  <c r="G83" i="3"/>
  <c r="O85" i="3"/>
  <c r="G85" i="3"/>
  <c r="O87" i="3"/>
  <c r="G87" i="3"/>
  <c r="O89" i="3"/>
  <c r="G89" i="3"/>
  <c r="O88" i="3"/>
  <c r="G88" i="3"/>
  <c r="G90" i="3"/>
  <c r="O90" i="3"/>
  <c r="G291" i="3"/>
  <c r="G103" i="3"/>
  <c r="G315" i="3"/>
  <c r="G435" i="3"/>
  <c r="G441" i="3"/>
  <c r="G11" i="3"/>
  <c r="G466" i="3"/>
  <c r="G36" i="3"/>
  <c r="G99" i="3"/>
  <c r="G460" i="3"/>
  <c r="G201" i="3"/>
  <c r="G320" i="3"/>
  <c r="G196" i="3"/>
  <c r="G391" i="3"/>
  <c r="G392" i="3"/>
  <c r="G42" i="3"/>
  <c r="G40" i="3"/>
  <c r="G437" i="3"/>
  <c r="G394" i="3"/>
  <c r="G195" i="3"/>
  <c r="G439" i="3"/>
  <c r="G104" i="3"/>
  <c r="G37" i="3"/>
  <c r="G465" i="3"/>
  <c r="G14" i="3"/>
  <c r="G293" i="3"/>
  <c r="G18" i="3"/>
  <c r="G318" i="3"/>
  <c r="G198" i="3"/>
  <c r="G292" i="3"/>
  <c r="G41" i="3"/>
  <c r="G438" i="3"/>
  <c r="G387" i="3"/>
  <c r="G316" i="3"/>
  <c r="G102" i="3"/>
  <c r="G463" i="3"/>
  <c r="G390" i="3"/>
  <c r="G13" i="3"/>
  <c r="G436" i="3"/>
  <c r="G321" i="3"/>
  <c r="G298" i="3"/>
  <c r="G202" i="3"/>
  <c r="G442" i="3"/>
  <c r="G17" i="3"/>
  <c r="G440" i="3"/>
  <c r="G319" i="3"/>
  <c r="G296" i="3"/>
  <c r="G197" i="3"/>
  <c r="G105" i="3"/>
  <c r="G106" i="3"/>
  <c r="G459" i="3"/>
  <c r="G393" i="3"/>
  <c r="G297" i="3"/>
  <c r="G464" i="3"/>
  <c r="G322" i="3"/>
  <c r="G39" i="3"/>
  <c r="G295" i="3"/>
  <c r="G100" i="3"/>
  <c r="G12" i="3"/>
  <c r="G388" i="3"/>
  <c r="G38" i="3"/>
  <c r="G462" i="3"/>
  <c r="G317" i="3"/>
  <c r="G101" i="3"/>
  <c r="G35" i="3"/>
  <c r="G200" i="3"/>
  <c r="G294" i="3"/>
  <c r="G461" i="3"/>
  <c r="G389" i="3"/>
  <c r="G15" i="3"/>
  <c r="G344" i="3"/>
  <c r="G342" i="3"/>
  <c r="G346" i="3"/>
  <c r="G339" i="3"/>
  <c r="G341" i="3"/>
  <c r="G340" i="3"/>
  <c r="G345" i="3"/>
  <c r="R136" i="5"/>
  <c r="G343" i="3"/>
  <c r="E42" i="5"/>
  <c r="E44" i="5"/>
  <c r="E43" i="5"/>
  <c r="AH171" i="5" s="1"/>
  <c r="E46" i="5"/>
  <c r="E45" i="5"/>
  <c r="K94" i="5"/>
  <c r="E35" i="5"/>
  <c r="T170" i="5" s="1"/>
  <c r="E36" i="5"/>
  <c r="E34" i="5"/>
  <c r="M94" i="5" s="1"/>
  <c r="K131" i="5"/>
  <c r="B21" i="5"/>
  <c r="O21" i="5" s="1"/>
  <c r="E37" i="5"/>
  <c r="M132" i="5" s="1"/>
  <c r="T162" i="5" l="1"/>
  <c r="V125" i="5"/>
  <c r="V127" i="5"/>
  <c r="O125" i="5"/>
  <c r="O127" i="5"/>
  <c r="V145" i="5"/>
  <c r="V143" i="5"/>
  <c r="V113" i="5"/>
  <c r="V115" i="5"/>
  <c r="O143" i="5"/>
  <c r="O145" i="5"/>
  <c r="O113" i="5"/>
  <c r="O115" i="5"/>
  <c r="AH174" i="5"/>
  <c r="V116" i="5"/>
  <c r="V114" i="5"/>
  <c r="T176" i="5"/>
  <c r="O116" i="5"/>
  <c r="O114" i="5"/>
  <c r="T198" i="5"/>
  <c r="O128" i="5"/>
  <c r="O126" i="5"/>
  <c r="AH197" i="5"/>
  <c r="V128" i="5"/>
  <c r="V126" i="5"/>
  <c r="AH210" i="5"/>
  <c r="V146" i="5"/>
  <c r="V144" i="5"/>
  <c r="T219" i="5"/>
  <c r="O146" i="5"/>
  <c r="O144" i="5"/>
  <c r="B25" i="5"/>
  <c r="B26" i="5" s="1"/>
  <c r="AH180" i="5"/>
  <c r="AH167" i="5"/>
  <c r="K129" i="5"/>
  <c r="AH172" i="5"/>
  <c r="T189" i="5"/>
  <c r="M129" i="5"/>
  <c r="T94" i="5"/>
  <c r="Q7" i="3" s="1"/>
  <c r="AH204" i="5"/>
  <c r="T150" i="5"/>
  <c r="AH178" i="5"/>
  <c r="AH183" i="5"/>
  <c r="AH173" i="5"/>
  <c r="AH216" i="5"/>
  <c r="AH165" i="5"/>
  <c r="T211" i="5"/>
  <c r="T180" i="5"/>
  <c r="AH218" i="5"/>
  <c r="AH179" i="5"/>
  <c r="AH168" i="5"/>
  <c r="T179" i="5"/>
  <c r="T132" i="5"/>
  <c r="Q310" i="3" s="1"/>
  <c r="T182" i="5"/>
  <c r="AH212" i="5"/>
  <c r="AH192" i="5"/>
  <c r="AH213" i="5"/>
  <c r="AH176" i="5"/>
  <c r="AH186" i="5"/>
  <c r="T173" i="5"/>
  <c r="T164" i="5"/>
  <c r="AH217" i="5"/>
  <c r="AH169" i="5"/>
  <c r="AH185" i="5"/>
  <c r="T183" i="5"/>
  <c r="AH201" i="5"/>
  <c r="T174" i="5"/>
  <c r="AH219" i="5"/>
  <c r="AH181" i="5"/>
  <c r="AH166" i="5"/>
  <c r="T181" i="5"/>
  <c r="T105" i="5"/>
  <c r="T188" i="5"/>
  <c r="T185" i="5"/>
  <c r="T199" i="5"/>
  <c r="T191" i="5"/>
  <c r="T200" i="5"/>
  <c r="T197" i="5"/>
  <c r="T202" i="5"/>
  <c r="T187" i="5"/>
  <c r="T196" i="5"/>
  <c r="T192" i="5"/>
  <c r="T201" i="5"/>
  <c r="T190" i="5"/>
  <c r="M131" i="5"/>
  <c r="T193" i="5"/>
  <c r="T194" i="5"/>
  <c r="M150" i="5"/>
  <c r="K147" i="5"/>
  <c r="T147" i="5"/>
  <c r="AH162" i="5"/>
  <c r="AH164" i="5"/>
  <c r="T195" i="5"/>
  <c r="T186" i="5"/>
  <c r="AH163" i="5"/>
  <c r="T218" i="5"/>
  <c r="T212" i="5"/>
  <c r="T215" i="5"/>
  <c r="T203" i="5"/>
  <c r="T214" i="5"/>
  <c r="T217" i="5"/>
  <c r="T207" i="5"/>
  <c r="T208" i="5"/>
  <c r="T204" i="5"/>
  <c r="T209" i="5"/>
  <c r="T205" i="5"/>
  <c r="T216" i="5"/>
  <c r="M147" i="5"/>
  <c r="T213" i="5"/>
  <c r="T220" i="5"/>
  <c r="T206" i="5"/>
  <c r="R132" i="5"/>
  <c r="T168" i="5"/>
  <c r="M97" i="5"/>
  <c r="T171" i="5"/>
  <c r="T166" i="5"/>
  <c r="T165" i="5"/>
  <c r="T167" i="5"/>
  <c r="T172" i="5"/>
  <c r="T129" i="5"/>
  <c r="T169" i="5"/>
  <c r="T210" i="5"/>
  <c r="AH191" i="5"/>
  <c r="AH190" i="5"/>
  <c r="AH207" i="5"/>
  <c r="AH206" i="5"/>
  <c r="T149" i="5"/>
  <c r="AH182" i="5"/>
  <c r="AH175" i="5"/>
  <c r="AH170" i="5"/>
  <c r="AH187" i="5"/>
  <c r="AH202" i="5"/>
  <c r="AH194" i="5"/>
  <c r="T175" i="5"/>
  <c r="T178" i="5"/>
  <c r="AH199" i="5"/>
  <c r="T163" i="5"/>
  <c r="AH211" i="5"/>
  <c r="AH214" i="5"/>
  <c r="AH215" i="5"/>
  <c r="AH184" i="5"/>
  <c r="AH195" i="5"/>
  <c r="T131" i="5"/>
  <c r="T184" i="5"/>
  <c r="AH203" i="5"/>
  <c r="AH209" i="5"/>
  <c r="AH220" i="5"/>
  <c r="AH177" i="5"/>
  <c r="AH200" i="5"/>
  <c r="AH196" i="5"/>
  <c r="AH189" i="5"/>
  <c r="T177" i="5"/>
  <c r="AH188" i="5"/>
  <c r="AH205" i="5"/>
  <c r="AH208" i="5"/>
  <c r="AH193" i="5"/>
  <c r="AH198" i="5"/>
  <c r="Q313" i="3" l="1"/>
  <c r="O313" i="3" s="1"/>
  <c r="Q454" i="3"/>
  <c r="O454" i="3" s="1"/>
  <c r="Q455" i="3"/>
  <c r="O455" i="3" s="1"/>
  <c r="Q458" i="3"/>
  <c r="O458" i="3" s="1"/>
  <c r="Q453" i="3"/>
  <c r="O453" i="3" s="1"/>
  <c r="Q457" i="3"/>
  <c r="O457" i="3" s="1"/>
  <c r="Q452" i="3"/>
  <c r="O452" i="3" s="1"/>
  <c r="Q456" i="3"/>
  <c r="O456" i="3" s="1"/>
  <c r="Q451" i="3"/>
  <c r="O451" i="3" s="1"/>
  <c r="Q314" i="3"/>
  <c r="O314" i="3" s="1"/>
  <c r="Q312" i="3"/>
  <c r="O312" i="3" s="1"/>
  <c r="Q285" i="3"/>
  <c r="O285" i="3" s="1"/>
  <c r="Q283" i="3"/>
  <c r="O283" i="3" s="1"/>
  <c r="Q290" i="3"/>
  <c r="O290" i="3" s="1"/>
  <c r="Q287" i="3"/>
  <c r="O287" i="3" s="1"/>
  <c r="Q286" i="3"/>
  <c r="O286" i="3" s="1"/>
  <c r="Q288" i="3"/>
  <c r="O288" i="3" s="1"/>
  <c r="Q289" i="3"/>
  <c r="O289" i="3" s="1"/>
  <c r="Q284" i="3"/>
  <c r="O284" i="3" s="1"/>
  <c r="S423" i="3"/>
  <c r="O423" i="3" s="1"/>
  <c r="S426" i="3"/>
  <c r="O426" i="3" s="1"/>
  <c r="S420" i="3"/>
  <c r="O420" i="3" s="1"/>
  <c r="S424" i="3"/>
  <c r="O424" i="3" s="1"/>
  <c r="S421" i="3"/>
  <c r="O421" i="3" s="1"/>
  <c r="S425" i="3"/>
  <c r="O425" i="3" s="1"/>
  <c r="S419" i="3"/>
  <c r="O419" i="3" s="1"/>
  <c r="S422" i="3"/>
  <c r="O422" i="3" s="1"/>
  <c r="S263" i="3"/>
  <c r="O263" i="3" s="1"/>
  <c r="S264" i="3"/>
  <c r="O264" i="3" s="1"/>
  <c r="S266" i="3"/>
  <c r="O266" i="3" s="1"/>
  <c r="S260" i="3"/>
  <c r="O260" i="3" s="1"/>
  <c r="S265" i="3"/>
  <c r="O265" i="3" s="1"/>
  <c r="S259" i="3"/>
  <c r="O259" i="3" s="1"/>
  <c r="S261" i="3"/>
  <c r="O261" i="3" s="1"/>
  <c r="S262" i="3"/>
  <c r="O262" i="3" s="1"/>
  <c r="Q311" i="3"/>
  <c r="O311" i="3" s="1"/>
  <c r="Q428" i="3"/>
  <c r="O428" i="3" s="1"/>
  <c r="Q434" i="3"/>
  <c r="O434" i="3" s="1"/>
  <c r="Q430" i="3"/>
  <c r="O430" i="3" s="1"/>
  <c r="Q431" i="3"/>
  <c r="O431" i="3" s="1"/>
  <c r="Q432" i="3"/>
  <c r="O432" i="3" s="1"/>
  <c r="Q433" i="3"/>
  <c r="O433" i="3" s="1"/>
  <c r="Q427" i="3"/>
  <c r="O427" i="3" s="1"/>
  <c r="Q429" i="3"/>
  <c r="O429" i="3" s="1"/>
  <c r="S279" i="3"/>
  <c r="O279" i="3" s="1"/>
  <c r="S278" i="3"/>
  <c r="O278" i="3" s="1"/>
  <c r="S280" i="3"/>
  <c r="O280" i="3" s="1"/>
  <c r="S277" i="3"/>
  <c r="O277" i="3" s="1"/>
  <c r="S275" i="3"/>
  <c r="O275" i="3" s="1"/>
  <c r="S282" i="3"/>
  <c r="O282" i="3" s="1"/>
  <c r="S276" i="3"/>
  <c r="O276" i="3" s="1"/>
  <c r="S281" i="3"/>
  <c r="O281" i="3" s="1"/>
  <c r="S176" i="3"/>
  <c r="O176" i="3" s="1"/>
  <c r="S177" i="3"/>
  <c r="O177" i="3" s="1"/>
  <c r="S173" i="3"/>
  <c r="O173" i="3" s="1"/>
  <c r="S174" i="3"/>
  <c r="O174" i="3" s="1"/>
  <c r="S178" i="3"/>
  <c r="O178" i="3" s="1"/>
  <c r="S172" i="3"/>
  <c r="O172" i="3" s="1"/>
  <c r="S171" i="3"/>
  <c r="O171" i="3" s="1"/>
  <c r="S175" i="3"/>
  <c r="O175" i="3" s="1"/>
  <c r="S274" i="3"/>
  <c r="O274" i="3" s="1"/>
  <c r="S272" i="3"/>
  <c r="O272" i="3" s="1"/>
  <c r="S269" i="3"/>
  <c r="O269" i="3" s="1"/>
  <c r="S273" i="3"/>
  <c r="O273" i="3" s="1"/>
  <c r="S270" i="3"/>
  <c r="O270" i="3" s="1"/>
  <c r="S271" i="3"/>
  <c r="O271" i="3" s="1"/>
  <c r="S267" i="3"/>
  <c r="O267" i="3" s="1"/>
  <c r="S268" i="3"/>
  <c r="O268" i="3" s="1"/>
  <c r="Q309" i="3"/>
  <c r="O309" i="3" s="1"/>
  <c r="S410" i="3"/>
  <c r="O410" i="3" s="1"/>
  <c r="S409" i="3"/>
  <c r="O409" i="3" s="1"/>
  <c r="S404" i="3"/>
  <c r="O404" i="3" s="1"/>
  <c r="S407" i="3"/>
  <c r="O407" i="3" s="1"/>
  <c r="S405" i="3"/>
  <c r="O405" i="3" s="1"/>
  <c r="S406" i="3"/>
  <c r="O406" i="3" s="1"/>
  <c r="S408" i="3"/>
  <c r="O408" i="3" s="1"/>
  <c r="S403" i="3"/>
  <c r="O403" i="3" s="1"/>
  <c r="Q304" i="3"/>
  <c r="O304" i="3" s="1"/>
  <c r="Q306" i="3"/>
  <c r="O306" i="3" s="1"/>
  <c r="Q300" i="3"/>
  <c r="O300" i="3" s="1"/>
  <c r="Q305" i="3"/>
  <c r="O305" i="3" s="1"/>
  <c r="Q301" i="3"/>
  <c r="O301" i="3" s="1"/>
  <c r="Q302" i="3"/>
  <c r="O302" i="3" s="1"/>
  <c r="Q299" i="3"/>
  <c r="O299" i="3" s="1"/>
  <c r="Q303" i="3"/>
  <c r="O303" i="3" s="1"/>
  <c r="S160" i="3"/>
  <c r="S159" i="3"/>
  <c r="S155" i="3"/>
  <c r="S157" i="3"/>
  <c r="S158" i="3"/>
  <c r="S156" i="3"/>
  <c r="S161" i="3"/>
  <c r="S162" i="3"/>
  <c r="Q307" i="3"/>
  <c r="O307" i="3" s="1"/>
  <c r="Q4" i="3"/>
  <c r="O4" i="3" s="1"/>
  <c r="Q9" i="3"/>
  <c r="O9" i="3" s="1"/>
  <c r="Q5" i="3"/>
  <c r="O5" i="3" s="1"/>
  <c r="Q10" i="3"/>
  <c r="O10" i="3" s="1"/>
  <c r="Q6" i="3"/>
  <c r="O6" i="3" s="1"/>
  <c r="Q8" i="3"/>
  <c r="O8" i="3" s="1"/>
  <c r="O7" i="3"/>
  <c r="Q3" i="3"/>
  <c r="O3" i="3" s="1"/>
  <c r="S165" i="3"/>
  <c r="O165" i="3" s="1"/>
  <c r="S168" i="3"/>
  <c r="O168" i="3" s="1"/>
  <c r="S166" i="3"/>
  <c r="O166" i="3" s="1"/>
  <c r="S170" i="3"/>
  <c r="O170" i="3" s="1"/>
  <c r="S167" i="3"/>
  <c r="O167" i="3" s="1"/>
  <c r="S169" i="3"/>
  <c r="O169" i="3" s="1"/>
  <c r="S164" i="3"/>
  <c r="O164" i="3" s="1"/>
  <c r="S163" i="3"/>
  <c r="O163" i="3" s="1"/>
  <c r="S412" i="3"/>
  <c r="O412" i="3" s="1"/>
  <c r="S415" i="3"/>
  <c r="O415" i="3" s="1"/>
  <c r="S416" i="3"/>
  <c r="O416" i="3" s="1"/>
  <c r="S418" i="3"/>
  <c r="O418" i="3" s="1"/>
  <c r="S413" i="3"/>
  <c r="O413" i="3" s="1"/>
  <c r="S417" i="3"/>
  <c r="O417" i="3" s="1"/>
  <c r="S411" i="3"/>
  <c r="O411" i="3" s="1"/>
  <c r="S414" i="3"/>
  <c r="O414" i="3" s="1"/>
  <c r="Q308" i="3"/>
  <c r="O308" i="3" s="1"/>
  <c r="S256" i="3"/>
  <c r="S255" i="3"/>
  <c r="S254" i="3"/>
  <c r="S253" i="3"/>
  <c r="S257" i="3"/>
  <c r="S252" i="3"/>
  <c r="S258" i="3"/>
  <c r="S251" i="3"/>
  <c r="S183" i="3"/>
  <c r="O183" i="3" s="1"/>
  <c r="S180" i="3"/>
  <c r="O180" i="3" s="1"/>
  <c r="S185" i="3"/>
  <c r="O185" i="3" s="1"/>
  <c r="S182" i="3"/>
  <c r="O182" i="3" s="1"/>
  <c r="S181" i="3"/>
  <c r="O181" i="3" s="1"/>
  <c r="S179" i="3"/>
  <c r="O179" i="3" s="1"/>
  <c r="S184" i="3"/>
  <c r="O184" i="3" s="1"/>
  <c r="S186" i="3"/>
  <c r="O186" i="3" s="1"/>
  <c r="S396" i="3"/>
  <c r="S397" i="3"/>
  <c r="S399" i="3"/>
  <c r="S398" i="3"/>
  <c r="S401" i="3"/>
  <c r="S400" i="3"/>
  <c r="S395" i="3"/>
  <c r="S402" i="3"/>
  <c r="O310" i="3"/>
  <c r="R129" i="5"/>
  <c r="R94" i="5"/>
  <c r="R115" i="5"/>
  <c r="R127" i="5"/>
  <c r="R145" i="5"/>
  <c r="R128" i="5"/>
  <c r="R116" i="5"/>
  <c r="R114" i="5"/>
  <c r="R126" i="5"/>
  <c r="R144" i="5"/>
  <c r="R146" i="5"/>
  <c r="K149" i="5"/>
  <c r="M149" i="5"/>
  <c r="M105" i="5"/>
  <c r="T97" i="5"/>
  <c r="Q29" i="3" s="1"/>
  <c r="K105" i="5"/>
  <c r="K97" i="5"/>
  <c r="M117" i="5"/>
  <c r="R97" i="5"/>
  <c r="R131" i="5"/>
  <c r="R150" i="5"/>
  <c r="T117" i="5"/>
  <c r="R147" i="5"/>
  <c r="Q33" i="3" l="1"/>
  <c r="O33" i="3" s="1"/>
  <c r="Q194" i="3"/>
  <c r="O194" i="3" s="1"/>
  <c r="Q188" i="3"/>
  <c r="O188" i="3" s="1"/>
  <c r="Q191" i="3"/>
  <c r="O191" i="3" s="1"/>
  <c r="Q190" i="3"/>
  <c r="O190" i="3" s="1"/>
  <c r="Q187" i="3"/>
  <c r="O187" i="3" s="1"/>
  <c r="Q192" i="3"/>
  <c r="O192" i="3" s="1"/>
  <c r="Q193" i="3"/>
  <c r="O193" i="3" s="1"/>
  <c r="Q189" i="3"/>
  <c r="O189" i="3" s="1"/>
  <c r="Q31" i="3"/>
  <c r="O31" i="3" s="1"/>
  <c r="Q34" i="3"/>
  <c r="O34" i="3" s="1"/>
  <c r="Q96" i="3"/>
  <c r="O96" i="3" s="1"/>
  <c r="Q92" i="3"/>
  <c r="O92" i="3" s="1"/>
  <c r="Q98" i="3"/>
  <c r="O98" i="3" s="1"/>
  <c r="Q94" i="3"/>
  <c r="O94" i="3" s="1"/>
  <c r="Q95" i="3"/>
  <c r="O95" i="3" s="1"/>
  <c r="Q97" i="3"/>
  <c r="O97" i="3" s="1"/>
  <c r="Q91" i="3"/>
  <c r="O91" i="3" s="1"/>
  <c r="Q93" i="3"/>
  <c r="O93" i="3" s="1"/>
  <c r="Q32" i="3"/>
  <c r="O32" i="3" s="1"/>
  <c r="Q30" i="3"/>
  <c r="O30" i="3" s="1"/>
  <c r="Q27" i="3"/>
  <c r="O27" i="3" s="1"/>
  <c r="Q28" i="3"/>
  <c r="O28" i="3" s="1"/>
  <c r="Q446" i="3"/>
  <c r="O446" i="3" s="1"/>
  <c r="Q448" i="3"/>
  <c r="O448" i="3" s="1"/>
  <c r="Q445" i="3"/>
  <c r="O445" i="3" s="1"/>
  <c r="Q443" i="3"/>
  <c r="O443" i="3" s="1"/>
  <c r="Q447" i="3"/>
  <c r="O447" i="3" s="1"/>
  <c r="Q449" i="3"/>
  <c r="O449" i="3" s="1"/>
  <c r="Q444" i="3"/>
  <c r="O444" i="3" s="1"/>
  <c r="Q450" i="3"/>
  <c r="O450" i="3" s="1"/>
  <c r="G29" i="3"/>
  <c r="G314" i="3"/>
  <c r="G311" i="3"/>
  <c r="G6" i="3"/>
  <c r="G306" i="3"/>
  <c r="G431" i="3"/>
  <c r="G313" i="3"/>
  <c r="G312" i="3"/>
  <c r="G185" i="3"/>
  <c r="G419" i="3"/>
  <c r="G432" i="3"/>
  <c r="G300" i="3"/>
  <c r="G428" i="3"/>
  <c r="G288" i="3"/>
  <c r="G262" i="3"/>
  <c r="G272" i="3"/>
  <c r="G284" i="3"/>
  <c r="G165" i="3"/>
  <c r="G454" i="3"/>
  <c r="G433" i="3"/>
  <c r="G408" i="3"/>
  <c r="G171" i="3"/>
  <c r="G310" i="3"/>
  <c r="G184" i="3"/>
  <c r="G261" i="3"/>
  <c r="G304" i="3"/>
  <c r="G276" i="3"/>
  <c r="G413" i="3"/>
  <c r="G423" i="3"/>
  <c r="G170" i="3"/>
  <c r="G183" i="3"/>
  <c r="G412" i="3"/>
  <c r="G290" i="3"/>
  <c r="G414" i="3"/>
  <c r="G270" i="3"/>
  <c r="G3" i="3"/>
  <c r="G280" i="3"/>
  <c r="G457" i="3"/>
  <c r="G410" i="3"/>
  <c r="G406" i="3"/>
  <c r="G452" i="3"/>
  <c r="G303" i="3"/>
  <c r="G307" i="3"/>
  <c r="G281" i="3"/>
  <c r="G273" i="3"/>
  <c r="G309" i="3"/>
  <c r="G178" i="3"/>
  <c r="G266" i="3"/>
  <c r="G283" i="3"/>
  <c r="G179" i="3"/>
  <c r="G458" i="3"/>
  <c r="G274" i="3"/>
  <c r="G301" i="3"/>
  <c r="G259" i="3"/>
  <c r="G302" i="3"/>
  <c r="G7" i="3"/>
  <c r="G407" i="3"/>
  <c r="G186" i="3"/>
  <c r="G286" i="3"/>
  <c r="G169" i="3"/>
  <c r="G430" i="3"/>
  <c r="G5" i="3"/>
  <c r="G404" i="3"/>
  <c r="G263" i="3"/>
  <c r="G168" i="3"/>
  <c r="G268" i="3"/>
  <c r="G172" i="3"/>
  <c r="G405" i="3"/>
  <c r="G174" i="3"/>
  <c r="G426" i="3"/>
  <c r="G282" i="3"/>
  <c r="G417" i="3"/>
  <c r="G455" i="3"/>
  <c r="G279" i="3"/>
  <c r="G427" i="3"/>
  <c r="G10" i="3"/>
  <c r="G425" i="3"/>
  <c r="G173" i="3"/>
  <c r="G422" i="3"/>
  <c r="G418" i="3"/>
  <c r="G265" i="3"/>
  <c r="G166" i="3"/>
  <c r="G182" i="3"/>
  <c r="G420" i="3"/>
  <c r="G177" i="3"/>
  <c r="R149" i="5"/>
  <c r="G181" i="3"/>
  <c r="G267" i="3"/>
  <c r="G421" i="3"/>
  <c r="G164" i="3"/>
  <c r="G271" i="3"/>
  <c r="G175" i="3"/>
  <c r="G453" i="3"/>
  <c r="G167" i="3"/>
  <c r="G415" i="3"/>
  <c r="G287" i="3"/>
  <c r="G163" i="3"/>
  <c r="G429" i="3"/>
  <c r="G289" i="3"/>
  <c r="G451" i="3"/>
  <c r="G308" i="3"/>
  <c r="G9" i="3"/>
  <c r="G264" i="3"/>
  <c r="G277" i="3"/>
  <c r="G269" i="3"/>
  <c r="G176" i="3"/>
  <c r="G403" i="3"/>
  <c r="G411" i="3"/>
  <c r="G456" i="3"/>
  <c r="G8" i="3"/>
  <c r="G299" i="3"/>
  <c r="G275" i="3"/>
  <c r="G434" i="3"/>
  <c r="G285" i="3"/>
  <c r="G305" i="3"/>
  <c r="G4" i="3"/>
  <c r="G424" i="3"/>
  <c r="G409" i="3"/>
  <c r="G260" i="3"/>
  <c r="G180" i="3"/>
  <c r="G278" i="3"/>
  <c r="G416" i="3"/>
  <c r="R105" i="5"/>
  <c r="K117" i="5"/>
  <c r="R117" i="5"/>
  <c r="T135" i="5"/>
  <c r="K135" i="5"/>
  <c r="Q338" i="3" l="1"/>
  <c r="O338" i="3" s="1"/>
  <c r="Q335" i="3"/>
  <c r="O335" i="3" s="1"/>
  <c r="Q337" i="3"/>
  <c r="O337" i="3" s="1"/>
  <c r="Q333" i="3"/>
  <c r="O333" i="3" s="1"/>
  <c r="Q332" i="3"/>
  <c r="O332" i="3" s="1"/>
  <c r="Q334" i="3"/>
  <c r="O334" i="3" s="1"/>
  <c r="Q336" i="3"/>
  <c r="O336" i="3" s="1"/>
  <c r="Q331" i="3"/>
  <c r="O331" i="3" s="1"/>
  <c r="O29" i="3"/>
  <c r="G30" i="3"/>
  <c r="G192" i="3"/>
  <c r="G190" i="3"/>
  <c r="G448" i="3"/>
  <c r="G27" i="3"/>
  <c r="G32" i="3"/>
  <c r="G92" i="3"/>
  <c r="G193" i="3"/>
  <c r="G447" i="3"/>
  <c r="G450" i="3"/>
  <c r="G189" i="3"/>
  <c r="G449" i="3"/>
  <c r="G91" i="3"/>
  <c r="G33" i="3"/>
  <c r="G187" i="3"/>
  <c r="G94" i="3"/>
  <c r="G31" i="3"/>
  <c r="G96" i="3"/>
  <c r="G194" i="3"/>
  <c r="G28" i="3"/>
  <c r="G443" i="3"/>
  <c r="G446" i="3"/>
  <c r="G98" i="3"/>
  <c r="G188" i="3"/>
  <c r="G93" i="3"/>
  <c r="G95" i="3"/>
  <c r="G191" i="3"/>
  <c r="G444" i="3"/>
  <c r="G445" i="3"/>
  <c r="G97" i="3"/>
  <c r="G34" i="3"/>
  <c r="R135" i="5"/>
  <c r="O42" i="5"/>
  <c r="AR162" i="5" s="1"/>
  <c r="O45" i="5"/>
  <c r="AR191" i="5" s="1"/>
  <c r="O36" i="5"/>
  <c r="AD182" i="5" s="1"/>
  <c r="O46" i="5"/>
  <c r="AR219" i="5" s="1"/>
  <c r="O43" i="5"/>
  <c r="AR170" i="5" s="1"/>
  <c r="O44" i="5"/>
  <c r="AD164" i="5"/>
  <c r="G335" i="3" l="1"/>
  <c r="G337" i="3"/>
  <c r="G334" i="3"/>
  <c r="G336" i="3"/>
  <c r="G331" i="3"/>
  <c r="G338" i="3"/>
  <c r="G332" i="3"/>
  <c r="G333" i="3"/>
  <c r="AR164" i="5"/>
  <c r="AD179" i="5"/>
  <c r="AR218" i="5"/>
  <c r="AR216" i="5"/>
  <c r="AD163" i="5"/>
  <c r="AD178" i="5"/>
  <c r="AR213" i="5"/>
  <c r="AD181" i="5"/>
  <c r="AR175" i="5"/>
  <c r="AR179" i="5"/>
  <c r="AR176" i="5"/>
  <c r="AR181" i="5"/>
  <c r="AR182" i="5"/>
  <c r="AR178" i="5"/>
  <c r="AR173" i="5"/>
  <c r="AR183" i="5"/>
  <c r="AR177" i="5"/>
  <c r="AR174" i="5"/>
  <c r="AR184" i="5"/>
  <c r="AR180" i="5"/>
  <c r="AR187" i="5"/>
  <c r="AR195" i="5"/>
  <c r="AR199" i="5"/>
  <c r="AR217" i="5"/>
  <c r="AD176" i="5"/>
  <c r="AR193" i="5"/>
  <c r="AR167" i="5"/>
  <c r="AR208" i="5"/>
  <c r="AD184" i="5"/>
  <c r="AR202" i="5"/>
  <c r="AR220" i="5"/>
  <c r="AD173" i="5"/>
  <c r="AR188" i="5"/>
  <c r="AR163" i="5"/>
  <c r="AD162" i="5"/>
  <c r="AR172" i="5"/>
  <c r="AR204" i="5"/>
  <c r="AR211" i="5"/>
  <c r="AD177" i="5"/>
  <c r="AD183" i="5"/>
  <c r="AR196" i="5"/>
  <c r="AR185" i="5"/>
  <c r="AR189" i="5"/>
  <c r="AR215" i="5"/>
  <c r="AR212" i="5"/>
  <c r="AR200" i="5"/>
  <c r="AD175" i="5"/>
  <c r="AR194" i="5"/>
  <c r="AR207" i="5"/>
  <c r="AR169" i="5"/>
  <c r="AR214" i="5"/>
  <c r="AR205" i="5"/>
  <c r="AD174" i="5"/>
  <c r="AR192" i="5"/>
  <c r="AR190" i="5"/>
  <c r="AR171" i="5"/>
  <c r="AR209" i="5"/>
  <c r="AR201" i="5"/>
  <c r="AR168" i="5"/>
  <c r="AR206" i="5"/>
  <c r="AR210" i="5"/>
  <c r="AR166" i="5"/>
  <c r="O38" i="5"/>
  <c r="O39" i="5" s="1"/>
  <c r="AD180" i="5"/>
  <c r="AR197" i="5"/>
  <c r="L26" i="5"/>
  <c r="AR165" i="5"/>
  <c r="AR203" i="5"/>
  <c r="O37" i="5"/>
  <c r="O35" i="5"/>
  <c r="AR198" i="5"/>
  <c r="AR186" i="5"/>
  <c r="AD170" i="5" l="1"/>
  <c r="AD167" i="5"/>
  <c r="AD172" i="5"/>
  <c r="AD171" i="5"/>
  <c r="AD165" i="5"/>
  <c r="AD169" i="5"/>
  <c r="AD168" i="5"/>
  <c r="AD166" i="5"/>
  <c r="AD210" i="5"/>
  <c r="AD204" i="5"/>
  <c r="AD209" i="5"/>
  <c r="AD212" i="5"/>
  <c r="AD217" i="5"/>
  <c r="AD208" i="5"/>
  <c r="AD206" i="5"/>
  <c r="AD215" i="5"/>
  <c r="AD219" i="5"/>
  <c r="AD211" i="5"/>
  <c r="AD216" i="5"/>
  <c r="AD205" i="5"/>
  <c r="AD220" i="5"/>
  <c r="AD207" i="5"/>
  <c r="AD214" i="5"/>
  <c r="AD203" i="5"/>
  <c r="AD218" i="5"/>
  <c r="AD213" i="5"/>
  <c r="AD193" i="5"/>
  <c r="AD197" i="5"/>
  <c r="AD195" i="5"/>
  <c r="AD191" i="5"/>
  <c r="AD189" i="5"/>
  <c r="AD198" i="5"/>
  <c r="AD192" i="5"/>
  <c r="AD187" i="5"/>
  <c r="AD185" i="5"/>
  <c r="AD186" i="5"/>
  <c r="AD196" i="5"/>
  <c r="AD188" i="5"/>
  <c r="AD200" i="5"/>
  <c r="AD199" i="5"/>
  <c r="AD201" i="5"/>
  <c r="AD194" i="5"/>
  <c r="AD190" i="5"/>
  <c r="AD202" i="5"/>
  <c r="E90" i="9" l="1"/>
  <c r="C90" i="9"/>
  <c r="C91" i="9" s="1"/>
  <c r="C92" i="9" s="1"/>
  <c r="F90" i="9"/>
  <c r="D90" i="9"/>
  <c r="D91" i="9" s="1"/>
  <c r="D92" i="9" s="1"/>
  <c r="G90" i="9"/>
  <c r="G91" i="9" s="1"/>
  <c r="G92" i="9" s="1"/>
  <c r="E91" i="9" l="1"/>
  <c r="E92" i="9" s="1"/>
  <c r="D93" i="9"/>
  <c r="F91" i="9"/>
  <c r="F92" i="9" s="1"/>
  <c r="AB104" i="5"/>
  <c r="AB97" i="5"/>
  <c r="AB98" i="5"/>
  <c r="AB101" i="5"/>
  <c r="AB102" i="5"/>
  <c r="AB103" i="5"/>
  <c r="AB100" i="5"/>
  <c r="AB99" i="5"/>
  <c r="AB95" i="5"/>
  <c r="AB94" i="5"/>
  <c r="AB96" i="5"/>
  <c r="AB151" i="5"/>
  <c r="AB140" i="5"/>
  <c r="AB143" i="5"/>
  <c r="AB137" i="5"/>
  <c r="AB142" i="5"/>
  <c r="AB150" i="5"/>
  <c r="AB147" i="5"/>
  <c r="AB145" i="5"/>
  <c r="AB141" i="5"/>
  <c r="AB146" i="5"/>
  <c r="AB135" i="5"/>
  <c r="AB149" i="5"/>
  <c r="AB136" i="5"/>
  <c r="AB138" i="5"/>
  <c r="AB152" i="5"/>
  <c r="AB139" i="5"/>
  <c r="AB148" i="5"/>
  <c r="AB144" i="5"/>
  <c r="AB105" i="5" l="1"/>
  <c r="E93" i="9"/>
  <c r="F93" i="9"/>
  <c r="G93" i="9"/>
  <c r="AB123" i="5"/>
  <c r="AB121" i="5"/>
  <c r="AB129" i="5"/>
  <c r="AB122" i="5"/>
  <c r="AB120" i="5"/>
  <c r="AB131" i="5"/>
  <c r="AB127" i="5"/>
  <c r="AB117" i="5"/>
  <c r="AB134" i="5"/>
  <c r="AB133" i="5"/>
  <c r="AB124" i="5"/>
  <c r="AB132" i="5"/>
  <c r="AB128" i="5"/>
  <c r="AB126" i="5"/>
  <c r="AB130" i="5"/>
  <c r="AB118" i="5"/>
  <c r="AB125" i="5"/>
  <c r="AB119" i="5"/>
  <c r="AB110" i="5"/>
  <c r="AB109" i="5"/>
  <c r="AB113" i="5"/>
  <c r="AB106" i="5"/>
  <c r="AB114" i="5"/>
  <c r="AB115" i="5"/>
  <c r="AB108" i="5"/>
  <c r="AB107" i="5"/>
  <c r="AB116" i="5"/>
  <c r="AB112" i="5"/>
  <c r="AB111" i="5"/>
  <c r="N12" i="5"/>
  <c r="N13" i="5"/>
  <c r="N54" i="5"/>
  <c r="N10" i="5"/>
  <c r="N14" i="5"/>
  <c r="K19" i="5" s="1"/>
  <c r="K20" i="5" s="1"/>
  <c r="N11" i="5"/>
  <c r="N50" i="5"/>
  <c r="N53" i="5"/>
  <c r="N52" i="5"/>
  <c r="N51" i="5"/>
  <c r="M54" i="5"/>
  <c r="M13" i="5"/>
  <c r="M10" i="5"/>
  <c r="M12" i="5"/>
  <c r="M14" i="5"/>
  <c r="J19" i="5" s="1"/>
  <c r="J20" i="5" s="1"/>
  <c r="M11" i="5"/>
  <c r="M53" i="5"/>
  <c r="M52" i="5"/>
  <c r="M50" i="5"/>
  <c r="M51" i="5"/>
  <c r="K24" i="5" l="1"/>
  <c r="K22" i="5"/>
  <c r="J22" i="5"/>
  <c r="J24" i="5"/>
  <c r="K13" i="5" l="1"/>
  <c r="K11" i="5"/>
  <c r="K53" i="5"/>
  <c r="K12" i="5"/>
  <c r="K52" i="5"/>
  <c r="K54" i="5"/>
  <c r="K10" i="5"/>
  <c r="K50" i="5"/>
  <c r="K51" i="5"/>
  <c r="K14" i="5"/>
  <c r="H19" i="5" s="1"/>
  <c r="H20" i="5" s="1"/>
  <c r="H22" i="5" l="1"/>
  <c r="H24" i="5"/>
  <c r="C6" i="7" l="1"/>
  <c r="D6" i="7" l="1"/>
  <c r="F6" i="7"/>
  <c r="L6" i="7" s="1"/>
  <c r="G6" i="7"/>
  <c r="M6" i="7" s="1"/>
  <c r="I6" i="7"/>
  <c r="O6" i="7" s="1"/>
  <c r="H6" i="7"/>
  <c r="N6" i="7" s="1"/>
  <c r="J6" i="7"/>
  <c r="P6" i="7" s="1"/>
  <c r="P34" i="5" l="1"/>
  <c r="M25" i="5"/>
  <c r="R14" i="6"/>
  <c r="M20" i="5"/>
  <c r="M21" i="5" l="1"/>
  <c r="M26" i="5"/>
  <c r="P44" i="5"/>
  <c r="T113" i="5" s="1"/>
  <c r="P46" i="5"/>
  <c r="T143" i="5" s="1"/>
  <c r="P37" i="5"/>
  <c r="P35" i="5"/>
  <c r="P23" i="5"/>
  <c r="P36" i="5"/>
  <c r="P45" i="5"/>
  <c r="T125" i="5" s="1"/>
  <c r="P43" i="5"/>
  <c r="P42" i="5"/>
  <c r="P38" i="5"/>
  <c r="P39" i="5" s="1"/>
  <c r="M24" i="5"/>
  <c r="M22" i="5"/>
  <c r="S36" i="5" l="1"/>
  <c r="AE175" i="5"/>
  <c r="AE178" i="5"/>
  <c r="AE183" i="5"/>
  <c r="AE180" i="5"/>
  <c r="AE177" i="5"/>
  <c r="AE176" i="5"/>
  <c r="AE181" i="5"/>
  <c r="M113" i="5"/>
  <c r="AE182" i="5"/>
  <c r="AE184" i="5"/>
  <c r="AE173" i="5"/>
  <c r="AE179" i="5"/>
  <c r="AE174" i="5"/>
  <c r="AS198" i="5"/>
  <c r="AS202" i="5"/>
  <c r="AS195" i="5"/>
  <c r="AS189" i="5"/>
  <c r="AS196" i="5"/>
  <c r="AS197" i="5"/>
  <c r="AS199" i="5"/>
  <c r="AS185" i="5"/>
  <c r="AS194" i="5"/>
  <c r="AS191" i="5"/>
  <c r="AS192" i="5"/>
  <c r="AS187" i="5"/>
  <c r="AS200" i="5"/>
  <c r="AS188" i="5"/>
  <c r="AS186" i="5"/>
  <c r="AS201" i="5"/>
  <c r="AS190" i="5"/>
  <c r="AS193" i="5"/>
  <c r="AE163" i="5"/>
  <c r="AE162" i="5"/>
  <c r="AE164" i="5"/>
  <c r="AE168" i="5"/>
  <c r="AE169" i="5"/>
  <c r="AE172" i="5"/>
  <c r="AE165" i="5"/>
  <c r="AE170" i="5"/>
  <c r="AE167" i="5"/>
  <c r="AE166" i="5"/>
  <c r="AE171" i="5"/>
  <c r="S37" i="5"/>
  <c r="AE197" i="5"/>
  <c r="AE193" i="5"/>
  <c r="AE191" i="5"/>
  <c r="AE199" i="5"/>
  <c r="AE186" i="5"/>
  <c r="AE189" i="5"/>
  <c r="AE192" i="5"/>
  <c r="AE202" i="5"/>
  <c r="AE198" i="5"/>
  <c r="AE187" i="5"/>
  <c r="M125" i="5"/>
  <c r="AE200" i="5"/>
  <c r="AE196" i="5"/>
  <c r="AE185" i="5"/>
  <c r="AE188" i="5"/>
  <c r="AE201" i="5"/>
  <c r="AE190" i="5"/>
  <c r="AE194" i="5"/>
  <c r="AE195" i="5"/>
  <c r="S38" i="5"/>
  <c r="AE219" i="5"/>
  <c r="AE210" i="5"/>
  <c r="AE203" i="5"/>
  <c r="AE217" i="5"/>
  <c r="AE211" i="5"/>
  <c r="AE208" i="5"/>
  <c r="AE216" i="5"/>
  <c r="AE220" i="5"/>
  <c r="AE218" i="5"/>
  <c r="AE204" i="5"/>
  <c r="AE207" i="5"/>
  <c r="AE213" i="5"/>
  <c r="AE206" i="5"/>
  <c r="AE209" i="5"/>
  <c r="AE205" i="5"/>
  <c r="AE214" i="5"/>
  <c r="AE215" i="5"/>
  <c r="AE212" i="5"/>
  <c r="M143" i="5"/>
  <c r="AS213" i="5"/>
  <c r="AS206" i="5"/>
  <c r="AS214" i="5"/>
  <c r="AS203" i="5"/>
  <c r="AS216" i="5"/>
  <c r="AS219" i="5"/>
  <c r="AS215" i="5"/>
  <c r="AS205" i="5"/>
  <c r="AS208" i="5"/>
  <c r="AS211" i="5"/>
  <c r="AS218" i="5"/>
  <c r="AS204" i="5"/>
  <c r="AS209" i="5"/>
  <c r="AS212" i="5"/>
  <c r="AS207" i="5"/>
  <c r="AS217" i="5"/>
  <c r="AS220" i="5"/>
  <c r="AS210" i="5"/>
  <c r="AS164" i="5"/>
  <c r="AS163" i="5"/>
  <c r="AS162" i="5"/>
  <c r="AS173" i="5"/>
  <c r="AS177" i="5"/>
  <c r="AS181" i="5"/>
  <c r="AS178" i="5"/>
  <c r="AS174" i="5"/>
  <c r="AS183" i="5"/>
  <c r="AS182" i="5"/>
  <c r="AS180" i="5"/>
  <c r="AS175" i="5"/>
  <c r="AS176" i="5"/>
  <c r="AS184" i="5"/>
  <c r="AS179" i="5"/>
  <c r="AS170" i="5"/>
  <c r="AS169" i="5"/>
  <c r="AS172" i="5"/>
  <c r="AS167" i="5"/>
  <c r="AS165" i="5"/>
  <c r="AS166" i="5"/>
  <c r="AS171" i="5"/>
  <c r="AS168" i="5"/>
  <c r="Q258" i="3" l="1"/>
  <c r="Q255" i="3"/>
  <c r="Q253" i="3"/>
  <c r="Q252" i="3"/>
  <c r="Q256" i="3"/>
  <c r="Q251" i="3"/>
  <c r="Q254" i="3"/>
  <c r="Q257" i="3"/>
  <c r="Q396" i="3"/>
  <c r="Q398" i="3"/>
  <c r="Q402" i="3"/>
  <c r="Q399" i="3"/>
  <c r="Q400" i="3"/>
  <c r="Q395" i="3"/>
  <c r="Q397" i="3"/>
  <c r="Q401" i="3"/>
  <c r="Q157" i="3"/>
  <c r="Q158" i="3"/>
  <c r="Q162" i="3"/>
  <c r="Q160" i="3"/>
  <c r="Q159" i="3"/>
  <c r="Q155" i="3"/>
  <c r="Q161" i="3"/>
  <c r="Q156" i="3"/>
  <c r="R143" i="5"/>
  <c r="R125" i="5"/>
  <c r="R113" i="5"/>
  <c r="G159" i="3" l="1"/>
  <c r="O159" i="3"/>
  <c r="G251" i="3"/>
  <c r="O251" i="3"/>
  <c r="O399" i="3"/>
  <c r="G399" i="3"/>
  <c r="G156" i="3"/>
  <c r="O156" i="3"/>
  <c r="O252" i="3"/>
  <c r="G252" i="3"/>
  <c r="G395" i="3"/>
  <c r="O395" i="3"/>
  <c r="O157" i="3"/>
  <c r="G157" i="3"/>
  <c r="O258" i="3"/>
  <c r="G258" i="3"/>
  <c r="G398" i="3"/>
  <c r="O398" i="3"/>
  <c r="O161" i="3"/>
  <c r="G161" i="3"/>
  <c r="G257" i="3"/>
  <c r="O257" i="3"/>
  <c r="O397" i="3"/>
  <c r="G397" i="3"/>
  <c r="G158" i="3"/>
  <c r="O158" i="3"/>
  <c r="G402" i="3"/>
  <c r="O402" i="3"/>
  <c r="O160" i="3"/>
  <c r="G160" i="3"/>
  <c r="G396" i="3"/>
  <c r="O396" i="3"/>
  <c r="G155" i="3"/>
  <c r="O155" i="3"/>
  <c r="O256" i="3"/>
  <c r="G256" i="3"/>
  <c r="G401" i="3"/>
  <c r="O401" i="3"/>
  <c r="G255" i="3"/>
  <c r="O255" i="3"/>
  <c r="O253" i="3"/>
  <c r="G253" i="3"/>
  <c r="G162" i="3"/>
  <c r="O162" i="3"/>
  <c r="G254" i="3"/>
  <c r="O254" i="3"/>
  <c r="O400" i="3"/>
  <c r="G400" i="3"/>
  <c r="AB38" i="7" l="1"/>
  <c r="AE38" i="7" l="1"/>
  <c r="AD38" i="7"/>
  <c r="AF38" i="7"/>
  <c r="AG38" i="7"/>
  <c r="AH38" i="7"/>
  <c r="AB39" i="7"/>
  <c r="AI38" i="7" l="1"/>
  <c r="AJ38" i="7" s="1"/>
  <c r="AF39" i="7"/>
  <c r="AD39" i="7"/>
  <c r="AH39" i="7"/>
  <c r="AE39" i="7"/>
  <c r="AG39" i="7"/>
  <c r="AB40" i="7"/>
  <c r="AG40" i="7" l="1"/>
  <c r="AD40" i="7"/>
  <c r="AE40" i="7"/>
  <c r="AF40" i="7"/>
  <c r="AH40" i="7"/>
  <c r="AI39" i="7"/>
  <c r="AJ39" i="7" s="1"/>
  <c r="AB41" i="7"/>
  <c r="AI40" i="7" l="1"/>
  <c r="AJ40" i="7" s="1"/>
  <c r="AE41" i="7"/>
  <c r="AF41" i="7"/>
  <c r="AD41" i="7"/>
  <c r="AG41" i="7"/>
  <c r="AH41" i="7"/>
  <c r="AB42" i="7"/>
  <c r="AI41" i="7" l="1"/>
  <c r="AJ41" i="7" s="1"/>
  <c r="AD42" i="7"/>
  <c r="AE42" i="7"/>
  <c r="AF42" i="7"/>
  <c r="AG42" i="7"/>
  <c r="AH42" i="7"/>
  <c r="AB43" i="7"/>
  <c r="AE43" i="7" l="1"/>
  <c r="AG43" i="7"/>
  <c r="AD43" i="7"/>
  <c r="AF43" i="7"/>
  <c r="AH43" i="7"/>
  <c r="AI42" i="7"/>
  <c r="AJ42" i="7" s="1"/>
  <c r="AB44" i="7"/>
  <c r="AI43" i="7" l="1"/>
  <c r="AJ43" i="7" s="1"/>
  <c r="AF44" i="7"/>
  <c r="AD44" i="7"/>
  <c r="AH44" i="7"/>
  <c r="AG44" i="7"/>
  <c r="AE44" i="7"/>
  <c r="AB45" i="7"/>
  <c r="AF45" i="7" l="1"/>
  <c r="AG45" i="7"/>
  <c r="AH45" i="7"/>
  <c r="AE45" i="7"/>
  <c r="AD45" i="7"/>
  <c r="AI45" i="7" s="1"/>
  <c r="AJ45" i="7" s="1"/>
  <c r="AI44" i="7"/>
  <c r="AJ44" i="7" s="1"/>
  <c r="AB46" i="7"/>
  <c r="AH46" i="7" l="1"/>
  <c r="AF46" i="7"/>
  <c r="AD46" i="7"/>
  <c r="AE46" i="7"/>
  <c r="AG46" i="7"/>
  <c r="AB47" i="7"/>
  <c r="AI46" i="7" l="1"/>
  <c r="AJ46" i="7" s="1"/>
  <c r="AG47" i="7"/>
  <c r="AH47" i="7"/>
  <c r="AE47" i="7"/>
  <c r="AF47" i="7"/>
  <c r="AD47" i="7"/>
  <c r="AB48" i="7"/>
  <c r="AH48" i="7" l="1"/>
  <c r="AE48" i="7"/>
  <c r="AD48" i="7"/>
  <c r="AG48" i="7"/>
  <c r="AF48" i="7"/>
  <c r="AI47" i="7"/>
  <c r="AJ47" i="7" s="1"/>
  <c r="AB49" i="7"/>
  <c r="AI48" i="7" l="1"/>
  <c r="AJ48" i="7" s="1"/>
  <c r="AG49" i="7"/>
  <c r="AD49" i="7"/>
  <c r="AF49" i="7"/>
  <c r="AH49" i="7"/>
  <c r="AE49" i="7"/>
  <c r="AB50" i="7"/>
  <c r="AI49" i="7" l="1"/>
  <c r="AJ49" i="7" s="1"/>
  <c r="AH50" i="7"/>
  <c r="AG50" i="7"/>
  <c r="AE50" i="7"/>
  <c r="AF50" i="7"/>
  <c r="AD50" i="7"/>
  <c r="AB51" i="7"/>
  <c r="AI50" i="7" l="1"/>
  <c r="AJ50" i="7" s="1"/>
  <c r="AD51" i="7"/>
  <c r="AG51" i="7"/>
  <c r="AE51" i="7"/>
  <c r="AF51" i="7"/>
  <c r="AH51" i="7"/>
  <c r="AB52" i="7"/>
  <c r="AI51" i="7" l="1"/>
  <c r="AJ51" i="7" s="1"/>
  <c r="AE52" i="7"/>
  <c r="AG52" i="7"/>
  <c r="AF52" i="7"/>
  <c r="AH52" i="7"/>
  <c r="AD52" i="7"/>
  <c r="AB53" i="7"/>
  <c r="AF53" i="7" l="1"/>
  <c r="AD53" i="7"/>
  <c r="AG53" i="7"/>
  <c r="AH53" i="7"/>
  <c r="AE53" i="7"/>
  <c r="AI52" i="7"/>
  <c r="AJ52" i="7" s="1"/>
  <c r="AB54" i="7"/>
  <c r="AI53" i="7" l="1"/>
  <c r="AJ53" i="7" s="1"/>
  <c r="AH54" i="7"/>
  <c r="AE54" i="7"/>
  <c r="AF54" i="7"/>
  <c r="AD54" i="7"/>
  <c r="AG54" i="7"/>
  <c r="AB55" i="7"/>
  <c r="AI54" i="7" l="1"/>
  <c r="AJ54" i="7" s="1"/>
  <c r="AD55" i="7"/>
  <c r="AE55" i="7"/>
  <c r="AG55" i="7"/>
  <c r="AH55" i="7"/>
  <c r="AF55" i="7"/>
  <c r="AB56" i="7"/>
  <c r="AD56" i="7" l="1"/>
  <c r="AF56" i="7"/>
  <c r="AG56" i="7"/>
  <c r="AE56" i="7"/>
  <c r="AH56" i="7"/>
  <c r="AI55" i="7"/>
  <c r="AJ55" i="7" s="1"/>
  <c r="AB57" i="7"/>
  <c r="AD57" i="7" l="1"/>
  <c r="AF57" i="7"/>
  <c r="AH57" i="7"/>
  <c r="AE57" i="7"/>
  <c r="AG57" i="7"/>
  <c r="AI56" i="7"/>
  <c r="AJ56" i="7" s="1"/>
  <c r="AB58" i="7"/>
  <c r="AF58" i="7" l="1"/>
  <c r="AH58" i="7"/>
  <c r="AD58" i="7"/>
  <c r="AG58" i="7"/>
  <c r="AE58" i="7"/>
  <c r="AI57" i="7"/>
  <c r="AJ57" i="7" s="1"/>
  <c r="AB59" i="7"/>
  <c r="AI58" i="7" l="1"/>
  <c r="AJ58" i="7" s="1"/>
  <c r="AG59" i="7"/>
  <c r="AD59" i="7"/>
  <c r="AE59" i="7"/>
  <c r="AF59" i="7"/>
  <c r="AH59" i="7"/>
  <c r="AB60" i="7"/>
  <c r="AH60" i="7" l="1"/>
  <c r="AE60" i="7"/>
  <c r="AG60" i="7"/>
  <c r="AF60" i="7"/>
  <c r="AD60" i="7"/>
  <c r="AI59" i="7"/>
  <c r="AJ59" i="7" s="1"/>
  <c r="AB61" i="7"/>
  <c r="AI60" i="7" l="1"/>
  <c r="AJ60" i="7" s="1"/>
  <c r="AE61" i="7"/>
  <c r="AG61" i="7"/>
  <c r="AD61" i="7"/>
  <c r="AH61" i="7"/>
  <c r="AF61" i="7"/>
  <c r="AB62" i="7"/>
  <c r="AI61" i="7" l="1"/>
  <c r="AJ61" i="7" s="1"/>
  <c r="AE62" i="7"/>
  <c r="AG62" i="7"/>
  <c r="AF62" i="7"/>
  <c r="AD62" i="7"/>
  <c r="AH62" i="7"/>
  <c r="AB63" i="7"/>
  <c r="AI62" i="7" l="1"/>
  <c r="AJ62" i="7" s="1"/>
  <c r="AG63" i="7"/>
  <c r="AD63" i="7"/>
  <c r="AH63" i="7"/>
  <c r="AF63" i="7"/>
  <c r="AE63" i="7"/>
  <c r="AB64" i="7"/>
  <c r="AH64" i="7" l="1"/>
  <c r="AE64" i="7"/>
  <c r="AG64" i="7"/>
  <c r="AD64" i="7"/>
  <c r="AF64" i="7"/>
  <c r="AI63" i="7"/>
  <c r="AJ63" i="7" s="1"/>
  <c r="AB65" i="7"/>
  <c r="AI64" i="7" l="1"/>
  <c r="AJ64" i="7" s="1"/>
  <c r="AH65" i="7"/>
  <c r="AE65" i="7"/>
  <c r="AD65" i="7"/>
  <c r="AF65" i="7"/>
  <c r="AG65" i="7"/>
  <c r="AB66" i="7"/>
  <c r="AI65" i="7" l="1"/>
  <c r="AJ65" i="7" s="1"/>
  <c r="AH66" i="7"/>
  <c r="AF66" i="7"/>
  <c r="AG66" i="7"/>
  <c r="AD66" i="7"/>
  <c r="AI66" i="7" s="1"/>
  <c r="AJ66" i="7" s="1"/>
  <c r="AE66" i="7"/>
  <c r="AB67" i="7"/>
  <c r="AE67" i="7" l="1"/>
  <c r="AD67" i="7"/>
  <c r="AG67" i="7"/>
  <c r="AF67" i="7"/>
  <c r="AH67" i="7"/>
  <c r="AB68" i="7"/>
  <c r="AF68" i="7" l="1"/>
  <c r="AH68" i="7"/>
  <c r="AG68" i="7"/>
  <c r="AE68" i="7"/>
  <c r="AD68" i="7"/>
  <c r="AI67" i="7"/>
  <c r="AJ67" i="7" s="1"/>
  <c r="AB69" i="7"/>
  <c r="AE69" i="7" l="1"/>
  <c r="AH69" i="7"/>
  <c r="AD69" i="7"/>
  <c r="AF69" i="7"/>
  <c r="AG69" i="7"/>
  <c r="AI68" i="7"/>
  <c r="AJ68" i="7" s="1"/>
  <c r="AB70" i="7"/>
  <c r="AI69" i="7" l="1"/>
  <c r="AJ69" i="7" s="1"/>
  <c r="AD70" i="7"/>
  <c r="AG70" i="7"/>
  <c r="AE70" i="7"/>
  <c r="AH70" i="7"/>
  <c r="AF70" i="7"/>
  <c r="AB71" i="7"/>
  <c r="AE71" i="7" l="1"/>
  <c r="AG71" i="7"/>
  <c r="AH71" i="7"/>
  <c r="AF71" i="7"/>
  <c r="AD71" i="7"/>
  <c r="AI70" i="7"/>
  <c r="AJ70" i="7" s="1"/>
  <c r="AB72" i="7"/>
  <c r="AI71" i="7" l="1"/>
  <c r="AJ71" i="7" s="1"/>
  <c r="AH72" i="7"/>
  <c r="AD72" i="7"/>
  <c r="AF72" i="7"/>
  <c r="AG72" i="7"/>
  <c r="AE72" i="7"/>
  <c r="AB73" i="7"/>
  <c r="AI72" i="7" l="1"/>
  <c r="AJ72" i="7" s="1"/>
  <c r="AD73" i="7"/>
  <c r="AF73" i="7"/>
  <c r="AG73" i="7"/>
  <c r="AH73" i="7"/>
  <c r="AE73" i="7"/>
  <c r="AB74" i="7"/>
  <c r="AD74" i="7" l="1"/>
  <c r="AE74" i="7"/>
  <c r="AH74" i="7"/>
  <c r="AG74" i="7"/>
  <c r="AF74" i="7"/>
  <c r="AI73" i="7"/>
  <c r="AJ73" i="7" s="1"/>
  <c r="AB75" i="7"/>
  <c r="AE75" i="7" l="1"/>
  <c r="AD75" i="7"/>
  <c r="AF75" i="7"/>
  <c r="AH75" i="7"/>
  <c r="AG75" i="7"/>
  <c r="AI74" i="7"/>
  <c r="AJ74" i="7" s="1"/>
  <c r="AB76" i="7"/>
  <c r="AI75" i="7" l="1"/>
  <c r="AJ75" i="7" s="1"/>
  <c r="AF76" i="7"/>
  <c r="AG76" i="7"/>
  <c r="AH76" i="7"/>
  <c r="AE76" i="7"/>
  <c r="AD76" i="7"/>
  <c r="AB77" i="7"/>
  <c r="AI76" i="7" l="1"/>
  <c r="AJ76" i="7" s="1"/>
  <c r="AD77" i="7"/>
  <c r="AE77" i="7"/>
  <c r="AF77" i="7"/>
  <c r="AG77" i="7"/>
  <c r="AH77" i="7"/>
  <c r="AB78" i="7"/>
  <c r="AI77" i="7" l="1"/>
  <c r="AJ77" i="7" s="1"/>
  <c r="AF78" i="7"/>
  <c r="AH78" i="7"/>
  <c r="AE78" i="7"/>
  <c r="AD78" i="7"/>
  <c r="AG78" i="7"/>
  <c r="AB79" i="7"/>
  <c r="AI78" i="7" l="1"/>
  <c r="AJ78" i="7" s="1"/>
  <c r="AH79" i="7"/>
  <c r="AE79" i="7"/>
  <c r="AD79" i="7"/>
  <c r="AG79" i="7"/>
  <c r="AF79" i="7"/>
  <c r="AB80" i="7"/>
  <c r="AI79" i="7" l="1"/>
  <c r="AJ79" i="7" s="1"/>
  <c r="AF80" i="7"/>
  <c r="AG80" i="7"/>
  <c r="AD80" i="7"/>
  <c r="AH80" i="7"/>
  <c r="AE80" i="7"/>
  <c r="AB81" i="7"/>
  <c r="AI80" i="7" l="1"/>
  <c r="AJ80" i="7" s="1"/>
  <c r="AH81" i="7"/>
  <c r="AF81" i="7"/>
  <c r="AG81" i="7"/>
  <c r="AD81" i="7"/>
  <c r="AI81" i="7" s="1"/>
  <c r="AJ81" i="7" s="1"/>
  <c r="AE81" i="7"/>
  <c r="AB82" i="7"/>
  <c r="AF82" i="7" l="1"/>
  <c r="AH82" i="7"/>
  <c r="AG82" i="7"/>
  <c r="AE82" i="7"/>
  <c r="AD82" i="7"/>
  <c r="AI82" i="7" s="1"/>
  <c r="AJ82" i="7" s="1"/>
  <c r="AB83" i="7"/>
  <c r="AE83" i="7" l="1"/>
  <c r="AH83" i="7"/>
  <c r="AF83" i="7"/>
  <c r="AD83" i="7"/>
  <c r="AG83" i="7"/>
  <c r="AB84" i="7"/>
  <c r="AI83" i="7" l="1"/>
  <c r="AJ83" i="7" s="1"/>
  <c r="AG84" i="7"/>
  <c r="AE84" i="7"/>
  <c r="AF84" i="7"/>
  <c r="AD84" i="7"/>
  <c r="AH84" i="7"/>
  <c r="AB85" i="7"/>
  <c r="AI84" i="7" l="1"/>
  <c r="AJ84" i="7" s="1"/>
  <c r="AF85" i="7"/>
  <c r="AH85" i="7"/>
  <c r="AD85" i="7"/>
  <c r="AG85" i="7"/>
  <c r="AE85" i="7"/>
  <c r="AB86" i="7"/>
  <c r="AI85" i="7" l="1"/>
  <c r="AJ85" i="7" s="1"/>
  <c r="AD86" i="7"/>
  <c r="AG86" i="7"/>
  <c r="AE86" i="7"/>
  <c r="AF86" i="7"/>
  <c r="AH86" i="7"/>
  <c r="AB87" i="7"/>
  <c r="AI86" i="7" l="1"/>
  <c r="AJ86" i="7" s="1"/>
  <c r="AH87" i="7"/>
  <c r="AG87" i="7"/>
  <c r="AF87" i="7"/>
  <c r="AD87" i="7"/>
  <c r="AE87" i="7"/>
  <c r="AB88" i="7"/>
  <c r="AI87" i="7" l="1"/>
  <c r="AJ87" i="7" s="1"/>
  <c r="AH88" i="7"/>
  <c r="AD88" i="7"/>
  <c r="AI88" i="7" s="1"/>
  <c r="AJ88" i="7" s="1"/>
  <c r="AE88" i="7"/>
  <c r="AF88" i="7"/>
  <c r="AG88" i="7"/>
  <c r="AB89" i="7"/>
  <c r="AG89" i="7" l="1"/>
  <c r="AD89" i="7"/>
  <c r="AH89" i="7"/>
  <c r="AF89" i="7"/>
  <c r="AE89" i="7"/>
  <c r="AB90" i="7"/>
  <c r="AI89" i="7" l="1"/>
  <c r="AJ89" i="7" s="1"/>
  <c r="AD90" i="7"/>
  <c r="AG90" i="7"/>
  <c r="AH90" i="7"/>
  <c r="AE90" i="7"/>
  <c r="AF90" i="7"/>
  <c r="AB91" i="7"/>
  <c r="AI90" i="7" l="1"/>
  <c r="AJ90" i="7" s="1"/>
  <c r="AG91" i="7"/>
  <c r="AE91" i="7"/>
  <c r="AD91" i="7"/>
  <c r="AF91" i="7"/>
  <c r="AH91" i="7"/>
  <c r="AB92" i="7"/>
  <c r="AI91" i="7" l="1"/>
  <c r="AJ91" i="7" s="1"/>
  <c r="AD92" i="7"/>
  <c r="AF92" i="7"/>
  <c r="AG92" i="7"/>
  <c r="AH92" i="7"/>
  <c r="AE92" i="7"/>
  <c r="AB93" i="7"/>
  <c r="AF93" i="7" l="1"/>
  <c r="AH93" i="7"/>
  <c r="AD93" i="7"/>
  <c r="AI93" i="7" s="1"/>
  <c r="AJ93" i="7" s="1"/>
  <c r="AG93" i="7"/>
  <c r="AE93" i="7"/>
  <c r="AI92" i="7"/>
  <c r="AJ92" i="7" s="1"/>
  <c r="AB94" i="7"/>
  <c r="AD94" i="7" l="1"/>
  <c r="AE94" i="7"/>
  <c r="AF94" i="7"/>
  <c r="AH94" i="7"/>
  <c r="AG94" i="7"/>
  <c r="AB95" i="7"/>
  <c r="AF95" i="7" l="1"/>
  <c r="AH95" i="7"/>
  <c r="AD95" i="7"/>
  <c r="AE95" i="7"/>
  <c r="AG95" i="7"/>
  <c r="AI94" i="7"/>
  <c r="AJ94" i="7" s="1"/>
  <c r="AB96" i="7"/>
  <c r="AI95" i="7" l="1"/>
  <c r="AJ95" i="7" s="1"/>
  <c r="AG96" i="7"/>
  <c r="AD96" i="7"/>
  <c r="AF96" i="7"/>
  <c r="AE96" i="7"/>
  <c r="AH96" i="7"/>
  <c r="AB97" i="7"/>
  <c r="AF97" i="7" l="1"/>
  <c r="AG97" i="7"/>
  <c r="AE97" i="7"/>
  <c r="AD97" i="7"/>
  <c r="AH97" i="7"/>
  <c r="AI96" i="7"/>
  <c r="AJ96" i="7" s="1"/>
  <c r="AB98" i="7"/>
  <c r="AI97" i="7" l="1"/>
  <c r="AJ97" i="7" s="1"/>
  <c r="AF98" i="7"/>
  <c r="AE98" i="7"/>
  <c r="AH98" i="7"/>
  <c r="AG98" i="7"/>
  <c r="AD98" i="7"/>
  <c r="AB99" i="7"/>
  <c r="AI98" i="7" l="1"/>
  <c r="AJ98" i="7" s="1"/>
  <c r="AG99" i="7"/>
  <c r="AD99" i="7"/>
  <c r="AH99" i="7"/>
  <c r="AE99" i="7"/>
  <c r="AF99" i="7"/>
  <c r="AB100" i="7"/>
  <c r="AI99" i="7" l="1"/>
  <c r="AJ99" i="7" s="1"/>
  <c r="AG100" i="7"/>
  <c r="AD100" i="7"/>
  <c r="AE100" i="7"/>
  <c r="AH100" i="7"/>
  <c r="AF100" i="7"/>
  <c r="AB101" i="7"/>
  <c r="AI100" i="7" l="1"/>
  <c r="AJ100" i="7" s="1"/>
  <c r="AD101" i="7"/>
  <c r="AH101" i="7"/>
  <c r="AE101" i="7"/>
  <c r="AF101" i="7"/>
  <c r="AG101" i="7"/>
  <c r="AB102" i="7"/>
  <c r="AF102" i="7" l="1"/>
  <c r="AG102" i="7"/>
  <c r="AH102" i="7"/>
  <c r="AE102" i="7"/>
  <c r="AD102" i="7"/>
  <c r="AI101" i="7"/>
  <c r="AJ101" i="7" s="1"/>
  <c r="AB103" i="7"/>
  <c r="AI102" i="7" l="1"/>
  <c r="AJ102" i="7" s="1"/>
  <c r="AE103" i="7"/>
  <c r="AG103" i="7"/>
  <c r="AF103" i="7"/>
  <c r="AD103" i="7"/>
  <c r="AH103" i="7"/>
  <c r="AI103" i="7" l="1"/>
  <c r="AJ103" i="7" s="1"/>
</calcChain>
</file>

<file path=xl/comments1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-2：灰色
-1：白色
0：绿色
1：蓝色
2：紫色
3：橙色
4：红色
</t>
        </r>
      </text>
    </comment>
  </commentList>
</comments>
</file>

<file path=xl/sharedStrings.xml><?xml version="1.0" encoding="utf-8"?>
<sst xmlns="http://schemas.openxmlformats.org/spreadsheetml/2006/main" count="1271" uniqueCount="397">
  <si>
    <t>命格ID</t>
  </si>
  <si>
    <t>命格名称</t>
  </si>
  <si>
    <t>装备类型</t>
    <phoneticPr fontId="1" type="noConversion"/>
  </si>
  <si>
    <t>等级</t>
  </si>
  <si>
    <t>品质</t>
    <phoneticPr fontId="1" type="noConversion"/>
  </si>
  <si>
    <t>使用等级</t>
  </si>
  <si>
    <t>职业限定</t>
  </si>
  <si>
    <t>命格类型</t>
  </si>
  <si>
    <t>升级经验</t>
  </si>
  <si>
    <t>提供经验</t>
  </si>
  <si>
    <t>升阶经验</t>
  </si>
  <si>
    <t>升阶ID</t>
  </si>
  <si>
    <t>ICONID</t>
  </si>
  <si>
    <t>属性数量</t>
  </si>
  <si>
    <t>属性1类型</t>
  </si>
  <si>
    <t>属性1值</t>
  </si>
  <si>
    <t>属性3类型</t>
  </si>
  <si>
    <t>属性3值</t>
  </si>
  <si>
    <t>冰魄寒光</t>
  </si>
  <si>
    <t>天命</t>
  </si>
  <si>
    <t>八卦</t>
  </si>
  <si>
    <t>困魔</t>
  </si>
  <si>
    <t>咆哮</t>
  </si>
  <si>
    <t>猎命师等级</t>
  </si>
  <si>
    <t>价格</t>
  </si>
  <si>
    <t>锁定水晶价格</t>
  </si>
  <si>
    <t>普通升级概率</t>
  </si>
  <si>
    <t>锁定升级概率</t>
  </si>
  <si>
    <t>普通产出ID</t>
  </si>
  <si>
    <t>锁定产出ID</t>
  </si>
  <si>
    <t>ID</t>
  </si>
  <si>
    <t>命格数量</t>
  </si>
  <si>
    <t>命格1ID</t>
  </si>
  <si>
    <t>命格1概率</t>
  </si>
  <si>
    <t>命格2ID</t>
  </si>
  <si>
    <t>命格2概率</t>
  </si>
  <si>
    <t>命格3ID</t>
  </si>
  <si>
    <t>命格3概率</t>
  </si>
  <si>
    <t>命格4ID</t>
  </si>
  <si>
    <t>命格4概率</t>
  </si>
  <si>
    <t>命格5ID</t>
  </si>
  <si>
    <t>命格5概率</t>
  </si>
  <si>
    <t>命格6ID</t>
  </si>
  <si>
    <t>命格6概率</t>
  </si>
  <si>
    <t>命格7ID</t>
  </si>
  <si>
    <t>命格7概率</t>
  </si>
  <si>
    <t>命格8ID</t>
  </si>
  <si>
    <t>命格8概率</t>
  </si>
  <si>
    <t>命格9ID</t>
  </si>
  <si>
    <t>命格9概率</t>
  </si>
  <si>
    <t>命格10ID</t>
  </si>
  <si>
    <t>命格10概率</t>
  </si>
  <si>
    <t>命格11ID</t>
  </si>
  <si>
    <t>命格11概率</t>
  </si>
  <si>
    <t>命格12ID</t>
  </si>
  <si>
    <t>命格12概率</t>
  </si>
  <si>
    <t>命格13ID</t>
  </si>
  <si>
    <t>命格13概率</t>
  </si>
  <si>
    <t>命格14ID</t>
  </si>
  <si>
    <t>命格14概率</t>
  </si>
  <si>
    <t>命格15ID</t>
  </si>
  <si>
    <t>命格15概率</t>
  </si>
  <si>
    <t>命格16ID</t>
  </si>
  <si>
    <t>命格16概率</t>
  </si>
  <si>
    <t>命格17ID</t>
  </si>
  <si>
    <t>命格17概率</t>
  </si>
  <si>
    <t>命格18ID</t>
  </si>
  <si>
    <t>命格18概率</t>
  </si>
  <si>
    <t>命格19ID</t>
  </si>
  <si>
    <t>命格19概率</t>
  </si>
  <si>
    <t>命格20ID</t>
  </si>
  <si>
    <t>命格20概率</t>
  </si>
  <si>
    <t>命格格子</t>
  </si>
  <si>
    <t>解锁等级</t>
  </si>
  <si>
    <t>命格名字</t>
    <phoneticPr fontId="1" type="noConversion"/>
  </si>
  <si>
    <t>剎那</t>
    <phoneticPr fontId="1" type="noConversion"/>
  </si>
  <si>
    <t>噬生</t>
    <phoneticPr fontId="1" type="noConversion"/>
  </si>
  <si>
    <t>品质ID</t>
  </si>
  <si>
    <t>品质颜色</t>
  </si>
  <si>
    <t>绿</t>
  </si>
  <si>
    <t>蓝</t>
  </si>
  <si>
    <t>紫</t>
  </si>
  <si>
    <t>橙</t>
  </si>
  <si>
    <t>红</t>
  </si>
  <si>
    <t>命格升级属性</t>
  </si>
  <si>
    <t>白色</t>
    <phoneticPr fontId="1" type="noConversion"/>
  </si>
  <si>
    <t>紫色</t>
    <phoneticPr fontId="1" type="noConversion"/>
  </si>
  <si>
    <t>橙色</t>
    <phoneticPr fontId="1" type="noConversion"/>
  </si>
  <si>
    <t>参考等级</t>
    <phoneticPr fontId="1" type="noConversion"/>
  </si>
  <si>
    <t>等级</t>
    <phoneticPr fontId="1" type="noConversion"/>
  </si>
  <si>
    <t>命格升级属性</t>
    <phoneticPr fontId="1" type="noConversion"/>
  </si>
  <si>
    <t>升级经验</t>
    <phoneticPr fontId="1" type="noConversion"/>
  </si>
  <si>
    <t>品质ID</t>
    <phoneticPr fontId="1" type="noConversion"/>
  </si>
  <si>
    <t>品质颜色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</si>
  <si>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</si>
  <si>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</si>
  <si>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</si>
  <si>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</si>
  <si>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</si>
  <si>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品质系数</t>
    <phoneticPr fontId="1" type="noConversion"/>
  </si>
  <si>
    <t>参考升级经验</t>
    <phoneticPr fontId="1" type="noConversion"/>
  </si>
  <si>
    <t>提供经验</t>
    <phoneticPr fontId="1" type="noConversion"/>
  </si>
  <si>
    <t>每日投入</t>
    <phoneticPr fontId="1" type="noConversion"/>
  </si>
  <si>
    <t>属性成长</t>
    <phoneticPr fontId="1" type="noConversion"/>
  </si>
  <si>
    <t>累计升级时间</t>
    <phoneticPr fontId="1" type="noConversion"/>
  </si>
  <si>
    <t>属性获取速度</t>
    <phoneticPr fontId="1" type="noConversion"/>
  </si>
  <si>
    <t>属性1</t>
    <phoneticPr fontId="1" type="noConversion"/>
  </si>
  <si>
    <t>属性2</t>
  </si>
  <si>
    <t>属性3</t>
  </si>
  <si>
    <t>生命</t>
  </si>
  <si>
    <t>占比</t>
    <phoneticPr fontId="1" type="noConversion"/>
  </si>
  <si>
    <t>命中值</t>
  </si>
  <si>
    <t>属性1类型</t>
    <phoneticPr fontId="1" type="noConversion"/>
  </si>
  <si>
    <t>属性2类型</t>
  </si>
  <si>
    <t>属性1值</t>
    <phoneticPr fontId="1" type="noConversion"/>
  </si>
  <si>
    <t>属性2值</t>
    <phoneticPr fontId="1" type="noConversion"/>
  </si>
  <si>
    <t>属性3值</t>
    <phoneticPr fontId="1" type="noConversion"/>
  </si>
  <si>
    <t>品质ID</t>
    <phoneticPr fontId="1" type="noConversion"/>
  </si>
  <si>
    <t>升级属性</t>
    <phoneticPr fontId="1" type="noConversion"/>
  </si>
  <si>
    <t>需要经验</t>
    <phoneticPr fontId="1" type="noConversion"/>
  </si>
  <si>
    <t>升级时间</t>
    <phoneticPr fontId="1" type="noConversion"/>
  </si>
  <si>
    <t>升级总天数</t>
    <phoneticPr fontId="1" type="noConversion"/>
  </si>
  <si>
    <t>经验获取</t>
    <phoneticPr fontId="1" type="noConversion"/>
  </si>
  <si>
    <t>每天经验获取</t>
    <phoneticPr fontId="1" type="noConversion"/>
  </si>
  <si>
    <t>每天猎命次数</t>
    <phoneticPr fontId="1" type="noConversion"/>
  </si>
  <si>
    <t>产出ID</t>
    <phoneticPr fontId="1" type="noConversion"/>
  </si>
  <si>
    <t>获得炉渣比例</t>
    <phoneticPr fontId="1" type="noConversion"/>
  </si>
  <si>
    <t>绿色命格</t>
    <phoneticPr fontId="1" type="noConversion"/>
  </si>
  <si>
    <t>炉渣</t>
    <phoneticPr fontId="1" type="noConversion"/>
  </si>
  <si>
    <t>蓝色命格</t>
    <phoneticPr fontId="1" type="noConversion"/>
  </si>
  <si>
    <t>紫色命格</t>
    <phoneticPr fontId="1" type="noConversion"/>
  </si>
  <si>
    <t>橙色命格</t>
    <phoneticPr fontId="1" type="noConversion"/>
  </si>
  <si>
    <t>红色命格</t>
    <phoneticPr fontId="1" type="noConversion"/>
  </si>
  <si>
    <t>命格经验</t>
    <phoneticPr fontId="1" type="noConversion"/>
  </si>
  <si>
    <t>经验期望</t>
    <phoneticPr fontId="1" type="noConversion"/>
  </si>
  <si>
    <t>平均花费</t>
    <phoneticPr fontId="1" type="noConversion"/>
  </si>
  <si>
    <t>获得概率</t>
    <phoneticPr fontId="1" type="noConversion"/>
  </si>
  <si>
    <t>概率分布</t>
    <phoneticPr fontId="1" type="noConversion"/>
  </si>
  <si>
    <t>权重</t>
    <phoneticPr fontId="1" type="noConversion"/>
  </si>
  <si>
    <t>平均经验获得</t>
    <phoneticPr fontId="1" type="noConversion"/>
  </si>
  <si>
    <t>每天获得</t>
    <phoneticPr fontId="1" type="noConversion"/>
  </si>
  <si>
    <t>命格21ID</t>
  </si>
  <si>
    <t>命格21概率</t>
  </si>
  <si>
    <t>命格22ID</t>
  </si>
  <si>
    <t>命格22概率</t>
  </si>
  <si>
    <t>命格23ID</t>
  </si>
  <si>
    <t>命格23概率</t>
  </si>
  <si>
    <t>命格24ID</t>
  </si>
  <si>
    <t>命格24概率</t>
  </si>
  <si>
    <t>命格25ID</t>
  </si>
  <si>
    <t>命格25概率</t>
  </si>
  <si>
    <t>命格26ID</t>
  </si>
  <si>
    <t>命格26概率</t>
  </si>
  <si>
    <t>命格27ID</t>
  </si>
  <si>
    <t>命格27概率</t>
  </si>
  <si>
    <t>产出占比</t>
    <phoneticPr fontId="1" type="noConversion"/>
  </si>
  <si>
    <t>每价格经验</t>
    <phoneticPr fontId="1" type="noConversion"/>
  </si>
  <si>
    <t>炉渣出售价格</t>
    <phoneticPr fontId="1" type="noConversion"/>
  </si>
  <si>
    <t>命格28ID</t>
  </si>
  <si>
    <t>命格28概率</t>
  </si>
  <si>
    <t>命格29ID</t>
  </si>
  <si>
    <t>命格29概率</t>
  </si>
  <si>
    <t>命格30ID</t>
  </si>
  <si>
    <t>命格30概率</t>
  </si>
  <si>
    <t>命格31ID</t>
  </si>
  <si>
    <t>命格31概率</t>
  </si>
  <si>
    <t>命格32ID</t>
  </si>
  <si>
    <t>命格32概率</t>
  </si>
  <si>
    <t>命格33ID</t>
  </si>
  <si>
    <t>命格33概率</t>
  </si>
  <si>
    <t>命格34ID</t>
  </si>
  <si>
    <t>命格34概率</t>
  </si>
  <si>
    <t>命格35ID</t>
  </si>
  <si>
    <t>命格35概率</t>
  </si>
  <si>
    <t>命格36ID</t>
  </si>
  <si>
    <t>命格36概率</t>
  </si>
  <si>
    <t>命格37ID</t>
  </si>
  <si>
    <t>命格37概率</t>
  </si>
  <si>
    <t>命格38ID</t>
  </si>
  <si>
    <t>命格38概率</t>
  </si>
  <si>
    <t>命格39ID</t>
  </si>
  <si>
    <t>命格39概率</t>
  </si>
  <si>
    <t>命格40ID</t>
  </si>
  <si>
    <t>命格40概率</t>
  </si>
  <si>
    <t>命格41ID</t>
  </si>
  <si>
    <t>命格41概率</t>
  </si>
  <si>
    <t>命格42ID</t>
  </si>
  <si>
    <t>命格42概率</t>
  </si>
  <si>
    <t>命格等级与角色等级比较</t>
    <phoneticPr fontId="1" type="noConversion"/>
  </si>
  <si>
    <t>经验曲线</t>
    <phoneticPr fontId="1" type="noConversion"/>
  </si>
  <si>
    <t>品质属性</t>
    <phoneticPr fontId="1" type="noConversion"/>
  </si>
  <si>
    <t>ID</t>
    <phoneticPr fontId="1" type="noConversion"/>
  </si>
  <si>
    <t>紫色</t>
  </si>
  <si>
    <t>橙色</t>
  </si>
  <si>
    <t>属性数量</t>
    <phoneticPr fontId="1" type="noConversion"/>
  </si>
  <si>
    <t>名称</t>
    <phoneticPr fontId="1" type="noConversion"/>
  </si>
  <si>
    <t>灰色</t>
    <phoneticPr fontId="1" type="noConversion"/>
  </si>
  <si>
    <t>icon</t>
    <phoneticPr fontId="1" type="noConversion"/>
  </si>
  <si>
    <t>命格类型</t>
    <phoneticPr fontId="1" type="noConversion"/>
  </si>
  <si>
    <t>游刃</t>
    <phoneticPr fontId="5" type="noConversion"/>
  </si>
  <si>
    <t>虎啸</t>
    <phoneticPr fontId="5" type="noConversion"/>
  </si>
  <si>
    <t>霸体</t>
    <phoneticPr fontId="5" type="noConversion"/>
  </si>
  <si>
    <t>豪魄</t>
    <phoneticPr fontId="1" type="noConversion"/>
  </si>
  <si>
    <t>捉影</t>
    <phoneticPr fontId="1" type="noConversion"/>
  </si>
  <si>
    <t>傲骨</t>
    <phoneticPr fontId="1" type="noConversion"/>
  </si>
  <si>
    <t>心眼</t>
    <phoneticPr fontId="1" type="noConversion"/>
  </si>
  <si>
    <t>痛击</t>
    <phoneticPr fontId="1" type="noConversion"/>
  </si>
  <si>
    <t>不坏</t>
    <phoneticPr fontId="1" type="noConversion"/>
  </si>
  <si>
    <t>真刚</t>
    <phoneticPr fontId="1" type="noConversion"/>
  </si>
  <si>
    <t>盘蛇</t>
    <phoneticPr fontId="1" type="noConversion"/>
  </si>
  <si>
    <t>龙吟</t>
    <phoneticPr fontId="1" type="noConversion"/>
  </si>
  <si>
    <t>守御</t>
    <phoneticPr fontId="1" type="noConversion"/>
  </si>
  <si>
    <t>千眼</t>
    <phoneticPr fontId="1" type="noConversion"/>
  </si>
  <si>
    <t>逍遥</t>
    <phoneticPr fontId="1" type="noConversion"/>
  </si>
  <si>
    <t>流离</t>
    <phoneticPr fontId="1" type="noConversion"/>
  </si>
  <si>
    <t>夺魄</t>
    <phoneticPr fontId="1" type="noConversion"/>
  </si>
  <si>
    <t>破天</t>
    <phoneticPr fontId="1" type="noConversion"/>
  </si>
  <si>
    <t>幽灵</t>
    <phoneticPr fontId="1" type="noConversion"/>
  </si>
  <si>
    <t>比重</t>
    <phoneticPr fontId="1" type="noConversion"/>
  </si>
  <si>
    <t>每天猎命次数</t>
    <phoneticPr fontId="1" type="noConversion"/>
  </si>
  <si>
    <t>获取统计</t>
    <phoneticPr fontId="1" type="noConversion"/>
  </si>
  <si>
    <t>经验</t>
    <phoneticPr fontId="1" type="noConversion"/>
  </si>
  <si>
    <t>累计升级时间</t>
    <phoneticPr fontId="1" type="noConversion"/>
  </si>
  <si>
    <t>属性价值</t>
    <phoneticPr fontId="1" type="noConversion"/>
  </si>
  <si>
    <t>稀有度</t>
    <phoneticPr fontId="1" type="noConversion"/>
  </si>
  <si>
    <t>攻击</t>
  </si>
  <si>
    <t>防御</t>
  </si>
  <si>
    <t>闪避值</t>
  </si>
  <si>
    <t>韧性值</t>
  </si>
  <si>
    <t>暴击值</t>
  </si>
  <si>
    <t>名称</t>
    <phoneticPr fontId="1" type="noConversion"/>
  </si>
  <si>
    <t>品质定义</t>
    <phoneticPr fontId="1" type="noConversion"/>
  </si>
  <si>
    <t>100级数值预估估：</t>
    <phoneticPr fontId="1" type="noConversion"/>
  </si>
  <si>
    <t>命格装备个数：</t>
    <phoneticPr fontId="1" type="noConversion"/>
  </si>
  <si>
    <t>绿色</t>
  </si>
  <si>
    <t>绿色</t>
    <phoneticPr fontId="1" type="noConversion"/>
  </si>
  <si>
    <t>命格等级：</t>
    <phoneticPr fontId="1" type="noConversion"/>
  </si>
  <si>
    <t>蓝色</t>
  </si>
  <si>
    <t>蓝色</t>
    <phoneticPr fontId="1" type="noConversion"/>
  </si>
  <si>
    <t>系统名称</t>
    <phoneticPr fontId="1" type="noConversion"/>
  </si>
  <si>
    <t>红色</t>
  </si>
  <si>
    <t>红色</t>
    <phoneticPr fontId="1" type="noConversion"/>
  </si>
  <si>
    <t>属性ID</t>
    <phoneticPr fontId="1" type="noConversion"/>
  </si>
  <si>
    <t>属性类型</t>
    <phoneticPr fontId="1" type="noConversion"/>
  </si>
  <si>
    <t>满级属性</t>
    <phoneticPr fontId="1" type="noConversion"/>
  </si>
  <si>
    <t>价值</t>
    <phoneticPr fontId="1" type="noConversion"/>
  </si>
  <si>
    <t>价值调整</t>
    <phoneticPr fontId="1" type="noConversion"/>
  </si>
  <si>
    <t>百分比</t>
  </si>
  <si>
    <t>数值</t>
    <phoneticPr fontId="1" type="noConversion"/>
  </si>
  <si>
    <t>每级别/品质</t>
    <phoneticPr fontId="1" type="noConversion"/>
  </si>
  <si>
    <t>品质</t>
    <phoneticPr fontId="1" type="noConversion"/>
  </si>
  <si>
    <t>等级</t>
    <phoneticPr fontId="1" type="noConversion"/>
  </si>
  <si>
    <t>每级别</t>
    <phoneticPr fontId="1" type="noConversion"/>
  </si>
  <si>
    <t>占比系数</t>
    <phoneticPr fontId="1" type="noConversion"/>
  </si>
  <si>
    <t>命格满级属性</t>
    <phoneticPr fontId="1" type="noConversion"/>
  </si>
  <si>
    <t>伤害加深</t>
  </si>
  <si>
    <t>伤害减免</t>
  </si>
  <si>
    <t>攻击加成</t>
  </si>
  <si>
    <t>防御加成</t>
  </si>
  <si>
    <t>暴击伤害</t>
  </si>
  <si>
    <t>总价值</t>
    <phoneticPr fontId="1" type="noConversion"/>
  </si>
  <si>
    <t>每天总花费</t>
    <phoneticPr fontId="1" type="noConversion"/>
  </si>
  <si>
    <t>总升级经验</t>
    <phoneticPr fontId="1" type="noConversion"/>
  </si>
  <si>
    <t>分配</t>
    <phoneticPr fontId="1" type="noConversion"/>
  </si>
  <si>
    <t>价值</t>
    <phoneticPr fontId="1" type="noConversion"/>
  </si>
  <si>
    <t>初始属性</t>
    <phoneticPr fontId="1" type="noConversion"/>
  </si>
  <si>
    <t>升级属性</t>
    <phoneticPr fontId="1" type="noConversion"/>
  </si>
  <si>
    <t>命格初始属性</t>
    <phoneticPr fontId="1" type="noConversion"/>
  </si>
  <si>
    <t>属性2值</t>
  </si>
  <si>
    <t>猎命表</t>
    <phoneticPr fontId="1" type="noConversion"/>
  </si>
  <si>
    <t>产出配置表</t>
    <phoneticPr fontId="1" type="noConversion"/>
  </si>
  <si>
    <t>炉渣</t>
  </si>
  <si>
    <t>炉渣</t>
    <phoneticPr fontId="1" type="noConversion"/>
  </si>
  <si>
    <t>每天命格副本次数</t>
    <phoneticPr fontId="1" type="noConversion"/>
  </si>
  <si>
    <t>产出填表辅助</t>
    <phoneticPr fontId="1" type="noConversion"/>
  </si>
  <si>
    <t>锁定产出</t>
    <phoneticPr fontId="1" type="noConversion"/>
  </si>
  <si>
    <t>猎命师概率分布</t>
    <phoneticPr fontId="1" type="noConversion"/>
  </si>
  <si>
    <t>获得概率</t>
    <phoneticPr fontId="1" type="noConversion"/>
  </si>
  <si>
    <t>绿色命格</t>
  </si>
  <si>
    <t>蓝色命格</t>
  </si>
  <si>
    <t>紫色命格</t>
  </si>
  <si>
    <t>橙色命格</t>
  </si>
  <si>
    <t>红色命格</t>
  </si>
  <si>
    <t>每钻石获得</t>
    <phoneticPr fontId="1" type="noConversion"/>
  </si>
  <si>
    <t>锁定等级</t>
    <phoneticPr fontId="1" type="noConversion"/>
  </si>
  <si>
    <t>最佳消费</t>
    <phoneticPr fontId="1" type="noConversion"/>
  </si>
  <si>
    <t>命格命币价值</t>
    <phoneticPr fontId="1" type="noConversion"/>
  </si>
  <si>
    <t>命币/钻石</t>
    <phoneticPr fontId="1" type="noConversion"/>
  </si>
  <si>
    <t>钻石价格</t>
    <phoneticPr fontId="1" type="noConversion"/>
  </si>
  <si>
    <t>每月获得</t>
    <phoneticPr fontId="1" type="noConversion"/>
  </si>
  <si>
    <t>60级</t>
    <phoneticPr fontId="1" type="noConversion"/>
  </si>
  <si>
    <t>6个月</t>
    <phoneticPr fontId="1" type="noConversion"/>
  </si>
  <si>
    <t>80级</t>
    <phoneticPr fontId="1" type="noConversion"/>
  </si>
  <si>
    <t>暴击倍数</t>
  </si>
  <si>
    <t>命格钻石价值</t>
    <phoneticPr fontId="1" type="noConversion"/>
  </si>
  <si>
    <t>命格钻石消费价值</t>
    <phoneticPr fontId="1" type="noConversion"/>
  </si>
  <si>
    <t>命格钻石免费价值</t>
    <phoneticPr fontId="1" type="noConversion"/>
  </si>
  <si>
    <t>命格钻石价值调整</t>
    <phoneticPr fontId="1" type="noConversion"/>
  </si>
  <si>
    <t>属性调整</t>
    <phoneticPr fontId="1" type="noConversion"/>
  </si>
  <si>
    <t>元初</t>
    <phoneticPr fontId="1" type="noConversion"/>
  </si>
  <si>
    <t>初始属性</t>
    <phoneticPr fontId="1" type="noConversion"/>
  </si>
  <si>
    <t>升级属性</t>
    <phoneticPr fontId="1" type="noConversion"/>
  </si>
  <si>
    <t>灰色物质</t>
  </si>
  <si>
    <t>兽腾</t>
  </si>
  <si>
    <t>战狂</t>
  </si>
  <si>
    <t>贪狼</t>
  </si>
  <si>
    <t>辉煌</t>
  </si>
  <si>
    <t>破军</t>
  </si>
  <si>
    <t>飞仙</t>
  </si>
  <si>
    <t>虚空</t>
  </si>
  <si>
    <t>无惧</t>
  </si>
  <si>
    <t>天杀</t>
  </si>
  <si>
    <t>诛魔</t>
  </si>
  <si>
    <t>寂灭</t>
  </si>
  <si>
    <t>审判</t>
  </si>
  <si>
    <t>天狱</t>
  </si>
  <si>
    <t>一元复始</t>
  </si>
  <si>
    <t>大破坏神</t>
  </si>
  <si>
    <t>天地无用</t>
  </si>
  <si>
    <t>百步穿杨</t>
  </si>
  <si>
    <t>破碎虚空</t>
  </si>
  <si>
    <t>震破苍穹</t>
  </si>
  <si>
    <t>雷霆万钧</t>
  </si>
  <si>
    <t>快刀乱麻</t>
  </si>
  <si>
    <t>明镜止水</t>
  </si>
  <si>
    <t>背水一战</t>
  </si>
  <si>
    <t>金钟护体</t>
  </si>
  <si>
    <t>轩辕剑体</t>
  </si>
  <si>
    <t>无效</t>
    <phoneticPr fontId="1" type="noConversion"/>
  </si>
  <si>
    <t>无尽</t>
  </si>
  <si>
    <t>断罪</t>
  </si>
  <si>
    <t>气势如虹</t>
  </si>
  <si>
    <t>包罗万象</t>
  </si>
  <si>
    <t>心无杂念</t>
  </si>
  <si>
    <t>披荆斩棘</t>
  </si>
  <si>
    <t>斗转星移</t>
  </si>
  <si>
    <t>灰色物质</t>
    <phoneticPr fontId="1" type="noConversion"/>
  </si>
  <si>
    <t>兽腾</t>
    <phoneticPr fontId="1" type="noConversion"/>
  </si>
  <si>
    <t>战狂</t>
    <phoneticPr fontId="1" type="noConversion"/>
  </si>
  <si>
    <t>贪狼</t>
    <phoneticPr fontId="1" type="noConversion"/>
  </si>
  <si>
    <t>辉煌</t>
    <phoneticPr fontId="1" type="noConversion"/>
  </si>
  <si>
    <t>破军</t>
    <phoneticPr fontId="1" type="noConversion"/>
  </si>
  <si>
    <t>飞仙</t>
    <phoneticPr fontId="1" type="noConversion"/>
  </si>
  <si>
    <t>虚空</t>
    <phoneticPr fontId="1" type="noConversion"/>
  </si>
  <si>
    <t>无惧</t>
    <phoneticPr fontId="1" type="noConversion"/>
  </si>
  <si>
    <t>天杀</t>
    <phoneticPr fontId="1" type="noConversion"/>
  </si>
  <si>
    <t>诛魔</t>
    <phoneticPr fontId="1" type="noConversion"/>
  </si>
  <si>
    <t>寂灭</t>
    <phoneticPr fontId="1" type="noConversion"/>
  </si>
  <si>
    <t>审判</t>
    <phoneticPr fontId="1" type="noConversion"/>
  </si>
  <si>
    <t>天狱</t>
    <phoneticPr fontId="1" type="noConversion"/>
  </si>
  <si>
    <t>无尽</t>
    <phoneticPr fontId="1" type="noConversion"/>
  </si>
  <si>
    <t>断罪</t>
    <phoneticPr fontId="1" type="noConversion"/>
  </si>
  <si>
    <t>一元复始</t>
    <phoneticPr fontId="1" type="noConversion"/>
  </si>
  <si>
    <t>大破坏神</t>
    <phoneticPr fontId="1" type="noConversion"/>
  </si>
  <si>
    <t>天地无用</t>
    <phoneticPr fontId="1" type="noConversion"/>
  </si>
  <si>
    <t>百步穿杨</t>
    <phoneticPr fontId="1" type="noConversion"/>
  </si>
  <si>
    <t>破碎虚空</t>
    <phoneticPr fontId="1" type="noConversion"/>
  </si>
  <si>
    <t>震破苍穹</t>
    <phoneticPr fontId="1" type="noConversion"/>
  </si>
  <si>
    <t>雷霆万钧</t>
    <phoneticPr fontId="1" type="noConversion"/>
  </si>
  <si>
    <t>快刀乱麻</t>
    <phoneticPr fontId="1" type="noConversion"/>
  </si>
  <si>
    <t>明镜止水</t>
    <phoneticPr fontId="1" type="noConversion"/>
  </si>
  <si>
    <t>背水一战</t>
    <phoneticPr fontId="1" type="noConversion"/>
  </si>
  <si>
    <t>金钟护体</t>
    <phoneticPr fontId="1" type="noConversion"/>
  </si>
  <si>
    <t>轩辕剑体</t>
    <phoneticPr fontId="1" type="noConversion"/>
  </si>
  <si>
    <t>气势如虹</t>
    <phoneticPr fontId="1" type="noConversion"/>
  </si>
  <si>
    <t>包罗万象</t>
    <phoneticPr fontId="1" type="noConversion"/>
  </si>
  <si>
    <t>心无杂念</t>
    <phoneticPr fontId="1" type="noConversion"/>
  </si>
  <si>
    <t>披荆斩棘</t>
    <phoneticPr fontId="1" type="noConversion"/>
  </si>
  <si>
    <t>斗转星移</t>
    <phoneticPr fontId="1" type="noConversion"/>
  </si>
  <si>
    <t>根须缠绕</t>
    <phoneticPr fontId="1" type="noConversion"/>
  </si>
  <si>
    <t>识海觉醒</t>
    <phoneticPr fontId="1" type="noConversion"/>
  </si>
  <si>
    <t>辉煌</t>
    <phoneticPr fontId="1" type="noConversion"/>
  </si>
  <si>
    <t>破军</t>
    <phoneticPr fontId="1" type="noConversion"/>
  </si>
  <si>
    <t>无惧</t>
    <phoneticPr fontId="1" type="noConversion"/>
  </si>
  <si>
    <t>天杀</t>
    <phoneticPr fontId="1" type="noConversion"/>
  </si>
  <si>
    <t>天狱</t>
    <phoneticPr fontId="1" type="noConversion"/>
  </si>
  <si>
    <t>大破坏神</t>
    <phoneticPr fontId="1" type="noConversion"/>
  </si>
  <si>
    <t>震破苍穹</t>
    <phoneticPr fontId="1" type="noConversion"/>
  </si>
  <si>
    <t>快刀乱麻</t>
    <phoneticPr fontId="1" type="noConversion"/>
  </si>
  <si>
    <t>明镜止水</t>
    <phoneticPr fontId="1" type="noConversion"/>
  </si>
  <si>
    <t>背水一战</t>
    <phoneticPr fontId="1" type="noConversion"/>
  </si>
  <si>
    <t>轩辕剑体</t>
    <phoneticPr fontId="1" type="noConversion"/>
  </si>
  <si>
    <t>心无杂念</t>
    <phoneticPr fontId="1" type="noConversion"/>
  </si>
  <si>
    <t>披荆斩棘</t>
    <phoneticPr fontId="1" type="noConversion"/>
  </si>
  <si>
    <t>斗转星移</t>
    <phoneticPr fontId="1" type="noConversion"/>
  </si>
  <si>
    <t>原值</t>
    <phoneticPr fontId="1" type="noConversion"/>
  </si>
  <si>
    <t>调整值</t>
    <phoneticPr fontId="1" type="noConversion"/>
  </si>
  <si>
    <t>升级经验</t>
    <phoneticPr fontId="1" type="noConversion"/>
  </si>
  <si>
    <t>属性对比</t>
    <phoneticPr fontId="1" type="noConversion"/>
  </si>
  <si>
    <t>属性成长非线性调整</t>
    <phoneticPr fontId="1" type="noConversion"/>
  </si>
  <si>
    <t>命格描述</t>
    <phoneticPr fontId="1" type="noConversion"/>
  </si>
  <si>
    <t>总经验需求</t>
    <phoneticPr fontId="1" type="noConversion"/>
  </si>
  <si>
    <t>总升级天数</t>
    <phoneticPr fontId="1" type="noConversion"/>
  </si>
  <si>
    <t>每天经验</t>
    <phoneticPr fontId="1" type="noConversion"/>
  </si>
  <si>
    <t>霸主</t>
    <phoneticPr fontId="5" type="noConversion"/>
  </si>
  <si>
    <t>元初</t>
    <phoneticPr fontId="1" type="noConversion"/>
  </si>
  <si>
    <t>无尽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</si>
</sst>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 * #,##0.00_ ;_ * \-#,##0.00_ ;_ * &quot;-&quot;??_ ;_ @_ "/>
    <numFmt numFmtId="176" formatCode="0_ "/>
    <numFmt numFmtId="177" formatCode="0.0000_ "/>
    <numFmt numFmtId="178" formatCode="0.000000_ "/>
    <numFmt numFmtId="179" formatCode="0.000000_);[Red]\(0.000000\)"/>
  </numFmts>
  <fonts count="1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color theme="1" tint="0.249977111117893"/>
      <name val="宋体"/>
      <family val="2"/>
      <scheme val="minor"/>
    </font>
    <font>
      <sz val="11"/>
      <color theme="1" tint="0.249977111117893"/>
      <name val="宋体"/>
      <family val="3"/>
      <charset val="134"/>
      <scheme val="minor"/>
    </font>
    <font>
      <sz val="11"/>
      <color theme="1" tint="0.34998626667073579"/>
      <name val="宋体"/>
      <family val="3"/>
      <charset val="134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>
      <alignment vertical="center"/>
    </xf>
  </cellStyleXfs>
  <cellXfs count="61">
    <xf numFmtId="0" fontId="0" fillId="0" borderId="0" xfId="0"/>
    <xf numFmtId="0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1" xfId="0" applyBorder="1"/>
    <xf numFmtId="0" fontId="0" fillId="2" borderId="0" xfId="0" applyFill="1"/>
    <xf numFmtId="0" fontId="0" fillId="0" borderId="0" xfId="0" applyFill="1"/>
    <xf numFmtId="0" fontId="0" fillId="3" borderId="1" xfId="0" applyFill="1" applyBorder="1"/>
    <xf numFmtId="0" fontId="0" fillId="0" borderId="1" xfId="0" applyFill="1" applyBorder="1"/>
    <xf numFmtId="176" fontId="0" fillId="0" borderId="1" xfId="1" applyNumberFormat="1" applyFont="1" applyBorder="1" applyAlignment="1"/>
    <xf numFmtId="0" fontId="0" fillId="0" borderId="2" xfId="0" applyFill="1" applyBorder="1"/>
    <xf numFmtId="0" fontId="0" fillId="4" borderId="1" xfId="0" applyFill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2" borderId="1" xfId="0" applyFill="1" applyBorder="1"/>
    <xf numFmtId="0" fontId="0" fillId="0" borderId="1" xfId="0" applyBorder="1" applyAlignment="1"/>
    <xf numFmtId="0" fontId="0" fillId="0" borderId="1" xfId="0" applyFont="1" applyBorder="1" applyAlignment="1"/>
    <xf numFmtId="0" fontId="6" fillId="8" borderId="1" xfId="0" applyFont="1" applyFill="1" applyBorder="1" applyAlignment="1"/>
    <xf numFmtId="0" fontId="6" fillId="8" borderId="0" xfId="0" applyFont="1" applyFill="1" applyAlignment="1"/>
    <xf numFmtId="0" fontId="0" fillId="0" borderId="0" xfId="0" applyFill="1" applyBorder="1"/>
    <xf numFmtId="0" fontId="0" fillId="0" borderId="0" xfId="0" applyBorder="1"/>
    <xf numFmtId="0" fontId="0" fillId="0" borderId="2" xfId="0" applyFill="1" applyBorder="1" applyAlignment="1">
      <alignment horizontal="center"/>
    </xf>
    <xf numFmtId="0" fontId="0" fillId="6" borderId="0" xfId="0" applyFill="1"/>
    <xf numFmtId="176" fontId="0" fillId="0" borderId="1" xfId="0" applyNumberFormat="1" applyBorder="1"/>
    <xf numFmtId="0" fontId="0" fillId="9" borderId="1" xfId="0" applyFill="1" applyBorder="1"/>
    <xf numFmtId="0" fontId="0" fillId="10" borderId="1" xfId="0" applyFill="1" applyBorder="1"/>
    <xf numFmtId="0" fontId="7" fillId="0" borderId="1" xfId="0" applyFont="1" applyBorder="1"/>
    <xf numFmtId="0" fontId="7" fillId="0" borderId="1" xfId="0" applyFont="1" applyBorder="1" applyAlignment="1"/>
    <xf numFmtId="0" fontId="8" fillId="0" borderId="1" xfId="0" applyFont="1" applyFill="1" applyBorder="1"/>
    <xf numFmtId="176" fontId="8" fillId="0" borderId="1" xfId="0" applyNumberFormat="1" applyFont="1" applyBorder="1"/>
    <xf numFmtId="0" fontId="8" fillId="0" borderId="0" xfId="0" applyFont="1"/>
    <xf numFmtId="0" fontId="9" fillId="0" borderId="0" xfId="0" applyFont="1"/>
    <xf numFmtId="0" fontId="0" fillId="11" borderId="0" xfId="0" applyFill="1"/>
    <xf numFmtId="0" fontId="10" fillId="0" borderId="1" xfId="0" applyFont="1" applyBorder="1"/>
    <xf numFmtId="0" fontId="10" fillId="4" borderId="1" xfId="0" applyFont="1" applyFill="1" applyBorder="1"/>
    <xf numFmtId="0" fontId="10" fillId="0" borderId="1" xfId="0" applyFont="1" applyBorder="1" applyAlignment="1"/>
    <xf numFmtId="0" fontId="11" fillId="0" borderId="1" xfId="0" applyFont="1" applyFill="1" applyBorder="1"/>
    <xf numFmtId="0" fontId="11" fillId="0" borderId="1" xfId="0" applyFont="1" applyBorder="1"/>
    <xf numFmtId="0" fontId="11" fillId="0" borderId="1" xfId="0" applyFont="1" applyBorder="1" applyAlignment="1"/>
    <xf numFmtId="0" fontId="10" fillId="0" borderId="1" xfId="0" applyFont="1" applyFill="1" applyBorder="1"/>
    <xf numFmtId="176" fontId="10" fillId="0" borderId="1" xfId="0" applyNumberFormat="1" applyFont="1" applyBorder="1"/>
    <xf numFmtId="0" fontId="8" fillId="0" borderId="1" xfId="0" applyFont="1" applyBorder="1"/>
    <xf numFmtId="0" fontId="0" fillId="0" borderId="0" xfId="0" applyAlignment="1">
      <alignment horizontal="center"/>
    </xf>
    <xf numFmtId="0" fontId="0" fillId="0" borderId="3" xfId="0" applyFill="1" applyBorder="1"/>
    <xf numFmtId="0" fontId="0" fillId="5" borderId="0" xfId="0" applyFill="1"/>
    <xf numFmtId="0" fontId="0" fillId="0" borderId="0" xfId="0" applyBorder="1" applyAlignment="1">
      <alignment horizontal="center"/>
    </xf>
    <xf numFmtId="177" fontId="0" fillId="0" borderId="1" xfId="0" applyNumberFormat="1" applyBorder="1"/>
    <xf numFmtId="0" fontId="0" fillId="12" borderId="1" xfId="0" applyFill="1" applyBorder="1"/>
    <xf numFmtId="0" fontId="0" fillId="12" borderId="1" xfId="0" applyFill="1" applyBorder="1" applyAlignment="1">
      <alignment horizontal="center"/>
    </xf>
    <xf numFmtId="176" fontId="0" fillId="0" borderId="0" xfId="0" applyNumberFormat="1" applyBorder="1"/>
    <xf numFmtId="176" fontId="0" fillId="0" borderId="0" xfId="1" applyNumberFormat="1" applyFont="1" applyFill="1" applyBorder="1" applyAlignment="1"/>
    <xf numFmtId="176" fontId="0" fillId="0" borderId="1" xfId="0" applyNumberFormat="1" applyFill="1" applyBorder="1"/>
    <xf numFmtId="176" fontId="10" fillId="4" borderId="1" xfId="0" applyNumberFormat="1" applyFont="1" applyFill="1" applyBorder="1"/>
    <xf numFmtId="0" fontId="0" fillId="0" borderId="1" xfId="0" applyBorder="1"/>
    <xf numFmtId="178" fontId="0" fillId="0" borderId="1" xfId="0" applyNumberFormat="1" applyBorder="1"/>
    <xf numFmtId="0" fontId="0" fillId="4" borderId="0" xfId="0" applyFill="1" applyAlignment="1">
      <alignment horizontal="center"/>
    </xf>
    <xf numFmtId="179" fontId="0" fillId="0" borderId="1" xfId="0" applyNumberFormat="1" applyBorder="1"/>
    <xf numFmtId="0" fontId="0" fillId="4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</cellXfs>
  <cellStyles count="2">
    <cellStyle name="常规" xfId="0" builtinId="0"/>
    <cellStyle name="千位分隔" xfId="1" builtinId="3"/>
  </cellStyles>
  <dxfs count="141"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microsoft.com/office/2006/relationships/vbaProject" Target="vbaProject.bin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命格产出概率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ofPieChart>
        <c:ofPieType val="pie"/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猎命辅助表!$B$20:$B$25</c:f>
              <c:strCache>
                <c:ptCount val="6"/>
                <c:pt idx="0">
                  <c:v>炉渣</c:v>
                </c:pt>
                <c:pt idx="1">
                  <c:v>绿色</c:v>
                </c:pt>
                <c:pt idx="2">
                  <c:v>蓝色</c:v>
                </c:pt>
                <c:pt idx="3">
                  <c:v>紫色</c:v>
                </c:pt>
                <c:pt idx="4">
                  <c:v>橙色</c:v>
                </c:pt>
                <c:pt idx="5">
                  <c:v>红色</c:v>
                </c:pt>
              </c:strCache>
            </c:strRef>
          </c:cat>
          <c:val>
            <c:numRef>
              <c:f>猎命辅助表!$D$20:$D$25</c:f>
              <c:numCache>
                <c:formatCode>0.000000_ </c:formatCode>
                <c:ptCount val="6"/>
                <c:pt idx="0">
                  <c:v>0.31452124286620164</c:v>
                </c:pt>
                <c:pt idx="1">
                  <c:v>0.57765377298668352</c:v>
                </c:pt>
                <c:pt idx="2">
                  <c:v>9.3443246670894098E-2</c:v>
                </c:pt>
                <c:pt idx="3">
                  <c:v>1.2532656943563727E-2</c:v>
                </c:pt>
                <c:pt idx="4">
                  <c:v>1.6436271401395054E-3</c:v>
                </c:pt>
                <c:pt idx="5">
                  <c:v>2.0545339251743818E-4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猎命师等级分布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猎命辅助表!$A$11:$A$15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猎命辅助表!$E$11:$E$15</c:f>
              <c:numCache>
                <c:formatCode>0.0000_ </c:formatCode>
                <c:ptCount val="5"/>
                <c:pt idx="0">
                  <c:v>0.507292327203551</c:v>
                </c:pt>
                <c:pt idx="1">
                  <c:v>0.30437539632213056</c:v>
                </c:pt>
                <c:pt idx="2">
                  <c:v>0.13696892834495877</c:v>
                </c:pt>
                <c:pt idx="3">
                  <c:v>4.1090678503487632E-2</c:v>
                </c:pt>
                <c:pt idx="4">
                  <c:v>1.0272669625871908E-2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命格经验与升级时间曲线对比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经验曲线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数值对比!$A$38:$A$103</c:f>
              <c:numCache>
                <c:formatCode>General</c:formatCode>
                <c:ptCount val="66"/>
                <c:pt idx="0">
                  <c:v>35</c:v>
                </c:pt>
                <c:pt idx="1">
                  <c:v>36</c:v>
                </c:pt>
                <c:pt idx="2">
                  <c:v>37</c:v>
                </c:pt>
                <c:pt idx="3">
                  <c:v>38</c:v>
                </c:pt>
                <c:pt idx="4">
                  <c:v>39</c:v>
                </c:pt>
                <c:pt idx="5">
                  <c:v>40</c:v>
                </c:pt>
                <c:pt idx="6">
                  <c:v>41</c:v>
                </c:pt>
                <c:pt idx="7">
                  <c:v>42</c:v>
                </c:pt>
                <c:pt idx="8">
                  <c:v>43</c:v>
                </c:pt>
                <c:pt idx="9">
                  <c:v>44</c:v>
                </c:pt>
                <c:pt idx="10">
                  <c:v>45</c:v>
                </c:pt>
                <c:pt idx="11">
                  <c:v>46</c:v>
                </c:pt>
                <c:pt idx="12">
                  <c:v>47</c:v>
                </c:pt>
                <c:pt idx="13">
                  <c:v>48</c:v>
                </c:pt>
                <c:pt idx="14">
                  <c:v>49</c:v>
                </c:pt>
                <c:pt idx="15">
                  <c:v>50</c:v>
                </c:pt>
                <c:pt idx="16">
                  <c:v>51</c:v>
                </c:pt>
                <c:pt idx="17">
                  <c:v>52</c:v>
                </c:pt>
                <c:pt idx="18">
                  <c:v>53</c:v>
                </c:pt>
                <c:pt idx="19">
                  <c:v>54</c:v>
                </c:pt>
                <c:pt idx="20">
                  <c:v>55</c:v>
                </c:pt>
                <c:pt idx="21">
                  <c:v>56</c:v>
                </c:pt>
                <c:pt idx="22">
                  <c:v>57</c:v>
                </c:pt>
                <c:pt idx="23">
                  <c:v>58</c:v>
                </c:pt>
                <c:pt idx="24">
                  <c:v>59</c:v>
                </c:pt>
                <c:pt idx="25">
                  <c:v>60</c:v>
                </c:pt>
                <c:pt idx="26">
                  <c:v>61</c:v>
                </c:pt>
                <c:pt idx="27">
                  <c:v>62</c:v>
                </c:pt>
                <c:pt idx="28">
                  <c:v>63</c:v>
                </c:pt>
                <c:pt idx="29">
                  <c:v>64</c:v>
                </c:pt>
                <c:pt idx="30">
                  <c:v>65</c:v>
                </c:pt>
                <c:pt idx="31">
                  <c:v>66</c:v>
                </c:pt>
                <c:pt idx="32">
                  <c:v>67</c:v>
                </c:pt>
                <c:pt idx="33">
                  <c:v>68</c:v>
                </c:pt>
                <c:pt idx="34">
                  <c:v>69</c:v>
                </c:pt>
                <c:pt idx="35">
                  <c:v>70</c:v>
                </c:pt>
                <c:pt idx="36">
                  <c:v>71</c:v>
                </c:pt>
                <c:pt idx="37">
                  <c:v>72</c:v>
                </c:pt>
                <c:pt idx="38">
                  <c:v>73</c:v>
                </c:pt>
                <c:pt idx="39">
                  <c:v>74</c:v>
                </c:pt>
                <c:pt idx="40">
                  <c:v>75</c:v>
                </c:pt>
                <c:pt idx="41">
                  <c:v>76</c:v>
                </c:pt>
                <c:pt idx="42">
                  <c:v>77</c:v>
                </c:pt>
                <c:pt idx="43">
                  <c:v>78</c:v>
                </c:pt>
                <c:pt idx="44">
                  <c:v>79</c:v>
                </c:pt>
                <c:pt idx="45">
                  <c:v>80</c:v>
                </c:pt>
                <c:pt idx="46">
                  <c:v>81</c:v>
                </c:pt>
                <c:pt idx="47">
                  <c:v>82</c:v>
                </c:pt>
                <c:pt idx="48">
                  <c:v>83</c:v>
                </c:pt>
                <c:pt idx="49">
                  <c:v>84</c:v>
                </c:pt>
                <c:pt idx="50">
                  <c:v>85</c:v>
                </c:pt>
                <c:pt idx="51">
                  <c:v>86</c:v>
                </c:pt>
                <c:pt idx="52">
                  <c:v>87</c:v>
                </c:pt>
                <c:pt idx="53">
                  <c:v>88</c:v>
                </c:pt>
                <c:pt idx="54">
                  <c:v>89</c:v>
                </c:pt>
                <c:pt idx="55">
                  <c:v>90</c:v>
                </c:pt>
                <c:pt idx="56">
                  <c:v>91</c:v>
                </c:pt>
                <c:pt idx="57">
                  <c:v>92</c:v>
                </c:pt>
                <c:pt idx="58">
                  <c:v>93</c:v>
                </c:pt>
                <c:pt idx="59">
                  <c:v>94</c:v>
                </c:pt>
                <c:pt idx="60">
                  <c:v>95</c:v>
                </c:pt>
                <c:pt idx="61">
                  <c:v>96</c:v>
                </c:pt>
                <c:pt idx="62">
                  <c:v>97</c:v>
                </c:pt>
                <c:pt idx="63">
                  <c:v>98</c:v>
                </c:pt>
                <c:pt idx="64">
                  <c:v>99</c:v>
                </c:pt>
                <c:pt idx="65">
                  <c:v>100</c:v>
                </c:pt>
              </c:numCache>
            </c:numRef>
          </c:cat>
          <c:val>
            <c:numRef>
              <c:f>数值对比!$S$40:$S$83</c:f>
              <c:numCache>
                <c:formatCode>General</c:formatCode>
                <c:ptCount val="44"/>
                <c:pt idx="0">
                  <c:v>7.1283095723014264E-2</c:v>
                </c:pt>
                <c:pt idx="1">
                  <c:v>7.1283095723014264E-2</c:v>
                </c:pt>
                <c:pt idx="2">
                  <c:v>7.1283095723014264E-2</c:v>
                </c:pt>
                <c:pt idx="3">
                  <c:v>7.1283095723014264E-2</c:v>
                </c:pt>
                <c:pt idx="4">
                  <c:v>9.9796334012219962E-2</c:v>
                </c:pt>
                <c:pt idx="5">
                  <c:v>0.15682281059063136</c:v>
                </c:pt>
                <c:pt idx="6">
                  <c:v>0.15682281059063136</c:v>
                </c:pt>
                <c:pt idx="7">
                  <c:v>0.15682281059063136</c:v>
                </c:pt>
                <c:pt idx="8">
                  <c:v>0.24236252545824849</c:v>
                </c:pt>
                <c:pt idx="9">
                  <c:v>0.21384928716904278</c:v>
                </c:pt>
                <c:pt idx="10">
                  <c:v>0.21384928716904278</c:v>
                </c:pt>
                <c:pt idx="11">
                  <c:v>0.21384928716904278</c:v>
                </c:pt>
                <c:pt idx="12">
                  <c:v>0.21384928716904278</c:v>
                </c:pt>
                <c:pt idx="13">
                  <c:v>0.21384928716904278</c:v>
                </c:pt>
                <c:pt idx="14">
                  <c:v>0.21384928716904278</c:v>
                </c:pt>
                <c:pt idx="15">
                  <c:v>0.21384928716904278</c:v>
                </c:pt>
                <c:pt idx="16">
                  <c:v>0.21384928716904278</c:v>
                </c:pt>
                <c:pt idx="17">
                  <c:v>0.27087576374745415</c:v>
                </c:pt>
                <c:pt idx="18">
                  <c:v>0.27087576374745415</c:v>
                </c:pt>
                <c:pt idx="19">
                  <c:v>0.38492871690427699</c:v>
                </c:pt>
                <c:pt idx="20">
                  <c:v>0.38492871690427699</c:v>
                </c:pt>
                <c:pt idx="21">
                  <c:v>0.38492871690427699</c:v>
                </c:pt>
                <c:pt idx="22">
                  <c:v>0.38492871690427699</c:v>
                </c:pt>
                <c:pt idx="23">
                  <c:v>0.38492871690427699</c:v>
                </c:pt>
                <c:pt idx="24">
                  <c:v>0.38492871690427699</c:v>
                </c:pt>
                <c:pt idx="25">
                  <c:v>0.55600814663951115</c:v>
                </c:pt>
                <c:pt idx="26">
                  <c:v>0.78411405295315684</c:v>
                </c:pt>
                <c:pt idx="27">
                  <c:v>0.78411405295315684</c:v>
                </c:pt>
                <c:pt idx="28">
                  <c:v>0.78411405295315684</c:v>
                </c:pt>
                <c:pt idx="29">
                  <c:v>0.78411405295315684</c:v>
                </c:pt>
                <c:pt idx="30">
                  <c:v>0.78411405295315684</c:v>
                </c:pt>
                <c:pt idx="31">
                  <c:v>0.78411405295315684</c:v>
                </c:pt>
                <c:pt idx="32">
                  <c:v>1.1832993890020367</c:v>
                </c:pt>
                <c:pt idx="33">
                  <c:v>1.6395112016293278</c:v>
                </c:pt>
                <c:pt idx="34">
                  <c:v>1.6395112016293278</c:v>
                </c:pt>
                <c:pt idx="35">
                  <c:v>1.6395112016293278</c:v>
                </c:pt>
                <c:pt idx="36">
                  <c:v>1.6395112016293278</c:v>
                </c:pt>
                <c:pt idx="37">
                  <c:v>1.6395112016293278</c:v>
                </c:pt>
                <c:pt idx="38">
                  <c:v>3.4073319755600817</c:v>
                </c:pt>
                <c:pt idx="39">
                  <c:v>3.4073319755600817</c:v>
                </c:pt>
                <c:pt idx="40">
                  <c:v>3.4073319755600817</c:v>
                </c:pt>
                <c:pt idx="41">
                  <c:v>3.4073319755600817</c:v>
                </c:pt>
                <c:pt idx="42">
                  <c:v>3.4073319755600817</c:v>
                </c:pt>
                <c:pt idx="43">
                  <c:v>7</c:v>
                </c:pt>
              </c:numCache>
            </c:numRef>
          </c:val>
          <c:smooth val="0"/>
        </c:ser>
        <c:ser>
          <c:idx val="1"/>
          <c:order val="1"/>
          <c:tx>
            <c:v>升级曲线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数值对比!$A$38:$A$103</c:f>
              <c:numCache>
                <c:formatCode>General</c:formatCode>
                <c:ptCount val="66"/>
                <c:pt idx="0">
                  <c:v>35</c:v>
                </c:pt>
                <c:pt idx="1">
                  <c:v>36</c:v>
                </c:pt>
                <c:pt idx="2">
                  <c:v>37</c:v>
                </c:pt>
                <c:pt idx="3">
                  <c:v>38</c:v>
                </c:pt>
                <c:pt idx="4">
                  <c:v>39</c:v>
                </c:pt>
                <c:pt idx="5">
                  <c:v>40</c:v>
                </c:pt>
                <c:pt idx="6">
                  <c:v>41</c:v>
                </c:pt>
                <c:pt idx="7">
                  <c:v>42</c:v>
                </c:pt>
                <c:pt idx="8">
                  <c:v>43</c:v>
                </c:pt>
                <c:pt idx="9">
                  <c:v>44</c:v>
                </c:pt>
                <c:pt idx="10">
                  <c:v>45</c:v>
                </c:pt>
                <c:pt idx="11">
                  <c:v>46</c:v>
                </c:pt>
                <c:pt idx="12">
                  <c:v>47</c:v>
                </c:pt>
                <c:pt idx="13">
                  <c:v>48</c:v>
                </c:pt>
                <c:pt idx="14">
                  <c:v>49</c:v>
                </c:pt>
                <c:pt idx="15">
                  <c:v>50</c:v>
                </c:pt>
                <c:pt idx="16">
                  <c:v>51</c:v>
                </c:pt>
                <c:pt idx="17">
                  <c:v>52</c:v>
                </c:pt>
                <c:pt idx="18">
                  <c:v>53</c:v>
                </c:pt>
                <c:pt idx="19">
                  <c:v>54</c:v>
                </c:pt>
                <c:pt idx="20">
                  <c:v>55</c:v>
                </c:pt>
                <c:pt idx="21">
                  <c:v>56</c:v>
                </c:pt>
                <c:pt idx="22">
                  <c:v>57</c:v>
                </c:pt>
                <c:pt idx="23">
                  <c:v>58</c:v>
                </c:pt>
                <c:pt idx="24">
                  <c:v>59</c:v>
                </c:pt>
                <c:pt idx="25">
                  <c:v>60</c:v>
                </c:pt>
                <c:pt idx="26">
                  <c:v>61</c:v>
                </c:pt>
                <c:pt idx="27">
                  <c:v>62</c:v>
                </c:pt>
                <c:pt idx="28">
                  <c:v>63</c:v>
                </c:pt>
                <c:pt idx="29">
                  <c:v>64</c:v>
                </c:pt>
                <c:pt idx="30">
                  <c:v>65</c:v>
                </c:pt>
                <c:pt idx="31">
                  <c:v>66</c:v>
                </c:pt>
                <c:pt idx="32">
                  <c:v>67</c:v>
                </c:pt>
                <c:pt idx="33">
                  <c:v>68</c:v>
                </c:pt>
                <c:pt idx="34">
                  <c:v>69</c:v>
                </c:pt>
                <c:pt idx="35">
                  <c:v>70</c:v>
                </c:pt>
                <c:pt idx="36">
                  <c:v>71</c:v>
                </c:pt>
                <c:pt idx="37">
                  <c:v>72</c:v>
                </c:pt>
                <c:pt idx="38">
                  <c:v>73</c:v>
                </c:pt>
                <c:pt idx="39">
                  <c:v>74</c:v>
                </c:pt>
                <c:pt idx="40">
                  <c:v>75</c:v>
                </c:pt>
                <c:pt idx="41">
                  <c:v>76</c:v>
                </c:pt>
                <c:pt idx="42">
                  <c:v>77</c:v>
                </c:pt>
                <c:pt idx="43">
                  <c:v>78</c:v>
                </c:pt>
                <c:pt idx="44">
                  <c:v>79</c:v>
                </c:pt>
                <c:pt idx="45">
                  <c:v>80</c:v>
                </c:pt>
                <c:pt idx="46">
                  <c:v>81</c:v>
                </c:pt>
                <c:pt idx="47">
                  <c:v>82</c:v>
                </c:pt>
                <c:pt idx="48">
                  <c:v>83</c:v>
                </c:pt>
                <c:pt idx="49">
                  <c:v>84</c:v>
                </c:pt>
                <c:pt idx="50">
                  <c:v>85</c:v>
                </c:pt>
                <c:pt idx="51">
                  <c:v>86</c:v>
                </c:pt>
                <c:pt idx="52">
                  <c:v>87</c:v>
                </c:pt>
                <c:pt idx="53">
                  <c:v>88</c:v>
                </c:pt>
                <c:pt idx="54">
                  <c:v>89</c:v>
                </c:pt>
                <c:pt idx="55">
                  <c:v>90</c:v>
                </c:pt>
                <c:pt idx="56">
                  <c:v>91</c:v>
                </c:pt>
                <c:pt idx="57">
                  <c:v>92</c:v>
                </c:pt>
                <c:pt idx="58">
                  <c:v>93</c:v>
                </c:pt>
                <c:pt idx="59">
                  <c:v>94</c:v>
                </c:pt>
                <c:pt idx="60">
                  <c:v>95</c:v>
                </c:pt>
                <c:pt idx="61">
                  <c:v>96</c:v>
                </c:pt>
                <c:pt idx="62">
                  <c:v>97</c:v>
                </c:pt>
                <c:pt idx="63">
                  <c:v>98</c:v>
                </c:pt>
                <c:pt idx="64">
                  <c:v>99</c:v>
                </c:pt>
                <c:pt idx="65">
                  <c:v>100</c:v>
                </c:pt>
              </c:numCache>
            </c:numRef>
          </c:cat>
          <c:val>
            <c:numRef>
              <c:f>数值对比!$V$40:$V$83</c:f>
              <c:numCache>
                <c:formatCode>General</c:formatCode>
                <c:ptCount val="44"/>
                <c:pt idx="0">
                  <c:v>0.10962235585740057</c:v>
                </c:pt>
                <c:pt idx="1">
                  <c:v>0.12099378953327469</c:v>
                </c:pt>
                <c:pt idx="2">
                  <c:v>0.13351099822259946</c:v>
                </c:pt>
                <c:pt idx="3">
                  <c:v>0.14728942914327792</c:v>
                </c:pt>
                <c:pt idx="4">
                  <c:v>0.16245616186682962</c:v>
                </c:pt>
                <c:pt idx="5">
                  <c:v>0.17915108038345323</c:v>
                </c:pt>
                <c:pt idx="6">
                  <c:v>0.19752816326326764</c:v>
                </c:pt>
                <c:pt idx="7">
                  <c:v>0.2177569038129919</c:v>
                </c:pt>
                <c:pt idx="8">
                  <c:v>0.24002387332628339</c:v>
                </c:pt>
                <c:pt idx="9">
                  <c:v>0.26453444184571667</c:v>
                </c:pt>
                <c:pt idx="10">
                  <c:v>0.2915146723071283</c:v>
                </c:pt>
                <c:pt idx="11">
                  <c:v>0.32121340553617361</c:v>
                </c:pt>
                <c:pt idx="12">
                  <c:v>0.35390455532718429</c:v>
                </c:pt>
                <c:pt idx="13">
                  <c:v>0.38988963477202421</c:v>
                </c:pt>
                <c:pt idx="14">
                  <c:v>0.42950053713947522</c:v>
                </c:pt>
                <c:pt idx="15">
                  <c:v>0.47310259695342749</c:v>
                </c:pt>
                <c:pt idx="16">
                  <c:v>0.52109795950244298</c:v>
                </c:pt>
                <c:pt idx="17">
                  <c:v>0.57392928985794911</c:v>
                </c:pt>
                <c:pt idx="18">
                  <c:v>0.63208385560963265</c:v>
                </c:pt>
                <c:pt idx="19">
                  <c:v>0.69609802097343221</c:v>
                </c:pt>
                <c:pt idx="20">
                  <c:v>0.7665621937216438</c:v>
                </c:pt>
                <c:pt idx="21">
                  <c:v>0.84412627056107536</c:v>
                </c:pt>
                <c:pt idx="22">
                  <c:v>0.92950563118240492</c:v>
                </c:pt>
                <c:pt idx="23">
                  <c:v>1.0234877362643442</c:v>
                </c:pt>
                <c:pt idx="24">
                  <c:v>1.1269393902865235</c:v>
                </c:pt>
                <c:pt idx="25">
                  <c:v>1.2408147361366064</c:v>
                </c:pt>
                <c:pt idx="26">
                  <c:v>1.3661640552465344</c:v>
                </c:pt>
                <c:pt idx="27">
                  <c:v>1.5041434544222612</c:v>
                </c:pt>
                <c:pt idx="28">
                  <c:v>1.6560255287093859</c:v>
                </c:pt>
                <c:pt idx="29">
                  <c:v>1.823211098639145</c:v>
                </c:pt>
                <c:pt idx="30">
                  <c:v>2.007242130108327</c:v>
                </c:pt>
                <c:pt idx="31">
                  <c:v>2.2098159560541899</c:v>
                </c:pt>
                <c:pt idx="32">
                  <c:v>2.4328009310920371</c:v>
                </c:pt>
                <c:pt idx="33">
                  <c:v>2.6782536634994187</c:v>
                </c:pt>
                <c:pt idx="34">
                  <c:v>2.9484379834789327</c:v>
                </c:pt>
                <c:pt idx="35">
                  <c:v>3.2458458226454323</c:v>
                </c:pt>
                <c:pt idx="36">
                  <c:v>3.5732201973108202</c:v>
                </c:pt>
                <c:pt idx="37">
                  <c:v>3.9335805075431063</c:v>
                </c:pt>
                <c:pt idx="38">
                  <c:v>4.3302503853349776</c:v>
                </c:pt>
                <c:pt idx="39">
                  <c:v>4.7668883487277647</c:v>
                </c:pt>
                <c:pt idx="40">
                  <c:v>5.2475215446162462</c:v>
                </c:pt>
                <c:pt idx="41">
                  <c:v>5.7765828914468855</c:v>
                </c:pt>
                <c:pt idx="42">
                  <c:v>6.3589519643795738</c:v>
                </c:pt>
                <c:pt idx="43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691376"/>
        <c:axId val="195691936"/>
      </c:lineChart>
      <c:catAx>
        <c:axId val="19569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691936"/>
        <c:crosses val="autoZero"/>
        <c:auto val="1"/>
        <c:lblAlgn val="ctr"/>
        <c:lblOffset val="100"/>
        <c:noMultiLvlLbl val="0"/>
      </c:catAx>
      <c:valAx>
        <c:axId val="19569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691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39</xdr:row>
      <xdr:rowOff>4762</xdr:rowOff>
    </xdr:from>
    <xdr:to>
      <xdr:col>13</xdr:col>
      <xdr:colOff>514350</xdr:colOff>
      <xdr:row>55</xdr:row>
      <xdr:rowOff>4762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4762</xdr:colOff>
      <xdr:row>9</xdr:row>
      <xdr:rowOff>4762</xdr:rowOff>
    </xdr:from>
    <xdr:to>
      <xdr:col>13</xdr:col>
      <xdr:colOff>519112</xdr:colOff>
      <xdr:row>25</xdr:row>
      <xdr:rowOff>4762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238125</xdr:colOff>
      <xdr:row>103</xdr:row>
      <xdr:rowOff>157162</xdr:rowOff>
    </xdr:from>
    <xdr:to>
      <xdr:col>25</xdr:col>
      <xdr:colOff>9525</xdr:colOff>
      <xdr:row>127</xdr:row>
      <xdr:rowOff>19050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68;&#20540;&#26694;&#26550;&#25512;&#31639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26694;&#26550;&#25512;&#3163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规划配置"/>
      <sheetName val="各种公式"/>
      <sheetName val="1、战斗节奏表"/>
      <sheetName val="2、属性成长"/>
      <sheetName val="3、总属性战斗节奏拟合"/>
      <sheetName val="4、人物躶体&amp;总属性表"/>
      <sheetName val="人物总属性查询表"/>
      <sheetName val="5、系统属性规划"/>
      <sheetName val="属性分配验证"/>
      <sheetName val="装备规划"/>
      <sheetName val="时装规划"/>
      <sheetName val="马仔规划"/>
      <sheetName val="称号规划"/>
      <sheetName val="翅膀规划"/>
      <sheetName val="龙魂规划"/>
      <sheetName val="命格规划"/>
      <sheetName val="祥云"/>
      <sheetName val="属性战斗节奏评估"/>
      <sheetName val="数值框架推算"/>
    </sheetNames>
    <definedNames>
      <definedName name="属性权重数组" refersTo="='5、系统属性规划'!$B$45:$O$53"/>
      <definedName name="总属性参考数组" refersTo="='人物总属性查询表'!$B$4:$O$103"/>
    </definedNames>
    <sheetDataSet>
      <sheetData sheetId="0">
        <row r="2">
          <cell r="B2" t="str">
            <v>无属性</v>
          </cell>
          <cell r="C2">
            <v>0</v>
          </cell>
        </row>
        <row r="3">
          <cell r="B3" t="str">
            <v>生命</v>
          </cell>
          <cell r="C3">
            <v>1</v>
          </cell>
        </row>
        <row r="4">
          <cell r="B4" t="str">
            <v>攻击</v>
          </cell>
          <cell r="C4">
            <v>2</v>
          </cell>
        </row>
        <row r="5">
          <cell r="B5" t="str">
            <v>防御</v>
          </cell>
          <cell r="C5">
            <v>3</v>
          </cell>
        </row>
        <row r="6">
          <cell r="B6" t="str">
            <v>无属性</v>
          </cell>
          <cell r="C6">
            <v>4</v>
          </cell>
        </row>
        <row r="7">
          <cell r="B7" t="str">
            <v>无属性</v>
          </cell>
          <cell r="C7">
            <v>5</v>
          </cell>
        </row>
        <row r="8">
          <cell r="B8" t="str">
            <v>命中值</v>
          </cell>
          <cell r="C8">
            <v>6</v>
          </cell>
        </row>
        <row r="9">
          <cell r="B9" t="str">
            <v>闪避值</v>
          </cell>
          <cell r="C9">
            <v>7</v>
          </cell>
        </row>
        <row r="10">
          <cell r="B10" t="str">
            <v>暴击值</v>
          </cell>
          <cell r="C10">
            <v>8</v>
          </cell>
        </row>
        <row r="11">
          <cell r="B11" t="str">
            <v>韧性值</v>
          </cell>
          <cell r="C11">
            <v>9</v>
          </cell>
        </row>
        <row r="12">
          <cell r="B12" t="str">
            <v>暴击倍数</v>
          </cell>
          <cell r="C12">
            <v>10</v>
          </cell>
        </row>
        <row r="13">
          <cell r="B13" t="str">
            <v>无属性</v>
          </cell>
          <cell r="C13">
            <v>11</v>
          </cell>
        </row>
        <row r="14">
          <cell r="B14" t="str">
            <v>生命加成</v>
          </cell>
          <cell r="C14">
            <v>21</v>
          </cell>
        </row>
        <row r="15">
          <cell r="B15" t="str">
            <v>攻击加成</v>
          </cell>
          <cell r="C15">
            <v>22</v>
          </cell>
        </row>
        <row r="16">
          <cell r="B16" t="str">
            <v>防御加成</v>
          </cell>
          <cell r="C16">
            <v>23</v>
          </cell>
        </row>
        <row r="17">
          <cell r="B17" t="str">
            <v>伤害加深</v>
          </cell>
          <cell r="C17">
            <v>24</v>
          </cell>
        </row>
        <row r="18">
          <cell r="B18" t="str">
            <v>伤害减免</v>
          </cell>
          <cell r="C18">
            <v>25</v>
          </cell>
        </row>
      </sheetData>
      <sheetData sheetId="1">
        <row r="6">
          <cell r="M6">
            <v>0.3</v>
          </cell>
        </row>
        <row r="9">
          <cell r="M9">
            <v>0.2</v>
          </cell>
        </row>
        <row r="10">
          <cell r="M10">
            <v>0.3</v>
          </cell>
        </row>
        <row r="11">
          <cell r="K11">
            <v>20000</v>
          </cell>
          <cell r="N11">
            <v>20000</v>
          </cell>
          <cell r="O11">
            <v>20000</v>
          </cell>
        </row>
        <row r="12">
          <cell r="C12" t="str">
            <v>生命</v>
          </cell>
          <cell r="D12" t="str">
            <v>攻击</v>
          </cell>
          <cell r="E12" t="str">
            <v>防御</v>
          </cell>
          <cell r="F12" t="str">
            <v>闪避值</v>
          </cell>
          <cell r="G12" t="str">
            <v>命中值</v>
          </cell>
          <cell r="H12" t="str">
            <v>暴击值</v>
          </cell>
          <cell r="I12" t="str">
            <v>暴击倍数</v>
          </cell>
          <cell r="J12" t="str">
            <v>韧性值</v>
          </cell>
          <cell r="K12" t="str">
            <v>伤害减免</v>
          </cell>
          <cell r="L12" t="str">
            <v>伤害加深</v>
          </cell>
          <cell r="M12" t="str">
            <v>生命加成</v>
          </cell>
          <cell r="N12" t="str">
            <v>攻击加成</v>
          </cell>
          <cell r="O12" t="str">
            <v>防御加成</v>
          </cell>
        </row>
        <row r="13">
          <cell r="C13">
            <v>0.04</v>
          </cell>
          <cell r="D13">
            <v>1</v>
          </cell>
          <cell r="E13">
            <v>1</v>
          </cell>
          <cell r="F13">
            <v>0.34</v>
          </cell>
          <cell r="G13">
            <v>0.34</v>
          </cell>
          <cell r="H13">
            <v>0.18</v>
          </cell>
          <cell r="I13">
            <v>0.12</v>
          </cell>
          <cell r="J13">
            <v>0.18</v>
          </cell>
          <cell r="K13">
            <v>0.3</v>
          </cell>
          <cell r="L13">
            <v>0.3</v>
          </cell>
          <cell r="M13">
            <v>0.4</v>
          </cell>
          <cell r="N13">
            <v>0.36</v>
          </cell>
          <cell r="O13">
            <v>0.24</v>
          </cell>
        </row>
      </sheetData>
      <sheetData sheetId="2"/>
      <sheetData sheetId="3"/>
      <sheetData sheetId="4"/>
      <sheetData sheetId="5"/>
      <sheetData sheetId="6">
        <row r="4">
          <cell r="B4">
            <v>1</v>
          </cell>
          <cell r="C4">
            <v>25425.628766174996</v>
          </cell>
          <cell r="D4">
            <v>6094.4400000000005</v>
          </cell>
          <cell r="E4">
            <v>2708.64</v>
          </cell>
          <cell r="F4">
            <v>625</v>
          </cell>
          <cell r="G4">
            <v>625</v>
          </cell>
          <cell r="H4">
            <v>625</v>
          </cell>
          <cell r="I4">
            <v>625</v>
          </cell>
          <cell r="J4">
            <v>625</v>
          </cell>
          <cell r="K4">
            <v>250</v>
          </cell>
          <cell r="L4">
            <v>250</v>
          </cell>
          <cell r="M4">
            <v>125.00000000000003</v>
          </cell>
          <cell r="N4">
            <v>250.00000000000006</v>
          </cell>
          <cell r="O4">
            <v>250</v>
          </cell>
        </row>
        <row r="5">
          <cell r="B5">
            <v>2</v>
          </cell>
          <cell r="C5">
            <v>29618.655904799994</v>
          </cell>
          <cell r="D5">
            <v>6648.48</v>
          </cell>
          <cell r="E5">
            <v>2954.88</v>
          </cell>
          <cell r="F5">
            <v>1250</v>
          </cell>
          <cell r="G5">
            <v>1250</v>
          </cell>
          <cell r="H5">
            <v>1250</v>
          </cell>
          <cell r="I5">
            <v>1250</v>
          </cell>
          <cell r="J5">
            <v>1250</v>
          </cell>
          <cell r="K5">
            <v>500</v>
          </cell>
          <cell r="L5">
            <v>500</v>
          </cell>
          <cell r="M5">
            <v>250.00000000000006</v>
          </cell>
          <cell r="N5">
            <v>500.00000000000011</v>
          </cell>
          <cell r="O5">
            <v>500</v>
          </cell>
        </row>
        <row r="6">
          <cell r="B6">
            <v>3</v>
          </cell>
          <cell r="C6">
            <v>34125.023295675004</v>
          </cell>
          <cell r="D6">
            <v>7202.5199999999995</v>
          </cell>
          <cell r="E6">
            <v>3201.12</v>
          </cell>
          <cell r="F6">
            <v>1875</v>
          </cell>
          <cell r="G6">
            <v>1875</v>
          </cell>
          <cell r="H6">
            <v>1875</v>
          </cell>
          <cell r="I6">
            <v>1875</v>
          </cell>
          <cell r="J6">
            <v>1875</v>
          </cell>
          <cell r="K6">
            <v>750</v>
          </cell>
          <cell r="L6">
            <v>750</v>
          </cell>
          <cell r="M6">
            <v>375</v>
          </cell>
          <cell r="N6">
            <v>750</v>
          </cell>
          <cell r="O6">
            <v>750</v>
          </cell>
        </row>
        <row r="7">
          <cell r="B7">
            <v>4</v>
          </cell>
          <cell r="C7">
            <v>38944.673644799994</v>
          </cell>
          <cell r="D7">
            <v>7756.5599999999986</v>
          </cell>
          <cell r="E7">
            <v>3447.36</v>
          </cell>
          <cell r="F7">
            <v>2500</v>
          </cell>
          <cell r="G7">
            <v>2500</v>
          </cell>
          <cell r="H7">
            <v>2500</v>
          </cell>
          <cell r="I7">
            <v>2500</v>
          </cell>
          <cell r="J7">
            <v>2500</v>
          </cell>
          <cell r="K7">
            <v>1000</v>
          </cell>
          <cell r="L7">
            <v>1000</v>
          </cell>
          <cell r="M7">
            <v>500.00000000000011</v>
          </cell>
          <cell r="N7">
            <v>1000.0000000000002</v>
          </cell>
          <cell r="O7">
            <v>1000</v>
          </cell>
        </row>
        <row r="8">
          <cell r="B8">
            <v>5</v>
          </cell>
          <cell r="C8">
            <v>44077.550484375002</v>
          </cell>
          <cell r="D8">
            <v>8310.6</v>
          </cell>
          <cell r="E8">
            <v>3693.6</v>
          </cell>
          <cell r="F8">
            <v>3125</v>
          </cell>
          <cell r="G8">
            <v>3125</v>
          </cell>
          <cell r="H8">
            <v>3125</v>
          </cell>
          <cell r="I8">
            <v>3125</v>
          </cell>
          <cell r="J8">
            <v>3125</v>
          </cell>
          <cell r="K8">
            <v>1250</v>
          </cell>
          <cell r="L8">
            <v>1250</v>
          </cell>
          <cell r="M8">
            <v>625</v>
          </cell>
          <cell r="N8">
            <v>1250</v>
          </cell>
          <cell r="O8">
            <v>1250</v>
          </cell>
        </row>
        <row r="9">
          <cell r="B9">
            <v>6</v>
          </cell>
          <cell r="C9">
            <v>49512.78307926</v>
          </cell>
          <cell r="D9">
            <v>8864.64</v>
          </cell>
          <cell r="E9">
            <v>3939.8399999999997</v>
          </cell>
          <cell r="F9">
            <v>3750</v>
          </cell>
          <cell r="G9">
            <v>3750</v>
          </cell>
          <cell r="H9">
            <v>3750</v>
          </cell>
          <cell r="I9">
            <v>3750</v>
          </cell>
          <cell r="J9">
            <v>3750</v>
          </cell>
          <cell r="K9">
            <v>1500</v>
          </cell>
          <cell r="L9">
            <v>1500</v>
          </cell>
          <cell r="M9">
            <v>750</v>
          </cell>
          <cell r="N9">
            <v>1500</v>
          </cell>
          <cell r="O9">
            <v>1500</v>
          </cell>
        </row>
        <row r="10">
          <cell r="B10">
            <v>7</v>
          </cell>
          <cell r="C10">
            <v>55265.575387068035</v>
          </cell>
          <cell r="D10">
            <v>9418.6799999999985</v>
          </cell>
          <cell r="E10">
            <v>4186.08</v>
          </cell>
          <cell r="F10">
            <v>4375</v>
          </cell>
          <cell r="G10">
            <v>4375</v>
          </cell>
          <cell r="H10">
            <v>4375</v>
          </cell>
          <cell r="I10">
            <v>4375</v>
          </cell>
          <cell r="J10">
            <v>4375</v>
          </cell>
          <cell r="K10">
            <v>1750</v>
          </cell>
          <cell r="L10">
            <v>1750</v>
          </cell>
          <cell r="M10">
            <v>874.99999999999977</v>
          </cell>
          <cell r="N10">
            <v>1749.9999999999995</v>
          </cell>
          <cell r="O10">
            <v>1750</v>
          </cell>
        </row>
        <row r="11">
          <cell r="B11">
            <v>8</v>
          </cell>
          <cell r="C11">
            <v>61329.28024367999</v>
          </cell>
          <cell r="D11">
            <v>9972.7199999999975</v>
          </cell>
          <cell r="E11">
            <v>4432.32</v>
          </cell>
          <cell r="F11">
            <v>5000</v>
          </cell>
          <cell r="G11">
            <v>5000</v>
          </cell>
          <cell r="H11">
            <v>5000</v>
          </cell>
          <cell r="I11">
            <v>5000</v>
          </cell>
          <cell r="J11">
            <v>5000</v>
          </cell>
          <cell r="K11">
            <v>2000</v>
          </cell>
          <cell r="L11">
            <v>2000</v>
          </cell>
          <cell r="M11">
            <v>1000.0000000000002</v>
          </cell>
          <cell r="N11">
            <v>2000.0000000000005</v>
          </cell>
          <cell r="O11">
            <v>2000</v>
          </cell>
        </row>
        <row r="12">
          <cell r="B12">
            <v>9</v>
          </cell>
          <cell r="C12">
            <v>67694.683268459674</v>
          </cell>
          <cell r="D12">
            <v>10526.76</v>
          </cell>
          <cell r="E12">
            <v>4678.5599999999995</v>
          </cell>
          <cell r="F12">
            <v>5625</v>
          </cell>
          <cell r="G12">
            <v>5625</v>
          </cell>
          <cell r="H12">
            <v>5625</v>
          </cell>
          <cell r="I12">
            <v>5625</v>
          </cell>
          <cell r="J12">
            <v>5625</v>
          </cell>
          <cell r="K12">
            <v>2250.0000000000005</v>
          </cell>
          <cell r="L12">
            <v>2250.0000000000005</v>
          </cell>
          <cell r="M12">
            <v>1125</v>
          </cell>
          <cell r="N12">
            <v>2250</v>
          </cell>
          <cell r="O12">
            <v>2250.0000000000005</v>
          </cell>
        </row>
        <row r="13">
          <cell r="B13">
            <v>10</v>
          </cell>
          <cell r="C13">
            <v>74366.304487092377</v>
          </cell>
          <cell r="D13">
            <v>11080.800000000001</v>
          </cell>
          <cell r="E13">
            <v>4924.8</v>
          </cell>
          <cell r="F13">
            <v>6250</v>
          </cell>
          <cell r="G13">
            <v>6250</v>
          </cell>
          <cell r="H13">
            <v>6250</v>
          </cell>
          <cell r="I13">
            <v>6250</v>
          </cell>
          <cell r="J13">
            <v>6250</v>
          </cell>
          <cell r="K13">
            <v>2500</v>
          </cell>
          <cell r="L13">
            <v>2500</v>
          </cell>
          <cell r="M13">
            <v>1250</v>
          </cell>
          <cell r="N13">
            <v>2500</v>
          </cell>
          <cell r="O13">
            <v>2500</v>
          </cell>
        </row>
        <row r="14">
          <cell r="B14">
            <v>11</v>
          </cell>
          <cell r="C14">
            <v>81342.982152175478</v>
          </cell>
          <cell r="D14">
            <v>11634.839999999997</v>
          </cell>
          <cell r="E14">
            <v>5171.0399999999981</v>
          </cell>
          <cell r="F14">
            <v>6875</v>
          </cell>
          <cell r="G14">
            <v>6875</v>
          </cell>
          <cell r="H14">
            <v>6875</v>
          </cell>
          <cell r="I14">
            <v>6875.0000000000009</v>
          </cell>
          <cell r="J14">
            <v>6875</v>
          </cell>
          <cell r="K14">
            <v>2750</v>
          </cell>
          <cell r="L14">
            <v>2750</v>
          </cell>
          <cell r="M14">
            <v>1375</v>
          </cell>
          <cell r="N14">
            <v>2750</v>
          </cell>
          <cell r="O14">
            <v>2750</v>
          </cell>
        </row>
        <row r="15">
          <cell r="B15">
            <v>12</v>
          </cell>
          <cell r="C15">
            <v>88623.487211102605</v>
          </cell>
          <cell r="D15">
            <v>12188.880000000001</v>
          </cell>
          <cell r="E15">
            <v>5417.28</v>
          </cell>
          <cell r="F15">
            <v>7500</v>
          </cell>
          <cell r="G15">
            <v>7500</v>
          </cell>
          <cell r="H15">
            <v>7500</v>
          </cell>
          <cell r="I15">
            <v>7500</v>
          </cell>
          <cell r="J15">
            <v>7500</v>
          </cell>
          <cell r="K15">
            <v>3000</v>
          </cell>
          <cell r="L15">
            <v>3000</v>
          </cell>
          <cell r="M15">
            <v>1500</v>
          </cell>
          <cell r="N15">
            <v>3000</v>
          </cell>
          <cell r="O15">
            <v>3000</v>
          </cell>
        </row>
        <row r="16">
          <cell r="B16">
            <v>13</v>
          </cell>
          <cell r="C16">
            <v>96206.524707572564</v>
          </cell>
          <cell r="D16">
            <v>12742.92</v>
          </cell>
          <cell r="E16">
            <v>5663.5199999999995</v>
          </cell>
          <cell r="F16">
            <v>8125</v>
          </cell>
          <cell r="G16">
            <v>8125</v>
          </cell>
          <cell r="H16">
            <v>8125</v>
          </cell>
          <cell r="I16">
            <v>8125</v>
          </cell>
          <cell r="J16">
            <v>8125</v>
          </cell>
          <cell r="K16">
            <v>3250</v>
          </cell>
          <cell r="L16">
            <v>3250</v>
          </cell>
          <cell r="M16">
            <v>1625</v>
          </cell>
          <cell r="N16">
            <v>3250</v>
          </cell>
          <cell r="O16">
            <v>3250</v>
          </cell>
        </row>
        <row r="17">
          <cell r="B17">
            <v>14</v>
          </cell>
          <cell r="C17">
            <v>104090.73518309872</v>
          </cell>
          <cell r="D17">
            <v>13296.960000000001</v>
          </cell>
          <cell r="E17">
            <v>5909.76</v>
          </cell>
          <cell r="F17">
            <v>8750</v>
          </cell>
          <cell r="G17">
            <v>8750</v>
          </cell>
          <cell r="H17">
            <v>8750</v>
          </cell>
          <cell r="I17">
            <v>8750</v>
          </cell>
          <cell r="J17">
            <v>8750</v>
          </cell>
          <cell r="K17">
            <v>3500</v>
          </cell>
          <cell r="L17">
            <v>3500</v>
          </cell>
          <cell r="M17">
            <v>1749.9999999999995</v>
          </cell>
          <cell r="N17">
            <v>3499.9999999999991</v>
          </cell>
          <cell r="O17">
            <v>3500</v>
          </cell>
        </row>
        <row r="18">
          <cell r="B18">
            <v>15</v>
          </cell>
          <cell r="C18">
            <v>112274.69607851775</v>
          </cell>
          <cell r="D18">
            <v>13851</v>
          </cell>
          <cell r="E18">
            <v>6156</v>
          </cell>
          <cell r="F18">
            <v>9375</v>
          </cell>
          <cell r="G18">
            <v>9375</v>
          </cell>
          <cell r="H18">
            <v>9375</v>
          </cell>
          <cell r="I18">
            <v>9375</v>
          </cell>
          <cell r="J18">
            <v>9375</v>
          </cell>
          <cell r="K18">
            <v>3750</v>
          </cell>
          <cell r="L18">
            <v>3750</v>
          </cell>
          <cell r="M18">
            <v>1875.0000000000002</v>
          </cell>
          <cell r="N18">
            <v>3750.0000000000005</v>
          </cell>
          <cell r="O18">
            <v>3750</v>
          </cell>
        </row>
        <row r="19">
          <cell r="B19">
            <v>16</v>
          </cell>
          <cell r="C19">
            <v>120756.92313549915</v>
          </cell>
          <cell r="D19">
            <v>14405.039999999999</v>
          </cell>
          <cell r="E19">
            <v>6402.24</v>
          </cell>
          <cell r="F19">
            <v>10000</v>
          </cell>
          <cell r="G19">
            <v>10000</v>
          </cell>
          <cell r="H19">
            <v>10000</v>
          </cell>
          <cell r="I19">
            <v>10000</v>
          </cell>
          <cell r="J19">
            <v>10000</v>
          </cell>
          <cell r="K19">
            <v>4000</v>
          </cell>
          <cell r="L19">
            <v>4000</v>
          </cell>
          <cell r="M19">
            <v>2000.0000000000005</v>
          </cell>
          <cell r="N19">
            <v>4000.0000000000009</v>
          </cell>
          <cell r="O19">
            <v>4000</v>
          </cell>
        </row>
        <row r="20">
          <cell r="B20">
            <v>17</v>
          </cell>
          <cell r="C20">
            <v>129535.87179805394</v>
          </cell>
          <cell r="D20">
            <v>14959.08</v>
          </cell>
          <cell r="E20">
            <v>6648.4800000000005</v>
          </cell>
          <cell r="F20">
            <v>10625</v>
          </cell>
          <cell r="G20">
            <v>10625</v>
          </cell>
          <cell r="H20">
            <v>10625</v>
          </cell>
          <cell r="I20">
            <v>10625</v>
          </cell>
          <cell r="J20">
            <v>10625</v>
          </cell>
          <cell r="K20">
            <v>4250</v>
          </cell>
          <cell r="L20">
            <v>4250</v>
          </cell>
          <cell r="M20">
            <v>2125</v>
          </cell>
          <cell r="N20">
            <v>4250</v>
          </cell>
          <cell r="O20">
            <v>4250</v>
          </cell>
        </row>
        <row r="21">
          <cell r="B21">
            <v>18</v>
          </cell>
          <cell r="C21">
            <v>138609.93861404416</v>
          </cell>
          <cell r="D21">
            <v>15513.120000000004</v>
          </cell>
          <cell r="E21">
            <v>6894.720000000003</v>
          </cell>
          <cell r="F21">
            <v>11250</v>
          </cell>
          <cell r="G21">
            <v>11250</v>
          </cell>
          <cell r="H21">
            <v>11250</v>
          </cell>
          <cell r="I21">
            <v>11250</v>
          </cell>
          <cell r="J21">
            <v>11250</v>
          </cell>
          <cell r="K21">
            <v>4500.0000000000009</v>
          </cell>
          <cell r="L21">
            <v>4500.0000000000009</v>
          </cell>
          <cell r="M21">
            <v>2250</v>
          </cell>
          <cell r="N21">
            <v>4500</v>
          </cell>
          <cell r="O21">
            <v>4500.0000000000009</v>
          </cell>
        </row>
        <row r="22">
          <cell r="B22">
            <v>19</v>
          </cell>
          <cell r="C22">
            <v>147977.46263669149</v>
          </cell>
          <cell r="D22">
            <v>16067.160000000003</v>
          </cell>
          <cell r="E22">
            <v>7140.9600000000019</v>
          </cell>
          <cell r="F22">
            <v>11875</v>
          </cell>
          <cell r="G22">
            <v>11875</v>
          </cell>
          <cell r="H22">
            <v>11875</v>
          </cell>
          <cell r="I22">
            <v>11875</v>
          </cell>
          <cell r="J22">
            <v>11875</v>
          </cell>
          <cell r="K22">
            <v>4750</v>
          </cell>
          <cell r="L22">
            <v>4750</v>
          </cell>
          <cell r="M22">
            <v>2375</v>
          </cell>
          <cell r="N22">
            <v>4750</v>
          </cell>
          <cell r="O22">
            <v>4750</v>
          </cell>
        </row>
        <row r="23">
          <cell r="B23">
            <v>20</v>
          </cell>
          <cell r="C23">
            <v>157636.72682608696</v>
          </cell>
          <cell r="D23">
            <v>16621.2</v>
          </cell>
          <cell r="E23">
            <v>7387.2000000000007</v>
          </cell>
          <cell r="F23">
            <v>12500</v>
          </cell>
          <cell r="G23">
            <v>12500</v>
          </cell>
          <cell r="H23">
            <v>12500</v>
          </cell>
          <cell r="I23">
            <v>12500</v>
          </cell>
          <cell r="J23">
            <v>12500</v>
          </cell>
          <cell r="K23">
            <v>5000</v>
          </cell>
          <cell r="L23">
            <v>5000</v>
          </cell>
          <cell r="M23">
            <v>2500</v>
          </cell>
          <cell r="N23">
            <v>5000</v>
          </cell>
          <cell r="O23">
            <v>5000</v>
          </cell>
        </row>
        <row r="24">
          <cell r="B24">
            <v>21</v>
          </cell>
          <cell r="C24">
            <v>167585.95945069948</v>
          </cell>
          <cell r="D24">
            <v>17175.240000000002</v>
          </cell>
          <cell r="E24">
            <v>7633.4400000000014</v>
          </cell>
          <cell r="F24">
            <v>13125</v>
          </cell>
          <cell r="G24">
            <v>13125</v>
          </cell>
          <cell r="H24">
            <v>13125</v>
          </cell>
          <cell r="I24">
            <v>13125</v>
          </cell>
          <cell r="J24">
            <v>13125</v>
          </cell>
          <cell r="K24">
            <v>5250</v>
          </cell>
          <cell r="L24">
            <v>5250</v>
          </cell>
          <cell r="M24">
            <v>2625</v>
          </cell>
          <cell r="N24">
            <v>5250</v>
          </cell>
          <cell r="O24">
            <v>5250</v>
          </cell>
        </row>
        <row r="25">
          <cell r="B25">
            <v>22</v>
          </cell>
          <cell r="C25">
            <v>177823.33548888523</v>
          </cell>
          <cell r="D25">
            <v>17729.280000000002</v>
          </cell>
          <cell r="E25">
            <v>7879.68</v>
          </cell>
          <cell r="F25">
            <v>13750</v>
          </cell>
          <cell r="G25">
            <v>13750</v>
          </cell>
          <cell r="H25">
            <v>13750</v>
          </cell>
          <cell r="I25">
            <v>13750.000000000002</v>
          </cell>
          <cell r="J25">
            <v>13750</v>
          </cell>
          <cell r="K25">
            <v>5500</v>
          </cell>
          <cell r="L25">
            <v>5500</v>
          </cell>
          <cell r="M25">
            <v>2750</v>
          </cell>
          <cell r="N25">
            <v>5500</v>
          </cell>
          <cell r="O25">
            <v>5500</v>
          </cell>
        </row>
        <row r="26">
          <cell r="B26">
            <v>23</v>
          </cell>
          <cell r="C26">
            <v>188311.53354048342</v>
          </cell>
          <cell r="D26">
            <v>18283.320000000007</v>
          </cell>
          <cell r="E26">
            <v>8125.9200000000028</v>
          </cell>
          <cell r="F26">
            <v>14375</v>
          </cell>
          <cell r="G26">
            <v>14375</v>
          </cell>
          <cell r="H26">
            <v>14375</v>
          </cell>
          <cell r="I26">
            <v>14374.999999999998</v>
          </cell>
          <cell r="J26">
            <v>14375</v>
          </cell>
          <cell r="K26">
            <v>5750</v>
          </cell>
          <cell r="L26">
            <v>5750</v>
          </cell>
          <cell r="M26">
            <v>2875</v>
          </cell>
          <cell r="N26">
            <v>5750</v>
          </cell>
          <cell r="O26">
            <v>5750</v>
          </cell>
        </row>
        <row r="27">
          <cell r="B27">
            <v>24</v>
          </cell>
          <cell r="C27">
            <v>199076.94354989222</v>
          </cell>
          <cell r="D27">
            <v>18837.360000000004</v>
          </cell>
          <cell r="E27">
            <v>8372.1600000000017</v>
          </cell>
          <cell r="F27">
            <v>15000</v>
          </cell>
          <cell r="G27">
            <v>15000</v>
          </cell>
          <cell r="H27">
            <v>15000</v>
          </cell>
          <cell r="I27">
            <v>15000</v>
          </cell>
          <cell r="J27">
            <v>15000</v>
          </cell>
          <cell r="K27">
            <v>6000</v>
          </cell>
          <cell r="L27">
            <v>6000</v>
          </cell>
          <cell r="M27">
            <v>3000</v>
          </cell>
          <cell r="N27">
            <v>6000</v>
          </cell>
          <cell r="O27">
            <v>6000</v>
          </cell>
        </row>
        <row r="28">
          <cell r="B28">
            <v>25</v>
          </cell>
          <cell r="C28">
            <v>210116.94081743428</v>
          </cell>
          <cell r="D28">
            <v>19391.400000000009</v>
          </cell>
          <cell r="E28">
            <v>8618.4000000000033</v>
          </cell>
          <cell r="F28">
            <v>15625</v>
          </cell>
          <cell r="G28">
            <v>15625</v>
          </cell>
          <cell r="H28">
            <v>15625</v>
          </cell>
          <cell r="I28">
            <v>15625</v>
          </cell>
          <cell r="J28">
            <v>15625</v>
          </cell>
          <cell r="K28">
            <v>6250</v>
          </cell>
          <cell r="L28">
            <v>6250</v>
          </cell>
          <cell r="M28">
            <v>3125</v>
          </cell>
          <cell r="N28">
            <v>6250</v>
          </cell>
          <cell r="O28">
            <v>6250</v>
          </cell>
        </row>
        <row r="29">
          <cell r="B29">
            <v>26</v>
          </cell>
          <cell r="C29">
            <v>221389.90491364009</v>
          </cell>
          <cell r="D29">
            <v>19945.440000000006</v>
          </cell>
          <cell r="E29">
            <v>8864.6400000000031</v>
          </cell>
          <cell r="F29">
            <v>16250</v>
          </cell>
          <cell r="G29">
            <v>16250</v>
          </cell>
          <cell r="H29">
            <v>16250</v>
          </cell>
          <cell r="I29">
            <v>16250</v>
          </cell>
          <cell r="J29">
            <v>16250</v>
          </cell>
          <cell r="K29">
            <v>6500</v>
          </cell>
          <cell r="L29">
            <v>6500</v>
          </cell>
          <cell r="M29">
            <v>3250</v>
          </cell>
          <cell r="N29">
            <v>6500</v>
          </cell>
          <cell r="O29">
            <v>6500</v>
          </cell>
        </row>
        <row r="30">
          <cell r="B30">
            <v>27</v>
          </cell>
          <cell r="C30">
            <v>232924.97228763651</v>
          </cell>
          <cell r="D30">
            <v>20499.480000000003</v>
          </cell>
          <cell r="E30">
            <v>9110.8800000000028</v>
          </cell>
          <cell r="F30">
            <v>16875</v>
          </cell>
          <cell r="G30">
            <v>16875</v>
          </cell>
          <cell r="H30">
            <v>16875</v>
          </cell>
          <cell r="I30">
            <v>16875</v>
          </cell>
          <cell r="J30">
            <v>16875</v>
          </cell>
          <cell r="K30">
            <v>6750</v>
          </cell>
          <cell r="L30">
            <v>6750</v>
          </cell>
          <cell r="M30">
            <v>3375</v>
          </cell>
          <cell r="N30">
            <v>6750</v>
          </cell>
          <cell r="O30">
            <v>6750</v>
          </cell>
        </row>
        <row r="31">
          <cell r="B31">
            <v>28</v>
          </cell>
          <cell r="C31">
            <v>244718.74472388739</v>
          </cell>
          <cell r="D31">
            <v>21053.520000000008</v>
          </cell>
          <cell r="E31">
            <v>9357.1200000000026</v>
          </cell>
          <cell r="F31">
            <v>17500</v>
          </cell>
          <cell r="G31">
            <v>17500</v>
          </cell>
          <cell r="H31">
            <v>17500</v>
          </cell>
          <cell r="I31">
            <v>17500</v>
          </cell>
          <cell r="J31">
            <v>17500</v>
          </cell>
          <cell r="K31">
            <v>7000</v>
          </cell>
          <cell r="L31">
            <v>7000</v>
          </cell>
          <cell r="M31">
            <v>3499.9999999999991</v>
          </cell>
          <cell r="N31">
            <v>6999.9999999999982</v>
          </cell>
          <cell r="O31">
            <v>7000</v>
          </cell>
        </row>
        <row r="32">
          <cell r="B32">
            <v>29</v>
          </cell>
          <cell r="C32">
            <v>256767.74642320591</v>
          </cell>
          <cell r="D32">
            <v>21607.560000000005</v>
          </cell>
          <cell r="E32">
            <v>9603.3600000000024</v>
          </cell>
          <cell r="F32">
            <v>18125</v>
          </cell>
          <cell r="G32">
            <v>18125</v>
          </cell>
          <cell r="H32">
            <v>18125</v>
          </cell>
          <cell r="I32">
            <v>18125</v>
          </cell>
          <cell r="J32">
            <v>18125</v>
          </cell>
          <cell r="K32">
            <v>7250</v>
          </cell>
          <cell r="L32">
            <v>7250</v>
          </cell>
          <cell r="M32">
            <v>3624.9999999999995</v>
          </cell>
          <cell r="N32">
            <v>7249.9999999999991</v>
          </cell>
          <cell r="O32">
            <v>7250</v>
          </cell>
        </row>
        <row r="33">
          <cell r="B33">
            <v>30</v>
          </cell>
          <cell r="C33">
            <v>272431.78170420078</v>
          </cell>
          <cell r="D33">
            <v>22438.62000000001</v>
          </cell>
          <cell r="E33">
            <v>9972.720000000003</v>
          </cell>
          <cell r="F33">
            <v>18750</v>
          </cell>
          <cell r="G33">
            <v>18750</v>
          </cell>
          <cell r="H33">
            <v>18750</v>
          </cell>
          <cell r="I33">
            <v>18750</v>
          </cell>
          <cell r="J33">
            <v>18750</v>
          </cell>
          <cell r="K33">
            <v>7500</v>
          </cell>
          <cell r="L33">
            <v>7500</v>
          </cell>
          <cell r="M33">
            <v>3750.0000000000005</v>
          </cell>
          <cell r="N33">
            <v>7500.0000000000009</v>
          </cell>
          <cell r="O33">
            <v>7500</v>
          </cell>
        </row>
        <row r="34">
          <cell r="B34">
            <v>31</v>
          </cell>
          <cell r="C34">
            <v>288485.87196386803</v>
          </cell>
          <cell r="D34">
            <v>23269.680000000004</v>
          </cell>
          <cell r="E34">
            <v>10342.08</v>
          </cell>
          <cell r="F34">
            <v>19375</v>
          </cell>
          <cell r="G34">
            <v>19375</v>
          </cell>
          <cell r="H34">
            <v>19375</v>
          </cell>
          <cell r="I34">
            <v>19375</v>
          </cell>
          <cell r="J34">
            <v>19375</v>
          </cell>
          <cell r="K34">
            <v>7750</v>
          </cell>
          <cell r="L34">
            <v>7750</v>
          </cell>
          <cell r="M34">
            <v>3875.0000000000005</v>
          </cell>
          <cell r="N34">
            <v>7750.0000000000009</v>
          </cell>
          <cell r="O34">
            <v>7750</v>
          </cell>
        </row>
        <row r="35">
          <cell r="B35">
            <v>32</v>
          </cell>
          <cell r="C35">
            <v>304922.24811464932</v>
          </cell>
          <cell r="D35">
            <v>24100.740000000013</v>
          </cell>
          <cell r="E35">
            <v>10711.440000000006</v>
          </cell>
          <cell r="F35">
            <v>20000</v>
          </cell>
          <cell r="G35">
            <v>20000</v>
          </cell>
          <cell r="H35">
            <v>20000</v>
          </cell>
          <cell r="I35">
            <v>20000</v>
          </cell>
          <cell r="J35">
            <v>20000</v>
          </cell>
          <cell r="K35">
            <v>8000</v>
          </cell>
          <cell r="L35">
            <v>8000</v>
          </cell>
          <cell r="M35">
            <v>4000.0000000000009</v>
          </cell>
          <cell r="N35">
            <v>8000.0000000000018</v>
          </cell>
          <cell r="O35">
            <v>8000</v>
          </cell>
        </row>
        <row r="36">
          <cell r="B36">
            <v>33</v>
          </cell>
          <cell r="C36">
            <v>321737.88910271024</v>
          </cell>
          <cell r="D36">
            <v>24931.800000000007</v>
          </cell>
          <cell r="E36">
            <v>11080.800000000003</v>
          </cell>
          <cell r="F36">
            <v>20625</v>
          </cell>
          <cell r="G36">
            <v>20625</v>
          </cell>
          <cell r="H36">
            <v>20625</v>
          </cell>
          <cell r="I36">
            <v>20625</v>
          </cell>
          <cell r="J36">
            <v>20625</v>
          </cell>
          <cell r="K36">
            <v>8250</v>
          </cell>
          <cell r="L36">
            <v>8250</v>
          </cell>
          <cell r="M36">
            <v>4125</v>
          </cell>
          <cell r="N36">
            <v>8250</v>
          </cell>
          <cell r="O36">
            <v>8250</v>
          </cell>
        </row>
        <row r="37">
          <cell r="B37">
            <v>34</v>
          </cell>
          <cell r="C37">
            <v>338927.42981737189</v>
          </cell>
          <cell r="D37">
            <v>25762.86</v>
          </cell>
          <cell r="E37">
            <v>11450.16</v>
          </cell>
          <cell r="F37">
            <v>21250</v>
          </cell>
          <cell r="G37">
            <v>21250</v>
          </cell>
          <cell r="H37">
            <v>21250</v>
          </cell>
          <cell r="I37">
            <v>21250</v>
          </cell>
          <cell r="J37">
            <v>21250</v>
          </cell>
          <cell r="K37">
            <v>8500</v>
          </cell>
          <cell r="L37">
            <v>8500</v>
          </cell>
          <cell r="M37">
            <v>4250</v>
          </cell>
          <cell r="N37">
            <v>8500</v>
          </cell>
          <cell r="O37">
            <v>8500</v>
          </cell>
        </row>
        <row r="38">
          <cell r="B38">
            <v>35</v>
          </cell>
          <cell r="C38">
            <v>356485.39997194981</v>
          </cell>
          <cell r="D38">
            <v>26593.920000000009</v>
          </cell>
          <cell r="E38">
            <v>11819.520000000002</v>
          </cell>
          <cell r="F38">
            <v>21875</v>
          </cell>
          <cell r="G38">
            <v>21875</v>
          </cell>
          <cell r="H38">
            <v>21875</v>
          </cell>
          <cell r="I38">
            <v>21875</v>
          </cell>
          <cell r="J38">
            <v>21875</v>
          </cell>
          <cell r="K38">
            <v>8750.0000000000018</v>
          </cell>
          <cell r="L38">
            <v>8750.0000000000018</v>
          </cell>
          <cell r="M38">
            <v>4375</v>
          </cell>
          <cell r="N38">
            <v>8750</v>
          </cell>
          <cell r="O38">
            <v>8750.0000000000018</v>
          </cell>
        </row>
        <row r="39">
          <cell r="B39">
            <v>36</v>
          </cell>
          <cell r="C39">
            <v>374406.22768834064</v>
          </cell>
          <cell r="D39">
            <v>27424.98</v>
          </cell>
          <cell r="E39">
            <v>12188.880000000003</v>
          </cell>
          <cell r="F39">
            <v>22500</v>
          </cell>
          <cell r="G39">
            <v>22500</v>
          </cell>
          <cell r="H39">
            <v>22500</v>
          </cell>
          <cell r="I39">
            <v>22500</v>
          </cell>
          <cell r="J39">
            <v>22500</v>
          </cell>
          <cell r="K39">
            <v>9000.0000000000018</v>
          </cell>
          <cell r="L39">
            <v>9000.0000000000018</v>
          </cell>
          <cell r="M39">
            <v>4500</v>
          </cell>
          <cell r="N39">
            <v>9000</v>
          </cell>
          <cell r="O39">
            <v>9000.0000000000018</v>
          </cell>
        </row>
        <row r="40">
          <cell r="B40">
            <v>37</v>
          </cell>
          <cell r="C40">
            <v>392684.24308161181</v>
          </cell>
          <cell r="D40">
            <v>28256.040000000008</v>
          </cell>
          <cell r="E40">
            <v>12558.240000000003</v>
          </cell>
          <cell r="F40">
            <v>23125</v>
          </cell>
          <cell r="G40">
            <v>23125</v>
          </cell>
          <cell r="H40">
            <v>23125</v>
          </cell>
          <cell r="I40">
            <v>23125</v>
          </cell>
          <cell r="J40">
            <v>23125</v>
          </cell>
          <cell r="K40">
            <v>9250.0000000000018</v>
          </cell>
          <cell r="L40">
            <v>9250.0000000000018</v>
          </cell>
          <cell r="M40">
            <v>4625</v>
          </cell>
          <cell r="N40">
            <v>9250</v>
          </cell>
          <cell r="O40">
            <v>9250.0000000000018</v>
          </cell>
        </row>
        <row r="41">
          <cell r="B41">
            <v>38</v>
          </cell>
          <cell r="C41">
            <v>411313.68184458802</v>
          </cell>
          <cell r="D41">
            <v>29087.100000000006</v>
          </cell>
          <cell r="E41">
            <v>12927.600000000002</v>
          </cell>
          <cell r="F41">
            <v>23750</v>
          </cell>
          <cell r="G41">
            <v>23750</v>
          </cell>
          <cell r="H41">
            <v>23750</v>
          </cell>
          <cell r="I41">
            <v>23750</v>
          </cell>
          <cell r="J41">
            <v>23750</v>
          </cell>
          <cell r="K41">
            <v>9500</v>
          </cell>
          <cell r="L41">
            <v>9500</v>
          </cell>
          <cell r="M41">
            <v>4750</v>
          </cell>
          <cell r="N41">
            <v>9500</v>
          </cell>
          <cell r="O41">
            <v>9500</v>
          </cell>
        </row>
        <row r="42">
          <cell r="B42">
            <v>39</v>
          </cell>
          <cell r="C42">
            <v>430288.68883244053</v>
          </cell>
          <cell r="D42">
            <v>29918.16</v>
          </cell>
          <cell r="E42">
            <v>13296.960000000001</v>
          </cell>
          <cell r="F42">
            <v>24375</v>
          </cell>
          <cell r="G42">
            <v>24375</v>
          </cell>
          <cell r="H42">
            <v>24375</v>
          </cell>
          <cell r="I42">
            <v>24375</v>
          </cell>
          <cell r="J42">
            <v>24375</v>
          </cell>
          <cell r="K42">
            <v>9750</v>
          </cell>
          <cell r="L42">
            <v>9750</v>
          </cell>
          <cell r="M42">
            <v>4875</v>
          </cell>
          <cell r="N42">
            <v>9750</v>
          </cell>
          <cell r="O42">
            <v>9750</v>
          </cell>
        </row>
        <row r="43">
          <cell r="B43">
            <v>40</v>
          </cell>
          <cell r="C43">
            <v>453653.80202247505</v>
          </cell>
          <cell r="D43">
            <v>31026.240000000009</v>
          </cell>
          <cell r="E43">
            <v>13789.440000000006</v>
          </cell>
          <cell r="F43">
            <v>25000</v>
          </cell>
          <cell r="G43">
            <v>25000</v>
          </cell>
          <cell r="H43">
            <v>25000</v>
          </cell>
          <cell r="I43">
            <v>25000</v>
          </cell>
          <cell r="J43">
            <v>25000</v>
          </cell>
          <cell r="K43">
            <v>10000</v>
          </cell>
          <cell r="L43">
            <v>10000</v>
          </cell>
          <cell r="M43">
            <v>5000</v>
          </cell>
          <cell r="N43">
            <v>10000</v>
          </cell>
          <cell r="O43">
            <v>10000</v>
          </cell>
        </row>
        <row r="44">
          <cell r="B44">
            <v>41</v>
          </cell>
          <cell r="C44">
            <v>477484.03763013281</v>
          </cell>
          <cell r="D44">
            <v>32134.320000000007</v>
          </cell>
          <cell r="E44">
            <v>14281.920000000004</v>
          </cell>
          <cell r="F44">
            <v>25625</v>
          </cell>
          <cell r="G44">
            <v>25625</v>
          </cell>
          <cell r="H44">
            <v>25625</v>
          </cell>
          <cell r="I44">
            <v>25624.999999999996</v>
          </cell>
          <cell r="J44">
            <v>25625</v>
          </cell>
          <cell r="K44">
            <v>10250</v>
          </cell>
          <cell r="L44">
            <v>10250</v>
          </cell>
          <cell r="M44">
            <v>5125</v>
          </cell>
          <cell r="N44">
            <v>10250</v>
          </cell>
          <cell r="O44">
            <v>10250</v>
          </cell>
        </row>
        <row r="45">
          <cell r="B45">
            <v>42</v>
          </cell>
          <cell r="C45">
            <v>501771.5696497485</v>
          </cell>
          <cell r="D45">
            <v>33242.400000000016</v>
          </cell>
          <cell r="E45">
            <v>14774.400000000005</v>
          </cell>
          <cell r="F45">
            <v>26250</v>
          </cell>
          <cell r="G45">
            <v>26250</v>
          </cell>
          <cell r="H45">
            <v>26250</v>
          </cell>
          <cell r="I45">
            <v>26250</v>
          </cell>
          <cell r="J45">
            <v>26250</v>
          </cell>
          <cell r="K45">
            <v>10500</v>
          </cell>
          <cell r="L45">
            <v>10500</v>
          </cell>
          <cell r="M45">
            <v>5250</v>
          </cell>
          <cell r="N45">
            <v>10500</v>
          </cell>
          <cell r="O45">
            <v>10500</v>
          </cell>
        </row>
        <row r="46">
          <cell r="B46">
            <v>43</v>
          </cell>
          <cell r="C46">
            <v>526508.46147357661</v>
          </cell>
          <cell r="D46">
            <v>34350.480000000003</v>
          </cell>
          <cell r="E46">
            <v>15266.880000000006</v>
          </cell>
          <cell r="F46">
            <v>26875</v>
          </cell>
          <cell r="G46">
            <v>26875</v>
          </cell>
          <cell r="H46">
            <v>26875</v>
          </cell>
          <cell r="I46">
            <v>26875</v>
          </cell>
          <cell r="J46">
            <v>26875</v>
          </cell>
          <cell r="K46">
            <v>10750</v>
          </cell>
          <cell r="L46">
            <v>10750</v>
          </cell>
          <cell r="M46">
            <v>5375</v>
          </cell>
          <cell r="N46">
            <v>10750</v>
          </cell>
          <cell r="O46">
            <v>10750</v>
          </cell>
        </row>
        <row r="47">
          <cell r="B47">
            <v>44</v>
          </cell>
          <cell r="C47">
            <v>551686.67067124194</v>
          </cell>
          <cell r="D47">
            <v>35458.560000000005</v>
          </cell>
          <cell r="E47">
            <v>15759.360000000004</v>
          </cell>
          <cell r="F47">
            <v>27500</v>
          </cell>
          <cell r="G47">
            <v>27500</v>
          </cell>
          <cell r="H47">
            <v>27500</v>
          </cell>
          <cell r="I47">
            <v>27500.000000000004</v>
          </cell>
          <cell r="J47">
            <v>27500</v>
          </cell>
          <cell r="K47">
            <v>11000</v>
          </cell>
          <cell r="L47">
            <v>11000</v>
          </cell>
          <cell r="M47">
            <v>5500</v>
          </cell>
          <cell r="N47">
            <v>11000</v>
          </cell>
          <cell r="O47">
            <v>11000</v>
          </cell>
        </row>
        <row r="48">
          <cell r="B48">
            <v>45</v>
          </cell>
          <cell r="C48">
            <v>577298.05376919033</v>
          </cell>
          <cell r="D48">
            <v>36566.640000000007</v>
          </cell>
          <cell r="E48">
            <v>16251.840000000002</v>
          </cell>
          <cell r="F48">
            <v>28125</v>
          </cell>
          <cell r="G48">
            <v>28125</v>
          </cell>
          <cell r="H48">
            <v>28125</v>
          </cell>
          <cell r="I48">
            <v>28125</v>
          </cell>
          <cell r="J48">
            <v>28125</v>
          </cell>
          <cell r="K48">
            <v>11250</v>
          </cell>
          <cell r="L48">
            <v>11250</v>
          </cell>
          <cell r="M48">
            <v>5625</v>
          </cell>
          <cell r="N48">
            <v>11250</v>
          </cell>
          <cell r="O48">
            <v>11250</v>
          </cell>
        </row>
        <row r="49">
          <cell r="B49">
            <v>46</v>
          </cell>
          <cell r="C49">
            <v>603334.37103013904</v>
          </cell>
          <cell r="D49">
            <v>37674.720000000016</v>
          </cell>
          <cell r="E49">
            <v>16744.320000000007</v>
          </cell>
          <cell r="F49">
            <v>28750</v>
          </cell>
          <cell r="G49">
            <v>28750</v>
          </cell>
          <cell r="H49">
            <v>28750</v>
          </cell>
          <cell r="I49">
            <v>28749.999999999996</v>
          </cell>
          <cell r="J49">
            <v>28750</v>
          </cell>
          <cell r="K49">
            <v>11500</v>
          </cell>
          <cell r="L49">
            <v>11500</v>
          </cell>
          <cell r="M49">
            <v>5750</v>
          </cell>
          <cell r="N49">
            <v>11500</v>
          </cell>
          <cell r="O49">
            <v>11500</v>
          </cell>
        </row>
        <row r="50">
          <cell r="B50">
            <v>47</v>
          </cell>
          <cell r="C50">
            <v>629787.29123252782</v>
          </cell>
          <cell r="D50">
            <v>38782.80000000001</v>
          </cell>
          <cell r="E50">
            <v>17236.800000000007</v>
          </cell>
          <cell r="F50">
            <v>29375</v>
          </cell>
          <cell r="G50">
            <v>29375</v>
          </cell>
          <cell r="H50">
            <v>29375</v>
          </cell>
          <cell r="I50">
            <v>29375</v>
          </cell>
          <cell r="J50">
            <v>29375</v>
          </cell>
          <cell r="K50">
            <v>11750</v>
          </cell>
          <cell r="L50">
            <v>11750</v>
          </cell>
          <cell r="M50">
            <v>5875</v>
          </cell>
          <cell r="N50">
            <v>11750</v>
          </cell>
          <cell r="O50">
            <v>11750</v>
          </cell>
        </row>
        <row r="51">
          <cell r="B51">
            <v>48</v>
          </cell>
          <cell r="C51">
            <v>656648.39644997043</v>
          </cell>
          <cell r="D51">
            <v>39890.880000000019</v>
          </cell>
          <cell r="E51">
            <v>17729.280000000006</v>
          </cell>
          <cell r="F51">
            <v>30000</v>
          </cell>
          <cell r="G51">
            <v>30000</v>
          </cell>
          <cell r="H51">
            <v>30000</v>
          </cell>
          <cell r="I51">
            <v>30000</v>
          </cell>
          <cell r="J51">
            <v>30000</v>
          </cell>
          <cell r="K51">
            <v>12000</v>
          </cell>
          <cell r="L51">
            <v>12000</v>
          </cell>
          <cell r="M51">
            <v>6000</v>
          </cell>
          <cell r="N51">
            <v>12000</v>
          </cell>
          <cell r="O51">
            <v>12000</v>
          </cell>
        </row>
        <row r="52">
          <cell r="B52">
            <v>49</v>
          </cell>
          <cell r="C52">
            <v>683909.1868307034</v>
          </cell>
          <cell r="D52">
            <v>40998.960000000021</v>
          </cell>
          <cell r="E52">
            <v>18221.760000000009</v>
          </cell>
          <cell r="F52">
            <v>30625</v>
          </cell>
          <cell r="G52">
            <v>30625</v>
          </cell>
          <cell r="H52">
            <v>30625</v>
          </cell>
          <cell r="I52">
            <v>30625.000000000004</v>
          </cell>
          <cell r="J52">
            <v>30625</v>
          </cell>
          <cell r="K52">
            <v>12250</v>
          </cell>
          <cell r="L52">
            <v>12250</v>
          </cell>
          <cell r="M52">
            <v>6125</v>
          </cell>
          <cell r="N52">
            <v>12250</v>
          </cell>
          <cell r="O52">
            <v>12250</v>
          </cell>
        </row>
        <row r="53">
          <cell r="B53">
            <v>50</v>
          </cell>
          <cell r="C53">
            <v>716242.40830715036</v>
          </cell>
          <cell r="D53">
            <v>42384.060000000012</v>
          </cell>
          <cell r="E53">
            <v>18837.360000000004</v>
          </cell>
          <cell r="F53">
            <v>31250</v>
          </cell>
          <cell r="G53">
            <v>31250</v>
          </cell>
          <cell r="H53">
            <v>31250</v>
          </cell>
          <cell r="I53">
            <v>31250</v>
          </cell>
          <cell r="J53">
            <v>31250</v>
          </cell>
          <cell r="K53">
            <v>12500</v>
          </cell>
          <cell r="L53">
            <v>12500</v>
          </cell>
          <cell r="M53">
            <v>6250</v>
          </cell>
          <cell r="N53">
            <v>12500</v>
          </cell>
          <cell r="O53">
            <v>12500</v>
          </cell>
        </row>
        <row r="54">
          <cell r="B54">
            <v>51</v>
          </cell>
          <cell r="C54">
            <v>749077.43558025884</v>
          </cell>
          <cell r="D54">
            <v>43769.160000000011</v>
          </cell>
          <cell r="E54">
            <v>19452.960000000006</v>
          </cell>
          <cell r="F54">
            <v>31875</v>
          </cell>
          <cell r="G54">
            <v>31875</v>
          </cell>
          <cell r="H54">
            <v>31875</v>
          </cell>
          <cell r="I54">
            <v>31874.999999999996</v>
          </cell>
          <cell r="J54">
            <v>31875</v>
          </cell>
          <cell r="K54">
            <v>12750</v>
          </cell>
          <cell r="L54">
            <v>12750</v>
          </cell>
          <cell r="M54">
            <v>6375</v>
          </cell>
          <cell r="N54">
            <v>12750</v>
          </cell>
          <cell r="O54">
            <v>12750</v>
          </cell>
        </row>
        <row r="55">
          <cell r="B55">
            <v>52</v>
          </cell>
          <cell r="C55">
            <v>782403.60833389161</v>
          </cell>
          <cell r="D55">
            <v>45154.26</v>
          </cell>
          <cell r="E55">
            <v>20068.560000000005</v>
          </cell>
          <cell r="F55">
            <v>32500</v>
          </cell>
          <cell r="G55">
            <v>32500</v>
          </cell>
          <cell r="H55">
            <v>32500</v>
          </cell>
          <cell r="I55">
            <v>32500</v>
          </cell>
          <cell r="J55">
            <v>32500</v>
          </cell>
          <cell r="K55">
            <v>13000</v>
          </cell>
          <cell r="L55">
            <v>13000</v>
          </cell>
          <cell r="M55">
            <v>6500</v>
          </cell>
          <cell r="N55">
            <v>13000</v>
          </cell>
          <cell r="O55">
            <v>13000</v>
          </cell>
        </row>
        <row r="56">
          <cell r="B56">
            <v>53</v>
          </cell>
          <cell r="C56">
            <v>816210.17890046258</v>
          </cell>
          <cell r="D56">
            <v>46539.360000000008</v>
          </cell>
          <cell r="E56">
            <v>20684.160000000003</v>
          </cell>
          <cell r="F56">
            <v>33125</v>
          </cell>
          <cell r="G56">
            <v>33125</v>
          </cell>
          <cell r="H56">
            <v>33125</v>
          </cell>
          <cell r="I56">
            <v>33125</v>
          </cell>
          <cell r="J56">
            <v>33125</v>
          </cell>
          <cell r="K56">
            <v>13250</v>
          </cell>
          <cell r="L56">
            <v>13250</v>
          </cell>
          <cell r="M56">
            <v>6625</v>
          </cell>
          <cell r="N56">
            <v>13250</v>
          </cell>
          <cell r="O56">
            <v>13250</v>
          </cell>
        </row>
        <row r="57">
          <cell r="B57">
            <v>54</v>
          </cell>
          <cell r="C57">
            <v>850486.3182352474</v>
          </cell>
          <cell r="D57">
            <v>47924.460000000014</v>
          </cell>
          <cell r="E57">
            <v>21299.760000000006</v>
          </cell>
          <cell r="F57">
            <v>33750</v>
          </cell>
          <cell r="G57">
            <v>33750</v>
          </cell>
          <cell r="H57">
            <v>33750</v>
          </cell>
          <cell r="I57">
            <v>33750</v>
          </cell>
          <cell r="J57">
            <v>33750</v>
          </cell>
          <cell r="K57">
            <v>13500</v>
          </cell>
          <cell r="L57">
            <v>13500</v>
          </cell>
          <cell r="M57">
            <v>6750</v>
          </cell>
          <cell r="N57">
            <v>13500</v>
          </cell>
          <cell r="O57">
            <v>13500</v>
          </cell>
        </row>
        <row r="58">
          <cell r="B58">
            <v>55</v>
          </cell>
          <cell r="C58">
            <v>885221.12189069903</v>
          </cell>
          <cell r="D58">
            <v>49309.560000000005</v>
          </cell>
          <cell r="E58">
            <v>21915.360000000004</v>
          </cell>
          <cell r="F58">
            <v>34375</v>
          </cell>
          <cell r="G58">
            <v>34375</v>
          </cell>
          <cell r="H58">
            <v>34375</v>
          </cell>
          <cell r="I58">
            <v>34375</v>
          </cell>
          <cell r="J58">
            <v>34375</v>
          </cell>
          <cell r="K58">
            <v>13750</v>
          </cell>
          <cell r="L58">
            <v>13750</v>
          </cell>
          <cell r="M58">
            <v>6875</v>
          </cell>
          <cell r="N58">
            <v>13750</v>
          </cell>
          <cell r="O58">
            <v>13750</v>
          </cell>
        </row>
        <row r="59">
          <cell r="B59">
            <v>56</v>
          </cell>
          <cell r="C59">
            <v>920403.6159907598</v>
          </cell>
          <cell r="D59">
            <v>50694.660000000011</v>
          </cell>
          <cell r="E59">
            <v>22530.960000000006</v>
          </cell>
          <cell r="F59">
            <v>35000</v>
          </cell>
          <cell r="G59">
            <v>35000</v>
          </cell>
          <cell r="H59">
            <v>35000</v>
          </cell>
          <cell r="I59">
            <v>35000</v>
          </cell>
          <cell r="J59">
            <v>35000</v>
          </cell>
          <cell r="K59">
            <v>14000</v>
          </cell>
          <cell r="L59">
            <v>14000</v>
          </cell>
          <cell r="M59">
            <v>6999.9999999999982</v>
          </cell>
          <cell r="N59">
            <v>13999.999999999996</v>
          </cell>
          <cell r="O59">
            <v>14000</v>
          </cell>
        </row>
        <row r="60">
          <cell r="B60">
            <v>57</v>
          </cell>
          <cell r="C60">
            <v>956022.76320517482</v>
          </cell>
          <cell r="D60">
            <v>52079.76</v>
          </cell>
          <cell r="E60">
            <v>23146.560000000005</v>
          </cell>
          <cell r="F60">
            <v>35625</v>
          </cell>
          <cell r="G60">
            <v>35625</v>
          </cell>
          <cell r="H60">
            <v>35625</v>
          </cell>
          <cell r="I60">
            <v>35625</v>
          </cell>
          <cell r="J60">
            <v>35625</v>
          </cell>
          <cell r="K60">
            <v>14250</v>
          </cell>
          <cell r="L60">
            <v>14250</v>
          </cell>
          <cell r="M60">
            <v>7125</v>
          </cell>
          <cell r="N60">
            <v>14250</v>
          </cell>
          <cell r="O60">
            <v>14250</v>
          </cell>
        </row>
        <row r="61">
          <cell r="B61">
            <v>58</v>
          </cell>
          <cell r="C61">
            <v>992067.46872380655</v>
          </cell>
          <cell r="D61">
            <v>53464.860000000008</v>
          </cell>
          <cell r="E61">
            <v>23762.160000000007</v>
          </cell>
          <cell r="F61">
            <v>36250</v>
          </cell>
          <cell r="G61">
            <v>36250</v>
          </cell>
          <cell r="H61">
            <v>36250</v>
          </cell>
          <cell r="I61">
            <v>36250</v>
          </cell>
          <cell r="J61">
            <v>36250</v>
          </cell>
          <cell r="K61">
            <v>14500</v>
          </cell>
          <cell r="L61">
            <v>14500</v>
          </cell>
          <cell r="M61">
            <v>7249.9999999999991</v>
          </cell>
          <cell r="N61">
            <v>14499.999999999998</v>
          </cell>
          <cell r="O61">
            <v>14500</v>
          </cell>
        </row>
        <row r="62">
          <cell r="B62">
            <v>59</v>
          </cell>
          <cell r="C62">
            <v>1028526.5862309474</v>
          </cell>
          <cell r="D62">
            <v>54849.960000000014</v>
          </cell>
          <cell r="E62">
            <v>24377.760000000006</v>
          </cell>
          <cell r="F62">
            <v>36875</v>
          </cell>
          <cell r="G62">
            <v>36875</v>
          </cell>
          <cell r="H62">
            <v>36875</v>
          </cell>
          <cell r="I62">
            <v>36875</v>
          </cell>
          <cell r="J62">
            <v>36875</v>
          </cell>
          <cell r="K62">
            <v>14750</v>
          </cell>
          <cell r="L62">
            <v>14750</v>
          </cell>
          <cell r="M62">
            <v>7375</v>
          </cell>
          <cell r="N62">
            <v>14750</v>
          </cell>
          <cell r="O62">
            <v>14750</v>
          </cell>
        </row>
        <row r="63">
          <cell r="B63">
            <v>60</v>
          </cell>
          <cell r="C63">
            <v>1070637.145179532</v>
          </cell>
          <cell r="D63">
            <v>56512.080000000016</v>
          </cell>
          <cell r="E63">
            <v>25116.480000000007</v>
          </cell>
          <cell r="F63">
            <v>37500</v>
          </cell>
          <cell r="G63">
            <v>37500</v>
          </cell>
          <cell r="H63">
            <v>37500</v>
          </cell>
          <cell r="I63">
            <v>37500</v>
          </cell>
          <cell r="J63">
            <v>37500</v>
          </cell>
          <cell r="K63">
            <v>15000</v>
          </cell>
          <cell r="L63">
            <v>15000</v>
          </cell>
          <cell r="M63">
            <v>7500.0000000000009</v>
          </cell>
          <cell r="N63">
            <v>15000.000000000002</v>
          </cell>
          <cell r="O63">
            <v>15000</v>
          </cell>
        </row>
        <row r="64">
          <cell r="B64">
            <v>61</v>
          </cell>
          <cell r="C64">
            <v>1113245.589210819</v>
          </cell>
          <cell r="D64">
            <v>58174.200000000019</v>
          </cell>
          <cell r="E64">
            <v>25855.200000000012</v>
          </cell>
          <cell r="F64">
            <v>38125</v>
          </cell>
          <cell r="G64">
            <v>38125</v>
          </cell>
          <cell r="H64">
            <v>38125</v>
          </cell>
          <cell r="I64">
            <v>38125</v>
          </cell>
          <cell r="J64">
            <v>38125</v>
          </cell>
          <cell r="K64">
            <v>15250</v>
          </cell>
          <cell r="L64">
            <v>15250</v>
          </cell>
          <cell r="M64">
            <v>7625</v>
          </cell>
          <cell r="N64">
            <v>15250</v>
          </cell>
          <cell r="O64">
            <v>15250</v>
          </cell>
        </row>
        <row r="65">
          <cell r="B65">
            <v>62</v>
          </cell>
          <cell r="C65">
            <v>1156338.5581555346</v>
          </cell>
          <cell r="D65">
            <v>59836.320000000014</v>
          </cell>
          <cell r="E65">
            <v>26593.920000000009</v>
          </cell>
          <cell r="F65">
            <v>38750</v>
          </cell>
          <cell r="G65">
            <v>38750</v>
          </cell>
          <cell r="H65">
            <v>38750</v>
          </cell>
          <cell r="I65">
            <v>38750</v>
          </cell>
          <cell r="J65">
            <v>38750</v>
          </cell>
          <cell r="K65">
            <v>15500</v>
          </cell>
          <cell r="L65">
            <v>15500</v>
          </cell>
          <cell r="M65">
            <v>7750.0000000000009</v>
          </cell>
          <cell r="N65">
            <v>15500.000000000002</v>
          </cell>
          <cell r="O65">
            <v>15500</v>
          </cell>
        </row>
        <row r="66">
          <cell r="B66">
            <v>63</v>
          </cell>
          <cell r="C66">
            <v>1199902.6492511141</v>
          </cell>
          <cell r="D66">
            <v>61498.440000000031</v>
          </cell>
          <cell r="E66">
            <v>27332.640000000014</v>
          </cell>
          <cell r="F66">
            <v>39375</v>
          </cell>
          <cell r="G66">
            <v>39375</v>
          </cell>
          <cell r="H66">
            <v>39375</v>
          </cell>
          <cell r="I66">
            <v>39375</v>
          </cell>
          <cell r="J66">
            <v>39375</v>
          </cell>
          <cell r="K66">
            <v>15750</v>
          </cell>
          <cell r="L66">
            <v>15750</v>
          </cell>
          <cell r="M66">
            <v>7875</v>
          </cell>
          <cell r="N66">
            <v>15750</v>
          </cell>
          <cell r="O66">
            <v>15750</v>
          </cell>
        </row>
        <row r="67">
          <cell r="B67">
            <v>64</v>
          </cell>
          <cell r="C67">
            <v>1243924.4243108754</v>
          </cell>
          <cell r="D67">
            <v>63160.560000000019</v>
          </cell>
          <cell r="E67">
            <v>28071.360000000019</v>
          </cell>
          <cell r="F67">
            <v>40000</v>
          </cell>
          <cell r="G67">
            <v>40000</v>
          </cell>
          <cell r="H67">
            <v>40000</v>
          </cell>
          <cell r="I67">
            <v>40000</v>
          </cell>
          <cell r="J67">
            <v>40000</v>
          </cell>
          <cell r="K67">
            <v>16000</v>
          </cell>
          <cell r="L67">
            <v>16000</v>
          </cell>
          <cell r="M67">
            <v>8000.0000000000018</v>
          </cell>
          <cell r="N67">
            <v>16000.000000000004</v>
          </cell>
          <cell r="O67">
            <v>16000</v>
          </cell>
        </row>
        <row r="68">
          <cell r="B68">
            <v>65</v>
          </cell>
          <cell r="C68">
            <v>1288390.416893197</v>
          </cell>
          <cell r="D68">
            <v>64822.680000000015</v>
          </cell>
          <cell r="E68">
            <v>28810.080000000013</v>
          </cell>
          <cell r="F68">
            <v>40625</v>
          </cell>
          <cell r="G68">
            <v>40625</v>
          </cell>
          <cell r="H68">
            <v>40625</v>
          </cell>
          <cell r="I68">
            <v>40625</v>
          </cell>
          <cell r="J68">
            <v>40625</v>
          </cell>
          <cell r="K68">
            <v>16250</v>
          </cell>
          <cell r="L68">
            <v>16250</v>
          </cell>
          <cell r="M68">
            <v>8125</v>
          </cell>
          <cell r="N68">
            <v>16250</v>
          </cell>
          <cell r="O68">
            <v>16250</v>
          </cell>
        </row>
        <row r="69">
          <cell r="B69">
            <v>66</v>
          </cell>
          <cell r="C69">
            <v>1333287.1394706951</v>
          </cell>
          <cell r="D69">
            <v>66484.800000000047</v>
          </cell>
          <cell r="E69">
            <v>29548.800000000021</v>
          </cell>
          <cell r="F69">
            <v>41250</v>
          </cell>
          <cell r="G69">
            <v>41250</v>
          </cell>
          <cell r="H69">
            <v>41250</v>
          </cell>
          <cell r="I69">
            <v>41250</v>
          </cell>
          <cell r="J69">
            <v>41250</v>
          </cell>
          <cell r="K69">
            <v>16500</v>
          </cell>
          <cell r="L69">
            <v>16500</v>
          </cell>
          <cell r="M69">
            <v>8250</v>
          </cell>
          <cell r="N69">
            <v>16500</v>
          </cell>
          <cell r="O69">
            <v>16500</v>
          </cell>
        </row>
        <row r="70">
          <cell r="B70">
            <v>67</v>
          </cell>
          <cell r="C70">
            <v>1378601.0905993942</v>
          </cell>
          <cell r="D70">
            <v>68146.920000000042</v>
          </cell>
          <cell r="E70">
            <v>30287.520000000022</v>
          </cell>
          <cell r="F70">
            <v>41875</v>
          </cell>
          <cell r="G70">
            <v>41875</v>
          </cell>
          <cell r="H70">
            <v>41875</v>
          </cell>
          <cell r="I70">
            <v>41875</v>
          </cell>
          <cell r="J70">
            <v>41875</v>
          </cell>
          <cell r="K70">
            <v>16750</v>
          </cell>
          <cell r="L70">
            <v>16750</v>
          </cell>
          <cell r="M70">
            <v>8375</v>
          </cell>
          <cell r="N70">
            <v>16750</v>
          </cell>
          <cell r="O70">
            <v>16750</v>
          </cell>
        </row>
        <row r="71">
          <cell r="B71">
            <v>68</v>
          </cell>
          <cell r="C71">
            <v>1424318.7620879104</v>
          </cell>
          <cell r="D71">
            <v>69809.040000000052</v>
          </cell>
          <cell r="E71">
            <v>31026.24000000002</v>
          </cell>
          <cell r="F71">
            <v>42500</v>
          </cell>
          <cell r="G71">
            <v>42500</v>
          </cell>
          <cell r="H71">
            <v>42500</v>
          </cell>
          <cell r="I71">
            <v>42500</v>
          </cell>
          <cell r="J71">
            <v>42500</v>
          </cell>
          <cell r="K71">
            <v>17000</v>
          </cell>
          <cell r="L71">
            <v>17000</v>
          </cell>
          <cell r="M71">
            <v>8500</v>
          </cell>
          <cell r="N71">
            <v>17000</v>
          </cell>
          <cell r="O71">
            <v>17000</v>
          </cell>
        </row>
        <row r="72">
          <cell r="B72">
            <v>69</v>
          </cell>
          <cell r="C72">
            <v>1470426.6461666226</v>
          </cell>
          <cell r="D72">
            <v>71471.160000000047</v>
          </cell>
          <cell r="E72">
            <v>31764.960000000025</v>
          </cell>
          <cell r="F72">
            <v>43125</v>
          </cell>
          <cell r="G72">
            <v>43125</v>
          </cell>
          <cell r="H72">
            <v>43125</v>
          </cell>
          <cell r="I72">
            <v>43125</v>
          </cell>
          <cell r="J72">
            <v>43125</v>
          </cell>
          <cell r="K72">
            <v>17250</v>
          </cell>
          <cell r="L72">
            <v>17250</v>
          </cell>
          <cell r="M72">
            <v>8625</v>
          </cell>
          <cell r="N72">
            <v>17250</v>
          </cell>
          <cell r="O72">
            <v>17250</v>
          </cell>
        </row>
        <row r="73">
          <cell r="B73">
            <v>70</v>
          </cell>
          <cell r="C73">
            <v>1522657.1185760058</v>
          </cell>
          <cell r="D73">
            <v>73410.300000000061</v>
          </cell>
          <cell r="E73">
            <v>32626.800000000028</v>
          </cell>
          <cell r="F73">
            <v>43750</v>
          </cell>
          <cell r="G73">
            <v>43750</v>
          </cell>
          <cell r="H73">
            <v>43750</v>
          </cell>
          <cell r="I73">
            <v>43750</v>
          </cell>
          <cell r="J73">
            <v>43750</v>
          </cell>
          <cell r="K73">
            <v>17500.000000000004</v>
          </cell>
          <cell r="L73">
            <v>17500.000000000004</v>
          </cell>
          <cell r="M73">
            <v>8750</v>
          </cell>
          <cell r="N73">
            <v>17500</v>
          </cell>
          <cell r="O73">
            <v>17500.000000000004</v>
          </cell>
        </row>
        <row r="74">
          <cell r="B74">
            <v>71</v>
          </cell>
          <cell r="C74">
            <v>1575342.4666299568</v>
          </cell>
          <cell r="D74">
            <v>75349.440000000046</v>
          </cell>
          <cell r="E74">
            <v>33488.640000000021</v>
          </cell>
          <cell r="F74">
            <v>44375</v>
          </cell>
          <cell r="G74">
            <v>44375</v>
          </cell>
          <cell r="H74">
            <v>44375</v>
          </cell>
          <cell r="I74">
            <v>44375</v>
          </cell>
          <cell r="J74">
            <v>44375</v>
          </cell>
          <cell r="K74">
            <v>17750</v>
          </cell>
          <cell r="L74">
            <v>17750</v>
          </cell>
          <cell r="M74">
            <v>8875</v>
          </cell>
          <cell r="N74">
            <v>17750</v>
          </cell>
          <cell r="O74">
            <v>17750</v>
          </cell>
        </row>
        <row r="75">
          <cell r="B75">
            <v>72</v>
          </cell>
          <cell r="C75">
            <v>1628467.0515304436</v>
          </cell>
          <cell r="D75">
            <v>77288.580000000045</v>
          </cell>
          <cell r="E75">
            <v>34350.480000000018</v>
          </cell>
          <cell r="F75">
            <v>45000</v>
          </cell>
          <cell r="G75">
            <v>45000</v>
          </cell>
          <cell r="H75">
            <v>45000</v>
          </cell>
          <cell r="I75">
            <v>45000</v>
          </cell>
          <cell r="J75">
            <v>45000</v>
          </cell>
          <cell r="K75">
            <v>18000.000000000004</v>
          </cell>
          <cell r="L75">
            <v>18000.000000000004</v>
          </cell>
          <cell r="M75">
            <v>9000</v>
          </cell>
          <cell r="N75">
            <v>18000</v>
          </cell>
          <cell r="O75">
            <v>18000.000000000004</v>
          </cell>
        </row>
        <row r="76">
          <cell r="B76">
            <v>73</v>
          </cell>
          <cell r="C76">
            <v>1682015.2581518283</v>
          </cell>
          <cell r="D76">
            <v>79227.72000000003</v>
          </cell>
          <cell r="E76">
            <v>35212.320000000022</v>
          </cell>
          <cell r="F76">
            <v>45625</v>
          </cell>
          <cell r="G76">
            <v>45625</v>
          </cell>
          <cell r="H76">
            <v>45625</v>
          </cell>
          <cell r="I76">
            <v>45625</v>
          </cell>
          <cell r="J76">
            <v>45625</v>
          </cell>
          <cell r="K76">
            <v>18250</v>
          </cell>
          <cell r="L76">
            <v>18250</v>
          </cell>
          <cell r="M76">
            <v>9125</v>
          </cell>
          <cell r="N76">
            <v>18250</v>
          </cell>
          <cell r="O76">
            <v>18250</v>
          </cell>
        </row>
        <row r="77">
          <cell r="B77">
            <v>74</v>
          </cell>
          <cell r="C77">
            <v>1735971.5034049053</v>
          </cell>
          <cell r="D77">
            <v>81166.860000000044</v>
          </cell>
          <cell r="E77">
            <v>36074.160000000018</v>
          </cell>
          <cell r="F77">
            <v>46250</v>
          </cell>
          <cell r="G77">
            <v>46250</v>
          </cell>
          <cell r="H77">
            <v>46250</v>
          </cell>
          <cell r="I77">
            <v>46250</v>
          </cell>
          <cell r="J77">
            <v>46250</v>
          </cell>
          <cell r="K77">
            <v>18500.000000000004</v>
          </cell>
          <cell r="L77">
            <v>18500.000000000004</v>
          </cell>
          <cell r="M77">
            <v>9250</v>
          </cell>
          <cell r="N77">
            <v>18500</v>
          </cell>
          <cell r="O77">
            <v>18500.000000000004</v>
          </cell>
        </row>
        <row r="78">
          <cell r="B78">
            <v>75</v>
          </cell>
          <cell r="C78">
            <v>1790320.2446009414</v>
          </cell>
          <cell r="D78">
            <v>83106.000000000058</v>
          </cell>
          <cell r="E78">
            <v>36936.000000000029</v>
          </cell>
          <cell r="F78">
            <v>46875</v>
          </cell>
          <cell r="G78">
            <v>46875</v>
          </cell>
          <cell r="H78">
            <v>46875</v>
          </cell>
          <cell r="I78">
            <v>46875</v>
          </cell>
          <cell r="J78">
            <v>46875</v>
          </cell>
          <cell r="K78">
            <v>18750</v>
          </cell>
          <cell r="L78">
            <v>18750</v>
          </cell>
          <cell r="M78">
            <v>9375</v>
          </cell>
          <cell r="N78">
            <v>18750</v>
          </cell>
          <cell r="O78">
            <v>18750</v>
          </cell>
        </row>
        <row r="79">
          <cell r="B79">
            <v>76</v>
          </cell>
          <cell r="C79">
            <v>1845045.987815713</v>
          </cell>
          <cell r="D79">
            <v>85045.140000000043</v>
          </cell>
          <cell r="E79">
            <v>37797.840000000018</v>
          </cell>
          <cell r="F79">
            <v>47500</v>
          </cell>
          <cell r="G79">
            <v>47500</v>
          </cell>
          <cell r="H79">
            <v>47500</v>
          </cell>
          <cell r="I79">
            <v>47500</v>
          </cell>
          <cell r="J79">
            <v>47500</v>
          </cell>
          <cell r="K79">
            <v>19000</v>
          </cell>
          <cell r="L79">
            <v>19000</v>
          </cell>
          <cell r="M79">
            <v>9500</v>
          </cell>
          <cell r="N79">
            <v>19000</v>
          </cell>
          <cell r="O79">
            <v>19000</v>
          </cell>
        </row>
        <row r="80">
          <cell r="B80">
            <v>77</v>
          </cell>
          <cell r="C80">
            <v>1900133.2962535466</v>
          </cell>
          <cell r="D80">
            <v>86984.280000000042</v>
          </cell>
          <cell r="E80">
            <v>38659.680000000015</v>
          </cell>
          <cell r="F80">
            <v>48125</v>
          </cell>
          <cell r="G80">
            <v>48125</v>
          </cell>
          <cell r="H80">
            <v>48125</v>
          </cell>
          <cell r="I80">
            <v>48125</v>
          </cell>
          <cell r="J80">
            <v>48125</v>
          </cell>
          <cell r="K80">
            <v>19250</v>
          </cell>
          <cell r="L80">
            <v>19250</v>
          </cell>
          <cell r="M80">
            <v>9625</v>
          </cell>
          <cell r="N80">
            <v>19250</v>
          </cell>
          <cell r="O80">
            <v>19250</v>
          </cell>
        </row>
        <row r="81">
          <cell r="B81">
            <v>78</v>
          </cell>
          <cell r="C81">
            <v>1955566.7986113571</v>
          </cell>
          <cell r="D81">
            <v>88923.420000000027</v>
          </cell>
          <cell r="E81">
            <v>39521.520000000011</v>
          </cell>
          <cell r="F81">
            <v>48750</v>
          </cell>
          <cell r="G81">
            <v>48750</v>
          </cell>
          <cell r="H81">
            <v>48750</v>
          </cell>
          <cell r="I81">
            <v>48750</v>
          </cell>
          <cell r="J81">
            <v>48750</v>
          </cell>
          <cell r="K81">
            <v>19500</v>
          </cell>
          <cell r="L81">
            <v>19500</v>
          </cell>
          <cell r="M81">
            <v>9750</v>
          </cell>
          <cell r="N81">
            <v>19500</v>
          </cell>
          <cell r="O81">
            <v>19500</v>
          </cell>
        </row>
        <row r="82">
          <cell r="B82">
            <v>79</v>
          </cell>
          <cell r="C82">
            <v>2011331.1974426862</v>
          </cell>
          <cell r="D82">
            <v>90862.560000000027</v>
          </cell>
          <cell r="E82">
            <v>40383.360000000015</v>
          </cell>
          <cell r="F82">
            <v>49375</v>
          </cell>
          <cell r="G82">
            <v>49375</v>
          </cell>
          <cell r="H82">
            <v>49375</v>
          </cell>
          <cell r="I82">
            <v>49375</v>
          </cell>
          <cell r="J82">
            <v>49375</v>
          </cell>
          <cell r="K82">
            <v>19750</v>
          </cell>
          <cell r="L82">
            <v>19750</v>
          </cell>
          <cell r="M82">
            <v>9875</v>
          </cell>
          <cell r="N82">
            <v>19750</v>
          </cell>
          <cell r="O82">
            <v>19750</v>
          </cell>
        </row>
        <row r="83">
          <cell r="B83">
            <v>80</v>
          </cell>
          <cell r="C83">
            <v>2073582.6544695653</v>
          </cell>
          <cell r="D83">
            <v>93078.720000000016</v>
          </cell>
          <cell r="E83">
            <v>41368.320000000007</v>
          </cell>
          <cell r="F83">
            <v>50000</v>
          </cell>
          <cell r="G83">
            <v>50000</v>
          </cell>
          <cell r="H83">
            <v>50000</v>
          </cell>
          <cell r="I83">
            <v>50000</v>
          </cell>
          <cell r="J83">
            <v>50000</v>
          </cell>
          <cell r="K83">
            <v>20000</v>
          </cell>
          <cell r="L83">
            <v>20000</v>
          </cell>
          <cell r="M83">
            <v>10000</v>
          </cell>
          <cell r="N83">
            <v>20000</v>
          </cell>
          <cell r="O83">
            <v>20000</v>
          </cell>
        </row>
        <row r="84">
          <cell r="B84">
            <v>81</v>
          </cell>
          <cell r="C84">
            <v>2136211.7499630288</v>
          </cell>
          <cell r="D84">
            <v>95294.880000000019</v>
          </cell>
          <cell r="E84">
            <v>42353.280000000013</v>
          </cell>
          <cell r="F84">
            <v>50625</v>
          </cell>
          <cell r="G84">
            <v>50625</v>
          </cell>
          <cell r="H84">
            <v>50625</v>
          </cell>
          <cell r="I84">
            <v>50625</v>
          </cell>
          <cell r="J84">
            <v>50625</v>
          </cell>
          <cell r="K84">
            <v>20250</v>
          </cell>
          <cell r="L84">
            <v>20250</v>
          </cell>
          <cell r="M84">
            <v>10125</v>
          </cell>
          <cell r="N84">
            <v>20250</v>
          </cell>
          <cell r="O84">
            <v>20250</v>
          </cell>
        </row>
        <row r="85">
          <cell r="B85">
            <v>82</v>
          </cell>
          <cell r="C85">
            <v>2199201.2744877017</v>
          </cell>
          <cell r="D85">
            <v>97511.040000000023</v>
          </cell>
          <cell r="E85">
            <v>43338.240000000005</v>
          </cell>
          <cell r="F85">
            <v>51250</v>
          </cell>
          <cell r="G85">
            <v>51250</v>
          </cell>
          <cell r="H85">
            <v>51250</v>
          </cell>
          <cell r="I85">
            <v>51249.999999999993</v>
          </cell>
          <cell r="J85">
            <v>51250</v>
          </cell>
          <cell r="K85">
            <v>20500</v>
          </cell>
          <cell r="L85">
            <v>20500</v>
          </cell>
          <cell r="M85">
            <v>10250</v>
          </cell>
          <cell r="N85">
            <v>20500</v>
          </cell>
          <cell r="O85">
            <v>20500</v>
          </cell>
        </row>
        <row r="86">
          <cell r="B86">
            <v>83</v>
          </cell>
          <cell r="C86">
            <v>2262534.1300538229</v>
          </cell>
          <cell r="D86">
            <v>99727.200000000012</v>
          </cell>
          <cell r="E86">
            <v>44323.200000000012</v>
          </cell>
          <cell r="F86">
            <v>51875</v>
          </cell>
          <cell r="G86">
            <v>51875</v>
          </cell>
          <cell r="H86">
            <v>51875</v>
          </cell>
          <cell r="I86">
            <v>51875.000000000007</v>
          </cell>
          <cell r="J86">
            <v>51875</v>
          </cell>
          <cell r="K86">
            <v>20750</v>
          </cell>
          <cell r="L86">
            <v>20750</v>
          </cell>
          <cell r="M86">
            <v>10375</v>
          </cell>
          <cell r="N86">
            <v>20750</v>
          </cell>
          <cell r="O86">
            <v>20750</v>
          </cell>
        </row>
        <row r="87">
          <cell r="B87">
            <v>84</v>
          </cell>
          <cell r="C87">
            <v>2326193.3396761417</v>
          </cell>
          <cell r="D87">
            <v>101943.36000000002</v>
          </cell>
          <cell r="E87">
            <v>45308.160000000011</v>
          </cell>
          <cell r="F87">
            <v>52500</v>
          </cell>
          <cell r="G87">
            <v>52500</v>
          </cell>
          <cell r="H87">
            <v>52500</v>
          </cell>
          <cell r="I87">
            <v>52500</v>
          </cell>
          <cell r="J87">
            <v>52500</v>
          </cell>
          <cell r="K87">
            <v>21000</v>
          </cell>
          <cell r="L87">
            <v>21000</v>
          </cell>
          <cell r="M87">
            <v>10500</v>
          </cell>
          <cell r="N87">
            <v>21000</v>
          </cell>
          <cell r="O87">
            <v>21000</v>
          </cell>
        </row>
        <row r="88">
          <cell r="B88">
            <v>85</v>
          </cell>
          <cell r="C88">
            <v>2390162.056932814</v>
          </cell>
          <cell r="D88">
            <v>104159.52</v>
          </cell>
          <cell r="E88">
            <v>46293.119999999995</v>
          </cell>
          <cell r="F88">
            <v>53125</v>
          </cell>
          <cell r="G88">
            <v>53125</v>
          </cell>
          <cell r="H88">
            <v>53125</v>
          </cell>
          <cell r="I88">
            <v>53125</v>
          </cell>
          <cell r="J88">
            <v>53125</v>
          </cell>
          <cell r="K88">
            <v>21250</v>
          </cell>
          <cell r="L88">
            <v>21250</v>
          </cell>
          <cell r="M88">
            <v>10625</v>
          </cell>
          <cell r="N88">
            <v>21250</v>
          </cell>
          <cell r="O88">
            <v>21250</v>
          </cell>
        </row>
        <row r="89">
          <cell r="B89">
            <v>86</v>
          </cell>
          <cell r="C89">
            <v>2454423.5755243152</v>
          </cell>
          <cell r="D89">
            <v>106375.68000000001</v>
          </cell>
          <cell r="E89">
            <v>47278.080000000002</v>
          </cell>
          <cell r="F89">
            <v>53750</v>
          </cell>
          <cell r="G89">
            <v>53750</v>
          </cell>
          <cell r="H89">
            <v>53750</v>
          </cell>
          <cell r="I89">
            <v>53750</v>
          </cell>
          <cell r="J89">
            <v>53750</v>
          </cell>
          <cell r="K89">
            <v>21500</v>
          </cell>
          <cell r="L89">
            <v>21500</v>
          </cell>
          <cell r="M89">
            <v>10750</v>
          </cell>
          <cell r="N89">
            <v>21500</v>
          </cell>
          <cell r="O89">
            <v>21500</v>
          </cell>
        </row>
        <row r="90">
          <cell r="B90">
            <v>87</v>
          </cell>
          <cell r="C90">
            <v>2518961.3388323309</v>
          </cell>
          <cell r="D90">
            <v>108591.83999999998</v>
          </cell>
          <cell r="E90">
            <v>48263.039999999986</v>
          </cell>
          <cell r="F90">
            <v>54375</v>
          </cell>
          <cell r="G90">
            <v>54375</v>
          </cell>
          <cell r="H90">
            <v>54375</v>
          </cell>
          <cell r="I90">
            <v>54374.999999999993</v>
          </cell>
          <cell r="J90">
            <v>54375</v>
          </cell>
          <cell r="K90">
            <v>21750</v>
          </cell>
          <cell r="L90">
            <v>21750</v>
          </cell>
          <cell r="M90">
            <v>10875</v>
          </cell>
          <cell r="N90">
            <v>21750</v>
          </cell>
          <cell r="O90">
            <v>21750</v>
          </cell>
        </row>
        <row r="91">
          <cell r="B91">
            <v>88</v>
          </cell>
          <cell r="C91">
            <v>2583758.9494786672</v>
          </cell>
          <cell r="D91">
            <v>110807.99999999997</v>
          </cell>
          <cell r="E91">
            <v>49247.999999999985</v>
          </cell>
          <cell r="F91">
            <v>55000</v>
          </cell>
          <cell r="G91">
            <v>55000</v>
          </cell>
          <cell r="H91">
            <v>55000</v>
          </cell>
          <cell r="I91">
            <v>55000.000000000007</v>
          </cell>
          <cell r="J91">
            <v>55000</v>
          </cell>
          <cell r="K91">
            <v>22000</v>
          </cell>
          <cell r="L91">
            <v>22000</v>
          </cell>
          <cell r="M91">
            <v>11000</v>
          </cell>
          <cell r="N91">
            <v>22000</v>
          </cell>
          <cell r="O91">
            <v>22000</v>
          </cell>
        </row>
        <row r="92">
          <cell r="B92">
            <v>89</v>
          </cell>
          <cell r="C92">
            <v>2648800.1788841435</v>
          </cell>
          <cell r="D92">
            <v>113024.15999999999</v>
          </cell>
          <cell r="E92">
            <v>50232.959999999985</v>
          </cell>
          <cell r="F92">
            <v>55625</v>
          </cell>
          <cell r="G92">
            <v>55625</v>
          </cell>
          <cell r="H92">
            <v>55625</v>
          </cell>
          <cell r="I92">
            <v>55625</v>
          </cell>
          <cell r="J92">
            <v>55625</v>
          </cell>
          <cell r="K92">
            <v>22250</v>
          </cell>
          <cell r="L92">
            <v>22250</v>
          </cell>
          <cell r="M92">
            <v>11125</v>
          </cell>
          <cell r="N92">
            <v>22250</v>
          </cell>
          <cell r="O92">
            <v>22250</v>
          </cell>
        </row>
        <row r="93">
          <cell r="B93">
            <v>90</v>
          </cell>
          <cell r="C93">
            <v>2714068.9768274995</v>
          </cell>
          <cell r="D93">
            <v>115240.31999999995</v>
          </cell>
          <cell r="E93">
            <v>51217.919999999976</v>
          </cell>
          <cell r="F93">
            <v>56250</v>
          </cell>
          <cell r="G93">
            <v>56250</v>
          </cell>
          <cell r="H93">
            <v>56250</v>
          </cell>
          <cell r="I93">
            <v>56250</v>
          </cell>
          <cell r="J93">
            <v>56250</v>
          </cell>
          <cell r="K93">
            <v>22500</v>
          </cell>
          <cell r="L93">
            <v>22500</v>
          </cell>
          <cell r="M93">
            <v>11250</v>
          </cell>
          <cell r="N93">
            <v>22500</v>
          </cell>
          <cell r="O93">
            <v>22500</v>
          </cell>
        </row>
        <row r="94">
          <cell r="B94">
            <v>91</v>
          </cell>
          <cell r="C94">
            <v>2779549.4810042954</v>
          </cell>
          <cell r="D94">
            <v>117456.47999999994</v>
          </cell>
          <cell r="E94">
            <v>52202.879999999976</v>
          </cell>
          <cell r="F94">
            <v>56875</v>
          </cell>
          <cell r="G94">
            <v>56875</v>
          </cell>
          <cell r="H94">
            <v>56875</v>
          </cell>
          <cell r="I94">
            <v>56875</v>
          </cell>
          <cell r="J94">
            <v>56875</v>
          </cell>
          <cell r="K94">
            <v>22750</v>
          </cell>
          <cell r="L94">
            <v>22750</v>
          </cell>
          <cell r="M94">
            <v>11375</v>
          </cell>
          <cell r="N94">
            <v>22750</v>
          </cell>
          <cell r="O94">
            <v>22750</v>
          </cell>
        </row>
        <row r="95">
          <cell r="B95">
            <v>92</v>
          </cell>
          <cell r="C95">
            <v>2845226.0265858159</v>
          </cell>
          <cell r="D95">
            <v>119672.63999999993</v>
          </cell>
          <cell r="E95">
            <v>53187.839999999982</v>
          </cell>
          <cell r="F95">
            <v>57500</v>
          </cell>
          <cell r="G95">
            <v>57500</v>
          </cell>
          <cell r="H95">
            <v>57500</v>
          </cell>
          <cell r="I95">
            <v>57499.999999999993</v>
          </cell>
          <cell r="J95">
            <v>57500</v>
          </cell>
          <cell r="K95">
            <v>23000</v>
          </cell>
          <cell r="L95">
            <v>23000</v>
          </cell>
          <cell r="M95">
            <v>11500</v>
          </cell>
          <cell r="N95">
            <v>23000</v>
          </cell>
          <cell r="O95">
            <v>23000</v>
          </cell>
        </row>
        <row r="96">
          <cell r="B96">
            <v>93</v>
          </cell>
          <cell r="C96">
            <v>2911083.1557779629</v>
          </cell>
          <cell r="D96">
            <v>121888.79999999994</v>
          </cell>
          <cell r="E96">
            <v>54172.799999999974</v>
          </cell>
          <cell r="F96">
            <v>58125</v>
          </cell>
          <cell r="G96">
            <v>58125</v>
          </cell>
          <cell r="H96">
            <v>58125</v>
          </cell>
          <cell r="I96">
            <v>58125.000000000007</v>
          </cell>
          <cell r="J96">
            <v>58125</v>
          </cell>
          <cell r="K96">
            <v>23250</v>
          </cell>
          <cell r="L96">
            <v>23250</v>
          </cell>
          <cell r="M96">
            <v>11625</v>
          </cell>
          <cell r="N96">
            <v>23250</v>
          </cell>
          <cell r="O96">
            <v>23250</v>
          </cell>
        </row>
        <row r="97">
          <cell r="B97">
            <v>94</v>
          </cell>
          <cell r="C97">
            <v>2977105.627380169</v>
          </cell>
          <cell r="D97">
            <v>124104.95999999993</v>
          </cell>
          <cell r="E97">
            <v>55157.759999999973</v>
          </cell>
          <cell r="F97">
            <v>58750</v>
          </cell>
          <cell r="G97">
            <v>58750</v>
          </cell>
          <cell r="H97">
            <v>58750</v>
          </cell>
          <cell r="I97">
            <v>58750</v>
          </cell>
          <cell r="J97">
            <v>58750</v>
          </cell>
          <cell r="K97">
            <v>23500</v>
          </cell>
          <cell r="L97">
            <v>23500</v>
          </cell>
          <cell r="M97">
            <v>11750</v>
          </cell>
          <cell r="N97">
            <v>23500</v>
          </cell>
          <cell r="O97">
            <v>23500</v>
          </cell>
        </row>
        <row r="98">
          <cell r="B98">
            <v>95</v>
          </cell>
          <cell r="C98">
            <v>3043278.4263442908</v>
          </cell>
          <cell r="D98">
            <v>126321.11999999992</v>
          </cell>
          <cell r="E98">
            <v>56142.719999999965</v>
          </cell>
          <cell r="F98">
            <v>59375</v>
          </cell>
          <cell r="G98">
            <v>59375</v>
          </cell>
          <cell r="H98">
            <v>59375</v>
          </cell>
          <cell r="I98">
            <v>59375</v>
          </cell>
          <cell r="J98">
            <v>59375</v>
          </cell>
          <cell r="K98">
            <v>23750</v>
          </cell>
          <cell r="L98">
            <v>23750</v>
          </cell>
          <cell r="M98">
            <v>11875</v>
          </cell>
          <cell r="N98">
            <v>23750</v>
          </cell>
          <cell r="O98">
            <v>23750</v>
          </cell>
        </row>
        <row r="99">
          <cell r="B99">
            <v>96</v>
          </cell>
          <cell r="C99">
            <v>3109586.773333509</v>
          </cell>
          <cell r="D99">
            <v>128537.27999999991</v>
          </cell>
          <cell r="E99">
            <v>57127.679999999957</v>
          </cell>
          <cell r="F99">
            <v>60000</v>
          </cell>
          <cell r="G99">
            <v>60000</v>
          </cell>
          <cell r="H99">
            <v>60000</v>
          </cell>
          <cell r="I99">
            <v>60000</v>
          </cell>
          <cell r="J99">
            <v>60000</v>
          </cell>
          <cell r="K99">
            <v>24000</v>
          </cell>
          <cell r="L99">
            <v>24000</v>
          </cell>
          <cell r="M99">
            <v>12000</v>
          </cell>
          <cell r="N99">
            <v>24000</v>
          </cell>
          <cell r="O99">
            <v>24000</v>
          </cell>
        </row>
        <row r="100">
          <cell r="B100">
            <v>97</v>
          </cell>
          <cell r="C100">
            <v>3176016.1342812413</v>
          </cell>
          <cell r="D100">
            <v>130753.43999999992</v>
          </cell>
          <cell r="E100">
            <v>58112.639999999963</v>
          </cell>
          <cell r="F100">
            <v>60625</v>
          </cell>
          <cell r="G100">
            <v>60625</v>
          </cell>
          <cell r="H100">
            <v>60625</v>
          </cell>
          <cell r="I100">
            <v>60624.999999999993</v>
          </cell>
          <cell r="J100">
            <v>60625</v>
          </cell>
          <cell r="K100">
            <v>24250</v>
          </cell>
          <cell r="L100">
            <v>24250</v>
          </cell>
          <cell r="M100">
            <v>12125</v>
          </cell>
          <cell r="N100">
            <v>24250</v>
          </cell>
          <cell r="O100">
            <v>24250</v>
          </cell>
        </row>
        <row r="101">
          <cell r="B101">
            <v>98</v>
          </cell>
          <cell r="C101">
            <v>3242552.229950028</v>
          </cell>
          <cell r="D101">
            <v>132969.59999999989</v>
          </cell>
          <cell r="E101">
            <v>59097.599999999948</v>
          </cell>
          <cell r="F101">
            <v>61250</v>
          </cell>
          <cell r="G101">
            <v>61250</v>
          </cell>
          <cell r="H101">
            <v>61250</v>
          </cell>
          <cell r="I101">
            <v>61250.000000000007</v>
          </cell>
          <cell r="J101">
            <v>61250</v>
          </cell>
          <cell r="K101">
            <v>24500</v>
          </cell>
          <cell r="L101">
            <v>24500</v>
          </cell>
          <cell r="M101">
            <v>12250</v>
          </cell>
          <cell r="N101">
            <v>24500</v>
          </cell>
          <cell r="O101">
            <v>24500</v>
          </cell>
        </row>
        <row r="102">
          <cell r="B102">
            <v>99</v>
          </cell>
          <cell r="C102">
            <v>3309181.0454904428</v>
          </cell>
          <cell r="D102">
            <v>135185.75999999989</v>
          </cell>
          <cell r="E102">
            <v>60082.559999999954</v>
          </cell>
          <cell r="F102">
            <v>61875</v>
          </cell>
          <cell r="G102">
            <v>61875</v>
          </cell>
          <cell r="H102">
            <v>61875</v>
          </cell>
          <cell r="I102">
            <v>61875</v>
          </cell>
          <cell r="J102">
            <v>61875</v>
          </cell>
          <cell r="K102">
            <v>24750</v>
          </cell>
          <cell r="L102">
            <v>24750</v>
          </cell>
          <cell r="M102">
            <v>12375</v>
          </cell>
          <cell r="N102">
            <v>24750</v>
          </cell>
          <cell r="O102">
            <v>24750</v>
          </cell>
        </row>
        <row r="103">
          <cell r="B103">
            <v>100</v>
          </cell>
          <cell r="C103">
            <v>3375888.8399999975</v>
          </cell>
          <cell r="D103">
            <v>137401.9199999999</v>
          </cell>
          <cell r="E103">
            <v>61067.519999999953</v>
          </cell>
          <cell r="F103">
            <v>62500</v>
          </cell>
          <cell r="G103">
            <v>62500</v>
          </cell>
          <cell r="H103">
            <v>62500</v>
          </cell>
          <cell r="I103">
            <v>62500</v>
          </cell>
          <cell r="J103">
            <v>62500</v>
          </cell>
          <cell r="K103">
            <v>25000</v>
          </cell>
          <cell r="L103">
            <v>25000</v>
          </cell>
          <cell r="M103">
            <v>12500</v>
          </cell>
          <cell r="N103">
            <v>25000</v>
          </cell>
          <cell r="O103">
            <v>25000</v>
          </cell>
        </row>
      </sheetData>
      <sheetData sheetId="7">
        <row r="45">
          <cell r="B45" t="str">
            <v>龙魂</v>
          </cell>
          <cell r="C45">
            <v>0.18147448015122875</v>
          </cell>
          <cell r="D45">
            <v>0.11408199643493763</v>
          </cell>
          <cell r="E45">
            <v>0.13864818024263434</v>
          </cell>
          <cell r="F45">
            <v>0.25</v>
          </cell>
          <cell r="G45">
            <v>0.25</v>
          </cell>
          <cell r="H45">
            <v>0.22222222222222221</v>
          </cell>
          <cell r="I45">
            <v>0.2857142857142857</v>
          </cell>
          <cell r="J45">
            <v>0.22222222222222221</v>
          </cell>
          <cell r="K45">
            <v>0.25</v>
          </cell>
          <cell r="L45">
            <v>0.25</v>
          </cell>
          <cell r="M45">
            <v>0.44444444444444442</v>
          </cell>
          <cell r="N45">
            <v>0</v>
          </cell>
          <cell r="O45">
            <v>0</v>
          </cell>
        </row>
        <row r="46">
          <cell r="B46" t="str">
            <v>装备</v>
          </cell>
          <cell r="C46">
            <v>0.22684310018903592</v>
          </cell>
          <cell r="D46">
            <v>0.25668449197860965</v>
          </cell>
          <cell r="E46">
            <v>0.24956672443674177</v>
          </cell>
          <cell r="F46">
            <v>0.375</v>
          </cell>
          <cell r="G46">
            <v>0.375</v>
          </cell>
          <cell r="H46">
            <v>0.22222222222222221</v>
          </cell>
          <cell r="I46">
            <v>0</v>
          </cell>
          <cell r="J46">
            <v>0.22222222222222221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</row>
        <row r="47">
          <cell r="B47" t="str">
            <v>命格</v>
          </cell>
          <cell r="C47">
            <v>0.1890359168241966</v>
          </cell>
          <cell r="D47">
            <v>0.17825311942959005</v>
          </cell>
          <cell r="E47">
            <v>0.1733102253032929</v>
          </cell>
          <cell r="F47">
            <v>0.375</v>
          </cell>
          <cell r="G47">
            <v>0.375</v>
          </cell>
          <cell r="H47">
            <v>0.55555555555555558</v>
          </cell>
          <cell r="I47">
            <v>0.5</v>
          </cell>
          <cell r="J47">
            <v>0.55555555555555558</v>
          </cell>
          <cell r="K47">
            <v>0.5</v>
          </cell>
          <cell r="L47">
            <v>0.5</v>
          </cell>
          <cell r="M47">
            <v>0.55555555555555558</v>
          </cell>
          <cell r="N47">
            <v>0.4</v>
          </cell>
          <cell r="O47">
            <v>0.6</v>
          </cell>
        </row>
        <row r="48">
          <cell r="B48" t="str">
            <v>称号</v>
          </cell>
          <cell r="C48">
            <v>5.6710775047258983E-3</v>
          </cell>
          <cell r="D48">
            <v>5.3475935828877011E-3</v>
          </cell>
          <cell r="E48">
            <v>5.1993067590987872E-3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</row>
        <row r="49">
          <cell r="B49" t="str">
            <v>时装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</row>
        <row r="50">
          <cell r="B50" t="str">
            <v>祥云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</row>
        <row r="51">
          <cell r="B51" t="str">
            <v>翅膀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</row>
        <row r="52">
          <cell r="B52" t="str">
            <v>躶体</v>
          </cell>
          <cell r="C52">
            <v>1.890359168241966E-2</v>
          </cell>
          <cell r="D52">
            <v>1.7825311942959002E-2</v>
          </cell>
          <cell r="E52">
            <v>1.7331022530329292E-2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</row>
        <row r="53">
          <cell r="B53" t="str">
            <v>马仔</v>
          </cell>
          <cell r="C53">
            <v>0.3780718336483932</v>
          </cell>
          <cell r="D53">
            <v>0.42780748663101609</v>
          </cell>
          <cell r="E53">
            <v>0.41594454072790299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>
        <row r="1">
          <cell r="B1">
            <v>8</v>
          </cell>
        </row>
        <row r="2">
          <cell r="B2">
            <v>8</v>
          </cell>
        </row>
        <row r="3">
          <cell r="B3">
            <v>7</v>
          </cell>
        </row>
        <row r="4">
          <cell r="B4" t="str">
            <v>命格</v>
          </cell>
        </row>
        <row r="6">
          <cell r="D6">
            <v>1</v>
          </cell>
          <cell r="E6">
            <v>0.125</v>
          </cell>
          <cell r="F6">
            <v>0.125</v>
          </cell>
          <cell r="G6"/>
        </row>
        <row r="7">
          <cell r="D7">
            <v>7</v>
          </cell>
          <cell r="E7">
            <v>0.875</v>
          </cell>
          <cell r="F7">
            <v>0.875</v>
          </cell>
          <cell r="G7"/>
        </row>
        <row r="8">
          <cell r="D8">
            <v>1</v>
          </cell>
          <cell r="E8"/>
          <cell r="F8">
            <v>0.125</v>
          </cell>
          <cell r="G8">
            <v>1</v>
          </cell>
        </row>
        <row r="12">
          <cell r="C12" t="str">
            <v>品质ID</v>
          </cell>
          <cell r="D12" t="str">
            <v>品质颜色</v>
          </cell>
          <cell r="E12" t="str">
            <v>占比系数</v>
          </cell>
          <cell r="F12" t="str">
            <v>百分比</v>
          </cell>
          <cell r="G12" t="str">
            <v>命格属性</v>
          </cell>
          <cell r="H12" t="str">
            <v>每级别命格属性</v>
          </cell>
        </row>
        <row r="13">
          <cell r="C13">
            <v>1</v>
          </cell>
          <cell r="D13" t="str">
            <v>绿</v>
          </cell>
          <cell r="E13">
            <v>1</v>
          </cell>
          <cell r="F13">
            <v>9.5259868922420346E-2</v>
          </cell>
          <cell r="G13">
            <v>1.1907483615302543E-2</v>
          </cell>
          <cell r="H13">
            <v>1.1907483615302543E-2</v>
          </cell>
        </row>
        <row r="14">
          <cell r="C14">
            <v>2</v>
          </cell>
          <cell r="D14" t="str">
            <v>蓝</v>
          </cell>
          <cell r="E14">
            <v>1.8</v>
          </cell>
          <cell r="F14">
            <v>0.17146776406035663</v>
          </cell>
          <cell r="G14">
            <v>2.1433470507544579E-2</v>
          </cell>
          <cell r="H14">
            <v>2.1433470507544579E-2</v>
          </cell>
        </row>
        <row r="15">
          <cell r="C15">
            <v>3</v>
          </cell>
          <cell r="D15" t="str">
            <v>紫</v>
          </cell>
          <cell r="E15">
            <v>3.24</v>
          </cell>
          <cell r="F15">
            <v>0.30864197530864196</v>
          </cell>
          <cell r="G15">
            <v>3.8580246913580245E-2</v>
          </cell>
          <cell r="H15">
            <v>3.8580246913580245E-2</v>
          </cell>
        </row>
        <row r="16">
          <cell r="C16">
            <v>4</v>
          </cell>
          <cell r="D16" t="str">
            <v>橙</v>
          </cell>
          <cell r="E16">
            <v>5.8320000000000007</v>
          </cell>
          <cell r="F16">
            <v>0.55555555555555547</v>
          </cell>
          <cell r="G16">
            <v>6.9444444444444434E-2</v>
          </cell>
          <cell r="H16">
            <v>6.9444444444444434E-2</v>
          </cell>
        </row>
        <row r="17">
          <cell r="C17">
            <v>5</v>
          </cell>
          <cell r="D17" t="str">
            <v>红</v>
          </cell>
          <cell r="E17">
            <v>10.497600000000002</v>
          </cell>
          <cell r="F17">
            <v>1</v>
          </cell>
          <cell r="G17">
            <v>0.125</v>
          </cell>
          <cell r="H17">
            <v>0.125</v>
          </cell>
        </row>
      </sheetData>
      <sheetData sheetId="16"/>
      <sheetData sheetId="17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经济设定"/>
      <sheetName val="1、经济推算"/>
      <sheetName val="升级时间"/>
      <sheetName val="金币生产率曲线"/>
      <sheetName val="技能消耗"/>
      <sheetName val="装备消耗"/>
      <sheetName val="竞技场"/>
      <sheetName val="体力消耗运算"/>
      <sheetName val="副本规划"/>
      <sheetName val="金币投放"/>
      <sheetName val="钻石投放"/>
      <sheetName val="经验投放节奏规划"/>
      <sheetName val="装备&amp;装备材料的投放"/>
      <sheetName val="龙魂的投放"/>
      <sheetName val="命币的投放"/>
      <sheetName val="马仔的投放"/>
      <sheetName val="马仔宝物投放"/>
      <sheetName val="技能材料的投放"/>
      <sheetName val="材料产出汇总"/>
      <sheetName val="价格评估并表"/>
      <sheetName val="道具价格评估"/>
      <sheetName val="马仔装备价格评估"/>
      <sheetName val="装备价格评估"/>
      <sheetName val="命格价格评估"/>
      <sheetName val="马仔价格评估"/>
      <sheetName val="龙魂价格评估"/>
    </sheetNames>
    <sheetDataSet>
      <sheetData sheetId="0"/>
      <sheetData sheetId="1">
        <row r="3">
          <cell r="G3">
            <v>99.068315759458088</v>
          </cell>
        </row>
        <row r="4">
          <cell r="G4">
            <v>208.11866228629913</v>
          </cell>
        </row>
        <row r="5">
          <cell r="G5">
            <v>328.15681965740373</v>
          </cell>
        </row>
        <row r="6">
          <cell r="G6">
            <v>460.28990940878282</v>
          </cell>
        </row>
        <row r="7">
          <cell r="G7">
            <v>605.73660560614326</v>
          </cell>
        </row>
        <row r="8">
          <cell r="G8">
            <v>765.83837477336635</v>
          </cell>
        </row>
        <row r="9">
          <cell r="G9">
            <v>942.07184834565885</v>
          </cell>
        </row>
        <row r="10">
          <cell r="G10">
            <v>1136.0624417595031</v>
          </cell>
        </row>
        <row r="11">
          <cell r="G11">
            <v>1349.599345789363</v>
          </cell>
        </row>
        <row r="12">
          <cell r="G12">
            <v>1584.6520283974437</v>
          </cell>
        </row>
        <row r="13">
          <cell r="G13">
            <v>1843.3883992943884</v>
          </cell>
        </row>
        <row r="14">
          <cell r="G14">
            <v>2128.1948047441083</v>
          </cell>
        </row>
        <row r="15">
          <cell r="G15">
            <v>2441.6980370264314</v>
          </cell>
        </row>
        <row r="16">
          <cell r="G16">
            <v>2786.7895615526086</v>
          </cell>
        </row>
        <row r="17">
          <cell r="G17">
            <v>3166.6521850822983</v>
          </cell>
        </row>
        <row r="18">
          <cell r="G18">
            <v>3584.7894110051366</v>
          </cell>
        </row>
        <row r="19">
          <cell r="G19">
            <v>4045.0577524329992</v>
          </cell>
        </row>
        <row r="20">
          <cell r="G20">
            <v>4551.702301129194</v>
          </cell>
        </row>
        <row r="21">
          <cell r="G21">
            <v>5109.39588032967</v>
          </cell>
        </row>
        <row r="22">
          <cell r="G22">
            <v>5723.2821425658376</v>
          </cell>
        </row>
        <row r="23">
          <cell r="G23">
            <v>6399.0230099836836</v>
          </cell>
        </row>
        <row r="24">
          <cell r="G24">
            <v>7142.8508947050314</v>
          </cell>
        </row>
        <row r="25">
          <cell r="G25">
            <v>7961.6261808635236</v>
          </cell>
        </row>
        <row r="26">
          <cell r="G26">
            <v>8862.9004984767471</v>
          </cell>
        </row>
        <row r="27">
          <cell r="G27">
            <v>9854.9863727344909</v>
          </cell>
        </row>
        <row r="28">
          <cell r="G28">
            <v>10947.033891084093</v>
          </cell>
        </row>
        <row r="29">
          <cell r="G29">
            <v>12149.115095219549</v>
          </cell>
        </row>
        <row r="30">
          <cell r="G30">
            <v>13472.316876328448</v>
          </cell>
        </row>
        <row r="31">
          <cell r="G31">
            <v>14928.843230377048</v>
          </cell>
        </row>
        <row r="32">
          <cell r="G32">
            <v>16532.127816542146</v>
          </cell>
        </row>
        <row r="33">
          <cell r="G33">
            <v>18296.957856925212</v>
          </cell>
        </row>
        <row r="34">
          <cell r="G34">
            <v>20239.610520285732</v>
          </cell>
        </row>
        <row r="35">
          <cell r="G35">
            <v>22378.003047671871</v>
          </cell>
        </row>
        <row r="36">
          <cell r="G36">
            <v>24731.858004569156</v>
          </cell>
        </row>
        <row r="37">
          <cell r="G37">
            <v>27322.885183700997</v>
          </cell>
          <cell r="I37">
            <v>0.47981984798737787</v>
          </cell>
        </row>
        <row r="38">
          <cell r="G38">
            <v>30174.981836185121</v>
          </cell>
          <cell r="I38">
            <v>0.5281660467563194</v>
          </cell>
        </row>
        <row r="39">
          <cell r="G39">
            <v>33314.453077793907</v>
          </cell>
          <cell r="I39">
            <v>0.58138356326088625</v>
          </cell>
        </row>
        <row r="40">
          <cell r="G40">
            <v>36770.254503143209</v>
          </cell>
          <cell r="I40">
            <v>0.6399632269165374</v>
          </cell>
        </row>
        <row r="41">
          <cell r="G41">
            <v>40574.259245459769</v>
          </cell>
          <cell r="I41">
            <v>0.70444532265121429</v>
          </cell>
        </row>
        <row r="42">
          <cell r="G42">
            <v>44761.551945040796</v>
          </cell>
          <cell r="I42">
            <v>0.77542457399648657</v>
          </cell>
        </row>
        <row r="43">
          <cell r="G43">
            <v>49370.752337700425</v>
          </cell>
          <cell r="I43">
            <v>0.85355562827030251</v>
          </cell>
        </row>
        <row r="44">
          <cell r="G44">
            <v>54444.371447685124</v>
          </cell>
          <cell r="I44">
            <v>0.9395590944416109</v>
          </cell>
        </row>
        <row r="45">
          <cell r="G45">
            <v>60029.203670253846</v>
          </cell>
          <cell r="I45">
            <v>1.0342281893645782</v>
          </cell>
        </row>
        <row r="46">
          <cell r="G46">
            <v>66176.758360132008</v>
          </cell>
          <cell r="I46">
            <v>1.1384360536811409</v>
          </cell>
        </row>
        <row r="47">
          <cell r="G47">
            <v>72943.734906414087</v>
          </cell>
          <cell r="I47">
            <v>1.2531438048670518</v>
          </cell>
        </row>
        <row r="48">
          <cell r="G48">
            <v>80392.545675568763</v>
          </cell>
          <cell r="I48">
            <v>1.3794094016953091</v>
          </cell>
        </row>
        <row r="49">
          <cell r="G49">
            <v>88591.891645691736</v>
          </cell>
          <cell r="I49">
            <v>1.5183974018746234</v>
          </cell>
        </row>
        <row r="50">
          <cell r="G50">
            <v>97617.396041127096</v>
          </cell>
          <cell r="I50">
            <v>1.6713897028584002</v>
          </cell>
        </row>
        <row r="51">
          <cell r="G51">
            <v>107552.30181152005</v>
          </cell>
          <cell r="I51">
            <v>1.8397973648875856</v>
          </cell>
        </row>
        <row r="52">
          <cell r="G52">
            <v>118488.23938820619</v>
          </cell>
          <cell r="I52">
            <v>2.0251736253122479</v>
          </cell>
        </row>
        <row r="53">
          <cell r="G53">
            <v>130526.0717990158</v>
          </cell>
          <cell r="I53">
            <v>2.2292282242240029</v>
          </cell>
        </row>
        <row r="54">
          <cell r="G54">
            <v>143776.82493605497</v>
          </cell>
          <cell r="I54">
            <v>2.4538431735257733</v>
          </cell>
        </row>
        <row r="55">
          <cell r="G55">
            <v>158362.71155639749</v>
          </cell>
          <cell r="I55">
            <v>2.7010901148782449</v>
          </cell>
        </row>
        <row r="56">
          <cell r="G56">
            <v>174418.25846012804</v>
          </cell>
          <cell r="I56">
            <v>2.9732494266167659</v>
          </cell>
        </row>
        <row r="57">
          <cell r="G57">
            <v>192091.5472417899</v>
          </cell>
          <cell r="I57">
            <v>3.272831255863307</v>
          </cell>
        </row>
        <row r="58">
          <cell r="G58">
            <v>211545.58005878731</v>
          </cell>
          <cell r="I58">
            <v>3.6025986698143324</v>
          </cell>
        </row>
        <row r="59">
          <cell r="G59">
            <v>232959.78301333351</v>
          </cell>
          <cell r="I59">
            <v>3.9655931397307782</v>
          </cell>
        </row>
        <row r="60">
          <cell r="G60">
            <v>256531.66101375688</v>
          </cell>
          <cell r="I60">
            <v>4.3651625926709956</v>
          </cell>
        </row>
        <row r="61">
          <cell r="G61">
            <v>282478.61937808315</v>
          </cell>
          <cell r="I61">
            <v>4.8049922896900519</v>
          </cell>
        </row>
        <row r="62">
          <cell r="G62">
            <v>311039.96898068971</v>
          </cell>
          <cell r="I62">
            <v>5.2891388152975081</v>
          </cell>
        </row>
        <row r="63">
          <cell r="G63">
            <v>342479.13343565969</v>
          </cell>
          <cell r="I63">
            <v>5.8220674916611079</v>
          </cell>
        </row>
        <row r="64">
          <cell r="G64">
            <v>377086.07867386524</v>
          </cell>
          <cell r="I64">
            <v>6.4086935626306527</v>
          </cell>
        </row>
        <row r="65">
          <cell r="G65">
            <v>415179.98732196324</v>
          </cell>
          <cell r="I65">
            <v>7.0544275274255561</v>
          </cell>
        </row>
        <row r="66">
          <cell r="G66">
            <v>457112.20254931576</v>
          </cell>
          <cell r="I66">
            <v>7.7652250421023155</v>
          </cell>
        </row>
        <row r="67">
          <cell r="G67">
            <v>503269.46853417036</v>
          </cell>
          <cell r="I67">
            <v>8.5476418490471513</v>
          </cell>
        </row>
        <row r="68">
          <cell r="G68">
            <v>554077.49743618001</v>
          </cell>
          <cell r="I68">
            <v>9.4088942411129057</v>
          </cell>
        </row>
        <row r="69">
          <cell r="G69">
            <v>610004.89577373525</v>
          </cell>
          <cell r="I69">
            <v>10.356925618065782</v>
          </cell>
        </row>
        <row r="70">
          <cell r="G70">
            <v>671567.4864194009</v>
          </cell>
          <cell r="I70">
            <v>11.400479749197352</v>
          </cell>
        </row>
        <row r="71">
          <cell r="G71">
            <v>739333.06607556832</v>
          </cell>
          <cell r="I71">
            <v>12.549181417808791</v>
          </cell>
        </row>
        <row r="72">
          <cell r="G72">
            <v>813926.64210890059</v>
          </cell>
          <cell r="I72">
            <v>13.813625191357827</v>
          </cell>
        </row>
        <row r="73">
          <cell r="G73">
            <v>896036.19704331516</v>
          </cell>
          <cell r="I73">
            <v>15.20547313600269</v>
          </cell>
        </row>
        <row r="74">
          <cell r="G74">
            <v>986419.03387788346</v>
          </cell>
          <cell r="I74">
            <v>16.737562376771915</v>
          </cell>
        </row>
        <row r="75">
          <cell r="G75">
            <v>1085908.7607530234</v>
          </cell>
          <cell r="I75">
            <v>18.424023495396291</v>
          </cell>
        </row>
        <row r="76">
          <cell r="G76">
            <v>1195422.9793851192</v>
          </cell>
          <cell r="I76">
            <v>20.280410857795498</v>
          </cell>
        </row>
        <row r="77">
          <cell r="G77">
            <v>1315971.7481806169</v>
          </cell>
          <cell r="I77">
            <v>22.323846073240301</v>
          </cell>
        </row>
        <row r="78">
          <cell r="G78">
            <v>1448666.8980855756</v>
          </cell>
          <cell r="I78">
            <v>24.573175908325663</v>
          </cell>
        </row>
        <row r="79">
          <cell r="G79">
            <v>1594732.2870914985</v>
          </cell>
          <cell r="I79">
            <v>27.049146112207946</v>
          </cell>
        </row>
        <row r="80">
          <cell r="G80">
            <v>1755515.0879755747</v>
          </cell>
          <cell r="I80">
            <v>29.774592756310394</v>
          </cell>
        </row>
        <row r="81">
          <cell r="G81">
            <v>1932498.2133830606</v>
          </cell>
          <cell r="I81">
            <v>32.77465285323813</v>
          </cell>
        </row>
        <row r="82">
          <cell r="G82">
            <v>2127313.9928493337</v>
          </cell>
          <cell r="I82">
            <v>36.076996197457966</v>
          </cell>
        </row>
        <row r="83">
          <cell r="G83">
            <v>2341759.2279058858</v>
          </cell>
          <cell r="I83">
            <v>39.712080566028185</v>
          </cell>
        </row>
        <row r="84">
          <cell r="G84">
            <v>2577811.764124705</v>
          </cell>
          <cell r="I84">
            <v>43.713432633114657</v>
          </cell>
        </row>
        <row r="85">
          <cell r="G85">
            <v>2837648.7329463372</v>
          </cell>
          <cell r="I85">
            <v>48.117957189191152</v>
          </cell>
        </row>
        <row r="86">
          <cell r="G86">
            <v>3123666.63153747</v>
          </cell>
          <cell r="I86">
            <v>52.96627751687641</v>
          </cell>
        </row>
        <row r="87">
          <cell r="G87">
            <v>3438503.4258761699</v>
          </cell>
          <cell r="I87">
            <v>58.303110062722205</v>
          </cell>
        </row>
        <row r="88">
          <cell r="G88">
            <v>3785062.8809233019</v>
          </cell>
          <cell r="I88">
            <v>64.177676860580036</v>
          </cell>
        </row>
        <row r="89">
          <cell r="G89">
            <v>4166541.3422792465</v>
          </cell>
          <cell r="I89">
            <v>70.644159510360126</v>
          </cell>
        </row>
        <row r="90">
          <cell r="G90">
            <v>4586457.2163352799</v>
          </cell>
          <cell r="I90">
            <v>77.762198899265357</v>
          </cell>
        </row>
        <row r="91">
          <cell r="G91">
            <v>5048683.4208174124</v>
          </cell>
          <cell r="I91">
            <v>85.597445274468953</v>
          </cell>
        </row>
        <row r="92">
          <cell r="G92">
            <v>5557483.1050166544</v>
          </cell>
          <cell r="I92">
            <v>94.222163740600294</v>
          </cell>
        </row>
        <row r="93">
          <cell r="G93">
            <v>6117548.9691562438</v>
          </cell>
          <cell r="I93">
            <v>103.71590076659061</v>
          </cell>
        </row>
        <row r="94">
          <cell r="G94">
            <v>6734046.5455415174</v>
          </cell>
          <cell r="I94">
            <v>114.16621784912469</v>
          </cell>
        </row>
        <row r="95">
          <cell r="G95">
            <v>7412661.8406779272</v>
          </cell>
          <cell r="I95">
            <v>125.6694990993352</v>
          </cell>
        </row>
        <row r="96">
          <cell r="G96">
            <v>8159653.7777642794</v>
          </cell>
          <cell r="I96">
            <v>138.33184020117639</v>
          </cell>
        </row>
        <row r="97">
          <cell r="G97">
            <v>8981911.9232425019</v>
          </cell>
          <cell r="I97">
            <v>152.27002694041161</v>
          </cell>
        </row>
        <row r="98">
          <cell r="G98">
            <v>9887020.0298205353</v>
          </cell>
          <cell r="I98">
            <v>167.61261232926543</v>
          </cell>
        </row>
        <row r="99">
          <cell r="G99">
            <v>10883325.982030733</v>
          </cell>
          <cell r="I99">
            <v>184.50110226114757</v>
          </cell>
        </row>
        <row r="100">
          <cell r="G100">
            <v>11980018.789437259</v>
          </cell>
          <cell r="I100">
            <v>203.09126063083818</v>
          </cell>
        </row>
        <row r="101">
          <cell r="G101">
            <v>13187213.337606996</v>
          </cell>
          <cell r="I101">
            <v>223.55454595735867</v>
          </cell>
        </row>
        <row r="102">
          <cell r="G102">
            <v>14516043.67850895</v>
          </cell>
          <cell r="I102">
            <v>246.07969275962111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46">
          <cell r="K46">
            <v>45.5</v>
          </cell>
        </row>
        <row r="47">
          <cell r="K47">
            <v>46</v>
          </cell>
        </row>
        <row r="48">
          <cell r="K48">
            <v>46.5</v>
          </cell>
        </row>
        <row r="49">
          <cell r="K49">
            <v>47</v>
          </cell>
        </row>
        <row r="50">
          <cell r="K50">
            <v>47.5</v>
          </cell>
        </row>
        <row r="51">
          <cell r="K51">
            <v>48</v>
          </cell>
        </row>
        <row r="52">
          <cell r="K52">
            <v>48.5</v>
          </cell>
        </row>
        <row r="53">
          <cell r="K53">
            <v>49</v>
          </cell>
        </row>
        <row r="54">
          <cell r="K54">
            <v>49.5</v>
          </cell>
        </row>
        <row r="55">
          <cell r="K55">
            <v>50</v>
          </cell>
        </row>
        <row r="56">
          <cell r="K56">
            <v>50.5</v>
          </cell>
        </row>
        <row r="57">
          <cell r="K57">
            <v>51</v>
          </cell>
        </row>
        <row r="58">
          <cell r="K58">
            <v>51.5</v>
          </cell>
        </row>
        <row r="59">
          <cell r="K59">
            <v>52</v>
          </cell>
        </row>
        <row r="60">
          <cell r="K60">
            <v>52.5</v>
          </cell>
        </row>
        <row r="61">
          <cell r="K61">
            <v>53</v>
          </cell>
        </row>
        <row r="62">
          <cell r="K62">
            <v>53.5</v>
          </cell>
        </row>
        <row r="63">
          <cell r="K63">
            <v>54</v>
          </cell>
        </row>
        <row r="64">
          <cell r="K64">
            <v>54.5</v>
          </cell>
        </row>
        <row r="65">
          <cell r="K65">
            <v>55</v>
          </cell>
        </row>
        <row r="66">
          <cell r="K66">
            <v>55.5</v>
          </cell>
        </row>
        <row r="67">
          <cell r="K67">
            <v>56</v>
          </cell>
        </row>
        <row r="68">
          <cell r="K68">
            <v>56.5</v>
          </cell>
        </row>
        <row r="69">
          <cell r="K69">
            <v>57</v>
          </cell>
        </row>
        <row r="70">
          <cell r="K70">
            <v>57.5</v>
          </cell>
        </row>
        <row r="71">
          <cell r="K71">
            <v>58</v>
          </cell>
        </row>
        <row r="72">
          <cell r="K72">
            <v>58.5</v>
          </cell>
        </row>
        <row r="73">
          <cell r="K73">
            <v>59</v>
          </cell>
        </row>
        <row r="74">
          <cell r="K74">
            <v>59.5</v>
          </cell>
        </row>
        <row r="75">
          <cell r="K75">
            <v>60</v>
          </cell>
        </row>
        <row r="76">
          <cell r="K76">
            <v>60.5</v>
          </cell>
        </row>
        <row r="77">
          <cell r="K77">
            <v>61</v>
          </cell>
        </row>
        <row r="78">
          <cell r="K78">
            <v>61.5</v>
          </cell>
        </row>
        <row r="79">
          <cell r="K79">
            <v>62</v>
          </cell>
        </row>
        <row r="80">
          <cell r="K80">
            <v>62.5</v>
          </cell>
        </row>
        <row r="81">
          <cell r="K81">
            <v>63</v>
          </cell>
        </row>
        <row r="82">
          <cell r="K82">
            <v>63.5</v>
          </cell>
        </row>
        <row r="83">
          <cell r="K83">
            <v>64</v>
          </cell>
        </row>
        <row r="84">
          <cell r="K84">
            <v>64.5</v>
          </cell>
        </row>
        <row r="85">
          <cell r="K85">
            <v>65</v>
          </cell>
        </row>
        <row r="86">
          <cell r="K86">
            <v>65.5</v>
          </cell>
        </row>
        <row r="87">
          <cell r="K87">
            <v>66</v>
          </cell>
        </row>
        <row r="88">
          <cell r="K88">
            <v>66.5</v>
          </cell>
        </row>
        <row r="89">
          <cell r="K89">
            <v>67</v>
          </cell>
        </row>
        <row r="90">
          <cell r="K90">
            <v>67.5</v>
          </cell>
        </row>
        <row r="91">
          <cell r="K91">
            <v>68</v>
          </cell>
        </row>
        <row r="92">
          <cell r="K92">
            <v>68.5</v>
          </cell>
        </row>
        <row r="93">
          <cell r="K93">
            <v>69</v>
          </cell>
        </row>
        <row r="94">
          <cell r="K94">
            <v>69.5</v>
          </cell>
        </row>
        <row r="95">
          <cell r="K95">
            <v>70</v>
          </cell>
        </row>
        <row r="96">
          <cell r="K96">
            <v>70.5</v>
          </cell>
        </row>
        <row r="97">
          <cell r="K97">
            <v>71</v>
          </cell>
        </row>
        <row r="98">
          <cell r="K98">
            <v>71.5</v>
          </cell>
        </row>
        <row r="99">
          <cell r="K99">
            <v>72</v>
          </cell>
        </row>
        <row r="100">
          <cell r="K100">
            <v>72.5</v>
          </cell>
        </row>
        <row r="101">
          <cell r="K101">
            <v>73</v>
          </cell>
        </row>
        <row r="102">
          <cell r="K102">
            <v>73.5</v>
          </cell>
        </row>
        <row r="103">
          <cell r="K103">
            <v>74</v>
          </cell>
        </row>
        <row r="104">
          <cell r="K104">
            <v>74.5</v>
          </cell>
        </row>
        <row r="105">
          <cell r="K105">
            <v>75</v>
          </cell>
        </row>
        <row r="106">
          <cell r="K106">
            <v>75.5</v>
          </cell>
        </row>
        <row r="107">
          <cell r="K107">
            <v>76</v>
          </cell>
        </row>
        <row r="108">
          <cell r="K108">
            <v>76.5</v>
          </cell>
        </row>
        <row r="109">
          <cell r="K109">
            <v>77</v>
          </cell>
        </row>
        <row r="110">
          <cell r="K110">
            <v>77.5</v>
          </cell>
        </row>
        <row r="111">
          <cell r="K111">
            <v>78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G6"/>
  <sheetViews>
    <sheetView workbookViewId="0">
      <selection activeCell="G6" sqref="A1:G6"/>
    </sheetView>
  </sheetViews>
  <sheetFormatPr defaultRowHeight="14.4"/>
  <cols>
    <col min="1" max="1" width="11.6640625" bestFit="1" customWidth="1"/>
    <col min="2" max="2" width="6.5546875" bestFit="1" customWidth="1"/>
    <col min="3" max="5" width="13.88671875" bestFit="1" customWidth="1"/>
    <col min="6" max="7" width="11.6640625" bestFit="1" customWidth="1"/>
  </cols>
  <sheetData>
    <row r="1" spans="1:7">
      <c r="A1" s="11" t="s">
        <v>23</v>
      </c>
      <c r="B1" s="11" t="s">
        <v>24</v>
      </c>
      <c r="C1" s="11" t="s">
        <v>25</v>
      </c>
      <c r="D1" s="11" t="s">
        <v>26</v>
      </c>
      <c r="E1" s="11" t="s">
        <v>27</v>
      </c>
      <c r="F1" s="11" t="s">
        <v>28</v>
      </c>
      <c r="G1" s="11" t="s">
        <v>29</v>
      </c>
    </row>
    <row r="2" spans="1:7">
      <c r="A2" s="55">
        <v>1</v>
      </c>
      <c r="B2" s="7">
        <f>猎命辅助表!B3</f>
        <v>1600</v>
      </c>
      <c r="C2" s="7">
        <f>猎命辅助表!C3</f>
        <v>0</v>
      </c>
      <c r="D2" s="7">
        <f>猎命辅助表!D3</f>
        <v>600</v>
      </c>
      <c r="E2" s="7">
        <f>猎命辅助表!E3</f>
        <v>0</v>
      </c>
      <c r="F2" s="7">
        <f>猎命辅助表!F3</f>
        <v>1</v>
      </c>
      <c r="G2" s="7">
        <f>猎命辅助表!G3</f>
        <v>0</v>
      </c>
    </row>
    <row r="3" spans="1:7">
      <c r="A3" s="55">
        <v>2</v>
      </c>
      <c r="B3" s="7">
        <f>猎命辅助表!B4</f>
        <v>2400</v>
      </c>
      <c r="C3" s="7">
        <f>猎命辅助表!C4</f>
        <v>0</v>
      </c>
      <c r="D3" s="7">
        <f>猎命辅助表!D4</f>
        <v>450</v>
      </c>
      <c r="E3" s="7">
        <f>猎命辅助表!E4</f>
        <v>0</v>
      </c>
      <c r="F3" s="7">
        <f>猎命辅助表!F4</f>
        <v>2</v>
      </c>
      <c r="G3" s="7">
        <f>猎命辅助表!G4</f>
        <v>0</v>
      </c>
    </row>
    <row r="4" spans="1:7">
      <c r="A4" s="55">
        <v>3</v>
      </c>
      <c r="B4" s="7">
        <f>猎命辅助表!B5</f>
        <v>4800</v>
      </c>
      <c r="C4" s="7">
        <f>猎命辅助表!C5</f>
        <v>20</v>
      </c>
      <c r="D4" s="7">
        <f>猎命辅助表!D5</f>
        <v>300</v>
      </c>
      <c r="E4" s="7">
        <f>猎命辅助表!E5</f>
        <v>300</v>
      </c>
      <c r="F4" s="7">
        <f>猎命辅助表!F5</f>
        <v>3</v>
      </c>
      <c r="G4" s="7">
        <f>猎命辅助表!G5</f>
        <v>6</v>
      </c>
    </row>
    <row r="5" spans="1:7">
      <c r="A5" s="55">
        <v>4</v>
      </c>
      <c r="B5" s="7">
        <f>猎命辅助表!B6</f>
        <v>10000</v>
      </c>
      <c r="C5" s="7">
        <f>猎命辅助表!C6</f>
        <v>50</v>
      </c>
      <c r="D5" s="7">
        <f>猎命辅助表!D6</f>
        <v>250</v>
      </c>
      <c r="E5" s="7">
        <f>猎命辅助表!E6</f>
        <v>250</v>
      </c>
      <c r="F5" s="7">
        <f>猎命辅助表!F6</f>
        <v>4</v>
      </c>
      <c r="G5" s="7">
        <f>猎命辅助表!G6</f>
        <v>7</v>
      </c>
    </row>
    <row r="6" spans="1:7">
      <c r="A6" s="55">
        <v>5</v>
      </c>
      <c r="B6" s="7">
        <f>猎命辅助表!B7</f>
        <v>20000</v>
      </c>
      <c r="C6" s="7">
        <f>猎命辅助表!C7</f>
        <v>200</v>
      </c>
      <c r="D6" s="7">
        <f>猎命辅助表!D7</f>
        <v>300</v>
      </c>
      <c r="E6" s="7">
        <f>猎命辅助表!E7</f>
        <v>300</v>
      </c>
      <c r="F6" s="7">
        <f>猎命辅助表!F7</f>
        <v>5</v>
      </c>
      <c r="G6" s="7">
        <f>猎命辅助表!G7</f>
        <v>8</v>
      </c>
    </row>
  </sheetData>
  <phoneticPr fontId="1" type="noConversion"/>
  <pageMargins left="0.7" right="0.7" top="0.75" bottom="0.75" header="0.3" footer="0.3"/>
</xm:macrosheet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G6"/>
  <sheetViews>
    <sheetView tabSelected="1" workbookViewId="0">
      <selection activeCell="F9" sqref="F9"/>
    </sheetView>
  </sheetViews>
  <sheetFormatPr defaultRowHeight="14.4"/>
  <sheetData>
    <row r="1" spans="1:7">
      <c r="A1" t="s">
        <v>23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</row>
    <row r="2" spans="1:7">
      <c r="A2">
        <v>1</v>
      </c>
      <c r="B2">
        <v>1600</v>
      </c>
      <c r="C2">
        <v>0</v>
      </c>
      <c r="D2">
        <v>600</v>
      </c>
      <c r="E2">
        <v>0</v>
      </c>
      <c r="F2">
        <v>1</v>
      </c>
      <c r="G2">
        <v>0</v>
      </c>
    </row>
    <row r="3" spans="1:7">
      <c r="A3">
        <v>2</v>
      </c>
      <c r="B3">
        <v>2400</v>
      </c>
      <c r="C3">
        <v>0</v>
      </c>
      <c r="D3">
        <v>450</v>
      </c>
      <c r="E3">
        <v>0</v>
      </c>
      <c r="F3">
        <v>2</v>
      </c>
      <c r="G3">
        <v>0</v>
      </c>
    </row>
    <row r="4" spans="1:7">
      <c r="A4">
        <v>3</v>
      </c>
      <c r="B4">
        <v>4800</v>
      </c>
      <c r="C4">
        <v>20</v>
      </c>
      <c r="D4">
        <v>300</v>
      </c>
      <c r="E4">
        <v>300</v>
      </c>
      <c r="F4">
        <v>3</v>
      </c>
      <c r="G4">
        <v>6</v>
      </c>
    </row>
    <row r="5" spans="1:7">
      <c r="A5">
        <v>4</v>
      </c>
      <c r="B5">
        <v>10000</v>
      </c>
      <c r="C5">
        <v>50</v>
      </c>
      <c r="D5">
        <v>250</v>
      </c>
      <c r="E5">
        <v>250</v>
      </c>
      <c r="F5">
        <v>4</v>
      </c>
      <c r="G5">
        <v>7</v>
      </c>
    </row>
    <row r="6" spans="1:7">
      <c r="A6">
        <v>5</v>
      </c>
      <c r="B6">
        <v>20000</v>
      </c>
      <c r="C6">
        <v>200</v>
      </c>
      <c r="D6">
        <v>300</v>
      </c>
      <c r="E6">
        <v>300</v>
      </c>
      <c r="F6">
        <v>5</v>
      </c>
      <c r="G6">
        <v>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DX9"/>
  <sheetViews>
    <sheetView workbookViewId="0">
      <selection activeCell="I11" sqref="I11"/>
    </sheetView>
  </sheetViews>
  <sheetFormatPr defaultRowHeight="14.4"/>
  <cols>
    <col min="1" max="1" width="3.44140625" bestFit="1" customWidth="1"/>
    <col min="2" max="2" width="9.44140625" bestFit="1" customWidth="1"/>
    <col min="3" max="3" width="8.44140625" bestFit="1" customWidth="1"/>
    <col min="4" max="4" width="9.44140625" bestFit="1" customWidth="1"/>
    <col min="5" max="5" width="10.44140625" bestFit="1" customWidth="1"/>
    <col min="6" max="6" width="8.44140625" bestFit="1" customWidth="1"/>
    <col min="7" max="7" width="9.44140625" bestFit="1" customWidth="1"/>
    <col min="8" max="8" width="10.44140625" bestFit="1" customWidth="1"/>
    <col min="9" max="9" width="8.44140625" bestFit="1" customWidth="1"/>
    <col min="10" max="10" width="9.44140625" bestFit="1" customWidth="1"/>
    <col min="11" max="11" width="10.44140625" bestFit="1" customWidth="1"/>
    <col min="12" max="12" width="8.44140625" bestFit="1" customWidth="1"/>
    <col min="13" max="13" width="9.44140625" bestFit="1" customWidth="1"/>
    <col min="14" max="14" width="10.44140625" bestFit="1" customWidth="1"/>
    <col min="15" max="15" width="8.44140625" bestFit="1" customWidth="1"/>
    <col min="16" max="16" width="9.44140625" bestFit="1" customWidth="1"/>
    <col min="17" max="17" width="10.44140625" bestFit="1" customWidth="1"/>
    <col min="18" max="18" width="8.44140625" bestFit="1" customWidth="1"/>
    <col min="19" max="19" width="9.44140625" bestFit="1" customWidth="1"/>
    <col min="20" max="20" width="10.44140625" bestFit="1" customWidth="1"/>
    <col min="21" max="21" width="8.44140625" bestFit="1" customWidth="1"/>
    <col min="22" max="22" width="9.44140625" bestFit="1" customWidth="1"/>
    <col min="23" max="23" width="10.44140625" bestFit="1" customWidth="1"/>
    <col min="24" max="24" width="8.44140625" bestFit="1" customWidth="1"/>
    <col min="25" max="25" width="9.44140625" bestFit="1" customWidth="1"/>
    <col min="26" max="26" width="10.44140625" bestFit="1" customWidth="1"/>
    <col min="27" max="27" width="8.44140625" bestFit="1" customWidth="1"/>
    <col min="28" max="28" width="9.44140625" bestFit="1" customWidth="1"/>
    <col min="29" max="29" width="10.44140625" bestFit="1" customWidth="1"/>
    <col min="30" max="30" width="9.44140625" bestFit="1" customWidth="1"/>
    <col min="31" max="31" width="9.44140625" customWidth="1"/>
    <col min="32" max="32" width="11.6640625" bestFit="1" customWidth="1"/>
    <col min="33" max="33" width="9.44140625" bestFit="1" customWidth="1"/>
    <col min="34" max="34" width="9.44140625" customWidth="1"/>
    <col min="35" max="35" width="11.6640625" bestFit="1" customWidth="1"/>
    <col min="36" max="36" width="9.44140625" bestFit="1" customWidth="1"/>
    <col min="37" max="37" width="9.44140625" customWidth="1"/>
    <col min="38" max="38" width="11.6640625" bestFit="1" customWidth="1"/>
    <col min="39" max="39" width="9.44140625" bestFit="1" customWidth="1"/>
    <col min="40" max="40" width="9.44140625" customWidth="1"/>
    <col min="41" max="41" width="11.6640625" bestFit="1" customWidth="1"/>
    <col min="42" max="42" width="9.44140625" bestFit="1" customWidth="1"/>
    <col min="43" max="43" width="9.44140625" customWidth="1"/>
    <col min="44" max="44" width="11.6640625" bestFit="1" customWidth="1"/>
    <col min="45" max="45" width="9.44140625" bestFit="1" customWidth="1"/>
    <col min="46" max="46" width="9.44140625" customWidth="1"/>
    <col min="47" max="47" width="11.6640625" bestFit="1" customWidth="1"/>
    <col min="48" max="48" width="9.44140625" bestFit="1" customWidth="1"/>
    <col min="49" max="49" width="9.44140625" customWidth="1"/>
    <col min="50" max="50" width="11.6640625" bestFit="1" customWidth="1"/>
    <col min="51" max="51" width="9.44140625" bestFit="1" customWidth="1"/>
    <col min="52" max="52" width="9.44140625" customWidth="1"/>
    <col min="53" max="53" width="11.6640625" bestFit="1" customWidth="1"/>
    <col min="54" max="54" width="9.44140625" bestFit="1" customWidth="1"/>
    <col min="55" max="55" width="9.44140625" customWidth="1"/>
    <col min="56" max="56" width="11.6640625" bestFit="1" customWidth="1"/>
    <col min="57" max="57" width="9.44140625" bestFit="1" customWidth="1"/>
    <col min="58" max="58" width="9.44140625" customWidth="1"/>
    <col min="59" max="59" width="11.6640625" bestFit="1" customWidth="1"/>
    <col min="60" max="60" width="9.44140625" bestFit="1" customWidth="1"/>
    <col min="61" max="61" width="9.44140625" customWidth="1"/>
    <col min="62" max="62" width="11.6640625" bestFit="1" customWidth="1"/>
  </cols>
  <sheetData>
    <row r="1" spans="1:128">
      <c r="A1" t="s">
        <v>30</v>
      </c>
      <c r="B1" t="s">
        <v>31</v>
      </c>
      <c r="C1" t="s">
        <v>32</v>
      </c>
      <c r="D1" s="4" t="s">
        <v>74</v>
      </c>
      <c r="E1" t="s">
        <v>33</v>
      </c>
      <c r="F1" t="s">
        <v>34</v>
      </c>
      <c r="G1" s="4" t="s">
        <v>74</v>
      </c>
      <c r="H1" t="s">
        <v>35</v>
      </c>
      <c r="I1" t="s">
        <v>36</v>
      </c>
      <c r="J1" s="4" t="s">
        <v>74</v>
      </c>
      <c r="K1" t="s">
        <v>37</v>
      </c>
      <c r="L1" t="s">
        <v>38</v>
      </c>
      <c r="M1" s="4" t="s">
        <v>74</v>
      </c>
      <c r="N1" t="s">
        <v>39</v>
      </c>
      <c r="O1" t="s">
        <v>40</v>
      </c>
      <c r="P1" s="4" t="s">
        <v>74</v>
      </c>
      <c r="Q1" t="s">
        <v>41</v>
      </c>
      <c r="R1" t="s">
        <v>42</v>
      </c>
      <c r="S1" s="4" t="s">
        <v>74</v>
      </c>
      <c r="T1" t="s">
        <v>43</v>
      </c>
      <c r="U1" t="s">
        <v>44</v>
      </c>
      <c r="V1" s="4" t="s">
        <v>74</v>
      </c>
      <c r="W1" t="s">
        <v>45</v>
      </c>
      <c r="X1" t="s">
        <v>46</v>
      </c>
      <c r="Y1" s="4" t="s">
        <v>74</v>
      </c>
      <c r="Z1" t="s">
        <v>47</v>
      </c>
      <c r="AA1" t="s">
        <v>48</v>
      </c>
      <c r="AB1" s="4" t="s">
        <v>74</v>
      </c>
      <c r="AC1" t="s">
        <v>49</v>
      </c>
      <c r="AD1" t="s">
        <v>50</v>
      </c>
      <c r="AE1" s="4" t="s">
        <v>74</v>
      </c>
      <c r="AF1" t="s">
        <v>51</v>
      </c>
      <c r="AG1" t="s">
        <v>52</v>
      </c>
      <c r="AH1" s="4" t="s">
        <v>74</v>
      </c>
      <c r="AI1" t="s">
        <v>53</v>
      </c>
      <c r="AJ1" t="s">
        <v>54</v>
      </c>
      <c r="AK1" s="4" t="s">
        <v>74</v>
      </c>
      <c r="AL1" t="s">
        <v>55</v>
      </c>
      <c r="AM1" t="s">
        <v>56</v>
      </c>
      <c r="AN1" s="4" t="s">
        <v>74</v>
      </c>
      <c r="AO1" t="s">
        <v>57</v>
      </c>
      <c r="AP1" t="s">
        <v>58</v>
      </c>
      <c r="AQ1" s="4" t="s">
        <v>74</v>
      </c>
      <c r="AR1" t="s">
        <v>59</v>
      </c>
      <c r="AS1" t="s">
        <v>60</v>
      </c>
      <c r="AT1" s="4" t="s">
        <v>74</v>
      </c>
      <c r="AU1" t="s">
        <v>61</v>
      </c>
      <c r="AV1" t="s">
        <v>62</v>
      </c>
      <c r="AW1" s="4" t="s">
        <v>74</v>
      </c>
      <c r="AX1" t="s">
        <v>63</v>
      </c>
      <c r="AY1" t="s">
        <v>64</v>
      </c>
      <c r="AZ1" s="4" t="s">
        <v>74</v>
      </c>
      <c r="BA1" t="s">
        <v>65</v>
      </c>
      <c r="BB1" t="s">
        <v>66</v>
      </c>
      <c r="BC1" s="4" t="s">
        <v>74</v>
      </c>
      <c r="BD1" t="s">
        <v>67</v>
      </c>
      <c r="BE1" t="s">
        <v>68</v>
      </c>
      <c r="BF1" s="4" t="s">
        <v>74</v>
      </c>
      <c r="BG1" t="s">
        <v>69</v>
      </c>
      <c r="BH1" t="s">
        <v>70</v>
      </c>
      <c r="BI1" s="4" t="s">
        <v>74</v>
      </c>
      <c r="BJ1" t="s">
        <v>71</v>
      </c>
      <c r="BK1" t="s">
        <v>141</v>
      </c>
      <c r="BL1" s="4" t="s">
        <v>74</v>
      </c>
      <c r="BM1" t="s">
        <v>142</v>
      </c>
      <c r="BN1" t="s">
        <v>143</v>
      </c>
      <c r="BO1" s="4" t="s">
        <v>74</v>
      </c>
      <c r="BP1" t="s">
        <v>144</v>
      </c>
      <c r="BQ1" t="s">
        <v>145</v>
      </c>
      <c r="BR1" s="4" t="s">
        <v>74</v>
      </c>
      <c r="BS1" t="s">
        <v>146</v>
      </c>
      <c r="BT1" t="s">
        <v>147</v>
      </c>
      <c r="BU1" s="4" t="s">
        <v>74</v>
      </c>
      <c r="BV1" t="s">
        <v>148</v>
      </c>
      <c r="BW1" t="s">
        <v>149</v>
      </c>
      <c r="BX1" s="4" t="s">
        <v>74</v>
      </c>
      <c r="BY1" t="s">
        <v>150</v>
      </c>
      <c r="BZ1" t="s">
        <v>151</v>
      </c>
      <c r="CA1" s="4" t="s">
        <v>74</v>
      </c>
      <c r="CB1" t="s">
        <v>152</v>
      </c>
      <c r="CC1" t="s">
        <v>153</v>
      </c>
      <c r="CD1" s="4" t="s">
        <v>74</v>
      </c>
      <c r="CE1" t="s">
        <v>154</v>
      </c>
      <c r="CF1" t="s">
        <v>158</v>
      </c>
      <c r="CG1" s="4" t="s">
        <v>74</v>
      </c>
      <c r="CH1" t="s">
        <v>159</v>
      </c>
      <c r="CI1" t="s">
        <v>160</v>
      </c>
      <c r="CJ1" s="4" t="s">
        <v>74</v>
      </c>
      <c r="CK1" t="s">
        <v>161</v>
      </c>
      <c r="CL1" t="s">
        <v>162</v>
      </c>
      <c r="CM1" s="4" t="s">
        <v>74</v>
      </c>
      <c r="CN1" t="s">
        <v>163</v>
      </c>
      <c r="CO1" t="s">
        <v>164</v>
      </c>
      <c r="CP1" s="4" t="s">
        <v>74</v>
      </c>
      <c r="CQ1" t="s">
        <v>165</v>
      </c>
      <c r="CR1" t="s">
        <v>166</v>
      </c>
      <c r="CS1" s="4" t="s">
        <v>74</v>
      </c>
      <c r="CT1" t="s">
        <v>167</v>
      </c>
      <c r="CU1" t="s">
        <v>168</v>
      </c>
      <c r="CV1" s="4" t="s">
        <v>74</v>
      </c>
      <c r="CW1" t="s">
        <v>169</v>
      </c>
      <c r="CX1" t="s">
        <v>170</v>
      </c>
      <c r="CY1" s="4" t="s">
        <v>74</v>
      </c>
      <c r="CZ1" t="s">
        <v>171</v>
      </c>
      <c r="DA1" t="s">
        <v>172</v>
      </c>
      <c r="DB1" s="4" t="s">
        <v>74</v>
      </c>
      <c r="DC1" t="s">
        <v>173</v>
      </c>
      <c r="DD1" t="s">
        <v>174</v>
      </c>
      <c r="DE1" s="4" t="s">
        <v>74</v>
      </c>
      <c r="DF1" t="s">
        <v>175</v>
      </c>
      <c r="DG1" t="s">
        <v>176</v>
      </c>
      <c r="DH1" s="4" t="s">
        <v>74</v>
      </c>
      <c r="DI1" t="s">
        <v>177</v>
      </c>
      <c r="DJ1" t="s">
        <v>178</v>
      </c>
      <c r="DK1" s="4" t="s">
        <v>74</v>
      </c>
      <c r="DL1" t="s">
        <v>179</v>
      </c>
      <c r="DM1" t="s">
        <v>180</v>
      </c>
      <c r="DN1" s="4" t="s">
        <v>74</v>
      </c>
      <c r="DO1" t="s">
        <v>181</v>
      </c>
      <c r="DP1" t="s">
        <v>182</v>
      </c>
      <c r="DQ1" s="4" t="s">
        <v>74</v>
      </c>
      <c r="DR1" t="s">
        <v>183</v>
      </c>
      <c r="DS1" t="s">
        <v>184</v>
      </c>
      <c r="DT1" s="4" t="s">
        <v>74</v>
      </c>
      <c r="DU1" t="s">
        <v>185</v>
      </c>
      <c r="DV1" t="s">
        <v>186</v>
      </c>
      <c r="DW1" s="4" t="s">
        <v>74</v>
      </c>
      <c r="DX1" t="s">
        <v>187</v>
      </c>
    </row>
    <row r="2" spans="1:128">
      <c r="A2">
        <v>1</v>
      </c>
      <c r="B2">
        <f>IF(猎命辅助表!AG31=0,"",猎命辅助表!AG31)</f>
        <v>4</v>
      </c>
      <c r="C2">
        <f>IF(猎命辅助表!AH31=0,"",猎命辅助表!AH31)</f>
        <v>8001</v>
      </c>
      <c r="D2" t="str">
        <f>IF(猎命辅助表!AI31=0,"",猎命辅助表!AI31)</f>
        <v>灰色物质</v>
      </c>
      <c r="E2">
        <f>IF(猎命辅助表!AJ31=0,"",猎命辅助表!AJ31)</f>
        <v>4999</v>
      </c>
      <c r="F2">
        <f>IF(猎命辅助表!AK31=0,"",猎命辅助表!AK31)</f>
        <v>8110</v>
      </c>
      <c r="G2" t="str">
        <f>IF(猎命辅助表!AL31=0,"",猎命辅助表!AL31)</f>
        <v>兽腾</v>
      </c>
      <c r="H2">
        <f>IF(猎命辅助表!AM31=0,"",猎命辅助表!AM31)</f>
        <v>6666</v>
      </c>
      <c r="I2">
        <f>IF(猎命辅助表!AN31=0,"",猎命辅助表!AN31)</f>
        <v>8210</v>
      </c>
      <c r="J2" t="str">
        <f>IF(猎命辅助表!AO31=0,"",猎命辅助表!AO31)</f>
        <v>战狂</v>
      </c>
      <c r="K2">
        <f>IF(猎命辅助表!AP31=0,"",猎命辅助表!AP31)</f>
        <v>8333</v>
      </c>
      <c r="L2">
        <f>IF(猎命辅助表!AQ31=0,"",猎命辅助表!AQ31)</f>
        <v>8310</v>
      </c>
      <c r="M2" t="str">
        <f>IF(猎命辅助表!AR31=0,"",猎命辅助表!AR31)</f>
        <v>贪狼</v>
      </c>
      <c r="N2">
        <f>IF(猎命辅助表!AS31=0,"",猎命辅助表!AS31)</f>
        <v>10000</v>
      </c>
      <c r="O2" t="str">
        <f>IF(猎命辅助表!AT31=0,"",猎命辅助表!AT31)</f>
        <v/>
      </c>
      <c r="P2" t="str">
        <f>IF(猎命辅助表!AU31=0,"",猎命辅助表!AU31)</f>
        <v/>
      </c>
      <c r="Q2" t="str">
        <f>IF(猎命辅助表!AV31=0,"",猎命辅助表!AV31)</f>
        <v/>
      </c>
      <c r="R2" t="str">
        <f>IF(猎命辅助表!AW31=0,"",猎命辅助表!AW31)</f>
        <v/>
      </c>
      <c r="S2" t="str">
        <f>IF(猎命辅助表!AX31=0,"",猎命辅助表!AX31)</f>
        <v/>
      </c>
      <c r="T2" t="str">
        <f>IF(猎命辅助表!AY31=0,"",猎命辅助表!AY31)</f>
        <v/>
      </c>
      <c r="U2" t="str">
        <f>IF(猎命辅助表!AZ31=0,"",猎命辅助表!AZ31)</f>
        <v/>
      </c>
      <c r="V2" t="str">
        <f>IF(猎命辅助表!BA31=0,"",猎命辅助表!BA31)</f>
        <v/>
      </c>
      <c r="W2" t="str">
        <f>IF(猎命辅助表!BB31=0,"",猎命辅助表!BB31)</f>
        <v/>
      </c>
      <c r="X2" t="str">
        <f>IF(猎命辅助表!BC31=0,"",猎命辅助表!BC31)</f>
        <v/>
      </c>
      <c r="Y2" t="str">
        <f>IF(猎命辅助表!BD31=0,"",猎命辅助表!BD31)</f>
        <v/>
      </c>
      <c r="Z2" t="str">
        <f>IF(猎命辅助表!BE31=0,"",猎命辅助表!BE31)</f>
        <v/>
      </c>
      <c r="AA2" t="str">
        <f>IF(猎命辅助表!BF31=0,"",猎命辅助表!BF31)</f>
        <v/>
      </c>
      <c r="AB2" t="str">
        <f>IF(猎命辅助表!BG31=0,"",猎命辅助表!BG31)</f>
        <v/>
      </c>
      <c r="AC2" t="str">
        <f>IF(猎命辅助表!BH31=0,"",猎命辅助表!BH31)</f>
        <v/>
      </c>
      <c r="AD2" t="str">
        <f>IF(猎命辅助表!BI31=0,"",猎命辅助表!BI31)</f>
        <v/>
      </c>
      <c r="AE2" t="str">
        <f>IF(猎命辅助表!BJ31=0,"",猎命辅助表!BJ31)</f>
        <v/>
      </c>
      <c r="AF2" t="str">
        <f>IF(猎命辅助表!BK31=0,"",猎命辅助表!BK31)</f>
        <v/>
      </c>
      <c r="AG2" t="str">
        <f>IF(猎命辅助表!BL31=0,"",猎命辅助表!BL31)</f>
        <v/>
      </c>
      <c r="AH2" t="str">
        <f>IF(猎命辅助表!BM31=0,"",猎命辅助表!BM31)</f>
        <v/>
      </c>
      <c r="AI2" t="str">
        <f>IF(猎命辅助表!BN31=0,"",猎命辅助表!BN31)</f>
        <v/>
      </c>
      <c r="AJ2" t="str">
        <f>IF(猎命辅助表!BO31=0,"",猎命辅助表!BO31)</f>
        <v/>
      </c>
      <c r="AK2" t="str">
        <f>IF(猎命辅助表!BP31=0,"",猎命辅助表!BP31)</f>
        <v/>
      </c>
      <c r="AL2" t="str">
        <f>IF(猎命辅助表!BQ31=0,"",猎命辅助表!BQ31)</f>
        <v/>
      </c>
      <c r="AM2" t="str">
        <f>IF(猎命辅助表!BR31=0,"",猎命辅助表!BR31)</f>
        <v/>
      </c>
      <c r="AN2" t="str">
        <f>IF(猎命辅助表!BS31=0,"",猎命辅助表!BS31)</f>
        <v/>
      </c>
      <c r="AO2" t="str">
        <f>IF(猎命辅助表!BT31=0,"",猎命辅助表!BT31)</f>
        <v/>
      </c>
      <c r="AP2" t="str">
        <f>IF(猎命辅助表!BU31=0,"",猎命辅助表!BU31)</f>
        <v/>
      </c>
      <c r="AQ2" t="str">
        <f>IF(猎命辅助表!BV31=0,"",猎命辅助表!BV31)</f>
        <v/>
      </c>
      <c r="AR2" t="str">
        <f>IF(猎命辅助表!BW31=0,"",猎命辅助表!BW31)</f>
        <v/>
      </c>
      <c r="AS2" t="str">
        <f>IF(猎命辅助表!BX31=0,"",猎命辅助表!BX31)</f>
        <v/>
      </c>
      <c r="AT2" t="str">
        <f>IF(猎命辅助表!BY31=0,"",猎命辅助表!BY31)</f>
        <v/>
      </c>
      <c r="AU2" t="str">
        <f>IF(猎命辅助表!BZ31=0,"",猎命辅助表!BZ31)</f>
        <v/>
      </c>
      <c r="AV2" t="str">
        <f>IF(猎命辅助表!CA31=0,"",猎命辅助表!CA31)</f>
        <v/>
      </c>
      <c r="AW2" t="str">
        <f>IF(猎命辅助表!CB31=0,"",猎命辅助表!CB31)</f>
        <v/>
      </c>
      <c r="AX2" t="str">
        <f>IF(猎命辅助表!CC31=0,"",猎命辅助表!CC31)</f>
        <v/>
      </c>
      <c r="AY2" t="str">
        <f>IF(猎命辅助表!CD31=0,"",猎命辅助表!CD31)</f>
        <v/>
      </c>
      <c r="AZ2" t="str">
        <f>IF(猎命辅助表!CE31=0,"",猎命辅助表!CE31)</f>
        <v/>
      </c>
      <c r="BA2" t="str">
        <f>IF(猎命辅助表!CF31=0,"",猎命辅助表!CF31)</f>
        <v/>
      </c>
      <c r="BB2" t="str">
        <f>IF(猎命辅助表!CG31=0,"",猎命辅助表!CG31)</f>
        <v/>
      </c>
      <c r="BC2" t="str">
        <f>IF(猎命辅助表!CH31=0,"",猎命辅助表!CH31)</f>
        <v/>
      </c>
      <c r="BD2" t="str">
        <f>IF(猎命辅助表!CI31=0,"",猎命辅助表!CI31)</f>
        <v/>
      </c>
      <c r="BE2" t="str">
        <f>IF(猎命辅助表!CJ31=0,"",猎命辅助表!CJ31)</f>
        <v/>
      </c>
      <c r="BF2" t="str">
        <f>IF(猎命辅助表!CK31=0,"",猎命辅助表!CK31)</f>
        <v/>
      </c>
      <c r="BG2" t="str">
        <f>IF(猎命辅助表!CL31=0,"",猎命辅助表!CL31)</f>
        <v/>
      </c>
      <c r="BH2" t="str">
        <f>IF(猎命辅助表!CM31=0,"",猎命辅助表!CM31)</f>
        <v/>
      </c>
      <c r="BI2" t="str">
        <f>IF(猎命辅助表!CN31=0,"",猎命辅助表!CN31)</f>
        <v/>
      </c>
      <c r="BJ2" t="str">
        <f>IF(猎命辅助表!CO31=0,"",猎命辅助表!CO31)</f>
        <v/>
      </c>
      <c r="BK2" t="str">
        <f>IF(猎命辅助表!CP31=0,"",猎命辅助表!CP31)</f>
        <v/>
      </c>
      <c r="BL2" t="str">
        <f>IF(猎命辅助表!CQ31=0,"",猎命辅助表!CQ31)</f>
        <v/>
      </c>
      <c r="BM2" t="str">
        <f>IF(猎命辅助表!CR31=0,"",猎命辅助表!CR31)</f>
        <v/>
      </c>
      <c r="BN2" t="str">
        <f>IF(猎命辅助表!CS31=0,"",猎命辅助表!CS31)</f>
        <v/>
      </c>
      <c r="BO2" t="str">
        <f>IF(猎命辅助表!CT31=0,"",猎命辅助表!CT31)</f>
        <v/>
      </c>
      <c r="BP2" t="str">
        <f>IF(猎命辅助表!CU31=0,"",猎命辅助表!CU31)</f>
        <v/>
      </c>
      <c r="BQ2" t="str">
        <f>IF(猎命辅助表!CV31=0,"",猎命辅助表!CV31)</f>
        <v/>
      </c>
      <c r="BR2" t="str">
        <f>IF(猎命辅助表!CW31=0,"",猎命辅助表!CW31)</f>
        <v/>
      </c>
      <c r="BS2" t="str">
        <f>IF(猎命辅助表!CX31=0,"",猎命辅助表!CX31)</f>
        <v/>
      </c>
      <c r="BT2" t="str">
        <f>IF(猎命辅助表!CY31=0,"",猎命辅助表!CY31)</f>
        <v/>
      </c>
      <c r="BU2" t="str">
        <f>IF(猎命辅助表!CZ31=0,"",猎命辅助表!CZ31)</f>
        <v/>
      </c>
      <c r="BV2" t="str">
        <f>IF(猎命辅助表!DA31=0,"",猎命辅助表!DA31)</f>
        <v/>
      </c>
      <c r="BW2" t="str">
        <f>IF(猎命辅助表!DB31=0,"",猎命辅助表!DB31)</f>
        <v/>
      </c>
      <c r="BX2" t="str">
        <f>IF(猎命辅助表!DC31=0,"",猎命辅助表!DC31)</f>
        <v/>
      </c>
      <c r="BY2" t="str">
        <f>IF(猎命辅助表!DD31=0,"",猎命辅助表!DD31)</f>
        <v/>
      </c>
      <c r="BZ2" t="str">
        <f>IF(猎命辅助表!DE31=0,"",猎命辅助表!DE31)</f>
        <v/>
      </c>
      <c r="CA2" t="str">
        <f>IF(猎命辅助表!DF31=0,"",猎命辅助表!DF31)</f>
        <v/>
      </c>
      <c r="CB2" t="str">
        <f>IF(猎命辅助表!DG31=0,"",猎命辅助表!DG31)</f>
        <v/>
      </c>
      <c r="CC2" t="str">
        <f>IF(猎命辅助表!DH31=0,"",猎命辅助表!DH31)</f>
        <v/>
      </c>
      <c r="CD2" t="str">
        <f>IF(猎命辅助表!DI31=0,"",猎命辅助表!DI31)</f>
        <v/>
      </c>
      <c r="CE2" t="str">
        <f>IF(猎命辅助表!DJ31=0,"",猎命辅助表!DJ31)</f>
        <v/>
      </c>
      <c r="CF2" t="str">
        <f>IF(猎命辅助表!DK31=0,"",猎命辅助表!DK31)</f>
        <v/>
      </c>
      <c r="CG2" t="str">
        <f>IF(猎命辅助表!DL31=0,"",猎命辅助表!DL31)</f>
        <v/>
      </c>
      <c r="CH2" t="str">
        <f>IF(猎命辅助表!DM31=0,"",猎命辅助表!DM31)</f>
        <v/>
      </c>
      <c r="CI2" t="str">
        <f>IF(猎命辅助表!DN31=0,"",猎命辅助表!DN31)</f>
        <v/>
      </c>
      <c r="CJ2" t="str">
        <f>IF(猎命辅助表!DO31=0,"",猎命辅助表!DO31)</f>
        <v/>
      </c>
      <c r="CK2" t="str">
        <f>IF(猎命辅助表!DP31=0,"",猎命辅助表!DP31)</f>
        <v/>
      </c>
      <c r="CL2" t="str">
        <f>IF(猎命辅助表!DQ31=0,"",猎命辅助表!DQ31)</f>
        <v/>
      </c>
      <c r="CM2" t="str">
        <f>IF(猎命辅助表!DR31=0,"",猎命辅助表!DR31)</f>
        <v/>
      </c>
      <c r="CN2" t="str">
        <f>IF(猎命辅助表!DS31=0,"",猎命辅助表!DS31)</f>
        <v/>
      </c>
      <c r="CO2" t="str">
        <f>IF(猎命辅助表!DT31=0,"",猎命辅助表!DT31)</f>
        <v/>
      </c>
      <c r="CP2" t="str">
        <f>IF(猎命辅助表!DU31=0,"",猎命辅助表!DU31)</f>
        <v/>
      </c>
      <c r="CQ2" t="str">
        <f>IF(猎命辅助表!DV31=0,"",猎命辅助表!DV31)</f>
        <v/>
      </c>
      <c r="CR2" t="str">
        <f>IF(猎命辅助表!DW31=0,"",猎命辅助表!DW31)</f>
        <v/>
      </c>
      <c r="CS2" t="str">
        <f>IF(猎命辅助表!DX31=0,"",猎命辅助表!DX31)</f>
        <v/>
      </c>
      <c r="CT2" t="str">
        <f>IF(猎命辅助表!DY31=0,"",猎命辅助表!DY31)</f>
        <v/>
      </c>
      <c r="CU2" t="str">
        <f>IF(猎命辅助表!DZ31=0,"",猎命辅助表!DZ31)</f>
        <v/>
      </c>
      <c r="CV2" t="str">
        <f>IF(猎命辅助表!EA31=0,"",猎命辅助表!EA31)</f>
        <v/>
      </c>
      <c r="CW2" t="str">
        <f>IF(猎命辅助表!EB31=0,"",猎命辅助表!EB31)</f>
        <v/>
      </c>
      <c r="CX2" t="str">
        <f>IF(猎命辅助表!EC31=0,"",猎命辅助表!EC31)</f>
        <v/>
      </c>
      <c r="CY2" t="str">
        <f>IF(猎命辅助表!ED31=0,"",猎命辅助表!ED31)</f>
        <v/>
      </c>
      <c r="CZ2" t="str">
        <f>IF(猎命辅助表!EE31=0,"",猎命辅助表!EE31)</f>
        <v/>
      </c>
      <c r="DA2" t="str">
        <f>IF(猎命辅助表!EF31=0,"",猎命辅助表!EF31)</f>
        <v/>
      </c>
      <c r="DB2" t="str">
        <f>IF(猎命辅助表!EG31=0,"",猎命辅助表!EG31)</f>
        <v/>
      </c>
      <c r="DC2" t="str">
        <f>IF(猎命辅助表!EH31=0,"",猎命辅助表!EH31)</f>
        <v/>
      </c>
      <c r="DD2" t="str">
        <f>IF(猎命辅助表!EI31=0,"",猎命辅助表!EI31)</f>
        <v/>
      </c>
      <c r="DE2" t="str">
        <f>IF(猎命辅助表!EJ31=0,"",猎命辅助表!EJ31)</f>
        <v/>
      </c>
      <c r="DF2" t="str">
        <f>IF(猎命辅助表!EK31=0,"",猎命辅助表!EK31)</f>
        <v/>
      </c>
      <c r="DG2" t="str">
        <f>IF(猎命辅助表!EL31=0,"",猎命辅助表!EL31)</f>
        <v/>
      </c>
      <c r="DH2" t="str">
        <f>IF(猎命辅助表!EM31=0,"",猎命辅助表!EM31)</f>
        <v/>
      </c>
      <c r="DI2" t="str">
        <f>IF(猎命辅助表!EN31=0,"",猎命辅助表!EN31)</f>
        <v/>
      </c>
      <c r="DJ2" t="str">
        <f>IF(猎命辅助表!EO31=0,"",猎命辅助表!EO31)</f>
        <v/>
      </c>
      <c r="DK2" t="str">
        <f>IF(猎命辅助表!EP31=0,"",猎命辅助表!EP31)</f>
        <v/>
      </c>
      <c r="DL2" t="str">
        <f>IF(猎命辅助表!EQ31=0,"",猎命辅助表!EQ31)</f>
        <v/>
      </c>
      <c r="DM2" t="str">
        <f>IF(猎命辅助表!ER31=0,"",猎命辅助表!ER31)</f>
        <v/>
      </c>
      <c r="DN2" t="str">
        <f>IF(猎命辅助表!ES31=0,"",猎命辅助表!ES31)</f>
        <v/>
      </c>
      <c r="DO2" t="str">
        <f>IF(猎命辅助表!ET31=0,"",猎命辅助表!ET31)</f>
        <v/>
      </c>
      <c r="DP2" t="str">
        <f>IF(猎命辅助表!EU31=0,"",猎命辅助表!EU31)</f>
        <v/>
      </c>
      <c r="DQ2" t="str">
        <f>IF(猎命辅助表!EV31=0,"",猎命辅助表!EV31)</f>
        <v/>
      </c>
      <c r="DR2" t="str">
        <f>IF(猎命辅助表!EW31=0,"",猎命辅助表!EW31)</f>
        <v/>
      </c>
      <c r="DS2" t="str">
        <f>IF(猎命辅助表!EX31=0,"",猎命辅助表!EX31)</f>
        <v/>
      </c>
      <c r="DT2" t="str">
        <f>IF(猎命辅助表!EY31=0,"",猎命辅助表!EY31)</f>
        <v/>
      </c>
      <c r="DU2" t="str">
        <f>IF(猎命辅助表!EZ31=0,"",猎命辅助表!EZ31)</f>
        <v/>
      </c>
      <c r="DV2" t="str">
        <f>IF(猎命辅助表!FA31=0,"",猎命辅助表!FA31)</f>
        <v/>
      </c>
      <c r="DW2" t="str">
        <f>IF(猎命辅助表!FB31=0,"",猎命辅助表!FB31)</f>
        <v/>
      </c>
      <c r="DX2" t="str">
        <f>IF(猎命辅助表!FC31=0,"",猎命辅助表!FC31)</f>
        <v/>
      </c>
    </row>
    <row r="3" spans="1:128">
      <c r="A3">
        <v>2</v>
      </c>
      <c r="B3">
        <f>IF(猎命辅助表!AG32=0,"",猎命辅助表!AG32)</f>
        <v>12</v>
      </c>
      <c r="C3">
        <f>IF(猎命辅助表!AH32=0,"",猎命辅助表!AH32)</f>
        <v>8001</v>
      </c>
      <c r="D3" t="str">
        <f>IF(猎命辅助表!AI32=0,"",猎命辅助表!AI32)</f>
        <v>灰色物质</v>
      </c>
      <c r="E3">
        <f>IF(猎命辅助表!AJ32=0,"",猎命辅助表!AJ32)</f>
        <v>2001</v>
      </c>
      <c r="F3">
        <f>IF(猎命辅助表!AK32=0,"",猎命辅助表!AK32)</f>
        <v>8110</v>
      </c>
      <c r="G3" t="str">
        <f>IF(猎命辅助表!AL32=0,"",猎命辅助表!AL32)</f>
        <v>兽腾</v>
      </c>
      <c r="H3">
        <f>IF(猎命辅助表!AM32=0,"",猎命辅助表!AM32)</f>
        <v>4334</v>
      </c>
      <c r="I3">
        <f>IF(猎命辅助表!AN32=0,"",猎命辅助表!AN32)</f>
        <v>8210</v>
      </c>
      <c r="J3" t="str">
        <f>IF(猎命辅助表!AO32=0,"",猎命辅助表!AO32)</f>
        <v>战狂</v>
      </c>
      <c r="K3">
        <f>IF(猎命辅助表!AP32=0,"",猎命辅助表!AP32)</f>
        <v>6667</v>
      </c>
      <c r="L3">
        <f>IF(猎命辅助表!AQ32=0,"",猎命辅助表!AQ32)</f>
        <v>8310</v>
      </c>
      <c r="M3" t="str">
        <f>IF(猎命辅助表!AR32=0,"",猎命辅助表!AR32)</f>
        <v>贪狼</v>
      </c>
      <c r="N3">
        <f>IF(猎命辅助表!AS32=0,"",猎命辅助表!AS32)</f>
        <v>9000</v>
      </c>
      <c r="O3">
        <f>IF(猎命辅助表!AT32=0,"",猎命辅助表!AT32)</f>
        <v>8120</v>
      </c>
      <c r="P3" t="str">
        <f>IF(猎命辅助表!AU32=0,"",猎命辅助表!AU32)</f>
        <v>辉煌</v>
      </c>
      <c r="Q3">
        <f>IF(猎命辅助表!AV32=0,"",猎命辅助表!AV32)</f>
        <v>9125</v>
      </c>
      <c r="R3">
        <f>IF(猎命辅助表!AW32=0,"",猎命辅助表!AW32)</f>
        <v>8220</v>
      </c>
      <c r="S3" t="str">
        <f>IF(猎命辅助表!AX32=0,"",猎命辅助表!AX32)</f>
        <v>破军</v>
      </c>
      <c r="T3">
        <f>IF(猎命辅助表!AY32=0,"",猎命辅助表!AY32)</f>
        <v>9250</v>
      </c>
      <c r="U3">
        <f>IF(猎命辅助表!AZ32=0,"",猎命辅助表!AZ32)</f>
        <v>8320</v>
      </c>
      <c r="V3" t="str">
        <f>IF(猎命辅助表!BA32=0,"",猎命辅助表!BA32)</f>
        <v>真刚</v>
      </c>
      <c r="W3">
        <f>IF(猎命辅助表!BB32=0,"",猎命辅助表!BB32)</f>
        <v>9375</v>
      </c>
      <c r="X3">
        <f>IF(猎命辅助表!BC32=0,"",猎命辅助表!BC32)</f>
        <v>8420</v>
      </c>
      <c r="Y3" t="str">
        <f>IF(猎命辅助表!BD32=0,"",猎命辅助表!BD32)</f>
        <v>飞仙</v>
      </c>
      <c r="Z3">
        <f>IF(猎命辅助表!BE32=0,"",猎命辅助表!BE32)</f>
        <v>9500</v>
      </c>
      <c r="AA3">
        <f>IF(猎命辅助表!BF32=0,"",猎命辅助表!BF32)</f>
        <v>8520</v>
      </c>
      <c r="AB3" t="str">
        <f>IF(猎命辅助表!BG32=0,"",猎命辅助表!BG32)</f>
        <v>虚空</v>
      </c>
      <c r="AC3">
        <f>IF(猎命辅助表!BH32=0,"",猎命辅助表!BH32)</f>
        <v>9625</v>
      </c>
      <c r="AD3">
        <f>IF(猎命辅助表!BI32=0,"",猎命辅助表!BI32)</f>
        <v>8620</v>
      </c>
      <c r="AE3" t="str">
        <f>IF(猎命辅助表!BJ32=0,"",猎命辅助表!BJ32)</f>
        <v>无惧</v>
      </c>
      <c r="AF3">
        <f>IF(猎命辅助表!BK32=0,"",猎命辅助表!BK32)</f>
        <v>9750</v>
      </c>
      <c r="AG3">
        <f>IF(猎命辅助表!BL32=0,"",猎命辅助表!BL32)</f>
        <v>8720</v>
      </c>
      <c r="AH3" t="str">
        <f>IF(猎命辅助表!BM32=0,"",猎命辅助表!BM32)</f>
        <v>天杀</v>
      </c>
      <c r="AI3">
        <f>IF(猎命辅助表!BN32=0,"",猎命辅助表!BN32)</f>
        <v>9875</v>
      </c>
      <c r="AJ3">
        <f>IF(猎命辅助表!BO32=0,"",猎命辅助表!BO32)</f>
        <v>8820</v>
      </c>
      <c r="AK3" t="str">
        <f>IF(猎命辅助表!BP32=0,"",猎命辅助表!BP32)</f>
        <v>诛魔</v>
      </c>
      <c r="AL3">
        <f>IF(猎命辅助表!BQ32=0,"",猎命辅助表!BQ32)</f>
        <v>10000</v>
      </c>
      <c r="AM3" t="str">
        <f>IF(猎命辅助表!BR32=0,"",猎命辅助表!BR32)</f>
        <v/>
      </c>
      <c r="AN3" t="str">
        <f>IF(猎命辅助表!BS32=0,"",猎命辅助表!BS32)</f>
        <v/>
      </c>
      <c r="AO3" t="str">
        <f>IF(猎命辅助表!BT32=0,"",猎命辅助表!BT32)</f>
        <v/>
      </c>
      <c r="AP3" t="str">
        <f>IF(猎命辅助表!BU32=0,"",猎命辅助表!BU32)</f>
        <v/>
      </c>
      <c r="AQ3" t="str">
        <f>IF(猎命辅助表!BV32=0,"",猎命辅助表!BV32)</f>
        <v/>
      </c>
      <c r="AR3" t="str">
        <f>IF(猎命辅助表!BW32=0,"",猎命辅助表!BW32)</f>
        <v/>
      </c>
      <c r="AS3" t="str">
        <f>IF(猎命辅助表!BX32=0,"",猎命辅助表!BX32)</f>
        <v/>
      </c>
      <c r="AT3" t="str">
        <f>IF(猎命辅助表!BY32=0,"",猎命辅助表!BY32)</f>
        <v/>
      </c>
      <c r="AU3" t="str">
        <f>IF(猎命辅助表!BZ32=0,"",猎命辅助表!BZ32)</f>
        <v/>
      </c>
      <c r="AV3" t="str">
        <f>IF(猎命辅助表!CA32=0,"",猎命辅助表!CA32)</f>
        <v/>
      </c>
      <c r="AW3" t="str">
        <f>IF(猎命辅助表!CB32=0,"",猎命辅助表!CB32)</f>
        <v/>
      </c>
      <c r="AX3" t="str">
        <f>IF(猎命辅助表!CC32=0,"",猎命辅助表!CC32)</f>
        <v/>
      </c>
      <c r="AY3" t="str">
        <f>IF(猎命辅助表!CD32=0,"",猎命辅助表!CD32)</f>
        <v/>
      </c>
      <c r="AZ3" t="str">
        <f>IF(猎命辅助表!CE32=0,"",猎命辅助表!CE32)</f>
        <v/>
      </c>
      <c r="BA3" t="str">
        <f>IF(猎命辅助表!CF32=0,"",猎命辅助表!CF32)</f>
        <v/>
      </c>
      <c r="BB3" t="str">
        <f>IF(猎命辅助表!CG32=0,"",猎命辅助表!CG32)</f>
        <v/>
      </c>
      <c r="BC3" t="str">
        <f>IF(猎命辅助表!CH32=0,"",猎命辅助表!CH32)</f>
        <v/>
      </c>
      <c r="BD3" t="str">
        <f>IF(猎命辅助表!CI32=0,"",猎命辅助表!CI32)</f>
        <v/>
      </c>
      <c r="BE3" t="str">
        <f>IF(猎命辅助表!CJ32=0,"",猎命辅助表!CJ32)</f>
        <v/>
      </c>
      <c r="BF3" t="str">
        <f>IF(猎命辅助表!CK32=0,"",猎命辅助表!CK32)</f>
        <v/>
      </c>
      <c r="BG3" t="str">
        <f>IF(猎命辅助表!CL32=0,"",猎命辅助表!CL32)</f>
        <v/>
      </c>
      <c r="BH3" t="str">
        <f>IF(猎命辅助表!CM32=0,"",猎命辅助表!CM32)</f>
        <v/>
      </c>
      <c r="BI3" t="str">
        <f>IF(猎命辅助表!CN32=0,"",猎命辅助表!CN32)</f>
        <v/>
      </c>
      <c r="BJ3" t="str">
        <f>IF(猎命辅助表!CO32=0,"",猎命辅助表!CO32)</f>
        <v/>
      </c>
      <c r="BK3" t="str">
        <f>IF(猎命辅助表!CP32=0,"",猎命辅助表!CP32)</f>
        <v/>
      </c>
      <c r="BL3" t="str">
        <f>IF(猎命辅助表!CQ32=0,"",猎命辅助表!CQ32)</f>
        <v/>
      </c>
      <c r="BM3" t="str">
        <f>IF(猎命辅助表!CR32=0,"",猎命辅助表!CR32)</f>
        <v/>
      </c>
      <c r="BN3" t="str">
        <f>IF(猎命辅助表!CS32=0,"",猎命辅助表!CS32)</f>
        <v/>
      </c>
      <c r="BO3" t="str">
        <f>IF(猎命辅助表!CT32=0,"",猎命辅助表!CT32)</f>
        <v/>
      </c>
      <c r="BP3" t="str">
        <f>IF(猎命辅助表!CU32=0,"",猎命辅助表!CU32)</f>
        <v/>
      </c>
      <c r="BQ3" t="str">
        <f>IF(猎命辅助表!CV32=0,"",猎命辅助表!CV32)</f>
        <v/>
      </c>
      <c r="BR3" t="str">
        <f>IF(猎命辅助表!CW32=0,"",猎命辅助表!CW32)</f>
        <v/>
      </c>
      <c r="BS3" t="str">
        <f>IF(猎命辅助表!CX32=0,"",猎命辅助表!CX32)</f>
        <v/>
      </c>
      <c r="BT3" t="str">
        <f>IF(猎命辅助表!CY32=0,"",猎命辅助表!CY32)</f>
        <v/>
      </c>
      <c r="BU3" t="str">
        <f>IF(猎命辅助表!CZ32=0,"",猎命辅助表!CZ32)</f>
        <v/>
      </c>
      <c r="BV3" t="str">
        <f>IF(猎命辅助表!DA32=0,"",猎命辅助表!DA32)</f>
        <v/>
      </c>
      <c r="BW3" t="str">
        <f>IF(猎命辅助表!DB32=0,"",猎命辅助表!DB32)</f>
        <v/>
      </c>
      <c r="BX3" t="str">
        <f>IF(猎命辅助表!DC32=0,"",猎命辅助表!DC32)</f>
        <v/>
      </c>
      <c r="BY3" t="str">
        <f>IF(猎命辅助表!DD32=0,"",猎命辅助表!DD32)</f>
        <v/>
      </c>
      <c r="BZ3" t="str">
        <f>IF(猎命辅助表!DE32=0,"",猎命辅助表!DE32)</f>
        <v/>
      </c>
      <c r="CA3" t="str">
        <f>IF(猎命辅助表!DF32=0,"",猎命辅助表!DF32)</f>
        <v/>
      </c>
      <c r="CB3" t="str">
        <f>IF(猎命辅助表!DG32=0,"",猎命辅助表!DG32)</f>
        <v/>
      </c>
      <c r="CC3" t="str">
        <f>IF(猎命辅助表!DH32=0,"",猎命辅助表!DH32)</f>
        <v/>
      </c>
      <c r="CD3" t="str">
        <f>IF(猎命辅助表!DI32=0,"",猎命辅助表!DI32)</f>
        <v/>
      </c>
      <c r="CE3" t="str">
        <f>IF(猎命辅助表!DJ32=0,"",猎命辅助表!DJ32)</f>
        <v/>
      </c>
      <c r="CF3" t="str">
        <f>IF(猎命辅助表!DK32=0,"",猎命辅助表!DK32)</f>
        <v/>
      </c>
      <c r="CG3" t="str">
        <f>IF(猎命辅助表!DL32=0,"",猎命辅助表!DL32)</f>
        <v/>
      </c>
      <c r="CH3" t="str">
        <f>IF(猎命辅助表!DM32=0,"",猎命辅助表!DM32)</f>
        <v/>
      </c>
      <c r="CI3" t="str">
        <f>IF(猎命辅助表!DN32=0,"",猎命辅助表!DN32)</f>
        <v/>
      </c>
      <c r="CJ3" t="str">
        <f>IF(猎命辅助表!DO32=0,"",猎命辅助表!DO32)</f>
        <v/>
      </c>
      <c r="CK3" t="str">
        <f>IF(猎命辅助表!DP32=0,"",猎命辅助表!DP32)</f>
        <v/>
      </c>
      <c r="CL3" t="str">
        <f>IF(猎命辅助表!DQ32=0,"",猎命辅助表!DQ32)</f>
        <v/>
      </c>
      <c r="CM3" t="str">
        <f>IF(猎命辅助表!DR32=0,"",猎命辅助表!DR32)</f>
        <v/>
      </c>
      <c r="CN3" t="str">
        <f>IF(猎命辅助表!DS32=0,"",猎命辅助表!DS32)</f>
        <v/>
      </c>
      <c r="CO3" t="str">
        <f>IF(猎命辅助表!DT32=0,"",猎命辅助表!DT32)</f>
        <v/>
      </c>
      <c r="CP3" t="str">
        <f>IF(猎命辅助表!DU32=0,"",猎命辅助表!DU32)</f>
        <v/>
      </c>
      <c r="CQ3" t="str">
        <f>IF(猎命辅助表!DV32=0,"",猎命辅助表!DV32)</f>
        <v/>
      </c>
      <c r="CR3" t="str">
        <f>IF(猎命辅助表!DW32=0,"",猎命辅助表!DW32)</f>
        <v/>
      </c>
      <c r="CS3" t="str">
        <f>IF(猎命辅助表!DX32=0,"",猎命辅助表!DX32)</f>
        <v/>
      </c>
      <c r="CT3" t="str">
        <f>IF(猎命辅助表!DY32=0,"",猎命辅助表!DY32)</f>
        <v/>
      </c>
      <c r="CU3" t="str">
        <f>IF(猎命辅助表!DZ32=0,"",猎命辅助表!DZ32)</f>
        <v/>
      </c>
      <c r="CV3" t="str">
        <f>IF(猎命辅助表!EA32=0,"",猎命辅助表!EA32)</f>
        <v/>
      </c>
      <c r="CW3" t="str">
        <f>IF(猎命辅助表!EB32=0,"",猎命辅助表!EB32)</f>
        <v/>
      </c>
      <c r="CX3" t="str">
        <f>IF(猎命辅助表!EC32=0,"",猎命辅助表!EC32)</f>
        <v/>
      </c>
      <c r="CY3" t="str">
        <f>IF(猎命辅助表!ED32=0,"",猎命辅助表!ED32)</f>
        <v/>
      </c>
      <c r="CZ3" t="str">
        <f>IF(猎命辅助表!EE32=0,"",猎命辅助表!EE32)</f>
        <v/>
      </c>
      <c r="DA3" t="str">
        <f>IF(猎命辅助表!EF32=0,"",猎命辅助表!EF32)</f>
        <v/>
      </c>
      <c r="DB3" t="str">
        <f>IF(猎命辅助表!EG32=0,"",猎命辅助表!EG32)</f>
        <v/>
      </c>
      <c r="DC3" t="str">
        <f>IF(猎命辅助表!EH32=0,"",猎命辅助表!EH32)</f>
        <v/>
      </c>
      <c r="DD3" t="str">
        <f>IF(猎命辅助表!EI32=0,"",猎命辅助表!EI32)</f>
        <v/>
      </c>
      <c r="DE3" t="str">
        <f>IF(猎命辅助表!EJ32=0,"",猎命辅助表!EJ32)</f>
        <v/>
      </c>
      <c r="DF3" t="str">
        <f>IF(猎命辅助表!EK32=0,"",猎命辅助表!EK32)</f>
        <v/>
      </c>
      <c r="DG3" t="str">
        <f>IF(猎命辅助表!EL32=0,"",猎命辅助表!EL32)</f>
        <v/>
      </c>
      <c r="DH3" t="str">
        <f>IF(猎命辅助表!EM32=0,"",猎命辅助表!EM32)</f>
        <v/>
      </c>
      <c r="DI3" t="str">
        <f>IF(猎命辅助表!EN32=0,"",猎命辅助表!EN32)</f>
        <v/>
      </c>
      <c r="DJ3" t="str">
        <f>IF(猎命辅助表!EO32=0,"",猎命辅助表!EO32)</f>
        <v/>
      </c>
      <c r="DK3" t="str">
        <f>IF(猎命辅助表!EP32=0,"",猎命辅助表!EP32)</f>
        <v/>
      </c>
      <c r="DL3" t="str">
        <f>IF(猎命辅助表!EQ32=0,"",猎命辅助表!EQ32)</f>
        <v/>
      </c>
      <c r="DM3" t="str">
        <f>IF(猎命辅助表!ER32=0,"",猎命辅助表!ER32)</f>
        <v/>
      </c>
      <c r="DN3" t="str">
        <f>IF(猎命辅助表!ES32=0,"",猎命辅助表!ES32)</f>
        <v/>
      </c>
      <c r="DO3" t="str">
        <f>IF(猎命辅助表!ET32=0,"",猎命辅助表!ET32)</f>
        <v/>
      </c>
      <c r="DP3" t="str">
        <f>IF(猎命辅助表!EU32=0,"",猎命辅助表!EU32)</f>
        <v/>
      </c>
      <c r="DQ3" t="str">
        <f>IF(猎命辅助表!EV32=0,"",猎命辅助表!EV32)</f>
        <v/>
      </c>
      <c r="DR3" t="str">
        <f>IF(猎命辅助表!EW32=0,"",猎命辅助表!EW32)</f>
        <v/>
      </c>
      <c r="DS3" t="str">
        <f>IF(猎命辅助表!EX32=0,"",猎命辅助表!EX32)</f>
        <v/>
      </c>
      <c r="DT3" t="str">
        <f>IF(猎命辅助表!EY32=0,"",猎命辅助表!EY32)</f>
        <v/>
      </c>
      <c r="DU3" t="str">
        <f>IF(猎命辅助表!EZ32=0,"",猎命辅助表!EZ32)</f>
        <v/>
      </c>
      <c r="DV3" t="str">
        <f>IF(猎命辅助表!FA32=0,"",猎命辅助表!FA32)</f>
        <v/>
      </c>
      <c r="DW3" t="str">
        <f>IF(猎命辅助表!FB32=0,"",猎命辅助表!FB32)</f>
        <v/>
      </c>
      <c r="DX3" t="str">
        <f>IF(猎命辅助表!FC32=0,"",猎命辅助表!FC32)</f>
        <v/>
      </c>
    </row>
    <row r="4" spans="1:128">
      <c r="A4">
        <v>3</v>
      </c>
      <c r="B4">
        <f>IF(猎命辅助表!AG33=0,"",猎命辅助表!AG33)</f>
        <v>23</v>
      </c>
      <c r="C4">
        <f>IF(猎命辅助表!AH33=0,"",猎命辅助表!AH33)</f>
        <v>8110</v>
      </c>
      <c r="D4" t="str">
        <f>IF(猎命辅助表!AI33=0,"",猎命辅助表!AI33)</f>
        <v>兽腾</v>
      </c>
      <c r="E4">
        <f>IF(猎命辅助表!AJ33=0,"",猎命辅助表!AJ33)</f>
        <v>2426</v>
      </c>
      <c r="F4">
        <f>IF(猎命辅助表!AK33=0,"",猎命辅助表!AK33)</f>
        <v>8210</v>
      </c>
      <c r="G4" t="str">
        <f>IF(猎命辅助表!AL33=0,"",猎命辅助表!AL33)</f>
        <v>战狂</v>
      </c>
      <c r="H4">
        <f>IF(猎命辅助表!AM33=0,"",猎命辅助表!AM33)</f>
        <v>4859</v>
      </c>
      <c r="I4">
        <f>IF(猎命辅助表!AN33=0,"",猎命辅助表!AN33)</f>
        <v>8310</v>
      </c>
      <c r="J4" t="str">
        <f>IF(猎命辅助表!AO33=0,"",猎命辅助表!AO33)</f>
        <v>贪狼</v>
      </c>
      <c r="K4">
        <f>IF(猎命辅助表!AP33=0,"",猎命辅助表!AP33)</f>
        <v>7292</v>
      </c>
      <c r="L4">
        <f>IF(猎命辅助表!AQ33=0,"",猎命辅助表!AQ33)</f>
        <v>8120</v>
      </c>
      <c r="M4" t="str">
        <f>IF(猎命辅助表!AR33=0,"",猎命辅助表!AR33)</f>
        <v>辉煌</v>
      </c>
      <c r="N4">
        <f>IF(猎命辅助表!AS33=0,"",猎命辅助表!AS33)</f>
        <v>7605</v>
      </c>
      <c r="O4">
        <f>IF(猎命辅助表!AT33=0,"",猎命辅助表!AT33)</f>
        <v>8220</v>
      </c>
      <c r="P4" t="str">
        <f>IF(猎命辅助表!AU33=0,"",猎命辅助表!AU33)</f>
        <v>破军</v>
      </c>
      <c r="Q4">
        <f>IF(猎命辅助表!AV33=0,"",猎命辅助表!AV33)</f>
        <v>7918</v>
      </c>
      <c r="R4">
        <f>IF(猎命辅助表!AW33=0,"",猎命辅助表!AW33)</f>
        <v>8320</v>
      </c>
      <c r="S4" t="str">
        <f>IF(猎命辅助表!AX33=0,"",猎命辅助表!AX33)</f>
        <v>真刚</v>
      </c>
      <c r="T4">
        <f>IF(猎命辅助表!AY33=0,"",猎命辅助表!AY33)</f>
        <v>8231</v>
      </c>
      <c r="U4">
        <f>IF(猎命辅助表!AZ33=0,"",猎命辅助表!AZ33)</f>
        <v>8420</v>
      </c>
      <c r="V4" t="str">
        <f>IF(猎命辅助表!BA33=0,"",猎命辅助表!BA33)</f>
        <v>飞仙</v>
      </c>
      <c r="W4">
        <f>IF(猎命辅助表!BB33=0,"",猎命辅助表!BB33)</f>
        <v>8544</v>
      </c>
      <c r="X4">
        <f>IF(猎命辅助表!BC33=0,"",猎命辅助表!BC33)</f>
        <v>8520</v>
      </c>
      <c r="Y4" t="str">
        <f>IF(猎命辅助表!BD33=0,"",猎命辅助表!BD33)</f>
        <v>虚空</v>
      </c>
      <c r="Z4">
        <f>IF(猎命辅助表!BE33=0,"",猎命辅助表!BE33)</f>
        <v>8857</v>
      </c>
      <c r="AA4">
        <f>IF(猎命辅助表!BF33=0,"",猎命辅助表!BF33)</f>
        <v>8620</v>
      </c>
      <c r="AB4" t="str">
        <f>IF(猎命辅助表!BG33=0,"",猎命辅助表!BG33)</f>
        <v>无惧</v>
      </c>
      <c r="AC4">
        <f>IF(猎命辅助表!BH33=0,"",猎命辅助表!BH33)</f>
        <v>9170</v>
      </c>
      <c r="AD4">
        <f>IF(猎命辅助表!BI33=0,"",猎命辅助表!BI33)</f>
        <v>8720</v>
      </c>
      <c r="AE4" t="str">
        <f>IF(猎命辅助表!BJ33=0,"",猎命辅助表!BJ33)</f>
        <v>天杀</v>
      </c>
      <c r="AF4">
        <f>IF(猎命辅助表!BK33=0,"",猎命辅助表!BK33)</f>
        <v>9483</v>
      </c>
      <c r="AG4">
        <f>IF(猎命辅助表!BL33=0,"",猎命辅助表!BL33)</f>
        <v>8820</v>
      </c>
      <c r="AH4" t="str">
        <f>IF(猎命辅助表!BM33=0,"",猎命辅助表!BM33)</f>
        <v>诛魔</v>
      </c>
      <c r="AI4">
        <f>IF(猎命辅助表!BN33=0,"",猎命辅助表!BN33)</f>
        <v>9796</v>
      </c>
      <c r="AJ4">
        <f>IF(猎命辅助表!BO33=0,"",猎命辅助表!BO33)</f>
        <v>8130</v>
      </c>
      <c r="AK4" t="str">
        <f>IF(猎命辅助表!BP33=0,"",猎命辅助表!BP33)</f>
        <v>霸主</v>
      </c>
      <c r="AL4">
        <f>IF(猎命辅助表!BQ33=0,"",猎命辅助表!BQ33)</f>
        <v>9813</v>
      </c>
      <c r="AM4">
        <f>IF(猎命辅助表!BR33=0,"",猎命辅助表!BR33)</f>
        <v>8230</v>
      </c>
      <c r="AN4" t="str">
        <f>IF(猎命辅助表!BS33=0,"",猎命辅助表!BS33)</f>
        <v>虎啸</v>
      </c>
      <c r="AO4">
        <f>IF(猎命辅助表!BT33=0,"",猎命辅助表!BT33)</f>
        <v>9830</v>
      </c>
      <c r="AP4">
        <f>IF(猎命辅助表!BU33=0,"",猎命辅助表!BU33)</f>
        <v>8330</v>
      </c>
      <c r="AQ4" t="str">
        <f>IF(猎命辅助表!BV33=0,"",猎命辅助表!BV33)</f>
        <v>豪魄</v>
      </c>
      <c r="AR4">
        <f>IF(猎命辅助表!BW33=0,"",猎命辅助表!BW33)</f>
        <v>9847</v>
      </c>
      <c r="AS4">
        <f>IF(猎命辅助表!BX33=0,"",猎命辅助表!BX33)</f>
        <v>8430</v>
      </c>
      <c r="AT4" t="str">
        <f>IF(猎命辅助表!BY33=0,"",猎命辅助表!BY33)</f>
        <v>捉影</v>
      </c>
      <c r="AU4">
        <f>IF(猎命辅助表!BZ33=0,"",猎命辅助表!BZ33)</f>
        <v>9864</v>
      </c>
      <c r="AV4">
        <f>IF(猎命辅助表!CA33=0,"",猎命辅助表!CA33)</f>
        <v>8530</v>
      </c>
      <c r="AW4" t="str">
        <f>IF(猎命辅助表!CB33=0,"",猎命辅助表!CB33)</f>
        <v>游刃</v>
      </c>
      <c r="AX4">
        <f>IF(猎命辅助表!CC33=0,"",猎命辅助表!CC33)</f>
        <v>9881</v>
      </c>
      <c r="AY4">
        <f>IF(猎命辅助表!CD33=0,"",猎命辅助表!CD33)</f>
        <v>8630</v>
      </c>
      <c r="AZ4" t="str">
        <f>IF(猎命辅助表!CE33=0,"",猎命辅助表!CE33)</f>
        <v>傲骨</v>
      </c>
      <c r="BA4">
        <f>IF(猎命辅助表!CF33=0,"",猎命辅助表!CF33)</f>
        <v>9898</v>
      </c>
      <c r="BB4">
        <f>IF(猎命辅助表!CG33=0,"",猎命辅助表!CG33)</f>
        <v>8730</v>
      </c>
      <c r="BC4" t="str">
        <f>IF(猎命辅助表!CH33=0,"",猎命辅助表!CH33)</f>
        <v>心眼</v>
      </c>
      <c r="BD4">
        <f>IF(猎命辅助表!CI33=0,"",猎命辅助表!CI33)</f>
        <v>9915</v>
      </c>
      <c r="BE4">
        <f>IF(猎命辅助表!CJ33=0,"",猎命辅助表!CJ33)</f>
        <v>8830</v>
      </c>
      <c r="BF4" t="str">
        <f>IF(猎命辅助表!CK33=0,"",猎命辅助表!CK33)</f>
        <v>噬生</v>
      </c>
      <c r="BG4">
        <f>IF(猎命辅助表!CL33=0,"",猎命辅助表!CL33)</f>
        <v>9932</v>
      </c>
      <c r="BH4">
        <f>IF(猎命辅助表!CM33=0,"",猎命辅助表!CM33)</f>
        <v>8930</v>
      </c>
      <c r="BI4" t="str">
        <f>IF(猎命辅助表!CN33=0,"",猎命辅助表!CN33)</f>
        <v>痛击</v>
      </c>
      <c r="BJ4">
        <f>IF(猎命辅助表!CO33=0,"",猎命辅助表!CO33)</f>
        <v>9949</v>
      </c>
      <c r="BK4">
        <f>IF(猎命辅助表!CP33=0,"",猎命辅助表!CP33)</f>
        <v>9030</v>
      </c>
      <c r="BL4" t="str">
        <f>IF(猎命辅助表!CQ33=0,"",猎命辅助表!CQ33)</f>
        <v>不坏</v>
      </c>
      <c r="BM4">
        <f>IF(猎命辅助表!CR33=0,"",猎命辅助表!CR33)</f>
        <v>9966</v>
      </c>
      <c r="BN4">
        <f>IF(猎命辅助表!CS33=0,"",猎命辅助表!CS33)</f>
        <v>9130</v>
      </c>
      <c r="BO4" t="str">
        <f>IF(猎命辅助表!CT33=0,"",猎命辅助表!CT33)</f>
        <v>寂灭</v>
      </c>
      <c r="BP4">
        <f>IF(猎命辅助表!CU33=0,"",猎命辅助表!CU33)</f>
        <v>9983</v>
      </c>
      <c r="BQ4">
        <f>IF(猎命辅助表!CV33=0,"",猎命辅助表!CV33)</f>
        <v>9230</v>
      </c>
      <c r="BR4" t="str">
        <f>IF(猎命辅助表!CW33=0,"",猎命辅助表!CW33)</f>
        <v>盘蛇</v>
      </c>
      <c r="BS4">
        <f>IF(猎命辅助表!CX33=0,"",猎命辅助表!CX33)</f>
        <v>10000</v>
      </c>
      <c r="BT4" t="str">
        <f>IF(猎命辅助表!CY33=0,"",猎命辅助表!CY33)</f>
        <v/>
      </c>
      <c r="BU4" t="str">
        <f>IF(猎命辅助表!CZ33=0,"",猎命辅助表!CZ33)</f>
        <v/>
      </c>
      <c r="BV4" t="str">
        <f>IF(猎命辅助表!DA33=0,"",猎命辅助表!DA33)</f>
        <v/>
      </c>
      <c r="BW4" t="str">
        <f>IF(猎命辅助表!DB33=0,"",猎命辅助表!DB33)</f>
        <v/>
      </c>
      <c r="BX4" t="str">
        <f>IF(猎命辅助表!DC33=0,"",猎命辅助表!DC33)</f>
        <v/>
      </c>
      <c r="BY4" t="str">
        <f>IF(猎命辅助表!DD33=0,"",猎命辅助表!DD33)</f>
        <v/>
      </c>
      <c r="BZ4" t="str">
        <f>IF(猎命辅助表!DE33=0,"",猎命辅助表!DE33)</f>
        <v/>
      </c>
      <c r="CA4" t="str">
        <f>IF(猎命辅助表!DF33=0,"",猎命辅助表!DF33)</f>
        <v/>
      </c>
      <c r="CB4" t="str">
        <f>IF(猎命辅助表!DG33=0,"",猎命辅助表!DG33)</f>
        <v/>
      </c>
      <c r="CC4" t="str">
        <f>IF(猎命辅助表!DH33=0,"",猎命辅助表!DH33)</f>
        <v/>
      </c>
      <c r="CD4" t="str">
        <f>IF(猎命辅助表!DI33=0,"",猎命辅助表!DI33)</f>
        <v/>
      </c>
      <c r="CE4" t="str">
        <f>IF(猎命辅助表!DJ33=0,"",猎命辅助表!DJ33)</f>
        <v/>
      </c>
      <c r="CF4" t="str">
        <f>IF(猎命辅助表!DK33=0,"",猎命辅助表!DK33)</f>
        <v/>
      </c>
      <c r="CG4" t="str">
        <f>IF(猎命辅助表!DL33=0,"",猎命辅助表!DL33)</f>
        <v/>
      </c>
      <c r="CH4" t="str">
        <f>IF(猎命辅助表!DM33=0,"",猎命辅助表!DM33)</f>
        <v/>
      </c>
      <c r="CI4" t="str">
        <f>IF(猎命辅助表!DN33=0,"",猎命辅助表!DN33)</f>
        <v/>
      </c>
      <c r="CJ4" t="str">
        <f>IF(猎命辅助表!DO33=0,"",猎命辅助表!DO33)</f>
        <v/>
      </c>
      <c r="CK4" t="str">
        <f>IF(猎命辅助表!DP33=0,"",猎命辅助表!DP33)</f>
        <v/>
      </c>
      <c r="CL4" t="str">
        <f>IF(猎命辅助表!DQ33=0,"",猎命辅助表!DQ33)</f>
        <v/>
      </c>
      <c r="CM4" t="str">
        <f>IF(猎命辅助表!DR33=0,"",猎命辅助表!DR33)</f>
        <v/>
      </c>
      <c r="CN4" t="str">
        <f>IF(猎命辅助表!DS33=0,"",猎命辅助表!DS33)</f>
        <v/>
      </c>
      <c r="CO4" t="str">
        <f>IF(猎命辅助表!DT33=0,"",猎命辅助表!DT33)</f>
        <v/>
      </c>
      <c r="CP4" t="str">
        <f>IF(猎命辅助表!DU33=0,"",猎命辅助表!DU33)</f>
        <v/>
      </c>
      <c r="CQ4" t="str">
        <f>IF(猎命辅助表!DV33=0,"",猎命辅助表!DV33)</f>
        <v/>
      </c>
      <c r="CR4" t="str">
        <f>IF(猎命辅助表!DW33=0,"",猎命辅助表!DW33)</f>
        <v/>
      </c>
      <c r="CS4" t="str">
        <f>IF(猎命辅助表!DX33=0,"",猎命辅助表!DX33)</f>
        <v/>
      </c>
      <c r="CT4" t="str">
        <f>IF(猎命辅助表!DY33=0,"",猎命辅助表!DY33)</f>
        <v/>
      </c>
      <c r="CU4" t="str">
        <f>IF(猎命辅助表!DZ33=0,"",猎命辅助表!DZ33)</f>
        <v/>
      </c>
      <c r="CV4" t="str">
        <f>IF(猎命辅助表!EA33=0,"",猎命辅助表!EA33)</f>
        <v/>
      </c>
      <c r="CW4" t="str">
        <f>IF(猎命辅助表!EB33=0,"",猎命辅助表!EB33)</f>
        <v/>
      </c>
      <c r="CX4" t="str">
        <f>IF(猎命辅助表!EC33=0,"",猎命辅助表!EC33)</f>
        <v/>
      </c>
      <c r="CY4" t="str">
        <f>IF(猎命辅助表!ED33=0,"",猎命辅助表!ED33)</f>
        <v/>
      </c>
      <c r="CZ4" t="str">
        <f>IF(猎命辅助表!EE33=0,"",猎命辅助表!EE33)</f>
        <v/>
      </c>
      <c r="DA4" t="str">
        <f>IF(猎命辅助表!EF33=0,"",猎命辅助表!EF33)</f>
        <v/>
      </c>
      <c r="DB4" t="str">
        <f>IF(猎命辅助表!EG33=0,"",猎命辅助表!EG33)</f>
        <v/>
      </c>
      <c r="DC4" t="str">
        <f>IF(猎命辅助表!EH33=0,"",猎命辅助表!EH33)</f>
        <v/>
      </c>
      <c r="DD4" t="str">
        <f>IF(猎命辅助表!EI33=0,"",猎命辅助表!EI33)</f>
        <v/>
      </c>
      <c r="DE4" t="str">
        <f>IF(猎命辅助表!EJ33=0,"",猎命辅助表!EJ33)</f>
        <v/>
      </c>
      <c r="DF4" t="str">
        <f>IF(猎命辅助表!EK33=0,"",猎命辅助表!EK33)</f>
        <v/>
      </c>
      <c r="DG4" t="str">
        <f>IF(猎命辅助表!EL33=0,"",猎命辅助表!EL33)</f>
        <v/>
      </c>
      <c r="DH4" t="str">
        <f>IF(猎命辅助表!EM33=0,"",猎命辅助表!EM33)</f>
        <v/>
      </c>
      <c r="DI4" t="str">
        <f>IF(猎命辅助表!EN33=0,"",猎命辅助表!EN33)</f>
        <v/>
      </c>
      <c r="DJ4" t="str">
        <f>IF(猎命辅助表!EO33=0,"",猎命辅助表!EO33)</f>
        <v/>
      </c>
      <c r="DK4" t="str">
        <f>IF(猎命辅助表!EP33=0,"",猎命辅助表!EP33)</f>
        <v/>
      </c>
      <c r="DL4" t="str">
        <f>IF(猎命辅助表!EQ33=0,"",猎命辅助表!EQ33)</f>
        <v/>
      </c>
      <c r="DM4" t="str">
        <f>IF(猎命辅助表!ER33=0,"",猎命辅助表!ER33)</f>
        <v/>
      </c>
      <c r="DN4" t="str">
        <f>IF(猎命辅助表!ES33=0,"",猎命辅助表!ES33)</f>
        <v/>
      </c>
      <c r="DO4" t="str">
        <f>IF(猎命辅助表!ET33=0,"",猎命辅助表!ET33)</f>
        <v/>
      </c>
      <c r="DP4" t="str">
        <f>IF(猎命辅助表!EU33=0,"",猎命辅助表!EU33)</f>
        <v/>
      </c>
      <c r="DQ4" t="str">
        <f>IF(猎命辅助表!EV33=0,"",猎命辅助表!EV33)</f>
        <v/>
      </c>
      <c r="DR4" t="str">
        <f>IF(猎命辅助表!EW33=0,"",猎命辅助表!EW33)</f>
        <v/>
      </c>
      <c r="DS4" t="str">
        <f>IF(猎命辅助表!EX33=0,"",猎命辅助表!EX33)</f>
        <v/>
      </c>
      <c r="DT4" t="str">
        <f>IF(猎命辅助表!EY33=0,"",猎命辅助表!EY33)</f>
        <v/>
      </c>
      <c r="DU4" t="str">
        <f>IF(猎命辅助表!EZ33=0,"",猎命辅助表!EZ33)</f>
        <v/>
      </c>
      <c r="DV4" t="str">
        <f>IF(猎命辅助表!FA33=0,"",猎命辅助表!FA33)</f>
        <v/>
      </c>
      <c r="DW4" t="str">
        <f>IF(猎命辅助表!FB33=0,"",猎命辅助表!FB33)</f>
        <v/>
      </c>
      <c r="DX4" t="str">
        <f>IF(猎命辅助表!FC33=0,"",猎命辅助表!FC33)</f>
        <v/>
      </c>
    </row>
    <row r="5" spans="1:128">
      <c r="A5">
        <v>4</v>
      </c>
      <c r="B5">
        <f>IF(猎命辅助表!AG34=0,"",猎命辅助表!AG34)</f>
        <v>36</v>
      </c>
      <c r="C5">
        <f>IF(猎命辅助表!AH34=0,"",猎命辅助表!AH34)</f>
        <v>8110</v>
      </c>
      <c r="D5" t="str">
        <f>IF(猎命辅助表!AI34=0,"",猎命辅助表!AI34)</f>
        <v>兽腾</v>
      </c>
      <c r="E5">
        <f>IF(猎命辅助表!AJ34=0,"",猎命辅助表!AJ34)</f>
        <v>992</v>
      </c>
      <c r="F5">
        <f>IF(猎命辅助表!AK34=0,"",猎命辅助表!AK34)</f>
        <v>8210</v>
      </c>
      <c r="G5" t="str">
        <f>IF(猎命辅助表!AL34=0,"",猎命辅助表!AL34)</f>
        <v>战狂</v>
      </c>
      <c r="H5">
        <f>IF(猎命辅助表!AM34=0,"",猎命辅助表!AM34)</f>
        <v>1992</v>
      </c>
      <c r="I5">
        <f>IF(猎命辅助表!AN34=0,"",猎命辅助表!AN34)</f>
        <v>8310</v>
      </c>
      <c r="J5" t="str">
        <f>IF(猎命辅助表!AO34=0,"",猎命辅助表!AO34)</f>
        <v>贪狼</v>
      </c>
      <c r="K5">
        <f>IF(猎命辅助表!AP34=0,"",猎命辅助表!AP34)</f>
        <v>2992</v>
      </c>
      <c r="L5">
        <f>IF(猎命辅助表!AQ34=0,"",猎命辅助表!AQ34)</f>
        <v>8120</v>
      </c>
      <c r="M5" t="str">
        <f>IF(猎命辅助表!AR34=0,"",猎命辅助表!AR34)</f>
        <v>辉煌</v>
      </c>
      <c r="N5">
        <f>IF(猎命辅助表!AS34=0,"",猎命辅助表!AS34)</f>
        <v>3780</v>
      </c>
      <c r="O5">
        <f>IF(猎命辅助表!AT34=0,"",猎命辅助表!AT34)</f>
        <v>8220</v>
      </c>
      <c r="P5" t="str">
        <f>IF(猎命辅助表!AU34=0,"",猎命辅助表!AU34)</f>
        <v>破军</v>
      </c>
      <c r="Q5">
        <f>IF(猎命辅助表!AV34=0,"",猎命辅助表!AV34)</f>
        <v>4568</v>
      </c>
      <c r="R5">
        <f>IF(猎命辅助表!AW34=0,"",猎命辅助表!AW34)</f>
        <v>8320</v>
      </c>
      <c r="S5" t="str">
        <f>IF(猎命辅助表!AX34=0,"",猎命辅助表!AX34)</f>
        <v>真刚</v>
      </c>
      <c r="T5">
        <f>IF(猎命辅助表!AY34=0,"",猎命辅助表!AY34)</f>
        <v>5356</v>
      </c>
      <c r="U5">
        <f>IF(猎命辅助表!AZ34=0,"",猎命辅助表!AZ34)</f>
        <v>8420</v>
      </c>
      <c r="V5" t="str">
        <f>IF(猎命辅助表!BA34=0,"",猎命辅助表!BA34)</f>
        <v>飞仙</v>
      </c>
      <c r="W5">
        <f>IF(猎命辅助表!BB34=0,"",猎命辅助表!BB34)</f>
        <v>6144</v>
      </c>
      <c r="X5">
        <f>IF(猎命辅助表!BC34=0,"",猎命辅助表!BC34)</f>
        <v>8520</v>
      </c>
      <c r="Y5" t="str">
        <f>IF(猎命辅助表!BD34=0,"",猎命辅助表!BD34)</f>
        <v>虚空</v>
      </c>
      <c r="Z5">
        <f>IF(猎命辅助表!BE34=0,"",猎命辅助表!BE34)</f>
        <v>6932</v>
      </c>
      <c r="AA5">
        <f>IF(猎命辅助表!BF34=0,"",猎命辅助表!BF34)</f>
        <v>8620</v>
      </c>
      <c r="AB5" t="str">
        <f>IF(猎命辅助表!BG34=0,"",猎命辅助表!BG34)</f>
        <v>无惧</v>
      </c>
      <c r="AC5">
        <f>IF(猎命辅助表!BH34=0,"",猎命辅助表!BH34)</f>
        <v>7720</v>
      </c>
      <c r="AD5">
        <f>IF(猎命辅助表!BI34=0,"",猎命辅助表!BI34)</f>
        <v>8720</v>
      </c>
      <c r="AE5" t="str">
        <f>IF(猎命辅助表!BJ34=0,"",猎命辅助表!BJ34)</f>
        <v>天杀</v>
      </c>
      <c r="AF5">
        <f>IF(猎命辅助表!BK34=0,"",猎命辅助表!BK34)</f>
        <v>8508</v>
      </c>
      <c r="AG5">
        <f>IF(猎命辅助表!BL34=0,"",猎命辅助表!BL34)</f>
        <v>8820</v>
      </c>
      <c r="AH5" t="str">
        <f>IF(猎命辅助表!BM34=0,"",猎命辅助表!BM34)</f>
        <v>诛魔</v>
      </c>
      <c r="AI5">
        <f>IF(猎命辅助表!BN34=0,"",猎命辅助表!BN34)</f>
        <v>9296</v>
      </c>
      <c r="AJ5">
        <f>IF(猎命辅助表!BO34=0,"",猎命辅助表!BO34)</f>
        <v>8130</v>
      </c>
      <c r="AK5" t="str">
        <f>IF(猎命辅助表!BP34=0,"",猎命辅助表!BP34)</f>
        <v>霸主</v>
      </c>
      <c r="AL5">
        <f>IF(猎命辅助表!BQ34=0,"",猎命辅助表!BQ34)</f>
        <v>9346</v>
      </c>
      <c r="AM5">
        <f>IF(猎命辅助表!BR34=0,"",猎命辅助表!BR34)</f>
        <v>8230</v>
      </c>
      <c r="AN5" t="str">
        <f>IF(猎命辅助表!BS34=0,"",猎命辅助表!BS34)</f>
        <v>虎啸</v>
      </c>
      <c r="AO5">
        <f>IF(猎命辅助表!BT34=0,"",猎命辅助表!BT34)</f>
        <v>9396</v>
      </c>
      <c r="AP5">
        <f>IF(猎命辅助表!BU34=0,"",猎命辅助表!BU34)</f>
        <v>8330</v>
      </c>
      <c r="AQ5" t="str">
        <f>IF(猎命辅助表!BV34=0,"",猎命辅助表!BV34)</f>
        <v>豪魄</v>
      </c>
      <c r="AR5">
        <f>IF(猎命辅助表!BW34=0,"",猎命辅助表!BW34)</f>
        <v>9446</v>
      </c>
      <c r="AS5">
        <f>IF(猎命辅助表!BX34=0,"",猎命辅助表!BX34)</f>
        <v>8430</v>
      </c>
      <c r="AT5" t="str">
        <f>IF(猎命辅助表!BY34=0,"",猎命辅助表!BY34)</f>
        <v>捉影</v>
      </c>
      <c r="AU5">
        <f>IF(猎命辅助表!BZ34=0,"",猎命辅助表!BZ34)</f>
        <v>9496</v>
      </c>
      <c r="AV5">
        <f>IF(猎命辅助表!CA34=0,"",猎命辅助表!CA34)</f>
        <v>8530</v>
      </c>
      <c r="AW5" t="str">
        <f>IF(猎命辅助表!CB34=0,"",猎命辅助表!CB34)</f>
        <v>游刃</v>
      </c>
      <c r="AX5">
        <f>IF(猎命辅助表!CC34=0,"",猎命辅助表!CC34)</f>
        <v>9546</v>
      </c>
      <c r="AY5">
        <f>IF(猎命辅助表!CD34=0,"",猎命辅助表!CD34)</f>
        <v>8630</v>
      </c>
      <c r="AZ5" t="str">
        <f>IF(猎命辅助表!CE34=0,"",猎命辅助表!CE34)</f>
        <v>傲骨</v>
      </c>
      <c r="BA5">
        <f>IF(猎命辅助表!CF34=0,"",猎命辅助表!CF34)</f>
        <v>9596</v>
      </c>
      <c r="BB5">
        <f>IF(猎命辅助表!CG34=0,"",猎命辅助表!CG34)</f>
        <v>8730</v>
      </c>
      <c r="BC5" t="str">
        <f>IF(猎命辅助表!CH34=0,"",猎命辅助表!CH34)</f>
        <v>心眼</v>
      </c>
      <c r="BD5">
        <f>IF(猎命辅助表!CI34=0,"",猎命辅助表!CI34)</f>
        <v>9646</v>
      </c>
      <c r="BE5">
        <f>IF(猎命辅助表!CJ34=0,"",猎命辅助表!CJ34)</f>
        <v>8830</v>
      </c>
      <c r="BF5" t="str">
        <f>IF(猎命辅助表!CK34=0,"",猎命辅助表!CK34)</f>
        <v>噬生</v>
      </c>
      <c r="BG5">
        <f>IF(猎命辅助表!CL34=0,"",猎命辅助表!CL34)</f>
        <v>9696</v>
      </c>
      <c r="BH5">
        <f>IF(猎命辅助表!CM34=0,"",猎命辅助表!CM34)</f>
        <v>8930</v>
      </c>
      <c r="BI5" t="str">
        <f>IF(猎命辅助表!CN34=0,"",猎命辅助表!CN34)</f>
        <v>痛击</v>
      </c>
      <c r="BJ5">
        <f>IF(猎命辅助表!CO34=0,"",猎命辅助表!CO34)</f>
        <v>9746</v>
      </c>
      <c r="BK5">
        <f>IF(猎命辅助表!CP34=0,"",猎命辅助表!CP34)</f>
        <v>9030</v>
      </c>
      <c r="BL5" t="str">
        <f>IF(猎命辅助表!CQ34=0,"",猎命辅助表!CQ34)</f>
        <v>不坏</v>
      </c>
      <c r="BM5">
        <f>IF(猎命辅助表!CR34=0,"",猎命辅助表!CR34)</f>
        <v>9796</v>
      </c>
      <c r="BN5">
        <f>IF(猎命辅助表!CS34=0,"",猎命辅助表!CS34)</f>
        <v>9130</v>
      </c>
      <c r="BO5" t="str">
        <f>IF(猎命辅助表!CT34=0,"",猎命辅助表!CT34)</f>
        <v>审判</v>
      </c>
      <c r="BP5">
        <f>IF(猎命辅助表!CU34=0,"",猎命辅助表!CU34)</f>
        <v>9846</v>
      </c>
      <c r="BQ5">
        <f>IF(猎命辅助表!CV34=0,"",猎命辅助表!CV34)</f>
        <v>9230</v>
      </c>
      <c r="BR5" t="str">
        <f>IF(猎命辅助表!CW34=0,"",猎命辅助表!CW34)</f>
        <v>盘蛇</v>
      </c>
      <c r="BS5">
        <f>IF(猎命辅助表!CX34=0,"",猎命辅助表!CX34)</f>
        <v>9896</v>
      </c>
      <c r="BT5">
        <f>IF(猎命辅助表!CY34=0,"",猎命辅助表!CY34)</f>
        <v>8140</v>
      </c>
      <c r="BU5" t="str">
        <f>IF(猎命辅助表!CZ34=0,"",猎命辅助表!CZ34)</f>
        <v>天命</v>
      </c>
      <c r="BV5">
        <f>IF(猎命辅助表!DA34=0,"",猎命辅助表!DA34)</f>
        <v>9904</v>
      </c>
      <c r="BW5">
        <f>IF(猎命辅助表!DB34=0,"",猎命辅助表!DB34)</f>
        <v>8240</v>
      </c>
      <c r="BX5" t="str">
        <f>IF(猎命辅助表!DC34=0,"",猎命辅助表!DC34)</f>
        <v>龙吟</v>
      </c>
      <c r="BY5">
        <f>IF(猎命辅助表!DD34=0,"",猎命辅助表!DD34)</f>
        <v>9912</v>
      </c>
      <c r="BZ5">
        <f>IF(猎命辅助表!DE34=0,"",猎命辅助表!DE34)</f>
        <v>8340</v>
      </c>
      <c r="CA5" t="str">
        <f>IF(猎命辅助表!DF34=0,"",猎命辅助表!DF34)</f>
        <v>守御</v>
      </c>
      <c r="CB5">
        <f>IF(猎命辅助表!DG34=0,"",猎命辅助表!DG34)</f>
        <v>9920</v>
      </c>
      <c r="CC5">
        <f>IF(猎命辅助表!DH34=0,"",猎命辅助表!DH34)</f>
        <v>8440</v>
      </c>
      <c r="CD5" t="str">
        <f>IF(猎命辅助表!DI34=0,"",猎命辅助表!DI34)</f>
        <v>千眼</v>
      </c>
      <c r="CE5">
        <f>IF(猎命辅助表!DJ34=0,"",猎命辅助表!DJ34)</f>
        <v>9928</v>
      </c>
      <c r="CF5">
        <f>IF(猎命辅助表!DK34=0,"",猎命辅助表!DK34)</f>
        <v>8540</v>
      </c>
      <c r="CG5" t="str">
        <f>IF(猎命辅助表!DL34=0,"",猎命辅助表!DL34)</f>
        <v>逍遥</v>
      </c>
      <c r="CH5">
        <f>IF(猎命辅助表!DM34=0,"",猎命辅助表!DM34)</f>
        <v>9936</v>
      </c>
      <c r="CI5">
        <f>IF(猎命辅助表!DN34=0,"",猎命辅助表!DN34)</f>
        <v>8640</v>
      </c>
      <c r="CJ5" t="str">
        <f>IF(猎命辅助表!DO34=0,"",猎命辅助表!DO34)</f>
        <v>流离</v>
      </c>
      <c r="CK5">
        <f>IF(猎命辅助表!DP34=0,"",猎命辅助表!DP34)</f>
        <v>9944</v>
      </c>
      <c r="CL5">
        <f>IF(猎命辅助表!DQ34=0,"",猎命辅助表!DQ34)</f>
        <v>8740</v>
      </c>
      <c r="CM5" t="str">
        <f>IF(猎命辅助表!DR34=0,"",猎命辅助表!DR34)</f>
        <v>夺魄</v>
      </c>
      <c r="CN5">
        <f>IF(猎命辅助表!DS34=0,"",猎命辅助表!DS34)</f>
        <v>9952</v>
      </c>
      <c r="CO5">
        <f>IF(猎命辅助表!DT34=0,"",猎命辅助表!DT34)</f>
        <v>8840</v>
      </c>
      <c r="CP5" t="str">
        <f>IF(猎命辅助表!DU34=0,"",猎命辅助表!DU34)</f>
        <v>审判</v>
      </c>
      <c r="CQ5">
        <f>IF(猎命辅助表!DV34=0,"",猎命辅助表!DV34)</f>
        <v>9960</v>
      </c>
      <c r="CR5">
        <f>IF(猎命辅助表!DW34=0,"",猎命辅助表!DW34)</f>
        <v>8940</v>
      </c>
      <c r="CS5" t="str">
        <f>IF(猎命辅助表!DX34=0,"",猎命辅助表!DX34)</f>
        <v>破天</v>
      </c>
      <c r="CT5">
        <f>IF(猎命辅助表!DY34=0,"",猎命辅助表!DY34)</f>
        <v>9968</v>
      </c>
      <c r="CU5">
        <f>IF(猎命辅助表!DZ34=0,"",猎命辅助表!DZ34)</f>
        <v>9040</v>
      </c>
      <c r="CV5" t="str">
        <f>IF(猎命辅助表!EA34=0,"",猎命辅助表!EA34)</f>
        <v>天狱</v>
      </c>
      <c r="CW5">
        <f>IF(猎命辅助表!EB34=0,"",猎命辅助表!EB34)</f>
        <v>9976</v>
      </c>
      <c r="CX5">
        <f>IF(猎命辅助表!EC34=0,"",猎命辅助表!EC34)</f>
        <v>9140</v>
      </c>
      <c r="CY5" t="str">
        <f>IF(猎命辅助表!ED34=0,"",猎命辅助表!ED34)</f>
        <v>幽灵</v>
      </c>
      <c r="CZ5">
        <f>IF(猎命辅助表!EE34=0,"",猎命辅助表!EE34)</f>
        <v>9984</v>
      </c>
      <c r="DA5">
        <f>IF(猎命辅助表!EF34=0,"",猎命辅助表!EF34)</f>
        <v>9240</v>
      </c>
      <c r="DB5" t="str">
        <f>IF(猎命辅助表!EG34=0,"",猎命辅助表!EG34)</f>
        <v>困魔</v>
      </c>
      <c r="DC5">
        <f>IF(猎命辅助表!EH34=0,"",猎命辅助表!EH34)</f>
        <v>9992</v>
      </c>
      <c r="DD5">
        <f>IF(猎命辅助表!EI34=0,"",猎命辅助表!EI34)</f>
        <v>9340</v>
      </c>
      <c r="DE5" t="str">
        <f>IF(猎命辅助表!EJ34=0,"",猎命辅助表!EJ34)</f>
        <v>无尽</v>
      </c>
      <c r="DF5">
        <f>IF(猎命辅助表!EK34=0,"",猎命辅助表!EK34)</f>
        <v>10000</v>
      </c>
      <c r="DG5" t="str">
        <f>IF(猎命辅助表!EL34=0,"",猎命辅助表!EL34)</f>
        <v/>
      </c>
      <c r="DH5" t="str">
        <f>IF(猎命辅助表!EM34=0,"",猎命辅助表!EM34)</f>
        <v/>
      </c>
      <c r="DI5" t="str">
        <f>IF(猎命辅助表!EN34=0,"",猎命辅助表!EN34)</f>
        <v/>
      </c>
      <c r="DJ5" t="str">
        <f>IF(猎命辅助表!EO34=0,"",猎命辅助表!EO34)</f>
        <v/>
      </c>
      <c r="DK5" t="str">
        <f>IF(猎命辅助表!EP34=0,"",猎命辅助表!EP34)</f>
        <v/>
      </c>
      <c r="DL5" t="str">
        <f>IF(猎命辅助表!EQ34=0,"",猎命辅助表!EQ34)</f>
        <v/>
      </c>
      <c r="DM5" t="str">
        <f>IF(猎命辅助表!ER34=0,"",猎命辅助表!ER34)</f>
        <v/>
      </c>
      <c r="DN5" t="str">
        <f>IF(猎命辅助表!ES34=0,"",猎命辅助表!ES34)</f>
        <v/>
      </c>
      <c r="DO5" t="str">
        <f>IF(猎命辅助表!ET34=0,"",猎命辅助表!ET34)</f>
        <v/>
      </c>
      <c r="DP5" t="str">
        <f>IF(猎命辅助表!EU34=0,"",猎命辅助表!EU34)</f>
        <v/>
      </c>
      <c r="DQ5" t="str">
        <f>IF(猎命辅助表!EV34=0,"",猎命辅助表!EV34)</f>
        <v/>
      </c>
      <c r="DR5" t="str">
        <f>IF(猎命辅助表!EW34=0,"",猎命辅助表!EW34)</f>
        <v/>
      </c>
      <c r="DS5" t="str">
        <f>IF(猎命辅助表!EX34=0,"",猎命辅助表!EX34)</f>
        <v/>
      </c>
      <c r="DT5" t="str">
        <f>IF(猎命辅助表!EY34=0,"",猎命辅助表!EY34)</f>
        <v/>
      </c>
      <c r="DU5" t="str">
        <f>IF(猎命辅助表!EZ34=0,"",猎命辅助表!EZ34)</f>
        <v/>
      </c>
      <c r="DV5" t="str">
        <f>IF(猎命辅助表!FA34=0,"",猎命辅助表!FA34)</f>
        <v/>
      </c>
      <c r="DW5" t="str">
        <f>IF(猎命辅助表!FB34=0,"",猎命辅助表!FB34)</f>
        <v/>
      </c>
      <c r="DX5" t="str">
        <f>IF(猎命辅助表!FC34=0,"",猎命辅助表!FC34)</f>
        <v/>
      </c>
    </row>
    <row r="6" spans="1:128">
      <c r="A6">
        <v>5</v>
      </c>
      <c r="B6">
        <f>IF(猎命辅助表!AG35=0,"",猎命辅助表!AG35)</f>
        <v>41</v>
      </c>
      <c r="C6">
        <f>IF(猎命辅助表!AH35=0,"",猎命辅助表!AH35)</f>
        <v>8120</v>
      </c>
      <c r="D6" t="str">
        <f>IF(猎命辅助表!AI35=0,"",猎命辅助表!AI35)</f>
        <v>辉煌</v>
      </c>
      <c r="E6">
        <f>IF(猎命辅助表!AJ35=0,"",猎命辅助表!AJ35)</f>
        <v>2943</v>
      </c>
      <c r="F6">
        <f>IF(猎命辅助表!AK35=0,"",猎命辅助表!AK35)</f>
        <v>8220</v>
      </c>
      <c r="G6" t="str">
        <f>IF(猎命辅助表!AL35=0,"",猎命辅助表!AL35)</f>
        <v>破军</v>
      </c>
      <c r="H6">
        <f>IF(猎命辅助表!AM35=0,"",猎命辅助表!AM35)</f>
        <v>5876</v>
      </c>
      <c r="I6">
        <f>IF(猎命辅助表!AN35=0,"",猎命辅助表!AN35)</f>
        <v>8320</v>
      </c>
      <c r="J6" t="str">
        <f>IF(猎命辅助表!AO35=0,"",猎命辅助表!AO35)</f>
        <v>真刚</v>
      </c>
      <c r="K6">
        <f>IF(猎命辅助表!AP35=0,"",猎命辅助表!AP35)</f>
        <v>8809</v>
      </c>
      <c r="L6">
        <f>IF(猎命辅助表!AQ35=0,"",猎命辅助表!AQ35)</f>
        <v>8130</v>
      </c>
      <c r="M6" t="str">
        <f>IF(猎命辅助表!AR35=0,"",猎命辅助表!AR35)</f>
        <v>霸主</v>
      </c>
      <c r="N6">
        <f>IF(猎命辅助表!AS35=0,"",猎命辅助表!AS35)</f>
        <v>8892</v>
      </c>
      <c r="O6">
        <f>IF(猎命辅助表!AT35=0,"",猎命辅助表!AT35)</f>
        <v>8230</v>
      </c>
      <c r="P6" t="str">
        <f>IF(猎命辅助表!AU35=0,"",猎命辅助表!AU35)</f>
        <v>虎啸</v>
      </c>
      <c r="Q6">
        <f>IF(猎命辅助表!AV35=0,"",猎命辅助表!AV35)</f>
        <v>8975</v>
      </c>
      <c r="R6">
        <f>IF(猎命辅助表!AW35=0,"",猎命辅助表!AW35)</f>
        <v>8330</v>
      </c>
      <c r="S6" t="str">
        <f>IF(猎命辅助表!AX35=0,"",猎命辅助表!AX35)</f>
        <v>豪魄</v>
      </c>
      <c r="T6">
        <f>IF(猎命辅助表!AY35=0,"",猎命辅助表!AY35)</f>
        <v>9058</v>
      </c>
      <c r="U6">
        <f>IF(猎命辅助表!AZ35=0,"",猎命辅助表!AZ35)</f>
        <v>8430</v>
      </c>
      <c r="V6" t="str">
        <f>IF(猎命辅助表!BA35=0,"",猎命辅助表!BA35)</f>
        <v>捉影</v>
      </c>
      <c r="W6">
        <f>IF(猎命辅助表!BB35=0,"",猎命辅助表!BB35)</f>
        <v>9141</v>
      </c>
      <c r="X6">
        <f>IF(猎命辅助表!BC35=0,"",猎命辅助表!BC35)</f>
        <v>8530</v>
      </c>
      <c r="Y6" t="str">
        <f>IF(猎命辅助表!BD35=0,"",猎命辅助表!BD35)</f>
        <v>游刃</v>
      </c>
      <c r="Z6">
        <f>IF(猎命辅助表!BE35=0,"",猎命辅助表!BE35)</f>
        <v>9224</v>
      </c>
      <c r="AA6">
        <f>IF(猎命辅助表!BF35=0,"",猎命辅助表!BF35)</f>
        <v>8630</v>
      </c>
      <c r="AB6" t="str">
        <f>IF(猎命辅助表!BG35=0,"",猎命辅助表!BG35)</f>
        <v>傲骨</v>
      </c>
      <c r="AC6">
        <f>IF(猎命辅助表!BH35=0,"",猎命辅助表!BH35)</f>
        <v>9307</v>
      </c>
      <c r="AD6">
        <f>IF(猎命辅助表!BI35=0,"",猎命辅助表!BI35)</f>
        <v>8730</v>
      </c>
      <c r="AE6" t="str">
        <f>IF(猎命辅助表!BJ35=0,"",猎命辅助表!BJ35)</f>
        <v>心眼</v>
      </c>
      <c r="AF6">
        <f>IF(猎命辅助表!BK35=0,"",猎命辅助表!BK35)</f>
        <v>9390</v>
      </c>
      <c r="AG6">
        <f>IF(猎命辅助表!BL35=0,"",猎命辅助表!BL35)</f>
        <v>8830</v>
      </c>
      <c r="AH6" t="str">
        <f>IF(猎命辅助表!BM35=0,"",猎命辅助表!BM35)</f>
        <v>噬生</v>
      </c>
      <c r="AI6">
        <f>IF(猎命辅助表!BN35=0,"",猎命辅助表!BN35)</f>
        <v>9473</v>
      </c>
      <c r="AJ6">
        <f>IF(猎命辅助表!BO35=0,"",猎命辅助表!BO35)</f>
        <v>8930</v>
      </c>
      <c r="AK6" t="str">
        <f>IF(猎命辅助表!BP35=0,"",猎命辅助表!BP35)</f>
        <v>痛击</v>
      </c>
      <c r="AL6">
        <f>IF(猎命辅助表!BQ35=0,"",猎命辅助表!BQ35)</f>
        <v>9556</v>
      </c>
      <c r="AM6">
        <f>IF(猎命辅助表!BR35=0,"",猎命辅助表!BR35)</f>
        <v>9030</v>
      </c>
      <c r="AN6" t="str">
        <f>IF(猎命辅助表!BS35=0,"",猎命辅助表!BS35)</f>
        <v>不坏</v>
      </c>
      <c r="AO6">
        <f>IF(猎命辅助表!BT35=0,"",猎命辅助表!BT35)</f>
        <v>9639</v>
      </c>
      <c r="AP6">
        <f>IF(猎命辅助表!BU35=0,"",猎命辅助表!BU35)</f>
        <v>9130</v>
      </c>
      <c r="AQ6" t="str">
        <f>IF(猎命辅助表!BV35=0,"",猎命辅助表!BV35)</f>
        <v>审判</v>
      </c>
      <c r="AR6">
        <f>IF(猎命辅助表!BW35=0,"",猎命辅助表!BW35)</f>
        <v>9722</v>
      </c>
      <c r="AS6">
        <f>IF(猎命辅助表!BX35=0,"",猎命辅助表!BX35)</f>
        <v>9230</v>
      </c>
      <c r="AT6" t="str">
        <f>IF(猎命辅助表!BY35=0,"",猎命辅助表!BY35)</f>
        <v>盘蛇</v>
      </c>
      <c r="AU6">
        <f>IF(猎命辅助表!BZ35=0,"",猎命辅助表!BZ35)</f>
        <v>9805</v>
      </c>
      <c r="AV6">
        <f>IF(猎命辅助表!CA35=0,"",猎命辅助表!CA35)</f>
        <v>8140</v>
      </c>
      <c r="AW6" t="str">
        <f>IF(猎命辅助表!CB35=0,"",猎命辅助表!CB35)</f>
        <v>天命</v>
      </c>
      <c r="AX6">
        <f>IF(猎命辅助表!CC35=0,"",猎命辅助表!CC35)</f>
        <v>9820</v>
      </c>
      <c r="AY6">
        <f>IF(猎命辅助表!CD35=0,"",猎命辅助表!CD35)</f>
        <v>8240</v>
      </c>
      <c r="AZ6" t="str">
        <f>IF(猎命辅助表!CE35=0,"",猎命辅助表!CE35)</f>
        <v>龙吟</v>
      </c>
      <c r="BA6">
        <f>IF(猎命辅助表!CF35=0,"",猎命辅助表!CF35)</f>
        <v>9835</v>
      </c>
      <c r="BB6">
        <f>IF(猎命辅助表!CG35=0,"",猎命辅助表!CG35)</f>
        <v>8340</v>
      </c>
      <c r="BC6" t="str">
        <f>IF(猎命辅助表!CH35=0,"",猎命辅助表!CH35)</f>
        <v>守御</v>
      </c>
      <c r="BD6">
        <f>IF(猎命辅助表!CI35=0,"",猎命辅助表!CI35)</f>
        <v>9850</v>
      </c>
      <c r="BE6">
        <f>IF(猎命辅助表!CJ35=0,"",猎命辅助表!CJ35)</f>
        <v>8440</v>
      </c>
      <c r="BF6" t="str">
        <f>IF(猎命辅助表!CK35=0,"",猎命辅助表!CK35)</f>
        <v>千眼</v>
      </c>
      <c r="BG6">
        <f>IF(猎命辅助表!CL35=0,"",猎命辅助表!CL35)</f>
        <v>9865</v>
      </c>
      <c r="BH6">
        <f>IF(猎命辅助表!CM35=0,"",猎命辅助表!CM35)</f>
        <v>8540</v>
      </c>
      <c r="BI6" t="str">
        <f>IF(猎命辅助表!CN35=0,"",猎命辅助表!CN35)</f>
        <v>逍遥</v>
      </c>
      <c r="BJ6">
        <f>IF(猎命辅助表!CO35=0,"",猎命辅助表!CO35)</f>
        <v>9880</v>
      </c>
      <c r="BK6">
        <f>IF(猎命辅助表!CP35=0,"",猎命辅助表!CP35)</f>
        <v>8640</v>
      </c>
      <c r="BL6" t="str">
        <f>IF(猎命辅助表!CQ35=0,"",猎命辅助表!CQ35)</f>
        <v>流离</v>
      </c>
      <c r="BM6">
        <f>IF(猎命辅助表!CR35=0,"",猎命辅助表!CR35)</f>
        <v>9895</v>
      </c>
      <c r="BN6">
        <f>IF(猎命辅助表!CS35=0,"",猎命辅助表!CS35)</f>
        <v>8740</v>
      </c>
      <c r="BO6" t="str">
        <f>IF(猎命辅助表!CT35=0,"",猎命辅助表!CT35)</f>
        <v>夺魄</v>
      </c>
      <c r="BP6">
        <f>IF(猎命辅助表!CU35=0,"",猎命辅助表!CU35)</f>
        <v>9910</v>
      </c>
      <c r="BQ6">
        <f>IF(猎命辅助表!CV35=0,"",猎命辅助表!CV35)</f>
        <v>8840</v>
      </c>
      <c r="BR6" t="str">
        <f>IF(猎命辅助表!CW35=0,"",猎命辅助表!CW35)</f>
        <v>审判</v>
      </c>
      <c r="BS6">
        <f>IF(猎命辅助表!CX35=0,"",猎命辅助表!CX35)</f>
        <v>9925</v>
      </c>
      <c r="BT6">
        <f>IF(猎命辅助表!CY35=0,"",猎命辅助表!CY35)</f>
        <v>8940</v>
      </c>
      <c r="BU6" t="str">
        <f>IF(猎命辅助表!CZ35=0,"",猎命辅助表!CZ35)</f>
        <v>破天</v>
      </c>
      <c r="BV6">
        <f>IF(猎命辅助表!DA35=0,"",猎命辅助表!DA35)</f>
        <v>9940</v>
      </c>
      <c r="BW6">
        <f>IF(猎命辅助表!DB35=0,"",猎命辅助表!DB35)</f>
        <v>9040</v>
      </c>
      <c r="BX6" t="str">
        <f>IF(猎命辅助表!DC35=0,"",猎命辅助表!DC35)</f>
        <v>天狱</v>
      </c>
      <c r="BY6">
        <f>IF(猎命辅助表!DD35=0,"",猎命辅助表!DD35)</f>
        <v>9955</v>
      </c>
      <c r="BZ6">
        <f>IF(猎命辅助表!DE35=0,"",猎命辅助表!DE35)</f>
        <v>9140</v>
      </c>
      <c r="CA6" t="str">
        <f>IF(猎命辅助表!DF35=0,"",猎命辅助表!DF35)</f>
        <v>幽灵</v>
      </c>
      <c r="CB6">
        <f>IF(猎命辅助表!DG35=0,"",猎命辅助表!DG35)</f>
        <v>9970</v>
      </c>
      <c r="CC6">
        <f>IF(猎命辅助表!DH35=0,"",猎命辅助表!DH35)</f>
        <v>9240</v>
      </c>
      <c r="CD6" t="str">
        <f>IF(猎命辅助表!DI35=0,"",猎命辅助表!DI35)</f>
        <v>困魔</v>
      </c>
      <c r="CE6">
        <f>IF(猎命辅助表!DJ35=0,"",猎命辅助表!DJ35)</f>
        <v>9985</v>
      </c>
      <c r="CF6">
        <f>IF(猎命辅助表!DK35=0,"",猎命辅助表!DK35)</f>
        <v>9340</v>
      </c>
      <c r="CG6" t="str">
        <f>IF(猎命辅助表!DL35=0,"",猎命辅助表!DL35)</f>
        <v>无尽</v>
      </c>
      <c r="CH6">
        <f>IF(猎命辅助表!DM35=0,"",猎命辅助表!DM35)</f>
        <v>10000</v>
      </c>
    </row>
    <row r="7" spans="1:128">
      <c r="A7">
        <v>6</v>
      </c>
      <c r="B7">
        <f>IF(猎命辅助表!AG36=0,"",猎命辅助表!AG36)</f>
        <v>23</v>
      </c>
      <c r="C7">
        <f>IF(猎命辅助表!AH36=0,"",猎命辅助表!AH36)</f>
        <v>8110</v>
      </c>
      <c r="D7" t="str">
        <f>IF(猎命辅助表!AI36=0,"",猎命辅助表!AI36)</f>
        <v>兽腾</v>
      </c>
      <c r="E7">
        <f>IF(猎命辅助表!AJ36=0,"",猎命辅助表!AJ36)</f>
        <v>2004</v>
      </c>
      <c r="F7">
        <f>IF(猎命辅助表!AK36=0,"",猎命辅助表!AK36)</f>
        <v>8210</v>
      </c>
      <c r="G7" t="str">
        <f>IF(猎命辅助表!AL36=0,"",猎命辅助表!AL36)</f>
        <v>战狂</v>
      </c>
      <c r="H7">
        <f>IF(猎命辅助表!AM36=0,"",猎命辅助表!AM36)</f>
        <v>4004</v>
      </c>
      <c r="I7">
        <f>IF(猎命辅助表!AN36=0,"",猎命辅助表!AN36)</f>
        <v>8310</v>
      </c>
      <c r="J7" t="str">
        <f>IF(猎命辅助表!AO36=0,"",猎命辅助表!AO36)</f>
        <v>贪狼</v>
      </c>
      <c r="K7">
        <f>IF(猎命辅助表!AP36=0,"",猎命辅助表!AP36)</f>
        <v>6004</v>
      </c>
      <c r="L7">
        <f>IF(猎命辅助表!AQ36=0,"",猎命辅助表!AQ36)</f>
        <v>8120</v>
      </c>
      <c r="M7" t="str">
        <f>IF(猎命辅助表!AR36=0,"",猎命辅助表!AR36)</f>
        <v>辉煌</v>
      </c>
      <c r="N7">
        <f>IF(猎命辅助表!AS36=0,"",猎命辅助表!AS36)</f>
        <v>6454</v>
      </c>
      <c r="O7">
        <f>IF(猎命辅助表!AT36=0,"",猎命辅助表!AT36)</f>
        <v>8220</v>
      </c>
      <c r="P7" t="str">
        <f>IF(猎命辅助表!AU36=0,"",猎命辅助表!AU36)</f>
        <v>破军</v>
      </c>
      <c r="Q7">
        <f>IF(猎命辅助表!AV36=0,"",猎命辅助表!AV36)</f>
        <v>6904</v>
      </c>
      <c r="R7">
        <f>IF(猎命辅助表!AW36=0,"",猎命辅助表!AW36)</f>
        <v>8320</v>
      </c>
      <c r="S7" t="str">
        <f>IF(猎命辅助表!AX36=0,"",猎命辅助表!AX36)</f>
        <v>真刚</v>
      </c>
      <c r="T7">
        <f>IF(猎命辅助表!AY36=0,"",猎命辅助表!AY36)</f>
        <v>7354</v>
      </c>
      <c r="U7">
        <f>IF(猎命辅助表!AZ36=0,"",猎命辅助表!AZ36)</f>
        <v>8420</v>
      </c>
      <c r="V7" t="str">
        <f>IF(猎命辅助表!BA36=0,"",猎命辅助表!BA36)</f>
        <v>飞仙</v>
      </c>
      <c r="W7">
        <f>IF(猎命辅助表!BB36=0,"",猎命辅助表!BB36)</f>
        <v>7804</v>
      </c>
      <c r="X7">
        <f>IF(猎命辅助表!BC36=0,"",猎命辅助表!BC36)</f>
        <v>8520</v>
      </c>
      <c r="Y7" t="str">
        <f>IF(猎命辅助表!BD36=0,"",猎命辅助表!BD36)</f>
        <v>虚空</v>
      </c>
      <c r="Z7">
        <f>IF(猎命辅助表!BE36=0,"",猎命辅助表!BE36)</f>
        <v>8254</v>
      </c>
      <c r="AA7">
        <f>IF(猎命辅助表!BF36=0,"",猎命辅助表!BF36)</f>
        <v>8620</v>
      </c>
      <c r="AB7" t="str">
        <f>IF(猎命辅助表!BG36=0,"",猎命辅助表!BG36)</f>
        <v>无惧</v>
      </c>
      <c r="AC7">
        <f>IF(猎命辅助表!BH36=0,"",猎命辅助表!BH36)</f>
        <v>8704</v>
      </c>
      <c r="AD7">
        <f>IF(猎命辅助表!BI36=0,"",猎命辅助表!BI36)</f>
        <v>8720</v>
      </c>
      <c r="AE7" t="str">
        <f>IF(猎命辅助表!BJ36=0,"",猎命辅助表!BJ36)</f>
        <v>天杀</v>
      </c>
      <c r="AF7">
        <f>IF(猎命辅助表!BK36=0,"",猎命辅助表!BK36)</f>
        <v>9154</v>
      </c>
      <c r="AG7">
        <f>IF(猎命辅助表!BL36=0,"",猎命辅助表!BL36)</f>
        <v>8820</v>
      </c>
      <c r="AH7" t="str">
        <f>IF(猎命辅助表!BM36=0,"",猎命辅助表!BM36)</f>
        <v>诛魔</v>
      </c>
      <c r="AI7">
        <f>IF(猎命辅助表!BN36=0,"",猎命辅助表!BN36)</f>
        <v>9604</v>
      </c>
      <c r="AJ7">
        <f>IF(猎命辅助表!BO36=0,"",猎命辅助表!BO36)</f>
        <v>8130</v>
      </c>
      <c r="AK7" t="str">
        <f>IF(猎命辅助表!BP36=0,"",猎命辅助表!BP36)</f>
        <v>霸主</v>
      </c>
      <c r="AL7">
        <f>IF(猎命辅助表!BQ36=0,"",猎命辅助表!BQ36)</f>
        <v>9637</v>
      </c>
      <c r="AM7">
        <f>IF(猎命辅助表!BR36=0,"",猎命辅助表!BR36)</f>
        <v>8230</v>
      </c>
      <c r="AN7" t="str">
        <f>IF(猎命辅助表!BS36=0,"",猎命辅助表!BS36)</f>
        <v>虎啸</v>
      </c>
      <c r="AO7">
        <f>IF(猎命辅助表!BT36=0,"",猎命辅助表!BT36)</f>
        <v>9670</v>
      </c>
      <c r="AP7">
        <f>IF(猎命辅助表!BU36=0,"",猎命辅助表!BU36)</f>
        <v>8330</v>
      </c>
      <c r="AQ7" t="str">
        <f>IF(猎命辅助表!BV36=0,"",猎命辅助表!BV36)</f>
        <v>豪魄</v>
      </c>
      <c r="AR7">
        <f>IF(猎命辅助表!BW36=0,"",猎命辅助表!BW36)</f>
        <v>9703</v>
      </c>
      <c r="AS7">
        <f>IF(猎命辅助表!BX36=0,"",猎命辅助表!BX36)</f>
        <v>8430</v>
      </c>
      <c r="AT7" t="str">
        <f>IF(猎命辅助表!BY36=0,"",猎命辅助表!BY36)</f>
        <v>捉影</v>
      </c>
      <c r="AU7">
        <f>IF(猎命辅助表!BZ36=0,"",猎命辅助表!BZ36)</f>
        <v>9736</v>
      </c>
      <c r="AV7">
        <f>IF(猎命辅助表!CA36=0,"",猎命辅助表!CA36)</f>
        <v>8530</v>
      </c>
      <c r="AW7" t="str">
        <f>IF(猎命辅助表!CB36=0,"",猎命辅助表!CB36)</f>
        <v>游刃</v>
      </c>
      <c r="AX7">
        <f>IF(猎命辅助表!CC36=0,"",猎命辅助表!CC36)</f>
        <v>9769</v>
      </c>
      <c r="AY7">
        <f>IF(猎命辅助表!CD36=0,"",猎命辅助表!CD36)</f>
        <v>8630</v>
      </c>
      <c r="AZ7" t="str">
        <f>IF(猎命辅助表!CE36=0,"",猎命辅助表!CE36)</f>
        <v>傲骨</v>
      </c>
      <c r="BA7">
        <f>IF(猎命辅助表!CF36=0,"",猎命辅助表!CF36)</f>
        <v>9802</v>
      </c>
      <c r="BB7">
        <f>IF(猎命辅助表!CG36=0,"",猎命辅助表!CG36)</f>
        <v>8730</v>
      </c>
      <c r="BC7" t="str">
        <f>IF(猎命辅助表!CH36=0,"",猎命辅助表!CH36)</f>
        <v>心眼</v>
      </c>
      <c r="BD7">
        <f>IF(猎命辅助表!CI36=0,"",猎命辅助表!CI36)</f>
        <v>9835</v>
      </c>
      <c r="BE7">
        <f>IF(猎命辅助表!CJ36=0,"",猎命辅助表!CJ36)</f>
        <v>8830</v>
      </c>
      <c r="BF7" t="str">
        <f>IF(猎命辅助表!CK36=0,"",猎命辅助表!CK36)</f>
        <v>噬生</v>
      </c>
      <c r="BG7">
        <f>IF(猎命辅助表!CL36=0,"",猎命辅助表!CL36)</f>
        <v>9868</v>
      </c>
      <c r="BH7">
        <f>IF(猎命辅助表!CM36=0,"",猎命辅助表!CM36)</f>
        <v>8930</v>
      </c>
      <c r="BI7" t="str">
        <f>IF(猎命辅助表!CN36=0,"",猎命辅助表!CN36)</f>
        <v>痛击</v>
      </c>
      <c r="BJ7">
        <f>IF(猎命辅助表!CO36=0,"",猎命辅助表!CO36)</f>
        <v>9901</v>
      </c>
      <c r="BK7">
        <f>IF(猎命辅助表!CP36=0,"",猎命辅助表!CP36)</f>
        <v>9030</v>
      </c>
      <c r="BL7" t="str">
        <f>IF(猎命辅助表!CQ36=0,"",猎命辅助表!CQ36)</f>
        <v>不坏</v>
      </c>
      <c r="BM7">
        <f>IF(猎命辅助表!CR36=0,"",猎命辅助表!CR36)</f>
        <v>9934</v>
      </c>
      <c r="BN7">
        <f>IF(猎命辅助表!CS36=0,"",猎命辅助表!CS36)</f>
        <v>9130</v>
      </c>
      <c r="BO7" t="str">
        <f>IF(猎命辅助表!CT36=0,"",猎命辅助表!CT36)</f>
        <v>寂灭</v>
      </c>
      <c r="BP7">
        <f>IF(猎命辅助表!CU36=0,"",猎命辅助表!CU36)</f>
        <v>9967</v>
      </c>
      <c r="BQ7">
        <f>IF(猎命辅助表!CV36=0,"",猎命辅助表!CV36)</f>
        <v>9230</v>
      </c>
      <c r="BR7" t="str">
        <f>IF(猎命辅助表!CW36=0,"",猎命辅助表!CW36)</f>
        <v>盘蛇</v>
      </c>
      <c r="BS7">
        <f>IF(猎命辅助表!CX36=0,"",猎命辅助表!CX36)</f>
        <v>10000</v>
      </c>
      <c r="BT7" t="str">
        <f>IF(猎命辅助表!CY36=0,"",猎命辅助表!CY36)</f>
        <v/>
      </c>
      <c r="BU7" t="str">
        <f>IF(猎命辅助表!CZ36=0,"",猎命辅助表!CZ36)</f>
        <v/>
      </c>
      <c r="BV7" t="str">
        <f>IF(猎命辅助表!DA36=0,"",猎命辅助表!DA36)</f>
        <v/>
      </c>
      <c r="BW7" t="str">
        <f>IF(猎命辅助表!DB36=0,"",猎命辅助表!DB36)</f>
        <v/>
      </c>
      <c r="BX7" t="str">
        <f>IF(猎命辅助表!DC36=0,"",猎命辅助表!DC36)</f>
        <v/>
      </c>
      <c r="BY7" t="str">
        <f>IF(猎命辅助表!DD36=0,"",猎命辅助表!DD36)</f>
        <v/>
      </c>
      <c r="BZ7" t="str">
        <f>IF(猎命辅助表!DE36=0,"",猎命辅助表!DE36)</f>
        <v/>
      </c>
      <c r="CA7" t="str">
        <f>IF(猎命辅助表!DF36=0,"",猎命辅助表!DF36)</f>
        <v/>
      </c>
      <c r="CB7" t="str">
        <f>IF(猎命辅助表!DG36=0,"",猎命辅助表!DG36)</f>
        <v/>
      </c>
      <c r="CC7" t="str">
        <f>IF(猎命辅助表!DH36=0,"",猎命辅助表!DH36)</f>
        <v/>
      </c>
      <c r="CD7" t="str">
        <f>IF(猎命辅助表!DI36=0,"",猎命辅助表!DI36)</f>
        <v/>
      </c>
      <c r="CE7" t="str">
        <f>IF(猎命辅助表!DJ36=0,"",猎命辅助表!DJ36)</f>
        <v/>
      </c>
      <c r="CF7" t="str">
        <f>IF(猎命辅助表!DK36=0,"",猎命辅助表!DK36)</f>
        <v/>
      </c>
      <c r="CG7" t="str">
        <f>IF(猎命辅助表!DL36=0,"",猎命辅助表!DL36)</f>
        <v/>
      </c>
      <c r="CH7" t="str">
        <f>IF(猎命辅助表!DM36=0,"",猎命辅助表!DM36)</f>
        <v/>
      </c>
      <c r="CI7" t="str">
        <f>IF(猎命辅助表!DN36=0,"",猎命辅助表!DN36)</f>
        <v/>
      </c>
      <c r="CJ7" t="str">
        <f>IF(猎命辅助表!DO36=0,"",猎命辅助表!DO36)</f>
        <v/>
      </c>
      <c r="CK7" t="str">
        <f>IF(猎命辅助表!DP36=0,"",猎命辅助表!DP36)</f>
        <v/>
      </c>
      <c r="CL7" t="str">
        <f>IF(猎命辅助表!DQ36=0,"",猎命辅助表!DQ36)</f>
        <v/>
      </c>
      <c r="CM7" t="str">
        <f>IF(猎命辅助表!DR36=0,"",猎命辅助表!DR36)</f>
        <v/>
      </c>
      <c r="CN7" t="str">
        <f>IF(猎命辅助表!DS36=0,"",猎命辅助表!DS36)</f>
        <v/>
      </c>
      <c r="CO7" t="str">
        <f>IF(猎命辅助表!DT36=0,"",猎命辅助表!DT36)</f>
        <v/>
      </c>
      <c r="CP7" t="str">
        <f>IF(猎命辅助表!DU36=0,"",猎命辅助表!DU36)</f>
        <v/>
      </c>
      <c r="CQ7" t="str">
        <f>IF(猎命辅助表!DV36=0,"",猎命辅助表!DV36)</f>
        <v/>
      </c>
      <c r="CR7" t="str">
        <f>IF(猎命辅助表!DW36=0,"",猎命辅助表!DW36)</f>
        <v/>
      </c>
      <c r="CS7" t="str">
        <f>IF(猎命辅助表!DX36=0,"",猎命辅助表!DX36)</f>
        <v/>
      </c>
      <c r="CT7" t="str">
        <f>IF(猎命辅助表!DY36=0,"",猎命辅助表!DY36)</f>
        <v/>
      </c>
      <c r="CU7" t="str">
        <f>IF(猎命辅助表!DZ36=0,"",猎命辅助表!DZ36)</f>
        <v/>
      </c>
      <c r="CV7" t="str">
        <f>IF(猎命辅助表!EA36=0,"",猎命辅助表!EA36)</f>
        <v/>
      </c>
      <c r="CW7" t="str">
        <f>IF(猎命辅助表!EB36=0,"",猎命辅助表!EB36)</f>
        <v/>
      </c>
      <c r="CX7" t="str">
        <f>IF(猎命辅助表!EC36=0,"",猎命辅助表!EC36)</f>
        <v/>
      </c>
      <c r="CY7" t="str">
        <f>IF(猎命辅助表!ED36=0,"",猎命辅助表!ED36)</f>
        <v/>
      </c>
      <c r="CZ7" t="str">
        <f>IF(猎命辅助表!EE36=0,"",猎命辅助表!EE36)</f>
        <v/>
      </c>
      <c r="DA7" t="str">
        <f>IF(猎命辅助表!EF36=0,"",猎命辅助表!EF36)</f>
        <v/>
      </c>
      <c r="DB7" t="str">
        <f>IF(猎命辅助表!EG36=0,"",猎命辅助表!EG36)</f>
        <v/>
      </c>
      <c r="DC7" t="str">
        <f>IF(猎命辅助表!EH36=0,"",猎命辅助表!EH36)</f>
        <v/>
      </c>
      <c r="DD7" t="str">
        <f>IF(猎命辅助表!EI36=0,"",猎命辅助表!EI36)</f>
        <v/>
      </c>
      <c r="DE7" t="str">
        <f>IF(猎命辅助表!EJ36=0,"",猎命辅助表!EJ36)</f>
        <v/>
      </c>
      <c r="DF7" t="str">
        <f>IF(猎命辅助表!EK36=0,"",猎命辅助表!EK36)</f>
        <v/>
      </c>
      <c r="DG7" t="str">
        <f>IF(猎命辅助表!EL36=0,"",猎命辅助表!EL36)</f>
        <v/>
      </c>
      <c r="DH7" t="str">
        <f>IF(猎命辅助表!EM36=0,"",猎命辅助表!EM36)</f>
        <v/>
      </c>
      <c r="DI7" t="str">
        <f>IF(猎命辅助表!EN36=0,"",猎命辅助表!EN36)</f>
        <v/>
      </c>
      <c r="DJ7" t="str">
        <f>IF(猎命辅助表!EO36=0,"",猎命辅助表!EO36)</f>
        <v/>
      </c>
      <c r="DK7" t="str">
        <f>IF(猎命辅助表!EP36=0,"",猎命辅助表!EP36)</f>
        <v/>
      </c>
      <c r="DL7" t="str">
        <f>IF(猎命辅助表!EQ36=0,"",猎命辅助表!EQ36)</f>
        <v/>
      </c>
      <c r="DM7" t="str">
        <f>IF(猎命辅助表!ER36=0,"",猎命辅助表!ER36)</f>
        <v/>
      </c>
      <c r="DN7" t="str">
        <f>IF(猎命辅助表!ES36=0,"",猎命辅助表!ES36)</f>
        <v/>
      </c>
      <c r="DO7" t="str">
        <f>IF(猎命辅助表!ET36=0,"",猎命辅助表!ET36)</f>
        <v/>
      </c>
      <c r="DP7" t="str">
        <f>IF(猎命辅助表!EU36=0,"",猎命辅助表!EU36)</f>
        <v/>
      </c>
      <c r="DQ7" t="str">
        <f>IF(猎命辅助表!EV36=0,"",猎命辅助表!EV36)</f>
        <v/>
      </c>
      <c r="DR7" t="str">
        <f>IF(猎命辅助表!EW36=0,"",猎命辅助表!EW36)</f>
        <v/>
      </c>
      <c r="DS7" t="str">
        <f>IF(猎命辅助表!EX36=0,"",猎命辅助表!EX36)</f>
        <v/>
      </c>
      <c r="DT7" t="str">
        <f>IF(猎命辅助表!EY36=0,"",猎命辅助表!EY36)</f>
        <v/>
      </c>
      <c r="DU7" t="str">
        <f>IF(猎命辅助表!EZ36=0,"",猎命辅助表!EZ36)</f>
        <v/>
      </c>
      <c r="DV7" t="str">
        <f>IF(猎命辅助表!FA36=0,"",猎命辅助表!FA36)</f>
        <v/>
      </c>
      <c r="DW7" t="str">
        <f>IF(猎命辅助表!FB36=0,"",猎命辅助表!FB36)</f>
        <v/>
      </c>
      <c r="DX7" t="str">
        <f>IF(猎命辅助表!FC36=0,"",猎命辅助表!FC36)</f>
        <v/>
      </c>
    </row>
    <row r="8" spans="1:128">
      <c r="A8">
        <v>7</v>
      </c>
      <c r="B8">
        <f>IF(猎命辅助表!AG37=0,"",猎命辅助表!AG37)</f>
        <v>36</v>
      </c>
      <c r="C8">
        <f>IF(猎命辅助表!AH37=0,"",猎命辅助表!AH37)</f>
        <v>8110</v>
      </c>
      <c r="D8" t="str">
        <f>IF(猎命辅助表!AI37=0,"",猎命辅助表!AI37)</f>
        <v>兽腾</v>
      </c>
      <c r="E8">
        <f>IF(猎命辅助表!AJ37=0,"",猎命辅助表!AJ37)</f>
        <v>322</v>
      </c>
      <c r="F8">
        <f>IF(猎命辅助表!AK37=0,"",猎命辅助表!AK37)</f>
        <v>8210</v>
      </c>
      <c r="G8" t="str">
        <f>IF(猎命辅助表!AL37=0,"",猎命辅助表!AL37)</f>
        <v>战狂</v>
      </c>
      <c r="H8">
        <f>IF(猎命辅助表!AM37=0,"",猎命辅助表!AM37)</f>
        <v>655</v>
      </c>
      <c r="I8">
        <f>IF(猎命辅助表!AN37=0,"",猎命辅助表!AN37)</f>
        <v>8310</v>
      </c>
      <c r="J8" t="str">
        <f>IF(猎命辅助表!AO37=0,"",猎命辅助表!AO37)</f>
        <v>贪狼</v>
      </c>
      <c r="K8">
        <f>IF(猎命辅助表!AP37=0,"",猎命辅助表!AP37)</f>
        <v>988</v>
      </c>
      <c r="L8">
        <f>IF(猎命辅助表!AQ37=0,"",猎命辅助表!AQ37)</f>
        <v>8120</v>
      </c>
      <c r="M8" t="str">
        <f>IF(猎命辅助表!AR37=0,"",猎命辅助表!AR37)</f>
        <v>辉煌</v>
      </c>
      <c r="N8">
        <f>IF(猎命辅助表!AS37=0,"",猎命辅助表!AS37)</f>
        <v>2001</v>
      </c>
      <c r="O8">
        <f>IF(猎命辅助表!AT37=0,"",猎命辅助表!AT37)</f>
        <v>8220</v>
      </c>
      <c r="P8" t="str">
        <f>IF(猎命辅助表!AU37=0,"",猎命辅助表!AU37)</f>
        <v>破军</v>
      </c>
      <c r="Q8">
        <f>IF(猎命辅助表!AV37=0,"",猎命辅助表!AV37)</f>
        <v>3014</v>
      </c>
      <c r="R8">
        <f>IF(猎命辅助表!AW37=0,"",猎命辅助表!AW37)</f>
        <v>8320</v>
      </c>
      <c r="S8" t="str">
        <f>IF(猎命辅助表!AX37=0,"",猎命辅助表!AX37)</f>
        <v>真刚</v>
      </c>
      <c r="T8">
        <f>IF(猎命辅助表!AY37=0,"",猎命辅助表!AY37)</f>
        <v>4027</v>
      </c>
      <c r="U8">
        <f>IF(猎命辅助表!AZ37=0,"",猎命辅助表!AZ37)</f>
        <v>8420</v>
      </c>
      <c r="V8" t="str">
        <f>IF(猎命辅助表!BA37=0,"",猎命辅助表!BA37)</f>
        <v>飞仙</v>
      </c>
      <c r="W8">
        <f>IF(猎命辅助表!BB37=0,"",猎命辅助表!BB37)</f>
        <v>5040</v>
      </c>
      <c r="X8">
        <f>IF(猎命辅助表!BC37=0,"",猎命辅助表!BC37)</f>
        <v>8520</v>
      </c>
      <c r="Y8" t="str">
        <f>IF(猎命辅助表!BD37=0,"",猎命辅助表!BD37)</f>
        <v>虚空</v>
      </c>
      <c r="Z8">
        <f>IF(猎命辅助表!BE37=0,"",猎命辅助表!BE37)</f>
        <v>6053</v>
      </c>
      <c r="AA8">
        <f>IF(猎命辅助表!BF37=0,"",猎命辅助表!BF37)</f>
        <v>8620</v>
      </c>
      <c r="AB8" t="str">
        <f>IF(猎命辅助表!BG37=0,"",猎命辅助表!BG37)</f>
        <v>无惧</v>
      </c>
      <c r="AC8">
        <f>IF(猎命辅助表!BH37=0,"",猎命辅助表!BH37)</f>
        <v>7066</v>
      </c>
      <c r="AD8">
        <f>IF(猎命辅助表!BI37=0,"",猎命辅助表!BI37)</f>
        <v>8720</v>
      </c>
      <c r="AE8" t="str">
        <f>IF(猎命辅助表!BJ37=0,"",猎命辅助表!BJ37)</f>
        <v>天杀</v>
      </c>
      <c r="AF8">
        <f>IF(猎命辅助表!BK37=0,"",猎命辅助表!BK37)</f>
        <v>8079</v>
      </c>
      <c r="AG8">
        <f>IF(猎命辅助表!BL37=0,"",猎命辅助表!BL37)</f>
        <v>8820</v>
      </c>
      <c r="AH8" t="str">
        <f>IF(猎命辅助表!BM37=0,"",猎命辅助表!BM37)</f>
        <v>诛魔</v>
      </c>
      <c r="AI8">
        <f>IF(猎命辅助表!BN37=0,"",猎命辅助表!BN37)</f>
        <v>9092</v>
      </c>
      <c r="AJ8">
        <f>IF(猎命辅助表!BO37=0,"",猎命辅助表!BO37)</f>
        <v>8130</v>
      </c>
      <c r="AK8" t="str">
        <f>IF(猎命辅助表!BP37=0,"",猎命辅助表!BP37)</f>
        <v>霸主</v>
      </c>
      <c r="AL8">
        <f>IF(猎命辅助表!BQ37=0,"",猎命辅助表!BQ37)</f>
        <v>9159</v>
      </c>
      <c r="AM8">
        <f>IF(猎命辅助表!BR37=0,"",猎命辅助表!BR37)</f>
        <v>8230</v>
      </c>
      <c r="AN8" t="str">
        <f>IF(猎命辅助表!BS37=0,"",猎命辅助表!BS37)</f>
        <v>虎啸</v>
      </c>
      <c r="AO8">
        <f>IF(猎命辅助表!BT37=0,"",猎命辅助表!BT37)</f>
        <v>9226</v>
      </c>
      <c r="AP8">
        <f>IF(猎命辅助表!BU37=0,"",猎命辅助表!BU37)</f>
        <v>8330</v>
      </c>
      <c r="AQ8" t="str">
        <f>IF(猎命辅助表!BV37=0,"",猎命辅助表!BV37)</f>
        <v>豪魄</v>
      </c>
      <c r="AR8">
        <f>IF(猎命辅助表!BW37=0,"",猎命辅助表!BW37)</f>
        <v>9293</v>
      </c>
      <c r="AS8">
        <f>IF(猎命辅助表!BX37=0,"",猎命辅助表!BX37)</f>
        <v>8430</v>
      </c>
      <c r="AT8" t="str">
        <f>IF(猎命辅助表!BY37=0,"",猎命辅助表!BY37)</f>
        <v>捉影</v>
      </c>
      <c r="AU8">
        <f>IF(猎命辅助表!BZ37=0,"",猎命辅助表!BZ37)</f>
        <v>9360</v>
      </c>
      <c r="AV8">
        <f>IF(猎命辅助表!CA37=0,"",猎命辅助表!CA37)</f>
        <v>8530</v>
      </c>
      <c r="AW8" t="str">
        <f>IF(猎命辅助表!CB37=0,"",猎命辅助表!CB37)</f>
        <v>游刃</v>
      </c>
      <c r="AX8">
        <f>IF(猎命辅助表!CC37=0,"",猎命辅助表!CC37)</f>
        <v>9427</v>
      </c>
      <c r="AY8">
        <f>IF(猎命辅助表!CD37=0,"",猎命辅助表!CD37)</f>
        <v>8630</v>
      </c>
      <c r="AZ8" t="str">
        <f>IF(猎命辅助表!CE37=0,"",猎命辅助表!CE37)</f>
        <v>傲骨</v>
      </c>
      <c r="BA8">
        <f>IF(猎命辅助表!CF37=0,"",猎命辅助表!CF37)</f>
        <v>9494</v>
      </c>
      <c r="BB8">
        <f>IF(猎命辅助表!CG37=0,"",猎命辅助表!CG37)</f>
        <v>8730</v>
      </c>
      <c r="BC8" t="str">
        <f>IF(猎命辅助表!CH37=0,"",猎命辅助表!CH37)</f>
        <v>心眼</v>
      </c>
      <c r="BD8">
        <f>IF(猎命辅助表!CI37=0,"",猎命辅助表!CI37)</f>
        <v>9561</v>
      </c>
      <c r="BE8">
        <f>IF(猎命辅助表!CJ37=0,"",猎命辅助表!CJ37)</f>
        <v>8830</v>
      </c>
      <c r="BF8" t="str">
        <f>IF(猎命辅助表!CK37=0,"",猎命辅助表!CK37)</f>
        <v>噬生</v>
      </c>
      <c r="BG8">
        <f>IF(猎命辅助表!CL37=0,"",猎命辅助表!CL37)</f>
        <v>9628</v>
      </c>
      <c r="BH8">
        <f>IF(猎命辅助表!CM37=0,"",猎命辅助表!CM37)</f>
        <v>8930</v>
      </c>
      <c r="BI8" t="str">
        <f>IF(猎命辅助表!CN37=0,"",猎命辅助表!CN37)</f>
        <v>痛击</v>
      </c>
      <c r="BJ8">
        <f>IF(猎命辅助表!CO37=0,"",猎命辅助表!CO37)</f>
        <v>9695</v>
      </c>
      <c r="BK8">
        <f>IF(猎命辅助表!CP37=0,"",猎命辅助表!CP37)</f>
        <v>9030</v>
      </c>
      <c r="BL8" t="str">
        <f>IF(猎命辅助表!CQ37=0,"",猎命辅助表!CQ37)</f>
        <v>不坏</v>
      </c>
      <c r="BM8">
        <f>IF(猎命辅助表!CR37=0,"",猎命辅助表!CR37)</f>
        <v>9762</v>
      </c>
      <c r="BN8">
        <f>IF(猎命辅助表!CS37=0,"",猎命辅助表!CS37)</f>
        <v>9130</v>
      </c>
      <c r="BO8" t="str">
        <f>IF(猎命辅助表!CT37=0,"",猎命辅助表!CT37)</f>
        <v>审判</v>
      </c>
      <c r="BP8">
        <f>IF(猎命辅助表!CU37=0,"",猎命辅助表!CU37)</f>
        <v>9829</v>
      </c>
      <c r="BQ8">
        <f>IF(猎命辅助表!CV37=0,"",猎命辅助表!CV37)</f>
        <v>9230</v>
      </c>
      <c r="BR8" t="str">
        <f>IF(猎命辅助表!CW37=0,"",猎命辅助表!CW37)</f>
        <v>盘蛇</v>
      </c>
      <c r="BS8">
        <f>IF(猎命辅助表!CX37=0,"",猎命辅助表!CX37)</f>
        <v>9896</v>
      </c>
      <c r="BT8">
        <f>IF(猎命辅助表!CY37=0,"",猎命辅助表!CY37)</f>
        <v>8140</v>
      </c>
      <c r="BU8" t="str">
        <f>IF(猎命辅助表!CZ37=0,"",猎命辅助表!CZ37)</f>
        <v>天命</v>
      </c>
      <c r="BV8">
        <f>IF(猎命辅助表!DA37=0,"",猎命辅助表!DA37)</f>
        <v>9904</v>
      </c>
      <c r="BW8">
        <f>IF(猎命辅助表!DB37=0,"",猎命辅助表!DB37)</f>
        <v>8240</v>
      </c>
      <c r="BX8" t="str">
        <f>IF(猎命辅助表!DC37=0,"",猎命辅助表!DC37)</f>
        <v>龙吟</v>
      </c>
      <c r="BY8">
        <f>IF(猎命辅助表!DD37=0,"",猎命辅助表!DD37)</f>
        <v>9912</v>
      </c>
      <c r="BZ8">
        <f>IF(猎命辅助表!DE37=0,"",猎命辅助表!DE37)</f>
        <v>8340</v>
      </c>
      <c r="CA8" t="str">
        <f>IF(猎命辅助表!DF37=0,"",猎命辅助表!DF37)</f>
        <v>守御</v>
      </c>
      <c r="CB8">
        <f>IF(猎命辅助表!DG37=0,"",猎命辅助表!DG37)</f>
        <v>9920</v>
      </c>
      <c r="CC8">
        <f>IF(猎命辅助表!DH37=0,"",猎命辅助表!DH37)</f>
        <v>8440</v>
      </c>
      <c r="CD8" t="str">
        <f>IF(猎命辅助表!DI37=0,"",猎命辅助表!DI37)</f>
        <v>千眼</v>
      </c>
      <c r="CE8">
        <f>IF(猎命辅助表!DJ37=0,"",猎命辅助表!DJ37)</f>
        <v>9928</v>
      </c>
      <c r="CF8">
        <f>IF(猎命辅助表!DK37=0,"",猎命辅助表!DK37)</f>
        <v>8540</v>
      </c>
      <c r="CG8" t="str">
        <f>IF(猎命辅助表!DL37=0,"",猎命辅助表!DL37)</f>
        <v>逍遥</v>
      </c>
      <c r="CH8">
        <f>IF(猎命辅助表!DM37=0,"",猎命辅助表!DM37)</f>
        <v>9936</v>
      </c>
      <c r="CI8">
        <f>IF(猎命辅助表!DN37=0,"",猎命辅助表!DN37)</f>
        <v>8640</v>
      </c>
      <c r="CJ8" t="str">
        <f>IF(猎命辅助表!DO37=0,"",猎命辅助表!DO37)</f>
        <v>流离</v>
      </c>
      <c r="CK8">
        <f>IF(猎命辅助表!DP37=0,"",猎命辅助表!DP37)</f>
        <v>9944</v>
      </c>
      <c r="CL8">
        <f>IF(猎命辅助表!DQ37=0,"",猎命辅助表!DQ37)</f>
        <v>8740</v>
      </c>
      <c r="CM8" t="str">
        <f>IF(猎命辅助表!DR37=0,"",猎命辅助表!DR37)</f>
        <v>夺魄</v>
      </c>
      <c r="CN8">
        <f>IF(猎命辅助表!DS37=0,"",猎命辅助表!DS37)</f>
        <v>9952</v>
      </c>
      <c r="CO8">
        <f>IF(猎命辅助表!DT37=0,"",猎命辅助表!DT37)</f>
        <v>8840</v>
      </c>
      <c r="CP8" t="str">
        <f>IF(猎命辅助表!DU37=0,"",猎命辅助表!DU37)</f>
        <v>审判</v>
      </c>
      <c r="CQ8">
        <f>IF(猎命辅助表!DV37=0,"",猎命辅助表!DV37)</f>
        <v>9960</v>
      </c>
      <c r="CR8">
        <f>IF(猎命辅助表!DW37=0,"",猎命辅助表!DW37)</f>
        <v>8940</v>
      </c>
      <c r="CS8" t="str">
        <f>IF(猎命辅助表!DX37=0,"",猎命辅助表!DX37)</f>
        <v>破天</v>
      </c>
      <c r="CT8">
        <f>IF(猎命辅助表!DY37=0,"",猎命辅助表!DY37)</f>
        <v>9968</v>
      </c>
      <c r="CU8">
        <f>IF(猎命辅助表!DZ37=0,"",猎命辅助表!DZ37)</f>
        <v>9040</v>
      </c>
      <c r="CV8" t="str">
        <f>IF(猎命辅助表!EA37=0,"",猎命辅助表!EA37)</f>
        <v>天狱</v>
      </c>
      <c r="CW8">
        <f>IF(猎命辅助表!EB37=0,"",猎命辅助表!EB37)</f>
        <v>9976</v>
      </c>
      <c r="CX8">
        <f>IF(猎命辅助表!EC37=0,"",猎命辅助表!EC37)</f>
        <v>9140</v>
      </c>
      <c r="CY8" t="str">
        <f>IF(猎命辅助表!ED37=0,"",猎命辅助表!ED37)</f>
        <v>幽灵</v>
      </c>
      <c r="CZ8">
        <f>IF(猎命辅助表!EE37=0,"",猎命辅助表!EE37)</f>
        <v>9984</v>
      </c>
      <c r="DA8">
        <f>IF(猎命辅助表!EF37=0,"",猎命辅助表!EF37)</f>
        <v>9240</v>
      </c>
      <c r="DB8" t="str">
        <f>IF(猎命辅助表!EG37=0,"",猎命辅助表!EG37)</f>
        <v>困魔</v>
      </c>
      <c r="DC8">
        <f>IF(猎命辅助表!EH37=0,"",猎命辅助表!EH37)</f>
        <v>9992</v>
      </c>
      <c r="DD8">
        <f>IF(猎命辅助表!EI37=0,"",猎命辅助表!EI37)</f>
        <v>9340</v>
      </c>
      <c r="DE8" t="str">
        <f>IF(猎命辅助表!EJ37=0,"",猎命辅助表!EJ37)</f>
        <v>无尽</v>
      </c>
      <c r="DF8">
        <f>IF(猎命辅助表!EK37=0,"",猎命辅助表!EK37)</f>
        <v>10000</v>
      </c>
      <c r="DG8" t="str">
        <f>IF(猎命辅助表!EL37=0,"",猎命辅助表!EL37)</f>
        <v/>
      </c>
      <c r="DH8" t="str">
        <f>IF(猎命辅助表!EM37=0,"",猎命辅助表!EM37)</f>
        <v/>
      </c>
      <c r="DI8" t="str">
        <f>IF(猎命辅助表!EN37=0,"",猎命辅助表!EN37)</f>
        <v/>
      </c>
      <c r="DJ8" t="str">
        <f>IF(猎命辅助表!EO37=0,"",猎命辅助表!EO37)</f>
        <v/>
      </c>
      <c r="DK8" t="str">
        <f>IF(猎命辅助表!EP37=0,"",猎命辅助表!EP37)</f>
        <v/>
      </c>
      <c r="DL8" t="str">
        <f>IF(猎命辅助表!EQ37=0,"",猎命辅助表!EQ37)</f>
        <v/>
      </c>
      <c r="DM8" t="str">
        <f>IF(猎命辅助表!ER37=0,"",猎命辅助表!ER37)</f>
        <v/>
      </c>
      <c r="DN8" t="str">
        <f>IF(猎命辅助表!ES37=0,"",猎命辅助表!ES37)</f>
        <v/>
      </c>
      <c r="DO8" t="str">
        <f>IF(猎命辅助表!ET37=0,"",猎命辅助表!ET37)</f>
        <v/>
      </c>
      <c r="DP8" t="str">
        <f>IF(猎命辅助表!EU37=0,"",猎命辅助表!EU37)</f>
        <v/>
      </c>
      <c r="DQ8" t="str">
        <f>IF(猎命辅助表!EV37=0,"",猎命辅助表!EV37)</f>
        <v/>
      </c>
      <c r="DR8" t="str">
        <f>IF(猎命辅助表!EW37=0,"",猎命辅助表!EW37)</f>
        <v/>
      </c>
      <c r="DS8" t="str">
        <f>IF(猎命辅助表!EX37=0,"",猎命辅助表!EX37)</f>
        <v/>
      </c>
      <c r="DT8" t="str">
        <f>IF(猎命辅助表!EY37=0,"",猎命辅助表!EY37)</f>
        <v/>
      </c>
      <c r="DU8" t="str">
        <f>IF(猎命辅助表!EZ37=0,"",猎命辅助表!EZ37)</f>
        <v/>
      </c>
      <c r="DV8" t="str">
        <f>IF(猎命辅助表!FA37=0,"",猎命辅助表!FA37)</f>
        <v/>
      </c>
      <c r="DW8" t="str">
        <f>IF(猎命辅助表!FB37=0,"",猎命辅助表!FB37)</f>
        <v/>
      </c>
      <c r="DX8" t="str">
        <f>IF(猎命辅助表!FC37=0,"",猎命辅助表!FC37)</f>
        <v/>
      </c>
    </row>
    <row r="9" spans="1:128">
      <c r="A9">
        <v>8</v>
      </c>
      <c r="B9">
        <f>IF(猎命辅助表!AG38=0,"",猎命辅助表!AG38)</f>
        <v>41</v>
      </c>
      <c r="C9">
        <f>IF(猎命辅助表!AH38=0,"",猎命辅助表!AH38)</f>
        <v>8120</v>
      </c>
      <c r="D9" t="str">
        <f>IF(猎命辅助表!AI38=0,"",猎命辅助表!AI38)</f>
        <v>辉煌</v>
      </c>
      <c r="E9">
        <f>IF(猎命辅助表!AJ38=0,"",猎命辅助表!AJ38)</f>
        <v>2771</v>
      </c>
      <c r="F9">
        <f>IF(猎命辅助表!AK38=0,"",猎命辅助表!AK38)</f>
        <v>8220</v>
      </c>
      <c r="G9" t="str">
        <f>IF(猎命辅助表!AL38=0,"",猎命辅助表!AL38)</f>
        <v>破军</v>
      </c>
      <c r="H9">
        <f>IF(猎命辅助表!AM38=0,"",猎命辅助表!AM38)</f>
        <v>5538</v>
      </c>
      <c r="I9">
        <f>IF(猎命辅助表!AN38=0,"",猎命辅助表!AN38)</f>
        <v>8320</v>
      </c>
      <c r="J9" t="str">
        <f>IF(猎命辅助表!AO38=0,"",猎命辅助表!AO38)</f>
        <v>真刚</v>
      </c>
      <c r="K9">
        <f>IF(猎命辅助表!AP38=0,"",猎命辅助表!AP38)</f>
        <v>8305</v>
      </c>
      <c r="L9">
        <f>IF(猎命辅助表!AQ38=0,"",猎命辅助表!AQ38)</f>
        <v>8130</v>
      </c>
      <c r="M9" t="str">
        <f>IF(猎命辅助表!AR38=0,"",猎命辅助表!AR38)</f>
        <v>霸主</v>
      </c>
      <c r="N9">
        <f>IF(猎命辅助表!AS38=0,"",猎命辅助表!AS38)</f>
        <v>8430</v>
      </c>
      <c r="O9">
        <f>IF(猎命辅助表!AT38=0,"",猎命辅助表!AT38)</f>
        <v>8230</v>
      </c>
      <c r="P9" t="str">
        <f>IF(猎命辅助表!AU38=0,"",猎命辅助表!AU38)</f>
        <v>虎啸</v>
      </c>
      <c r="Q9">
        <f>IF(猎命辅助表!AV38=0,"",猎命辅助表!AV38)</f>
        <v>8555</v>
      </c>
      <c r="R9">
        <f>IF(猎命辅助表!AW38=0,"",猎命辅助表!AW38)</f>
        <v>8330</v>
      </c>
      <c r="S9" t="str">
        <f>IF(猎命辅助表!AX38=0,"",猎命辅助表!AX38)</f>
        <v>豪魄</v>
      </c>
      <c r="T9">
        <f>IF(猎命辅助表!AY38=0,"",猎命辅助表!AY38)</f>
        <v>8680</v>
      </c>
      <c r="U9">
        <f>IF(猎命辅助表!AZ38=0,"",猎命辅助表!AZ38)</f>
        <v>8430</v>
      </c>
      <c r="V9" t="str">
        <f>IF(猎命辅助表!BA38=0,"",猎命辅助表!BA38)</f>
        <v>捉影</v>
      </c>
      <c r="W9">
        <f>IF(猎命辅助表!BB38=0,"",猎命辅助表!BB38)</f>
        <v>8805</v>
      </c>
      <c r="X9">
        <f>IF(猎命辅助表!BC38=0,"",猎命辅助表!BC38)</f>
        <v>8530</v>
      </c>
      <c r="Y9" t="str">
        <f>IF(猎命辅助表!BD38=0,"",猎命辅助表!BD38)</f>
        <v>游刃</v>
      </c>
      <c r="Z9">
        <f>IF(猎命辅助表!BE38=0,"",猎命辅助表!BE38)</f>
        <v>8930</v>
      </c>
      <c r="AA9">
        <f>IF(猎命辅助表!BF38=0,"",猎命辅助表!BF38)</f>
        <v>8630</v>
      </c>
      <c r="AB9" t="str">
        <f>IF(猎命辅助表!BG38=0,"",猎命辅助表!BG38)</f>
        <v>傲骨</v>
      </c>
      <c r="AC9">
        <f>IF(猎命辅助表!BH38=0,"",猎命辅助表!BH38)</f>
        <v>9055</v>
      </c>
      <c r="AD9">
        <f>IF(猎命辅助表!BI38=0,"",猎命辅助表!BI38)</f>
        <v>8730</v>
      </c>
      <c r="AE9" t="str">
        <f>IF(猎命辅助表!BJ38=0,"",猎命辅助表!BJ38)</f>
        <v>心眼</v>
      </c>
      <c r="AF9">
        <f>IF(猎命辅助表!BK38=0,"",猎命辅助表!BK38)</f>
        <v>9180</v>
      </c>
      <c r="AG9">
        <f>IF(猎命辅助表!BL38=0,"",猎命辅助表!BL38)</f>
        <v>8830</v>
      </c>
      <c r="AH9" t="str">
        <f>IF(猎命辅助表!BM38=0,"",猎命辅助表!BM38)</f>
        <v>噬生</v>
      </c>
      <c r="AI9">
        <f>IF(猎命辅助表!BN38=0,"",猎命辅助表!BN38)</f>
        <v>9305</v>
      </c>
      <c r="AJ9">
        <f>IF(猎命辅助表!BO38=0,"",猎命辅助表!BO38)</f>
        <v>8930</v>
      </c>
      <c r="AK9" t="str">
        <f>IF(猎命辅助表!BP38=0,"",猎命辅助表!BP38)</f>
        <v>痛击</v>
      </c>
      <c r="AL9">
        <f>IF(猎命辅助表!BQ38=0,"",猎命辅助表!BQ38)</f>
        <v>9430</v>
      </c>
      <c r="AM9">
        <f>IF(猎命辅助表!BR38=0,"",猎命辅助表!BR38)</f>
        <v>9030</v>
      </c>
      <c r="AN9" t="str">
        <f>IF(猎命辅助表!BS38=0,"",猎命辅助表!BS38)</f>
        <v>不坏</v>
      </c>
      <c r="AO9">
        <f>IF(猎命辅助表!BT38=0,"",猎命辅助表!BT38)</f>
        <v>9555</v>
      </c>
      <c r="AP9">
        <f>IF(猎命辅助表!BU38=0,"",猎命辅助表!BU38)</f>
        <v>9130</v>
      </c>
      <c r="AQ9" t="str">
        <f>IF(猎命辅助表!BV38=0,"",猎命辅助表!BV38)</f>
        <v>审判</v>
      </c>
      <c r="AR9">
        <f>IF(猎命辅助表!BW38=0,"",猎命辅助表!BW38)</f>
        <v>9680</v>
      </c>
      <c r="AS9">
        <f>IF(猎命辅助表!BX38=0,"",猎命辅助表!BX38)</f>
        <v>9230</v>
      </c>
      <c r="AT9" t="str">
        <f>IF(猎命辅助表!BY38=0,"",猎命辅助表!BY38)</f>
        <v>盘蛇</v>
      </c>
      <c r="AU9">
        <f>IF(猎命辅助表!BZ38=0,"",猎命辅助表!BZ38)</f>
        <v>9805</v>
      </c>
      <c r="AV9">
        <f>IF(猎命辅助表!CA38=0,"",猎命辅助表!CA38)</f>
        <v>8140</v>
      </c>
      <c r="AW9" t="str">
        <f>IF(猎命辅助表!CB38=0,"",猎命辅助表!CB38)</f>
        <v>天命</v>
      </c>
      <c r="AX9">
        <f>IF(猎命辅助表!CC38=0,"",猎命辅助表!CC38)</f>
        <v>9820</v>
      </c>
      <c r="AY9">
        <f>IF(猎命辅助表!CD38=0,"",猎命辅助表!CD38)</f>
        <v>8240</v>
      </c>
      <c r="AZ9" t="str">
        <f>IF(猎命辅助表!CE38=0,"",猎命辅助表!CE38)</f>
        <v>龙吟</v>
      </c>
      <c r="BA9">
        <f>IF(猎命辅助表!CF38=0,"",猎命辅助表!CF38)</f>
        <v>9835</v>
      </c>
      <c r="BB9">
        <f>IF(猎命辅助表!CG38=0,"",猎命辅助表!CG38)</f>
        <v>8340</v>
      </c>
      <c r="BC9" t="str">
        <f>IF(猎命辅助表!CH38=0,"",猎命辅助表!CH38)</f>
        <v>守御</v>
      </c>
      <c r="BD9">
        <f>IF(猎命辅助表!CI38=0,"",猎命辅助表!CI38)</f>
        <v>9850</v>
      </c>
      <c r="BE9">
        <f>IF(猎命辅助表!CJ38=0,"",猎命辅助表!CJ38)</f>
        <v>8440</v>
      </c>
      <c r="BF9" t="str">
        <f>IF(猎命辅助表!CK38=0,"",猎命辅助表!CK38)</f>
        <v>千眼</v>
      </c>
      <c r="BG9">
        <f>IF(猎命辅助表!CL38=0,"",猎命辅助表!CL38)</f>
        <v>9865</v>
      </c>
      <c r="BH9">
        <f>IF(猎命辅助表!CM38=0,"",猎命辅助表!CM38)</f>
        <v>8540</v>
      </c>
      <c r="BI9" t="str">
        <f>IF(猎命辅助表!CN38=0,"",猎命辅助表!CN38)</f>
        <v>逍遥</v>
      </c>
      <c r="BJ9">
        <f>IF(猎命辅助表!CO38=0,"",猎命辅助表!CO38)</f>
        <v>9880</v>
      </c>
      <c r="BK9">
        <f>IF(猎命辅助表!CP38=0,"",猎命辅助表!CP38)</f>
        <v>8640</v>
      </c>
      <c r="BL9" t="str">
        <f>IF(猎命辅助表!CQ38=0,"",猎命辅助表!CQ38)</f>
        <v>流离</v>
      </c>
      <c r="BM9">
        <f>IF(猎命辅助表!CR38=0,"",猎命辅助表!CR38)</f>
        <v>9895</v>
      </c>
      <c r="BN9">
        <f>IF(猎命辅助表!CS38=0,"",猎命辅助表!CS38)</f>
        <v>8740</v>
      </c>
      <c r="BO9" t="str">
        <f>IF(猎命辅助表!CT38=0,"",猎命辅助表!CT38)</f>
        <v>夺魄</v>
      </c>
      <c r="BP9">
        <f>IF(猎命辅助表!CU38=0,"",猎命辅助表!CU38)</f>
        <v>9910</v>
      </c>
      <c r="BQ9">
        <f>IF(猎命辅助表!CV38=0,"",猎命辅助表!CV38)</f>
        <v>8840</v>
      </c>
      <c r="BR9" t="str">
        <f>IF(猎命辅助表!CW38=0,"",猎命辅助表!CW38)</f>
        <v>审判</v>
      </c>
      <c r="BS9">
        <f>IF(猎命辅助表!CX38=0,"",猎命辅助表!CX38)</f>
        <v>9925</v>
      </c>
      <c r="BT9">
        <f>IF(猎命辅助表!CY38=0,"",猎命辅助表!CY38)</f>
        <v>8940</v>
      </c>
      <c r="BU9" t="str">
        <f>IF(猎命辅助表!CZ38=0,"",猎命辅助表!CZ38)</f>
        <v>破天</v>
      </c>
      <c r="BV9">
        <f>IF(猎命辅助表!DA38=0,"",猎命辅助表!DA38)</f>
        <v>9940</v>
      </c>
      <c r="BW9">
        <f>IF(猎命辅助表!DB38=0,"",猎命辅助表!DB38)</f>
        <v>9040</v>
      </c>
      <c r="BX9" t="str">
        <f>IF(猎命辅助表!DC38=0,"",猎命辅助表!DC38)</f>
        <v>天狱</v>
      </c>
      <c r="BY9">
        <f>IF(猎命辅助表!DD38=0,"",猎命辅助表!DD38)</f>
        <v>9955</v>
      </c>
      <c r="BZ9">
        <f>IF(猎命辅助表!DE38=0,"",猎命辅助表!DE38)</f>
        <v>9140</v>
      </c>
      <c r="CA9" t="str">
        <f>IF(猎命辅助表!DF38=0,"",猎命辅助表!DF38)</f>
        <v>幽灵</v>
      </c>
      <c r="CB9">
        <f>IF(猎命辅助表!DG38=0,"",猎命辅助表!DG38)</f>
        <v>9970</v>
      </c>
      <c r="CC9">
        <f>IF(猎命辅助表!DH38=0,"",猎命辅助表!DH38)</f>
        <v>9240</v>
      </c>
      <c r="CD9" t="str">
        <f>IF(猎命辅助表!DI38=0,"",猎命辅助表!DI38)</f>
        <v>困魔</v>
      </c>
      <c r="CE9">
        <f>IF(猎命辅助表!DJ38=0,"",猎命辅助表!DJ38)</f>
        <v>9985</v>
      </c>
      <c r="CF9">
        <f>IF(猎命辅助表!DK38=0,"",猎命辅助表!DK38)</f>
        <v>9340</v>
      </c>
      <c r="CG9" t="str">
        <f>IF(猎命辅助表!DL38=0,"",猎命辅助表!DL38)</f>
        <v>无尽</v>
      </c>
      <c r="CH9">
        <f>IF(猎命辅助表!DM38=0,"",猎命辅助表!DM38)</f>
        <v>10000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U474"/>
  <sheetViews>
    <sheetView topLeftCell="A70" workbookViewId="0">
      <selection activeCell="Q83" sqref="Q83:Q89"/>
    </sheetView>
  </sheetViews>
  <sheetFormatPr defaultRowHeight="14.4"/>
  <cols>
    <col min="7" max="7" width="35.88671875" bestFit="1" customWidth="1"/>
    <col min="16" max="16" width="10.44140625" bestFit="1" customWidth="1"/>
    <col min="18" max="18" width="10.44140625" bestFit="1" customWidth="1"/>
    <col min="19" max="19" width="9.44140625" bestFit="1" customWidth="1"/>
  </cols>
  <sheetData>
    <row r="1" spans="1:21">
      <c r="A1" s="1" t="s">
        <v>0</v>
      </c>
      <c r="B1" s="2" t="s">
        <v>1</v>
      </c>
      <c r="C1" t="s">
        <v>2</v>
      </c>
      <c r="D1" t="s">
        <v>3</v>
      </c>
      <c r="E1" s="2" t="s">
        <v>4</v>
      </c>
      <c r="F1" s="2" t="s">
        <v>5</v>
      </c>
      <c r="G1" s="2" t="s">
        <v>390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t="s">
        <v>14</v>
      </c>
      <c r="Q1" s="2" t="s">
        <v>15</v>
      </c>
      <c r="R1" t="s">
        <v>113</v>
      </c>
      <c r="S1" t="s">
        <v>268</v>
      </c>
      <c r="T1" t="s">
        <v>16</v>
      </c>
      <c r="U1" t="s">
        <v>17</v>
      </c>
    </row>
    <row r="2" spans="1:21">
      <c r="A2">
        <v>8001</v>
      </c>
      <c r="B2" t="s">
        <v>302</v>
      </c>
      <c r="C2">
        <v>0</v>
      </c>
      <c r="D2">
        <v>1</v>
      </c>
      <c r="E2">
        <v>-2</v>
      </c>
      <c r="F2">
        <v>0</v>
      </c>
      <c r="G2" t="s">
        <v>328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8001</v>
      </c>
      <c r="O2">
        <f>COUNTIF(P2:U2,"&gt;0")/2</f>
        <v>0</v>
      </c>
      <c r="P2">
        <f t="shared" ref="P2:P49" si="0">VLOOKUP($A2,命格属性表,12,0)</f>
        <v>0</v>
      </c>
      <c r="Q2">
        <f>ROUND((VLOOKUP($A2,命格属性表,13,0)+VLOOKUP($A2,命格属性表,20,0)*($D2-1))*IF(P2&gt;9,1,VLOOKUP(D2,命格辅助表!$S$3:$U$10,3,0)),0)</f>
        <v>0</v>
      </c>
      <c r="R2">
        <f t="shared" ref="R2:R49" si="1">VLOOKUP($A2,命格属性表,14,0)</f>
        <v>0</v>
      </c>
      <c r="S2">
        <f>ROUND(IF(R2=0,0,VLOOKUP($A2,命格属性表,15,0)+VLOOKUP($A2,命格属性表,22,0)*($D2-1))*IF(R2&gt;9,1,VLOOKUP(D2,命格辅助表!$S$3:$U$10,3,0)),0)</f>
        <v>0</v>
      </c>
      <c r="T2">
        <v>0</v>
      </c>
      <c r="U2">
        <f t="shared" ref="U2:U65" si="2">IF(T2=0,0,VLOOKUP($A2,命格属性表,17,0)+VLOOKUP($A2,命格属性表,24,0)*($D2-1))</f>
        <v>0</v>
      </c>
    </row>
    <row r="3" spans="1:21">
      <c r="A3">
        <v>8110</v>
      </c>
      <c r="B3" t="s">
        <v>303</v>
      </c>
      <c r="C3">
        <f t="shared" ref="C3:C50" si="3">I3</f>
        <v>1</v>
      </c>
      <c r="D3">
        <v>1</v>
      </c>
      <c r="E3">
        <v>0</v>
      </c>
      <c r="F3">
        <v>10</v>
      </c>
      <c r="G3" t="str">
        <f>VLOOKUP(P3,定义数据!$B$14:$C$29,2,0)&amp;"+"&amp;Q3&amp;IF(R3=0,"",","&amp;VLOOKUP(R3,定义数据!$B$14:$C$29,2,0)&amp;"+"&amp;S3)&amp;IF(T3=0,"",","&amp;VLOOKUP(T3,定义数据!$B$14:$C$29,2,0)&amp;"+"&amp;U3)</f>
        <v>生命+892</v>
      </c>
      <c r="H3">
        <v>0</v>
      </c>
      <c r="I3">
        <f t="shared" ref="I3:I50" si="4">VLOOKUP($A3,命格属性表,26,0)</f>
        <v>1</v>
      </c>
      <c r="J3">
        <f>IF(ISERROR(VLOOKUP(D3,命格辅助表!$I$76:$N$86,D_命格表!E3+2,0)),0,VLOOKUP(D3,命格辅助表!$I$76:$N$86,D_命格表!E3+2,0))</f>
        <v>40</v>
      </c>
      <c r="K3">
        <f>IF(ISERROR(VLOOKUP(D3,命格辅助表!$P$76:$U$86,E3+2,0)),0,VLOOKUP(D3,命格辅助表!$P$76:$U$86,E3+2,0))</f>
        <v>20</v>
      </c>
      <c r="L3">
        <v>0</v>
      </c>
      <c r="M3">
        <v>0</v>
      </c>
      <c r="N3">
        <v>8110</v>
      </c>
      <c r="O3">
        <f>COUNTIF(P3:U3,"&gt;0")/2</f>
        <v>1</v>
      </c>
      <c r="P3">
        <f t="shared" si="0"/>
        <v>1</v>
      </c>
      <c r="Q3">
        <f>ROUND((VLOOKUP($A3,命格属性表,13,0)+VLOOKUP($A3,命格属性表,20,0)*($D3-1))*IF(P3&gt;9,1,VLOOKUP(D3,命格辅助表!$S$3:$U$10,3,0)),0)</f>
        <v>892</v>
      </c>
      <c r="R3">
        <f t="shared" si="1"/>
        <v>0</v>
      </c>
      <c r="S3">
        <f>ROUND(IF(R3=0,0,VLOOKUP($A3,命格属性表,15,0)+VLOOKUP($A3,命格属性表,22,0)*($D3-1))*IF(R3&gt;9,1,VLOOKUP(D3,命格辅助表!$S$3:$U$10,3,0)),0)</f>
        <v>0</v>
      </c>
      <c r="T3">
        <f t="shared" ref="T3:T50" si="5">VLOOKUP($A3,命格属性表,16,0)</f>
        <v>0</v>
      </c>
      <c r="U3">
        <f t="shared" si="2"/>
        <v>0</v>
      </c>
    </row>
    <row r="4" spans="1:21">
      <c r="A4">
        <v>8110</v>
      </c>
      <c r="B4" t="s">
        <v>303</v>
      </c>
      <c r="C4">
        <f t="shared" si="3"/>
        <v>1</v>
      </c>
      <c r="D4">
        <v>2</v>
      </c>
      <c r="E4">
        <v>0</v>
      </c>
      <c r="F4">
        <v>10</v>
      </c>
      <c r="G4" t="str">
        <f>VLOOKUP(P4,定义数据!$B$14:$C$29,2,0)&amp;"+"&amp;Q4&amp;IF(R4=0,"",","&amp;VLOOKUP(R4,定义数据!$B$14:$C$29,2,0)&amp;"+"&amp;S4)&amp;IF(T4=0,"",","&amp;VLOOKUP(T4,定义数据!$B$14:$C$29,2,0)&amp;"+"&amp;U4)</f>
        <v>生命+1338</v>
      </c>
      <c r="H4">
        <v>0</v>
      </c>
      <c r="I4">
        <f t="shared" si="4"/>
        <v>1</v>
      </c>
      <c r="J4">
        <f>IF(ISERROR(VLOOKUP(D4,命格辅助表!$I$76:$N$86,D_命格表!E4+2,0)),0,VLOOKUP(D4,命格辅助表!$I$76:$N$86,D_命格表!E4+2,0))</f>
        <v>80</v>
      </c>
      <c r="K4">
        <f>IF(ISERROR(VLOOKUP(D4,命格辅助表!$P$76:$U$86,E4+2,0)),0,VLOOKUP(D4,命格辅助表!$P$76:$U$86,E4+2,0))</f>
        <v>60</v>
      </c>
      <c r="L4">
        <v>0</v>
      </c>
      <c r="M4">
        <v>0</v>
      </c>
      <c r="N4">
        <v>8110</v>
      </c>
      <c r="O4">
        <f t="shared" ref="O4:O66" si="6">COUNTIF(P4:U4,"&gt;0")/2</f>
        <v>1</v>
      </c>
      <c r="P4">
        <f>VLOOKUP($A4,命格属性表,12,0)</f>
        <v>1</v>
      </c>
      <c r="Q4">
        <f>ROUND((VLOOKUP($A4,命格属性表,13,0)+VLOOKUP($A4,命格属性表,20,0)*($D4-1))*IF(P4&gt;9,1,VLOOKUP(D4,命格辅助表!$S$3:$U$10,3,0)),0)</f>
        <v>1338</v>
      </c>
      <c r="R4">
        <f t="shared" si="1"/>
        <v>0</v>
      </c>
      <c r="S4">
        <f>ROUND(IF(R4=0,0,VLOOKUP($A4,命格属性表,15,0)+VLOOKUP($A4,命格属性表,22,0)*($D4-1))*IF(R4&gt;9,1,VLOOKUP(D4,命格辅助表!$S$3:$U$10,3,0)),0)</f>
        <v>0</v>
      </c>
      <c r="T4">
        <f t="shared" si="5"/>
        <v>0</v>
      </c>
      <c r="U4">
        <f t="shared" si="2"/>
        <v>0</v>
      </c>
    </row>
    <row r="5" spans="1:21">
      <c r="A5">
        <v>8110</v>
      </c>
      <c r="B5" t="s">
        <v>303</v>
      </c>
      <c r="C5">
        <f t="shared" si="3"/>
        <v>1</v>
      </c>
      <c r="D5">
        <v>3</v>
      </c>
      <c r="E5">
        <v>0</v>
      </c>
      <c r="F5">
        <v>10</v>
      </c>
      <c r="G5" t="str">
        <f>VLOOKUP(P5,定义数据!$B$14:$C$29,2,0)&amp;"+"&amp;Q5&amp;IF(R5=0,"",","&amp;VLOOKUP(R5,定义数据!$B$14:$C$29,2,0)&amp;"+"&amp;S5)&amp;IF(T5=0,"",","&amp;VLOOKUP(T5,定义数据!$B$14:$C$29,2,0)&amp;"+"&amp;U5)</f>
        <v>生命+2007</v>
      </c>
      <c r="H5">
        <v>0</v>
      </c>
      <c r="I5">
        <f t="shared" si="4"/>
        <v>1</v>
      </c>
      <c r="J5">
        <f>IF(ISERROR(VLOOKUP(D5,命格辅助表!$I$76:$N$86,D_命格表!E5+2,0)),0,VLOOKUP(D5,命格辅助表!$I$76:$N$86,D_命格表!E5+2,0))</f>
        <v>160</v>
      </c>
      <c r="K5">
        <f>IF(ISERROR(VLOOKUP(D5,命格辅助表!$P$76:$U$86,E5+2,0)),0,VLOOKUP(D5,命格辅助表!$P$76:$U$86,E5+2,0))</f>
        <v>140</v>
      </c>
      <c r="L5">
        <v>0</v>
      </c>
      <c r="M5">
        <v>0</v>
      </c>
      <c r="N5">
        <v>8110</v>
      </c>
      <c r="O5">
        <f t="shared" si="6"/>
        <v>1</v>
      </c>
      <c r="P5">
        <f t="shared" si="0"/>
        <v>1</v>
      </c>
      <c r="Q5">
        <f>ROUND((VLOOKUP($A5,命格属性表,13,0)+VLOOKUP($A5,命格属性表,20,0)*($D5-1))*IF(P5&gt;9,1,VLOOKUP(D5,命格辅助表!$S$3:$U$10,3,0)),0)</f>
        <v>2007</v>
      </c>
      <c r="R5">
        <f t="shared" si="1"/>
        <v>0</v>
      </c>
      <c r="S5">
        <f>ROUND(IF(R5=0,0,VLOOKUP($A5,命格属性表,15,0)+VLOOKUP($A5,命格属性表,22,0)*($D5-1))*IF(R5&gt;9,1,VLOOKUP(D5,命格辅助表!$S$3:$U$10,3,0)),0)</f>
        <v>0</v>
      </c>
      <c r="T5">
        <f t="shared" si="5"/>
        <v>0</v>
      </c>
      <c r="U5">
        <f t="shared" si="2"/>
        <v>0</v>
      </c>
    </row>
    <row r="6" spans="1:21">
      <c r="A6">
        <v>8110</v>
      </c>
      <c r="B6" t="s">
        <v>303</v>
      </c>
      <c r="C6">
        <f t="shared" si="3"/>
        <v>1</v>
      </c>
      <c r="D6">
        <v>4</v>
      </c>
      <c r="E6">
        <v>0</v>
      </c>
      <c r="F6">
        <v>10</v>
      </c>
      <c r="G6" t="str">
        <f>VLOOKUP(P6,定义数据!$B$14:$C$29,2,0)&amp;"+"&amp;Q6&amp;IF(R6=0,"",","&amp;VLOOKUP(R6,定义数据!$B$14:$C$29,2,0)&amp;"+"&amp;S6)&amp;IF(T6=0,"",","&amp;VLOOKUP(T6,定义数据!$B$14:$C$29,2,0)&amp;"+"&amp;U6)</f>
        <v>生命+3010</v>
      </c>
      <c r="H6">
        <v>0</v>
      </c>
      <c r="I6">
        <f>VLOOKUP($A6,命格属性表,26,0)</f>
        <v>1</v>
      </c>
      <c r="J6">
        <f>IF(ISERROR(VLOOKUP(D6,命格辅助表!$I$76:$N$86,D_命格表!E6+2,0)),0,VLOOKUP(D6,命格辅助表!$I$76:$N$86,D_命格表!E6+2,0))</f>
        <v>320</v>
      </c>
      <c r="K6">
        <f>IF(ISERROR(VLOOKUP(D6,命格辅助表!$P$76:$U$86,E6+2,0)),0,VLOOKUP(D6,命格辅助表!$P$76:$U$86,E6+2,0))</f>
        <v>300</v>
      </c>
      <c r="L6">
        <v>0</v>
      </c>
      <c r="M6">
        <v>0</v>
      </c>
      <c r="N6">
        <v>8110</v>
      </c>
      <c r="O6">
        <f t="shared" si="6"/>
        <v>1</v>
      </c>
      <c r="P6">
        <f t="shared" si="0"/>
        <v>1</v>
      </c>
      <c r="Q6">
        <f>ROUND((VLOOKUP($A6,命格属性表,13,0)+VLOOKUP($A6,命格属性表,20,0)*($D6-1))*IF(P6&gt;9,1,VLOOKUP(D6,命格辅助表!$S$3:$U$10,3,0)),0)</f>
        <v>3010</v>
      </c>
      <c r="R6">
        <f t="shared" si="1"/>
        <v>0</v>
      </c>
      <c r="S6">
        <f>ROUND(IF(R6=0,0,VLOOKUP($A6,命格属性表,15,0)+VLOOKUP($A6,命格属性表,22,0)*($D6-1))*IF(R6&gt;9,1,VLOOKUP(D6,命格辅助表!$S$3:$U$10,3,0)),0)</f>
        <v>0</v>
      </c>
      <c r="T6">
        <f t="shared" si="5"/>
        <v>0</v>
      </c>
      <c r="U6">
        <f t="shared" si="2"/>
        <v>0</v>
      </c>
    </row>
    <row r="7" spans="1:21">
      <c r="A7">
        <v>8110</v>
      </c>
      <c r="B7" t="s">
        <v>303</v>
      </c>
      <c r="C7">
        <f t="shared" si="3"/>
        <v>1</v>
      </c>
      <c r="D7">
        <v>5</v>
      </c>
      <c r="E7">
        <v>0</v>
      </c>
      <c r="F7">
        <v>10</v>
      </c>
      <c r="G7" t="str">
        <f>VLOOKUP(P7,定义数据!$B$14:$C$29,2,0)&amp;"+"&amp;Q7&amp;IF(R7=0,"",","&amp;VLOOKUP(R7,定义数据!$B$14:$C$29,2,0)&amp;"+"&amp;S7)&amp;IF(T7=0,"",","&amp;VLOOKUP(T7,定义数据!$B$14:$C$29,2,0)&amp;"+"&amp;U7)</f>
        <v>生命+4516</v>
      </c>
      <c r="H7">
        <v>0</v>
      </c>
      <c r="I7">
        <f t="shared" si="4"/>
        <v>1</v>
      </c>
      <c r="J7">
        <f>IF(ISERROR(VLOOKUP(D7,命格辅助表!$I$76:$N$86,D_命格表!E7+2,0)),0,VLOOKUP(D7,命格辅助表!$I$76:$N$86,D_命格表!E7+2,0))</f>
        <v>640</v>
      </c>
      <c r="K7">
        <f>IF(ISERROR(VLOOKUP(D7,命格辅助表!$P$76:$U$86,E7+2,0)),0,VLOOKUP(D7,命格辅助表!$P$76:$U$86,E7+2,0))</f>
        <v>620</v>
      </c>
      <c r="L7">
        <v>0</v>
      </c>
      <c r="M7">
        <v>0</v>
      </c>
      <c r="N7">
        <v>8110</v>
      </c>
      <c r="O7">
        <f t="shared" si="6"/>
        <v>1</v>
      </c>
      <c r="P7">
        <f t="shared" si="0"/>
        <v>1</v>
      </c>
      <c r="Q7">
        <f>ROUND((VLOOKUP($A7,命格属性表,13,0)+VLOOKUP($A7,命格属性表,20,0)*($D7-1))*IF(P7&gt;9,1,VLOOKUP(D7,命格辅助表!$S$3:$U$10,3,0)),0)</f>
        <v>4516</v>
      </c>
      <c r="R7">
        <f t="shared" si="1"/>
        <v>0</v>
      </c>
      <c r="S7">
        <f>ROUND(IF(R7=0,0,VLOOKUP($A7,命格属性表,15,0)+VLOOKUP($A7,命格属性表,22,0)*($D7-1))*IF(R7&gt;9,1,VLOOKUP(D7,命格辅助表!$S$3:$U$10,3,0)),0)</f>
        <v>0</v>
      </c>
      <c r="T7">
        <f t="shared" si="5"/>
        <v>0</v>
      </c>
      <c r="U7">
        <f t="shared" si="2"/>
        <v>0</v>
      </c>
    </row>
    <row r="8" spans="1:21">
      <c r="A8">
        <v>8110</v>
      </c>
      <c r="B8" t="s">
        <v>303</v>
      </c>
      <c r="C8">
        <f t="shared" si="3"/>
        <v>1</v>
      </c>
      <c r="D8">
        <v>6</v>
      </c>
      <c r="E8">
        <v>0</v>
      </c>
      <c r="F8">
        <v>10</v>
      </c>
      <c r="G8" t="str">
        <f>VLOOKUP(P8,定义数据!$B$14:$C$29,2,0)&amp;"+"&amp;Q8&amp;IF(R8=0,"",","&amp;VLOOKUP(R8,定义数据!$B$14:$C$29,2,0)&amp;"+"&amp;S8)&amp;IF(T8=0,"",","&amp;VLOOKUP(T8,定义数据!$B$14:$C$29,2,0)&amp;"+"&amp;U8)</f>
        <v>生命+6773</v>
      </c>
      <c r="H8">
        <v>0</v>
      </c>
      <c r="I8">
        <f t="shared" si="4"/>
        <v>1</v>
      </c>
      <c r="J8">
        <f>IF(ISERROR(VLOOKUP(D8,命格辅助表!$I$76:$N$86,D_命格表!E8+2,0)),0,VLOOKUP(D8,命格辅助表!$I$76:$N$86,D_命格表!E8+2,0))</f>
        <v>1280</v>
      </c>
      <c r="K8">
        <f>IF(ISERROR(VLOOKUP(D8,命格辅助表!$P$76:$U$86,E8+2,0)),0,VLOOKUP(D8,命格辅助表!$P$76:$U$86,E8+2,0))</f>
        <v>1260</v>
      </c>
      <c r="L8">
        <v>0</v>
      </c>
      <c r="M8">
        <v>0</v>
      </c>
      <c r="N8">
        <v>8110</v>
      </c>
      <c r="O8">
        <f t="shared" si="6"/>
        <v>1</v>
      </c>
      <c r="P8">
        <f t="shared" si="0"/>
        <v>1</v>
      </c>
      <c r="Q8">
        <f>ROUND((VLOOKUP($A8,命格属性表,13,0)+VLOOKUP($A8,命格属性表,20,0)*($D8-1))*IF(P8&gt;9,1,VLOOKUP(D8,命格辅助表!$S$3:$U$10,3,0)),0)</f>
        <v>6773</v>
      </c>
      <c r="R8">
        <f t="shared" si="1"/>
        <v>0</v>
      </c>
      <c r="S8">
        <f>ROUND(IF(R8=0,0,VLOOKUP($A8,命格属性表,15,0)+VLOOKUP($A8,命格属性表,22,0)*($D8-1))*IF(R8&gt;9,1,VLOOKUP(D8,命格辅助表!$S$3:$U$10,3,0)),0)</f>
        <v>0</v>
      </c>
      <c r="T8">
        <f t="shared" si="5"/>
        <v>0</v>
      </c>
      <c r="U8">
        <f t="shared" si="2"/>
        <v>0</v>
      </c>
    </row>
    <row r="9" spans="1:21">
      <c r="A9">
        <v>8110</v>
      </c>
      <c r="B9" t="s">
        <v>303</v>
      </c>
      <c r="C9">
        <f t="shared" si="3"/>
        <v>1</v>
      </c>
      <c r="D9">
        <v>7</v>
      </c>
      <c r="E9">
        <v>0</v>
      </c>
      <c r="F9">
        <v>10</v>
      </c>
      <c r="G9" t="str">
        <f>VLOOKUP(P9,定义数据!$B$14:$C$29,2,0)&amp;"+"&amp;Q9&amp;IF(R9=0,"",","&amp;VLOOKUP(R9,定义数据!$B$14:$C$29,2,0)&amp;"+"&amp;S9)&amp;IF(T9=0,"",","&amp;VLOOKUP(T9,定义数据!$B$14:$C$29,2,0)&amp;"+"&amp;U9)</f>
        <v>生命+10160</v>
      </c>
      <c r="H9">
        <v>0</v>
      </c>
      <c r="I9">
        <f t="shared" si="4"/>
        <v>1</v>
      </c>
      <c r="J9">
        <f>IF(ISERROR(VLOOKUP(D9,命格辅助表!$I$76:$N$86,D_命格表!E9+2,0)),0,VLOOKUP(D9,命格辅助表!$I$76:$N$86,D_命格表!E9+2,0))</f>
        <v>2560</v>
      </c>
      <c r="K9">
        <f>IF(ISERROR(VLOOKUP(D9,命格辅助表!$P$76:$U$86,E9+2,0)),0,VLOOKUP(D9,命格辅助表!$P$76:$U$86,E9+2,0))</f>
        <v>2540</v>
      </c>
      <c r="L9">
        <v>0</v>
      </c>
      <c r="M9">
        <v>0</v>
      </c>
      <c r="N9">
        <v>8110</v>
      </c>
      <c r="O9">
        <f t="shared" si="6"/>
        <v>1</v>
      </c>
      <c r="P9">
        <f t="shared" si="0"/>
        <v>1</v>
      </c>
      <c r="Q9">
        <f>ROUND((VLOOKUP($A9,命格属性表,13,0)+VLOOKUP($A9,命格属性表,20,0)*($D9-1))*IF(P9&gt;9,1,VLOOKUP(D9,命格辅助表!$S$3:$U$10,3,0)),0)</f>
        <v>10160</v>
      </c>
      <c r="R9">
        <f t="shared" si="1"/>
        <v>0</v>
      </c>
      <c r="S9">
        <f>ROUND(IF(R9=0,0,VLOOKUP($A9,命格属性表,15,0)+VLOOKUP($A9,命格属性表,22,0)*($D9-1))*IF(R9&gt;9,1,VLOOKUP(D9,命格辅助表!$S$3:$U$10,3,0)),0)</f>
        <v>0</v>
      </c>
      <c r="T9">
        <f t="shared" si="5"/>
        <v>0</v>
      </c>
      <c r="U9">
        <f t="shared" si="2"/>
        <v>0</v>
      </c>
    </row>
    <row r="10" spans="1:21">
      <c r="A10">
        <v>8110</v>
      </c>
      <c r="B10" t="s">
        <v>303</v>
      </c>
      <c r="C10">
        <f t="shared" si="3"/>
        <v>1</v>
      </c>
      <c r="D10">
        <v>8</v>
      </c>
      <c r="E10">
        <v>0</v>
      </c>
      <c r="F10">
        <v>10</v>
      </c>
      <c r="G10" t="str">
        <f>VLOOKUP(P10,定义数据!$B$14:$C$29,2,0)&amp;"+"&amp;Q10&amp;IF(R10=0,"",","&amp;VLOOKUP(R10,定义数据!$B$14:$C$29,2,0)&amp;"+"&amp;S10)&amp;IF(T10=0,"",","&amp;VLOOKUP(T10,定义数据!$B$14:$C$29,2,0)&amp;"+"&amp;U10)</f>
        <v>生命+15240</v>
      </c>
      <c r="H10">
        <v>0</v>
      </c>
      <c r="I10">
        <f t="shared" si="4"/>
        <v>1</v>
      </c>
      <c r="J10">
        <f>IF(ISERROR(VLOOKUP(D10,命格辅助表!$I$76:$N$86,D_命格表!E10+2,0)),0,VLOOKUP(D10,命格辅助表!$I$76:$N$86,D_命格表!E10+2,0))</f>
        <v>5120</v>
      </c>
      <c r="K10">
        <f>IF(ISERROR(VLOOKUP(D10,命格辅助表!$P$76:$U$86,E10+2,0)),0,VLOOKUP(D10,命格辅助表!$P$76:$U$86,E10+2,0))</f>
        <v>5100</v>
      </c>
      <c r="L10">
        <f>IF(ISERROR(VLOOKUP(D10,命格辅助表!$I$76:$N$86,D_命格表!E10+2,0)),0,VLOOKUP(D10,命格辅助表!$I$76:$N$86,D_命格表!E10+2,0))</f>
        <v>5120</v>
      </c>
      <c r="M10">
        <f>A10+10</f>
        <v>8120</v>
      </c>
      <c r="N10">
        <v>8110</v>
      </c>
      <c r="O10">
        <f t="shared" si="6"/>
        <v>1</v>
      </c>
      <c r="P10">
        <f t="shared" si="0"/>
        <v>1</v>
      </c>
      <c r="Q10">
        <f>ROUND((VLOOKUP($A10,命格属性表,13,0)+VLOOKUP($A10,命格属性表,20,0)*($D10-1))*IF(P10&gt;9,1,VLOOKUP(D10,命格辅助表!$S$3:$U$10,3,0)),0)</f>
        <v>15240</v>
      </c>
      <c r="R10">
        <f t="shared" si="1"/>
        <v>0</v>
      </c>
      <c r="S10">
        <f>ROUND(IF(R10=0,0,VLOOKUP($A10,命格属性表,15,0)+VLOOKUP($A10,命格属性表,22,0)*($D10-1))*IF(R10&gt;9,1,VLOOKUP(D10,命格辅助表!$S$3:$U$10,3,0)),0)</f>
        <v>0</v>
      </c>
      <c r="T10">
        <f t="shared" si="5"/>
        <v>0</v>
      </c>
      <c r="U10">
        <f t="shared" si="2"/>
        <v>0</v>
      </c>
    </row>
    <row r="11" spans="1:21">
      <c r="A11">
        <v>8210</v>
      </c>
      <c r="B11" t="s">
        <v>304</v>
      </c>
      <c r="C11">
        <f t="shared" si="3"/>
        <v>2</v>
      </c>
      <c r="D11">
        <v>1</v>
      </c>
      <c r="E11">
        <v>0</v>
      </c>
      <c r="F11">
        <v>10</v>
      </c>
      <c r="G11" t="str">
        <f>VLOOKUP(P11,定义数据!$B$14:$C$29,2,0)&amp;"+"&amp;Q11&amp;IF(R11=0,"",","&amp;VLOOKUP(R11,定义数据!$B$14:$C$29,2,0)&amp;"+"&amp;S11)&amp;IF(T11=0,"",","&amp;VLOOKUP(T11,定义数据!$B$14:$C$29,2,0)&amp;"+"&amp;U11)</f>
        <v>攻击+36</v>
      </c>
      <c r="H11">
        <v>0</v>
      </c>
      <c r="I11">
        <f t="shared" si="4"/>
        <v>2</v>
      </c>
      <c r="J11">
        <f>IF(ISERROR(VLOOKUP(D11,命格辅助表!$I$76:$N$86,D_命格表!E11+2,0)),0,VLOOKUP(D11,命格辅助表!$I$76:$N$86,D_命格表!E11+2,0))</f>
        <v>40</v>
      </c>
      <c r="K11">
        <f>IF(ISERROR(VLOOKUP(D11,命格辅助表!$P$76:$U$86,E11+2,0)),0,VLOOKUP(D11,命格辅助表!$P$76:$U$86,E11+2,0))</f>
        <v>20</v>
      </c>
      <c r="L11">
        <v>0</v>
      </c>
      <c r="M11">
        <v>0</v>
      </c>
      <c r="N11">
        <v>8210</v>
      </c>
      <c r="O11">
        <f t="shared" si="6"/>
        <v>1</v>
      </c>
      <c r="P11">
        <f t="shared" si="0"/>
        <v>2</v>
      </c>
      <c r="Q11">
        <f>ROUND((VLOOKUP($A11,命格属性表,13,0)+VLOOKUP($A11,命格属性表,20,0)*($D11-1))*IF(P11&gt;9,1,VLOOKUP(D11,命格辅助表!$S$3:$U$10,3,0)),0)</f>
        <v>36</v>
      </c>
      <c r="R11">
        <f t="shared" si="1"/>
        <v>0</v>
      </c>
      <c r="S11">
        <f>ROUND(IF(R11=0,0,VLOOKUP($A11,命格属性表,15,0)+VLOOKUP($A11,命格属性表,22,0)*($D11-1))*IF(R11&gt;9,1,VLOOKUP(D11,命格辅助表!$S$3:$U$10,3,0)),0)</f>
        <v>0</v>
      </c>
      <c r="T11">
        <f t="shared" si="5"/>
        <v>0</v>
      </c>
      <c r="U11">
        <f t="shared" si="2"/>
        <v>0</v>
      </c>
    </row>
    <row r="12" spans="1:21">
      <c r="A12">
        <v>8210</v>
      </c>
      <c r="B12" t="s">
        <v>304</v>
      </c>
      <c r="C12">
        <f t="shared" si="3"/>
        <v>2</v>
      </c>
      <c r="D12">
        <v>2</v>
      </c>
      <c r="E12">
        <v>0</v>
      </c>
      <c r="F12">
        <v>10</v>
      </c>
      <c r="G12" t="str">
        <f>VLOOKUP(P12,定义数据!$B$14:$C$29,2,0)&amp;"+"&amp;Q12&amp;IF(R12=0,"",","&amp;VLOOKUP(R12,定义数据!$B$14:$C$29,2,0)&amp;"+"&amp;S12)&amp;IF(T12=0,"",","&amp;VLOOKUP(T12,定义数据!$B$14:$C$29,2,0)&amp;"+"&amp;U12)</f>
        <v>攻击+53</v>
      </c>
      <c r="H12">
        <v>0</v>
      </c>
      <c r="I12">
        <f t="shared" si="4"/>
        <v>2</v>
      </c>
      <c r="J12">
        <f>IF(ISERROR(VLOOKUP(D12,命格辅助表!$I$76:$N$86,D_命格表!E12+2,0)),0,VLOOKUP(D12,命格辅助表!$I$76:$N$86,D_命格表!E12+2,0))</f>
        <v>80</v>
      </c>
      <c r="K12">
        <f>IF(ISERROR(VLOOKUP(D12,命格辅助表!$P$76:$U$86,E12+2,0)),0,VLOOKUP(D12,命格辅助表!$P$76:$U$86,E12+2,0))</f>
        <v>60</v>
      </c>
      <c r="L12">
        <v>0</v>
      </c>
      <c r="M12">
        <v>0</v>
      </c>
      <c r="N12">
        <v>8210</v>
      </c>
      <c r="O12">
        <f t="shared" si="6"/>
        <v>1</v>
      </c>
      <c r="P12">
        <f t="shared" si="0"/>
        <v>2</v>
      </c>
      <c r="Q12">
        <f>ROUND((VLOOKUP($A12,命格属性表,13,0)+VLOOKUP($A12,命格属性表,20,0)*($D12-1))*IF(P12&gt;9,1,VLOOKUP(D12,命格辅助表!$S$3:$U$10,3,0)),0)</f>
        <v>53</v>
      </c>
      <c r="R12">
        <f t="shared" si="1"/>
        <v>0</v>
      </c>
      <c r="S12">
        <f>ROUND(IF(R12=0,0,VLOOKUP($A12,命格属性表,15,0)+VLOOKUP($A12,命格属性表,22,0)*($D12-1))*IF(R12&gt;9,1,VLOOKUP(D12,命格辅助表!$S$3:$U$10,3,0)),0)</f>
        <v>0</v>
      </c>
      <c r="T12">
        <f t="shared" si="5"/>
        <v>0</v>
      </c>
      <c r="U12">
        <f t="shared" si="2"/>
        <v>0</v>
      </c>
    </row>
    <row r="13" spans="1:21">
      <c r="A13">
        <v>8210</v>
      </c>
      <c r="B13" t="s">
        <v>304</v>
      </c>
      <c r="C13">
        <f t="shared" si="3"/>
        <v>2</v>
      </c>
      <c r="D13">
        <v>3</v>
      </c>
      <c r="E13">
        <v>0</v>
      </c>
      <c r="F13">
        <v>10</v>
      </c>
      <c r="G13" t="str">
        <f>VLOOKUP(P13,定义数据!$B$14:$C$29,2,0)&amp;"+"&amp;Q13&amp;IF(R13=0,"",","&amp;VLOOKUP(R13,定义数据!$B$14:$C$29,2,0)&amp;"+"&amp;S13)&amp;IF(T13=0,"",","&amp;VLOOKUP(T13,定义数据!$B$14:$C$29,2,0)&amp;"+"&amp;U13)</f>
        <v>攻击+80</v>
      </c>
      <c r="H13">
        <v>0</v>
      </c>
      <c r="I13">
        <f t="shared" si="4"/>
        <v>2</v>
      </c>
      <c r="J13">
        <f>IF(ISERROR(VLOOKUP(D13,命格辅助表!$I$76:$N$86,D_命格表!E13+2,0)),0,VLOOKUP(D13,命格辅助表!$I$76:$N$86,D_命格表!E13+2,0))</f>
        <v>160</v>
      </c>
      <c r="K13">
        <f>IF(ISERROR(VLOOKUP(D13,命格辅助表!$P$76:$U$86,E13+2,0)),0,VLOOKUP(D13,命格辅助表!$P$76:$U$86,E13+2,0))</f>
        <v>140</v>
      </c>
      <c r="L13">
        <v>0</v>
      </c>
      <c r="M13">
        <v>0</v>
      </c>
      <c r="N13">
        <v>8210</v>
      </c>
      <c r="O13">
        <f t="shared" si="6"/>
        <v>1</v>
      </c>
      <c r="P13">
        <f t="shared" si="0"/>
        <v>2</v>
      </c>
      <c r="Q13">
        <f>ROUND((VLOOKUP($A13,命格属性表,13,0)+VLOOKUP($A13,命格属性表,20,0)*($D13-1))*IF(P13&gt;9,1,VLOOKUP(D13,命格辅助表!$S$3:$U$10,3,0)),0)</f>
        <v>80</v>
      </c>
      <c r="R13">
        <f t="shared" si="1"/>
        <v>0</v>
      </c>
      <c r="S13">
        <f>ROUND(IF(R13=0,0,VLOOKUP($A13,命格属性表,15,0)+VLOOKUP($A13,命格属性表,22,0)*($D13-1))*IF(R13&gt;9,1,VLOOKUP(D13,命格辅助表!$S$3:$U$10,3,0)),0)</f>
        <v>0</v>
      </c>
      <c r="T13">
        <f t="shared" si="5"/>
        <v>0</v>
      </c>
      <c r="U13">
        <f t="shared" si="2"/>
        <v>0</v>
      </c>
    </row>
    <row r="14" spans="1:21">
      <c r="A14">
        <v>8210</v>
      </c>
      <c r="B14" t="s">
        <v>304</v>
      </c>
      <c r="C14">
        <f t="shared" si="3"/>
        <v>2</v>
      </c>
      <c r="D14">
        <v>4</v>
      </c>
      <c r="E14">
        <v>0</v>
      </c>
      <c r="F14">
        <v>10</v>
      </c>
      <c r="G14" t="str">
        <f>VLOOKUP(P14,定义数据!$B$14:$C$29,2,0)&amp;"+"&amp;Q14&amp;IF(R14=0,"",","&amp;VLOOKUP(R14,定义数据!$B$14:$C$29,2,0)&amp;"+"&amp;S14)&amp;IF(T14=0,"",","&amp;VLOOKUP(T14,定义数据!$B$14:$C$29,2,0)&amp;"+"&amp;U14)</f>
        <v>攻击+120</v>
      </c>
      <c r="H14">
        <v>0</v>
      </c>
      <c r="I14">
        <f t="shared" si="4"/>
        <v>2</v>
      </c>
      <c r="J14">
        <f>IF(ISERROR(VLOOKUP(D14,命格辅助表!$I$76:$N$86,D_命格表!E14+2,0)),0,VLOOKUP(D14,命格辅助表!$I$76:$N$86,D_命格表!E14+2,0))</f>
        <v>320</v>
      </c>
      <c r="K14">
        <f>IF(ISERROR(VLOOKUP(D14,命格辅助表!$P$76:$U$86,E14+2,0)),0,VLOOKUP(D14,命格辅助表!$P$76:$U$86,E14+2,0))</f>
        <v>300</v>
      </c>
      <c r="L14">
        <v>0</v>
      </c>
      <c r="M14">
        <v>0</v>
      </c>
      <c r="N14">
        <v>8210</v>
      </c>
      <c r="O14">
        <f t="shared" si="6"/>
        <v>1</v>
      </c>
      <c r="P14">
        <f t="shared" si="0"/>
        <v>2</v>
      </c>
      <c r="Q14">
        <f>ROUND((VLOOKUP($A14,命格属性表,13,0)+VLOOKUP($A14,命格属性表,20,0)*($D14-1))*IF(P14&gt;9,1,VLOOKUP(D14,命格辅助表!$S$3:$U$10,3,0)),0)</f>
        <v>120</v>
      </c>
      <c r="R14">
        <f t="shared" si="1"/>
        <v>0</v>
      </c>
      <c r="S14">
        <f>ROUND(IF(R14=0,0,VLOOKUP($A14,命格属性表,15,0)+VLOOKUP($A14,命格属性表,22,0)*($D14-1))*IF(R14&gt;9,1,VLOOKUP(D14,命格辅助表!$S$3:$U$10,3,0)),0)</f>
        <v>0</v>
      </c>
      <c r="T14">
        <f t="shared" si="5"/>
        <v>0</v>
      </c>
      <c r="U14">
        <f t="shared" si="2"/>
        <v>0</v>
      </c>
    </row>
    <row r="15" spans="1:21">
      <c r="A15">
        <v>8210</v>
      </c>
      <c r="B15" t="s">
        <v>304</v>
      </c>
      <c r="C15">
        <f t="shared" si="3"/>
        <v>2</v>
      </c>
      <c r="D15">
        <v>5</v>
      </c>
      <c r="E15">
        <v>0</v>
      </c>
      <c r="F15">
        <v>10</v>
      </c>
      <c r="G15" t="str">
        <f>VLOOKUP(P15,定义数据!$B$14:$C$29,2,0)&amp;"+"&amp;Q15&amp;IF(R15=0,"",","&amp;VLOOKUP(R15,定义数据!$B$14:$C$29,2,0)&amp;"+"&amp;S15)&amp;IF(T15=0,"",","&amp;VLOOKUP(T15,定义数据!$B$14:$C$29,2,0)&amp;"+"&amp;U15)</f>
        <v>攻击+180</v>
      </c>
      <c r="H15">
        <v>0</v>
      </c>
      <c r="I15">
        <f>VLOOKUP($A15,命格属性表,26,0)</f>
        <v>2</v>
      </c>
      <c r="J15">
        <f>IF(ISERROR(VLOOKUP(D15,命格辅助表!$I$76:$N$86,D_命格表!E15+2,0)),0,VLOOKUP(D15,命格辅助表!$I$76:$N$86,D_命格表!E15+2,0))</f>
        <v>640</v>
      </c>
      <c r="K15">
        <f>IF(ISERROR(VLOOKUP(D15,命格辅助表!$P$76:$U$86,E15+2,0)),0,VLOOKUP(D15,命格辅助表!$P$76:$U$86,E15+2,0))</f>
        <v>620</v>
      </c>
      <c r="L15">
        <v>0</v>
      </c>
      <c r="M15">
        <v>0</v>
      </c>
      <c r="N15">
        <v>8210</v>
      </c>
      <c r="O15">
        <f t="shared" si="6"/>
        <v>1</v>
      </c>
      <c r="P15">
        <f t="shared" si="0"/>
        <v>2</v>
      </c>
      <c r="Q15">
        <f>ROUND((VLOOKUP($A15,命格属性表,13,0)+VLOOKUP($A15,命格属性表,20,0)*($D15-1))*IF(P15&gt;9,1,VLOOKUP(D15,命格辅助表!$S$3:$U$10,3,0)),0)</f>
        <v>180</v>
      </c>
      <c r="R15">
        <f t="shared" si="1"/>
        <v>0</v>
      </c>
      <c r="S15">
        <f>ROUND(IF(R15=0,0,VLOOKUP($A15,命格属性表,15,0)+VLOOKUP($A15,命格属性表,22,0)*($D15-1))*IF(R15&gt;9,1,VLOOKUP(D15,命格辅助表!$S$3:$U$10,3,0)),0)</f>
        <v>0</v>
      </c>
      <c r="T15">
        <f t="shared" si="5"/>
        <v>0</v>
      </c>
      <c r="U15">
        <f t="shared" si="2"/>
        <v>0</v>
      </c>
    </row>
    <row r="16" spans="1:21">
      <c r="A16">
        <v>8210</v>
      </c>
      <c r="B16" t="s">
        <v>304</v>
      </c>
      <c r="C16">
        <f t="shared" si="3"/>
        <v>2</v>
      </c>
      <c r="D16">
        <v>6</v>
      </c>
      <c r="E16">
        <v>0</v>
      </c>
      <c r="F16">
        <v>10</v>
      </c>
      <c r="G16" t="str">
        <f>VLOOKUP(P16,定义数据!$B$14:$C$29,2,0)&amp;"+"&amp;Q16&amp;IF(R16=0,"",","&amp;VLOOKUP(R16,定义数据!$B$14:$C$29,2,0)&amp;"+"&amp;S16)&amp;IF(T16=0,"",","&amp;VLOOKUP(T16,定义数据!$B$14:$C$29,2,0)&amp;"+"&amp;U16)</f>
        <v>攻击+270</v>
      </c>
      <c r="H16">
        <v>0</v>
      </c>
      <c r="I16">
        <f t="shared" si="4"/>
        <v>2</v>
      </c>
      <c r="J16">
        <f>IF(ISERROR(VLOOKUP(D16,命格辅助表!$I$76:$N$86,D_命格表!E16+2,0)),0,VLOOKUP(D16,命格辅助表!$I$76:$N$86,D_命格表!E16+2,0))</f>
        <v>1280</v>
      </c>
      <c r="K16">
        <f>IF(ISERROR(VLOOKUP(D16,命格辅助表!$P$76:$U$86,E16+2,0)),0,VLOOKUP(D16,命格辅助表!$P$76:$U$86,E16+2,0))</f>
        <v>1260</v>
      </c>
      <c r="L16">
        <v>0</v>
      </c>
      <c r="M16">
        <v>0</v>
      </c>
      <c r="N16">
        <v>8210</v>
      </c>
      <c r="O16">
        <f t="shared" si="6"/>
        <v>1</v>
      </c>
      <c r="P16">
        <f t="shared" si="0"/>
        <v>2</v>
      </c>
      <c r="Q16">
        <f>ROUND((VLOOKUP($A16,命格属性表,13,0)+VLOOKUP($A16,命格属性表,20,0)*($D16-1))*IF(P16&gt;9,1,VLOOKUP(D16,命格辅助表!$S$3:$U$10,3,0)),0)</f>
        <v>270</v>
      </c>
      <c r="R16">
        <f t="shared" si="1"/>
        <v>0</v>
      </c>
      <c r="S16">
        <f>ROUND(IF(R16=0,0,VLOOKUP($A16,命格属性表,15,0)+VLOOKUP($A16,命格属性表,22,0)*($D16-1))*IF(R16&gt;9,1,VLOOKUP(D16,命格辅助表!$S$3:$U$10,3,0)),0)</f>
        <v>0</v>
      </c>
      <c r="T16">
        <f t="shared" si="5"/>
        <v>0</v>
      </c>
      <c r="U16">
        <f t="shared" si="2"/>
        <v>0</v>
      </c>
    </row>
    <row r="17" spans="1:21">
      <c r="A17">
        <v>8210</v>
      </c>
      <c r="B17" t="s">
        <v>304</v>
      </c>
      <c r="C17">
        <f t="shared" si="3"/>
        <v>2</v>
      </c>
      <c r="D17">
        <v>7</v>
      </c>
      <c r="E17">
        <v>0</v>
      </c>
      <c r="F17">
        <v>10</v>
      </c>
      <c r="G17" t="str">
        <f>VLOOKUP(P17,定义数据!$B$14:$C$29,2,0)&amp;"+"&amp;Q17&amp;IF(R17=0,"",","&amp;VLOOKUP(R17,定义数据!$B$14:$C$29,2,0)&amp;"+"&amp;S17)&amp;IF(T17=0,"",","&amp;VLOOKUP(T17,定义数据!$B$14:$C$29,2,0)&amp;"+"&amp;U17)</f>
        <v>攻击+405</v>
      </c>
      <c r="H17">
        <v>0</v>
      </c>
      <c r="I17">
        <f t="shared" si="4"/>
        <v>2</v>
      </c>
      <c r="J17">
        <f>IF(ISERROR(VLOOKUP(D17,命格辅助表!$I$76:$N$86,D_命格表!E17+2,0)),0,VLOOKUP(D17,命格辅助表!$I$76:$N$86,D_命格表!E17+2,0))</f>
        <v>2560</v>
      </c>
      <c r="K17">
        <f>IF(ISERROR(VLOOKUP(D17,命格辅助表!$P$76:$U$86,E17+2,0)),0,VLOOKUP(D17,命格辅助表!$P$76:$U$86,E17+2,0))</f>
        <v>2540</v>
      </c>
      <c r="L17">
        <v>0</v>
      </c>
      <c r="M17">
        <v>0</v>
      </c>
      <c r="N17">
        <v>8210</v>
      </c>
      <c r="O17">
        <f t="shared" si="6"/>
        <v>1</v>
      </c>
      <c r="P17">
        <f t="shared" si="0"/>
        <v>2</v>
      </c>
      <c r="Q17">
        <f>ROUND((VLOOKUP($A17,命格属性表,13,0)+VLOOKUP($A17,命格属性表,20,0)*($D17-1))*IF(P17&gt;9,1,VLOOKUP(D17,命格辅助表!$S$3:$U$10,3,0)),0)</f>
        <v>405</v>
      </c>
      <c r="R17">
        <f t="shared" si="1"/>
        <v>0</v>
      </c>
      <c r="S17">
        <f>ROUND(IF(R17=0,0,VLOOKUP($A17,命格属性表,15,0)+VLOOKUP($A17,命格属性表,22,0)*($D17-1))*IF(R17&gt;9,1,VLOOKUP(D17,命格辅助表!$S$3:$U$10,3,0)),0)</f>
        <v>0</v>
      </c>
      <c r="T17">
        <f t="shared" si="5"/>
        <v>0</v>
      </c>
      <c r="U17">
        <f t="shared" si="2"/>
        <v>0</v>
      </c>
    </row>
    <row r="18" spans="1:21">
      <c r="A18">
        <v>8210</v>
      </c>
      <c r="B18" t="s">
        <v>304</v>
      </c>
      <c r="C18">
        <f t="shared" si="3"/>
        <v>2</v>
      </c>
      <c r="D18">
        <v>8</v>
      </c>
      <c r="E18">
        <v>0</v>
      </c>
      <c r="F18">
        <v>10</v>
      </c>
      <c r="G18" t="str">
        <f>VLOOKUP(P18,定义数据!$B$14:$C$29,2,0)&amp;"+"&amp;Q18&amp;IF(R18=0,"",","&amp;VLOOKUP(R18,定义数据!$B$14:$C$29,2,0)&amp;"+"&amp;S18)&amp;IF(T18=0,"",","&amp;VLOOKUP(T18,定义数据!$B$14:$C$29,2,0)&amp;"+"&amp;U18)</f>
        <v>攻击+608</v>
      </c>
      <c r="H18">
        <v>0</v>
      </c>
      <c r="I18">
        <f t="shared" si="4"/>
        <v>2</v>
      </c>
      <c r="J18">
        <f>IF(ISERROR(VLOOKUP(D18,命格辅助表!$I$76:$N$86,D_命格表!E18+2,0)),0,VLOOKUP(D18,命格辅助表!$I$76:$N$86,D_命格表!E18+2,0))</f>
        <v>5120</v>
      </c>
      <c r="K18">
        <f>IF(ISERROR(VLOOKUP(D18,命格辅助表!$P$76:$U$86,E18+2,0)),0,VLOOKUP(D18,命格辅助表!$P$76:$U$86,E18+2,0))</f>
        <v>5100</v>
      </c>
      <c r="L18">
        <f>IF(ISERROR(VLOOKUP(D18,命格辅助表!$I$76:$N$86,D_命格表!E18+2,0)),0,VLOOKUP(D18,命格辅助表!$I$76:$N$86,D_命格表!E18+2,0))</f>
        <v>5120</v>
      </c>
      <c r="M18">
        <f>A18+10</f>
        <v>8220</v>
      </c>
      <c r="N18">
        <v>8210</v>
      </c>
      <c r="O18">
        <f t="shared" si="6"/>
        <v>1</v>
      </c>
      <c r="P18">
        <f t="shared" si="0"/>
        <v>2</v>
      </c>
      <c r="Q18">
        <f>ROUND((VLOOKUP($A18,命格属性表,13,0)+VLOOKUP($A18,命格属性表,20,0)*($D18-1))*IF(P18&gt;9,1,VLOOKUP(D18,命格辅助表!$S$3:$U$10,3,0)),0)</f>
        <v>608</v>
      </c>
      <c r="R18">
        <f t="shared" si="1"/>
        <v>0</v>
      </c>
      <c r="S18">
        <f>ROUND(IF(R18=0,0,VLOOKUP($A18,命格属性表,15,0)+VLOOKUP($A18,命格属性表,22,0)*($D18-1))*IF(R18&gt;9,1,VLOOKUP(D18,命格辅助表!$S$3:$U$10,3,0)),0)</f>
        <v>0</v>
      </c>
      <c r="T18">
        <f t="shared" si="5"/>
        <v>0</v>
      </c>
      <c r="U18">
        <f t="shared" si="2"/>
        <v>0</v>
      </c>
    </row>
    <row r="19" spans="1:21">
      <c r="A19">
        <v>8310</v>
      </c>
      <c r="B19" t="s">
        <v>305</v>
      </c>
      <c r="C19">
        <f t="shared" si="3"/>
        <v>3</v>
      </c>
      <c r="D19">
        <v>1</v>
      </c>
      <c r="E19">
        <v>0</v>
      </c>
      <c r="F19">
        <v>10</v>
      </c>
      <c r="G19" t="str">
        <f>VLOOKUP(P19,定义数据!$B$14:$C$29,2,0)&amp;"+"&amp;Q19&amp;IF(R19=0,"",","&amp;VLOOKUP(R19,定义数据!$B$14:$C$29,2,0)&amp;"+"&amp;S19)&amp;IF(T19=0,"",","&amp;VLOOKUP(T19,定义数据!$B$14:$C$29,2,0)&amp;"+"&amp;U19)</f>
        <v>防御+36</v>
      </c>
      <c r="H19">
        <v>0</v>
      </c>
      <c r="I19">
        <f t="shared" si="4"/>
        <v>3</v>
      </c>
      <c r="J19">
        <f>IF(ISERROR(VLOOKUP(D19,命格辅助表!$I$76:$N$86,D_命格表!E19+2,0)),0,VLOOKUP(D19,命格辅助表!$I$76:$N$86,D_命格表!E19+2,0))</f>
        <v>40</v>
      </c>
      <c r="K19">
        <f>IF(ISERROR(VLOOKUP(D19,命格辅助表!$P$76:$U$86,E19+2,0)),0,VLOOKUP(D19,命格辅助表!$P$76:$U$86,E19+2,0))</f>
        <v>20</v>
      </c>
      <c r="L19">
        <v>0</v>
      </c>
      <c r="M19">
        <v>0</v>
      </c>
      <c r="N19">
        <v>8310</v>
      </c>
      <c r="O19">
        <f t="shared" si="6"/>
        <v>1</v>
      </c>
      <c r="P19">
        <f t="shared" si="0"/>
        <v>3</v>
      </c>
      <c r="Q19">
        <f>ROUND((VLOOKUP($A19,命格属性表,13,0)+VLOOKUP($A19,命格属性表,20,0)*($D19-1))*IF(P19&gt;9,1,VLOOKUP(D19,命格辅助表!$S$3:$U$10,3,0)),0)</f>
        <v>36</v>
      </c>
      <c r="R19">
        <f t="shared" si="1"/>
        <v>0</v>
      </c>
      <c r="S19">
        <f>ROUND(IF(R19=0,0,VLOOKUP($A19,命格属性表,15,0)+VLOOKUP($A19,命格属性表,22,0)*($D19-1))*IF(R19&gt;9,1,VLOOKUP(D19,命格辅助表!$S$3:$U$10,3,0)),0)</f>
        <v>0</v>
      </c>
      <c r="T19">
        <f t="shared" si="5"/>
        <v>0</v>
      </c>
      <c r="U19">
        <f t="shared" si="2"/>
        <v>0</v>
      </c>
    </row>
    <row r="20" spans="1:21">
      <c r="A20">
        <v>8310</v>
      </c>
      <c r="B20" t="s">
        <v>305</v>
      </c>
      <c r="C20">
        <f t="shared" si="3"/>
        <v>3</v>
      </c>
      <c r="D20">
        <v>2</v>
      </c>
      <c r="E20">
        <v>0</v>
      </c>
      <c r="F20">
        <v>10</v>
      </c>
      <c r="G20" t="str">
        <f>VLOOKUP(P20,定义数据!$B$14:$C$29,2,0)&amp;"+"&amp;Q20&amp;IF(R20=0,"",","&amp;VLOOKUP(R20,定义数据!$B$14:$C$29,2,0)&amp;"+"&amp;S20)&amp;IF(T20=0,"",","&amp;VLOOKUP(T20,定义数据!$B$14:$C$29,2,0)&amp;"+"&amp;U20)</f>
        <v>防御+53</v>
      </c>
      <c r="H20">
        <v>0</v>
      </c>
      <c r="I20">
        <f t="shared" si="4"/>
        <v>3</v>
      </c>
      <c r="J20">
        <f>IF(ISERROR(VLOOKUP(D20,命格辅助表!$I$76:$N$86,D_命格表!E20+2,0)),0,VLOOKUP(D20,命格辅助表!$I$76:$N$86,D_命格表!E20+2,0))</f>
        <v>80</v>
      </c>
      <c r="K20">
        <f>IF(ISERROR(VLOOKUP(D20,命格辅助表!$P$76:$U$86,E20+2,0)),0,VLOOKUP(D20,命格辅助表!$P$76:$U$86,E20+2,0))</f>
        <v>60</v>
      </c>
      <c r="L20">
        <v>0</v>
      </c>
      <c r="M20">
        <v>0</v>
      </c>
      <c r="N20">
        <v>8310</v>
      </c>
      <c r="O20">
        <f t="shared" si="6"/>
        <v>1</v>
      </c>
      <c r="P20">
        <f t="shared" si="0"/>
        <v>3</v>
      </c>
      <c r="Q20">
        <f>ROUND((VLOOKUP($A20,命格属性表,13,0)+VLOOKUP($A20,命格属性表,20,0)*($D20-1))*IF(P20&gt;9,1,VLOOKUP(D20,命格辅助表!$S$3:$U$10,3,0)),0)</f>
        <v>53</v>
      </c>
      <c r="R20">
        <f t="shared" si="1"/>
        <v>0</v>
      </c>
      <c r="S20">
        <f>ROUND(IF(R20=0,0,VLOOKUP($A20,命格属性表,15,0)+VLOOKUP($A20,命格属性表,22,0)*($D20-1))*IF(R20&gt;9,1,VLOOKUP(D20,命格辅助表!$S$3:$U$10,3,0)),0)</f>
        <v>0</v>
      </c>
      <c r="T20">
        <f t="shared" si="5"/>
        <v>0</v>
      </c>
      <c r="U20">
        <f t="shared" si="2"/>
        <v>0</v>
      </c>
    </row>
    <row r="21" spans="1:21">
      <c r="A21">
        <v>8310</v>
      </c>
      <c r="B21" t="s">
        <v>305</v>
      </c>
      <c r="C21">
        <f t="shared" si="3"/>
        <v>3</v>
      </c>
      <c r="D21">
        <v>3</v>
      </c>
      <c r="E21">
        <v>0</v>
      </c>
      <c r="F21">
        <v>10</v>
      </c>
      <c r="G21" t="str">
        <f>VLOOKUP(P21,定义数据!$B$14:$C$29,2,0)&amp;"+"&amp;Q21&amp;IF(R21=0,"",","&amp;VLOOKUP(R21,定义数据!$B$14:$C$29,2,0)&amp;"+"&amp;S21)&amp;IF(T21=0,"",","&amp;VLOOKUP(T21,定义数据!$B$14:$C$29,2,0)&amp;"+"&amp;U21)</f>
        <v>防御+80</v>
      </c>
      <c r="H21">
        <v>0</v>
      </c>
      <c r="I21">
        <f t="shared" si="4"/>
        <v>3</v>
      </c>
      <c r="J21">
        <f>IF(ISERROR(VLOOKUP(D21,命格辅助表!$I$76:$N$86,D_命格表!E21+2,0)),0,VLOOKUP(D21,命格辅助表!$I$76:$N$86,D_命格表!E21+2,0))</f>
        <v>160</v>
      </c>
      <c r="K21">
        <f>IF(ISERROR(VLOOKUP(D21,命格辅助表!$P$76:$U$86,E21+2,0)),0,VLOOKUP(D21,命格辅助表!$P$76:$U$86,E21+2,0))</f>
        <v>140</v>
      </c>
      <c r="L21">
        <v>0</v>
      </c>
      <c r="M21">
        <v>0</v>
      </c>
      <c r="N21">
        <v>8310</v>
      </c>
      <c r="O21">
        <f t="shared" si="6"/>
        <v>1</v>
      </c>
      <c r="P21">
        <f t="shared" si="0"/>
        <v>3</v>
      </c>
      <c r="Q21">
        <f>ROUND((VLOOKUP($A21,命格属性表,13,0)+VLOOKUP($A21,命格属性表,20,0)*($D21-1))*IF(P21&gt;9,1,VLOOKUP(D21,命格辅助表!$S$3:$U$10,3,0)),0)</f>
        <v>80</v>
      </c>
      <c r="R21">
        <f t="shared" si="1"/>
        <v>0</v>
      </c>
      <c r="S21">
        <f>ROUND(IF(R21=0,0,VLOOKUP($A21,命格属性表,15,0)+VLOOKUP($A21,命格属性表,22,0)*($D21-1))*IF(R21&gt;9,1,VLOOKUP(D21,命格辅助表!$S$3:$U$10,3,0)),0)</f>
        <v>0</v>
      </c>
      <c r="T21">
        <f t="shared" si="5"/>
        <v>0</v>
      </c>
      <c r="U21">
        <f t="shared" si="2"/>
        <v>0</v>
      </c>
    </row>
    <row r="22" spans="1:21">
      <c r="A22">
        <v>8310</v>
      </c>
      <c r="B22" t="s">
        <v>305</v>
      </c>
      <c r="C22">
        <f t="shared" si="3"/>
        <v>3</v>
      </c>
      <c r="D22">
        <v>4</v>
      </c>
      <c r="E22">
        <v>0</v>
      </c>
      <c r="F22">
        <v>10</v>
      </c>
      <c r="G22" t="str">
        <f>VLOOKUP(P22,定义数据!$B$14:$C$29,2,0)&amp;"+"&amp;Q22&amp;IF(R22=0,"",","&amp;VLOOKUP(R22,定义数据!$B$14:$C$29,2,0)&amp;"+"&amp;S22)&amp;IF(T22=0,"",","&amp;VLOOKUP(T22,定义数据!$B$14:$C$29,2,0)&amp;"+"&amp;U22)</f>
        <v>防御+120</v>
      </c>
      <c r="H22">
        <v>0</v>
      </c>
      <c r="I22">
        <f t="shared" si="4"/>
        <v>3</v>
      </c>
      <c r="J22">
        <f>IF(ISERROR(VLOOKUP(D22,命格辅助表!$I$76:$N$86,D_命格表!E22+2,0)),0,VLOOKUP(D22,命格辅助表!$I$76:$N$86,D_命格表!E22+2,0))</f>
        <v>320</v>
      </c>
      <c r="K22">
        <f>IF(ISERROR(VLOOKUP(D22,命格辅助表!$P$76:$U$86,E22+2,0)),0,VLOOKUP(D22,命格辅助表!$P$76:$U$86,E22+2,0))</f>
        <v>300</v>
      </c>
      <c r="L22">
        <v>0</v>
      </c>
      <c r="M22">
        <v>0</v>
      </c>
      <c r="N22">
        <v>8310</v>
      </c>
      <c r="O22">
        <f t="shared" si="6"/>
        <v>1</v>
      </c>
      <c r="P22">
        <f t="shared" si="0"/>
        <v>3</v>
      </c>
      <c r="Q22">
        <f>ROUND((VLOOKUP($A22,命格属性表,13,0)+VLOOKUP($A22,命格属性表,20,0)*($D22-1))*IF(P22&gt;9,1,VLOOKUP(D22,命格辅助表!$S$3:$U$10,3,0)),0)</f>
        <v>120</v>
      </c>
      <c r="R22">
        <f t="shared" si="1"/>
        <v>0</v>
      </c>
      <c r="S22">
        <f>ROUND(IF(R22=0,0,VLOOKUP($A22,命格属性表,15,0)+VLOOKUP($A22,命格属性表,22,0)*($D22-1))*IF(R22&gt;9,1,VLOOKUP(D22,命格辅助表!$S$3:$U$10,3,0)),0)</f>
        <v>0</v>
      </c>
      <c r="T22">
        <f t="shared" si="5"/>
        <v>0</v>
      </c>
      <c r="U22">
        <f t="shared" si="2"/>
        <v>0</v>
      </c>
    </row>
    <row r="23" spans="1:21">
      <c r="A23">
        <v>8310</v>
      </c>
      <c r="B23" t="s">
        <v>305</v>
      </c>
      <c r="C23">
        <f t="shared" si="3"/>
        <v>3</v>
      </c>
      <c r="D23">
        <v>5</v>
      </c>
      <c r="E23">
        <v>0</v>
      </c>
      <c r="F23">
        <v>10</v>
      </c>
      <c r="G23" t="str">
        <f>VLOOKUP(P23,定义数据!$B$14:$C$29,2,0)&amp;"+"&amp;Q23&amp;IF(R23=0,"",","&amp;VLOOKUP(R23,定义数据!$B$14:$C$29,2,0)&amp;"+"&amp;S23)&amp;IF(T23=0,"",","&amp;VLOOKUP(T23,定义数据!$B$14:$C$29,2,0)&amp;"+"&amp;U23)</f>
        <v>防御+180</v>
      </c>
      <c r="H23">
        <v>0</v>
      </c>
      <c r="I23">
        <f t="shared" si="4"/>
        <v>3</v>
      </c>
      <c r="J23">
        <f>IF(ISERROR(VLOOKUP(D23,命格辅助表!$I$76:$N$86,D_命格表!E23+2,0)),0,VLOOKUP(D23,命格辅助表!$I$76:$N$86,D_命格表!E23+2,0))</f>
        <v>640</v>
      </c>
      <c r="K23">
        <f>IF(ISERROR(VLOOKUP(D23,命格辅助表!$P$76:$U$86,E23+2,0)),0,VLOOKUP(D23,命格辅助表!$P$76:$U$86,E23+2,0))</f>
        <v>620</v>
      </c>
      <c r="L23">
        <v>0</v>
      </c>
      <c r="M23">
        <v>0</v>
      </c>
      <c r="N23">
        <v>8310</v>
      </c>
      <c r="O23">
        <f t="shared" si="6"/>
        <v>1</v>
      </c>
      <c r="P23">
        <f t="shared" si="0"/>
        <v>3</v>
      </c>
      <c r="Q23">
        <f>ROUND((VLOOKUP($A23,命格属性表,13,0)+VLOOKUP($A23,命格属性表,20,0)*($D23-1))*IF(P23&gt;9,1,VLOOKUP(D23,命格辅助表!$S$3:$U$10,3,0)),0)</f>
        <v>180</v>
      </c>
      <c r="R23">
        <f t="shared" si="1"/>
        <v>0</v>
      </c>
      <c r="S23">
        <f>ROUND(IF(R23=0,0,VLOOKUP($A23,命格属性表,15,0)+VLOOKUP($A23,命格属性表,22,0)*($D23-1))*IF(R23&gt;9,1,VLOOKUP(D23,命格辅助表!$S$3:$U$10,3,0)),0)</f>
        <v>0</v>
      </c>
      <c r="T23">
        <f t="shared" si="5"/>
        <v>0</v>
      </c>
      <c r="U23">
        <f t="shared" si="2"/>
        <v>0</v>
      </c>
    </row>
    <row r="24" spans="1:21">
      <c r="A24">
        <v>8310</v>
      </c>
      <c r="B24" t="s">
        <v>305</v>
      </c>
      <c r="C24">
        <f t="shared" si="3"/>
        <v>3</v>
      </c>
      <c r="D24">
        <v>6</v>
      </c>
      <c r="E24">
        <v>0</v>
      </c>
      <c r="F24">
        <v>10</v>
      </c>
      <c r="G24" t="str">
        <f>VLOOKUP(P24,定义数据!$B$14:$C$29,2,0)&amp;"+"&amp;Q24&amp;IF(R24=0,"",","&amp;VLOOKUP(R24,定义数据!$B$14:$C$29,2,0)&amp;"+"&amp;S24)&amp;IF(T24=0,"",","&amp;VLOOKUP(T24,定义数据!$B$14:$C$29,2,0)&amp;"+"&amp;U24)</f>
        <v>防御+270</v>
      </c>
      <c r="H24">
        <v>0</v>
      </c>
      <c r="I24">
        <f t="shared" si="4"/>
        <v>3</v>
      </c>
      <c r="J24">
        <f>IF(ISERROR(VLOOKUP(D24,命格辅助表!$I$76:$N$86,D_命格表!E24+2,0)),0,VLOOKUP(D24,命格辅助表!$I$76:$N$86,D_命格表!E24+2,0))</f>
        <v>1280</v>
      </c>
      <c r="K24">
        <f>IF(ISERROR(VLOOKUP(D24,命格辅助表!$P$76:$U$86,E24+2,0)),0,VLOOKUP(D24,命格辅助表!$P$76:$U$86,E24+2,0))</f>
        <v>1260</v>
      </c>
      <c r="L24">
        <v>0</v>
      </c>
      <c r="M24">
        <v>0</v>
      </c>
      <c r="N24">
        <v>8310</v>
      </c>
      <c r="O24">
        <f t="shared" si="6"/>
        <v>1</v>
      </c>
      <c r="P24">
        <f t="shared" si="0"/>
        <v>3</v>
      </c>
      <c r="Q24">
        <f>ROUND((VLOOKUP($A24,命格属性表,13,0)+VLOOKUP($A24,命格属性表,20,0)*($D24-1))*IF(P24&gt;9,1,VLOOKUP(D24,命格辅助表!$S$3:$U$10,3,0)),0)</f>
        <v>270</v>
      </c>
      <c r="R24">
        <f t="shared" si="1"/>
        <v>0</v>
      </c>
      <c r="S24">
        <f>ROUND(IF(R24=0,0,VLOOKUP($A24,命格属性表,15,0)+VLOOKUP($A24,命格属性表,22,0)*($D24-1))*IF(R24&gt;9,1,VLOOKUP(D24,命格辅助表!$S$3:$U$10,3,0)),0)</f>
        <v>0</v>
      </c>
      <c r="T24">
        <f t="shared" si="5"/>
        <v>0</v>
      </c>
      <c r="U24">
        <f t="shared" si="2"/>
        <v>0</v>
      </c>
    </row>
    <row r="25" spans="1:21">
      <c r="A25">
        <v>8310</v>
      </c>
      <c r="B25" t="s">
        <v>305</v>
      </c>
      <c r="C25">
        <f t="shared" si="3"/>
        <v>3</v>
      </c>
      <c r="D25">
        <v>7</v>
      </c>
      <c r="E25">
        <v>0</v>
      </c>
      <c r="F25">
        <v>10</v>
      </c>
      <c r="G25" t="str">
        <f>VLOOKUP(P25,定义数据!$B$14:$C$29,2,0)&amp;"+"&amp;Q25&amp;IF(R25=0,"",","&amp;VLOOKUP(R25,定义数据!$B$14:$C$29,2,0)&amp;"+"&amp;S25)&amp;IF(T25=0,"",","&amp;VLOOKUP(T25,定义数据!$B$14:$C$29,2,0)&amp;"+"&amp;U25)</f>
        <v>防御+405</v>
      </c>
      <c r="H25">
        <v>0</v>
      </c>
      <c r="I25">
        <f t="shared" si="4"/>
        <v>3</v>
      </c>
      <c r="J25">
        <f>IF(ISERROR(VLOOKUP(D25,命格辅助表!$I$76:$N$86,D_命格表!E25+2,0)),0,VLOOKUP(D25,命格辅助表!$I$76:$N$86,D_命格表!E25+2,0))</f>
        <v>2560</v>
      </c>
      <c r="K25">
        <f>IF(ISERROR(VLOOKUP(D25,命格辅助表!$P$76:$U$86,E25+2,0)),0,VLOOKUP(D25,命格辅助表!$P$76:$U$86,E25+2,0))</f>
        <v>2540</v>
      </c>
      <c r="L25">
        <v>0</v>
      </c>
      <c r="M25">
        <v>0</v>
      </c>
      <c r="N25">
        <v>8310</v>
      </c>
      <c r="O25">
        <f t="shared" si="6"/>
        <v>1</v>
      </c>
      <c r="P25">
        <f t="shared" si="0"/>
        <v>3</v>
      </c>
      <c r="Q25">
        <f>ROUND((VLOOKUP($A25,命格属性表,13,0)+VLOOKUP($A25,命格属性表,20,0)*($D25-1))*IF(P25&gt;9,1,VLOOKUP(D25,命格辅助表!$S$3:$U$10,3,0)),0)</f>
        <v>405</v>
      </c>
      <c r="R25">
        <f t="shared" si="1"/>
        <v>0</v>
      </c>
      <c r="S25">
        <f>ROUND(IF(R25=0,0,VLOOKUP($A25,命格属性表,15,0)+VLOOKUP($A25,命格属性表,22,0)*($D25-1))*IF(R25&gt;9,1,VLOOKUP(D25,命格辅助表!$S$3:$U$10,3,0)),0)</f>
        <v>0</v>
      </c>
      <c r="T25">
        <f t="shared" si="5"/>
        <v>0</v>
      </c>
      <c r="U25">
        <f t="shared" si="2"/>
        <v>0</v>
      </c>
    </row>
    <row r="26" spans="1:21">
      <c r="A26">
        <v>8310</v>
      </c>
      <c r="B26" t="s">
        <v>305</v>
      </c>
      <c r="C26">
        <f t="shared" si="3"/>
        <v>3</v>
      </c>
      <c r="D26">
        <v>8</v>
      </c>
      <c r="E26">
        <v>0</v>
      </c>
      <c r="F26">
        <v>10</v>
      </c>
      <c r="G26" t="str">
        <f>VLOOKUP(P26,定义数据!$B$14:$C$29,2,0)&amp;"+"&amp;Q26&amp;IF(R26=0,"",","&amp;VLOOKUP(R26,定义数据!$B$14:$C$29,2,0)&amp;"+"&amp;S26)&amp;IF(T26=0,"",","&amp;VLOOKUP(T26,定义数据!$B$14:$C$29,2,0)&amp;"+"&amp;U26)</f>
        <v>防御+608</v>
      </c>
      <c r="H26">
        <v>0</v>
      </c>
      <c r="I26">
        <f t="shared" si="4"/>
        <v>3</v>
      </c>
      <c r="J26">
        <f>IF(ISERROR(VLOOKUP(D26,命格辅助表!$I$76:$N$86,D_命格表!E26+2,0)),0,VLOOKUP(D26,命格辅助表!$I$76:$N$86,D_命格表!E26+2,0))</f>
        <v>5120</v>
      </c>
      <c r="K26">
        <f>IF(ISERROR(VLOOKUP(D26,命格辅助表!$P$76:$U$86,E26+2,0)),0,VLOOKUP(D26,命格辅助表!$P$76:$U$86,E26+2,0))</f>
        <v>5100</v>
      </c>
      <c r="L26">
        <f>IF(ISERROR(VLOOKUP(D26,命格辅助表!$I$76:$N$86,D_命格表!E26+2,0)),0,VLOOKUP(D26,命格辅助表!$I$76:$N$86,D_命格表!E26+2,0))</f>
        <v>5120</v>
      </c>
      <c r="M26">
        <f>A26+10</f>
        <v>8320</v>
      </c>
      <c r="N26">
        <v>8310</v>
      </c>
      <c r="O26">
        <f t="shared" si="6"/>
        <v>1</v>
      </c>
      <c r="P26">
        <f t="shared" si="0"/>
        <v>3</v>
      </c>
      <c r="Q26">
        <f>ROUND((VLOOKUP($A26,命格属性表,13,0)+VLOOKUP($A26,命格属性表,20,0)*($D26-1))*IF(P26&gt;9,1,VLOOKUP(D26,命格辅助表!$S$3:$U$10,3,0)),0)</f>
        <v>608</v>
      </c>
      <c r="R26">
        <f t="shared" si="1"/>
        <v>0</v>
      </c>
      <c r="S26">
        <f>ROUND(IF(R26=0,0,VLOOKUP($A26,命格属性表,15,0)+VLOOKUP($A26,命格属性表,22,0)*($D26-1))*IF(R26&gt;9,1,VLOOKUP(D26,命格辅助表!$S$3:$U$10,3,0)),0)</f>
        <v>0</v>
      </c>
      <c r="T26">
        <f t="shared" si="5"/>
        <v>0</v>
      </c>
      <c r="U26">
        <f t="shared" si="2"/>
        <v>0</v>
      </c>
    </row>
    <row r="27" spans="1:21">
      <c r="A27">
        <v>8120</v>
      </c>
      <c r="B27" t="s">
        <v>306</v>
      </c>
      <c r="C27">
        <f t="shared" si="3"/>
        <v>1</v>
      </c>
      <c r="D27">
        <v>1</v>
      </c>
      <c r="E27">
        <v>1</v>
      </c>
      <c r="F27">
        <v>10</v>
      </c>
      <c r="G27" t="str">
        <f>VLOOKUP(P27,定义数据!$B$14:$C$29,2,0)&amp;"+"&amp;Q27&amp;IF(R27=0,"",","&amp;VLOOKUP(R27,定义数据!$B$14:$C$29,2,0)&amp;"+"&amp;S27)&amp;IF(T27=0,"",","&amp;VLOOKUP(T27,定义数据!$B$14:$C$29,2,0)&amp;"+"&amp;U27)</f>
        <v>生命+1606</v>
      </c>
      <c r="H27">
        <v>0</v>
      </c>
      <c r="I27">
        <f t="shared" si="4"/>
        <v>1</v>
      </c>
      <c r="J27">
        <f>IF(ISERROR(VLOOKUP(D27,命格辅助表!$I$76:$N$86,D_命格表!E27+2,0)),0,VLOOKUP(D27,命格辅助表!$I$76:$N$86,D_命格表!E27+2,0))</f>
        <v>80</v>
      </c>
      <c r="K27">
        <f>IF(ISERROR(VLOOKUP(D27,命格辅助表!$P$76:$U$86,E27+2,0)),0,VLOOKUP(D27,命格辅助表!$P$76:$U$86,E27+2,0))</f>
        <v>40</v>
      </c>
      <c r="L27">
        <v>0</v>
      </c>
      <c r="M27">
        <v>0</v>
      </c>
      <c r="N27">
        <v>8120</v>
      </c>
      <c r="O27">
        <f t="shared" si="6"/>
        <v>1</v>
      </c>
      <c r="P27">
        <f t="shared" si="0"/>
        <v>1</v>
      </c>
      <c r="Q27">
        <f>ROUND((VLOOKUP($A27,命格属性表,13,0)+VLOOKUP($A27,命格属性表,20,0)*($D27-1))*IF(P27&gt;9,1,VLOOKUP(D27,命格辅助表!$S$3:$U$10,3,0)),0)</f>
        <v>1606</v>
      </c>
      <c r="R27">
        <f t="shared" si="1"/>
        <v>0</v>
      </c>
      <c r="S27">
        <f>ROUND(IF(R27=0,0,VLOOKUP($A27,命格属性表,15,0)+VLOOKUP($A27,命格属性表,22,0)*($D27-1))*IF(R27&gt;9,1,VLOOKUP(D27,命格辅助表!$S$3:$U$10,3,0)),0)</f>
        <v>0</v>
      </c>
      <c r="T27">
        <f t="shared" si="5"/>
        <v>0</v>
      </c>
      <c r="U27">
        <f t="shared" si="2"/>
        <v>0</v>
      </c>
    </row>
    <row r="28" spans="1:21">
      <c r="A28">
        <v>8120</v>
      </c>
      <c r="B28" t="s">
        <v>306</v>
      </c>
      <c r="C28">
        <f t="shared" si="3"/>
        <v>1</v>
      </c>
      <c r="D28">
        <v>2</v>
      </c>
      <c r="E28">
        <v>1</v>
      </c>
      <c r="F28">
        <v>10</v>
      </c>
      <c r="G28" t="str">
        <f>VLOOKUP(P28,定义数据!$B$14:$C$29,2,0)&amp;"+"&amp;Q28&amp;IF(R28=0,"",","&amp;VLOOKUP(R28,定义数据!$B$14:$C$29,2,0)&amp;"+"&amp;S28)&amp;IF(T28=0,"",","&amp;VLOOKUP(T28,定义数据!$B$14:$C$29,2,0)&amp;"+"&amp;U28)</f>
        <v>生命+2408</v>
      </c>
      <c r="H28">
        <v>0</v>
      </c>
      <c r="I28">
        <f t="shared" si="4"/>
        <v>1</v>
      </c>
      <c r="J28">
        <f>IF(ISERROR(VLOOKUP(D28,命格辅助表!$I$76:$N$86,D_命格表!E28+2,0)),0,VLOOKUP(D28,命格辅助表!$I$76:$N$86,D_命格表!E28+2,0))</f>
        <v>160</v>
      </c>
      <c r="K28">
        <f>IF(ISERROR(VLOOKUP(D28,命格辅助表!$P$76:$U$86,E28+2,0)),0,VLOOKUP(D28,命格辅助表!$P$76:$U$86,E28+2,0))</f>
        <v>120</v>
      </c>
      <c r="L28">
        <v>0</v>
      </c>
      <c r="M28">
        <v>0</v>
      </c>
      <c r="N28">
        <v>8120</v>
      </c>
      <c r="O28">
        <f t="shared" si="6"/>
        <v>1</v>
      </c>
      <c r="P28">
        <f t="shared" si="0"/>
        <v>1</v>
      </c>
      <c r="Q28">
        <f>ROUND((VLOOKUP($A28,命格属性表,13,0)+VLOOKUP($A28,命格属性表,20,0)*($D28-1))*IF(P28&gt;9,1,VLOOKUP(D28,命格辅助表!$S$3:$U$10,3,0)),0)</f>
        <v>2408</v>
      </c>
      <c r="R28">
        <f t="shared" si="1"/>
        <v>0</v>
      </c>
      <c r="S28">
        <f>ROUND(IF(R28=0,0,VLOOKUP($A28,命格属性表,15,0)+VLOOKUP($A28,命格属性表,22,0)*($D28-1))*IF(R28&gt;9,1,VLOOKUP(D28,命格辅助表!$S$3:$U$10,3,0)),0)</f>
        <v>0</v>
      </c>
      <c r="T28">
        <f t="shared" si="5"/>
        <v>0</v>
      </c>
      <c r="U28">
        <f t="shared" si="2"/>
        <v>0</v>
      </c>
    </row>
    <row r="29" spans="1:21">
      <c r="A29">
        <v>8120</v>
      </c>
      <c r="B29" t="s">
        <v>306</v>
      </c>
      <c r="C29">
        <f t="shared" si="3"/>
        <v>1</v>
      </c>
      <c r="D29">
        <v>3</v>
      </c>
      <c r="E29">
        <v>1</v>
      </c>
      <c r="F29">
        <v>10</v>
      </c>
      <c r="G29" t="str">
        <f>VLOOKUP(P29,定义数据!$B$14:$C$29,2,0)&amp;"+"&amp;Q29&amp;IF(R29=0,"",","&amp;VLOOKUP(R29,定义数据!$B$14:$C$29,2,0)&amp;"+"&amp;S29)&amp;IF(T29=0,"",","&amp;VLOOKUP(T29,定义数据!$B$14:$C$29,2,0)&amp;"+"&amp;U29)</f>
        <v>生命+3612</v>
      </c>
      <c r="H29">
        <v>0</v>
      </c>
      <c r="I29">
        <f t="shared" si="4"/>
        <v>1</v>
      </c>
      <c r="J29">
        <f>IF(ISERROR(VLOOKUP(D29,命格辅助表!$I$76:$N$86,D_命格表!E29+2,0)),0,VLOOKUP(D29,命格辅助表!$I$76:$N$86,D_命格表!E29+2,0))</f>
        <v>320</v>
      </c>
      <c r="K29">
        <f>IF(ISERROR(VLOOKUP(D29,命格辅助表!$P$76:$U$86,E29+2,0)),0,VLOOKUP(D29,命格辅助表!$P$76:$U$86,E29+2,0))</f>
        <v>280</v>
      </c>
      <c r="L29">
        <v>0</v>
      </c>
      <c r="M29">
        <v>0</v>
      </c>
      <c r="N29">
        <v>8120</v>
      </c>
      <c r="O29">
        <f t="shared" si="6"/>
        <v>1</v>
      </c>
      <c r="P29">
        <f t="shared" si="0"/>
        <v>1</v>
      </c>
      <c r="Q29">
        <f>ROUND((VLOOKUP($A29,命格属性表,13,0)+VLOOKUP($A29,命格属性表,20,0)*($D29-1))*IF(P29&gt;9,1,VLOOKUP(D29,命格辅助表!$S$3:$U$10,3,0)),0)</f>
        <v>3612</v>
      </c>
      <c r="R29">
        <f t="shared" si="1"/>
        <v>0</v>
      </c>
      <c r="S29">
        <f>ROUND(IF(R29=0,0,VLOOKUP($A29,命格属性表,15,0)+VLOOKUP($A29,命格属性表,22,0)*($D29-1))*IF(R29&gt;9,1,VLOOKUP(D29,命格辅助表!$S$3:$U$10,3,0)),0)</f>
        <v>0</v>
      </c>
      <c r="T29">
        <f t="shared" si="5"/>
        <v>0</v>
      </c>
      <c r="U29">
        <f t="shared" si="2"/>
        <v>0</v>
      </c>
    </row>
    <row r="30" spans="1:21">
      <c r="A30">
        <v>8120</v>
      </c>
      <c r="B30" t="s">
        <v>306</v>
      </c>
      <c r="C30">
        <f t="shared" si="3"/>
        <v>1</v>
      </c>
      <c r="D30">
        <v>4</v>
      </c>
      <c r="E30">
        <v>1</v>
      </c>
      <c r="F30">
        <v>10</v>
      </c>
      <c r="G30" t="str">
        <f>VLOOKUP(P30,定义数据!$B$14:$C$29,2,0)&amp;"+"&amp;Q30&amp;IF(R30=0,"",","&amp;VLOOKUP(R30,定义数据!$B$14:$C$29,2,0)&amp;"+"&amp;S30)&amp;IF(T30=0,"",","&amp;VLOOKUP(T30,定义数据!$B$14:$C$29,2,0)&amp;"+"&amp;U30)</f>
        <v>生命+5419</v>
      </c>
      <c r="H30">
        <v>0</v>
      </c>
      <c r="I30">
        <f t="shared" si="4"/>
        <v>1</v>
      </c>
      <c r="J30">
        <f>IF(ISERROR(VLOOKUP(D30,命格辅助表!$I$76:$N$86,D_命格表!E30+2,0)),0,VLOOKUP(D30,命格辅助表!$I$76:$N$86,D_命格表!E30+2,0))</f>
        <v>640</v>
      </c>
      <c r="K30">
        <f>IF(ISERROR(VLOOKUP(D30,命格辅助表!$P$76:$U$86,E30+2,0)),0,VLOOKUP(D30,命格辅助表!$P$76:$U$86,E30+2,0))</f>
        <v>600</v>
      </c>
      <c r="L30">
        <v>0</v>
      </c>
      <c r="M30">
        <v>0</v>
      </c>
      <c r="N30">
        <v>8120</v>
      </c>
      <c r="O30">
        <f t="shared" si="6"/>
        <v>1</v>
      </c>
      <c r="P30">
        <f t="shared" si="0"/>
        <v>1</v>
      </c>
      <c r="Q30">
        <f>ROUND((VLOOKUP($A30,命格属性表,13,0)+VLOOKUP($A30,命格属性表,20,0)*($D30-1))*IF(P30&gt;9,1,VLOOKUP(D30,命格辅助表!$S$3:$U$10,3,0)),0)</f>
        <v>5419</v>
      </c>
      <c r="R30">
        <f t="shared" si="1"/>
        <v>0</v>
      </c>
      <c r="S30">
        <f>ROUND(IF(R30=0,0,VLOOKUP($A30,命格属性表,15,0)+VLOOKUP($A30,命格属性表,22,0)*($D30-1))*IF(R30&gt;9,1,VLOOKUP(D30,命格辅助表!$S$3:$U$10,3,0)),0)</f>
        <v>0</v>
      </c>
      <c r="T30">
        <f t="shared" si="5"/>
        <v>0</v>
      </c>
      <c r="U30">
        <f t="shared" si="2"/>
        <v>0</v>
      </c>
    </row>
    <row r="31" spans="1:21">
      <c r="A31">
        <v>8120</v>
      </c>
      <c r="B31" t="s">
        <v>306</v>
      </c>
      <c r="C31">
        <f t="shared" si="3"/>
        <v>1</v>
      </c>
      <c r="D31">
        <v>5</v>
      </c>
      <c r="E31">
        <v>1</v>
      </c>
      <c r="F31">
        <v>10</v>
      </c>
      <c r="G31" t="str">
        <f>VLOOKUP(P31,定义数据!$B$14:$C$29,2,0)&amp;"+"&amp;Q31&amp;IF(R31=0,"",","&amp;VLOOKUP(R31,定义数据!$B$14:$C$29,2,0)&amp;"+"&amp;S31)&amp;IF(T31=0,"",","&amp;VLOOKUP(T31,定义数据!$B$14:$C$29,2,0)&amp;"+"&amp;U31)</f>
        <v>生命+8128</v>
      </c>
      <c r="H31">
        <v>0</v>
      </c>
      <c r="I31">
        <f t="shared" si="4"/>
        <v>1</v>
      </c>
      <c r="J31">
        <f>IF(ISERROR(VLOOKUP(D31,命格辅助表!$I$76:$N$86,D_命格表!E31+2,0)),0,VLOOKUP(D31,命格辅助表!$I$76:$N$86,D_命格表!E31+2,0))</f>
        <v>1280</v>
      </c>
      <c r="K31">
        <f>IF(ISERROR(VLOOKUP(D31,命格辅助表!$P$76:$U$86,E31+2,0)),0,VLOOKUP(D31,命格辅助表!$P$76:$U$86,E31+2,0))</f>
        <v>1240</v>
      </c>
      <c r="L31">
        <v>0</v>
      </c>
      <c r="M31">
        <v>0</v>
      </c>
      <c r="N31">
        <v>8120</v>
      </c>
      <c r="O31">
        <f t="shared" si="6"/>
        <v>1</v>
      </c>
      <c r="P31">
        <f t="shared" si="0"/>
        <v>1</v>
      </c>
      <c r="Q31">
        <f>ROUND((VLOOKUP($A31,命格属性表,13,0)+VLOOKUP($A31,命格属性表,20,0)*($D31-1))*IF(P31&gt;9,1,VLOOKUP(D31,命格辅助表!$S$3:$U$10,3,0)),0)</f>
        <v>8128</v>
      </c>
      <c r="R31">
        <f t="shared" si="1"/>
        <v>0</v>
      </c>
      <c r="S31">
        <f>ROUND(IF(R31=0,0,VLOOKUP($A31,命格属性表,15,0)+VLOOKUP($A31,命格属性表,22,0)*($D31-1))*IF(R31&gt;9,1,VLOOKUP(D31,命格辅助表!$S$3:$U$10,3,0)),0)</f>
        <v>0</v>
      </c>
      <c r="T31">
        <f t="shared" si="5"/>
        <v>0</v>
      </c>
      <c r="U31">
        <f t="shared" si="2"/>
        <v>0</v>
      </c>
    </row>
    <row r="32" spans="1:21">
      <c r="A32">
        <v>8120</v>
      </c>
      <c r="B32" t="s">
        <v>306</v>
      </c>
      <c r="C32">
        <f t="shared" si="3"/>
        <v>1</v>
      </c>
      <c r="D32">
        <v>6</v>
      </c>
      <c r="E32">
        <v>1</v>
      </c>
      <c r="F32">
        <v>10</v>
      </c>
      <c r="G32" t="str">
        <f>VLOOKUP(P32,定义数据!$B$14:$C$29,2,0)&amp;"+"&amp;Q32&amp;IF(R32=0,"",","&amp;VLOOKUP(R32,定义数据!$B$14:$C$29,2,0)&amp;"+"&amp;S32)&amp;IF(T32=0,"",","&amp;VLOOKUP(T32,定义数据!$B$14:$C$29,2,0)&amp;"+"&amp;U32)</f>
        <v>生命+12192</v>
      </c>
      <c r="H32">
        <v>0</v>
      </c>
      <c r="I32">
        <f t="shared" si="4"/>
        <v>1</v>
      </c>
      <c r="J32">
        <f>IF(ISERROR(VLOOKUP(D32,命格辅助表!$I$76:$N$86,D_命格表!E32+2,0)),0,VLOOKUP(D32,命格辅助表!$I$76:$N$86,D_命格表!E32+2,0))</f>
        <v>2560</v>
      </c>
      <c r="K32">
        <f>IF(ISERROR(VLOOKUP(D32,命格辅助表!$P$76:$U$86,E32+2,0)),0,VLOOKUP(D32,命格辅助表!$P$76:$U$86,E32+2,0))</f>
        <v>2520</v>
      </c>
      <c r="L32">
        <v>0</v>
      </c>
      <c r="M32">
        <v>0</v>
      </c>
      <c r="N32">
        <v>8120</v>
      </c>
      <c r="O32">
        <f t="shared" si="6"/>
        <v>1</v>
      </c>
      <c r="P32">
        <f t="shared" si="0"/>
        <v>1</v>
      </c>
      <c r="Q32">
        <f>ROUND((VLOOKUP($A32,命格属性表,13,0)+VLOOKUP($A32,命格属性表,20,0)*($D32-1))*IF(P32&gt;9,1,VLOOKUP(D32,命格辅助表!$S$3:$U$10,3,0)),0)</f>
        <v>12192</v>
      </c>
      <c r="R32">
        <f t="shared" si="1"/>
        <v>0</v>
      </c>
      <c r="S32">
        <f>ROUND(IF(R32=0,0,VLOOKUP($A32,命格属性表,15,0)+VLOOKUP($A32,命格属性表,22,0)*($D32-1))*IF(R32&gt;9,1,VLOOKUP(D32,命格辅助表!$S$3:$U$10,3,0)),0)</f>
        <v>0</v>
      </c>
      <c r="T32">
        <f t="shared" si="5"/>
        <v>0</v>
      </c>
      <c r="U32">
        <f t="shared" si="2"/>
        <v>0</v>
      </c>
    </row>
    <row r="33" spans="1:21">
      <c r="A33">
        <v>8120</v>
      </c>
      <c r="B33" t="s">
        <v>306</v>
      </c>
      <c r="C33">
        <f t="shared" si="3"/>
        <v>1</v>
      </c>
      <c r="D33">
        <v>7</v>
      </c>
      <c r="E33">
        <v>1</v>
      </c>
      <c r="F33">
        <v>10</v>
      </c>
      <c r="G33" t="str">
        <f>VLOOKUP(P33,定义数据!$B$14:$C$29,2,0)&amp;"+"&amp;Q33&amp;IF(R33=0,"",","&amp;VLOOKUP(R33,定义数据!$B$14:$C$29,2,0)&amp;"+"&amp;S33)&amp;IF(T33=0,"",","&amp;VLOOKUP(T33,定义数据!$B$14:$C$29,2,0)&amp;"+"&amp;U33)</f>
        <v>生命+18288</v>
      </c>
      <c r="H33">
        <v>0</v>
      </c>
      <c r="I33">
        <f t="shared" si="4"/>
        <v>1</v>
      </c>
      <c r="J33">
        <f>IF(ISERROR(VLOOKUP(D33,命格辅助表!$I$76:$N$86,D_命格表!E33+2,0)),0,VLOOKUP(D33,命格辅助表!$I$76:$N$86,D_命格表!E33+2,0))</f>
        <v>5120</v>
      </c>
      <c r="K33">
        <f>IF(ISERROR(VLOOKUP(D33,命格辅助表!$P$76:$U$86,E33+2,0)),0,VLOOKUP(D33,命格辅助表!$P$76:$U$86,E33+2,0))</f>
        <v>5080</v>
      </c>
      <c r="L33">
        <v>0</v>
      </c>
      <c r="M33">
        <v>0</v>
      </c>
      <c r="N33">
        <v>8120</v>
      </c>
      <c r="O33">
        <f t="shared" si="6"/>
        <v>1</v>
      </c>
      <c r="P33">
        <f t="shared" si="0"/>
        <v>1</v>
      </c>
      <c r="Q33">
        <f>ROUND((VLOOKUP($A33,命格属性表,13,0)+VLOOKUP($A33,命格属性表,20,0)*($D33-1))*IF(P33&gt;9,1,VLOOKUP(D33,命格辅助表!$S$3:$U$10,3,0)),0)</f>
        <v>18288</v>
      </c>
      <c r="R33">
        <f t="shared" si="1"/>
        <v>0</v>
      </c>
      <c r="S33">
        <f>ROUND(IF(R33=0,0,VLOOKUP($A33,命格属性表,15,0)+VLOOKUP($A33,命格属性表,22,0)*($D33-1))*IF(R33&gt;9,1,VLOOKUP(D33,命格辅助表!$S$3:$U$10,3,0)),0)</f>
        <v>0</v>
      </c>
      <c r="T33">
        <f t="shared" si="5"/>
        <v>0</v>
      </c>
      <c r="U33">
        <f t="shared" si="2"/>
        <v>0</v>
      </c>
    </row>
    <row r="34" spans="1:21">
      <c r="A34">
        <v>8120</v>
      </c>
      <c r="B34" t="s">
        <v>306</v>
      </c>
      <c r="C34">
        <f t="shared" si="3"/>
        <v>1</v>
      </c>
      <c r="D34">
        <v>8</v>
      </c>
      <c r="E34">
        <v>1</v>
      </c>
      <c r="F34">
        <v>10</v>
      </c>
      <c r="G34" t="str">
        <f>VLOOKUP(P34,定义数据!$B$14:$C$29,2,0)&amp;"+"&amp;Q34&amp;IF(R34=0,"",","&amp;VLOOKUP(R34,定义数据!$B$14:$C$29,2,0)&amp;"+"&amp;S34)&amp;IF(T34=0,"",","&amp;VLOOKUP(T34,定义数据!$B$14:$C$29,2,0)&amp;"+"&amp;U34)</f>
        <v>生命+27432</v>
      </c>
      <c r="H34">
        <v>0</v>
      </c>
      <c r="I34">
        <f t="shared" si="4"/>
        <v>1</v>
      </c>
      <c r="J34">
        <f>IF(ISERROR(VLOOKUP(D34,命格辅助表!$I$76:$N$86,D_命格表!E34+2,0)),0,VLOOKUP(D34,命格辅助表!$I$76:$N$86,D_命格表!E34+2,0))</f>
        <v>10240</v>
      </c>
      <c r="K34">
        <f>IF(ISERROR(VLOOKUP(D34,命格辅助表!$P$76:$U$86,E34+2,0)),0,VLOOKUP(D34,命格辅助表!$P$76:$U$86,E34+2,0))</f>
        <v>10200</v>
      </c>
      <c r="L34">
        <f>IF(ISERROR(VLOOKUP(D34,命格辅助表!$I$76:$N$86,D_命格表!E34+2,0)),0,VLOOKUP(D34,命格辅助表!$I$76:$N$86,D_命格表!E34+2,0))</f>
        <v>10240</v>
      </c>
      <c r="M34">
        <f>A34+10</f>
        <v>8130</v>
      </c>
      <c r="N34">
        <v>8120</v>
      </c>
      <c r="O34">
        <f t="shared" si="6"/>
        <v>1</v>
      </c>
      <c r="P34">
        <f t="shared" si="0"/>
        <v>1</v>
      </c>
      <c r="Q34">
        <f>ROUND((VLOOKUP($A34,命格属性表,13,0)+VLOOKUP($A34,命格属性表,20,0)*($D34-1))*IF(P34&gt;9,1,VLOOKUP(D34,命格辅助表!$S$3:$U$10,3,0)),0)</f>
        <v>27432</v>
      </c>
      <c r="R34">
        <f t="shared" si="1"/>
        <v>0</v>
      </c>
      <c r="S34">
        <f>ROUND(IF(R34=0,0,VLOOKUP($A34,命格属性表,15,0)+VLOOKUP($A34,命格属性表,22,0)*($D34-1))*IF(R34&gt;9,1,VLOOKUP(D34,命格辅助表!$S$3:$U$10,3,0)),0)</f>
        <v>0</v>
      </c>
      <c r="T34">
        <f t="shared" si="5"/>
        <v>0</v>
      </c>
      <c r="U34">
        <f t="shared" si="2"/>
        <v>0</v>
      </c>
    </row>
    <row r="35" spans="1:21">
      <c r="A35">
        <v>8220</v>
      </c>
      <c r="B35" t="s">
        <v>307</v>
      </c>
      <c r="C35">
        <f t="shared" si="3"/>
        <v>2</v>
      </c>
      <c r="D35">
        <v>1</v>
      </c>
      <c r="E35">
        <v>1</v>
      </c>
      <c r="F35">
        <v>10</v>
      </c>
      <c r="G35" t="str">
        <f>VLOOKUP(P35,定义数据!$B$14:$C$29,2,0)&amp;"+"&amp;Q35&amp;IF(R35=0,"",","&amp;VLOOKUP(R35,定义数据!$B$14:$C$29,2,0)&amp;"+"&amp;S35)&amp;IF(T35=0,"",","&amp;VLOOKUP(T35,定义数据!$B$14:$C$29,2,0)&amp;"+"&amp;U35)</f>
        <v>攻击+64</v>
      </c>
      <c r="H35">
        <v>0</v>
      </c>
      <c r="I35">
        <f t="shared" si="4"/>
        <v>2</v>
      </c>
      <c r="J35">
        <f>IF(ISERROR(VLOOKUP(D35,命格辅助表!$I$76:$N$86,D_命格表!E35+2,0)),0,VLOOKUP(D35,命格辅助表!$I$76:$N$86,D_命格表!E35+2,0))</f>
        <v>80</v>
      </c>
      <c r="K35">
        <f>IF(ISERROR(VLOOKUP(D35,命格辅助表!$P$76:$U$86,E35+2,0)),0,VLOOKUP(D35,命格辅助表!$P$76:$U$86,E35+2,0))</f>
        <v>40</v>
      </c>
      <c r="L35">
        <v>0</v>
      </c>
      <c r="M35">
        <v>0</v>
      </c>
      <c r="N35">
        <v>8220</v>
      </c>
      <c r="O35">
        <f t="shared" si="6"/>
        <v>1</v>
      </c>
      <c r="P35">
        <f t="shared" si="0"/>
        <v>2</v>
      </c>
      <c r="Q35">
        <f>ROUND((VLOOKUP($A35,命格属性表,13,0)+VLOOKUP($A35,命格属性表,20,0)*($D35-1))*IF(P35&gt;9,1,VLOOKUP(D35,命格辅助表!$S$3:$U$10,3,0)),0)</f>
        <v>64</v>
      </c>
      <c r="R35">
        <f t="shared" si="1"/>
        <v>0</v>
      </c>
      <c r="S35">
        <f>ROUND(IF(R35=0,0,VLOOKUP($A35,命格属性表,15,0)+VLOOKUP($A35,命格属性表,22,0)*($D35-1))*IF(R35&gt;9,1,VLOOKUP(D35,命格辅助表!$S$3:$U$10,3,0)),0)</f>
        <v>0</v>
      </c>
      <c r="T35">
        <f t="shared" si="5"/>
        <v>0</v>
      </c>
      <c r="U35">
        <f t="shared" si="2"/>
        <v>0</v>
      </c>
    </row>
    <row r="36" spans="1:21">
      <c r="A36">
        <v>8220</v>
      </c>
      <c r="B36" t="s">
        <v>307</v>
      </c>
      <c r="C36">
        <f t="shared" si="3"/>
        <v>2</v>
      </c>
      <c r="D36">
        <v>2</v>
      </c>
      <c r="E36">
        <v>1</v>
      </c>
      <c r="F36">
        <v>10</v>
      </c>
      <c r="G36" t="str">
        <f>VLOOKUP(P36,定义数据!$B$14:$C$29,2,0)&amp;"+"&amp;Q36&amp;IF(R36=0,"",","&amp;VLOOKUP(R36,定义数据!$B$14:$C$29,2,0)&amp;"+"&amp;S36)&amp;IF(T36=0,"",","&amp;VLOOKUP(T36,定义数据!$B$14:$C$29,2,0)&amp;"+"&amp;U36)</f>
        <v>攻击+96</v>
      </c>
      <c r="H36">
        <v>0</v>
      </c>
      <c r="I36">
        <f t="shared" si="4"/>
        <v>2</v>
      </c>
      <c r="J36">
        <f>IF(ISERROR(VLOOKUP(D36,命格辅助表!$I$76:$N$86,D_命格表!E36+2,0)),0,VLOOKUP(D36,命格辅助表!$I$76:$N$86,D_命格表!E36+2,0))</f>
        <v>160</v>
      </c>
      <c r="K36">
        <f>IF(ISERROR(VLOOKUP(D36,命格辅助表!$P$76:$U$86,E36+2,0)),0,VLOOKUP(D36,命格辅助表!$P$76:$U$86,E36+2,0))</f>
        <v>120</v>
      </c>
      <c r="L36">
        <v>0</v>
      </c>
      <c r="M36">
        <v>0</v>
      </c>
      <c r="N36">
        <v>8220</v>
      </c>
      <c r="O36">
        <f t="shared" si="6"/>
        <v>1</v>
      </c>
      <c r="P36">
        <f t="shared" si="0"/>
        <v>2</v>
      </c>
      <c r="Q36">
        <f>ROUND((VLOOKUP($A36,命格属性表,13,0)+VLOOKUP($A36,命格属性表,20,0)*($D36-1))*IF(P36&gt;9,1,VLOOKUP(D36,命格辅助表!$S$3:$U$10,3,0)),0)</f>
        <v>96</v>
      </c>
      <c r="R36">
        <f t="shared" si="1"/>
        <v>0</v>
      </c>
      <c r="S36">
        <f>ROUND(IF(R36=0,0,VLOOKUP($A36,命格属性表,15,0)+VLOOKUP($A36,命格属性表,22,0)*($D36-1))*IF(R36&gt;9,1,VLOOKUP(D36,命格辅助表!$S$3:$U$10,3,0)),0)</f>
        <v>0</v>
      </c>
      <c r="T36">
        <f t="shared" si="5"/>
        <v>0</v>
      </c>
      <c r="U36">
        <f t="shared" si="2"/>
        <v>0</v>
      </c>
    </row>
    <row r="37" spans="1:21">
      <c r="A37">
        <v>8220</v>
      </c>
      <c r="B37" t="s">
        <v>307</v>
      </c>
      <c r="C37">
        <f t="shared" si="3"/>
        <v>2</v>
      </c>
      <c r="D37">
        <v>3</v>
      </c>
      <c r="E37">
        <v>1</v>
      </c>
      <c r="F37">
        <v>10</v>
      </c>
      <c r="G37" t="str">
        <f>VLOOKUP(P37,定义数据!$B$14:$C$29,2,0)&amp;"+"&amp;Q37&amp;IF(R37=0,"",","&amp;VLOOKUP(R37,定义数据!$B$14:$C$29,2,0)&amp;"+"&amp;S37)&amp;IF(T37=0,"",","&amp;VLOOKUP(T37,定义数据!$B$14:$C$29,2,0)&amp;"+"&amp;U37)</f>
        <v>攻击+144</v>
      </c>
      <c r="H37">
        <v>0</v>
      </c>
      <c r="I37">
        <f t="shared" si="4"/>
        <v>2</v>
      </c>
      <c r="J37">
        <f>IF(ISERROR(VLOOKUP(D37,命格辅助表!$I$76:$N$86,D_命格表!E37+2,0)),0,VLOOKUP(D37,命格辅助表!$I$76:$N$86,D_命格表!E37+2,0))</f>
        <v>320</v>
      </c>
      <c r="K37">
        <f>IF(ISERROR(VLOOKUP(D37,命格辅助表!$P$76:$U$86,E37+2,0)),0,VLOOKUP(D37,命格辅助表!$P$76:$U$86,E37+2,0))</f>
        <v>280</v>
      </c>
      <c r="L37">
        <v>0</v>
      </c>
      <c r="M37">
        <v>0</v>
      </c>
      <c r="N37">
        <v>8220</v>
      </c>
      <c r="O37">
        <f t="shared" si="6"/>
        <v>1</v>
      </c>
      <c r="P37">
        <f t="shared" si="0"/>
        <v>2</v>
      </c>
      <c r="Q37">
        <f>ROUND((VLOOKUP($A37,命格属性表,13,0)+VLOOKUP($A37,命格属性表,20,0)*($D37-1))*IF(P37&gt;9,1,VLOOKUP(D37,命格辅助表!$S$3:$U$10,3,0)),0)</f>
        <v>144</v>
      </c>
      <c r="R37">
        <f t="shared" si="1"/>
        <v>0</v>
      </c>
      <c r="S37">
        <f>ROUND(IF(R37=0,0,VLOOKUP($A37,命格属性表,15,0)+VLOOKUP($A37,命格属性表,22,0)*($D37-1))*IF(R37&gt;9,1,VLOOKUP(D37,命格辅助表!$S$3:$U$10,3,0)),0)</f>
        <v>0</v>
      </c>
      <c r="T37">
        <f t="shared" si="5"/>
        <v>0</v>
      </c>
      <c r="U37">
        <f t="shared" si="2"/>
        <v>0</v>
      </c>
    </row>
    <row r="38" spans="1:21">
      <c r="A38">
        <v>8220</v>
      </c>
      <c r="B38" t="s">
        <v>307</v>
      </c>
      <c r="C38">
        <f t="shared" si="3"/>
        <v>2</v>
      </c>
      <c r="D38">
        <v>4</v>
      </c>
      <c r="E38">
        <v>1</v>
      </c>
      <c r="F38">
        <v>10</v>
      </c>
      <c r="G38" t="str">
        <f>VLOOKUP(P38,定义数据!$B$14:$C$29,2,0)&amp;"+"&amp;Q38&amp;IF(R38=0,"",","&amp;VLOOKUP(R38,定义数据!$B$14:$C$29,2,0)&amp;"+"&amp;S38)&amp;IF(T38=0,"",","&amp;VLOOKUP(T38,定义数据!$B$14:$C$29,2,0)&amp;"+"&amp;U38)</f>
        <v>攻击+216</v>
      </c>
      <c r="H38">
        <v>0</v>
      </c>
      <c r="I38">
        <f t="shared" si="4"/>
        <v>2</v>
      </c>
      <c r="J38">
        <f>IF(ISERROR(VLOOKUP(D38,命格辅助表!$I$76:$N$86,D_命格表!E38+2,0)),0,VLOOKUP(D38,命格辅助表!$I$76:$N$86,D_命格表!E38+2,0))</f>
        <v>640</v>
      </c>
      <c r="K38">
        <f>IF(ISERROR(VLOOKUP(D38,命格辅助表!$P$76:$U$86,E38+2,0)),0,VLOOKUP(D38,命格辅助表!$P$76:$U$86,E38+2,0))</f>
        <v>600</v>
      </c>
      <c r="L38">
        <v>0</v>
      </c>
      <c r="M38">
        <v>0</v>
      </c>
      <c r="N38">
        <v>8220</v>
      </c>
      <c r="O38">
        <f t="shared" si="6"/>
        <v>1</v>
      </c>
      <c r="P38">
        <f t="shared" si="0"/>
        <v>2</v>
      </c>
      <c r="Q38">
        <f>ROUND((VLOOKUP($A38,命格属性表,13,0)+VLOOKUP($A38,命格属性表,20,0)*($D38-1))*IF(P38&gt;9,1,VLOOKUP(D38,命格辅助表!$S$3:$U$10,3,0)),0)</f>
        <v>216</v>
      </c>
      <c r="R38">
        <f t="shared" si="1"/>
        <v>0</v>
      </c>
      <c r="S38">
        <f>ROUND(IF(R38=0,0,VLOOKUP($A38,命格属性表,15,0)+VLOOKUP($A38,命格属性表,22,0)*($D38-1))*IF(R38&gt;9,1,VLOOKUP(D38,命格辅助表!$S$3:$U$10,3,0)),0)</f>
        <v>0</v>
      </c>
      <c r="T38">
        <f t="shared" si="5"/>
        <v>0</v>
      </c>
      <c r="U38">
        <f t="shared" si="2"/>
        <v>0</v>
      </c>
    </row>
    <row r="39" spans="1:21">
      <c r="A39">
        <v>8220</v>
      </c>
      <c r="B39" t="s">
        <v>307</v>
      </c>
      <c r="C39">
        <f t="shared" si="3"/>
        <v>2</v>
      </c>
      <c r="D39">
        <v>5</v>
      </c>
      <c r="E39">
        <v>1</v>
      </c>
      <c r="F39">
        <v>10</v>
      </c>
      <c r="G39" t="str">
        <f>VLOOKUP(P39,定义数据!$B$14:$C$29,2,0)&amp;"+"&amp;Q39&amp;IF(R39=0,"",","&amp;VLOOKUP(R39,定义数据!$B$14:$C$29,2,0)&amp;"+"&amp;S39)&amp;IF(T39=0,"",","&amp;VLOOKUP(T39,定义数据!$B$14:$C$29,2,0)&amp;"+"&amp;U39)</f>
        <v>攻击+325</v>
      </c>
      <c r="H39">
        <v>0</v>
      </c>
      <c r="I39">
        <f t="shared" si="4"/>
        <v>2</v>
      </c>
      <c r="J39">
        <f>IF(ISERROR(VLOOKUP(D39,命格辅助表!$I$76:$N$86,D_命格表!E39+2,0)),0,VLOOKUP(D39,命格辅助表!$I$76:$N$86,D_命格表!E39+2,0))</f>
        <v>1280</v>
      </c>
      <c r="K39">
        <f>IF(ISERROR(VLOOKUP(D39,命格辅助表!$P$76:$U$86,E39+2,0)),0,VLOOKUP(D39,命格辅助表!$P$76:$U$86,E39+2,0))</f>
        <v>1240</v>
      </c>
      <c r="L39">
        <v>0</v>
      </c>
      <c r="M39">
        <v>0</v>
      </c>
      <c r="N39">
        <v>8220</v>
      </c>
      <c r="O39">
        <f t="shared" si="6"/>
        <v>1</v>
      </c>
      <c r="P39">
        <f t="shared" si="0"/>
        <v>2</v>
      </c>
      <c r="Q39">
        <f>ROUND((VLOOKUP($A39,命格属性表,13,0)+VLOOKUP($A39,命格属性表,20,0)*($D39-1))*IF(P39&gt;9,1,VLOOKUP(D39,命格辅助表!$S$3:$U$10,3,0)),0)</f>
        <v>325</v>
      </c>
      <c r="R39">
        <f t="shared" si="1"/>
        <v>0</v>
      </c>
      <c r="S39">
        <f>ROUND(IF(R39=0,0,VLOOKUP($A39,命格属性表,15,0)+VLOOKUP($A39,命格属性表,22,0)*($D39-1))*IF(R39&gt;9,1,VLOOKUP(D39,命格辅助表!$S$3:$U$10,3,0)),0)</f>
        <v>0</v>
      </c>
      <c r="T39">
        <f t="shared" si="5"/>
        <v>0</v>
      </c>
      <c r="U39">
        <f t="shared" si="2"/>
        <v>0</v>
      </c>
    </row>
    <row r="40" spans="1:21">
      <c r="A40">
        <v>8220</v>
      </c>
      <c r="B40" t="s">
        <v>307</v>
      </c>
      <c r="C40">
        <f t="shared" si="3"/>
        <v>2</v>
      </c>
      <c r="D40">
        <v>6</v>
      </c>
      <c r="E40">
        <v>1</v>
      </c>
      <c r="F40">
        <v>10</v>
      </c>
      <c r="G40" t="str">
        <f>VLOOKUP(P40,定义数据!$B$14:$C$29,2,0)&amp;"+"&amp;Q40&amp;IF(R40=0,"",","&amp;VLOOKUP(R40,定义数据!$B$14:$C$29,2,0)&amp;"+"&amp;S40)&amp;IF(T40=0,"",","&amp;VLOOKUP(T40,定义数据!$B$14:$C$29,2,0)&amp;"+"&amp;U40)</f>
        <v>攻击+487</v>
      </c>
      <c r="H40">
        <v>0</v>
      </c>
      <c r="I40">
        <f t="shared" si="4"/>
        <v>2</v>
      </c>
      <c r="J40">
        <f>IF(ISERROR(VLOOKUP(D40,命格辅助表!$I$76:$N$86,D_命格表!E40+2,0)),0,VLOOKUP(D40,命格辅助表!$I$76:$N$86,D_命格表!E40+2,0))</f>
        <v>2560</v>
      </c>
      <c r="K40">
        <f>IF(ISERROR(VLOOKUP(D40,命格辅助表!$P$76:$U$86,E40+2,0)),0,VLOOKUP(D40,命格辅助表!$P$76:$U$86,E40+2,0))</f>
        <v>2520</v>
      </c>
      <c r="L40">
        <v>0</v>
      </c>
      <c r="M40">
        <v>0</v>
      </c>
      <c r="N40">
        <v>8220</v>
      </c>
      <c r="O40">
        <f t="shared" si="6"/>
        <v>1</v>
      </c>
      <c r="P40">
        <f t="shared" si="0"/>
        <v>2</v>
      </c>
      <c r="Q40">
        <f>ROUND((VLOOKUP($A40,命格属性表,13,0)+VLOOKUP($A40,命格属性表,20,0)*($D40-1))*IF(P40&gt;9,1,VLOOKUP(D40,命格辅助表!$S$3:$U$10,3,0)),0)</f>
        <v>487</v>
      </c>
      <c r="R40">
        <f t="shared" si="1"/>
        <v>0</v>
      </c>
      <c r="S40">
        <f>ROUND(IF(R40=0,0,VLOOKUP($A40,命格属性表,15,0)+VLOOKUP($A40,命格属性表,22,0)*($D40-1))*IF(R40&gt;9,1,VLOOKUP(D40,命格辅助表!$S$3:$U$10,3,0)),0)</f>
        <v>0</v>
      </c>
      <c r="T40">
        <f t="shared" si="5"/>
        <v>0</v>
      </c>
      <c r="U40">
        <f t="shared" si="2"/>
        <v>0</v>
      </c>
    </row>
    <row r="41" spans="1:21">
      <c r="A41">
        <v>8220</v>
      </c>
      <c r="B41" t="s">
        <v>307</v>
      </c>
      <c r="C41">
        <f t="shared" si="3"/>
        <v>2</v>
      </c>
      <c r="D41">
        <v>7</v>
      </c>
      <c r="E41">
        <v>1</v>
      </c>
      <c r="F41">
        <v>10</v>
      </c>
      <c r="G41" t="str">
        <f>VLOOKUP(P41,定义数据!$B$14:$C$29,2,0)&amp;"+"&amp;Q41&amp;IF(R41=0,"",","&amp;VLOOKUP(R41,定义数据!$B$14:$C$29,2,0)&amp;"+"&amp;S41)&amp;IF(T41=0,"",","&amp;VLOOKUP(T41,定义数据!$B$14:$C$29,2,0)&amp;"+"&amp;U41)</f>
        <v>攻击+731</v>
      </c>
      <c r="H41">
        <v>0</v>
      </c>
      <c r="I41">
        <f t="shared" si="4"/>
        <v>2</v>
      </c>
      <c r="J41">
        <f>IF(ISERROR(VLOOKUP(D41,命格辅助表!$I$76:$N$86,D_命格表!E41+2,0)),0,VLOOKUP(D41,命格辅助表!$I$76:$N$86,D_命格表!E41+2,0))</f>
        <v>5120</v>
      </c>
      <c r="K41">
        <f>IF(ISERROR(VLOOKUP(D41,命格辅助表!$P$76:$U$86,E41+2,0)),0,VLOOKUP(D41,命格辅助表!$P$76:$U$86,E41+2,0))</f>
        <v>5080</v>
      </c>
      <c r="L41">
        <v>0</v>
      </c>
      <c r="M41">
        <v>0</v>
      </c>
      <c r="N41">
        <v>8220</v>
      </c>
      <c r="O41">
        <f t="shared" si="6"/>
        <v>1</v>
      </c>
      <c r="P41">
        <f t="shared" si="0"/>
        <v>2</v>
      </c>
      <c r="Q41">
        <f>ROUND((VLOOKUP($A41,命格属性表,13,0)+VLOOKUP($A41,命格属性表,20,0)*($D41-1))*IF(P41&gt;9,1,VLOOKUP(D41,命格辅助表!$S$3:$U$10,3,0)),0)</f>
        <v>731</v>
      </c>
      <c r="R41">
        <f t="shared" si="1"/>
        <v>0</v>
      </c>
      <c r="S41">
        <f>ROUND(IF(R41=0,0,VLOOKUP($A41,命格属性表,15,0)+VLOOKUP($A41,命格属性表,22,0)*($D41-1))*IF(R41&gt;9,1,VLOOKUP(D41,命格辅助表!$S$3:$U$10,3,0)),0)</f>
        <v>0</v>
      </c>
      <c r="T41">
        <f t="shared" si="5"/>
        <v>0</v>
      </c>
      <c r="U41">
        <f t="shared" si="2"/>
        <v>0</v>
      </c>
    </row>
    <row r="42" spans="1:21">
      <c r="A42">
        <v>8220</v>
      </c>
      <c r="B42" t="s">
        <v>307</v>
      </c>
      <c r="C42">
        <f t="shared" si="3"/>
        <v>2</v>
      </c>
      <c r="D42">
        <v>8</v>
      </c>
      <c r="E42">
        <v>1</v>
      </c>
      <c r="F42">
        <v>10</v>
      </c>
      <c r="G42" t="str">
        <f>VLOOKUP(P42,定义数据!$B$14:$C$29,2,0)&amp;"+"&amp;Q42&amp;IF(R42=0,"",","&amp;VLOOKUP(R42,定义数据!$B$14:$C$29,2,0)&amp;"+"&amp;S42)&amp;IF(T42=0,"",","&amp;VLOOKUP(T42,定义数据!$B$14:$C$29,2,0)&amp;"+"&amp;U42)</f>
        <v>攻击+1096</v>
      </c>
      <c r="H42">
        <v>0</v>
      </c>
      <c r="I42">
        <f t="shared" si="4"/>
        <v>2</v>
      </c>
      <c r="J42">
        <f>IF(ISERROR(VLOOKUP(D42,命格辅助表!$I$76:$N$86,D_命格表!E42+2,0)),0,VLOOKUP(D42,命格辅助表!$I$76:$N$86,D_命格表!E42+2,0))</f>
        <v>10240</v>
      </c>
      <c r="K42">
        <f>IF(ISERROR(VLOOKUP(D42,命格辅助表!$P$76:$U$86,E42+2,0)),0,VLOOKUP(D42,命格辅助表!$P$76:$U$86,E42+2,0))</f>
        <v>10200</v>
      </c>
      <c r="L42">
        <f>IF(ISERROR(VLOOKUP(D42,命格辅助表!$I$76:$N$86,D_命格表!E42+2,0)),0,VLOOKUP(D42,命格辅助表!$I$76:$N$86,D_命格表!E42+2,0))</f>
        <v>10240</v>
      </c>
      <c r="M42">
        <f>A42+10</f>
        <v>8230</v>
      </c>
      <c r="N42">
        <v>8220</v>
      </c>
      <c r="O42">
        <f t="shared" si="6"/>
        <v>1</v>
      </c>
      <c r="P42">
        <f t="shared" si="0"/>
        <v>2</v>
      </c>
      <c r="Q42">
        <f>ROUND((VLOOKUP($A42,命格属性表,13,0)+VLOOKUP($A42,命格属性表,20,0)*($D42-1))*IF(P42&gt;9,1,VLOOKUP(D42,命格辅助表!$S$3:$U$10,3,0)),0)</f>
        <v>1096</v>
      </c>
      <c r="R42">
        <f t="shared" si="1"/>
        <v>0</v>
      </c>
      <c r="S42">
        <f>ROUND(IF(R42=0,0,VLOOKUP($A42,命格属性表,15,0)+VLOOKUP($A42,命格属性表,22,0)*($D42-1))*IF(R42&gt;9,1,VLOOKUP(D42,命格辅助表!$S$3:$U$10,3,0)),0)</f>
        <v>0</v>
      </c>
      <c r="T42">
        <f t="shared" si="5"/>
        <v>0</v>
      </c>
      <c r="U42">
        <f t="shared" si="2"/>
        <v>0</v>
      </c>
    </row>
    <row r="43" spans="1:21">
      <c r="A43">
        <v>8320</v>
      </c>
      <c r="B43" t="str">
        <f t="shared" ref="B43:B49" si="7">VLOOKUP(A43,命格属性表,2,0)</f>
        <v>真刚</v>
      </c>
      <c r="C43">
        <f t="shared" si="3"/>
        <v>3</v>
      </c>
      <c r="D43">
        <v>1</v>
      </c>
      <c r="E43">
        <v>1</v>
      </c>
      <c r="F43">
        <v>10</v>
      </c>
      <c r="G43" t="str">
        <f>VLOOKUP(P43,定义数据!$B$14:$C$29,2,0)&amp;"+"&amp;Q43&amp;IF(R43=0,"",","&amp;VLOOKUP(R43,定义数据!$B$14:$C$29,2,0)&amp;"+"&amp;S43)&amp;IF(T43=0,"",","&amp;VLOOKUP(T43,定义数据!$B$14:$C$29,2,0)&amp;"+"&amp;U43)</f>
        <v>防御+64</v>
      </c>
      <c r="H43">
        <v>0</v>
      </c>
      <c r="I43">
        <f t="shared" si="4"/>
        <v>3</v>
      </c>
      <c r="J43">
        <f>IF(ISERROR(VLOOKUP(D43,命格辅助表!$I$76:$N$86,D_命格表!E43+2,0)),0,VLOOKUP(D43,命格辅助表!$I$76:$N$86,D_命格表!E43+2,0))</f>
        <v>80</v>
      </c>
      <c r="K43">
        <f>IF(ISERROR(VLOOKUP(D43,命格辅助表!$P$76:$U$86,E43+2,0)),0,VLOOKUP(D43,命格辅助表!$P$76:$U$86,E43+2,0))</f>
        <v>40</v>
      </c>
      <c r="L43">
        <v>0</v>
      </c>
      <c r="M43">
        <v>0</v>
      </c>
      <c r="N43">
        <v>8320</v>
      </c>
      <c r="O43">
        <f t="shared" si="6"/>
        <v>1</v>
      </c>
      <c r="P43">
        <f t="shared" si="0"/>
        <v>3</v>
      </c>
      <c r="Q43">
        <f>ROUND((VLOOKUP($A43,命格属性表,13,0)+VLOOKUP($A43,命格属性表,20,0)*($D43-1))*IF(P43&gt;9,1,VLOOKUP(D43,命格辅助表!$S$3:$U$10,3,0)),0)</f>
        <v>64</v>
      </c>
      <c r="R43">
        <f t="shared" si="1"/>
        <v>0</v>
      </c>
      <c r="S43">
        <f>ROUND(IF(R43=0,0,VLOOKUP($A43,命格属性表,15,0)+VLOOKUP($A43,命格属性表,22,0)*($D43-1))*IF(R43&gt;9,1,VLOOKUP(D43,命格辅助表!$S$3:$U$10,3,0)),0)</f>
        <v>0</v>
      </c>
      <c r="T43">
        <f t="shared" si="5"/>
        <v>0</v>
      </c>
      <c r="U43">
        <f t="shared" si="2"/>
        <v>0</v>
      </c>
    </row>
    <row r="44" spans="1:21">
      <c r="A44">
        <v>8320</v>
      </c>
      <c r="B44" t="str">
        <f t="shared" si="7"/>
        <v>真刚</v>
      </c>
      <c r="C44">
        <f t="shared" si="3"/>
        <v>3</v>
      </c>
      <c r="D44">
        <v>2</v>
      </c>
      <c r="E44">
        <v>1</v>
      </c>
      <c r="F44">
        <v>10</v>
      </c>
      <c r="G44" t="str">
        <f>VLOOKUP(P44,定义数据!$B$14:$C$29,2,0)&amp;"+"&amp;Q44&amp;IF(R44=0,"",","&amp;VLOOKUP(R44,定义数据!$B$14:$C$29,2,0)&amp;"+"&amp;S44)&amp;IF(T44=0,"",","&amp;VLOOKUP(T44,定义数据!$B$14:$C$29,2,0)&amp;"+"&amp;U44)</f>
        <v>防御+96</v>
      </c>
      <c r="H44">
        <v>0</v>
      </c>
      <c r="I44">
        <f t="shared" si="4"/>
        <v>3</v>
      </c>
      <c r="J44">
        <f>IF(ISERROR(VLOOKUP(D44,命格辅助表!$I$76:$N$86,D_命格表!E44+2,0)),0,VLOOKUP(D44,命格辅助表!$I$76:$N$86,D_命格表!E44+2,0))</f>
        <v>160</v>
      </c>
      <c r="K44">
        <f>IF(ISERROR(VLOOKUP(D44,命格辅助表!$P$76:$U$86,E44+2,0)),0,VLOOKUP(D44,命格辅助表!$P$76:$U$86,E44+2,0))</f>
        <v>120</v>
      </c>
      <c r="L44">
        <v>0</v>
      </c>
      <c r="M44">
        <v>0</v>
      </c>
      <c r="N44">
        <v>8320</v>
      </c>
      <c r="O44">
        <f t="shared" si="6"/>
        <v>1</v>
      </c>
      <c r="P44">
        <f t="shared" si="0"/>
        <v>3</v>
      </c>
      <c r="Q44">
        <f>ROUND((VLOOKUP($A44,命格属性表,13,0)+VLOOKUP($A44,命格属性表,20,0)*($D44-1))*IF(P44&gt;9,1,VLOOKUP(D44,命格辅助表!$S$3:$U$10,3,0)),0)</f>
        <v>96</v>
      </c>
      <c r="R44">
        <f t="shared" si="1"/>
        <v>0</v>
      </c>
      <c r="S44">
        <f>ROUND(IF(R44=0,0,VLOOKUP($A44,命格属性表,15,0)+VLOOKUP($A44,命格属性表,22,0)*($D44-1))*IF(R44&gt;9,1,VLOOKUP(D44,命格辅助表!$S$3:$U$10,3,0)),0)</f>
        <v>0</v>
      </c>
      <c r="T44">
        <f t="shared" si="5"/>
        <v>0</v>
      </c>
      <c r="U44">
        <f t="shared" si="2"/>
        <v>0</v>
      </c>
    </row>
    <row r="45" spans="1:21">
      <c r="A45">
        <v>8320</v>
      </c>
      <c r="B45" t="str">
        <f t="shared" si="7"/>
        <v>真刚</v>
      </c>
      <c r="C45">
        <f t="shared" si="3"/>
        <v>3</v>
      </c>
      <c r="D45">
        <v>3</v>
      </c>
      <c r="E45">
        <v>1</v>
      </c>
      <c r="F45">
        <v>10</v>
      </c>
      <c r="G45" t="str">
        <f>VLOOKUP(P45,定义数据!$B$14:$C$29,2,0)&amp;"+"&amp;Q45&amp;IF(R45=0,"",","&amp;VLOOKUP(R45,定义数据!$B$14:$C$29,2,0)&amp;"+"&amp;S45)&amp;IF(T45=0,"",","&amp;VLOOKUP(T45,定义数据!$B$14:$C$29,2,0)&amp;"+"&amp;U45)</f>
        <v>防御+144</v>
      </c>
      <c r="H45">
        <v>0</v>
      </c>
      <c r="I45">
        <f t="shared" si="4"/>
        <v>3</v>
      </c>
      <c r="J45">
        <f>IF(ISERROR(VLOOKUP(D45,命格辅助表!$I$76:$N$86,D_命格表!E45+2,0)),0,VLOOKUP(D45,命格辅助表!$I$76:$N$86,D_命格表!E45+2,0))</f>
        <v>320</v>
      </c>
      <c r="K45">
        <f>IF(ISERROR(VLOOKUP(D45,命格辅助表!$P$76:$U$86,E45+2,0)),0,VLOOKUP(D45,命格辅助表!$P$76:$U$86,E45+2,0))</f>
        <v>280</v>
      </c>
      <c r="L45">
        <v>0</v>
      </c>
      <c r="M45">
        <v>0</v>
      </c>
      <c r="N45">
        <v>8320</v>
      </c>
      <c r="O45">
        <f t="shared" si="6"/>
        <v>1</v>
      </c>
      <c r="P45">
        <f t="shared" si="0"/>
        <v>3</v>
      </c>
      <c r="Q45">
        <f>ROUND((VLOOKUP($A45,命格属性表,13,0)+VLOOKUP($A45,命格属性表,20,0)*($D45-1))*IF(P45&gt;9,1,VLOOKUP(D45,命格辅助表!$S$3:$U$10,3,0)),0)</f>
        <v>144</v>
      </c>
      <c r="R45">
        <f t="shared" si="1"/>
        <v>0</v>
      </c>
      <c r="S45">
        <f>ROUND(IF(R45=0,0,VLOOKUP($A45,命格属性表,15,0)+VLOOKUP($A45,命格属性表,22,0)*($D45-1))*IF(R45&gt;9,1,VLOOKUP(D45,命格辅助表!$S$3:$U$10,3,0)),0)</f>
        <v>0</v>
      </c>
      <c r="T45">
        <f t="shared" si="5"/>
        <v>0</v>
      </c>
      <c r="U45">
        <f t="shared" si="2"/>
        <v>0</v>
      </c>
    </row>
    <row r="46" spans="1:21">
      <c r="A46">
        <v>8320</v>
      </c>
      <c r="B46" t="str">
        <f t="shared" si="7"/>
        <v>真刚</v>
      </c>
      <c r="C46">
        <f t="shared" si="3"/>
        <v>3</v>
      </c>
      <c r="D46">
        <v>4</v>
      </c>
      <c r="E46">
        <v>1</v>
      </c>
      <c r="F46">
        <v>10</v>
      </c>
      <c r="G46" t="str">
        <f>VLOOKUP(P46,定义数据!$B$14:$C$29,2,0)&amp;"+"&amp;Q46&amp;IF(R46=0,"",","&amp;VLOOKUP(R46,定义数据!$B$14:$C$29,2,0)&amp;"+"&amp;S46)&amp;IF(T46=0,"",","&amp;VLOOKUP(T46,定义数据!$B$14:$C$29,2,0)&amp;"+"&amp;U46)</f>
        <v>防御+216</v>
      </c>
      <c r="H46">
        <v>0</v>
      </c>
      <c r="I46">
        <f t="shared" si="4"/>
        <v>3</v>
      </c>
      <c r="J46">
        <f>IF(ISERROR(VLOOKUP(D46,命格辅助表!$I$76:$N$86,D_命格表!E46+2,0)),0,VLOOKUP(D46,命格辅助表!$I$76:$N$86,D_命格表!E46+2,0))</f>
        <v>640</v>
      </c>
      <c r="K46">
        <f>IF(ISERROR(VLOOKUP(D46,命格辅助表!$P$76:$U$86,E46+2,0)),0,VLOOKUP(D46,命格辅助表!$P$76:$U$86,E46+2,0))</f>
        <v>600</v>
      </c>
      <c r="L46">
        <v>0</v>
      </c>
      <c r="M46">
        <v>0</v>
      </c>
      <c r="N46">
        <v>8320</v>
      </c>
      <c r="O46">
        <f t="shared" si="6"/>
        <v>1</v>
      </c>
      <c r="P46">
        <f t="shared" si="0"/>
        <v>3</v>
      </c>
      <c r="Q46">
        <f>ROUND((VLOOKUP($A46,命格属性表,13,0)+VLOOKUP($A46,命格属性表,20,0)*($D46-1))*IF(P46&gt;9,1,VLOOKUP(D46,命格辅助表!$S$3:$U$10,3,0)),0)</f>
        <v>216</v>
      </c>
      <c r="R46">
        <f t="shared" si="1"/>
        <v>0</v>
      </c>
      <c r="S46">
        <f>ROUND(IF(R46=0,0,VLOOKUP($A46,命格属性表,15,0)+VLOOKUP($A46,命格属性表,22,0)*($D46-1))*IF(R46&gt;9,1,VLOOKUP(D46,命格辅助表!$S$3:$U$10,3,0)),0)</f>
        <v>0</v>
      </c>
      <c r="T46">
        <f t="shared" si="5"/>
        <v>0</v>
      </c>
      <c r="U46">
        <f t="shared" si="2"/>
        <v>0</v>
      </c>
    </row>
    <row r="47" spans="1:21">
      <c r="A47">
        <v>8320</v>
      </c>
      <c r="B47" t="str">
        <f t="shared" si="7"/>
        <v>真刚</v>
      </c>
      <c r="C47">
        <f t="shared" si="3"/>
        <v>3</v>
      </c>
      <c r="D47">
        <v>5</v>
      </c>
      <c r="E47">
        <v>1</v>
      </c>
      <c r="F47">
        <v>10</v>
      </c>
      <c r="G47" t="str">
        <f>VLOOKUP(P47,定义数据!$B$14:$C$29,2,0)&amp;"+"&amp;Q47&amp;IF(R47=0,"",","&amp;VLOOKUP(R47,定义数据!$B$14:$C$29,2,0)&amp;"+"&amp;S47)&amp;IF(T47=0,"",","&amp;VLOOKUP(T47,定义数据!$B$14:$C$29,2,0)&amp;"+"&amp;U47)</f>
        <v>防御+325</v>
      </c>
      <c r="H47">
        <v>0</v>
      </c>
      <c r="I47">
        <f t="shared" si="4"/>
        <v>3</v>
      </c>
      <c r="J47">
        <f>IF(ISERROR(VLOOKUP(D47,命格辅助表!$I$76:$N$86,D_命格表!E47+2,0)),0,VLOOKUP(D47,命格辅助表!$I$76:$N$86,D_命格表!E47+2,0))</f>
        <v>1280</v>
      </c>
      <c r="K47">
        <f>IF(ISERROR(VLOOKUP(D47,命格辅助表!$P$76:$U$86,E47+2,0)),0,VLOOKUP(D47,命格辅助表!$P$76:$U$86,E47+2,0))</f>
        <v>1240</v>
      </c>
      <c r="L47">
        <v>0</v>
      </c>
      <c r="M47">
        <v>0</v>
      </c>
      <c r="N47">
        <v>8320</v>
      </c>
      <c r="O47">
        <f t="shared" si="6"/>
        <v>1</v>
      </c>
      <c r="P47">
        <f t="shared" si="0"/>
        <v>3</v>
      </c>
      <c r="Q47">
        <f>ROUND((VLOOKUP($A47,命格属性表,13,0)+VLOOKUP($A47,命格属性表,20,0)*($D47-1))*IF(P47&gt;9,1,VLOOKUP(D47,命格辅助表!$S$3:$U$10,3,0)),0)</f>
        <v>325</v>
      </c>
      <c r="R47">
        <f t="shared" si="1"/>
        <v>0</v>
      </c>
      <c r="S47">
        <f>ROUND(IF(R47=0,0,VLOOKUP($A47,命格属性表,15,0)+VLOOKUP($A47,命格属性表,22,0)*($D47-1))*IF(R47&gt;9,1,VLOOKUP(D47,命格辅助表!$S$3:$U$10,3,0)),0)</f>
        <v>0</v>
      </c>
      <c r="T47">
        <f t="shared" si="5"/>
        <v>0</v>
      </c>
      <c r="U47">
        <f t="shared" si="2"/>
        <v>0</v>
      </c>
    </row>
    <row r="48" spans="1:21">
      <c r="A48">
        <v>8320</v>
      </c>
      <c r="B48" t="str">
        <f t="shared" si="7"/>
        <v>真刚</v>
      </c>
      <c r="C48">
        <f t="shared" si="3"/>
        <v>3</v>
      </c>
      <c r="D48">
        <v>6</v>
      </c>
      <c r="E48">
        <v>1</v>
      </c>
      <c r="F48">
        <v>10</v>
      </c>
      <c r="G48" t="str">
        <f>VLOOKUP(P48,定义数据!$B$14:$C$29,2,0)&amp;"+"&amp;Q48&amp;IF(R48=0,"",","&amp;VLOOKUP(R48,定义数据!$B$14:$C$29,2,0)&amp;"+"&amp;S48)&amp;IF(T48=0,"",","&amp;VLOOKUP(T48,定义数据!$B$14:$C$29,2,0)&amp;"+"&amp;U48)</f>
        <v>防御+487</v>
      </c>
      <c r="H48">
        <v>0</v>
      </c>
      <c r="I48">
        <f t="shared" si="4"/>
        <v>3</v>
      </c>
      <c r="J48">
        <f>IF(ISERROR(VLOOKUP(D48,命格辅助表!$I$76:$N$86,D_命格表!E48+2,0)),0,VLOOKUP(D48,命格辅助表!$I$76:$N$86,D_命格表!E48+2,0))</f>
        <v>2560</v>
      </c>
      <c r="K48">
        <f>IF(ISERROR(VLOOKUP(D48,命格辅助表!$P$76:$U$86,E48+2,0)),0,VLOOKUP(D48,命格辅助表!$P$76:$U$86,E48+2,0))</f>
        <v>2520</v>
      </c>
      <c r="L48">
        <v>0</v>
      </c>
      <c r="M48">
        <v>0</v>
      </c>
      <c r="N48">
        <v>8320</v>
      </c>
      <c r="O48">
        <f t="shared" si="6"/>
        <v>1</v>
      </c>
      <c r="P48">
        <f t="shared" si="0"/>
        <v>3</v>
      </c>
      <c r="Q48">
        <f>ROUND((VLOOKUP($A48,命格属性表,13,0)+VLOOKUP($A48,命格属性表,20,0)*($D48-1))*IF(P48&gt;9,1,VLOOKUP(D48,命格辅助表!$S$3:$U$10,3,0)),0)</f>
        <v>487</v>
      </c>
      <c r="R48">
        <f t="shared" si="1"/>
        <v>0</v>
      </c>
      <c r="S48">
        <f>ROUND(IF(R48=0,0,VLOOKUP($A48,命格属性表,15,0)+VLOOKUP($A48,命格属性表,22,0)*($D48-1))*IF(R48&gt;9,1,VLOOKUP(D48,命格辅助表!$S$3:$U$10,3,0)),0)</f>
        <v>0</v>
      </c>
      <c r="T48">
        <f t="shared" si="5"/>
        <v>0</v>
      </c>
      <c r="U48">
        <f t="shared" si="2"/>
        <v>0</v>
      </c>
    </row>
    <row r="49" spans="1:21">
      <c r="A49">
        <v>8320</v>
      </c>
      <c r="B49" t="str">
        <f t="shared" si="7"/>
        <v>真刚</v>
      </c>
      <c r="C49">
        <f t="shared" si="3"/>
        <v>3</v>
      </c>
      <c r="D49">
        <v>7</v>
      </c>
      <c r="E49">
        <v>1</v>
      </c>
      <c r="F49">
        <v>10</v>
      </c>
      <c r="G49" t="str">
        <f>VLOOKUP(P49,定义数据!$B$14:$C$29,2,0)&amp;"+"&amp;Q49&amp;IF(R49=0,"",","&amp;VLOOKUP(R49,定义数据!$B$14:$C$29,2,0)&amp;"+"&amp;S49)&amp;IF(T49=0,"",","&amp;VLOOKUP(T49,定义数据!$B$14:$C$29,2,0)&amp;"+"&amp;U49)</f>
        <v>防御+731</v>
      </c>
      <c r="H49">
        <v>0</v>
      </c>
      <c r="I49">
        <f t="shared" si="4"/>
        <v>3</v>
      </c>
      <c r="J49">
        <f>IF(ISERROR(VLOOKUP(D49,命格辅助表!$I$76:$N$86,D_命格表!E49+2,0)),0,VLOOKUP(D49,命格辅助表!$I$76:$N$86,D_命格表!E49+2,0))</f>
        <v>5120</v>
      </c>
      <c r="K49">
        <f>IF(ISERROR(VLOOKUP(D49,命格辅助表!$P$76:$U$86,E49+2,0)),0,VLOOKUP(D49,命格辅助表!$P$76:$U$86,E49+2,0))</f>
        <v>5080</v>
      </c>
      <c r="L49">
        <v>0</v>
      </c>
      <c r="M49">
        <v>0</v>
      </c>
      <c r="N49">
        <v>8320</v>
      </c>
      <c r="O49">
        <f t="shared" si="6"/>
        <v>1</v>
      </c>
      <c r="P49">
        <f t="shared" si="0"/>
        <v>3</v>
      </c>
      <c r="Q49">
        <f>ROUND((VLOOKUP($A49,命格属性表,13,0)+VLOOKUP($A49,命格属性表,20,0)*($D49-1))*IF(P49&gt;9,1,VLOOKUP(D49,命格辅助表!$S$3:$U$10,3,0)),0)</f>
        <v>731</v>
      </c>
      <c r="R49">
        <f t="shared" si="1"/>
        <v>0</v>
      </c>
      <c r="S49">
        <f>ROUND(IF(R49=0,0,VLOOKUP($A49,命格属性表,15,0)+VLOOKUP($A49,命格属性表,22,0)*($D49-1))*IF(R49&gt;9,1,VLOOKUP(D49,命格辅助表!$S$3:$U$10,3,0)),0)</f>
        <v>0</v>
      </c>
      <c r="T49">
        <f t="shared" si="5"/>
        <v>0</v>
      </c>
      <c r="U49">
        <f t="shared" si="2"/>
        <v>0</v>
      </c>
    </row>
    <row r="50" spans="1:21">
      <c r="A50">
        <v>8320</v>
      </c>
      <c r="B50" t="str">
        <f t="shared" ref="B50:B95" si="8">VLOOKUP(A50,命格属性表,2,0)</f>
        <v>真刚</v>
      </c>
      <c r="C50">
        <f t="shared" si="3"/>
        <v>3</v>
      </c>
      <c r="D50">
        <v>8</v>
      </c>
      <c r="E50">
        <v>1</v>
      </c>
      <c r="F50">
        <v>10</v>
      </c>
      <c r="G50" t="str">
        <f>VLOOKUP(P50,定义数据!$B$14:$C$29,2,0)&amp;"+"&amp;Q50&amp;IF(R50=0,"",","&amp;VLOOKUP(R50,定义数据!$B$14:$C$29,2,0)&amp;"+"&amp;S50)&amp;IF(T50=0,"",","&amp;VLOOKUP(T50,定义数据!$B$14:$C$29,2,0)&amp;"+"&amp;U50)</f>
        <v>防御+1096</v>
      </c>
      <c r="H50">
        <v>0</v>
      </c>
      <c r="I50">
        <f t="shared" si="4"/>
        <v>3</v>
      </c>
      <c r="J50">
        <f>IF(ISERROR(VLOOKUP(D50,命格辅助表!$I$76:$N$86,D_命格表!E50+2,0)),0,VLOOKUP(D50,命格辅助表!$I$76:$N$86,D_命格表!E50+2,0))</f>
        <v>10240</v>
      </c>
      <c r="K50">
        <f>IF(ISERROR(VLOOKUP(D50,命格辅助表!$P$76:$U$86,E50+2,0)),0,VLOOKUP(D50,命格辅助表!$P$76:$U$86,E50+2,0))</f>
        <v>10200</v>
      </c>
      <c r="L50">
        <f>IF(ISERROR(VLOOKUP(D50,命格辅助表!$I$76:$N$86,D_命格表!E50+2,0)),0,VLOOKUP(D50,命格辅助表!$I$76:$N$86,D_命格表!E50+2,0))</f>
        <v>10240</v>
      </c>
      <c r="M50">
        <f>A50+10</f>
        <v>8330</v>
      </c>
      <c r="N50">
        <v>8320</v>
      </c>
      <c r="O50">
        <f t="shared" si="6"/>
        <v>1</v>
      </c>
      <c r="P50">
        <f t="shared" ref="P50:P95" si="9">VLOOKUP($A50,命格属性表,12,0)</f>
        <v>3</v>
      </c>
      <c r="Q50">
        <f>ROUND((VLOOKUP($A50,命格属性表,13,0)+VLOOKUP($A50,命格属性表,20,0)*($D50-1))*IF(P50&gt;9,1,VLOOKUP(D50,命格辅助表!$S$3:$U$10,3,0)),0)</f>
        <v>1096</v>
      </c>
      <c r="R50">
        <f t="shared" ref="R50:R95" si="10">VLOOKUP($A50,命格属性表,14,0)</f>
        <v>0</v>
      </c>
      <c r="S50">
        <f>ROUND(IF(R50=0,0,VLOOKUP($A50,命格属性表,15,0)+VLOOKUP($A50,命格属性表,22,0)*($D50-1))*IF(R50&gt;9,1,VLOOKUP(D50,命格辅助表!$S$3:$U$10,3,0)),0)</f>
        <v>0</v>
      </c>
      <c r="T50">
        <f t="shared" si="5"/>
        <v>0</v>
      </c>
      <c r="U50">
        <f t="shared" si="2"/>
        <v>0</v>
      </c>
    </row>
    <row r="51" spans="1:21">
      <c r="A51">
        <v>8420</v>
      </c>
      <c r="B51" t="s">
        <v>308</v>
      </c>
      <c r="C51">
        <f t="shared" ref="C51:C97" si="11">I51</f>
        <v>4</v>
      </c>
      <c r="D51">
        <v>1</v>
      </c>
      <c r="E51">
        <v>1</v>
      </c>
      <c r="F51">
        <v>10</v>
      </c>
      <c r="G51" t="str">
        <f>VLOOKUP(P51,定义数据!$B$14:$C$29,2,0)&amp;"+"&amp;Q51&amp;IF(R51=0,"",","&amp;VLOOKUP(R51,定义数据!$B$14:$C$29,2,0)&amp;"+"&amp;S51)&amp;IF(T51=0,"",","&amp;VLOOKUP(T51,定义数据!$B$14:$C$29,2,0)&amp;"+"&amp;U51)</f>
        <v>命中值+189</v>
      </c>
      <c r="H51">
        <v>0</v>
      </c>
      <c r="I51">
        <f t="shared" ref="I51:I96" si="12">VLOOKUP($A51,命格属性表,26,0)</f>
        <v>4</v>
      </c>
      <c r="J51">
        <f>IF(ISERROR(VLOOKUP(D51,命格辅助表!$I$76:$N$86,D_命格表!E51+2,0)),0,VLOOKUP(D51,命格辅助表!$I$76:$N$86,D_命格表!E51+2,0))</f>
        <v>80</v>
      </c>
      <c r="K51">
        <f>IF(ISERROR(VLOOKUP(D51,命格辅助表!$P$76:$U$86,E51+2,0)),0,VLOOKUP(D51,命格辅助表!$P$76:$U$86,E51+2,0))</f>
        <v>40</v>
      </c>
      <c r="L51">
        <v>0</v>
      </c>
      <c r="M51">
        <v>0</v>
      </c>
      <c r="N51">
        <v>8420</v>
      </c>
      <c r="O51">
        <f t="shared" si="6"/>
        <v>1</v>
      </c>
      <c r="P51">
        <f t="shared" si="9"/>
        <v>6</v>
      </c>
      <c r="Q51">
        <f>ROUND((VLOOKUP($A51,命格属性表,13,0)+VLOOKUP($A51,命格属性表,20,0)*($D51-1))*IF(P51&gt;9,1,VLOOKUP(D51,命格辅助表!$S$3:$U$10,3,0)),0)</f>
        <v>189</v>
      </c>
      <c r="R51">
        <f t="shared" si="10"/>
        <v>0</v>
      </c>
      <c r="S51">
        <f>ROUND(IF(R51=0,0,VLOOKUP($A51,命格属性表,15,0)+VLOOKUP($A51,命格属性表,22,0)*($D51-1))*IF(R51&gt;9,1,VLOOKUP(D51,命格辅助表!$S$3:$U$10,3,0)),0)</f>
        <v>0</v>
      </c>
      <c r="T51">
        <f t="shared" ref="T51:T96" si="13">VLOOKUP($A51,命格属性表,16,0)</f>
        <v>0</v>
      </c>
      <c r="U51">
        <f t="shared" si="2"/>
        <v>0</v>
      </c>
    </row>
    <row r="52" spans="1:21">
      <c r="A52">
        <v>8420</v>
      </c>
      <c r="B52" t="s">
        <v>308</v>
      </c>
      <c r="C52">
        <f t="shared" si="11"/>
        <v>4</v>
      </c>
      <c r="D52">
        <v>2</v>
      </c>
      <c r="E52">
        <v>1</v>
      </c>
      <c r="F52">
        <v>10</v>
      </c>
      <c r="G52" t="str">
        <f>VLOOKUP(P52,定义数据!$B$14:$C$29,2,0)&amp;"+"&amp;Q52&amp;IF(R52=0,"",","&amp;VLOOKUP(R52,定义数据!$B$14:$C$29,2,0)&amp;"+"&amp;S52)&amp;IF(T52=0,"",","&amp;VLOOKUP(T52,定义数据!$B$14:$C$29,2,0)&amp;"+"&amp;U52)</f>
        <v>命中值+283</v>
      </c>
      <c r="H52">
        <v>0</v>
      </c>
      <c r="I52">
        <f t="shared" si="12"/>
        <v>4</v>
      </c>
      <c r="J52">
        <f>IF(ISERROR(VLOOKUP(D52,命格辅助表!$I$76:$N$86,D_命格表!E52+2,0)),0,VLOOKUP(D52,命格辅助表!$I$76:$N$86,D_命格表!E52+2,0))</f>
        <v>160</v>
      </c>
      <c r="K52">
        <f>IF(ISERROR(VLOOKUP(D52,命格辅助表!$P$76:$U$86,E52+2,0)),0,VLOOKUP(D52,命格辅助表!$P$76:$U$86,E52+2,0))</f>
        <v>120</v>
      </c>
      <c r="L52">
        <v>0</v>
      </c>
      <c r="M52">
        <v>0</v>
      </c>
      <c r="N52">
        <v>8420</v>
      </c>
      <c r="O52">
        <f t="shared" si="6"/>
        <v>1</v>
      </c>
      <c r="P52">
        <f t="shared" si="9"/>
        <v>6</v>
      </c>
      <c r="Q52">
        <f>ROUND((VLOOKUP($A52,命格属性表,13,0)+VLOOKUP($A52,命格属性表,20,0)*($D52-1))*IF(P52&gt;9,1,VLOOKUP(D52,命格辅助表!$S$3:$U$10,3,0)),0)</f>
        <v>283</v>
      </c>
      <c r="R52">
        <f t="shared" si="10"/>
        <v>0</v>
      </c>
      <c r="S52">
        <f>ROUND(IF(R52=0,0,VLOOKUP($A52,命格属性表,15,0)+VLOOKUP($A52,命格属性表,22,0)*($D52-1))*IF(R52&gt;9,1,VLOOKUP(D52,命格辅助表!$S$3:$U$10,3,0)),0)</f>
        <v>0</v>
      </c>
      <c r="T52">
        <f t="shared" si="13"/>
        <v>0</v>
      </c>
      <c r="U52">
        <f t="shared" si="2"/>
        <v>0</v>
      </c>
    </row>
    <row r="53" spans="1:21">
      <c r="A53">
        <v>8420</v>
      </c>
      <c r="B53" t="s">
        <v>308</v>
      </c>
      <c r="C53">
        <f t="shared" si="11"/>
        <v>4</v>
      </c>
      <c r="D53">
        <v>3</v>
      </c>
      <c r="E53">
        <v>1</v>
      </c>
      <c r="F53">
        <v>10</v>
      </c>
      <c r="G53" t="str">
        <f>VLOOKUP(P53,定义数据!$B$14:$C$29,2,0)&amp;"+"&amp;Q53&amp;IF(R53=0,"",","&amp;VLOOKUP(R53,定义数据!$B$14:$C$29,2,0)&amp;"+"&amp;S53)&amp;IF(T53=0,"",","&amp;VLOOKUP(T53,定义数据!$B$14:$C$29,2,0)&amp;"+"&amp;U53)</f>
        <v>命中值+425</v>
      </c>
      <c r="H53">
        <v>0</v>
      </c>
      <c r="I53">
        <f t="shared" si="12"/>
        <v>4</v>
      </c>
      <c r="J53">
        <f>IF(ISERROR(VLOOKUP(D53,命格辅助表!$I$76:$N$86,D_命格表!E53+2,0)),0,VLOOKUP(D53,命格辅助表!$I$76:$N$86,D_命格表!E53+2,0))</f>
        <v>320</v>
      </c>
      <c r="K53">
        <f>IF(ISERROR(VLOOKUP(D53,命格辅助表!$P$76:$U$86,E53+2,0)),0,VLOOKUP(D53,命格辅助表!$P$76:$U$86,E53+2,0))</f>
        <v>280</v>
      </c>
      <c r="L53">
        <v>0</v>
      </c>
      <c r="M53">
        <v>0</v>
      </c>
      <c r="N53">
        <v>8420</v>
      </c>
      <c r="O53">
        <f t="shared" si="6"/>
        <v>1</v>
      </c>
      <c r="P53">
        <f t="shared" si="9"/>
        <v>6</v>
      </c>
      <c r="Q53">
        <f>ROUND((VLOOKUP($A53,命格属性表,13,0)+VLOOKUP($A53,命格属性表,20,0)*($D53-1))*IF(P53&gt;9,1,VLOOKUP(D53,命格辅助表!$S$3:$U$10,3,0)),0)</f>
        <v>425</v>
      </c>
      <c r="R53">
        <f t="shared" si="10"/>
        <v>0</v>
      </c>
      <c r="S53">
        <f>ROUND(IF(R53=0,0,VLOOKUP($A53,命格属性表,15,0)+VLOOKUP($A53,命格属性表,22,0)*($D53-1))*IF(R53&gt;9,1,VLOOKUP(D53,命格辅助表!$S$3:$U$10,3,0)),0)</f>
        <v>0</v>
      </c>
      <c r="T53">
        <f t="shared" si="13"/>
        <v>0</v>
      </c>
      <c r="U53">
        <f t="shared" si="2"/>
        <v>0</v>
      </c>
    </row>
    <row r="54" spans="1:21">
      <c r="A54">
        <v>8420</v>
      </c>
      <c r="B54" t="s">
        <v>308</v>
      </c>
      <c r="C54">
        <f t="shared" si="11"/>
        <v>4</v>
      </c>
      <c r="D54">
        <v>4</v>
      </c>
      <c r="E54">
        <v>1</v>
      </c>
      <c r="F54">
        <v>10</v>
      </c>
      <c r="G54" t="str">
        <f>VLOOKUP(P54,定义数据!$B$14:$C$29,2,0)&amp;"+"&amp;Q54&amp;IF(R54=0,"",","&amp;VLOOKUP(R54,定义数据!$B$14:$C$29,2,0)&amp;"+"&amp;S54)&amp;IF(T54=0,"",","&amp;VLOOKUP(T54,定义数据!$B$14:$C$29,2,0)&amp;"+"&amp;U54)</f>
        <v>命中值+637</v>
      </c>
      <c r="H54">
        <v>0</v>
      </c>
      <c r="I54">
        <f t="shared" si="12"/>
        <v>4</v>
      </c>
      <c r="J54">
        <f>IF(ISERROR(VLOOKUP(D54,命格辅助表!$I$76:$N$86,D_命格表!E54+2,0)),0,VLOOKUP(D54,命格辅助表!$I$76:$N$86,D_命格表!E54+2,0))</f>
        <v>640</v>
      </c>
      <c r="K54">
        <f>IF(ISERROR(VLOOKUP(D54,命格辅助表!$P$76:$U$86,E54+2,0)),0,VLOOKUP(D54,命格辅助表!$P$76:$U$86,E54+2,0))</f>
        <v>600</v>
      </c>
      <c r="L54">
        <v>0</v>
      </c>
      <c r="M54">
        <v>0</v>
      </c>
      <c r="N54">
        <v>8420</v>
      </c>
      <c r="O54">
        <f t="shared" si="6"/>
        <v>1</v>
      </c>
      <c r="P54">
        <f t="shared" si="9"/>
        <v>6</v>
      </c>
      <c r="Q54">
        <f>ROUND((VLOOKUP($A54,命格属性表,13,0)+VLOOKUP($A54,命格属性表,20,0)*($D54-1))*IF(P54&gt;9,1,VLOOKUP(D54,命格辅助表!$S$3:$U$10,3,0)),0)</f>
        <v>637</v>
      </c>
      <c r="R54">
        <f t="shared" si="10"/>
        <v>0</v>
      </c>
      <c r="S54">
        <f>ROUND(IF(R54=0,0,VLOOKUP($A54,命格属性表,15,0)+VLOOKUP($A54,命格属性表,22,0)*($D54-1))*IF(R54&gt;9,1,VLOOKUP(D54,命格辅助表!$S$3:$U$10,3,0)),0)</f>
        <v>0</v>
      </c>
      <c r="T54">
        <f t="shared" si="13"/>
        <v>0</v>
      </c>
      <c r="U54">
        <f t="shared" si="2"/>
        <v>0</v>
      </c>
    </row>
    <row r="55" spans="1:21">
      <c r="A55">
        <v>8420</v>
      </c>
      <c r="B55" t="s">
        <v>308</v>
      </c>
      <c r="C55">
        <f t="shared" si="11"/>
        <v>4</v>
      </c>
      <c r="D55">
        <v>5</v>
      </c>
      <c r="E55">
        <v>1</v>
      </c>
      <c r="F55">
        <v>10</v>
      </c>
      <c r="G55" t="str">
        <f>VLOOKUP(P55,定义数据!$B$14:$C$29,2,0)&amp;"+"&amp;Q55&amp;IF(R55=0,"",","&amp;VLOOKUP(R55,定义数据!$B$14:$C$29,2,0)&amp;"+"&amp;S55)&amp;IF(T55=0,"",","&amp;VLOOKUP(T55,定义数据!$B$14:$C$29,2,0)&amp;"+"&amp;U55)</f>
        <v>命中值+955</v>
      </c>
      <c r="H55">
        <v>0</v>
      </c>
      <c r="I55">
        <f t="shared" si="12"/>
        <v>4</v>
      </c>
      <c r="J55">
        <f>IF(ISERROR(VLOOKUP(D55,命格辅助表!$I$76:$N$86,D_命格表!E55+2,0)),0,VLOOKUP(D55,命格辅助表!$I$76:$N$86,D_命格表!E55+2,0))</f>
        <v>1280</v>
      </c>
      <c r="K55">
        <f>IF(ISERROR(VLOOKUP(D55,命格辅助表!$P$76:$U$86,E55+2,0)),0,VLOOKUP(D55,命格辅助表!$P$76:$U$86,E55+2,0))</f>
        <v>1240</v>
      </c>
      <c r="L55">
        <v>0</v>
      </c>
      <c r="M55">
        <v>0</v>
      </c>
      <c r="N55">
        <v>8420</v>
      </c>
      <c r="O55">
        <f t="shared" si="6"/>
        <v>1</v>
      </c>
      <c r="P55">
        <f t="shared" si="9"/>
        <v>6</v>
      </c>
      <c r="Q55">
        <f>ROUND((VLOOKUP($A55,命格属性表,13,0)+VLOOKUP($A55,命格属性表,20,0)*($D55-1))*IF(P55&gt;9,1,VLOOKUP(D55,命格辅助表!$S$3:$U$10,3,0)),0)</f>
        <v>955</v>
      </c>
      <c r="R55">
        <f t="shared" si="10"/>
        <v>0</v>
      </c>
      <c r="S55">
        <f>ROUND(IF(R55=0,0,VLOOKUP($A55,命格属性表,15,0)+VLOOKUP($A55,命格属性表,22,0)*($D55-1))*IF(R55&gt;9,1,VLOOKUP(D55,命格辅助表!$S$3:$U$10,3,0)),0)</f>
        <v>0</v>
      </c>
      <c r="T55">
        <f t="shared" si="13"/>
        <v>0</v>
      </c>
      <c r="U55">
        <f t="shared" si="2"/>
        <v>0</v>
      </c>
    </row>
    <row r="56" spans="1:21">
      <c r="A56">
        <v>8420</v>
      </c>
      <c r="B56" t="s">
        <v>308</v>
      </c>
      <c r="C56">
        <f t="shared" si="11"/>
        <v>4</v>
      </c>
      <c r="D56">
        <v>6</v>
      </c>
      <c r="E56">
        <v>1</v>
      </c>
      <c r="F56">
        <v>10</v>
      </c>
      <c r="G56" t="str">
        <f>VLOOKUP(P56,定义数据!$B$14:$C$29,2,0)&amp;"+"&amp;Q56&amp;IF(R56=0,"",","&amp;VLOOKUP(R56,定义数据!$B$14:$C$29,2,0)&amp;"+"&amp;S56)&amp;IF(T56=0,"",","&amp;VLOOKUP(T56,定义数据!$B$14:$C$29,2,0)&amp;"+"&amp;U56)</f>
        <v>命中值+1433</v>
      </c>
      <c r="H56">
        <v>0</v>
      </c>
      <c r="I56">
        <f t="shared" si="12"/>
        <v>4</v>
      </c>
      <c r="J56">
        <f>IF(ISERROR(VLOOKUP(D56,命格辅助表!$I$76:$N$86,D_命格表!E56+2,0)),0,VLOOKUP(D56,命格辅助表!$I$76:$N$86,D_命格表!E56+2,0))</f>
        <v>2560</v>
      </c>
      <c r="K56">
        <f>IF(ISERROR(VLOOKUP(D56,命格辅助表!$P$76:$U$86,E56+2,0)),0,VLOOKUP(D56,命格辅助表!$P$76:$U$86,E56+2,0))</f>
        <v>2520</v>
      </c>
      <c r="L56">
        <v>0</v>
      </c>
      <c r="M56">
        <v>0</v>
      </c>
      <c r="N56">
        <v>8420</v>
      </c>
      <c r="O56">
        <f t="shared" si="6"/>
        <v>1</v>
      </c>
      <c r="P56">
        <f t="shared" si="9"/>
        <v>6</v>
      </c>
      <c r="Q56">
        <f>ROUND((VLOOKUP($A56,命格属性表,13,0)+VLOOKUP($A56,命格属性表,20,0)*($D56-1))*IF(P56&gt;9,1,VLOOKUP(D56,命格辅助表!$S$3:$U$10,3,0)),0)</f>
        <v>1433</v>
      </c>
      <c r="R56">
        <f t="shared" si="10"/>
        <v>0</v>
      </c>
      <c r="S56">
        <f>ROUND(IF(R56=0,0,VLOOKUP($A56,命格属性表,15,0)+VLOOKUP($A56,命格属性表,22,0)*($D56-1))*IF(R56&gt;9,1,VLOOKUP(D56,命格辅助表!$S$3:$U$10,3,0)),0)</f>
        <v>0</v>
      </c>
      <c r="T56">
        <f t="shared" si="13"/>
        <v>0</v>
      </c>
      <c r="U56">
        <f t="shared" si="2"/>
        <v>0</v>
      </c>
    </row>
    <row r="57" spans="1:21">
      <c r="A57">
        <v>8420</v>
      </c>
      <c r="B57" t="s">
        <v>308</v>
      </c>
      <c r="C57">
        <f t="shared" si="11"/>
        <v>4</v>
      </c>
      <c r="D57">
        <v>7</v>
      </c>
      <c r="E57">
        <v>1</v>
      </c>
      <c r="F57">
        <v>10</v>
      </c>
      <c r="G57" t="str">
        <f>VLOOKUP(P57,定义数据!$B$14:$C$29,2,0)&amp;"+"&amp;Q57&amp;IF(R57=0,"",","&amp;VLOOKUP(R57,定义数据!$B$14:$C$29,2,0)&amp;"+"&amp;S57)&amp;IF(T57=0,"",","&amp;VLOOKUP(T57,定义数据!$B$14:$C$29,2,0)&amp;"+"&amp;U57)</f>
        <v>命中值+2149</v>
      </c>
      <c r="H57">
        <v>0</v>
      </c>
      <c r="I57">
        <f t="shared" si="12"/>
        <v>4</v>
      </c>
      <c r="J57">
        <f>IF(ISERROR(VLOOKUP(D57,命格辅助表!$I$76:$N$86,D_命格表!E57+2,0)),0,VLOOKUP(D57,命格辅助表!$I$76:$N$86,D_命格表!E57+2,0))</f>
        <v>5120</v>
      </c>
      <c r="K57">
        <f>IF(ISERROR(VLOOKUP(D57,命格辅助表!$P$76:$U$86,E57+2,0)),0,VLOOKUP(D57,命格辅助表!$P$76:$U$86,E57+2,0))</f>
        <v>5080</v>
      </c>
      <c r="L57">
        <v>0</v>
      </c>
      <c r="M57">
        <v>0</v>
      </c>
      <c r="N57">
        <v>8420</v>
      </c>
      <c r="O57">
        <f t="shared" si="6"/>
        <v>1</v>
      </c>
      <c r="P57">
        <f t="shared" si="9"/>
        <v>6</v>
      </c>
      <c r="Q57">
        <f>ROUND((VLOOKUP($A57,命格属性表,13,0)+VLOOKUP($A57,命格属性表,20,0)*($D57-1))*IF(P57&gt;9,1,VLOOKUP(D57,命格辅助表!$S$3:$U$10,3,0)),0)</f>
        <v>2149</v>
      </c>
      <c r="R57">
        <f t="shared" si="10"/>
        <v>0</v>
      </c>
      <c r="S57">
        <f>ROUND(IF(R57=0,0,VLOOKUP($A57,命格属性表,15,0)+VLOOKUP($A57,命格属性表,22,0)*($D57-1))*IF(R57&gt;9,1,VLOOKUP(D57,命格辅助表!$S$3:$U$10,3,0)),0)</f>
        <v>0</v>
      </c>
      <c r="T57">
        <f t="shared" si="13"/>
        <v>0</v>
      </c>
      <c r="U57">
        <f t="shared" si="2"/>
        <v>0</v>
      </c>
    </row>
    <row r="58" spans="1:21">
      <c r="A58">
        <v>8420</v>
      </c>
      <c r="B58" t="s">
        <v>308</v>
      </c>
      <c r="C58">
        <f t="shared" si="11"/>
        <v>4</v>
      </c>
      <c r="D58">
        <v>8</v>
      </c>
      <c r="E58">
        <v>1</v>
      </c>
      <c r="F58">
        <v>10</v>
      </c>
      <c r="G58" t="str">
        <f>VLOOKUP(P58,定义数据!$B$14:$C$29,2,0)&amp;"+"&amp;Q58&amp;IF(R58=0,"",","&amp;VLOOKUP(R58,定义数据!$B$14:$C$29,2,0)&amp;"+"&amp;S58)&amp;IF(T58=0,"",","&amp;VLOOKUP(T58,定义数据!$B$14:$C$29,2,0)&amp;"+"&amp;U58)</f>
        <v>命中值+3224</v>
      </c>
      <c r="H58">
        <v>0</v>
      </c>
      <c r="I58">
        <f t="shared" si="12"/>
        <v>4</v>
      </c>
      <c r="J58">
        <f>IF(ISERROR(VLOOKUP(D58,命格辅助表!$I$76:$N$86,D_命格表!E58+2,0)),0,VLOOKUP(D58,命格辅助表!$I$76:$N$86,D_命格表!E58+2,0))</f>
        <v>10240</v>
      </c>
      <c r="K58">
        <f>IF(ISERROR(VLOOKUP(D58,命格辅助表!$P$76:$U$86,E58+2,0)),0,VLOOKUP(D58,命格辅助表!$P$76:$U$86,E58+2,0))</f>
        <v>10200</v>
      </c>
      <c r="L58">
        <f>IF(ISERROR(VLOOKUP(D58,命格辅助表!$I$76:$N$86,D_命格表!E58+2,0)),0,VLOOKUP(D58,命格辅助表!$I$76:$N$86,D_命格表!E58+2,0))</f>
        <v>10240</v>
      </c>
      <c r="M58">
        <f>A58+10</f>
        <v>8430</v>
      </c>
      <c r="N58">
        <v>8420</v>
      </c>
      <c r="O58">
        <f t="shared" si="6"/>
        <v>1</v>
      </c>
      <c r="P58">
        <f t="shared" si="9"/>
        <v>6</v>
      </c>
      <c r="Q58">
        <f>ROUND((VLOOKUP($A58,命格属性表,13,0)+VLOOKUP($A58,命格属性表,20,0)*($D58-1))*IF(P58&gt;9,1,VLOOKUP(D58,命格辅助表!$S$3:$U$10,3,0)),0)</f>
        <v>3224</v>
      </c>
      <c r="R58">
        <f t="shared" si="10"/>
        <v>0</v>
      </c>
      <c r="S58">
        <f>ROUND(IF(R58=0,0,VLOOKUP($A58,命格属性表,15,0)+VLOOKUP($A58,命格属性表,22,0)*($D58-1))*IF(R58&gt;9,1,VLOOKUP(D58,命格辅助表!$S$3:$U$10,3,0)),0)</f>
        <v>0</v>
      </c>
      <c r="T58">
        <f t="shared" si="13"/>
        <v>0</v>
      </c>
      <c r="U58">
        <f t="shared" si="2"/>
        <v>0</v>
      </c>
    </row>
    <row r="59" spans="1:21">
      <c r="A59">
        <v>8520</v>
      </c>
      <c r="B59" t="s">
        <v>309</v>
      </c>
      <c r="C59">
        <f t="shared" si="11"/>
        <v>5</v>
      </c>
      <c r="D59">
        <v>1</v>
      </c>
      <c r="E59">
        <v>1</v>
      </c>
      <c r="F59">
        <v>10</v>
      </c>
      <c r="G59" t="str">
        <f>VLOOKUP(P59,定义数据!$B$14:$C$29,2,0)&amp;"+"&amp;Q59&amp;IF(R59=0,"",","&amp;VLOOKUP(R59,定义数据!$B$14:$C$29,2,0)&amp;"+"&amp;S59)&amp;IF(T59=0,"",","&amp;VLOOKUP(T59,定义数据!$B$14:$C$29,2,0)&amp;"+"&amp;U59)</f>
        <v>闪避值+189</v>
      </c>
      <c r="H59">
        <v>0</v>
      </c>
      <c r="I59">
        <f t="shared" si="12"/>
        <v>5</v>
      </c>
      <c r="J59">
        <f>IF(ISERROR(VLOOKUP(D59,命格辅助表!$I$76:$N$86,D_命格表!E59+2,0)),0,VLOOKUP(D59,命格辅助表!$I$76:$N$86,D_命格表!E59+2,0))</f>
        <v>80</v>
      </c>
      <c r="K59">
        <f>IF(ISERROR(VLOOKUP(D59,命格辅助表!$P$76:$U$86,E59+2,0)),0,VLOOKUP(D59,命格辅助表!$P$76:$U$86,E59+2,0))</f>
        <v>40</v>
      </c>
      <c r="L59">
        <v>0</v>
      </c>
      <c r="M59">
        <v>0</v>
      </c>
      <c r="N59">
        <v>8120</v>
      </c>
      <c r="O59">
        <f t="shared" si="6"/>
        <v>1</v>
      </c>
      <c r="P59">
        <f t="shared" si="9"/>
        <v>7</v>
      </c>
      <c r="Q59">
        <f>ROUND((VLOOKUP($A59,命格属性表,13,0)+VLOOKUP($A59,命格属性表,20,0)*($D59-1))*IF(P59&gt;9,1,VLOOKUP(D59,命格辅助表!$S$3:$U$10,3,0)),0)</f>
        <v>189</v>
      </c>
      <c r="R59">
        <f t="shared" si="10"/>
        <v>0</v>
      </c>
      <c r="S59">
        <f>ROUND(IF(R59=0,0,VLOOKUP($A59,命格属性表,15,0)+VLOOKUP($A59,命格属性表,22,0)*($D59-1))*IF(R59&gt;9,1,VLOOKUP(D59,命格辅助表!$S$3:$U$10,3,0)),0)</f>
        <v>0</v>
      </c>
      <c r="T59">
        <f t="shared" si="13"/>
        <v>0</v>
      </c>
      <c r="U59">
        <f t="shared" si="2"/>
        <v>0</v>
      </c>
    </row>
    <row r="60" spans="1:21">
      <c r="A60">
        <v>8520</v>
      </c>
      <c r="B60" t="s">
        <v>309</v>
      </c>
      <c r="C60">
        <f t="shared" si="11"/>
        <v>5</v>
      </c>
      <c r="D60">
        <v>2</v>
      </c>
      <c r="E60">
        <v>1</v>
      </c>
      <c r="F60">
        <v>10</v>
      </c>
      <c r="G60" t="str">
        <f>VLOOKUP(P60,定义数据!$B$14:$C$29,2,0)&amp;"+"&amp;Q60&amp;IF(R60=0,"",","&amp;VLOOKUP(R60,定义数据!$B$14:$C$29,2,0)&amp;"+"&amp;S60)&amp;IF(T60=0,"",","&amp;VLOOKUP(T60,定义数据!$B$14:$C$29,2,0)&amp;"+"&amp;U60)</f>
        <v>闪避值+283</v>
      </c>
      <c r="H60">
        <v>0</v>
      </c>
      <c r="I60">
        <f t="shared" si="12"/>
        <v>5</v>
      </c>
      <c r="J60">
        <f>IF(ISERROR(VLOOKUP(D60,命格辅助表!$I$76:$N$86,D_命格表!E60+2,0)),0,VLOOKUP(D60,命格辅助表!$I$76:$N$86,D_命格表!E60+2,0))</f>
        <v>160</v>
      </c>
      <c r="K60">
        <f>IF(ISERROR(VLOOKUP(D60,命格辅助表!$P$76:$U$86,E60+2,0)),0,VLOOKUP(D60,命格辅助表!$P$76:$U$86,E60+2,0))</f>
        <v>120</v>
      </c>
      <c r="L60">
        <v>0</v>
      </c>
      <c r="M60">
        <v>0</v>
      </c>
      <c r="N60">
        <v>8120</v>
      </c>
      <c r="O60">
        <f t="shared" si="6"/>
        <v>1</v>
      </c>
      <c r="P60">
        <f t="shared" si="9"/>
        <v>7</v>
      </c>
      <c r="Q60">
        <f>ROUND((VLOOKUP($A60,命格属性表,13,0)+VLOOKUP($A60,命格属性表,20,0)*($D60-1))*IF(P60&gt;9,1,VLOOKUP(D60,命格辅助表!$S$3:$U$10,3,0)),0)</f>
        <v>283</v>
      </c>
      <c r="R60">
        <f t="shared" si="10"/>
        <v>0</v>
      </c>
      <c r="S60">
        <f>ROUND(IF(R60=0,0,VLOOKUP($A60,命格属性表,15,0)+VLOOKUP($A60,命格属性表,22,0)*($D60-1))*IF(R60&gt;9,1,VLOOKUP(D60,命格辅助表!$S$3:$U$10,3,0)),0)</f>
        <v>0</v>
      </c>
      <c r="T60">
        <f t="shared" si="13"/>
        <v>0</v>
      </c>
      <c r="U60">
        <f t="shared" si="2"/>
        <v>0</v>
      </c>
    </row>
    <row r="61" spans="1:21">
      <c r="A61">
        <v>8520</v>
      </c>
      <c r="B61" t="s">
        <v>309</v>
      </c>
      <c r="C61">
        <f t="shared" si="11"/>
        <v>5</v>
      </c>
      <c r="D61">
        <v>3</v>
      </c>
      <c r="E61">
        <v>1</v>
      </c>
      <c r="F61">
        <v>10</v>
      </c>
      <c r="G61" t="str">
        <f>VLOOKUP(P61,定义数据!$B$14:$C$29,2,0)&amp;"+"&amp;Q61&amp;IF(R61=0,"",","&amp;VLOOKUP(R61,定义数据!$B$14:$C$29,2,0)&amp;"+"&amp;S61)&amp;IF(T61=0,"",","&amp;VLOOKUP(T61,定义数据!$B$14:$C$29,2,0)&amp;"+"&amp;U61)</f>
        <v>闪避值+425</v>
      </c>
      <c r="H61">
        <v>0</v>
      </c>
      <c r="I61">
        <f t="shared" si="12"/>
        <v>5</v>
      </c>
      <c r="J61">
        <f>IF(ISERROR(VLOOKUP(D61,命格辅助表!$I$76:$N$86,D_命格表!E61+2,0)),0,VLOOKUP(D61,命格辅助表!$I$76:$N$86,D_命格表!E61+2,0))</f>
        <v>320</v>
      </c>
      <c r="K61">
        <f>IF(ISERROR(VLOOKUP(D61,命格辅助表!$P$76:$U$86,E61+2,0)),0,VLOOKUP(D61,命格辅助表!$P$76:$U$86,E61+2,0))</f>
        <v>280</v>
      </c>
      <c r="L61">
        <v>0</v>
      </c>
      <c r="M61">
        <v>0</v>
      </c>
      <c r="N61">
        <v>8120</v>
      </c>
      <c r="O61">
        <f t="shared" si="6"/>
        <v>1</v>
      </c>
      <c r="P61">
        <f t="shared" si="9"/>
        <v>7</v>
      </c>
      <c r="Q61">
        <f>ROUND((VLOOKUP($A61,命格属性表,13,0)+VLOOKUP($A61,命格属性表,20,0)*($D61-1))*IF(P61&gt;9,1,VLOOKUP(D61,命格辅助表!$S$3:$U$10,3,0)),0)</f>
        <v>425</v>
      </c>
      <c r="R61">
        <f t="shared" si="10"/>
        <v>0</v>
      </c>
      <c r="S61">
        <f>ROUND(IF(R61=0,0,VLOOKUP($A61,命格属性表,15,0)+VLOOKUP($A61,命格属性表,22,0)*($D61-1))*IF(R61&gt;9,1,VLOOKUP(D61,命格辅助表!$S$3:$U$10,3,0)),0)</f>
        <v>0</v>
      </c>
      <c r="T61">
        <f t="shared" si="13"/>
        <v>0</v>
      </c>
      <c r="U61">
        <f t="shared" si="2"/>
        <v>0</v>
      </c>
    </row>
    <row r="62" spans="1:21">
      <c r="A62">
        <v>8520</v>
      </c>
      <c r="B62" t="s">
        <v>309</v>
      </c>
      <c r="C62">
        <f t="shared" si="11"/>
        <v>5</v>
      </c>
      <c r="D62">
        <v>4</v>
      </c>
      <c r="E62">
        <v>1</v>
      </c>
      <c r="F62">
        <v>10</v>
      </c>
      <c r="G62" t="str">
        <f>VLOOKUP(P62,定义数据!$B$14:$C$29,2,0)&amp;"+"&amp;Q62&amp;IF(R62=0,"",","&amp;VLOOKUP(R62,定义数据!$B$14:$C$29,2,0)&amp;"+"&amp;S62)&amp;IF(T62=0,"",","&amp;VLOOKUP(T62,定义数据!$B$14:$C$29,2,0)&amp;"+"&amp;U62)</f>
        <v>闪避值+637</v>
      </c>
      <c r="H62">
        <v>0</v>
      </c>
      <c r="I62">
        <f t="shared" si="12"/>
        <v>5</v>
      </c>
      <c r="J62">
        <f>IF(ISERROR(VLOOKUP(D62,命格辅助表!$I$76:$N$86,D_命格表!E62+2,0)),0,VLOOKUP(D62,命格辅助表!$I$76:$N$86,D_命格表!E62+2,0))</f>
        <v>640</v>
      </c>
      <c r="K62">
        <f>IF(ISERROR(VLOOKUP(D62,命格辅助表!$P$76:$U$86,E62+2,0)),0,VLOOKUP(D62,命格辅助表!$P$76:$U$86,E62+2,0))</f>
        <v>600</v>
      </c>
      <c r="L62">
        <v>0</v>
      </c>
      <c r="M62">
        <v>0</v>
      </c>
      <c r="N62">
        <v>8120</v>
      </c>
      <c r="O62">
        <f t="shared" si="6"/>
        <v>1</v>
      </c>
      <c r="P62">
        <f t="shared" si="9"/>
        <v>7</v>
      </c>
      <c r="Q62">
        <f>ROUND((VLOOKUP($A62,命格属性表,13,0)+VLOOKUP($A62,命格属性表,20,0)*($D62-1))*IF(P62&gt;9,1,VLOOKUP(D62,命格辅助表!$S$3:$U$10,3,0)),0)</f>
        <v>637</v>
      </c>
      <c r="R62">
        <f t="shared" si="10"/>
        <v>0</v>
      </c>
      <c r="S62">
        <f>ROUND(IF(R62=0,0,VLOOKUP($A62,命格属性表,15,0)+VLOOKUP($A62,命格属性表,22,0)*($D62-1))*IF(R62&gt;9,1,VLOOKUP(D62,命格辅助表!$S$3:$U$10,3,0)),0)</f>
        <v>0</v>
      </c>
      <c r="T62">
        <f t="shared" si="13"/>
        <v>0</v>
      </c>
      <c r="U62">
        <f t="shared" si="2"/>
        <v>0</v>
      </c>
    </row>
    <row r="63" spans="1:21">
      <c r="A63">
        <v>8520</v>
      </c>
      <c r="B63" t="s">
        <v>309</v>
      </c>
      <c r="C63">
        <f t="shared" si="11"/>
        <v>5</v>
      </c>
      <c r="D63">
        <v>5</v>
      </c>
      <c r="E63">
        <v>1</v>
      </c>
      <c r="F63">
        <v>10</v>
      </c>
      <c r="G63" t="str">
        <f>VLOOKUP(P63,定义数据!$B$14:$C$29,2,0)&amp;"+"&amp;Q63&amp;IF(R63=0,"",","&amp;VLOOKUP(R63,定义数据!$B$14:$C$29,2,0)&amp;"+"&amp;S63)&amp;IF(T63=0,"",","&amp;VLOOKUP(T63,定义数据!$B$14:$C$29,2,0)&amp;"+"&amp;U63)</f>
        <v>闪避值+955</v>
      </c>
      <c r="H63">
        <v>0</v>
      </c>
      <c r="I63">
        <f t="shared" si="12"/>
        <v>5</v>
      </c>
      <c r="J63">
        <f>IF(ISERROR(VLOOKUP(D63,命格辅助表!$I$76:$N$86,D_命格表!E63+2,0)),0,VLOOKUP(D63,命格辅助表!$I$76:$N$86,D_命格表!E63+2,0))</f>
        <v>1280</v>
      </c>
      <c r="K63">
        <f>IF(ISERROR(VLOOKUP(D63,命格辅助表!$P$76:$U$86,E63+2,0)),0,VLOOKUP(D63,命格辅助表!$P$76:$U$86,E63+2,0))</f>
        <v>1240</v>
      </c>
      <c r="L63">
        <v>0</v>
      </c>
      <c r="M63">
        <v>0</v>
      </c>
      <c r="N63">
        <v>8120</v>
      </c>
      <c r="O63">
        <f t="shared" si="6"/>
        <v>1</v>
      </c>
      <c r="P63">
        <f t="shared" si="9"/>
        <v>7</v>
      </c>
      <c r="Q63">
        <f>ROUND((VLOOKUP($A63,命格属性表,13,0)+VLOOKUP($A63,命格属性表,20,0)*($D63-1))*IF(P63&gt;9,1,VLOOKUP(D63,命格辅助表!$S$3:$U$10,3,0)),0)</f>
        <v>955</v>
      </c>
      <c r="R63">
        <f t="shared" si="10"/>
        <v>0</v>
      </c>
      <c r="S63">
        <f>ROUND(IF(R63=0,0,VLOOKUP($A63,命格属性表,15,0)+VLOOKUP($A63,命格属性表,22,0)*($D63-1))*IF(R63&gt;9,1,VLOOKUP(D63,命格辅助表!$S$3:$U$10,3,0)),0)</f>
        <v>0</v>
      </c>
      <c r="T63">
        <f t="shared" si="13"/>
        <v>0</v>
      </c>
      <c r="U63">
        <f t="shared" si="2"/>
        <v>0</v>
      </c>
    </row>
    <row r="64" spans="1:21">
      <c r="A64">
        <v>8520</v>
      </c>
      <c r="B64" t="s">
        <v>309</v>
      </c>
      <c r="C64">
        <f t="shared" si="11"/>
        <v>5</v>
      </c>
      <c r="D64">
        <v>6</v>
      </c>
      <c r="E64">
        <v>1</v>
      </c>
      <c r="F64">
        <v>10</v>
      </c>
      <c r="G64" t="str">
        <f>VLOOKUP(P64,定义数据!$B$14:$C$29,2,0)&amp;"+"&amp;Q64&amp;IF(R64=0,"",","&amp;VLOOKUP(R64,定义数据!$B$14:$C$29,2,0)&amp;"+"&amp;S64)&amp;IF(T64=0,"",","&amp;VLOOKUP(T64,定义数据!$B$14:$C$29,2,0)&amp;"+"&amp;U64)</f>
        <v>闪避值+1433</v>
      </c>
      <c r="H64">
        <v>0</v>
      </c>
      <c r="I64">
        <f t="shared" si="12"/>
        <v>5</v>
      </c>
      <c r="J64">
        <f>IF(ISERROR(VLOOKUP(D64,命格辅助表!$I$76:$N$86,D_命格表!E64+2,0)),0,VLOOKUP(D64,命格辅助表!$I$76:$N$86,D_命格表!E64+2,0))</f>
        <v>2560</v>
      </c>
      <c r="K64">
        <f>IF(ISERROR(VLOOKUP(D64,命格辅助表!$P$76:$U$86,E64+2,0)),0,VLOOKUP(D64,命格辅助表!$P$76:$U$86,E64+2,0))</f>
        <v>2520</v>
      </c>
      <c r="L64">
        <v>0</v>
      </c>
      <c r="M64">
        <v>0</v>
      </c>
      <c r="N64">
        <v>8120</v>
      </c>
      <c r="O64">
        <f t="shared" si="6"/>
        <v>1</v>
      </c>
      <c r="P64">
        <f t="shared" si="9"/>
        <v>7</v>
      </c>
      <c r="Q64">
        <f>ROUND((VLOOKUP($A64,命格属性表,13,0)+VLOOKUP($A64,命格属性表,20,0)*($D64-1))*IF(P64&gt;9,1,VLOOKUP(D64,命格辅助表!$S$3:$U$10,3,0)),0)</f>
        <v>1433</v>
      </c>
      <c r="R64">
        <f t="shared" si="10"/>
        <v>0</v>
      </c>
      <c r="S64">
        <f>ROUND(IF(R64=0,0,VLOOKUP($A64,命格属性表,15,0)+VLOOKUP($A64,命格属性表,22,0)*($D64-1))*IF(R64&gt;9,1,VLOOKUP(D64,命格辅助表!$S$3:$U$10,3,0)),0)</f>
        <v>0</v>
      </c>
      <c r="T64">
        <f t="shared" si="13"/>
        <v>0</v>
      </c>
      <c r="U64">
        <f t="shared" si="2"/>
        <v>0</v>
      </c>
    </row>
    <row r="65" spans="1:21">
      <c r="A65">
        <v>8520</v>
      </c>
      <c r="B65" t="s">
        <v>309</v>
      </c>
      <c r="C65">
        <f t="shared" si="11"/>
        <v>5</v>
      </c>
      <c r="D65">
        <v>7</v>
      </c>
      <c r="E65">
        <v>1</v>
      </c>
      <c r="F65">
        <v>10</v>
      </c>
      <c r="G65" t="str">
        <f>VLOOKUP(P65,定义数据!$B$14:$C$29,2,0)&amp;"+"&amp;Q65&amp;IF(R65=0,"",","&amp;VLOOKUP(R65,定义数据!$B$14:$C$29,2,0)&amp;"+"&amp;S65)&amp;IF(T65=0,"",","&amp;VLOOKUP(T65,定义数据!$B$14:$C$29,2,0)&amp;"+"&amp;U65)</f>
        <v>闪避值+2149</v>
      </c>
      <c r="H65">
        <v>0</v>
      </c>
      <c r="I65">
        <f t="shared" si="12"/>
        <v>5</v>
      </c>
      <c r="J65">
        <f>IF(ISERROR(VLOOKUP(D65,命格辅助表!$I$76:$N$86,D_命格表!E65+2,0)),0,VLOOKUP(D65,命格辅助表!$I$76:$N$86,D_命格表!E65+2,0))</f>
        <v>5120</v>
      </c>
      <c r="K65">
        <f>IF(ISERROR(VLOOKUP(D65,命格辅助表!$P$76:$U$86,E65+2,0)),0,VLOOKUP(D65,命格辅助表!$P$76:$U$86,E65+2,0))</f>
        <v>5080</v>
      </c>
      <c r="L65">
        <v>0</v>
      </c>
      <c r="M65">
        <v>0</v>
      </c>
      <c r="N65">
        <v>8120</v>
      </c>
      <c r="O65">
        <f t="shared" si="6"/>
        <v>1</v>
      </c>
      <c r="P65">
        <f t="shared" si="9"/>
        <v>7</v>
      </c>
      <c r="Q65">
        <f>ROUND((VLOOKUP($A65,命格属性表,13,0)+VLOOKUP($A65,命格属性表,20,0)*($D65-1))*IF(P65&gt;9,1,VLOOKUP(D65,命格辅助表!$S$3:$U$10,3,0)),0)</f>
        <v>2149</v>
      </c>
      <c r="R65">
        <f t="shared" si="10"/>
        <v>0</v>
      </c>
      <c r="S65">
        <f>ROUND(IF(R65=0,0,VLOOKUP($A65,命格属性表,15,0)+VLOOKUP($A65,命格属性表,22,0)*($D65-1))*IF(R65&gt;9,1,VLOOKUP(D65,命格辅助表!$S$3:$U$10,3,0)),0)</f>
        <v>0</v>
      </c>
      <c r="T65">
        <f t="shared" si="13"/>
        <v>0</v>
      </c>
      <c r="U65">
        <f t="shared" si="2"/>
        <v>0</v>
      </c>
    </row>
    <row r="66" spans="1:21">
      <c r="A66">
        <v>8520</v>
      </c>
      <c r="B66" t="s">
        <v>309</v>
      </c>
      <c r="C66">
        <f t="shared" si="11"/>
        <v>5</v>
      </c>
      <c r="D66">
        <v>8</v>
      </c>
      <c r="E66">
        <v>1</v>
      </c>
      <c r="F66">
        <v>10</v>
      </c>
      <c r="G66" t="str">
        <f>VLOOKUP(P66,定义数据!$B$14:$C$29,2,0)&amp;"+"&amp;Q66&amp;IF(R66=0,"",","&amp;VLOOKUP(R66,定义数据!$B$14:$C$29,2,0)&amp;"+"&amp;S66)&amp;IF(T66=0,"",","&amp;VLOOKUP(T66,定义数据!$B$14:$C$29,2,0)&amp;"+"&amp;U66)</f>
        <v>闪避值+3224</v>
      </c>
      <c r="H66">
        <v>0</v>
      </c>
      <c r="I66">
        <f t="shared" si="12"/>
        <v>5</v>
      </c>
      <c r="J66">
        <f>IF(ISERROR(VLOOKUP(D66,命格辅助表!$I$76:$N$86,D_命格表!E66+2,0)),0,VLOOKUP(D66,命格辅助表!$I$76:$N$86,D_命格表!E66+2,0))</f>
        <v>10240</v>
      </c>
      <c r="K66">
        <f>IF(ISERROR(VLOOKUP(D66,命格辅助表!$P$76:$U$86,E66+2,0)),0,VLOOKUP(D66,命格辅助表!$P$76:$U$86,E66+2,0))</f>
        <v>10200</v>
      </c>
      <c r="L66">
        <f>IF(ISERROR(VLOOKUP(D66,命格辅助表!$I$76:$N$86,D_命格表!E66+2,0)),0,VLOOKUP(D66,命格辅助表!$I$76:$N$86,D_命格表!E66+2,0))</f>
        <v>10240</v>
      </c>
      <c r="M66">
        <f>A66+10</f>
        <v>8530</v>
      </c>
      <c r="N66">
        <v>8120</v>
      </c>
      <c r="O66">
        <f t="shared" si="6"/>
        <v>1</v>
      </c>
      <c r="P66">
        <f t="shared" si="9"/>
        <v>7</v>
      </c>
      <c r="Q66">
        <f>ROUND((VLOOKUP($A66,命格属性表,13,0)+VLOOKUP($A66,命格属性表,20,0)*($D66-1))*IF(P66&gt;9,1,VLOOKUP(D66,命格辅助表!$S$3:$U$10,3,0)),0)</f>
        <v>3224</v>
      </c>
      <c r="R66">
        <f t="shared" si="10"/>
        <v>0</v>
      </c>
      <c r="S66">
        <f>ROUND(IF(R66=0,0,VLOOKUP($A66,命格属性表,15,0)+VLOOKUP($A66,命格属性表,22,0)*($D66-1))*IF(R66&gt;9,1,VLOOKUP(D66,命格辅助表!$S$3:$U$10,3,0)),0)</f>
        <v>0</v>
      </c>
      <c r="T66">
        <f t="shared" si="13"/>
        <v>0</v>
      </c>
      <c r="U66">
        <f t="shared" ref="U66:U129" si="14">IF(T66=0,0,VLOOKUP($A66,命格属性表,17,0)+VLOOKUP($A66,命格属性表,24,0)*($D66-1))</f>
        <v>0</v>
      </c>
    </row>
    <row r="67" spans="1:21">
      <c r="A67">
        <v>8620</v>
      </c>
      <c r="B67" t="s">
        <v>310</v>
      </c>
      <c r="C67">
        <f t="shared" si="11"/>
        <v>6</v>
      </c>
      <c r="D67">
        <v>1</v>
      </c>
      <c r="E67">
        <v>1</v>
      </c>
      <c r="F67">
        <v>10</v>
      </c>
      <c r="G67" t="str">
        <f>VLOOKUP(P67,定义数据!$B$14:$C$29,2,0)&amp;"+"&amp;Q67&amp;IF(R67=0,"",","&amp;VLOOKUP(R67,定义数据!$B$14:$C$29,2,0)&amp;"+"&amp;S67)&amp;IF(T67=0,"",","&amp;VLOOKUP(T67,定义数据!$B$14:$C$29,2,0)&amp;"+"&amp;U67)</f>
        <v>韧性值+357</v>
      </c>
      <c r="H67">
        <v>0</v>
      </c>
      <c r="I67">
        <f t="shared" si="12"/>
        <v>6</v>
      </c>
      <c r="J67">
        <f>IF(ISERROR(VLOOKUP(D67,命格辅助表!$I$76:$N$86,D_命格表!E67+2,0)),0,VLOOKUP(D67,命格辅助表!$I$76:$N$86,D_命格表!E67+2,0))</f>
        <v>80</v>
      </c>
      <c r="K67">
        <f>IF(ISERROR(VLOOKUP(D67,命格辅助表!$P$76:$U$86,E67+2,0)),0,VLOOKUP(D67,命格辅助表!$P$76:$U$86,E67+2,0))</f>
        <v>40</v>
      </c>
      <c r="L67">
        <v>0</v>
      </c>
      <c r="M67">
        <v>0</v>
      </c>
      <c r="N67">
        <v>8220</v>
      </c>
      <c r="O67">
        <f t="shared" ref="O67:O130" si="15">COUNTIF(P67:U67,"&gt;0")/2</f>
        <v>1</v>
      </c>
      <c r="P67">
        <f t="shared" si="9"/>
        <v>9</v>
      </c>
      <c r="Q67">
        <f>ROUND((VLOOKUP($A67,命格属性表,13,0)+VLOOKUP($A67,命格属性表,20,0)*($D67-1))*IF(P67&gt;9,1,VLOOKUP(D67,命格辅助表!$S$3:$U$10,3,0)),0)</f>
        <v>357</v>
      </c>
      <c r="R67">
        <f t="shared" si="10"/>
        <v>0</v>
      </c>
      <c r="S67">
        <f>ROUND(IF(R67=0,0,VLOOKUP($A67,命格属性表,15,0)+VLOOKUP($A67,命格属性表,22,0)*($D67-1))*IF(R67&gt;9,1,VLOOKUP(D67,命格辅助表!$S$3:$U$10,3,0)),0)</f>
        <v>0</v>
      </c>
      <c r="T67">
        <f t="shared" si="13"/>
        <v>0</v>
      </c>
      <c r="U67">
        <f t="shared" si="14"/>
        <v>0</v>
      </c>
    </row>
    <row r="68" spans="1:21">
      <c r="A68">
        <v>8620</v>
      </c>
      <c r="B68" t="s">
        <v>310</v>
      </c>
      <c r="C68">
        <f t="shared" si="11"/>
        <v>6</v>
      </c>
      <c r="D68">
        <v>2</v>
      </c>
      <c r="E68">
        <v>1</v>
      </c>
      <c r="F68">
        <v>10</v>
      </c>
      <c r="G68" t="str">
        <f>VLOOKUP(P68,定义数据!$B$14:$C$29,2,0)&amp;"+"&amp;Q68&amp;IF(R68=0,"",","&amp;VLOOKUP(R68,定义数据!$B$14:$C$29,2,0)&amp;"+"&amp;S68)&amp;IF(T68=0,"",","&amp;VLOOKUP(T68,定义数据!$B$14:$C$29,2,0)&amp;"+"&amp;U68)</f>
        <v>韧性值+535</v>
      </c>
      <c r="H68">
        <v>0</v>
      </c>
      <c r="I68">
        <f t="shared" si="12"/>
        <v>6</v>
      </c>
      <c r="J68">
        <f>IF(ISERROR(VLOOKUP(D68,命格辅助表!$I$76:$N$86,D_命格表!E68+2,0)),0,VLOOKUP(D68,命格辅助表!$I$76:$N$86,D_命格表!E68+2,0))</f>
        <v>160</v>
      </c>
      <c r="K68">
        <f>IF(ISERROR(VLOOKUP(D68,命格辅助表!$P$76:$U$86,E68+2,0)),0,VLOOKUP(D68,命格辅助表!$P$76:$U$86,E68+2,0))</f>
        <v>120</v>
      </c>
      <c r="L68">
        <v>0</v>
      </c>
      <c r="M68">
        <v>0</v>
      </c>
      <c r="N68">
        <v>8220</v>
      </c>
      <c r="O68">
        <f t="shared" si="15"/>
        <v>1</v>
      </c>
      <c r="P68">
        <f t="shared" si="9"/>
        <v>9</v>
      </c>
      <c r="Q68">
        <f>ROUND((VLOOKUP($A68,命格属性表,13,0)+VLOOKUP($A68,命格属性表,20,0)*($D68-1))*IF(P68&gt;9,1,VLOOKUP(D68,命格辅助表!$S$3:$U$10,3,0)),0)</f>
        <v>535</v>
      </c>
      <c r="R68">
        <f t="shared" si="10"/>
        <v>0</v>
      </c>
      <c r="S68">
        <f>ROUND(IF(R68=0,0,VLOOKUP($A68,命格属性表,15,0)+VLOOKUP($A68,命格属性表,22,0)*($D68-1))*IF(R68&gt;9,1,VLOOKUP(D68,命格辅助表!$S$3:$U$10,3,0)),0)</f>
        <v>0</v>
      </c>
      <c r="T68">
        <f t="shared" si="13"/>
        <v>0</v>
      </c>
      <c r="U68">
        <f t="shared" si="14"/>
        <v>0</v>
      </c>
    </row>
    <row r="69" spans="1:21">
      <c r="A69">
        <v>8620</v>
      </c>
      <c r="B69" t="s">
        <v>310</v>
      </c>
      <c r="C69">
        <f t="shared" si="11"/>
        <v>6</v>
      </c>
      <c r="D69">
        <v>3</v>
      </c>
      <c r="E69">
        <v>1</v>
      </c>
      <c r="F69">
        <v>10</v>
      </c>
      <c r="G69" t="str">
        <f>VLOOKUP(P69,定义数据!$B$14:$C$29,2,0)&amp;"+"&amp;Q69&amp;IF(R69=0,"",","&amp;VLOOKUP(R69,定义数据!$B$14:$C$29,2,0)&amp;"+"&amp;S69)&amp;IF(T69=0,"",","&amp;VLOOKUP(T69,定义数据!$B$14:$C$29,2,0)&amp;"+"&amp;U69)</f>
        <v>韧性值+803</v>
      </c>
      <c r="H69">
        <v>0</v>
      </c>
      <c r="I69">
        <f t="shared" si="12"/>
        <v>6</v>
      </c>
      <c r="J69">
        <f>IF(ISERROR(VLOOKUP(D69,命格辅助表!$I$76:$N$86,D_命格表!E69+2,0)),0,VLOOKUP(D69,命格辅助表!$I$76:$N$86,D_命格表!E69+2,0))</f>
        <v>320</v>
      </c>
      <c r="K69">
        <f>IF(ISERROR(VLOOKUP(D69,命格辅助表!$P$76:$U$86,E69+2,0)),0,VLOOKUP(D69,命格辅助表!$P$76:$U$86,E69+2,0))</f>
        <v>280</v>
      </c>
      <c r="L69">
        <v>0</v>
      </c>
      <c r="M69">
        <v>0</v>
      </c>
      <c r="N69">
        <v>8220</v>
      </c>
      <c r="O69">
        <f t="shared" si="15"/>
        <v>1</v>
      </c>
      <c r="P69">
        <f t="shared" si="9"/>
        <v>9</v>
      </c>
      <c r="Q69">
        <f>ROUND((VLOOKUP($A69,命格属性表,13,0)+VLOOKUP($A69,命格属性表,20,0)*($D69-1))*IF(P69&gt;9,1,VLOOKUP(D69,命格辅助表!$S$3:$U$10,3,0)),0)</f>
        <v>803</v>
      </c>
      <c r="R69">
        <f t="shared" si="10"/>
        <v>0</v>
      </c>
      <c r="S69">
        <f>ROUND(IF(R69=0,0,VLOOKUP($A69,命格属性表,15,0)+VLOOKUP($A69,命格属性表,22,0)*($D69-1))*IF(R69&gt;9,1,VLOOKUP(D69,命格辅助表!$S$3:$U$10,3,0)),0)</f>
        <v>0</v>
      </c>
      <c r="T69">
        <f t="shared" si="13"/>
        <v>0</v>
      </c>
      <c r="U69">
        <f t="shared" si="14"/>
        <v>0</v>
      </c>
    </row>
    <row r="70" spans="1:21">
      <c r="A70">
        <v>8620</v>
      </c>
      <c r="B70" t="s">
        <v>310</v>
      </c>
      <c r="C70">
        <f t="shared" si="11"/>
        <v>6</v>
      </c>
      <c r="D70">
        <v>4</v>
      </c>
      <c r="E70">
        <v>1</v>
      </c>
      <c r="F70">
        <v>10</v>
      </c>
      <c r="G70" t="str">
        <f>VLOOKUP(P70,定义数据!$B$14:$C$29,2,0)&amp;"+"&amp;Q70&amp;IF(R70=0,"",","&amp;VLOOKUP(R70,定义数据!$B$14:$C$29,2,0)&amp;"+"&amp;S70)&amp;IF(T70=0,"",","&amp;VLOOKUP(T70,定义数据!$B$14:$C$29,2,0)&amp;"+"&amp;U70)</f>
        <v>韧性值+1204</v>
      </c>
      <c r="H70">
        <v>0</v>
      </c>
      <c r="I70">
        <f t="shared" si="12"/>
        <v>6</v>
      </c>
      <c r="J70">
        <f>IF(ISERROR(VLOOKUP(D70,命格辅助表!$I$76:$N$86,D_命格表!E70+2,0)),0,VLOOKUP(D70,命格辅助表!$I$76:$N$86,D_命格表!E70+2,0))</f>
        <v>640</v>
      </c>
      <c r="K70">
        <f>IF(ISERROR(VLOOKUP(D70,命格辅助表!$P$76:$U$86,E70+2,0)),0,VLOOKUP(D70,命格辅助表!$P$76:$U$86,E70+2,0))</f>
        <v>600</v>
      </c>
      <c r="L70">
        <v>0</v>
      </c>
      <c r="M70">
        <v>0</v>
      </c>
      <c r="N70">
        <v>8220</v>
      </c>
      <c r="O70">
        <f t="shared" si="15"/>
        <v>1</v>
      </c>
      <c r="P70">
        <f t="shared" si="9"/>
        <v>9</v>
      </c>
      <c r="Q70">
        <f>ROUND((VLOOKUP($A70,命格属性表,13,0)+VLOOKUP($A70,命格属性表,20,0)*($D70-1))*IF(P70&gt;9,1,VLOOKUP(D70,命格辅助表!$S$3:$U$10,3,0)),0)</f>
        <v>1204</v>
      </c>
      <c r="R70">
        <f t="shared" si="10"/>
        <v>0</v>
      </c>
      <c r="S70">
        <f>ROUND(IF(R70=0,0,VLOOKUP($A70,命格属性表,15,0)+VLOOKUP($A70,命格属性表,22,0)*($D70-1))*IF(R70&gt;9,1,VLOOKUP(D70,命格辅助表!$S$3:$U$10,3,0)),0)</f>
        <v>0</v>
      </c>
      <c r="T70">
        <f t="shared" si="13"/>
        <v>0</v>
      </c>
      <c r="U70">
        <f t="shared" si="14"/>
        <v>0</v>
      </c>
    </row>
    <row r="71" spans="1:21">
      <c r="A71">
        <v>8620</v>
      </c>
      <c r="B71" t="s">
        <v>310</v>
      </c>
      <c r="C71">
        <f t="shared" si="11"/>
        <v>6</v>
      </c>
      <c r="D71">
        <v>5</v>
      </c>
      <c r="E71">
        <v>1</v>
      </c>
      <c r="F71">
        <v>10</v>
      </c>
      <c r="G71" t="str">
        <f>VLOOKUP(P71,定义数据!$B$14:$C$29,2,0)&amp;"+"&amp;Q71&amp;IF(R71=0,"",","&amp;VLOOKUP(R71,定义数据!$B$14:$C$29,2,0)&amp;"+"&amp;S71)&amp;IF(T71=0,"",","&amp;VLOOKUP(T71,定义数据!$B$14:$C$29,2,0)&amp;"+"&amp;U71)</f>
        <v>韧性值+1806</v>
      </c>
      <c r="H71">
        <v>0</v>
      </c>
      <c r="I71">
        <f t="shared" si="12"/>
        <v>6</v>
      </c>
      <c r="J71">
        <f>IF(ISERROR(VLOOKUP(D71,命格辅助表!$I$76:$N$86,D_命格表!E71+2,0)),0,VLOOKUP(D71,命格辅助表!$I$76:$N$86,D_命格表!E71+2,0))</f>
        <v>1280</v>
      </c>
      <c r="K71">
        <f>IF(ISERROR(VLOOKUP(D71,命格辅助表!$P$76:$U$86,E71+2,0)),0,VLOOKUP(D71,命格辅助表!$P$76:$U$86,E71+2,0))</f>
        <v>1240</v>
      </c>
      <c r="L71">
        <v>0</v>
      </c>
      <c r="M71">
        <v>0</v>
      </c>
      <c r="N71">
        <v>8220</v>
      </c>
      <c r="O71">
        <f t="shared" si="15"/>
        <v>1</v>
      </c>
      <c r="P71">
        <f t="shared" si="9"/>
        <v>9</v>
      </c>
      <c r="Q71">
        <f>ROUND((VLOOKUP($A71,命格属性表,13,0)+VLOOKUP($A71,命格属性表,20,0)*($D71-1))*IF(P71&gt;9,1,VLOOKUP(D71,命格辅助表!$S$3:$U$10,3,0)),0)</f>
        <v>1806</v>
      </c>
      <c r="R71">
        <f t="shared" si="10"/>
        <v>0</v>
      </c>
      <c r="S71">
        <f>ROUND(IF(R71=0,0,VLOOKUP($A71,命格属性表,15,0)+VLOOKUP($A71,命格属性表,22,0)*($D71-1))*IF(R71&gt;9,1,VLOOKUP(D71,命格辅助表!$S$3:$U$10,3,0)),0)</f>
        <v>0</v>
      </c>
      <c r="T71">
        <f t="shared" si="13"/>
        <v>0</v>
      </c>
      <c r="U71">
        <f t="shared" si="14"/>
        <v>0</v>
      </c>
    </row>
    <row r="72" spans="1:21">
      <c r="A72">
        <v>8620</v>
      </c>
      <c r="B72" t="s">
        <v>310</v>
      </c>
      <c r="C72">
        <f t="shared" si="11"/>
        <v>6</v>
      </c>
      <c r="D72">
        <v>6</v>
      </c>
      <c r="E72">
        <v>1</v>
      </c>
      <c r="F72">
        <v>10</v>
      </c>
      <c r="G72" t="str">
        <f>VLOOKUP(P72,定义数据!$B$14:$C$29,2,0)&amp;"+"&amp;Q72&amp;IF(R72=0,"",","&amp;VLOOKUP(R72,定义数据!$B$14:$C$29,2,0)&amp;"+"&amp;S72)&amp;IF(T72=0,"",","&amp;VLOOKUP(T72,定义数据!$B$14:$C$29,2,0)&amp;"+"&amp;U72)</f>
        <v>韧性值+2709</v>
      </c>
      <c r="H72">
        <v>0</v>
      </c>
      <c r="I72">
        <f t="shared" si="12"/>
        <v>6</v>
      </c>
      <c r="J72">
        <f>IF(ISERROR(VLOOKUP(D72,命格辅助表!$I$76:$N$86,D_命格表!E72+2,0)),0,VLOOKUP(D72,命格辅助表!$I$76:$N$86,D_命格表!E72+2,0))</f>
        <v>2560</v>
      </c>
      <c r="K72">
        <f>IF(ISERROR(VLOOKUP(D72,命格辅助表!$P$76:$U$86,E72+2,0)),0,VLOOKUP(D72,命格辅助表!$P$76:$U$86,E72+2,0))</f>
        <v>2520</v>
      </c>
      <c r="L72">
        <v>0</v>
      </c>
      <c r="M72">
        <v>0</v>
      </c>
      <c r="N72">
        <v>8220</v>
      </c>
      <c r="O72">
        <f t="shared" si="15"/>
        <v>1</v>
      </c>
      <c r="P72">
        <f t="shared" si="9"/>
        <v>9</v>
      </c>
      <c r="Q72">
        <f>ROUND((VLOOKUP($A72,命格属性表,13,0)+VLOOKUP($A72,命格属性表,20,0)*($D72-1))*IF(P72&gt;9,1,VLOOKUP(D72,命格辅助表!$S$3:$U$10,3,0)),0)</f>
        <v>2709</v>
      </c>
      <c r="R72">
        <f t="shared" si="10"/>
        <v>0</v>
      </c>
      <c r="S72">
        <f>ROUND(IF(R72=0,0,VLOOKUP($A72,命格属性表,15,0)+VLOOKUP($A72,命格属性表,22,0)*($D72-1))*IF(R72&gt;9,1,VLOOKUP(D72,命格辅助表!$S$3:$U$10,3,0)),0)</f>
        <v>0</v>
      </c>
      <c r="T72">
        <f t="shared" si="13"/>
        <v>0</v>
      </c>
      <c r="U72">
        <f t="shared" si="14"/>
        <v>0</v>
      </c>
    </row>
    <row r="73" spans="1:21">
      <c r="A73">
        <v>8620</v>
      </c>
      <c r="B73" t="s">
        <v>310</v>
      </c>
      <c r="C73">
        <f t="shared" si="11"/>
        <v>6</v>
      </c>
      <c r="D73">
        <v>7</v>
      </c>
      <c r="E73">
        <v>1</v>
      </c>
      <c r="F73">
        <v>10</v>
      </c>
      <c r="G73" t="str">
        <f>VLOOKUP(P73,定义数据!$B$14:$C$29,2,0)&amp;"+"&amp;Q73&amp;IF(R73=0,"",","&amp;VLOOKUP(R73,定义数据!$B$14:$C$29,2,0)&amp;"+"&amp;S73)&amp;IF(T73=0,"",","&amp;VLOOKUP(T73,定义数据!$B$14:$C$29,2,0)&amp;"+"&amp;U73)</f>
        <v>韧性值+4064</v>
      </c>
      <c r="H73">
        <v>0</v>
      </c>
      <c r="I73">
        <f t="shared" si="12"/>
        <v>6</v>
      </c>
      <c r="J73">
        <f>IF(ISERROR(VLOOKUP(D73,命格辅助表!$I$76:$N$86,D_命格表!E73+2,0)),0,VLOOKUP(D73,命格辅助表!$I$76:$N$86,D_命格表!E73+2,0))</f>
        <v>5120</v>
      </c>
      <c r="K73">
        <f>IF(ISERROR(VLOOKUP(D73,命格辅助表!$P$76:$U$86,E73+2,0)),0,VLOOKUP(D73,命格辅助表!$P$76:$U$86,E73+2,0))</f>
        <v>5080</v>
      </c>
      <c r="L73">
        <v>0</v>
      </c>
      <c r="M73">
        <v>0</v>
      </c>
      <c r="N73">
        <v>8220</v>
      </c>
      <c r="O73">
        <f t="shared" si="15"/>
        <v>1</v>
      </c>
      <c r="P73">
        <f t="shared" si="9"/>
        <v>9</v>
      </c>
      <c r="Q73">
        <f>ROUND((VLOOKUP($A73,命格属性表,13,0)+VLOOKUP($A73,命格属性表,20,0)*($D73-1))*IF(P73&gt;9,1,VLOOKUP(D73,命格辅助表!$S$3:$U$10,3,0)),0)</f>
        <v>4064</v>
      </c>
      <c r="R73">
        <f t="shared" si="10"/>
        <v>0</v>
      </c>
      <c r="S73">
        <f>ROUND(IF(R73=0,0,VLOOKUP($A73,命格属性表,15,0)+VLOOKUP($A73,命格属性表,22,0)*($D73-1))*IF(R73&gt;9,1,VLOOKUP(D73,命格辅助表!$S$3:$U$10,3,0)),0)</f>
        <v>0</v>
      </c>
      <c r="T73">
        <f t="shared" si="13"/>
        <v>0</v>
      </c>
      <c r="U73">
        <f t="shared" si="14"/>
        <v>0</v>
      </c>
    </row>
    <row r="74" spans="1:21">
      <c r="A74">
        <v>8620</v>
      </c>
      <c r="B74" t="s">
        <v>310</v>
      </c>
      <c r="C74">
        <f t="shared" si="11"/>
        <v>6</v>
      </c>
      <c r="D74">
        <v>8</v>
      </c>
      <c r="E74">
        <v>1</v>
      </c>
      <c r="F74">
        <v>10</v>
      </c>
      <c r="G74" t="str">
        <f>VLOOKUP(P74,定义数据!$B$14:$C$29,2,0)&amp;"+"&amp;Q74&amp;IF(R74=0,"",","&amp;VLOOKUP(R74,定义数据!$B$14:$C$29,2,0)&amp;"+"&amp;S74)&amp;IF(T74=0,"",","&amp;VLOOKUP(T74,定义数据!$B$14:$C$29,2,0)&amp;"+"&amp;U74)</f>
        <v>韧性值+6096</v>
      </c>
      <c r="H74">
        <v>0</v>
      </c>
      <c r="I74">
        <f t="shared" si="12"/>
        <v>6</v>
      </c>
      <c r="J74">
        <f>IF(ISERROR(VLOOKUP(D74,命格辅助表!$I$76:$N$86,D_命格表!E74+2,0)),0,VLOOKUP(D74,命格辅助表!$I$76:$N$86,D_命格表!E74+2,0))</f>
        <v>10240</v>
      </c>
      <c r="K74">
        <f>IF(ISERROR(VLOOKUP(D74,命格辅助表!$P$76:$U$86,E74+2,0)),0,VLOOKUP(D74,命格辅助表!$P$76:$U$86,E74+2,0))</f>
        <v>10200</v>
      </c>
      <c r="L74">
        <f>IF(ISERROR(VLOOKUP(D74,命格辅助表!$I$76:$N$86,D_命格表!E74+2,0)),0,VLOOKUP(D74,命格辅助表!$I$76:$N$86,D_命格表!E74+2,0))</f>
        <v>10240</v>
      </c>
      <c r="M74">
        <f>A74+10</f>
        <v>8630</v>
      </c>
      <c r="N74">
        <v>8220</v>
      </c>
      <c r="O74">
        <f t="shared" si="15"/>
        <v>1</v>
      </c>
      <c r="P74">
        <f t="shared" si="9"/>
        <v>9</v>
      </c>
      <c r="Q74">
        <f>ROUND((VLOOKUP($A74,命格属性表,13,0)+VLOOKUP($A74,命格属性表,20,0)*($D74-1))*IF(P74&gt;9,1,VLOOKUP(D74,命格辅助表!$S$3:$U$10,3,0)),0)</f>
        <v>6096</v>
      </c>
      <c r="R74">
        <f t="shared" si="10"/>
        <v>0</v>
      </c>
      <c r="S74">
        <f>ROUND(IF(R74=0,0,VLOOKUP($A74,命格属性表,15,0)+VLOOKUP($A74,命格属性表,22,0)*($D74-1))*IF(R74&gt;9,1,VLOOKUP(D74,命格辅助表!$S$3:$U$10,3,0)),0)</f>
        <v>0</v>
      </c>
      <c r="T74">
        <f t="shared" si="13"/>
        <v>0</v>
      </c>
      <c r="U74">
        <f t="shared" si="14"/>
        <v>0</v>
      </c>
    </row>
    <row r="75" spans="1:21">
      <c r="A75">
        <v>8720</v>
      </c>
      <c r="B75" t="s">
        <v>311</v>
      </c>
      <c r="C75">
        <f t="shared" si="11"/>
        <v>7</v>
      </c>
      <c r="D75">
        <v>1</v>
      </c>
      <c r="E75">
        <v>1</v>
      </c>
      <c r="F75">
        <v>10</v>
      </c>
      <c r="G75" t="str">
        <f>VLOOKUP(P75,定义数据!$B$14:$C$29,2,0)&amp;"+"&amp;Q75&amp;IF(R75=0,"",","&amp;VLOOKUP(R75,定义数据!$B$14:$C$29,2,0)&amp;"+"&amp;S75)&amp;IF(T75=0,"",","&amp;VLOOKUP(T75,定义数据!$B$14:$C$29,2,0)&amp;"+"&amp;U75)</f>
        <v>暴击值+357</v>
      </c>
      <c r="H75">
        <v>0</v>
      </c>
      <c r="I75">
        <f t="shared" si="12"/>
        <v>7</v>
      </c>
      <c r="J75">
        <f>IF(ISERROR(VLOOKUP(D75,命格辅助表!$I$76:$N$86,D_命格表!E75+2,0)),0,VLOOKUP(D75,命格辅助表!$I$76:$N$86,D_命格表!E75+2,0))</f>
        <v>80</v>
      </c>
      <c r="K75">
        <f>IF(ISERROR(VLOOKUP(D75,命格辅助表!$P$76:$U$86,E75+2,0)),0,VLOOKUP(D75,命格辅助表!$P$76:$U$86,E75+2,0))</f>
        <v>40</v>
      </c>
      <c r="L75">
        <v>0</v>
      </c>
      <c r="M75">
        <v>0</v>
      </c>
      <c r="N75">
        <v>8320</v>
      </c>
      <c r="O75">
        <f t="shared" si="15"/>
        <v>1</v>
      </c>
      <c r="P75">
        <f t="shared" si="9"/>
        <v>8</v>
      </c>
      <c r="Q75">
        <f>ROUND((VLOOKUP($A75,命格属性表,13,0)+VLOOKUP($A75,命格属性表,20,0)*($D75-1))*IF(P75&gt;9,1,VLOOKUP(D75,命格辅助表!$S$3:$U$10,3,0)),0)</f>
        <v>357</v>
      </c>
      <c r="R75">
        <f t="shared" si="10"/>
        <v>0</v>
      </c>
      <c r="S75">
        <f>ROUND(IF(R75=0,0,VLOOKUP($A75,命格属性表,15,0)+VLOOKUP($A75,命格属性表,22,0)*($D75-1))*IF(R75&gt;9,1,VLOOKUP(D75,命格辅助表!$S$3:$U$10,3,0)),0)</f>
        <v>0</v>
      </c>
      <c r="T75">
        <f t="shared" si="13"/>
        <v>0</v>
      </c>
      <c r="U75">
        <f t="shared" si="14"/>
        <v>0</v>
      </c>
    </row>
    <row r="76" spans="1:21">
      <c r="A76">
        <v>8720</v>
      </c>
      <c r="B76" t="s">
        <v>311</v>
      </c>
      <c r="C76">
        <f t="shared" si="11"/>
        <v>7</v>
      </c>
      <c r="D76">
        <v>2</v>
      </c>
      <c r="E76">
        <v>1</v>
      </c>
      <c r="F76">
        <v>10</v>
      </c>
      <c r="G76" t="str">
        <f>VLOOKUP(P76,定义数据!$B$14:$C$29,2,0)&amp;"+"&amp;Q76&amp;IF(R76=0,"",","&amp;VLOOKUP(R76,定义数据!$B$14:$C$29,2,0)&amp;"+"&amp;S76)&amp;IF(T76=0,"",","&amp;VLOOKUP(T76,定义数据!$B$14:$C$29,2,0)&amp;"+"&amp;U76)</f>
        <v>暴击值+535</v>
      </c>
      <c r="H76">
        <v>0</v>
      </c>
      <c r="I76">
        <f t="shared" si="12"/>
        <v>7</v>
      </c>
      <c r="J76">
        <f>IF(ISERROR(VLOOKUP(D76,命格辅助表!$I$76:$N$86,D_命格表!E76+2,0)),0,VLOOKUP(D76,命格辅助表!$I$76:$N$86,D_命格表!E76+2,0))</f>
        <v>160</v>
      </c>
      <c r="K76">
        <f>IF(ISERROR(VLOOKUP(D76,命格辅助表!$P$76:$U$86,E76+2,0)),0,VLOOKUP(D76,命格辅助表!$P$76:$U$86,E76+2,0))</f>
        <v>120</v>
      </c>
      <c r="L76">
        <v>0</v>
      </c>
      <c r="M76">
        <v>0</v>
      </c>
      <c r="N76">
        <v>8320</v>
      </c>
      <c r="O76">
        <f t="shared" si="15"/>
        <v>1</v>
      </c>
      <c r="P76">
        <f t="shared" si="9"/>
        <v>8</v>
      </c>
      <c r="Q76">
        <f>ROUND((VLOOKUP($A76,命格属性表,13,0)+VLOOKUP($A76,命格属性表,20,0)*($D76-1))*IF(P76&gt;9,1,VLOOKUP(D76,命格辅助表!$S$3:$U$10,3,0)),0)</f>
        <v>535</v>
      </c>
      <c r="R76">
        <f t="shared" si="10"/>
        <v>0</v>
      </c>
      <c r="S76">
        <f>ROUND(IF(R76=0,0,VLOOKUP($A76,命格属性表,15,0)+VLOOKUP($A76,命格属性表,22,0)*($D76-1))*IF(R76&gt;9,1,VLOOKUP(D76,命格辅助表!$S$3:$U$10,3,0)),0)</f>
        <v>0</v>
      </c>
      <c r="T76">
        <f t="shared" si="13"/>
        <v>0</v>
      </c>
      <c r="U76">
        <f t="shared" si="14"/>
        <v>0</v>
      </c>
    </row>
    <row r="77" spans="1:21">
      <c r="A77">
        <v>8720</v>
      </c>
      <c r="B77" t="s">
        <v>311</v>
      </c>
      <c r="C77">
        <f t="shared" si="11"/>
        <v>7</v>
      </c>
      <c r="D77">
        <v>3</v>
      </c>
      <c r="E77">
        <v>1</v>
      </c>
      <c r="F77">
        <v>10</v>
      </c>
      <c r="G77" t="str">
        <f>VLOOKUP(P77,定义数据!$B$14:$C$29,2,0)&amp;"+"&amp;Q77&amp;IF(R77=0,"",","&amp;VLOOKUP(R77,定义数据!$B$14:$C$29,2,0)&amp;"+"&amp;S77)&amp;IF(T77=0,"",","&amp;VLOOKUP(T77,定义数据!$B$14:$C$29,2,0)&amp;"+"&amp;U77)</f>
        <v>暴击值+803</v>
      </c>
      <c r="H77">
        <v>0</v>
      </c>
      <c r="I77">
        <f t="shared" si="12"/>
        <v>7</v>
      </c>
      <c r="J77">
        <f>IF(ISERROR(VLOOKUP(D77,命格辅助表!$I$76:$N$86,D_命格表!E77+2,0)),0,VLOOKUP(D77,命格辅助表!$I$76:$N$86,D_命格表!E77+2,0))</f>
        <v>320</v>
      </c>
      <c r="K77">
        <f>IF(ISERROR(VLOOKUP(D77,命格辅助表!$P$76:$U$86,E77+2,0)),0,VLOOKUP(D77,命格辅助表!$P$76:$U$86,E77+2,0))</f>
        <v>280</v>
      </c>
      <c r="L77">
        <v>0</v>
      </c>
      <c r="M77">
        <v>0</v>
      </c>
      <c r="N77">
        <v>8320</v>
      </c>
      <c r="O77">
        <f t="shared" si="15"/>
        <v>1</v>
      </c>
      <c r="P77">
        <f t="shared" si="9"/>
        <v>8</v>
      </c>
      <c r="Q77">
        <f>ROUND((VLOOKUP($A77,命格属性表,13,0)+VLOOKUP($A77,命格属性表,20,0)*($D77-1))*IF(P77&gt;9,1,VLOOKUP(D77,命格辅助表!$S$3:$U$10,3,0)),0)</f>
        <v>803</v>
      </c>
      <c r="R77">
        <f t="shared" si="10"/>
        <v>0</v>
      </c>
      <c r="S77">
        <f>ROUND(IF(R77=0,0,VLOOKUP($A77,命格属性表,15,0)+VLOOKUP($A77,命格属性表,22,0)*($D77-1))*IF(R77&gt;9,1,VLOOKUP(D77,命格辅助表!$S$3:$U$10,3,0)),0)</f>
        <v>0</v>
      </c>
      <c r="T77">
        <f t="shared" si="13"/>
        <v>0</v>
      </c>
      <c r="U77">
        <f t="shared" si="14"/>
        <v>0</v>
      </c>
    </row>
    <row r="78" spans="1:21">
      <c r="A78">
        <v>8720</v>
      </c>
      <c r="B78" t="s">
        <v>311</v>
      </c>
      <c r="C78">
        <f t="shared" si="11"/>
        <v>7</v>
      </c>
      <c r="D78">
        <v>4</v>
      </c>
      <c r="E78">
        <v>1</v>
      </c>
      <c r="F78">
        <v>10</v>
      </c>
      <c r="G78" t="str">
        <f>VLOOKUP(P78,定义数据!$B$14:$C$29,2,0)&amp;"+"&amp;Q78&amp;IF(R78=0,"",","&amp;VLOOKUP(R78,定义数据!$B$14:$C$29,2,0)&amp;"+"&amp;S78)&amp;IF(T78=0,"",","&amp;VLOOKUP(T78,定义数据!$B$14:$C$29,2,0)&amp;"+"&amp;U78)</f>
        <v>暴击值+1204</v>
      </c>
      <c r="H78">
        <v>0</v>
      </c>
      <c r="I78">
        <f t="shared" si="12"/>
        <v>7</v>
      </c>
      <c r="J78">
        <f>IF(ISERROR(VLOOKUP(D78,命格辅助表!$I$76:$N$86,D_命格表!E78+2,0)),0,VLOOKUP(D78,命格辅助表!$I$76:$N$86,D_命格表!E78+2,0))</f>
        <v>640</v>
      </c>
      <c r="K78">
        <f>IF(ISERROR(VLOOKUP(D78,命格辅助表!$P$76:$U$86,E78+2,0)),0,VLOOKUP(D78,命格辅助表!$P$76:$U$86,E78+2,0))</f>
        <v>600</v>
      </c>
      <c r="L78">
        <v>0</v>
      </c>
      <c r="M78">
        <v>0</v>
      </c>
      <c r="N78">
        <v>8320</v>
      </c>
      <c r="O78">
        <f t="shared" si="15"/>
        <v>1</v>
      </c>
      <c r="P78">
        <f t="shared" si="9"/>
        <v>8</v>
      </c>
      <c r="Q78">
        <f>ROUND((VLOOKUP($A78,命格属性表,13,0)+VLOOKUP($A78,命格属性表,20,0)*($D78-1))*IF(P78&gt;9,1,VLOOKUP(D78,命格辅助表!$S$3:$U$10,3,0)),0)</f>
        <v>1204</v>
      </c>
      <c r="R78">
        <f t="shared" si="10"/>
        <v>0</v>
      </c>
      <c r="S78">
        <f>ROUND(IF(R78=0,0,VLOOKUP($A78,命格属性表,15,0)+VLOOKUP($A78,命格属性表,22,0)*($D78-1))*IF(R78&gt;9,1,VLOOKUP(D78,命格辅助表!$S$3:$U$10,3,0)),0)</f>
        <v>0</v>
      </c>
      <c r="T78">
        <f t="shared" si="13"/>
        <v>0</v>
      </c>
      <c r="U78">
        <f t="shared" si="14"/>
        <v>0</v>
      </c>
    </row>
    <row r="79" spans="1:21">
      <c r="A79">
        <v>8720</v>
      </c>
      <c r="B79" t="s">
        <v>311</v>
      </c>
      <c r="C79">
        <f t="shared" si="11"/>
        <v>7</v>
      </c>
      <c r="D79">
        <v>5</v>
      </c>
      <c r="E79">
        <v>1</v>
      </c>
      <c r="F79">
        <v>10</v>
      </c>
      <c r="G79" t="str">
        <f>VLOOKUP(P79,定义数据!$B$14:$C$29,2,0)&amp;"+"&amp;Q79&amp;IF(R79=0,"",","&amp;VLOOKUP(R79,定义数据!$B$14:$C$29,2,0)&amp;"+"&amp;S79)&amp;IF(T79=0,"",","&amp;VLOOKUP(T79,定义数据!$B$14:$C$29,2,0)&amp;"+"&amp;U79)</f>
        <v>暴击值+1806</v>
      </c>
      <c r="H79">
        <v>0</v>
      </c>
      <c r="I79">
        <f t="shared" si="12"/>
        <v>7</v>
      </c>
      <c r="J79">
        <f>IF(ISERROR(VLOOKUP(D79,命格辅助表!$I$76:$N$86,D_命格表!E79+2,0)),0,VLOOKUP(D79,命格辅助表!$I$76:$N$86,D_命格表!E79+2,0))</f>
        <v>1280</v>
      </c>
      <c r="K79">
        <f>IF(ISERROR(VLOOKUP(D79,命格辅助表!$P$76:$U$86,E79+2,0)),0,VLOOKUP(D79,命格辅助表!$P$76:$U$86,E79+2,0))</f>
        <v>1240</v>
      </c>
      <c r="L79">
        <v>0</v>
      </c>
      <c r="M79">
        <v>0</v>
      </c>
      <c r="N79">
        <v>8320</v>
      </c>
      <c r="O79">
        <f t="shared" si="15"/>
        <v>1</v>
      </c>
      <c r="P79">
        <f t="shared" si="9"/>
        <v>8</v>
      </c>
      <c r="Q79">
        <f>ROUND((VLOOKUP($A79,命格属性表,13,0)+VLOOKUP($A79,命格属性表,20,0)*($D79-1))*IF(P79&gt;9,1,VLOOKUP(D79,命格辅助表!$S$3:$U$10,3,0)),0)</f>
        <v>1806</v>
      </c>
      <c r="R79">
        <f t="shared" si="10"/>
        <v>0</v>
      </c>
      <c r="S79">
        <f>ROUND(IF(R79=0,0,VLOOKUP($A79,命格属性表,15,0)+VLOOKUP($A79,命格属性表,22,0)*($D79-1))*IF(R79&gt;9,1,VLOOKUP(D79,命格辅助表!$S$3:$U$10,3,0)),0)</f>
        <v>0</v>
      </c>
      <c r="T79">
        <f t="shared" si="13"/>
        <v>0</v>
      </c>
      <c r="U79">
        <f t="shared" si="14"/>
        <v>0</v>
      </c>
    </row>
    <row r="80" spans="1:21">
      <c r="A80">
        <v>8720</v>
      </c>
      <c r="B80" t="s">
        <v>311</v>
      </c>
      <c r="C80">
        <f t="shared" si="11"/>
        <v>7</v>
      </c>
      <c r="D80">
        <v>6</v>
      </c>
      <c r="E80">
        <v>1</v>
      </c>
      <c r="F80">
        <v>10</v>
      </c>
      <c r="G80" t="str">
        <f>VLOOKUP(P80,定义数据!$B$14:$C$29,2,0)&amp;"+"&amp;Q80&amp;IF(R80=0,"",","&amp;VLOOKUP(R80,定义数据!$B$14:$C$29,2,0)&amp;"+"&amp;S80)&amp;IF(T80=0,"",","&amp;VLOOKUP(T80,定义数据!$B$14:$C$29,2,0)&amp;"+"&amp;U80)</f>
        <v>暴击值+2709</v>
      </c>
      <c r="H80">
        <v>0</v>
      </c>
      <c r="I80">
        <f t="shared" si="12"/>
        <v>7</v>
      </c>
      <c r="J80">
        <f>IF(ISERROR(VLOOKUP(D80,命格辅助表!$I$76:$N$86,D_命格表!E80+2,0)),0,VLOOKUP(D80,命格辅助表!$I$76:$N$86,D_命格表!E80+2,0))</f>
        <v>2560</v>
      </c>
      <c r="K80">
        <f>IF(ISERROR(VLOOKUP(D80,命格辅助表!$P$76:$U$86,E80+2,0)),0,VLOOKUP(D80,命格辅助表!$P$76:$U$86,E80+2,0))</f>
        <v>2520</v>
      </c>
      <c r="L80">
        <v>0</v>
      </c>
      <c r="M80">
        <v>0</v>
      </c>
      <c r="N80">
        <v>8320</v>
      </c>
      <c r="O80">
        <f t="shared" si="15"/>
        <v>1</v>
      </c>
      <c r="P80">
        <f t="shared" si="9"/>
        <v>8</v>
      </c>
      <c r="Q80">
        <f>ROUND((VLOOKUP($A80,命格属性表,13,0)+VLOOKUP($A80,命格属性表,20,0)*($D80-1))*IF(P80&gt;9,1,VLOOKUP(D80,命格辅助表!$S$3:$U$10,3,0)),0)</f>
        <v>2709</v>
      </c>
      <c r="R80">
        <f t="shared" si="10"/>
        <v>0</v>
      </c>
      <c r="S80">
        <f>ROUND(IF(R80=0,0,VLOOKUP($A80,命格属性表,15,0)+VLOOKUP($A80,命格属性表,22,0)*($D80-1))*IF(R80&gt;9,1,VLOOKUP(D80,命格辅助表!$S$3:$U$10,3,0)),0)</f>
        <v>0</v>
      </c>
      <c r="T80">
        <f t="shared" si="13"/>
        <v>0</v>
      </c>
      <c r="U80">
        <f t="shared" si="14"/>
        <v>0</v>
      </c>
    </row>
    <row r="81" spans="1:21">
      <c r="A81">
        <v>8720</v>
      </c>
      <c r="B81" t="s">
        <v>311</v>
      </c>
      <c r="C81">
        <f t="shared" si="11"/>
        <v>7</v>
      </c>
      <c r="D81">
        <v>7</v>
      </c>
      <c r="E81">
        <v>1</v>
      </c>
      <c r="F81">
        <v>10</v>
      </c>
      <c r="G81" t="str">
        <f>VLOOKUP(P81,定义数据!$B$14:$C$29,2,0)&amp;"+"&amp;Q81&amp;IF(R81=0,"",","&amp;VLOOKUP(R81,定义数据!$B$14:$C$29,2,0)&amp;"+"&amp;S81)&amp;IF(T81=0,"",","&amp;VLOOKUP(T81,定义数据!$B$14:$C$29,2,0)&amp;"+"&amp;U81)</f>
        <v>暴击值+4064</v>
      </c>
      <c r="H81">
        <v>0</v>
      </c>
      <c r="I81">
        <f t="shared" si="12"/>
        <v>7</v>
      </c>
      <c r="J81">
        <f>IF(ISERROR(VLOOKUP(D81,命格辅助表!$I$76:$N$86,D_命格表!E81+2,0)),0,VLOOKUP(D81,命格辅助表!$I$76:$N$86,D_命格表!E81+2,0))</f>
        <v>5120</v>
      </c>
      <c r="K81">
        <f>IF(ISERROR(VLOOKUP(D81,命格辅助表!$P$76:$U$86,E81+2,0)),0,VLOOKUP(D81,命格辅助表!$P$76:$U$86,E81+2,0))</f>
        <v>5080</v>
      </c>
      <c r="L81">
        <v>0</v>
      </c>
      <c r="M81">
        <v>0</v>
      </c>
      <c r="N81">
        <v>8320</v>
      </c>
      <c r="O81">
        <f t="shared" si="15"/>
        <v>1</v>
      </c>
      <c r="P81">
        <f t="shared" si="9"/>
        <v>8</v>
      </c>
      <c r="Q81">
        <f>ROUND((VLOOKUP($A81,命格属性表,13,0)+VLOOKUP($A81,命格属性表,20,0)*($D81-1))*IF(P81&gt;9,1,VLOOKUP(D81,命格辅助表!$S$3:$U$10,3,0)),0)</f>
        <v>4064</v>
      </c>
      <c r="R81">
        <f t="shared" si="10"/>
        <v>0</v>
      </c>
      <c r="S81">
        <f>ROUND(IF(R81=0,0,VLOOKUP($A81,命格属性表,15,0)+VLOOKUP($A81,命格属性表,22,0)*($D81-1))*IF(R81&gt;9,1,VLOOKUP(D81,命格辅助表!$S$3:$U$10,3,0)),0)</f>
        <v>0</v>
      </c>
      <c r="T81">
        <f t="shared" si="13"/>
        <v>0</v>
      </c>
      <c r="U81">
        <f t="shared" si="14"/>
        <v>0</v>
      </c>
    </row>
    <row r="82" spans="1:21">
      <c r="A82">
        <v>8720</v>
      </c>
      <c r="B82" t="s">
        <v>311</v>
      </c>
      <c r="C82">
        <f t="shared" si="11"/>
        <v>7</v>
      </c>
      <c r="D82">
        <v>8</v>
      </c>
      <c r="E82">
        <v>1</v>
      </c>
      <c r="F82">
        <v>10</v>
      </c>
      <c r="G82" t="str">
        <f>VLOOKUP(P82,定义数据!$B$14:$C$29,2,0)&amp;"+"&amp;Q82&amp;IF(R82=0,"",","&amp;VLOOKUP(R82,定义数据!$B$14:$C$29,2,0)&amp;"+"&amp;S82)&amp;IF(T82=0,"",","&amp;VLOOKUP(T82,定义数据!$B$14:$C$29,2,0)&amp;"+"&amp;U82)</f>
        <v>暴击值+6096</v>
      </c>
      <c r="H82">
        <v>0</v>
      </c>
      <c r="I82">
        <f t="shared" si="12"/>
        <v>7</v>
      </c>
      <c r="J82">
        <f>IF(ISERROR(VLOOKUP(D82,命格辅助表!$I$76:$N$86,D_命格表!E82+2,0)),0,VLOOKUP(D82,命格辅助表!$I$76:$N$86,D_命格表!E82+2,0))</f>
        <v>10240</v>
      </c>
      <c r="K82">
        <f>IF(ISERROR(VLOOKUP(D82,命格辅助表!$P$76:$U$86,E82+2,0)),0,VLOOKUP(D82,命格辅助表!$P$76:$U$86,E82+2,0))</f>
        <v>10200</v>
      </c>
      <c r="L82">
        <f>IF(ISERROR(VLOOKUP(D82,命格辅助表!$I$76:$N$86,D_命格表!E82+2,0)),0,VLOOKUP(D82,命格辅助表!$I$76:$N$86,D_命格表!E82+2,0))</f>
        <v>10240</v>
      </c>
      <c r="M82">
        <f>A82+10</f>
        <v>8730</v>
      </c>
      <c r="N82">
        <v>8320</v>
      </c>
      <c r="O82">
        <f t="shared" si="15"/>
        <v>1</v>
      </c>
      <c r="P82">
        <f t="shared" si="9"/>
        <v>8</v>
      </c>
      <c r="Q82">
        <f>ROUND((VLOOKUP($A82,命格属性表,13,0)+VLOOKUP($A82,命格属性表,20,0)*($D82-1))*IF(P82&gt;9,1,VLOOKUP(D82,命格辅助表!$S$3:$U$10,3,0)),0)</f>
        <v>6096</v>
      </c>
      <c r="R82">
        <f t="shared" si="10"/>
        <v>0</v>
      </c>
      <c r="S82">
        <f>ROUND(IF(R82=0,0,VLOOKUP($A82,命格属性表,15,0)+VLOOKUP($A82,命格属性表,22,0)*($D82-1))*IF(R82&gt;9,1,VLOOKUP(D82,命格辅助表!$S$3:$U$10,3,0)),0)</f>
        <v>0</v>
      </c>
      <c r="T82">
        <f t="shared" si="13"/>
        <v>0</v>
      </c>
      <c r="U82">
        <f t="shared" si="14"/>
        <v>0</v>
      </c>
    </row>
    <row r="83" spans="1:21">
      <c r="A83">
        <v>8820</v>
      </c>
      <c r="B83" t="s">
        <v>312</v>
      </c>
      <c r="C83">
        <f t="shared" si="11"/>
        <v>8</v>
      </c>
      <c r="D83">
        <v>1</v>
      </c>
      <c r="E83">
        <v>1</v>
      </c>
      <c r="F83">
        <v>10</v>
      </c>
      <c r="G83" t="str">
        <f>VLOOKUP(P83,定义数据!$B$14:$C$29,2,0)&amp;"+"&amp;Q83&amp;IF(R83=0,"",","&amp;VLOOKUP(R83,定义数据!$B$14:$C$29,2,0)&amp;"+"&amp;S83)&amp;IF(T83=0,"",","&amp;VLOOKUP(T83,定义数据!$B$14:$C$29,2,0)&amp;"+"&amp;U83)</f>
        <v>暴击倍数+514,攻击+32</v>
      </c>
      <c r="H83">
        <v>0</v>
      </c>
      <c r="I83">
        <f t="shared" si="12"/>
        <v>8</v>
      </c>
      <c r="J83">
        <f>IF(ISERROR(VLOOKUP(D83,命格辅助表!$I$76:$N$86,D_命格表!E83+2,0)),0,VLOOKUP(D83,命格辅助表!$I$76:$N$86,D_命格表!E83+2,0))</f>
        <v>80</v>
      </c>
      <c r="K83">
        <f>IF(ISERROR(VLOOKUP(D83,命格辅助表!$P$76:$U$86,E83+2,0)),0,VLOOKUP(D83,命格辅助表!$P$76:$U$86,E83+2,0))</f>
        <v>40</v>
      </c>
      <c r="L83">
        <v>0</v>
      </c>
      <c r="M83">
        <v>0</v>
      </c>
      <c r="N83">
        <v>8420</v>
      </c>
      <c r="O83">
        <f t="shared" si="15"/>
        <v>2</v>
      </c>
      <c r="P83">
        <f t="shared" si="9"/>
        <v>10</v>
      </c>
      <c r="Q83">
        <f>ROUND((VLOOKUP($A83,命格属性表,13,0)+VLOOKUP($A83,命格属性表,20,0)*($D83-1))*IF(P83&gt;9,1,VLOOKUP(D83,命格辅助表!$S$3:$U$10,3,0)),0)</f>
        <v>514</v>
      </c>
      <c r="R83">
        <f t="shared" si="10"/>
        <v>2</v>
      </c>
      <c r="S83">
        <f>ROUND(IF(R83=0,0,VLOOKUP($A83,命格属性表,15,0)+VLOOKUP($A83,命格属性表,22,0)*($D83-1))*IF(R83&gt;9,1,VLOOKUP(D83,命格辅助表!$S$3:$U$10,3,0)),0)</f>
        <v>32</v>
      </c>
      <c r="T83">
        <f t="shared" si="13"/>
        <v>0</v>
      </c>
      <c r="U83">
        <f t="shared" si="14"/>
        <v>0</v>
      </c>
    </row>
    <row r="84" spans="1:21">
      <c r="A84">
        <v>8820</v>
      </c>
      <c r="B84" t="s">
        <v>312</v>
      </c>
      <c r="C84">
        <f t="shared" si="11"/>
        <v>8</v>
      </c>
      <c r="D84">
        <v>2</v>
      </c>
      <c r="E84">
        <v>1</v>
      </c>
      <c r="F84">
        <v>10</v>
      </c>
      <c r="G84" t="str">
        <f>VLOOKUP(P84,定义数据!$B$14:$C$29,2,0)&amp;"+"&amp;Q84&amp;IF(R84=0,"",","&amp;VLOOKUP(R84,定义数据!$B$14:$C$29,2,0)&amp;"+"&amp;S84)&amp;IF(T84=0,"",","&amp;VLOOKUP(T84,定义数据!$B$14:$C$29,2,0)&amp;"+"&amp;U84)</f>
        <v>暴击倍数+1028,攻击+48</v>
      </c>
      <c r="H84">
        <v>0</v>
      </c>
      <c r="I84">
        <f t="shared" si="12"/>
        <v>8</v>
      </c>
      <c r="J84">
        <f>IF(ISERROR(VLOOKUP(D84,命格辅助表!$I$76:$N$86,D_命格表!E84+2,0)),0,VLOOKUP(D84,命格辅助表!$I$76:$N$86,D_命格表!E84+2,0))</f>
        <v>160</v>
      </c>
      <c r="K84">
        <f>IF(ISERROR(VLOOKUP(D84,命格辅助表!$P$76:$U$86,E84+2,0)),0,VLOOKUP(D84,命格辅助表!$P$76:$U$86,E84+2,0))</f>
        <v>120</v>
      </c>
      <c r="L84">
        <v>0</v>
      </c>
      <c r="M84">
        <v>0</v>
      </c>
      <c r="N84">
        <v>8420</v>
      </c>
      <c r="O84">
        <f t="shared" si="15"/>
        <v>2</v>
      </c>
      <c r="P84">
        <f t="shared" si="9"/>
        <v>10</v>
      </c>
      <c r="Q84">
        <f>ROUND((VLOOKUP($A84,命格属性表,13,0)+VLOOKUP($A84,命格属性表,20,0)*($D84-1))*IF(P84&gt;9,1,VLOOKUP(D84,命格辅助表!$S$3:$U$10,3,0)),0)</f>
        <v>1028</v>
      </c>
      <c r="R84">
        <f t="shared" si="10"/>
        <v>2</v>
      </c>
      <c r="S84">
        <f>ROUND(IF(R84=0,0,VLOOKUP($A84,命格属性表,15,0)+VLOOKUP($A84,命格属性表,22,0)*($D84-1))*IF(R84&gt;9,1,VLOOKUP(D84,命格辅助表!$S$3:$U$10,3,0)),0)</f>
        <v>48</v>
      </c>
      <c r="T84">
        <f t="shared" si="13"/>
        <v>0</v>
      </c>
      <c r="U84">
        <f t="shared" si="14"/>
        <v>0</v>
      </c>
    </row>
    <row r="85" spans="1:21">
      <c r="A85">
        <v>8820</v>
      </c>
      <c r="B85" t="s">
        <v>312</v>
      </c>
      <c r="C85">
        <f t="shared" si="11"/>
        <v>8</v>
      </c>
      <c r="D85">
        <v>3</v>
      </c>
      <c r="E85">
        <v>1</v>
      </c>
      <c r="F85">
        <v>10</v>
      </c>
      <c r="G85" t="str">
        <f>VLOOKUP(P85,定义数据!$B$14:$C$29,2,0)&amp;"+"&amp;Q85&amp;IF(R85=0,"",","&amp;VLOOKUP(R85,定义数据!$B$14:$C$29,2,0)&amp;"+"&amp;S85)&amp;IF(T85=0,"",","&amp;VLOOKUP(T85,定义数据!$B$14:$C$29,2,0)&amp;"+"&amp;U85)</f>
        <v>暴击倍数+1542,攻击+72</v>
      </c>
      <c r="H85">
        <v>0</v>
      </c>
      <c r="I85">
        <f t="shared" si="12"/>
        <v>8</v>
      </c>
      <c r="J85">
        <f>IF(ISERROR(VLOOKUP(D85,命格辅助表!$I$76:$N$86,D_命格表!E85+2,0)),0,VLOOKUP(D85,命格辅助表!$I$76:$N$86,D_命格表!E85+2,0))</f>
        <v>320</v>
      </c>
      <c r="K85">
        <f>IF(ISERROR(VLOOKUP(D85,命格辅助表!$P$76:$U$86,E85+2,0)),0,VLOOKUP(D85,命格辅助表!$P$76:$U$86,E85+2,0))</f>
        <v>280</v>
      </c>
      <c r="L85">
        <v>0</v>
      </c>
      <c r="M85">
        <v>0</v>
      </c>
      <c r="N85">
        <v>8420</v>
      </c>
      <c r="O85">
        <f t="shared" si="15"/>
        <v>2</v>
      </c>
      <c r="P85">
        <f t="shared" si="9"/>
        <v>10</v>
      </c>
      <c r="Q85">
        <f>ROUND((VLOOKUP($A85,命格属性表,13,0)+VLOOKUP($A85,命格属性表,20,0)*($D85-1))*IF(P85&gt;9,1,VLOOKUP(D85,命格辅助表!$S$3:$U$10,3,0)),0)</f>
        <v>1542</v>
      </c>
      <c r="R85">
        <f t="shared" si="10"/>
        <v>2</v>
      </c>
      <c r="S85">
        <f>ROUND(IF(R85=0,0,VLOOKUP($A85,命格属性表,15,0)+VLOOKUP($A85,命格属性表,22,0)*($D85-1))*IF(R85&gt;9,1,VLOOKUP(D85,命格辅助表!$S$3:$U$10,3,0)),0)</f>
        <v>72</v>
      </c>
      <c r="T85">
        <f t="shared" si="13"/>
        <v>0</v>
      </c>
      <c r="U85">
        <f t="shared" si="14"/>
        <v>0</v>
      </c>
    </row>
    <row r="86" spans="1:21">
      <c r="A86">
        <v>8820</v>
      </c>
      <c r="B86" t="s">
        <v>312</v>
      </c>
      <c r="C86">
        <f t="shared" si="11"/>
        <v>8</v>
      </c>
      <c r="D86">
        <v>4</v>
      </c>
      <c r="E86">
        <v>1</v>
      </c>
      <c r="F86">
        <v>10</v>
      </c>
      <c r="G86" t="str">
        <f>VLOOKUP(P86,定义数据!$B$14:$C$29,2,0)&amp;"+"&amp;Q86&amp;IF(R86=0,"",","&amp;VLOOKUP(R86,定义数据!$B$14:$C$29,2,0)&amp;"+"&amp;S86)&amp;IF(T86=0,"",","&amp;VLOOKUP(T86,定义数据!$B$14:$C$29,2,0)&amp;"+"&amp;U86)</f>
        <v>暴击倍数+2056,攻击+107</v>
      </c>
      <c r="H86">
        <v>0</v>
      </c>
      <c r="I86">
        <f t="shared" si="12"/>
        <v>8</v>
      </c>
      <c r="J86">
        <f>IF(ISERROR(VLOOKUP(D86,命格辅助表!$I$76:$N$86,D_命格表!E86+2,0)),0,VLOOKUP(D86,命格辅助表!$I$76:$N$86,D_命格表!E86+2,0))</f>
        <v>640</v>
      </c>
      <c r="K86">
        <f>IF(ISERROR(VLOOKUP(D86,命格辅助表!$P$76:$U$86,E86+2,0)),0,VLOOKUP(D86,命格辅助表!$P$76:$U$86,E86+2,0))</f>
        <v>600</v>
      </c>
      <c r="L86">
        <v>0</v>
      </c>
      <c r="M86">
        <v>0</v>
      </c>
      <c r="N86">
        <v>8420</v>
      </c>
      <c r="O86">
        <f t="shared" si="15"/>
        <v>2</v>
      </c>
      <c r="P86">
        <f t="shared" si="9"/>
        <v>10</v>
      </c>
      <c r="Q86">
        <f>ROUND((VLOOKUP($A86,命格属性表,13,0)+VLOOKUP($A86,命格属性表,20,0)*($D86-1))*IF(P86&gt;9,1,VLOOKUP(D86,命格辅助表!$S$3:$U$10,3,0)),0)</f>
        <v>2056</v>
      </c>
      <c r="R86">
        <f t="shared" si="10"/>
        <v>2</v>
      </c>
      <c r="S86">
        <f>ROUND(IF(R86=0,0,VLOOKUP($A86,命格属性表,15,0)+VLOOKUP($A86,命格属性表,22,0)*($D86-1))*IF(R86&gt;9,1,VLOOKUP(D86,命格辅助表!$S$3:$U$10,3,0)),0)</f>
        <v>107</v>
      </c>
      <c r="T86">
        <f t="shared" si="13"/>
        <v>0</v>
      </c>
      <c r="U86">
        <f t="shared" si="14"/>
        <v>0</v>
      </c>
    </row>
    <row r="87" spans="1:21">
      <c r="A87">
        <v>8820</v>
      </c>
      <c r="B87" t="s">
        <v>312</v>
      </c>
      <c r="C87">
        <f t="shared" si="11"/>
        <v>8</v>
      </c>
      <c r="D87">
        <v>5</v>
      </c>
      <c r="E87">
        <v>1</v>
      </c>
      <c r="F87">
        <v>10</v>
      </c>
      <c r="G87" t="str">
        <f>VLOOKUP(P87,定义数据!$B$14:$C$29,2,0)&amp;"+"&amp;Q87&amp;IF(R87=0,"",","&amp;VLOOKUP(R87,定义数据!$B$14:$C$29,2,0)&amp;"+"&amp;S87)&amp;IF(T87=0,"",","&amp;VLOOKUP(T87,定义数据!$B$14:$C$29,2,0)&amp;"+"&amp;U87)</f>
        <v>暴击倍数+2570,攻击+161</v>
      </c>
      <c r="H87">
        <v>0</v>
      </c>
      <c r="I87">
        <f t="shared" si="12"/>
        <v>8</v>
      </c>
      <c r="J87">
        <f>IF(ISERROR(VLOOKUP(D87,命格辅助表!$I$76:$N$86,D_命格表!E87+2,0)),0,VLOOKUP(D87,命格辅助表!$I$76:$N$86,D_命格表!E87+2,0))</f>
        <v>1280</v>
      </c>
      <c r="K87">
        <f>IF(ISERROR(VLOOKUP(D87,命格辅助表!$P$76:$U$86,E87+2,0)),0,VLOOKUP(D87,命格辅助表!$P$76:$U$86,E87+2,0))</f>
        <v>1240</v>
      </c>
      <c r="L87">
        <v>0</v>
      </c>
      <c r="M87">
        <v>0</v>
      </c>
      <c r="N87">
        <v>8420</v>
      </c>
      <c r="O87">
        <f t="shared" si="15"/>
        <v>2</v>
      </c>
      <c r="P87">
        <f t="shared" si="9"/>
        <v>10</v>
      </c>
      <c r="Q87">
        <f>ROUND((VLOOKUP($A87,命格属性表,13,0)+VLOOKUP($A87,命格属性表,20,0)*($D87-1))*IF(P87&gt;9,1,VLOOKUP(D87,命格辅助表!$S$3:$U$10,3,0)),0)</f>
        <v>2570</v>
      </c>
      <c r="R87">
        <f t="shared" si="10"/>
        <v>2</v>
      </c>
      <c r="S87">
        <f>ROUND(IF(R87=0,0,VLOOKUP($A87,命格属性表,15,0)+VLOOKUP($A87,命格属性表,22,0)*($D87-1))*IF(R87&gt;9,1,VLOOKUP(D87,命格辅助表!$S$3:$U$10,3,0)),0)</f>
        <v>161</v>
      </c>
      <c r="T87">
        <f t="shared" si="13"/>
        <v>0</v>
      </c>
      <c r="U87">
        <f t="shared" si="14"/>
        <v>0</v>
      </c>
    </row>
    <row r="88" spans="1:21">
      <c r="A88">
        <v>8820</v>
      </c>
      <c r="B88" t="s">
        <v>312</v>
      </c>
      <c r="C88">
        <f t="shared" si="11"/>
        <v>8</v>
      </c>
      <c r="D88">
        <v>6</v>
      </c>
      <c r="E88">
        <v>1</v>
      </c>
      <c r="F88">
        <v>10</v>
      </c>
      <c r="G88" t="str">
        <f>VLOOKUP(P88,定义数据!$B$14:$C$29,2,0)&amp;"+"&amp;Q88&amp;IF(R88=0,"",","&amp;VLOOKUP(R88,定义数据!$B$14:$C$29,2,0)&amp;"+"&amp;S88)&amp;IF(T88=0,"",","&amp;VLOOKUP(T88,定义数据!$B$14:$C$29,2,0)&amp;"+"&amp;U88)</f>
        <v>暴击倍数+3084,攻击+242</v>
      </c>
      <c r="H88">
        <v>0</v>
      </c>
      <c r="I88">
        <f t="shared" si="12"/>
        <v>8</v>
      </c>
      <c r="J88">
        <f>IF(ISERROR(VLOOKUP(D88,命格辅助表!$I$76:$N$86,D_命格表!E88+2,0)),0,VLOOKUP(D88,命格辅助表!$I$76:$N$86,D_命格表!E88+2,0))</f>
        <v>2560</v>
      </c>
      <c r="K88">
        <f>IF(ISERROR(VLOOKUP(D88,命格辅助表!$P$76:$U$86,E88+2,0)),0,VLOOKUP(D88,命格辅助表!$P$76:$U$86,E88+2,0))</f>
        <v>2520</v>
      </c>
      <c r="L88">
        <v>0</v>
      </c>
      <c r="M88">
        <v>0</v>
      </c>
      <c r="N88">
        <v>8420</v>
      </c>
      <c r="O88">
        <f t="shared" si="15"/>
        <v>2</v>
      </c>
      <c r="P88">
        <f t="shared" si="9"/>
        <v>10</v>
      </c>
      <c r="Q88">
        <f>ROUND((VLOOKUP($A88,命格属性表,13,0)+VLOOKUP($A88,命格属性表,20,0)*($D88-1))*IF(P88&gt;9,1,VLOOKUP(D88,命格辅助表!$S$3:$U$10,3,0)),0)</f>
        <v>3084</v>
      </c>
      <c r="R88">
        <f t="shared" si="10"/>
        <v>2</v>
      </c>
      <c r="S88">
        <f>ROUND(IF(R88=0,0,VLOOKUP($A88,命格属性表,15,0)+VLOOKUP($A88,命格属性表,22,0)*($D88-1))*IF(R88&gt;9,1,VLOOKUP(D88,命格辅助表!$S$3:$U$10,3,0)),0)</f>
        <v>242</v>
      </c>
      <c r="T88">
        <f t="shared" si="13"/>
        <v>0</v>
      </c>
      <c r="U88">
        <f t="shared" si="14"/>
        <v>0</v>
      </c>
    </row>
    <row r="89" spans="1:21">
      <c r="A89">
        <v>8820</v>
      </c>
      <c r="B89" t="s">
        <v>312</v>
      </c>
      <c r="C89">
        <f t="shared" si="11"/>
        <v>8</v>
      </c>
      <c r="D89">
        <v>7</v>
      </c>
      <c r="E89">
        <v>1</v>
      </c>
      <c r="F89">
        <v>10</v>
      </c>
      <c r="G89" t="str">
        <f>VLOOKUP(P89,定义数据!$B$14:$C$29,2,0)&amp;"+"&amp;Q89&amp;IF(R89=0,"",","&amp;VLOOKUP(R89,定义数据!$B$14:$C$29,2,0)&amp;"+"&amp;S89)&amp;IF(T89=0,"",","&amp;VLOOKUP(T89,定义数据!$B$14:$C$29,2,0)&amp;"+"&amp;U89)</f>
        <v>暴击倍数+3598,攻击+363</v>
      </c>
      <c r="H89">
        <v>0</v>
      </c>
      <c r="I89">
        <f t="shared" si="12"/>
        <v>8</v>
      </c>
      <c r="J89">
        <f>IF(ISERROR(VLOOKUP(D89,命格辅助表!$I$76:$N$86,D_命格表!E89+2,0)),0,VLOOKUP(D89,命格辅助表!$I$76:$N$86,D_命格表!E89+2,0))</f>
        <v>5120</v>
      </c>
      <c r="K89">
        <f>IF(ISERROR(VLOOKUP(D89,命格辅助表!$P$76:$U$86,E89+2,0)),0,VLOOKUP(D89,命格辅助表!$P$76:$U$86,E89+2,0))</f>
        <v>5080</v>
      </c>
      <c r="L89">
        <v>0</v>
      </c>
      <c r="M89">
        <v>0</v>
      </c>
      <c r="N89">
        <v>8420</v>
      </c>
      <c r="O89">
        <f t="shared" si="15"/>
        <v>2</v>
      </c>
      <c r="P89">
        <f t="shared" si="9"/>
        <v>10</v>
      </c>
      <c r="Q89">
        <f>ROUND((VLOOKUP($A89,命格属性表,13,0)+VLOOKUP($A89,命格属性表,20,0)*($D89-1))*IF(P89&gt;9,1,VLOOKUP(D89,命格辅助表!$S$3:$U$10,3,0)),0)</f>
        <v>3598</v>
      </c>
      <c r="R89">
        <f t="shared" si="10"/>
        <v>2</v>
      </c>
      <c r="S89">
        <f>ROUND(IF(R89=0,0,VLOOKUP($A89,命格属性表,15,0)+VLOOKUP($A89,命格属性表,22,0)*($D89-1))*IF(R89&gt;9,1,VLOOKUP(D89,命格辅助表!$S$3:$U$10,3,0)),0)</f>
        <v>363</v>
      </c>
      <c r="T89">
        <f t="shared" si="13"/>
        <v>0</v>
      </c>
      <c r="U89">
        <f t="shared" si="14"/>
        <v>0</v>
      </c>
    </row>
    <row r="90" spans="1:21">
      <c r="A90">
        <v>8820</v>
      </c>
      <c r="B90" t="s">
        <v>312</v>
      </c>
      <c r="C90">
        <f t="shared" si="11"/>
        <v>8</v>
      </c>
      <c r="D90">
        <v>8</v>
      </c>
      <c r="E90">
        <v>1</v>
      </c>
      <c r="F90">
        <v>10</v>
      </c>
      <c r="G90" t="str">
        <f>VLOOKUP(P90,定义数据!$B$14:$C$29,2,0)&amp;"+"&amp;Q90&amp;IF(R90=0,"",","&amp;VLOOKUP(R90,定义数据!$B$14:$C$29,2,0)&amp;"+"&amp;S90)&amp;IF(T90=0,"",","&amp;VLOOKUP(T90,定义数据!$B$14:$C$29,2,0)&amp;"+"&amp;U90)</f>
        <v>暴击倍数+4112,攻击+544</v>
      </c>
      <c r="H90">
        <v>0</v>
      </c>
      <c r="I90">
        <f t="shared" si="12"/>
        <v>8</v>
      </c>
      <c r="J90">
        <f>IF(ISERROR(VLOOKUP(D90,命格辅助表!$I$76:$N$86,D_命格表!E90+2,0)),0,VLOOKUP(D90,命格辅助表!$I$76:$N$86,D_命格表!E90+2,0))</f>
        <v>10240</v>
      </c>
      <c r="K90">
        <f>IF(ISERROR(VLOOKUP(D90,命格辅助表!$P$76:$U$86,E90+2,0)),0,VLOOKUP(D90,命格辅助表!$P$76:$U$86,E90+2,0))</f>
        <v>10200</v>
      </c>
      <c r="L90">
        <f>IF(ISERROR(VLOOKUP(D90,命格辅助表!$I$76:$N$86,D_命格表!E90+2,0)),0,VLOOKUP(D90,命格辅助表!$I$76:$N$86,D_命格表!E90+2,0))</f>
        <v>10240</v>
      </c>
      <c r="M90">
        <f>A90+10</f>
        <v>8830</v>
      </c>
      <c r="N90">
        <v>8420</v>
      </c>
      <c r="O90">
        <f t="shared" si="15"/>
        <v>2</v>
      </c>
      <c r="P90">
        <f t="shared" si="9"/>
        <v>10</v>
      </c>
      <c r="Q90">
        <f>ROUND((VLOOKUP($A90,命格属性表,13,0)+VLOOKUP($A90,命格属性表,20,0)*($D90-1))*IF(P90&gt;9,1,VLOOKUP(D90,命格辅助表!$S$3:$U$10,3,0)),0)</f>
        <v>4112</v>
      </c>
      <c r="R90">
        <f t="shared" si="10"/>
        <v>2</v>
      </c>
      <c r="S90">
        <f>ROUND(IF(R90=0,0,VLOOKUP($A90,命格属性表,15,0)+VLOOKUP($A90,命格属性表,22,0)*($D90-1))*IF(R90&gt;9,1,VLOOKUP(D90,命格辅助表!$S$3:$U$10,3,0)),0)</f>
        <v>544</v>
      </c>
      <c r="T90">
        <f t="shared" si="13"/>
        <v>0</v>
      </c>
      <c r="U90">
        <f t="shared" si="14"/>
        <v>0</v>
      </c>
    </row>
    <row r="91" spans="1:21">
      <c r="A91">
        <v>8130</v>
      </c>
      <c r="B91" t="str">
        <f t="shared" si="8"/>
        <v>霸主</v>
      </c>
      <c r="C91">
        <f t="shared" si="11"/>
        <v>1</v>
      </c>
      <c r="D91">
        <v>1</v>
      </c>
      <c r="E91">
        <v>2</v>
      </c>
      <c r="F91">
        <v>10</v>
      </c>
      <c r="G91" t="str">
        <f>VLOOKUP(P91,定义数据!$B$14:$C$29,2,0)&amp;"+"&amp;Q91&amp;IF(R91=0,"",","&amp;VLOOKUP(R91,定义数据!$B$14:$C$29,2,0)&amp;"+"&amp;S91)&amp;IF(T91=0,"",","&amp;VLOOKUP(T91,定义数据!$B$14:$C$29,2,0)&amp;"+"&amp;U91)</f>
        <v>生命+2890</v>
      </c>
      <c r="H91">
        <v>0</v>
      </c>
      <c r="I91">
        <f t="shared" si="12"/>
        <v>1</v>
      </c>
      <c r="J91">
        <f>IF(ISERROR(VLOOKUP(D91,命格辅助表!$I$76:$N$86,D_命格表!E91+2,0)),0,VLOOKUP(D91,命格辅助表!$I$76:$N$86,D_命格表!E91+2,0))</f>
        <v>160</v>
      </c>
      <c r="K91">
        <f>IF(ISERROR(VLOOKUP(D91,命格辅助表!$P$76:$U$86,E91+2,0)),0,VLOOKUP(D91,命格辅助表!$P$76:$U$86,E91+2,0))</f>
        <v>80</v>
      </c>
      <c r="L91">
        <v>0</v>
      </c>
      <c r="M91">
        <v>0</v>
      </c>
      <c r="N91">
        <v>8130</v>
      </c>
      <c r="O91">
        <f t="shared" si="15"/>
        <v>1</v>
      </c>
      <c r="P91">
        <f t="shared" si="9"/>
        <v>1</v>
      </c>
      <c r="Q91">
        <f>ROUND((VLOOKUP($A91,命格属性表,13,0)+VLOOKUP($A91,命格属性表,20,0)*($D91-1))*IF(P91&gt;9,1,VLOOKUP(D91,命格辅助表!$S$3:$U$10,3,0)),0)</f>
        <v>2890</v>
      </c>
      <c r="R91">
        <f t="shared" si="10"/>
        <v>0</v>
      </c>
      <c r="S91">
        <f>ROUND(IF(R91=0,0,VLOOKUP($A91,命格属性表,15,0)+VLOOKUP($A91,命格属性表,22,0)*($D91-1))*IF(R91&gt;9,1,VLOOKUP(D91,命格辅助表!$S$3:$U$10,3,0)),0)</f>
        <v>0</v>
      </c>
      <c r="T91">
        <f t="shared" si="13"/>
        <v>0</v>
      </c>
      <c r="U91">
        <f t="shared" si="14"/>
        <v>0</v>
      </c>
    </row>
    <row r="92" spans="1:21">
      <c r="A92">
        <v>8130</v>
      </c>
      <c r="B92" t="str">
        <f t="shared" si="8"/>
        <v>霸主</v>
      </c>
      <c r="C92">
        <f t="shared" si="11"/>
        <v>1</v>
      </c>
      <c r="D92">
        <v>2</v>
      </c>
      <c r="E92">
        <v>2</v>
      </c>
      <c r="F92">
        <v>10</v>
      </c>
      <c r="G92" t="str">
        <f>VLOOKUP(P92,定义数据!$B$14:$C$29,2,0)&amp;"+"&amp;Q92&amp;IF(R92=0,"",","&amp;VLOOKUP(R92,定义数据!$B$14:$C$29,2,0)&amp;"+"&amp;S92)&amp;IF(T92=0,"",","&amp;VLOOKUP(T92,定义数据!$B$14:$C$29,2,0)&amp;"+"&amp;U92)</f>
        <v>生命+4335</v>
      </c>
      <c r="H92">
        <v>0</v>
      </c>
      <c r="I92">
        <f t="shared" si="12"/>
        <v>1</v>
      </c>
      <c r="J92">
        <f>IF(ISERROR(VLOOKUP(D92,命格辅助表!$I$76:$N$86,D_命格表!E92+2,0)),0,VLOOKUP(D92,命格辅助表!$I$76:$N$86,D_命格表!E92+2,0))</f>
        <v>320</v>
      </c>
      <c r="K92">
        <f>IF(ISERROR(VLOOKUP(D92,命格辅助表!$P$76:$U$86,E92+2,0)),0,VLOOKUP(D92,命格辅助表!$P$76:$U$86,E92+2,0))</f>
        <v>240</v>
      </c>
      <c r="L92">
        <v>0</v>
      </c>
      <c r="M92">
        <v>0</v>
      </c>
      <c r="N92">
        <v>8130</v>
      </c>
      <c r="O92">
        <f t="shared" si="15"/>
        <v>1</v>
      </c>
      <c r="P92">
        <f t="shared" si="9"/>
        <v>1</v>
      </c>
      <c r="Q92">
        <f>ROUND((VLOOKUP($A92,命格属性表,13,0)+VLOOKUP($A92,命格属性表,20,0)*($D92-1))*IF(P92&gt;9,1,VLOOKUP(D92,命格辅助表!$S$3:$U$10,3,0)),0)</f>
        <v>4335</v>
      </c>
      <c r="R92">
        <f t="shared" si="10"/>
        <v>0</v>
      </c>
      <c r="S92">
        <f>ROUND(IF(R92=0,0,VLOOKUP($A92,命格属性表,15,0)+VLOOKUP($A92,命格属性表,22,0)*($D92-1))*IF(R92&gt;9,1,VLOOKUP(D92,命格辅助表!$S$3:$U$10,3,0)),0)</f>
        <v>0</v>
      </c>
      <c r="T92">
        <f t="shared" si="13"/>
        <v>0</v>
      </c>
      <c r="U92">
        <f t="shared" si="14"/>
        <v>0</v>
      </c>
    </row>
    <row r="93" spans="1:21">
      <c r="A93">
        <v>8130</v>
      </c>
      <c r="B93" t="str">
        <f t="shared" si="8"/>
        <v>霸主</v>
      </c>
      <c r="C93">
        <f t="shared" si="11"/>
        <v>1</v>
      </c>
      <c r="D93">
        <v>3</v>
      </c>
      <c r="E93">
        <v>2</v>
      </c>
      <c r="F93">
        <v>10</v>
      </c>
      <c r="G93" t="str">
        <f>VLOOKUP(P93,定义数据!$B$14:$C$29,2,0)&amp;"+"&amp;Q93&amp;IF(R93=0,"",","&amp;VLOOKUP(R93,定义数据!$B$14:$C$29,2,0)&amp;"+"&amp;S93)&amp;IF(T93=0,"",","&amp;VLOOKUP(T93,定义数据!$B$14:$C$29,2,0)&amp;"+"&amp;U93)</f>
        <v>生命+6503</v>
      </c>
      <c r="H93">
        <v>0</v>
      </c>
      <c r="I93">
        <f t="shared" si="12"/>
        <v>1</v>
      </c>
      <c r="J93">
        <f>IF(ISERROR(VLOOKUP(D93,命格辅助表!$I$76:$N$86,D_命格表!E93+2,0)),0,VLOOKUP(D93,命格辅助表!$I$76:$N$86,D_命格表!E93+2,0))</f>
        <v>640</v>
      </c>
      <c r="K93">
        <f>IF(ISERROR(VLOOKUP(D93,命格辅助表!$P$76:$U$86,E93+2,0)),0,VLOOKUP(D93,命格辅助表!$P$76:$U$86,E93+2,0))</f>
        <v>560</v>
      </c>
      <c r="L93">
        <v>0</v>
      </c>
      <c r="M93">
        <v>0</v>
      </c>
      <c r="N93">
        <v>8130</v>
      </c>
      <c r="O93">
        <f t="shared" si="15"/>
        <v>1</v>
      </c>
      <c r="P93">
        <f t="shared" si="9"/>
        <v>1</v>
      </c>
      <c r="Q93">
        <f>ROUND((VLOOKUP($A93,命格属性表,13,0)+VLOOKUP($A93,命格属性表,20,0)*($D93-1))*IF(P93&gt;9,1,VLOOKUP(D93,命格辅助表!$S$3:$U$10,3,0)),0)</f>
        <v>6503</v>
      </c>
      <c r="R93">
        <f t="shared" si="10"/>
        <v>0</v>
      </c>
      <c r="S93">
        <f>ROUND(IF(R93=0,0,VLOOKUP($A93,命格属性表,15,0)+VLOOKUP($A93,命格属性表,22,0)*($D93-1))*IF(R93&gt;9,1,VLOOKUP(D93,命格辅助表!$S$3:$U$10,3,0)),0)</f>
        <v>0</v>
      </c>
      <c r="T93">
        <f t="shared" si="13"/>
        <v>0</v>
      </c>
      <c r="U93">
        <f t="shared" si="14"/>
        <v>0</v>
      </c>
    </row>
    <row r="94" spans="1:21">
      <c r="A94">
        <v>8130</v>
      </c>
      <c r="B94" t="str">
        <f t="shared" si="8"/>
        <v>霸主</v>
      </c>
      <c r="C94">
        <f t="shared" si="11"/>
        <v>1</v>
      </c>
      <c r="D94">
        <v>4</v>
      </c>
      <c r="E94">
        <v>2</v>
      </c>
      <c r="F94">
        <v>10</v>
      </c>
      <c r="G94" t="str">
        <f>VLOOKUP(P94,定义数据!$B$14:$C$29,2,0)&amp;"+"&amp;Q94&amp;IF(R94=0,"",","&amp;VLOOKUP(R94,定义数据!$B$14:$C$29,2,0)&amp;"+"&amp;S94)&amp;IF(T94=0,"",","&amp;VLOOKUP(T94,定义数据!$B$14:$C$29,2,0)&amp;"+"&amp;U94)</f>
        <v>生命+9755</v>
      </c>
      <c r="H94">
        <v>0</v>
      </c>
      <c r="I94">
        <f t="shared" si="12"/>
        <v>1</v>
      </c>
      <c r="J94">
        <f>IF(ISERROR(VLOOKUP(D94,命格辅助表!$I$76:$N$86,D_命格表!E94+2,0)),0,VLOOKUP(D94,命格辅助表!$I$76:$N$86,D_命格表!E94+2,0))</f>
        <v>1280</v>
      </c>
      <c r="K94">
        <f>IF(ISERROR(VLOOKUP(D94,命格辅助表!$P$76:$U$86,E94+2,0)),0,VLOOKUP(D94,命格辅助表!$P$76:$U$86,E94+2,0))</f>
        <v>1200</v>
      </c>
      <c r="L94">
        <v>0</v>
      </c>
      <c r="M94">
        <v>0</v>
      </c>
      <c r="N94">
        <v>8130</v>
      </c>
      <c r="O94">
        <f t="shared" si="15"/>
        <v>1</v>
      </c>
      <c r="P94">
        <f t="shared" si="9"/>
        <v>1</v>
      </c>
      <c r="Q94">
        <f>ROUND((VLOOKUP($A94,命格属性表,13,0)+VLOOKUP($A94,命格属性表,20,0)*($D94-1))*IF(P94&gt;9,1,VLOOKUP(D94,命格辅助表!$S$3:$U$10,3,0)),0)</f>
        <v>9755</v>
      </c>
      <c r="R94">
        <f t="shared" si="10"/>
        <v>0</v>
      </c>
      <c r="S94">
        <f>ROUND(IF(R94=0,0,VLOOKUP($A94,命格属性表,15,0)+VLOOKUP($A94,命格属性表,22,0)*($D94-1))*IF(R94&gt;9,1,VLOOKUP(D94,命格辅助表!$S$3:$U$10,3,0)),0)</f>
        <v>0</v>
      </c>
      <c r="T94">
        <f t="shared" si="13"/>
        <v>0</v>
      </c>
      <c r="U94">
        <f t="shared" si="14"/>
        <v>0</v>
      </c>
    </row>
    <row r="95" spans="1:21">
      <c r="A95">
        <v>8130</v>
      </c>
      <c r="B95" t="str">
        <f t="shared" si="8"/>
        <v>霸主</v>
      </c>
      <c r="C95">
        <f t="shared" si="11"/>
        <v>1</v>
      </c>
      <c r="D95">
        <v>5</v>
      </c>
      <c r="E95">
        <v>2</v>
      </c>
      <c r="F95">
        <v>10</v>
      </c>
      <c r="G95" t="str">
        <f>VLOOKUP(P95,定义数据!$B$14:$C$29,2,0)&amp;"+"&amp;Q95&amp;IF(R95=0,"",","&amp;VLOOKUP(R95,定义数据!$B$14:$C$29,2,0)&amp;"+"&amp;S95)&amp;IF(T95=0,"",","&amp;VLOOKUP(T95,定义数据!$B$14:$C$29,2,0)&amp;"+"&amp;U95)</f>
        <v>生命+14632</v>
      </c>
      <c r="H95">
        <v>0</v>
      </c>
      <c r="I95">
        <f t="shared" si="12"/>
        <v>1</v>
      </c>
      <c r="J95">
        <f>IF(ISERROR(VLOOKUP(D95,命格辅助表!$I$76:$N$86,D_命格表!E95+2,0)),0,VLOOKUP(D95,命格辅助表!$I$76:$N$86,D_命格表!E95+2,0))</f>
        <v>2560</v>
      </c>
      <c r="K95">
        <f>IF(ISERROR(VLOOKUP(D95,命格辅助表!$P$76:$U$86,E95+2,0)),0,VLOOKUP(D95,命格辅助表!$P$76:$U$86,E95+2,0))</f>
        <v>2480</v>
      </c>
      <c r="L95">
        <v>0</v>
      </c>
      <c r="M95">
        <v>0</v>
      </c>
      <c r="N95">
        <v>8130</v>
      </c>
      <c r="O95">
        <f t="shared" si="15"/>
        <v>1</v>
      </c>
      <c r="P95">
        <f t="shared" si="9"/>
        <v>1</v>
      </c>
      <c r="Q95">
        <f>ROUND((VLOOKUP($A95,命格属性表,13,0)+VLOOKUP($A95,命格属性表,20,0)*($D95-1))*IF(P95&gt;9,1,VLOOKUP(D95,命格辅助表!$S$3:$U$10,3,0)),0)</f>
        <v>14632</v>
      </c>
      <c r="R95">
        <f t="shared" si="10"/>
        <v>0</v>
      </c>
      <c r="S95">
        <f>ROUND(IF(R95=0,0,VLOOKUP($A95,命格属性表,15,0)+VLOOKUP($A95,命格属性表,22,0)*($D95-1))*IF(R95&gt;9,1,VLOOKUP(D95,命格辅助表!$S$3:$U$10,3,0)),0)</f>
        <v>0</v>
      </c>
      <c r="T95">
        <f t="shared" si="13"/>
        <v>0</v>
      </c>
      <c r="U95">
        <f t="shared" si="14"/>
        <v>0</v>
      </c>
    </row>
    <row r="96" spans="1:21">
      <c r="A96">
        <v>8130</v>
      </c>
      <c r="B96" t="str">
        <f t="shared" ref="B96:B141" si="16">VLOOKUP(A96,命格属性表,2,0)</f>
        <v>霸主</v>
      </c>
      <c r="C96">
        <f t="shared" si="11"/>
        <v>1</v>
      </c>
      <c r="D96">
        <v>6</v>
      </c>
      <c r="E96">
        <v>2</v>
      </c>
      <c r="F96">
        <v>10</v>
      </c>
      <c r="G96" t="str">
        <f>VLOOKUP(P96,定义数据!$B$14:$C$29,2,0)&amp;"+"&amp;Q96&amp;IF(R96=0,"",","&amp;VLOOKUP(R96,定义数据!$B$14:$C$29,2,0)&amp;"+"&amp;S96)&amp;IF(T96=0,"",","&amp;VLOOKUP(T96,定义数据!$B$14:$C$29,2,0)&amp;"+"&amp;U96)</f>
        <v>生命+21948</v>
      </c>
      <c r="H96">
        <v>0</v>
      </c>
      <c r="I96">
        <f t="shared" si="12"/>
        <v>1</v>
      </c>
      <c r="J96">
        <f>IF(ISERROR(VLOOKUP(D96,命格辅助表!$I$76:$N$86,D_命格表!E96+2,0)),0,VLOOKUP(D96,命格辅助表!$I$76:$N$86,D_命格表!E96+2,0))</f>
        <v>5120</v>
      </c>
      <c r="K96">
        <f>IF(ISERROR(VLOOKUP(D96,命格辅助表!$P$76:$U$86,E96+2,0)),0,VLOOKUP(D96,命格辅助表!$P$76:$U$86,E96+2,0))</f>
        <v>5040</v>
      </c>
      <c r="L96">
        <v>0</v>
      </c>
      <c r="M96">
        <v>0</v>
      </c>
      <c r="N96">
        <v>8130</v>
      </c>
      <c r="O96">
        <f t="shared" si="15"/>
        <v>1</v>
      </c>
      <c r="P96">
        <f t="shared" ref="P96:P141" si="17">VLOOKUP($A96,命格属性表,12,0)</f>
        <v>1</v>
      </c>
      <c r="Q96">
        <f>ROUND((VLOOKUP($A96,命格属性表,13,0)+VLOOKUP($A96,命格属性表,20,0)*($D96-1))*IF(P96&gt;9,1,VLOOKUP(D96,命格辅助表!$S$3:$U$10,3,0)),0)</f>
        <v>21948</v>
      </c>
      <c r="R96">
        <f t="shared" ref="R96:R141" si="18">VLOOKUP($A96,命格属性表,14,0)</f>
        <v>0</v>
      </c>
      <c r="S96">
        <f>ROUND(IF(R96=0,0,VLOOKUP($A96,命格属性表,15,0)+VLOOKUP($A96,命格属性表,22,0)*($D96-1))*IF(R96&gt;9,1,VLOOKUP(D96,命格辅助表!$S$3:$U$10,3,0)),0)</f>
        <v>0</v>
      </c>
      <c r="T96">
        <f t="shared" si="13"/>
        <v>0</v>
      </c>
      <c r="U96">
        <f t="shared" si="14"/>
        <v>0</v>
      </c>
    </row>
    <row r="97" spans="1:21">
      <c r="A97">
        <v>8130</v>
      </c>
      <c r="B97" t="str">
        <f t="shared" si="16"/>
        <v>霸主</v>
      </c>
      <c r="C97">
        <f t="shared" si="11"/>
        <v>1</v>
      </c>
      <c r="D97">
        <v>7</v>
      </c>
      <c r="E97">
        <v>2</v>
      </c>
      <c r="F97">
        <v>10</v>
      </c>
      <c r="G97" t="str">
        <f>VLOOKUP(P97,定义数据!$B$14:$C$29,2,0)&amp;"+"&amp;Q97&amp;IF(R97=0,"",","&amp;VLOOKUP(R97,定义数据!$B$14:$C$29,2,0)&amp;"+"&amp;S97)&amp;IF(T97=0,"",","&amp;VLOOKUP(T97,定义数据!$B$14:$C$29,2,0)&amp;"+"&amp;U97)</f>
        <v>生命+32923</v>
      </c>
      <c r="H97">
        <v>0</v>
      </c>
      <c r="I97">
        <f t="shared" ref="I97:I142" si="19">VLOOKUP($A97,命格属性表,26,0)</f>
        <v>1</v>
      </c>
      <c r="J97">
        <f>IF(ISERROR(VLOOKUP(D97,命格辅助表!$I$76:$N$86,D_命格表!E97+2,0)),0,VLOOKUP(D97,命格辅助表!$I$76:$N$86,D_命格表!E97+2,0))</f>
        <v>10240</v>
      </c>
      <c r="K97">
        <f>IF(ISERROR(VLOOKUP(D97,命格辅助表!$P$76:$U$86,E97+2,0)),0,VLOOKUP(D97,命格辅助表!$P$76:$U$86,E97+2,0))</f>
        <v>10160</v>
      </c>
      <c r="L97">
        <v>0</v>
      </c>
      <c r="M97">
        <v>0</v>
      </c>
      <c r="N97">
        <v>8130</v>
      </c>
      <c r="O97">
        <f t="shared" si="15"/>
        <v>1</v>
      </c>
      <c r="P97">
        <f t="shared" si="17"/>
        <v>1</v>
      </c>
      <c r="Q97">
        <f>ROUND((VLOOKUP($A97,命格属性表,13,0)+VLOOKUP($A97,命格属性表,20,0)*($D97-1))*IF(P97&gt;9,1,VLOOKUP(D97,命格辅助表!$S$3:$U$10,3,0)),0)</f>
        <v>32923</v>
      </c>
      <c r="R97">
        <f t="shared" si="18"/>
        <v>0</v>
      </c>
      <c r="S97">
        <f>ROUND(IF(R97=0,0,VLOOKUP($A97,命格属性表,15,0)+VLOOKUP($A97,命格属性表,22,0)*($D97-1))*IF(R97&gt;9,1,VLOOKUP(D97,命格辅助表!$S$3:$U$10,3,0)),0)</f>
        <v>0</v>
      </c>
      <c r="T97">
        <f t="shared" ref="T97:T142" si="20">VLOOKUP($A97,命格属性表,16,0)</f>
        <v>0</v>
      </c>
      <c r="U97">
        <f t="shared" si="14"/>
        <v>0</v>
      </c>
    </row>
    <row r="98" spans="1:21">
      <c r="A98">
        <v>8130</v>
      </c>
      <c r="B98" t="str">
        <f t="shared" si="16"/>
        <v>霸主</v>
      </c>
      <c r="C98">
        <f t="shared" ref="C98:C143" si="21">I98</f>
        <v>1</v>
      </c>
      <c r="D98">
        <v>8</v>
      </c>
      <c r="E98">
        <v>2</v>
      </c>
      <c r="F98">
        <v>10</v>
      </c>
      <c r="G98" t="str">
        <f>VLOOKUP(P98,定义数据!$B$14:$C$29,2,0)&amp;"+"&amp;Q98&amp;IF(R98=0,"",","&amp;VLOOKUP(R98,定义数据!$B$14:$C$29,2,0)&amp;"+"&amp;S98)&amp;IF(T98=0,"",","&amp;VLOOKUP(T98,定义数据!$B$14:$C$29,2,0)&amp;"+"&amp;U98)</f>
        <v>生命+49384</v>
      </c>
      <c r="H98">
        <v>0</v>
      </c>
      <c r="I98">
        <f t="shared" si="19"/>
        <v>1</v>
      </c>
      <c r="J98">
        <f>IF(ISERROR(VLOOKUP(D98,命格辅助表!$I$76:$N$86,D_命格表!E98+2,0)),0,VLOOKUP(D98,命格辅助表!$I$76:$N$86,D_命格表!E98+2,0))</f>
        <v>20480</v>
      </c>
      <c r="K98">
        <f>IF(ISERROR(VLOOKUP(D98,命格辅助表!$P$76:$U$86,E98+2,0)),0,VLOOKUP(D98,命格辅助表!$P$76:$U$86,E98+2,0))</f>
        <v>20400</v>
      </c>
      <c r="L98">
        <f>IF(ISERROR(VLOOKUP(D98,命格辅助表!$I$76:$N$86,D_命格表!E98+2,0)),0,VLOOKUP(D98,命格辅助表!$I$76:$N$86,D_命格表!E98+2,0))</f>
        <v>20480</v>
      </c>
      <c r="M98">
        <f>A98+10</f>
        <v>8140</v>
      </c>
      <c r="N98">
        <v>8130</v>
      </c>
      <c r="O98">
        <f t="shared" si="15"/>
        <v>1</v>
      </c>
      <c r="P98">
        <f t="shared" si="17"/>
        <v>1</v>
      </c>
      <c r="Q98">
        <f>ROUND((VLOOKUP($A98,命格属性表,13,0)+VLOOKUP($A98,命格属性表,20,0)*($D98-1))*IF(P98&gt;9,1,VLOOKUP(D98,命格辅助表!$S$3:$U$10,3,0)),0)</f>
        <v>49384</v>
      </c>
      <c r="R98">
        <f t="shared" si="18"/>
        <v>0</v>
      </c>
      <c r="S98">
        <f>ROUND(IF(R98=0,0,VLOOKUP($A98,命格属性表,15,0)+VLOOKUP($A98,命格属性表,22,0)*($D98-1))*IF(R98&gt;9,1,VLOOKUP(D98,命格辅助表!$S$3:$U$10,3,0)),0)</f>
        <v>0</v>
      </c>
      <c r="T98">
        <f t="shared" si="20"/>
        <v>0</v>
      </c>
      <c r="U98">
        <f t="shared" si="14"/>
        <v>0</v>
      </c>
    </row>
    <row r="99" spans="1:21">
      <c r="A99">
        <v>8230</v>
      </c>
      <c r="B99" t="str">
        <f t="shared" si="16"/>
        <v>虎啸</v>
      </c>
      <c r="C99">
        <f t="shared" si="21"/>
        <v>2</v>
      </c>
      <c r="D99">
        <v>1</v>
      </c>
      <c r="E99">
        <v>2</v>
      </c>
      <c r="F99">
        <v>10</v>
      </c>
      <c r="G99" t="str">
        <f>VLOOKUP(P99,定义数据!$B$14:$C$29,2,0)&amp;"+"&amp;Q99&amp;IF(R99=0,"",","&amp;VLOOKUP(R99,定义数据!$B$14:$C$29,2,0)&amp;"+"&amp;S99)&amp;IF(T99=0,"",","&amp;VLOOKUP(T99,定义数据!$B$14:$C$29,2,0)&amp;"+"&amp;U99)</f>
        <v>攻击+116</v>
      </c>
      <c r="H99">
        <v>0</v>
      </c>
      <c r="I99">
        <f t="shared" si="19"/>
        <v>2</v>
      </c>
      <c r="J99">
        <f>IF(ISERROR(VLOOKUP(D99,命格辅助表!$I$76:$N$86,D_命格表!E99+2,0)),0,VLOOKUP(D99,命格辅助表!$I$76:$N$86,D_命格表!E99+2,0))</f>
        <v>160</v>
      </c>
      <c r="K99">
        <f>IF(ISERROR(VLOOKUP(D99,命格辅助表!$P$76:$U$86,E99+2,0)),0,VLOOKUP(D99,命格辅助表!$P$76:$U$86,E99+2,0))</f>
        <v>80</v>
      </c>
      <c r="L99">
        <v>0</v>
      </c>
      <c r="M99">
        <v>0</v>
      </c>
      <c r="N99">
        <v>8230</v>
      </c>
      <c r="O99">
        <f t="shared" si="15"/>
        <v>1</v>
      </c>
      <c r="P99">
        <f t="shared" si="17"/>
        <v>2</v>
      </c>
      <c r="Q99">
        <f>ROUND((VLOOKUP($A99,命格属性表,13,0)+VLOOKUP($A99,命格属性表,20,0)*($D99-1))*IF(P99&gt;9,1,VLOOKUP(D99,命格辅助表!$S$3:$U$10,3,0)),0)</f>
        <v>116</v>
      </c>
      <c r="R99">
        <f t="shared" si="18"/>
        <v>0</v>
      </c>
      <c r="S99">
        <f>ROUND(IF(R99=0,0,VLOOKUP($A99,命格属性表,15,0)+VLOOKUP($A99,命格属性表,22,0)*($D99-1))*IF(R99&gt;9,1,VLOOKUP(D99,命格辅助表!$S$3:$U$10,3,0)),0)</f>
        <v>0</v>
      </c>
      <c r="T99">
        <f t="shared" si="20"/>
        <v>0</v>
      </c>
      <c r="U99">
        <f t="shared" si="14"/>
        <v>0</v>
      </c>
    </row>
    <row r="100" spans="1:21">
      <c r="A100">
        <v>8230</v>
      </c>
      <c r="B100" t="str">
        <f t="shared" si="16"/>
        <v>虎啸</v>
      </c>
      <c r="C100">
        <f t="shared" si="21"/>
        <v>2</v>
      </c>
      <c r="D100">
        <v>2</v>
      </c>
      <c r="E100">
        <v>2</v>
      </c>
      <c r="F100">
        <v>10</v>
      </c>
      <c r="G100" t="str">
        <f>VLOOKUP(P100,定义数据!$B$14:$C$29,2,0)&amp;"+"&amp;Q100&amp;IF(R100=0,"",","&amp;VLOOKUP(R100,定义数据!$B$14:$C$29,2,0)&amp;"+"&amp;S100)&amp;IF(T100=0,"",","&amp;VLOOKUP(T100,定义数据!$B$14:$C$29,2,0)&amp;"+"&amp;U100)</f>
        <v>攻击+173</v>
      </c>
      <c r="H100">
        <v>0</v>
      </c>
      <c r="I100">
        <f t="shared" si="19"/>
        <v>2</v>
      </c>
      <c r="J100">
        <f>IF(ISERROR(VLOOKUP(D100,命格辅助表!$I$76:$N$86,D_命格表!E100+2,0)),0,VLOOKUP(D100,命格辅助表!$I$76:$N$86,D_命格表!E100+2,0))</f>
        <v>320</v>
      </c>
      <c r="K100">
        <f>IF(ISERROR(VLOOKUP(D100,命格辅助表!$P$76:$U$86,E100+2,0)),0,VLOOKUP(D100,命格辅助表!$P$76:$U$86,E100+2,0))</f>
        <v>240</v>
      </c>
      <c r="L100">
        <v>0</v>
      </c>
      <c r="M100">
        <v>0</v>
      </c>
      <c r="N100">
        <v>8230</v>
      </c>
      <c r="O100">
        <f t="shared" si="15"/>
        <v>1</v>
      </c>
      <c r="P100">
        <f t="shared" si="17"/>
        <v>2</v>
      </c>
      <c r="Q100">
        <f>ROUND((VLOOKUP($A100,命格属性表,13,0)+VLOOKUP($A100,命格属性表,20,0)*($D100-1))*IF(P100&gt;9,1,VLOOKUP(D100,命格辅助表!$S$3:$U$10,3,0)),0)</f>
        <v>173</v>
      </c>
      <c r="R100">
        <f t="shared" si="18"/>
        <v>0</v>
      </c>
      <c r="S100">
        <f>ROUND(IF(R100=0,0,VLOOKUP($A100,命格属性表,15,0)+VLOOKUP($A100,命格属性表,22,0)*($D100-1))*IF(R100&gt;9,1,VLOOKUP(D100,命格辅助表!$S$3:$U$10,3,0)),0)</f>
        <v>0</v>
      </c>
      <c r="T100">
        <f t="shared" si="20"/>
        <v>0</v>
      </c>
      <c r="U100">
        <f t="shared" si="14"/>
        <v>0</v>
      </c>
    </row>
    <row r="101" spans="1:21">
      <c r="A101">
        <v>8230</v>
      </c>
      <c r="B101" t="str">
        <f t="shared" si="16"/>
        <v>虎啸</v>
      </c>
      <c r="C101">
        <f t="shared" si="21"/>
        <v>2</v>
      </c>
      <c r="D101">
        <v>3</v>
      </c>
      <c r="E101">
        <v>2</v>
      </c>
      <c r="F101">
        <v>10</v>
      </c>
      <c r="G101" t="str">
        <f>VLOOKUP(P101,定义数据!$B$14:$C$29,2,0)&amp;"+"&amp;Q101&amp;IF(R101=0,"",","&amp;VLOOKUP(R101,定义数据!$B$14:$C$29,2,0)&amp;"+"&amp;S101)&amp;IF(T101=0,"",","&amp;VLOOKUP(T101,定义数据!$B$14:$C$29,2,0)&amp;"+"&amp;U101)</f>
        <v>攻击+260</v>
      </c>
      <c r="H101">
        <v>0</v>
      </c>
      <c r="I101">
        <f t="shared" si="19"/>
        <v>2</v>
      </c>
      <c r="J101">
        <f>IF(ISERROR(VLOOKUP(D101,命格辅助表!$I$76:$N$86,D_命格表!E101+2,0)),0,VLOOKUP(D101,命格辅助表!$I$76:$N$86,D_命格表!E101+2,0))</f>
        <v>640</v>
      </c>
      <c r="K101">
        <f>IF(ISERROR(VLOOKUP(D101,命格辅助表!$P$76:$U$86,E101+2,0)),0,VLOOKUP(D101,命格辅助表!$P$76:$U$86,E101+2,0))</f>
        <v>560</v>
      </c>
      <c r="L101">
        <v>0</v>
      </c>
      <c r="M101">
        <v>0</v>
      </c>
      <c r="N101">
        <v>8230</v>
      </c>
      <c r="O101">
        <f t="shared" si="15"/>
        <v>1</v>
      </c>
      <c r="P101">
        <f t="shared" si="17"/>
        <v>2</v>
      </c>
      <c r="Q101">
        <f>ROUND((VLOOKUP($A101,命格属性表,13,0)+VLOOKUP($A101,命格属性表,20,0)*($D101-1))*IF(P101&gt;9,1,VLOOKUP(D101,命格辅助表!$S$3:$U$10,3,0)),0)</f>
        <v>260</v>
      </c>
      <c r="R101">
        <f t="shared" si="18"/>
        <v>0</v>
      </c>
      <c r="S101">
        <f>ROUND(IF(R101=0,0,VLOOKUP($A101,命格属性表,15,0)+VLOOKUP($A101,命格属性表,22,0)*($D101-1))*IF(R101&gt;9,1,VLOOKUP(D101,命格辅助表!$S$3:$U$10,3,0)),0)</f>
        <v>0</v>
      </c>
      <c r="T101">
        <f t="shared" si="20"/>
        <v>0</v>
      </c>
      <c r="U101">
        <f t="shared" si="14"/>
        <v>0</v>
      </c>
    </row>
    <row r="102" spans="1:21">
      <c r="A102">
        <v>8230</v>
      </c>
      <c r="B102" t="str">
        <f t="shared" si="16"/>
        <v>虎啸</v>
      </c>
      <c r="C102">
        <f t="shared" si="21"/>
        <v>2</v>
      </c>
      <c r="D102">
        <v>4</v>
      </c>
      <c r="E102">
        <v>2</v>
      </c>
      <c r="F102">
        <v>10</v>
      </c>
      <c r="G102" t="str">
        <f>VLOOKUP(P102,定义数据!$B$14:$C$29,2,0)&amp;"+"&amp;Q102&amp;IF(R102=0,"",","&amp;VLOOKUP(R102,定义数据!$B$14:$C$29,2,0)&amp;"+"&amp;S102)&amp;IF(T102=0,"",","&amp;VLOOKUP(T102,定义数据!$B$14:$C$29,2,0)&amp;"+"&amp;U102)</f>
        <v>攻击+390</v>
      </c>
      <c r="H102">
        <v>0</v>
      </c>
      <c r="I102">
        <f t="shared" si="19"/>
        <v>2</v>
      </c>
      <c r="J102">
        <f>IF(ISERROR(VLOOKUP(D102,命格辅助表!$I$76:$N$86,D_命格表!E102+2,0)),0,VLOOKUP(D102,命格辅助表!$I$76:$N$86,D_命格表!E102+2,0))</f>
        <v>1280</v>
      </c>
      <c r="K102">
        <f>IF(ISERROR(VLOOKUP(D102,命格辅助表!$P$76:$U$86,E102+2,0)),0,VLOOKUP(D102,命格辅助表!$P$76:$U$86,E102+2,0))</f>
        <v>1200</v>
      </c>
      <c r="L102">
        <v>0</v>
      </c>
      <c r="M102">
        <v>0</v>
      </c>
      <c r="N102">
        <v>8230</v>
      </c>
      <c r="O102">
        <f t="shared" si="15"/>
        <v>1</v>
      </c>
      <c r="P102">
        <f t="shared" si="17"/>
        <v>2</v>
      </c>
      <c r="Q102">
        <f>ROUND((VLOOKUP($A102,命格属性表,13,0)+VLOOKUP($A102,命格属性表,20,0)*($D102-1))*IF(P102&gt;9,1,VLOOKUP(D102,命格辅助表!$S$3:$U$10,3,0)),0)</f>
        <v>390</v>
      </c>
      <c r="R102">
        <f t="shared" si="18"/>
        <v>0</v>
      </c>
      <c r="S102">
        <f>ROUND(IF(R102=0,0,VLOOKUP($A102,命格属性表,15,0)+VLOOKUP($A102,命格属性表,22,0)*($D102-1))*IF(R102&gt;9,1,VLOOKUP(D102,命格辅助表!$S$3:$U$10,3,0)),0)</f>
        <v>0</v>
      </c>
      <c r="T102">
        <f t="shared" si="20"/>
        <v>0</v>
      </c>
      <c r="U102">
        <f t="shared" si="14"/>
        <v>0</v>
      </c>
    </row>
    <row r="103" spans="1:21">
      <c r="A103">
        <v>8230</v>
      </c>
      <c r="B103" t="str">
        <f t="shared" si="16"/>
        <v>虎啸</v>
      </c>
      <c r="C103">
        <f t="shared" si="21"/>
        <v>2</v>
      </c>
      <c r="D103">
        <v>5</v>
      </c>
      <c r="E103">
        <v>2</v>
      </c>
      <c r="F103">
        <v>10</v>
      </c>
      <c r="G103" t="str">
        <f>VLOOKUP(P103,定义数据!$B$14:$C$29,2,0)&amp;"+"&amp;Q103&amp;IF(R103=0,"",","&amp;VLOOKUP(R103,定义数据!$B$14:$C$29,2,0)&amp;"+"&amp;S103)&amp;IF(T103=0,"",","&amp;VLOOKUP(T103,定义数据!$B$14:$C$29,2,0)&amp;"+"&amp;U103)</f>
        <v>攻击+585</v>
      </c>
      <c r="H103">
        <v>0</v>
      </c>
      <c r="I103">
        <f t="shared" si="19"/>
        <v>2</v>
      </c>
      <c r="J103">
        <f>IF(ISERROR(VLOOKUP(D103,命格辅助表!$I$76:$N$86,D_命格表!E103+2,0)),0,VLOOKUP(D103,命格辅助表!$I$76:$N$86,D_命格表!E103+2,0))</f>
        <v>2560</v>
      </c>
      <c r="K103">
        <f>IF(ISERROR(VLOOKUP(D103,命格辅助表!$P$76:$U$86,E103+2,0)),0,VLOOKUP(D103,命格辅助表!$P$76:$U$86,E103+2,0))</f>
        <v>2480</v>
      </c>
      <c r="L103">
        <v>0</v>
      </c>
      <c r="M103">
        <v>0</v>
      </c>
      <c r="N103">
        <v>8230</v>
      </c>
      <c r="O103">
        <f t="shared" si="15"/>
        <v>1</v>
      </c>
      <c r="P103">
        <f t="shared" si="17"/>
        <v>2</v>
      </c>
      <c r="Q103">
        <f>ROUND((VLOOKUP($A103,命格属性表,13,0)+VLOOKUP($A103,命格属性表,20,0)*($D103-1))*IF(P103&gt;9,1,VLOOKUP(D103,命格辅助表!$S$3:$U$10,3,0)),0)</f>
        <v>585</v>
      </c>
      <c r="R103">
        <f t="shared" si="18"/>
        <v>0</v>
      </c>
      <c r="S103">
        <f>ROUND(IF(R103=0,0,VLOOKUP($A103,命格属性表,15,0)+VLOOKUP($A103,命格属性表,22,0)*($D103-1))*IF(R103&gt;9,1,VLOOKUP(D103,命格辅助表!$S$3:$U$10,3,0)),0)</f>
        <v>0</v>
      </c>
      <c r="T103">
        <f t="shared" si="20"/>
        <v>0</v>
      </c>
      <c r="U103">
        <f t="shared" si="14"/>
        <v>0</v>
      </c>
    </row>
    <row r="104" spans="1:21">
      <c r="A104">
        <v>8230</v>
      </c>
      <c r="B104" t="str">
        <f t="shared" si="16"/>
        <v>虎啸</v>
      </c>
      <c r="C104">
        <f t="shared" si="21"/>
        <v>2</v>
      </c>
      <c r="D104">
        <v>6</v>
      </c>
      <c r="E104">
        <v>2</v>
      </c>
      <c r="F104">
        <v>10</v>
      </c>
      <c r="G104" t="str">
        <f>VLOOKUP(P104,定义数据!$B$14:$C$29,2,0)&amp;"+"&amp;Q104&amp;IF(R104=0,"",","&amp;VLOOKUP(R104,定义数据!$B$14:$C$29,2,0)&amp;"+"&amp;S104)&amp;IF(T104=0,"",","&amp;VLOOKUP(T104,定义数据!$B$14:$C$29,2,0)&amp;"+"&amp;U104)</f>
        <v>攻击+878</v>
      </c>
      <c r="H104">
        <v>0</v>
      </c>
      <c r="I104">
        <f t="shared" si="19"/>
        <v>2</v>
      </c>
      <c r="J104">
        <f>IF(ISERROR(VLOOKUP(D104,命格辅助表!$I$76:$N$86,D_命格表!E104+2,0)),0,VLOOKUP(D104,命格辅助表!$I$76:$N$86,D_命格表!E104+2,0))</f>
        <v>5120</v>
      </c>
      <c r="K104">
        <f>IF(ISERROR(VLOOKUP(D104,命格辅助表!$P$76:$U$86,E104+2,0)),0,VLOOKUP(D104,命格辅助表!$P$76:$U$86,E104+2,0))</f>
        <v>5040</v>
      </c>
      <c r="L104">
        <v>0</v>
      </c>
      <c r="M104">
        <v>0</v>
      </c>
      <c r="N104">
        <v>8230</v>
      </c>
      <c r="O104">
        <f t="shared" si="15"/>
        <v>1</v>
      </c>
      <c r="P104">
        <f t="shared" si="17"/>
        <v>2</v>
      </c>
      <c r="Q104">
        <f>ROUND((VLOOKUP($A104,命格属性表,13,0)+VLOOKUP($A104,命格属性表,20,0)*($D104-1))*IF(P104&gt;9,1,VLOOKUP(D104,命格辅助表!$S$3:$U$10,3,0)),0)</f>
        <v>878</v>
      </c>
      <c r="R104">
        <f t="shared" si="18"/>
        <v>0</v>
      </c>
      <c r="S104">
        <f>ROUND(IF(R104=0,0,VLOOKUP($A104,命格属性表,15,0)+VLOOKUP($A104,命格属性表,22,0)*($D104-1))*IF(R104&gt;9,1,VLOOKUP(D104,命格辅助表!$S$3:$U$10,3,0)),0)</f>
        <v>0</v>
      </c>
      <c r="T104">
        <f t="shared" si="20"/>
        <v>0</v>
      </c>
      <c r="U104">
        <f t="shared" si="14"/>
        <v>0</v>
      </c>
    </row>
    <row r="105" spans="1:21">
      <c r="A105">
        <v>8230</v>
      </c>
      <c r="B105" t="str">
        <f t="shared" si="16"/>
        <v>虎啸</v>
      </c>
      <c r="C105">
        <f t="shared" si="21"/>
        <v>2</v>
      </c>
      <c r="D105">
        <v>7</v>
      </c>
      <c r="E105">
        <v>2</v>
      </c>
      <c r="F105">
        <v>10</v>
      </c>
      <c r="G105" t="str">
        <f>VLOOKUP(P105,定义数据!$B$14:$C$29,2,0)&amp;"+"&amp;Q105&amp;IF(R105=0,"",","&amp;VLOOKUP(R105,定义数据!$B$14:$C$29,2,0)&amp;"+"&amp;S105)&amp;IF(T105=0,"",","&amp;VLOOKUP(T105,定义数据!$B$14:$C$29,2,0)&amp;"+"&amp;U105)</f>
        <v>攻击+1317</v>
      </c>
      <c r="H105">
        <v>0</v>
      </c>
      <c r="I105">
        <f t="shared" si="19"/>
        <v>2</v>
      </c>
      <c r="J105">
        <f>IF(ISERROR(VLOOKUP(D105,命格辅助表!$I$76:$N$86,D_命格表!E105+2,0)),0,VLOOKUP(D105,命格辅助表!$I$76:$N$86,D_命格表!E105+2,0))</f>
        <v>10240</v>
      </c>
      <c r="K105">
        <f>IF(ISERROR(VLOOKUP(D105,命格辅助表!$P$76:$U$86,E105+2,0)),0,VLOOKUP(D105,命格辅助表!$P$76:$U$86,E105+2,0))</f>
        <v>10160</v>
      </c>
      <c r="L105">
        <v>0</v>
      </c>
      <c r="M105">
        <v>0</v>
      </c>
      <c r="N105">
        <v>8230</v>
      </c>
      <c r="O105">
        <f t="shared" si="15"/>
        <v>1</v>
      </c>
      <c r="P105">
        <f t="shared" si="17"/>
        <v>2</v>
      </c>
      <c r="Q105">
        <f>ROUND((VLOOKUP($A105,命格属性表,13,0)+VLOOKUP($A105,命格属性表,20,0)*($D105-1))*IF(P105&gt;9,1,VLOOKUP(D105,命格辅助表!$S$3:$U$10,3,0)),0)</f>
        <v>1317</v>
      </c>
      <c r="R105">
        <f t="shared" si="18"/>
        <v>0</v>
      </c>
      <c r="S105">
        <f>ROUND(IF(R105=0,0,VLOOKUP($A105,命格属性表,15,0)+VLOOKUP($A105,命格属性表,22,0)*($D105-1))*IF(R105&gt;9,1,VLOOKUP(D105,命格辅助表!$S$3:$U$10,3,0)),0)</f>
        <v>0</v>
      </c>
      <c r="T105">
        <f t="shared" si="20"/>
        <v>0</v>
      </c>
      <c r="U105">
        <f t="shared" si="14"/>
        <v>0</v>
      </c>
    </row>
    <row r="106" spans="1:21">
      <c r="A106">
        <v>8230</v>
      </c>
      <c r="B106" t="str">
        <f t="shared" si="16"/>
        <v>虎啸</v>
      </c>
      <c r="C106">
        <f t="shared" si="21"/>
        <v>2</v>
      </c>
      <c r="D106">
        <v>8</v>
      </c>
      <c r="E106">
        <v>2</v>
      </c>
      <c r="F106">
        <v>10</v>
      </c>
      <c r="G106" t="str">
        <f>VLOOKUP(P106,定义数据!$B$14:$C$29,2,0)&amp;"+"&amp;Q106&amp;IF(R106=0,"",","&amp;VLOOKUP(R106,定义数据!$B$14:$C$29,2,0)&amp;"+"&amp;S106)&amp;IF(T106=0,"",","&amp;VLOOKUP(T106,定义数据!$B$14:$C$29,2,0)&amp;"+"&amp;U106)</f>
        <v>攻击+1976</v>
      </c>
      <c r="H106">
        <v>0</v>
      </c>
      <c r="I106">
        <f t="shared" si="19"/>
        <v>2</v>
      </c>
      <c r="J106">
        <f>IF(ISERROR(VLOOKUP(D106,命格辅助表!$I$76:$N$86,D_命格表!E106+2,0)),0,VLOOKUP(D106,命格辅助表!$I$76:$N$86,D_命格表!E106+2,0))</f>
        <v>20480</v>
      </c>
      <c r="K106">
        <f>IF(ISERROR(VLOOKUP(D106,命格辅助表!$P$76:$U$86,E106+2,0)),0,VLOOKUP(D106,命格辅助表!$P$76:$U$86,E106+2,0))</f>
        <v>20400</v>
      </c>
      <c r="L106">
        <f>IF(ISERROR(VLOOKUP(D106,命格辅助表!$I$76:$N$86,D_命格表!E106+2,0)),0,VLOOKUP(D106,命格辅助表!$I$76:$N$86,D_命格表!E106+2,0))</f>
        <v>20480</v>
      </c>
      <c r="M106">
        <f>A106+10</f>
        <v>8240</v>
      </c>
      <c r="N106">
        <v>8230</v>
      </c>
      <c r="O106">
        <f t="shared" si="15"/>
        <v>1</v>
      </c>
      <c r="P106">
        <f t="shared" si="17"/>
        <v>2</v>
      </c>
      <c r="Q106">
        <f>ROUND((VLOOKUP($A106,命格属性表,13,0)+VLOOKUP($A106,命格属性表,20,0)*($D106-1))*IF(P106&gt;9,1,VLOOKUP(D106,命格辅助表!$S$3:$U$10,3,0)),0)</f>
        <v>1976</v>
      </c>
      <c r="R106">
        <f t="shared" si="18"/>
        <v>0</v>
      </c>
      <c r="S106">
        <f>ROUND(IF(R106=0,0,VLOOKUP($A106,命格属性表,15,0)+VLOOKUP($A106,命格属性表,22,0)*($D106-1))*IF(R106&gt;9,1,VLOOKUP(D106,命格辅助表!$S$3:$U$10,3,0)),0)</f>
        <v>0</v>
      </c>
      <c r="T106">
        <f t="shared" si="20"/>
        <v>0</v>
      </c>
      <c r="U106">
        <f t="shared" si="14"/>
        <v>0</v>
      </c>
    </row>
    <row r="107" spans="1:21">
      <c r="A107">
        <v>8330</v>
      </c>
      <c r="B107" t="str">
        <f t="shared" si="16"/>
        <v>豪魄</v>
      </c>
      <c r="C107">
        <f t="shared" si="21"/>
        <v>3</v>
      </c>
      <c r="D107">
        <v>1</v>
      </c>
      <c r="E107">
        <v>2</v>
      </c>
      <c r="F107">
        <v>10</v>
      </c>
      <c r="G107" t="str">
        <f>VLOOKUP(P107,定义数据!$B$14:$C$29,2,0)&amp;"+"&amp;Q107&amp;IF(R107=0,"",","&amp;VLOOKUP(R107,定义数据!$B$14:$C$29,2,0)&amp;"+"&amp;S107)&amp;IF(T107=0,"",","&amp;VLOOKUP(T107,定义数据!$B$14:$C$29,2,0)&amp;"+"&amp;U107)</f>
        <v>防御+116</v>
      </c>
      <c r="H107">
        <v>0</v>
      </c>
      <c r="I107">
        <f t="shared" si="19"/>
        <v>3</v>
      </c>
      <c r="J107">
        <f>IF(ISERROR(VLOOKUP(D107,命格辅助表!$I$76:$N$86,D_命格表!E107+2,0)),0,VLOOKUP(D107,命格辅助表!$I$76:$N$86,D_命格表!E107+2,0))</f>
        <v>160</v>
      </c>
      <c r="K107">
        <f>IF(ISERROR(VLOOKUP(D107,命格辅助表!$P$76:$U$86,E107+2,0)),0,VLOOKUP(D107,命格辅助表!$P$76:$U$86,E107+2,0))</f>
        <v>80</v>
      </c>
      <c r="L107">
        <v>0</v>
      </c>
      <c r="M107">
        <v>0</v>
      </c>
      <c r="N107">
        <v>8330</v>
      </c>
      <c r="O107">
        <f t="shared" si="15"/>
        <v>1</v>
      </c>
      <c r="P107">
        <f t="shared" si="17"/>
        <v>3</v>
      </c>
      <c r="Q107">
        <f>ROUND((VLOOKUP($A107,命格属性表,13,0)+VLOOKUP($A107,命格属性表,20,0)*($D107-1))*IF(P107&gt;9,1,VLOOKUP(D107,命格辅助表!$S$3:$U$10,3,0)),0)</f>
        <v>116</v>
      </c>
      <c r="R107">
        <f t="shared" si="18"/>
        <v>0</v>
      </c>
      <c r="S107">
        <f>ROUND(IF(R107=0,0,VLOOKUP($A107,命格属性表,15,0)+VLOOKUP($A107,命格属性表,22,0)*($D107-1))*IF(R107&gt;9,1,VLOOKUP(D107,命格辅助表!$S$3:$U$10,3,0)),0)</f>
        <v>0</v>
      </c>
      <c r="T107">
        <f t="shared" si="20"/>
        <v>0</v>
      </c>
      <c r="U107">
        <f t="shared" si="14"/>
        <v>0</v>
      </c>
    </row>
    <row r="108" spans="1:21">
      <c r="A108">
        <v>8330</v>
      </c>
      <c r="B108" t="str">
        <f t="shared" si="16"/>
        <v>豪魄</v>
      </c>
      <c r="C108">
        <f t="shared" si="21"/>
        <v>3</v>
      </c>
      <c r="D108">
        <v>2</v>
      </c>
      <c r="E108">
        <v>2</v>
      </c>
      <c r="F108">
        <v>10</v>
      </c>
      <c r="G108" t="str">
        <f>VLOOKUP(P108,定义数据!$B$14:$C$29,2,0)&amp;"+"&amp;Q108&amp;IF(R108=0,"",","&amp;VLOOKUP(R108,定义数据!$B$14:$C$29,2,0)&amp;"+"&amp;S108)&amp;IF(T108=0,"",","&amp;VLOOKUP(T108,定义数据!$B$14:$C$29,2,0)&amp;"+"&amp;U108)</f>
        <v>防御+173</v>
      </c>
      <c r="H108">
        <v>0</v>
      </c>
      <c r="I108">
        <f t="shared" si="19"/>
        <v>3</v>
      </c>
      <c r="J108">
        <f>IF(ISERROR(VLOOKUP(D108,命格辅助表!$I$76:$N$86,D_命格表!E108+2,0)),0,VLOOKUP(D108,命格辅助表!$I$76:$N$86,D_命格表!E108+2,0))</f>
        <v>320</v>
      </c>
      <c r="K108">
        <f>IF(ISERROR(VLOOKUP(D108,命格辅助表!$P$76:$U$86,E108+2,0)),0,VLOOKUP(D108,命格辅助表!$P$76:$U$86,E108+2,0))</f>
        <v>240</v>
      </c>
      <c r="L108">
        <v>0</v>
      </c>
      <c r="M108">
        <v>0</v>
      </c>
      <c r="N108">
        <v>8330</v>
      </c>
      <c r="O108">
        <f t="shared" si="15"/>
        <v>1</v>
      </c>
      <c r="P108">
        <f t="shared" si="17"/>
        <v>3</v>
      </c>
      <c r="Q108">
        <f>ROUND((VLOOKUP($A108,命格属性表,13,0)+VLOOKUP($A108,命格属性表,20,0)*($D108-1))*IF(P108&gt;9,1,VLOOKUP(D108,命格辅助表!$S$3:$U$10,3,0)),0)</f>
        <v>173</v>
      </c>
      <c r="R108">
        <f t="shared" si="18"/>
        <v>0</v>
      </c>
      <c r="S108">
        <f>ROUND(IF(R108=0,0,VLOOKUP($A108,命格属性表,15,0)+VLOOKUP($A108,命格属性表,22,0)*($D108-1))*IF(R108&gt;9,1,VLOOKUP(D108,命格辅助表!$S$3:$U$10,3,0)),0)</f>
        <v>0</v>
      </c>
      <c r="T108">
        <f t="shared" si="20"/>
        <v>0</v>
      </c>
      <c r="U108">
        <f t="shared" si="14"/>
        <v>0</v>
      </c>
    </row>
    <row r="109" spans="1:21">
      <c r="A109">
        <v>8330</v>
      </c>
      <c r="B109" t="str">
        <f t="shared" si="16"/>
        <v>豪魄</v>
      </c>
      <c r="C109">
        <f t="shared" si="21"/>
        <v>3</v>
      </c>
      <c r="D109">
        <v>3</v>
      </c>
      <c r="E109">
        <v>2</v>
      </c>
      <c r="F109">
        <v>10</v>
      </c>
      <c r="G109" t="str">
        <f>VLOOKUP(P109,定义数据!$B$14:$C$29,2,0)&amp;"+"&amp;Q109&amp;IF(R109=0,"",","&amp;VLOOKUP(R109,定义数据!$B$14:$C$29,2,0)&amp;"+"&amp;S109)&amp;IF(T109=0,"",","&amp;VLOOKUP(T109,定义数据!$B$14:$C$29,2,0)&amp;"+"&amp;U109)</f>
        <v>防御+260</v>
      </c>
      <c r="H109">
        <v>0</v>
      </c>
      <c r="I109">
        <f t="shared" si="19"/>
        <v>3</v>
      </c>
      <c r="J109">
        <f>IF(ISERROR(VLOOKUP(D109,命格辅助表!$I$76:$N$86,D_命格表!E109+2,0)),0,VLOOKUP(D109,命格辅助表!$I$76:$N$86,D_命格表!E109+2,0))</f>
        <v>640</v>
      </c>
      <c r="K109">
        <f>IF(ISERROR(VLOOKUP(D109,命格辅助表!$P$76:$U$86,E109+2,0)),0,VLOOKUP(D109,命格辅助表!$P$76:$U$86,E109+2,0))</f>
        <v>560</v>
      </c>
      <c r="L109">
        <v>0</v>
      </c>
      <c r="M109">
        <v>0</v>
      </c>
      <c r="N109">
        <v>8330</v>
      </c>
      <c r="O109">
        <f t="shared" si="15"/>
        <v>1</v>
      </c>
      <c r="P109">
        <f t="shared" si="17"/>
        <v>3</v>
      </c>
      <c r="Q109">
        <f>ROUND((VLOOKUP($A109,命格属性表,13,0)+VLOOKUP($A109,命格属性表,20,0)*($D109-1))*IF(P109&gt;9,1,VLOOKUP(D109,命格辅助表!$S$3:$U$10,3,0)),0)</f>
        <v>260</v>
      </c>
      <c r="R109">
        <f t="shared" si="18"/>
        <v>0</v>
      </c>
      <c r="S109">
        <f>ROUND(IF(R109=0,0,VLOOKUP($A109,命格属性表,15,0)+VLOOKUP($A109,命格属性表,22,0)*($D109-1))*IF(R109&gt;9,1,VLOOKUP(D109,命格辅助表!$S$3:$U$10,3,0)),0)</f>
        <v>0</v>
      </c>
      <c r="T109">
        <f t="shared" si="20"/>
        <v>0</v>
      </c>
      <c r="U109">
        <f t="shared" si="14"/>
        <v>0</v>
      </c>
    </row>
    <row r="110" spans="1:21">
      <c r="A110">
        <v>8330</v>
      </c>
      <c r="B110" t="str">
        <f t="shared" si="16"/>
        <v>豪魄</v>
      </c>
      <c r="C110">
        <f t="shared" si="21"/>
        <v>3</v>
      </c>
      <c r="D110">
        <v>4</v>
      </c>
      <c r="E110">
        <v>2</v>
      </c>
      <c r="F110">
        <v>10</v>
      </c>
      <c r="G110" t="str">
        <f>VLOOKUP(P110,定义数据!$B$14:$C$29,2,0)&amp;"+"&amp;Q110&amp;IF(R110=0,"",","&amp;VLOOKUP(R110,定义数据!$B$14:$C$29,2,0)&amp;"+"&amp;S110)&amp;IF(T110=0,"",","&amp;VLOOKUP(T110,定义数据!$B$14:$C$29,2,0)&amp;"+"&amp;U110)</f>
        <v>防御+390</v>
      </c>
      <c r="H110">
        <v>0</v>
      </c>
      <c r="I110">
        <f t="shared" si="19"/>
        <v>3</v>
      </c>
      <c r="J110">
        <f>IF(ISERROR(VLOOKUP(D110,命格辅助表!$I$76:$N$86,D_命格表!E110+2,0)),0,VLOOKUP(D110,命格辅助表!$I$76:$N$86,D_命格表!E110+2,0))</f>
        <v>1280</v>
      </c>
      <c r="K110">
        <f>IF(ISERROR(VLOOKUP(D110,命格辅助表!$P$76:$U$86,E110+2,0)),0,VLOOKUP(D110,命格辅助表!$P$76:$U$86,E110+2,0))</f>
        <v>1200</v>
      </c>
      <c r="L110">
        <v>0</v>
      </c>
      <c r="M110">
        <v>0</v>
      </c>
      <c r="N110">
        <v>8330</v>
      </c>
      <c r="O110">
        <f t="shared" si="15"/>
        <v>1</v>
      </c>
      <c r="P110">
        <f t="shared" si="17"/>
        <v>3</v>
      </c>
      <c r="Q110">
        <f>ROUND((VLOOKUP($A110,命格属性表,13,0)+VLOOKUP($A110,命格属性表,20,0)*($D110-1))*IF(P110&gt;9,1,VLOOKUP(D110,命格辅助表!$S$3:$U$10,3,0)),0)</f>
        <v>390</v>
      </c>
      <c r="R110">
        <f t="shared" si="18"/>
        <v>0</v>
      </c>
      <c r="S110">
        <f>ROUND(IF(R110=0,0,VLOOKUP($A110,命格属性表,15,0)+VLOOKUP($A110,命格属性表,22,0)*($D110-1))*IF(R110&gt;9,1,VLOOKUP(D110,命格辅助表!$S$3:$U$10,3,0)),0)</f>
        <v>0</v>
      </c>
      <c r="T110">
        <f t="shared" si="20"/>
        <v>0</v>
      </c>
      <c r="U110">
        <f t="shared" si="14"/>
        <v>0</v>
      </c>
    </row>
    <row r="111" spans="1:21">
      <c r="A111">
        <v>8330</v>
      </c>
      <c r="B111" t="str">
        <f t="shared" si="16"/>
        <v>豪魄</v>
      </c>
      <c r="C111">
        <f t="shared" si="21"/>
        <v>3</v>
      </c>
      <c r="D111">
        <v>5</v>
      </c>
      <c r="E111">
        <v>2</v>
      </c>
      <c r="F111">
        <v>10</v>
      </c>
      <c r="G111" t="str">
        <f>VLOOKUP(P111,定义数据!$B$14:$C$29,2,0)&amp;"+"&amp;Q111&amp;IF(R111=0,"",","&amp;VLOOKUP(R111,定义数据!$B$14:$C$29,2,0)&amp;"+"&amp;S111)&amp;IF(T111=0,"",","&amp;VLOOKUP(T111,定义数据!$B$14:$C$29,2,0)&amp;"+"&amp;U111)</f>
        <v>防御+585</v>
      </c>
      <c r="H111">
        <v>0</v>
      </c>
      <c r="I111">
        <f t="shared" si="19"/>
        <v>3</v>
      </c>
      <c r="J111">
        <f>IF(ISERROR(VLOOKUP(D111,命格辅助表!$I$76:$N$86,D_命格表!E111+2,0)),0,VLOOKUP(D111,命格辅助表!$I$76:$N$86,D_命格表!E111+2,0))</f>
        <v>2560</v>
      </c>
      <c r="K111">
        <f>IF(ISERROR(VLOOKUP(D111,命格辅助表!$P$76:$U$86,E111+2,0)),0,VLOOKUP(D111,命格辅助表!$P$76:$U$86,E111+2,0))</f>
        <v>2480</v>
      </c>
      <c r="L111">
        <v>0</v>
      </c>
      <c r="M111">
        <v>0</v>
      </c>
      <c r="N111">
        <v>8330</v>
      </c>
      <c r="O111">
        <f t="shared" si="15"/>
        <v>1</v>
      </c>
      <c r="P111">
        <f t="shared" si="17"/>
        <v>3</v>
      </c>
      <c r="Q111">
        <f>ROUND((VLOOKUP($A111,命格属性表,13,0)+VLOOKUP($A111,命格属性表,20,0)*($D111-1))*IF(P111&gt;9,1,VLOOKUP(D111,命格辅助表!$S$3:$U$10,3,0)),0)</f>
        <v>585</v>
      </c>
      <c r="R111">
        <f t="shared" si="18"/>
        <v>0</v>
      </c>
      <c r="S111">
        <f>ROUND(IF(R111=0,0,VLOOKUP($A111,命格属性表,15,0)+VLOOKUP($A111,命格属性表,22,0)*($D111-1))*IF(R111&gt;9,1,VLOOKUP(D111,命格辅助表!$S$3:$U$10,3,0)),0)</f>
        <v>0</v>
      </c>
      <c r="T111">
        <f t="shared" si="20"/>
        <v>0</v>
      </c>
      <c r="U111">
        <f t="shared" si="14"/>
        <v>0</v>
      </c>
    </row>
    <row r="112" spans="1:21">
      <c r="A112">
        <v>8330</v>
      </c>
      <c r="B112" t="str">
        <f t="shared" si="16"/>
        <v>豪魄</v>
      </c>
      <c r="C112">
        <f t="shared" si="21"/>
        <v>3</v>
      </c>
      <c r="D112">
        <v>6</v>
      </c>
      <c r="E112">
        <v>2</v>
      </c>
      <c r="F112">
        <v>10</v>
      </c>
      <c r="G112" t="str">
        <f>VLOOKUP(P112,定义数据!$B$14:$C$29,2,0)&amp;"+"&amp;Q112&amp;IF(R112=0,"",","&amp;VLOOKUP(R112,定义数据!$B$14:$C$29,2,0)&amp;"+"&amp;S112)&amp;IF(T112=0,"",","&amp;VLOOKUP(T112,定义数据!$B$14:$C$29,2,0)&amp;"+"&amp;U112)</f>
        <v>防御+878</v>
      </c>
      <c r="H112">
        <v>0</v>
      </c>
      <c r="I112">
        <f t="shared" si="19"/>
        <v>3</v>
      </c>
      <c r="J112">
        <f>IF(ISERROR(VLOOKUP(D112,命格辅助表!$I$76:$N$86,D_命格表!E112+2,0)),0,VLOOKUP(D112,命格辅助表!$I$76:$N$86,D_命格表!E112+2,0))</f>
        <v>5120</v>
      </c>
      <c r="K112">
        <f>IF(ISERROR(VLOOKUP(D112,命格辅助表!$P$76:$U$86,E112+2,0)),0,VLOOKUP(D112,命格辅助表!$P$76:$U$86,E112+2,0))</f>
        <v>5040</v>
      </c>
      <c r="L112">
        <v>0</v>
      </c>
      <c r="M112">
        <v>0</v>
      </c>
      <c r="N112">
        <v>8330</v>
      </c>
      <c r="O112">
        <f t="shared" si="15"/>
        <v>1</v>
      </c>
      <c r="P112">
        <f t="shared" si="17"/>
        <v>3</v>
      </c>
      <c r="Q112">
        <f>ROUND((VLOOKUP($A112,命格属性表,13,0)+VLOOKUP($A112,命格属性表,20,0)*($D112-1))*IF(P112&gt;9,1,VLOOKUP(D112,命格辅助表!$S$3:$U$10,3,0)),0)</f>
        <v>878</v>
      </c>
      <c r="R112">
        <f t="shared" si="18"/>
        <v>0</v>
      </c>
      <c r="S112">
        <f>ROUND(IF(R112=0,0,VLOOKUP($A112,命格属性表,15,0)+VLOOKUP($A112,命格属性表,22,0)*($D112-1))*IF(R112&gt;9,1,VLOOKUP(D112,命格辅助表!$S$3:$U$10,3,0)),0)</f>
        <v>0</v>
      </c>
      <c r="T112">
        <f t="shared" si="20"/>
        <v>0</v>
      </c>
      <c r="U112">
        <f t="shared" si="14"/>
        <v>0</v>
      </c>
    </row>
    <row r="113" spans="1:21">
      <c r="A113">
        <v>8330</v>
      </c>
      <c r="B113" t="str">
        <f t="shared" si="16"/>
        <v>豪魄</v>
      </c>
      <c r="C113">
        <f t="shared" si="21"/>
        <v>3</v>
      </c>
      <c r="D113">
        <v>7</v>
      </c>
      <c r="E113">
        <v>2</v>
      </c>
      <c r="F113">
        <v>10</v>
      </c>
      <c r="G113" t="str">
        <f>VLOOKUP(P113,定义数据!$B$14:$C$29,2,0)&amp;"+"&amp;Q113&amp;IF(R113=0,"",","&amp;VLOOKUP(R113,定义数据!$B$14:$C$29,2,0)&amp;"+"&amp;S113)&amp;IF(T113=0,"",","&amp;VLOOKUP(T113,定义数据!$B$14:$C$29,2,0)&amp;"+"&amp;U113)</f>
        <v>防御+1317</v>
      </c>
      <c r="H113">
        <v>0</v>
      </c>
      <c r="I113">
        <f t="shared" si="19"/>
        <v>3</v>
      </c>
      <c r="J113">
        <f>IF(ISERROR(VLOOKUP(D113,命格辅助表!$I$76:$N$86,D_命格表!E113+2,0)),0,VLOOKUP(D113,命格辅助表!$I$76:$N$86,D_命格表!E113+2,0))</f>
        <v>10240</v>
      </c>
      <c r="K113">
        <f>IF(ISERROR(VLOOKUP(D113,命格辅助表!$P$76:$U$86,E113+2,0)),0,VLOOKUP(D113,命格辅助表!$P$76:$U$86,E113+2,0))</f>
        <v>10160</v>
      </c>
      <c r="L113">
        <v>0</v>
      </c>
      <c r="M113">
        <v>0</v>
      </c>
      <c r="N113">
        <v>8330</v>
      </c>
      <c r="O113">
        <f t="shared" si="15"/>
        <v>1</v>
      </c>
      <c r="P113">
        <f t="shared" si="17"/>
        <v>3</v>
      </c>
      <c r="Q113">
        <f>ROUND((VLOOKUP($A113,命格属性表,13,0)+VLOOKUP($A113,命格属性表,20,0)*($D113-1))*IF(P113&gt;9,1,VLOOKUP(D113,命格辅助表!$S$3:$U$10,3,0)),0)</f>
        <v>1317</v>
      </c>
      <c r="R113">
        <f t="shared" si="18"/>
        <v>0</v>
      </c>
      <c r="S113">
        <f>ROUND(IF(R113=0,0,VLOOKUP($A113,命格属性表,15,0)+VLOOKUP($A113,命格属性表,22,0)*($D113-1))*IF(R113&gt;9,1,VLOOKUP(D113,命格辅助表!$S$3:$U$10,3,0)),0)</f>
        <v>0</v>
      </c>
      <c r="T113">
        <f t="shared" si="20"/>
        <v>0</v>
      </c>
      <c r="U113">
        <f t="shared" si="14"/>
        <v>0</v>
      </c>
    </row>
    <row r="114" spans="1:21">
      <c r="A114">
        <v>8330</v>
      </c>
      <c r="B114" t="str">
        <f t="shared" si="16"/>
        <v>豪魄</v>
      </c>
      <c r="C114">
        <f t="shared" si="21"/>
        <v>3</v>
      </c>
      <c r="D114">
        <v>8</v>
      </c>
      <c r="E114">
        <v>2</v>
      </c>
      <c r="F114">
        <v>10</v>
      </c>
      <c r="G114" t="str">
        <f>VLOOKUP(P114,定义数据!$B$14:$C$29,2,0)&amp;"+"&amp;Q114&amp;IF(R114=0,"",","&amp;VLOOKUP(R114,定义数据!$B$14:$C$29,2,0)&amp;"+"&amp;S114)&amp;IF(T114=0,"",","&amp;VLOOKUP(T114,定义数据!$B$14:$C$29,2,0)&amp;"+"&amp;U114)</f>
        <v>防御+1976</v>
      </c>
      <c r="H114">
        <v>0</v>
      </c>
      <c r="I114">
        <f t="shared" si="19"/>
        <v>3</v>
      </c>
      <c r="J114">
        <f>IF(ISERROR(VLOOKUP(D114,命格辅助表!$I$76:$N$86,D_命格表!E114+2,0)),0,VLOOKUP(D114,命格辅助表!$I$76:$N$86,D_命格表!E114+2,0))</f>
        <v>20480</v>
      </c>
      <c r="K114">
        <f>IF(ISERROR(VLOOKUP(D114,命格辅助表!$P$76:$U$86,E114+2,0)),0,VLOOKUP(D114,命格辅助表!$P$76:$U$86,E114+2,0))</f>
        <v>20400</v>
      </c>
      <c r="L114">
        <f>IF(ISERROR(VLOOKUP(D114,命格辅助表!$I$76:$N$86,D_命格表!E114+2,0)),0,VLOOKUP(D114,命格辅助表!$I$76:$N$86,D_命格表!E114+2,0))</f>
        <v>20480</v>
      </c>
      <c r="M114">
        <f>A114+10</f>
        <v>8340</v>
      </c>
      <c r="N114">
        <v>8330</v>
      </c>
      <c r="O114">
        <f t="shared" si="15"/>
        <v>1</v>
      </c>
      <c r="P114">
        <f t="shared" si="17"/>
        <v>3</v>
      </c>
      <c r="Q114">
        <f>ROUND((VLOOKUP($A114,命格属性表,13,0)+VLOOKUP($A114,命格属性表,20,0)*($D114-1))*IF(P114&gt;9,1,VLOOKUP(D114,命格辅助表!$S$3:$U$10,3,0)),0)</f>
        <v>1976</v>
      </c>
      <c r="R114">
        <f t="shared" si="18"/>
        <v>0</v>
      </c>
      <c r="S114">
        <f>ROUND(IF(R114=0,0,VLOOKUP($A114,命格属性表,15,0)+VLOOKUP($A114,命格属性表,22,0)*($D114-1))*IF(R114&gt;9,1,VLOOKUP(D114,命格辅助表!$S$3:$U$10,3,0)),0)</f>
        <v>0</v>
      </c>
      <c r="T114">
        <f t="shared" si="20"/>
        <v>0</v>
      </c>
      <c r="U114">
        <f t="shared" si="14"/>
        <v>0</v>
      </c>
    </row>
    <row r="115" spans="1:21">
      <c r="A115">
        <v>8430</v>
      </c>
      <c r="B115" t="str">
        <f t="shared" si="16"/>
        <v>捉影</v>
      </c>
      <c r="C115">
        <f t="shared" si="21"/>
        <v>4</v>
      </c>
      <c r="D115">
        <v>1</v>
      </c>
      <c r="E115">
        <v>2</v>
      </c>
      <c r="F115">
        <v>10</v>
      </c>
      <c r="G115" t="str">
        <f>VLOOKUP(P115,定义数据!$B$14:$C$29,2,0)&amp;"+"&amp;Q115&amp;IF(R115=0,"",","&amp;VLOOKUP(R115,定义数据!$B$14:$C$29,2,0)&amp;"+"&amp;S115)&amp;IF(T115=0,"",","&amp;VLOOKUP(T115,定义数据!$B$14:$C$29,2,0)&amp;"+"&amp;U115)</f>
        <v>命中值+340</v>
      </c>
      <c r="H115">
        <v>0</v>
      </c>
      <c r="I115">
        <f t="shared" si="19"/>
        <v>4</v>
      </c>
      <c r="J115">
        <f>IF(ISERROR(VLOOKUP(D115,命格辅助表!$I$76:$N$86,D_命格表!E115+2,0)),0,VLOOKUP(D115,命格辅助表!$I$76:$N$86,D_命格表!E115+2,0))</f>
        <v>160</v>
      </c>
      <c r="K115">
        <f>IF(ISERROR(VLOOKUP(D115,命格辅助表!$P$76:$U$86,E115+2,0)),0,VLOOKUP(D115,命格辅助表!$P$76:$U$86,E115+2,0))</f>
        <v>80</v>
      </c>
      <c r="L115">
        <v>0</v>
      </c>
      <c r="M115">
        <v>0</v>
      </c>
      <c r="N115">
        <v>8430</v>
      </c>
      <c r="O115">
        <f t="shared" si="15"/>
        <v>1</v>
      </c>
      <c r="P115">
        <f t="shared" si="17"/>
        <v>6</v>
      </c>
      <c r="Q115">
        <f>ROUND((VLOOKUP($A115,命格属性表,13,0)+VLOOKUP($A115,命格属性表,20,0)*($D115-1))*IF(P115&gt;9,1,VLOOKUP(D115,命格辅助表!$S$3:$U$10,3,0)),0)</f>
        <v>340</v>
      </c>
      <c r="R115">
        <f t="shared" si="18"/>
        <v>0</v>
      </c>
      <c r="S115">
        <f>ROUND(IF(R115=0,0,VLOOKUP($A115,命格属性表,15,0)+VLOOKUP($A115,命格属性表,22,0)*($D115-1))*IF(R115&gt;9,1,VLOOKUP(D115,命格辅助表!$S$3:$U$10,3,0)),0)</f>
        <v>0</v>
      </c>
      <c r="T115">
        <f t="shared" si="20"/>
        <v>0</v>
      </c>
      <c r="U115">
        <f t="shared" si="14"/>
        <v>0</v>
      </c>
    </row>
    <row r="116" spans="1:21">
      <c r="A116">
        <v>8430</v>
      </c>
      <c r="B116" t="str">
        <f t="shared" si="16"/>
        <v>捉影</v>
      </c>
      <c r="C116">
        <f t="shared" si="21"/>
        <v>4</v>
      </c>
      <c r="D116">
        <v>2</v>
      </c>
      <c r="E116">
        <v>2</v>
      </c>
      <c r="F116">
        <v>10</v>
      </c>
      <c r="G116" t="str">
        <f>VLOOKUP(P116,定义数据!$B$14:$C$29,2,0)&amp;"+"&amp;Q116&amp;IF(R116=0,"",","&amp;VLOOKUP(R116,定义数据!$B$14:$C$29,2,0)&amp;"+"&amp;S116)&amp;IF(T116=0,"",","&amp;VLOOKUP(T116,定义数据!$B$14:$C$29,2,0)&amp;"+"&amp;U116)</f>
        <v>命中值+510</v>
      </c>
      <c r="H116">
        <v>0</v>
      </c>
      <c r="I116">
        <f t="shared" si="19"/>
        <v>4</v>
      </c>
      <c r="J116">
        <f>IF(ISERROR(VLOOKUP(D116,命格辅助表!$I$76:$N$86,D_命格表!E116+2,0)),0,VLOOKUP(D116,命格辅助表!$I$76:$N$86,D_命格表!E116+2,0))</f>
        <v>320</v>
      </c>
      <c r="K116">
        <f>IF(ISERROR(VLOOKUP(D116,命格辅助表!$P$76:$U$86,E116+2,0)),0,VLOOKUP(D116,命格辅助表!$P$76:$U$86,E116+2,0))</f>
        <v>240</v>
      </c>
      <c r="L116">
        <v>0</v>
      </c>
      <c r="M116">
        <v>0</v>
      </c>
      <c r="N116">
        <v>8430</v>
      </c>
      <c r="O116">
        <f t="shared" si="15"/>
        <v>1</v>
      </c>
      <c r="P116">
        <f t="shared" si="17"/>
        <v>6</v>
      </c>
      <c r="Q116">
        <f>ROUND((VLOOKUP($A116,命格属性表,13,0)+VLOOKUP($A116,命格属性表,20,0)*($D116-1))*IF(P116&gt;9,1,VLOOKUP(D116,命格辅助表!$S$3:$U$10,3,0)),0)</f>
        <v>510</v>
      </c>
      <c r="R116">
        <f t="shared" si="18"/>
        <v>0</v>
      </c>
      <c r="S116">
        <f>ROUND(IF(R116=0,0,VLOOKUP($A116,命格属性表,15,0)+VLOOKUP($A116,命格属性表,22,0)*($D116-1))*IF(R116&gt;9,1,VLOOKUP(D116,命格辅助表!$S$3:$U$10,3,0)),0)</f>
        <v>0</v>
      </c>
      <c r="T116">
        <f t="shared" si="20"/>
        <v>0</v>
      </c>
      <c r="U116">
        <f t="shared" si="14"/>
        <v>0</v>
      </c>
    </row>
    <row r="117" spans="1:21">
      <c r="A117">
        <v>8430</v>
      </c>
      <c r="B117" t="str">
        <f t="shared" si="16"/>
        <v>捉影</v>
      </c>
      <c r="C117">
        <f t="shared" si="21"/>
        <v>4</v>
      </c>
      <c r="D117">
        <v>3</v>
      </c>
      <c r="E117">
        <v>2</v>
      </c>
      <c r="F117">
        <v>10</v>
      </c>
      <c r="G117" t="str">
        <f>VLOOKUP(P117,定义数据!$B$14:$C$29,2,0)&amp;"+"&amp;Q117&amp;IF(R117=0,"",","&amp;VLOOKUP(R117,定义数据!$B$14:$C$29,2,0)&amp;"+"&amp;S117)&amp;IF(T117=0,"",","&amp;VLOOKUP(T117,定义数据!$B$14:$C$29,2,0)&amp;"+"&amp;U117)</f>
        <v>命中值+765</v>
      </c>
      <c r="H117">
        <v>0</v>
      </c>
      <c r="I117">
        <f t="shared" si="19"/>
        <v>4</v>
      </c>
      <c r="J117">
        <f>IF(ISERROR(VLOOKUP(D117,命格辅助表!$I$76:$N$86,D_命格表!E117+2,0)),0,VLOOKUP(D117,命格辅助表!$I$76:$N$86,D_命格表!E117+2,0))</f>
        <v>640</v>
      </c>
      <c r="K117">
        <f>IF(ISERROR(VLOOKUP(D117,命格辅助表!$P$76:$U$86,E117+2,0)),0,VLOOKUP(D117,命格辅助表!$P$76:$U$86,E117+2,0))</f>
        <v>560</v>
      </c>
      <c r="L117">
        <v>0</v>
      </c>
      <c r="M117">
        <v>0</v>
      </c>
      <c r="N117">
        <v>8430</v>
      </c>
      <c r="O117">
        <f t="shared" si="15"/>
        <v>1</v>
      </c>
      <c r="P117">
        <f t="shared" si="17"/>
        <v>6</v>
      </c>
      <c r="Q117">
        <f>ROUND((VLOOKUP($A117,命格属性表,13,0)+VLOOKUP($A117,命格属性表,20,0)*($D117-1))*IF(P117&gt;9,1,VLOOKUP(D117,命格辅助表!$S$3:$U$10,3,0)),0)</f>
        <v>765</v>
      </c>
      <c r="R117">
        <f t="shared" si="18"/>
        <v>0</v>
      </c>
      <c r="S117">
        <f>ROUND(IF(R117=0,0,VLOOKUP($A117,命格属性表,15,0)+VLOOKUP($A117,命格属性表,22,0)*($D117-1))*IF(R117&gt;9,1,VLOOKUP(D117,命格辅助表!$S$3:$U$10,3,0)),0)</f>
        <v>0</v>
      </c>
      <c r="T117">
        <f t="shared" si="20"/>
        <v>0</v>
      </c>
      <c r="U117">
        <f t="shared" si="14"/>
        <v>0</v>
      </c>
    </row>
    <row r="118" spans="1:21">
      <c r="A118">
        <v>8430</v>
      </c>
      <c r="B118" t="str">
        <f t="shared" si="16"/>
        <v>捉影</v>
      </c>
      <c r="C118">
        <f t="shared" si="21"/>
        <v>4</v>
      </c>
      <c r="D118">
        <v>4</v>
      </c>
      <c r="E118">
        <v>2</v>
      </c>
      <c r="F118">
        <v>10</v>
      </c>
      <c r="G118" t="str">
        <f>VLOOKUP(P118,定义数据!$B$14:$C$29,2,0)&amp;"+"&amp;Q118&amp;IF(R118=0,"",","&amp;VLOOKUP(R118,定义数据!$B$14:$C$29,2,0)&amp;"+"&amp;S118)&amp;IF(T118=0,"",","&amp;VLOOKUP(T118,定义数据!$B$14:$C$29,2,0)&amp;"+"&amp;U118)</f>
        <v>命中值+1147</v>
      </c>
      <c r="H118">
        <v>0</v>
      </c>
      <c r="I118">
        <f t="shared" si="19"/>
        <v>4</v>
      </c>
      <c r="J118">
        <f>IF(ISERROR(VLOOKUP(D118,命格辅助表!$I$76:$N$86,D_命格表!E118+2,0)),0,VLOOKUP(D118,命格辅助表!$I$76:$N$86,D_命格表!E118+2,0))</f>
        <v>1280</v>
      </c>
      <c r="K118">
        <f>IF(ISERROR(VLOOKUP(D118,命格辅助表!$P$76:$U$86,E118+2,0)),0,VLOOKUP(D118,命格辅助表!$P$76:$U$86,E118+2,0))</f>
        <v>1200</v>
      </c>
      <c r="L118">
        <v>0</v>
      </c>
      <c r="M118">
        <v>0</v>
      </c>
      <c r="N118">
        <v>8430</v>
      </c>
      <c r="O118">
        <f t="shared" si="15"/>
        <v>1</v>
      </c>
      <c r="P118">
        <f t="shared" si="17"/>
        <v>6</v>
      </c>
      <c r="Q118">
        <f>ROUND((VLOOKUP($A118,命格属性表,13,0)+VLOOKUP($A118,命格属性表,20,0)*($D118-1))*IF(P118&gt;9,1,VLOOKUP(D118,命格辅助表!$S$3:$U$10,3,0)),0)</f>
        <v>1147</v>
      </c>
      <c r="R118">
        <f t="shared" si="18"/>
        <v>0</v>
      </c>
      <c r="S118">
        <f>ROUND(IF(R118=0,0,VLOOKUP($A118,命格属性表,15,0)+VLOOKUP($A118,命格属性表,22,0)*($D118-1))*IF(R118&gt;9,1,VLOOKUP(D118,命格辅助表!$S$3:$U$10,3,0)),0)</f>
        <v>0</v>
      </c>
      <c r="T118">
        <f t="shared" si="20"/>
        <v>0</v>
      </c>
      <c r="U118">
        <f t="shared" si="14"/>
        <v>0</v>
      </c>
    </row>
    <row r="119" spans="1:21">
      <c r="A119">
        <v>8430</v>
      </c>
      <c r="B119" t="str">
        <f t="shared" si="16"/>
        <v>捉影</v>
      </c>
      <c r="C119">
        <f t="shared" si="21"/>
        <v>4</v>
      </c>
      <c r="D119">
        <v>5</v>
      </c>
      <c r="E119">
        <v>2</v>
      </c>
      <c r="F119">
        <v>10</v>
      </c>
      <c r="G119" t="str">
        <f>VLOOKUP(P119,定义数据!$B$14:$C$29,2,0)&amp;"+"&amp;Q119&amp;IF(R119=0,"",","&amp;VLOOKUP(R119,定义数据!$B$14:$C$29,2,0)&amp;"+"&amp;S119)&amp;IF(T119=0,"",","&amp;VLOOKUP(T119,定义数据!$B$14:$C$29,2,0)&amp;"+"&amp;U119)</f>
        <v>命中值+1721</v>
      </c>
      <c r="H119">
        <v>0</v>
      </c>
      <c r="I119">
        <f t="shared" si="19"/>
        <v>4</v>
      </c>
      <c r="J119">
        <f>IF(ISERROR(VLOOKUP(D119,命格辅助表!$I$76:$N$86,D_命格表!E119+2,0)),0,VLOOKUP(D119,命格辅助表!$I$76:$N$86,D_命格表!E119+2,0))</f>
        <v>2560</v>
      </c>
      <c r="K119">
        <f>IF(ISERROR(VLOOKUP(D119,命格辅助表!$P$76:$U$86,E119+2,0)),0,VLOOKUP(D119,命格辅助表!$P$76:$U$86,E119+2,0))</f>
        <v>2480</v>
      </c>
      <c r="L119">
        <v>0</v>
      </c>
      <c r="M119">
        <v>0</v>
      </c>
      <c r="N119">
        <v>8430</v>
      </c>
      <c r="O119">
        <f t="shared" si="15"/>
        <v>1</v>
      </c>
      <c r="P119">
        <f t="shared" si="17"/>
        <v>6</v>
      </c>
      <c r="Q119">
        <f>ROUND((VLOOKUP($A119,命格属性表,13,0)+VLOOKUP($A119,命格属性表,20,0)*($D119-1))*IF(P119&gt;9,1,VLOOKUP(D119,命格辅助表!$S$3:$U$10,3,0)),0)</f>
        <v>1721</v>
      </c>
      <c r="R119">
        <f t="shared" si="18"/>
        <v>0</v>
      </c>
      <c r="S119">
        <f>ROUND(IF(R119=0,0,VLOOKUP($A119,命格属性表,15,0)+VLOOKUP($A119,命格属性表,22,0)*($D119-1))*IF(R119&gt;9,1,VLOOKUP(D119,命格辅助表!$S$3:$U$10,3,0)),0)</f>
        <v>0</v>
      </c>
      <c r="T119">
        <f t="shared" si="20"/>
        <v>0</v>
      </c>
      <c r="U119">
        <f t="shared" si="14"/>
        <v>0</v>
      </c>
    </row>
    <row r="120" spans="1:21">
      <c r="A120">
        <v>8430</v>
      </c>
      <c r="B120" t="str">
        <f t="shared" si="16"/>
        <v>捉影</v>
      </c>
      <c r="C120">
        <f t="shared" si="21"/>
        <v>4</v>
      </c>
      <c r="D120">
        <v>6</v>
      </c>
      <c r="E120">
        <v>2</v>
      </c>
      <c r="F120">
        <v>10</v>
      </c>
      <c r="G120" t="str">
        <f>VLOOKUP(P120,定义数据!$B$14:$C$29,2,0)&amp;"+"&amp;Q120&amp;IF(R120=0,"",","&amp;VLOOKUP(R120,定义数据!$B$14:$C$29,2,0)&amp;"+"&amp;S120)&amp;IF(T120=0,"",","&amp;VLOOKUP(T120,定义数据!$B$14:$C$29,2,0)&amp;"+"&amp;U120)</f>
        <v>命中值+2581</v>
      </c>
      <c r="H120">
        <v>0</v>
      </c>
      <c r="I120">
        <f t="shared" si="19"/>
        <v>4</v>
      </c>
      <c r="J120">
        <f>IF(ISERROR(VLOOKUP(D120,命格辅助表!$I$76:$N$86,D_命格表!E120+2,0)),0,VLOOKUP(D120,命格辅助表!$I$76:$N$86,D_命格表!E120+2,0))</f>
        <v>5120</v>
      </c>
      <c r="K120">
        <f>IF(ISERROR(VLOOKUP(D120,命格辅助表!$P$76:$U$86,E120+2,0)),0,VLOOKUP(D120,命格辅助表!$P$76:$U$86,E120+2,0))</f>
        <v>5040</v>
      </c>
      <c r="L120">
        <v>0</v>
      </c>
      <c r="M120">
        <v>0</v>
      </c>
      <c r="N120">
        <v>8430</v>
      </c>
      <c r="O120">
        <f t="shared" si="15"/>
        <v>1</v>
      </c>
      <c r="P120">
        <f t="shared" si="17"/>
        <v>6</v>
      </c>
      <c r="Q120">
        <f>ROUND((VLOOKUP($A120,命格属性表,13,0)+VLOOKUP($A120,命格属性表,20,0)*($D120-1))*IF(P120&gt;9,1,VLOOKUP(D120,命格辅助表!$S$3:$U$10,3,0)),0)</f>
        <v>2581</v>
      </c>
      <c r="R120">
        <f t="shared" si="18"/>
        <v>0</v>
      </c>
      <c r="S120">
        <f>ROUND(IF(R120=0,0,VLOOKUP($A120,命格属性表,15,0)+VLOOKUP($A120,命格属性表,22,0)*($D120-1))*IF(R120&gt;9,1,VLOOKUP(D120,命格辅助表!$S$3:$U$10,3,0)),0)</f>
        <v>0</v>
      </c>
      <c r="T120">
        <f t="shared" si="20"/>
        <v>0</v>
      </c>
      <c r="U120">
        <f t="shared" si="14"/>
        <v>0</v>
      </c>
    </row>
    <row r="121" spans="1:21">
      <c r="A121">
        <v>8430</v>
      </c>
      <c r="B121" t="str">
        <f t="shared" si="16"/>
        <v>捉影</v>
      </c>
      <c r="C121">
        <f t="shared" si="21"/>
        <v>4</v>
      </c>
      <c r="D121">
        <v>7</v>
      </c>
      <c r="E121">
        <v>2</v>
      </c>
      <c r="F121">
        <v>10</v>
      </c>
      <c r="G121" t="str">
        <f>VLOOKUP(P121,定义数据!$B$14:$C$29,2,0)&amp;"+"&amp;Q121&amp;IF(R121=0,"",","&amp;VLOOKUP(R121,定义数据!$B$14:$C$29,2,0)&amp;"+"&amp;S121)&amp;IF(T121=0,"",","&amp;VLOOKUP(T121,定义数据!$B$14:$C$29,2,0)&amp;"+"&amp;U121)</f>
        <v>命中值+3872</v>
      </c>
      <c r="H121">
        <v>0</v>
      </c>
      <c r="I121">
        <f t="shared" si="19"/>
        <v>4</v>
      </c>
      <c r="J121">
        <f>IF(ISERROR(VLOOKUP(D121,命格辅助表!$I$76:$N$86,D_命格表!E121+2,0)),0,VLOOKUP(D121,命格辅助表!$I$76:$N$86,D_命格表!E121+2,0))</f>
        <v>10240</v>
      </c>
      <c r="K121">
        <f>IF(ISERROR(VLOOKUP(D121,命格辅助表!$P$76:$U$86,E121+2,0)),0,VLOOKUP(D121,命格辅助表!$P$76:$U$86,E121+2,0))</f>
        <v>10160</v>
      </c>
      <c r="L121">
        <v>0</v>
      </c>
      <c r="M121">
        <v>0</v>
      </c>
      <c r="N121">
        <v>8430</v>
      </c>
      <c r="O121">
        <f t="shared" si="15"/>
        <v>1</v>
      </c>
      <c r="P121">
        <f t="shared" si="17"/>
        <v>6</v>
      </c>
      <c r="Q121">
        <f>ROUND((VLOOKUP($A121,命格属性表,13,0)+VLOOKUP($A121,命格属性表,20,0)*($D121-1))*IF(P121&gt;9,1,VLOOKUP(D121,命格辅助表!$S$3:$U$10,3,0)),0)</f>
        <v>3872</v>
      </c>
      <c r="R121">
        <f t="shared" si="18"/>
        <v>0</v>
      </c>
      <c r="S121">
        <f>ROUND(IF(R121=0,0,VLOOKUP($A121,命格属性表,15,0)+VLOOKUP($A121,命格属性表,22,0)*($D121-1))*IF(R121&gt;9,1,VLOOKUP(D121,命格辅助表!$S$3:$U$10,3,0)),0)</f>
        <v>0</v>
      </c>
      <c r="T121">
        <f t="shared" si="20"/>
        <v>0</v>
      </c>
      <c r="U121">
        <f t="shared" si="14"/>
        <v>0</v>
      </c>
    </row>
    <row r="122" spans="1:21">
      <c r="A122">
        <v>8430</v>
      </c>
      <c r="B122" t="str">
        <f t="shared" si="16"/>
        <v>捉影</v>
      </c>
      <c r="C122">
        <f t="shared" si="21"/>
        <v>4</v>
      </c>
      <c r="D122">
        <v>8</v>
      </c>
      <c r="E122">
        <v>2</v>
      </c>
      <c r="F122">
        <v>10</v>
      </c>
      <c r="G122" t="str">
        <f>VLOOKUP(P122,定义数据!$B$14:$C$29,2,0)&amp;"+"&amp;Q122&amp;IF(R122=0,"",","&amp;VLOOKUP(R122,定义数据!$B$14:$C$29,2,0)&amp;"+"&amp;S122)&amp;IF(T122=0,"",","&amp;VLOOKUP(T122,定义数据!$B$14:$C$29,2,0)&amp;"+"&amp;U122)</f>
        <v>命中值+5808</v>
      </c>
      <c r="H122">
        <v>0</v>
      </c>
      <c r="I122">
        <f t="shared" si="19"/>
        <v>4</v>
      </c>
      <c r="J122">
        <f>IF(ISERROR(VLOOKUP(D122,命格辅助表!$I$76:$N$86,D_命格表!E122+2,0)),0,VLOOKUP(D122,命格辅助表!$I$76:$N$86,D_命格表!E122+2,0))</f>
        <v>20480</v>
      </c>
      <c r="K122">
        <f>IF(ISERROR(VLOOKUP(D122,命格辅助表!$P$76:$U$86,E122+2,0)),0,VLOOKUP(D122,命格辅助表!$P$76:$U$86,E122+2,0))</f>
        <v>20400</v>
      </c>
      <c r="L122">
        <f>IF(ISERROR(VLOOKUP(D122,命格辅助表!$I$76:$N$86,D_命格表!E122+2,0)),0,VLOOKUP(D122,命格辅助表!$I$76:$N$86,D_命格表!E122+2,0))</f>
        <v>20480</v>
      </c>
      <c r="M122">
        <f>A122+10</f>
        <v>8440</v>
      </c>
      <c r="N122">
        <v>8430</v>
      </c>
      <c r="O122">
        <f t="shared" si="15"/>
        <v>1</v>
      </c>
      <c r="P122">
        <f t="shared" si="17"/>
        <v>6</v>
      </c>
      <c r="Q122">
        <f>ROUND((VLOOKUP($A122,命格属性表,13,0)+VLOOKUP($A122,命格属性表,20,0)*($D122-1))*IF(P122&gt;9,1,VLOOKUP(D122,命格辅助表!$S$3:$U$10,3,0)),0)</f>
        <v>5808</v>
      </c>
      <c r="R122">
        <f t="shared" si="18"/>
        <v>0</v>
      </c>
      <c r="S122">
        <f>ROUND(IF(R122=0,0,VLOOKUP($A122,命格属性表,15,0)+VLOOKUP($A122,命格属性表,22,0)*($D122-1))*IF(R122&gt;9,1,VLOOKUP(D122,命格辅助表!$S$3:$U$10,3,0)),0)</f>
        <v>0</v>
      </c>
      <c r="T122">
        <f t="shared" si="20"/>
        <v>0</v>
      </c>
      <c r="U122">
        <f t="shared" si="14"/>
        <v>0</v>
      </c>
    </row>
    <row r="123" spans="1:21">
      <c r="A123">
        <v>8530</v>
      </c>
      <c r="B123" t="str">
        <f t="shared" si="16"/>
        <v>游刃</v>
      </c>
      <c r="C123">
        <f t="shared" si="21"/>
        <v>5</v>
      </c>
      <c r="D123">
        <v>1</v>
      </c>
      <c r="E123">
        <v>2</v>
      </c>
      <c r="F123">
        <v>10</v>
      </c>
      <c r="G123" t="str">
        <f>VLOOKUP(P123,定义数据!$B$14:$C$29,2,0)&amp;"+"&amp;Q123&amp;IF(R123=0,"",","&amp;VLOOKUP(R123,定义数据!$B$14:$C$29,2,0)&amp;"+"&amp;S123)&amp;IF(T123=0,"",","&amp;VLOOKUP(T123,定义数据!$B$14:$C$29,2,0)&amp;"+"&amp;U123)</f>
        <v>闪避值+340</v>
      </c>
      <c r="H123">
        <v>0</v>
      </c>
      <c r="I123">
        <f t="shared" si="19"/>
        <v>5</v>
      </c>
      <c r="J123">
        <f>IF(ISERROR(VLOOKUP(D123,命格辅助表!$I$76:$N$86,D_命格表!E123+2,0)),0,VLOOKUP(D123,命格辅助表!$I$76:$N$86,D_命格表!E123+2,0))</f>
        <v>160</v>
      </c>
      <c r="K123">
        <f>IF(ISERROR(VLOOKUP(D123,命格辅助表!$P$76:$U$86,E123+2,0)),0,VLOOKUP(D123,命格辅助表!$P$76:$U$86,E123+2,0))</f>
        <v>80</v>
      </c>
      <c r="L123">
        <v>0</v>
      </c>
      <c r="M123">
        <v>0</v>
      </c>
      <c r="N123">
        <v>8130</v>
      </c>
      <c r="O123">
        <f t="shared" si="15"/>
        <v>1</v>
      </c>
      <c r="P123">
        <f t="shared" si="17"/>
        <v>7</v>
      </c>
      <c r="Q123">
        <f>ROUND((VLOOKUP($A123,命格属性表,13,0)+VLOOKUP($A123,命格属性表,20,0)*($D123-1))*IF(P123&gt;9,1,VLOOKUP(D123,命格辅助表!$S$3:$U$10,3,0)),0)</f>
        <v>340</v>
      </c>
      <c r="R123">
        <f t="shared" si="18"/>
        <v>0</v>
      </c>
      <c r="S123">
        <f>ROUND(IF(R123=0,0,VLOOKUP($A123,命格属性表,15,0)+VLOOKUP($A123,命格属性表,22,0)*($D123-1))*IF(R123&gt;9,1,VLOOKUP(D123,命格辅助表!$S$3:$U$10,3,0)),0)</f>
        <v>0</v>
      </c>
      <c r="T123">
        <f t="shared" si="20"/>
        <v>0</v>
      </c>
      <c r="U123">
        <f t="shared" si="14"/>
        <v>0</v>
      </c>
    </row>
    <row r="124" spans="1:21">
      <c r="A124">
        <v>8530</v>
      </c>
      <c r="B124" t="str">
        <f t="shared" si="16"/>
        <v>游刃</v>
      </c>
      <c r="C124">
        <f t="shared" si="21"/>
        <v>5</v>
      </c>
      <c r="D124">
        <v>2</v>
      </c>
      <c r="E124">
        <v>2</v>
      </c>
      <c r="F124">
        <v>10</v>
      </c>
      <c r="G124" t="str">
        <f>VLOOKUP(P124,定义数据!$B$14:$C$29,2,0)&amp;"+"&amp;Q124&amp;IF(R124=0,"",","&amp;VLOOKUP(R124,定义数据!$B$14:$C$29,2,0)&amp;"+"&amp;S124)&amp;IF(T124=0,"",","&amp;VLOOKUP(T124,定义数据!$B$14:$C$29,2,0)&amp;"+"&amp;U124)</f>
        <v>闪避值+510</v>
      </c>
      <c r="H124">
        <v>0</v>
      </c>
      <c r="I124">
        <f t="shared" si="19"/>
        <v>5</v>
      </c>
      <c r="J124">
        <f>IF(ISERROR(VLOOKUP(D124,命格辅助表!$I$76:$N$86,D_命格表!E124+2,0)),0,VLOOKUP(D124,命格辅助表!$I$76:$N$86,D_命格表!E124+2,0))</f>
        <v>320</v>
      </c>
      <c r="K124">
        <f>IF(ISERROR(VLOOKUP(D124,命格辅助表!$P$76:$U$86,E124+2,0)),0,VLOOKUP(D124,命格辅助表!$P$76:$U$86,E124+2,0))</f>
        <v>240</v>
      </c>
      <c r="L124">
        <v>0</v>
      </c>
      <c r="M124">
        <v>0</v>
      </c>
      <c r="N124">
        <v>8130</v>
      </c>
      <c r="O124">
        <f t="shared" si="15"/>
        <v>1</v>
      </c>
      <c r="P124">
        <f t="shared" si="17"/>
        <v>7</v>
      </c>
      <c r="Q124">
        <f>ROUND((VLOOKUP($A124,命格属性表,13,0)+VLOOKUP($A124,命格属性表,20,0)*($D124-1))*IF(P124&gt;9,1,VLOOKUP(D124,命格辅助表!$S$3:$U$10,3,0)),0)</f>
        <v>510</v>
      </c>
      <c r="R124">
        <f t="shared" si="18"/>
        <v>0</v>
      </c>
      <c r="S124">
        <f>ROUND(IF(R124=0,0,VLOOKUP($A124,命格属性表,15,0)+VLOOKUP($A124,命格属性表,22,0)*($D124-1))*IF(R124&gt;9,1,VLOOKUP(D124,命格辅助表!$S$3:$U$10,3,0)),0)</f>
        <v>0</v>
      </c>
      <c r="T124">
        <f t="shared" si="20"/>
        <v>0</v>
      </c>
      <c r="U124">
        <f t="shared" si="14"/>
        <v>0</v>
      </c>
    </row>
    <row r="125" spans="1:21">
      <c r="A125">
        <v>8530</v>
      </c>
      <c r="B125" t="str">
        <f t="shared" si="16"/>
        <v>游刃</v>
      </c>
      <c r="C125">
        <f t="shared" si="21"/>
        <v>5</v>
      </c>
      <c r="D125">
        <v>3</v>
      </c>
      <c r="E125">
        <v>2</v>
      </c>
      <c r="F125">
        <v>10</v>
      </c>
      <c r="G125" t="str">
        <f>VLOOKUP(P125,定义数据!$B$14:$C$29,2,0)&amp;"+"&amp;Q125&amp;IF(R125=0,"",","&amp;VLOOKUP(R125,定义数据!$B$14:$C$29,2,0)&amp;"+"&amp;S125)&amp;IF(T125=0,"",","&amp;VLOOKUP(T125,定义数据!$B$14:$C$29,2,0)&amp;"+"&amp;U125)</f>
        <v>闪避值+765</v>
      </c>
      <c r="H125">
        <v>0</v>
      </c>
      <c r="I125">
        <f t="shared" si="19"/>
        <v>5</v>
      </c>
      <c r="J125">
        <f>IF(ISERROR(VLOOKUP(D125,命格辅助表!$I$76:$N$86,D_命格表!E125+2,0)),0,VLOOKUP(D125,命格辅助表!$I$76:$N$86,D_命格表!E125+2,0))</f>
        <v>640</v>
      </c>
      <c r="K125">
        <f>IF(ISERROR(VLOOKUP(D125,命格辅助表!$P$76:$U$86,E125+2,0)),0,VLOOKUP(D125,命格辅助表!$P$76:$U$86,E125+2,0))</f>
        <v>560</v>
      </c>
      <c r="L125">
        <v>0</v>
      </c>
      <c r="M125">
        <v>0</v>
      </c>
      <c r="N125">
        <v>8130</v>
      </c>
      <c r="O125">
        <f t="shared" si="15"/>
        <v>1</v>
      </c>
      <c r="P125">
        <f t="shared" si="17"/>
        <v>7</v>
      </c>
      <c r="Q125">
        <f>ROUND((VLOOKUP($A125,命格属性表,13,0)+VLOOKUP($A125,命格属性表,20,0)*($D125-1))*IF(P125&gt;9,1,VLOOKUP(D125,命格辅助表!$S$3:$U$10,3,0)),0)</f>
        <v>765</v>
      </c>
      <c r="R125">
        <f t="shared" si="18"/>
        <v>0</v>
      </c>
      <c r="S125">
        <f>ROUND(IF(R125=0,0,VLOOKUP($A125,命格属性表,15,0)+VLOOKUP($A125,命格属性表,22,0)*($D125-1))*IF(R125&gt;9,1,VLOOKUP(D125,命格辅助表!$S$3:$U$10,3,0)),0)</f>
        <v>0</v>
      </c>
      <c r="T125">
        <f t="shared" si="20"/>
        <v>0</v>
      </c>
      <c r="U125">
        <f t="shared" si="14"/>
        <v>0</v>
      </c>
    </row>
    <row r="126" spans="1:21">
      <c r="A126">
        <v>8530</v>
      </c>
      <c r="B126" t="str">
        <f t="shared" si="16"/>
        <v>游刃</v>
      </c>
      <c r="C126">
        <f t="shared" si="21"/>
        <v>5</v>
      </c>
      <c r="D126">
        <v>4</v>
      </c>
      <c r="E126">
        <v>2</v>
      </c>
      <c r="F126">
        <v>10</v>
      </c>
      <c r="G126" t="str">
        <f>VLOOKUP(P126,定义数据!$B$14:$C$29,2,0)&amp;"+"&amp;Q126&amp;IF(R126=0,"",","&amp;VLOOKUP(R126,定义数据!$B$14:$C$29,2,0)&amp;"+"&amp;S126)&amp;IF(T126=0,"",","&amp;VLOOKUP(T126,定义数据!$B$14:$C$29,2,0)&amp;"+"&amp;U126)</f>
        <v>闪避值+1147</v>
      </c>
      <c r="H126">
        <v>0</v>
      </c>
      <c r="I126">
        <f t="shared" si="19"/>
        <v>5</v>
      </c>
      <c r="J126">
        <f>IF(ISERROR(VLOOKUP(D126,命格辅助表!$I$76:$N$86,D_命格表!E126+2,0)),0,VLOOKUP(D126,命格辅助表!$I$76:$N$86,D_命格表!E126+2,0))</f>
        <v>1280</v>
      </c>
      <c r="K126">
        <f>IF(ISERROR(VLOOKUP(D126,命格辅助表!$P$76:$U$86,E126+2,0)),0,VLOOKUP(D126,命格辅助表!$P$76:$U$86,E126+2,0))</f>
        <v>1200</v>
      </c>
      <c r="L126">
        <v>0</v>
      </c>
      <c r="M126">
        <v>0</v>
      </c>
      <c r="N126">
        <v>8130</v>
      </c>
      <c r="O126">
        <f t="shared" si="15"/>
        <v>1</v>
      </c>
      <c r="P126">
        <f t="shared" si="17"/>
        <v>7</v>
      </c>
      <c r="Q126">
        <f>ROUND((VLOOKUP($A126,命格属性表,13,0)+VLOOKUP($A126,命格属性表,20,0)*($D126-1))*IF(P126&gt;9,1,VLOOKUP(D126,命格辅助表!$S$3:$U$10,3,0)),0)</f>
        <v>1147</v>
      </c>
      <c r="R126">
        <f t="shared" si="18"/>
        <v>0</v>
      </c>
      <c r="S126">
        <f>ROUND(IF(R126=0,0,VLOOKUP($A126,命格属性表,15,0)+VLOOKUP($A126,命格属性表,22,0)*($D126-1))*IF(R126&gt;9,1,VLOOKUP(D126,命格辅助表!$S$3:$U$10,3,0)),0)</f>
        <v>0</v>
      </c>
      <c r="T126">
        <f t="shared" si="20"/>
        <v>0</v>
      </c>
      <c r="U126">
        <f t="shared" si="14"/>
        <v>0</v>
      </c>
    </row>
    <row r="127" spans="1:21">
      <c r="A127">
        <v>8530</v>
      </c>
      <c r="B127" t="str">
        <f t="shared" si="16"/>
        <v>游刃</v>
      </c>
      <c r="C127">
        <f t="shared" si="21"/>
        <v>5</v>
      </c>
      <c r="D127">
        <v>5</v>
      </c>
      <c r="E127">
        <v>2</v>
      </c>
      <c r="F127">
        <v>10</v>
      </c>
      <c r="G127" t="str">
        <f>VLOOKUP(P127,定义数据!$B$14:$C$29,2,0)&amp;"+"&amp;Q127&amp;IF(R127=0,"",","&amp;VLOOKUP(R127,定义数据!$B$14:$C$29,2,0)&amp;"+"&amp;S127)&amp;IF(T127=0,"",","&amp;VLOOKUP(T127,定义数据!$B$14:$C$29,2,0)&amp;"+"&amp;U127)</f>
        <v>闪避值+1721</v>
      </c>
      <c r="H127">
        <v>0</v>
      </c>
      <c r="I127">
        <f t="shared" si="19"/>
        <v>5</v>
      </c>
      <c r="J127">
        <f>IF(ISERROR(VLOOKUP(D127,命格辅助表!$I$76:$N$86,D_命格表!E127+2,0)),0,VLOOKUP(D127,命格辅助表!$I$76:$N$86,D_命格表!E127+2,0))</f>
        <v>2560</v>
      </c>
      <c r="K127">
        <f>IF(ISERROR(VLOOKUP(D127,命格辅助表!$P$76:$U$86,E127+2,0)),0,VLOOKUP(D127,命格辅助表!$P$76:$U$86,E127+2,0))</f>
        <v>2480</v>
      </c>
      <c r="L127">
        <v>0</v>
      </c>
      <c r="M127">
        <v>0</v>
      </c>
      <c r="N127">
        <v>8130</v>
      </c>
      <c r="O127">
        <f t="shared" si="15"/>
        <v>1</v>
      </c>
      <c r="P127">
        <f t="shared" si="17"/>
        <v>7</v>
      </c>
      <c r="Q127">
        <f>ROUND((VLOOKUP($A127,命格属性表,13,0)+VLOOKUP($A127,命格属性表,20,0)*($D127-1))*IF(P127&gt;9,1,VLOOKUP(D127,命格辅助表!$S$3:$U$10,3,0)),0)</f>
        <v>1721</v>
      </c>
      <c r="R127">
        <f t="shared" si="18"/>
        <v>0</v>
      </c>
      <c r="S127">
        <f>ROUND(IF(R127=0,0,VLOOKUP($A127,命格属性表,15,0)+VLOOKUP($A127,命格属性表,22,0)*($D127-1))*IF(R127&gt;9,1,VLOOKUP(D127,命格辅助表!$S$3:$U$10,3,0)),0)</f>
        <v>0</v>
      </c>
      <c r="T127">
        <f t="shared" si="20"/>
        <v>0</v>
      </c>
      <c r="U127">
        <f t="shared" si="14"/>
        <v>0</v>
      </c>
    </row>
    <row r="128" spans="1:21">
      <c r="A128">
        <v>8530</v>
      </c>
      <c r="B128" t="str">
        <f t="shared" si="16"/>
        <v>游刃</v>
      </c>
      <c r="C128">
        <f t="shared" si="21"/>
        <v>5</v>
      </c>
      <c r="D128">
        <v>6</v>
      </c>
      <c r="E128">
        <v>2</v>
      </c>
      <c r="F128">
        <v>10</v>
      </c>
      <c r="G128" t="str">
        <f>VLOOKUP(P128,定义数据!$B$14:$C$29,2,0)&amp;"+"&amp;Q128&amp;IF(R128=0,"",","&amp;VLOOKUP(R128,定义数据!$B$14:$C$29,2,0)&amp;"+"&amp;S128)&amp;IF(T128=0,"",","&amp;VLOOKUP(T128,定义数据!$B$14:$C$29,2,0)&amp;"+"&amp;U128)</f>
        <v>闪避值+2581</v>
      </c>
      <c r="H128">
        <v>0</v>
      </c>
      <c r="I128">
        <f t="shared" si="19"/>
        <v>5</v>
      </c>
      <c r="J128">
        <f>IF(ISERROR(VLOOKUP(D128,命格辅助表!$I$76:$N$86,D_命格表!E128+2,0)),0,VLOOKUP(D128,命格辅助表!$I$76:$N$86,D_命格表!E128+2,0))</f>
        <v>5120</v>
      </c>
      <c r="K128">
        <f>IF(ISERROR(VLOOKUP(D128,命格辅助表!$P$76:$U$86,E128+2,0)),0,VLOOKUP(D128,命格辅助表!$P$76:$U$86,E128+2,0))</f>
        <v>5040</v>
      </c>
      <c r="L128">
        <v>0</v>
      </c>
      <c r="M128">
        <v>0</v>
      </c>
      <c r="N128">
        <v>8130</v>
      </c>
      <c r="O128">
        <f t="shared" si="15"/>
        <v>1</v>
      </c>
      <c r="P128">
        <f t="shared" si="17"/>
        <v>7</v>
      </c>
      <c r="Q128">
        <f>ROUND((VLOOKUP($A128,命格属性表,13,0)+VLOOKUP($A128,命格属性表,20,0)*($D128-1))*IF(P128&gt;9,1,VLOOKUP(D128,命格辅助表!$S$3:$U$10,3,0)),0)</f>
        <v>2581</v>
      </c>
      <c r="R128">
        <f t="shared" si="18"/>
        <v>0</v>
      </c>
      <c r="S128">
        <f>ROUND(IF(R128=0,0,VLOOKUP($A128,命格属性表,15,0)+VLOOKUP($A128,命格属性表,22,0)*($D128-1))*IF(R128&gt;9,1,VLOOKUP(D128,命格辅助表!$S$3:$U$10,3,0)),0)</f>
        <v>0</v>
      </c>
      <c r="T128">
        <f t="shared" si="20"/>
        <v>0</v>
      </c>
      <c r="U128">
        <f t="shared" si="14"/>
        <v>0</v>
      </c>
    </row>
    <row r="129" spans="1:21">
      <c r="A129">
        <v>8530</v>
      </c>
      <c r="B129" t="str">
        <f t="shared" si="16"/>
        <v>游刃</v>
      </c>
      <c r="C129">
        <f t="shared" si="21"/>
        <v>5</v>
      </c>
      <c r="D129">
        <v>7</v>
      </c>
      <c r="E129">
        <v>2</v>
      </c>
      <c r="F129">
        <v>10</v>
      </c>
      <c r="G129" t="str">
        <f>VLOOKUP(P129,定义数据!$B$14:$C$29,2,0)&amp;"+"&amp;Q129&amp;IF(R129=0,"",","&amp;VLOOKUP(R129,定义数据!$B$14:$C$29,2,0)&amp;"+"&amp;S129)&amp;IF(T129=0,"",","&amp;VLOOKUP(T129,定义数据!$B$14:$C$29,2,0)&amp;"+"&amp;U129)</f>
        <v>闪避值+3872</v>
      </c>
      <c r="H129">
        <v>0</v>
      </c>
      <c r="I129">
        <f t="shared" si="19"/>
        <v>5</v>
      </c>
      <c r="J129">
        <f>IF(ISERROR(VLOOKUP(D129,命格辅助表!$I$76:$N$86,D_命格表!E129+2,0)),0,VLOOKUP(D129,命格辅助表!$I$76:$N$86,D_命格表!E129+2,0))</f>
        <v>10240</v>
      </c>
      <c r="K129">
        <f>IF(ISERROR(VLOOKUP(D129,命格辅助表!$P$76:$U$86,E129+2,0)),0,VLOOKUP(D129,命格辅助表!$P$76:$U$86,E129+2,0))</f>
        <v>10160</v>
      </c>
      <c r="L129">
        <v>0</v>
      </c>
      <c r="M129">
        <v>0</v>
      </c>
      <c r="N129">
        <v>8130</v>
      </c>
      <c r="O129">
        <f t="shared" si="15"/>
        <v>1</v>
      </c>
      <c r="P129">
        <f t="shared" si="17"/>
        <v>7</v>
      </c>
      <c r="Q129">
        <f>ROUND((VLOOKUP($A129,命格属性表,13,0)+VLOOKUP($A129,命格属性表,20,0)*($D129-1))*IF(P129&gt;9,1,VLOOKUP(D129,命格辅助表!$S$3:$U$10,3,0)),0)</f>
        <v>3872</v>
      </c>
      <c r="R129">
        <f t="shared" si="18"/>
        <v>0</v>
      </c>
      <c r="S129">
        <f>ROUND(IF(R129=0,0,VLOOKUP($A129,命格属性表,15,0)+VLOOKUP($A129,命格属性表,22,0)*($D129-1))*IF(R129&gt;9,1,VLOOKUP(D129,命格辅助表!$S$3:$U$10,3,0)),0)</f>
        <v>0</v>
      </c>
      <c r="T129">
        <f t="shared" si="20"/>
        <v>0</v>
      </c>
      <c r="U129">
        <f t="shared" si="14"/>
        <v>0</v>
      </c>
    </row>
    <row r="130" spans="1:21">
      <c r="A130">
        <v>8530</v>
      </c>
      <c r="B130" t="str">
        <f t="shared" si="16"/>
        <v>游刃</v>
      </c>
      <c r="C130">
        <f t="shared" si="21"/>
        <v>5</v>
      </c>
      <c r="D130">
        <v>8</v>
      </c>
      <c r="E130">
        <v>2</v>
      </c>
      <c r="F130">
        <v>10</v>
      </c>
      <c r="G130" t="str">
        <f>VLOOKUP(P130,定义数据!$B$14:$C$29,2,0)&amp;"+"&amp;Q130&amp;IF(R130=0,"",","&amp;VLOOKUP(R130,定义数据!$B$14:$C$29,2,0)&amp;"+"&amp;S130)&amp;IF(T130=0,"",","&amp;VLOOKUP(T130,定义数据!$B$14:$C$29,2,0)&amp;"+"&amp;U130)</f>
        <v>闪避值+5808</v>
      </c>
      <c r="H130">
        <v>0</v>
      </c>
      <c r="I130">
        <f t="shared" si="19"/>
        <v>5</v>
      </c>
      <c r="J130">
        <f>IF(ISERROR(VLOOKUP(D130,命格辅助表!$I$76:$N$86,D_命格表!E130+2,0)),0,VLOOKUP(D130,命格辅助表!$I$76:$N$86,D_命格表!E130+2,0))</f>
        <v>20480</v>
      </c>
      <c r="K130">
        <f>IF(ISERROR(VLOOKUP(D130,命格辅助表!$P$76:$U$86,E130+2,0)),0,VLOOKUP(D130,命格辅助表!$P$76:$U$86,E130+2,0))</f>
        <v>20400</v>
      </c>
      <c r="L130">
        <f>IF(ISERROR(VLOOKUP(D130,命格辅助表!$I$76:$N$86,D_命格表!E130+2,0)),0,VLOOKUP(D130,命格辅助表!$I$76:$N$86,D_命格表!E130+2,0))</f>
        <v>20480</v>
      </c>
      <c r="M130">
        <f>A130+10</f>
        <v>8540</v>
      </c>
      <c r="N130">
        <v>8130</v>
      </c>
      <c r="O130">
        <f t="shared" si="15"/>
        <v>1</v>
      </c>
      <c r="P130">
        <f t="shared" si="17"/>
        <v>7</v>
      </c>
      <c r="Q130">
        <f>ROUND((VLOOKUP($A130,命格属性表,13,0)+VLOOKUP($A130,命格属性表,20,0)*($D130-1))*IF(P130&gt;9,1,VLOOKUP(D130,命格辅助表!$S$3:$U$10,3,0)),0)</f>
        <v>5808</v>
      </c>
      <c r="R130">
        <f t="shared" si="18"/>
        <v>0</v>
      </c>
      <c r="S130">
        <f>ROUND(IF(R130=0,0,VLOOKUP($A130,命格属性表,15,0)+VLOOKUP($A130,命格属性表,22,0)*($D130-1))*IF(R130&gt;9,1,VLOOKUP(D130,命格辅助表!$S$3:$U$10,3,0)),0)</f>
        <v>0</v>
      </c>
      <c r="T130">
        <f t="shared" si="20"/>
        <v>0</v>
      </c>
      <c r="U130">
        <f t="shared" ref="U130:U193" si="22">IF(T130=0,0,VLOOKUP($A130,命格属性表,17,0)+VLOOKUP($A130,命格属性表,24,0)*($D130-1))</f>
        <v>0</v>
      </c>
    </row>
    <row r="131" spans="1:21">
      <c r="A131">
        <v>8630</v>
      </c>
      <c r="B131" t="str">
        <f t="shared" si="16"/>
        <v>傲骨</v>
      </c>
      <c r="C131">
        <f t="shared" si="21"/>
        <v>6</v>
      </c>
      <c r="D131">
        <v>1</v>
      </c>
      <c r="E131">
        <v>2</v>
      </c>
      <c r="F131">
        <v>10</v>
      </c>
      <c r="G131" t="str">
        <f>VLOOKUP(P131,定义数据!$B$14:$C$29,2,0)&amp;"+"&amp;Q131&amp;IF(R131=0,"",","&amp;VLOOKUP(R131,定义数据!$B$14:$C$29,2,0)&amp;"+"&amp;S131)&amp;IF(T131=0,"",","&amp;VLOOKUP(T131,定义数据!$B$14:$C$29,2,0)&amp;"+"&amp;U131)</f>
        <v>韧性值+642</v>
      </c>
      <c r="H131">
        <v>0</v>
      </c>
      <c r="I131">
        <f t="shared" si="19"/>
        <v>6</v>
      </c>
      <c r="J131">
        <f>IF(ISERROR(VLOOKUP(D131,命格辅助表!$I$76:$N$86,D_命格表!E131+2,0)),0,VLOOKUP(D131,命格辅助表!$I$76:$N$86,D_命格表!E131+2,0))</f>
        <v>160</v>
      </c>
      <c r="K131">
        <f>IF(ISERROR(VLOOKUP(D131,命格辅助表!$P$76:$U$86,E131+2,0)),0,VLOOKUP(D131,命格辅助表!$P$76:$U$86,E131+2,0))</f>
        <v>80</v>
      </c>
      <c r="L131">
        <v>0</v>
      </c>
      <c r="M131">
        <v>0</v>
      </c>
      <c r="N131">
        <v>8230</v>
      </c>
      <c r="O131">
        <f t="shared" ref="O131:O194" si="23">COUNTIF(P131:U131,"&gt;0")/2</f>
        <v>1</v>
      </c>
      <c r="P131">
        <f t="shared" si="17"/>
        <v>9</v>
      </c>
      <c r="Q131">
        <f>ROUND((VLOOKUP($A131,命格属性表,13,0)+VLOOKUP($A131,命格属性表,20,0)*($D131-1))*IF(P131&gt;9,1,VLOOKUP(D131,命格辅助表!$S$3:$U$10,3,0)),0)</f>
        <v>642</v>
      </c>
      <c r="R131">
        <f t="shared" si="18"/>
        <v>0</v>
      </c>
      <c r="S131">
        <f>ROUND(IF(R131=0,0,VLOOKUP($A131,命格属性表,15,0)+VLOOKUP($A131,命格属性表,22,0)*($D131-1))*IF(R131&gt;9,1,VLOOKUP(D131,命格辅助表!$S$3:$U$10,3,0)),0)</f>
        <v>0</v>
      </c>
      <c r="T131">
        <f t="shared" si="20"/>
        <v>0</v>
      </c>
      <c r="U131">
        <f t="shared" si="22"/>
        <v>0</v>
      </c>
    </row>
    <row r="132" spans="1:21">
      <c r="A132">
        <v>8630</v>
      </c>
      <c r="B132" t="str">
        <f t="shared" si="16"/>
        <v>傲骨</v>
      </c>
      <c r="C132">
        <f t="shared" si="21"/>
        <v>6</v>
      </c>
      <c r="D132">
        <v>2</v>
      </c>
      <c r="E132">
        <v>2</v>
      </c>
      <c r="F132">
        <v>10</v>
      </c>
      <c r="G132" t="str">
        <f>VLOOKUP(P132,定义数据!$B$14:$C$29,2,0)&amp;"+"&amp;Q132&amp;IF(R132=0,"",","&amp;VLOOKUP(R132,定义数据!$B$14:$C$29,2,0)&amp;"+"&amp;S132)&amp;IF(T132=0,"",","&amp;VLOOKUP(T132,定义数据!$B$14:$C$29,2,0)&amp;"+"&amp;U132)</f>
        <v>韧性值+964</v>
      </c>
      <c r="H132">
        <v>0</v>
      </c>
      <c r="I132">
        <f t="shared" si="19"/>
        <v>6</v>
      </c>
      <c r="J132">
        <f>IF(ISERROR(VLOOKUP(D132,命格辅助表!$I$76:$N$86,D_命格表!E132+2,0)),0,VLOOKUP(D132,命格辅助表!$I$76:$N$86,D_命格表!E132+2,0))</f>
        <v>320</v>
      </c>
      <c r="K132">
        <f>IF(ISERROR(VLOOKUP(D132,命格辅助表!$P$76:$U$86,E132+2,0)),0,VLOOKUP(D132,命格辅助表!$P$76:$U$86,E132+2,0))</f>
        <v>240</v>
      </c>
      <c r="L132">
        <v>0</v>
      </c>
      <c r="M132">
        <v>0</v>
      </c>
      <c r="N132">
        <v>8230</v>
      </c>
      <c r="O132">
        <f t="shared" si="23"/>
        <v>1</v>
      </c>
      <c r="P132">
        <f t="shared" si="17"/>
        <v>9</v>
      </c>
      <c r="Q132">
        <f>ROUND((VLOOKUP($A132,命格属性表,13,0)+VLOOKUP($A132,命格属性表,20,0)*($D132-1))*IF(P132&gt;9,1,VLOOKUP(D132,命格辅助表!$S$3:$U$10,3,0)),0)</f>
        <v>964</v>
      </c>
      <c r="R132">
        <f t="shared" si="18"/>
        <v>0</v>
      </c>
      <c r="S132">
        <f>ROUND(IF(R132=0,0,VLOOKUP($A132,命格属性表,15,0)+VLOOKUP($A132,命格属性表,22,0)*($D132-1))*IF(R132&gt;9,1,VLOOKUP(D132,命格辅助表!$S$3:$U$10,3,0)),0)</f>
        <v>0</v>
      </c>
      <c r="T132">
        <f t="shared" si="20"/>
        <v>0</v>
      </c>
      <c r="U132">
        <f t="shared" si="22"/>
        <v>0</v>
      </c>
    </row>
    <row r="133" spans="1:21">
      <c r="A133">
        <v>8630</v>
      </c>
      <c r="B133" t="str">
        <f t="shared" si="16"/>
        <v>傲骨</v>
      </c>
      <c r="C133">
        <f t="shared" si="21"/>
        <v>6</v>
      </c>
      <c r="D133">
        <v>3</v>
      </c>
      <c r="E133">
        <v>2</v>
      </c>
      <c r="F133">
        <v>10</v>
      </c>
      <c r="G133" t="str">
        <f>VLOOKUP(P133,定义数据!$B$14:$C$29,2,0)&amp;"+"&amp;Q133&amp;IF(R133=0,"",","&amp;VLOOKUP(R133,定义数据!$B$14:$C$29,2,0)&amp;"+"&amp;S133)&amp;IF(T133=0,"",","&amp;VLOOKUP(T133,定义数据!$B$14:$C$29,2,0)&amp;"+"&amp;U133)</f>
        <v>韧性值+1445</v>
      </c>
      <c r="H133">
        <v>0</v>
      </c>
      <c r="I133">
        <f t="shared" si="19"/>
        <v>6</v>
      </c>
      <c r="J133">
        <f>IF(ISERROR(VLOOKUP(D133,命格辅助表!$I$76:$N$86,D_命格表!E133+2,0)),0,VLOOKUP(D133,命格辅助表!$I$76:$N$86,D_命格表!E133+2,0))</f>
        <v>640</v>
      </c>
      <c r="K133">
        <f>IF(ISERROR(VLOOKUP(D133,命格辅助表!$P$76:$U$86,E133+2,0)),0,VLOOKUP(D133,命格辅助表!$P$76:$U$86,E133+2,0))</f>
        <v>560</v>
      </c>
      <c r="L133">
        <v>0</v>
      </c>
      <c r="M133">
        <v>0</v>
      </c>
      <c r="N133">
        <v>8230</v>
      </c>
      <c r="O133">
        <f t="shared" si="23"/>
        <v>1</v>
      </c>
      <c r="P133">
        <f t="shared" si="17"/>
        <v>9</v>
      </c>
      <c r="Q133">
        <f>ROUND((VLOOKUP($A133,命格属性表,13,0)+VLOOKUP($A133,命格属性表,20,0)*($D133-1))*IF(P133&gt;9,1,VLOOKUP(D133,命格辅助表!$S$3:$U$10,3,0)),0)</f>
        <v>1445</v>
      </c>
      <c r="R133">
        <f t="shared" si="18"/>
        <v>0</v>
      </c>
      <c r="S133">
        <f>ROUND(IF(R133=0,0,VLOOKUP($A133,命格属性表,15,0)+VLOOKUP($A133,命格属性表,22,0)*($D133-1))*IF(R133&gt;9,1,VLOOKUP(D133,命格辅助表!$S$3:$U$10,3,0)),0)</f>
        <v>0</v>
      </c>
      <c r="T133">
        <f t="shared" si="20"/>
        <v>0</v>
      </c>
      <c r="U133">
        <f t="shared" si="22"/>
        <v>0</v>
      </c>
    </row>
    <row r="134" spans="1:21">
      <c r="A134">
        <v>8630</v>
      </c>
      <c r="B134" t="str">
        <f t="shared" si="16"/>
        <v>傲骨</v>
      </c>
      <c r="C134">
        <f t="shared" si="21"/>
        <v>6</v>
      </c>
      <c r="D134">
        <v>4</v>
      </c>
      <c r="E134">
        <v>2</v>
      </c>
      <c r="F134">
        <v>10</v>
      </c>
      <c r="G134" t="str">
        <f>VLOOKUP(P134,定义数据!$B$14:$C$29,2,0)&amp;"+"&amp;Q134&amp;IF(R134=0,"",","&amp;VLOOKUP(R134,定义数据!$B$14:$C$29,2,0)&amp;"+"&amp;S134)&amp;IF(T134=0,"",","&amp;VLOOKUP(T134,定义数据!$B$14:$C$29,2,0)&amp;"+"&amp;U134)</f>
        <v>韧性值+2168</v>
      </c>
      <c r="H134">
        <v>0</v>
      </c>
      <c r="I134">
        <f t="shared" si="19"/>
        <v>6</v>
      </c>
      <c r="J134">
        <f>IF(ISERROR(VLOOKUP(D134,命格辅助表!$I$76:$N$86,D_命格表!E134+2,0)),0,VLOOKUP(D134,命格辅助表!$I$76:$N$86,D_命格表!E134+2,0))</f>
        <v>1280</v>
      </c>
      <c r="K134">
        <f>IF(ISERROR(VLOOKUP(D134,命格辅助表!$P$76:$U$86,E134+2,0)),0,VLOOKUP(D134,命格辅助表!$P$76:$U$86,E134+2,0))</f>
        <v>1200</v>
      </c>
      <c r="L134">
        <v>0</v>
      </c>
      <c r="M134">
        <v>0</v>
      </c>
      <c r="N134">
        <v>8230</v>
      </c>
      <c r="O134">
        <f t="shared" si="23"/>
        <v>1</v>
      </c>
      <c r="P134">
        <f t="shared" si="17"/>
        <v>9</v>
      </c>
      <c r="Q134">
        <f>ROUND((VLOOKUP($A134,命格属性表,13,0)+VLOOKUP($A134,命格属性表,20,0)*($D134-1))*IF(P134&gt;9,1,VLOOKUP(D134,命格辅助表!$S$3:$U$10,3,0)),0)</f>
        <v>2168</v>
      </c>
      <c r="R134">
        <f t="shared" si="18"/>
        <v>0</v>
      </c>
      <c r="S134">
        <f>ROUND(IF(R134=0,0,VLOOKUP($A134,命格属性表,15,0)+VLOOKUP($A134,命格属性表,22,0)*($D134-1))*IF(R134&gt;9,1,VLOOKUP(D134,命格辅助表!$S$3:$U$10,3,0)),0)</f>
        <v>0</v>
      </c>
      <c r="T134">
        <f t="shared" si="20"/>
        <v>0</v>
      </c>
      <c r="U134">
        <f t="shared" si="22"/>
        <v>0</v>
      </c>
    </row>
    <row r="135" spans="1:21">
      <c r="A135">
        <v>8630</v>
      </c>
      <c r="B135" t="str">
        <f t="shared" si="16"/>
        <v>傲骨</v>
      </c>
      <c r="C135">
        <f t="shared" si="21"/>
        <v>6</v>
      </c>
      <c r="D135">
        <v>5</v>
      </c>
      <c r="E135">
        <v>2</v>
      </c>
      <c r="F135">
        <v>10</v>
      </c>
      <c r="G135" t="str">
        <f>VLOOKUP(P135,定义数据!$B$14:$C$29,2,0)&amp;"+"&amp;Q135&amp;IF(R135=0,"",","&amp;VLOOKUP(R135,定义数据!$B$14:$C$29,2,0)&amp;"+"&amp;S135)&amp;IF(T135=0,"",","&amp;VLOOKUP(T135,定义数据!$B$14:$C$29,2,0)&amp;"+"&amp;U135)</f>
        <v>韧性值+3252</v>
      </c>
      <c r="H135">
        <v>0</v>
      </c>
      <c r="I135">
        <f t="shared" si="19"/>
        <v>6</v>
      </c>
      <c r="J135">
        <f>IF(ISERROR(VLOOKUP(D135,命格辅助表!$I$76:$N$86,D_命格表!E135+2,0)),0,VLOOKUP(D135,命格辅助表!$I$76:$N$86,D_命格表!E135+2,0))</f>
        <v>2560</v>
      </c>
      <c r="K135">
        <f>IF(ISERROR(VLOOKUP(D135,命格辅助表!$P$76:$U$86,E135+2,0)),0,VLOOKUP(D135,命格辅助表!$P$76:$U$86,E135+2,0))</f>
        <v>2480</v>
      </c>
      <c r="L135">
        <v>0</v>
      </c>
      <c r="M135">
        <v>0</v>
      </c>
      <c r="N135">
        <v>8230</v>
      </c>
      <c r="O135">
        <f t="shared" si="23"/>
        <v>1</v>
      </c>
      <c r="P135">
        <f t="shared" si="17"/>
        <v>9</v>
      </c>
      <c r="Q135">
        <f>ROUND((VLOOKUP($A135,命格属性表,13,0)+VLOOKUP($A135,命格属性表,20,0)*($D135-1))*IF(P135&gt;9,1,VLOOKUP(D135,命格辅助表!$S$3:$U$10,3,0)),0)</f>
        <v>3252</v>
      </c>
      <c r="R135">
        <f t="shared" si="18"/>
        <v>0</v>
      </c>
      <c r="S135">
        <f>ROUND(IF(R135=0,0,VLOOKUP($A135,命格属性表,15,0)+VLOOKUP($A135,命格属性表,22,0)*($D135-1))*IF(R135&gt;9,1,VLOOKUP(D135,命格辅助表!$S$3:$U$10,3,0)),0)</f>
        <v>0</v>
      </c>
      <c r="T135">
        <f t="shared" si="20"/>
        <v>0</v>
      </c>
      <c r="U135">
        <f t="shared" si="22"/>
        <v>0</v>
      </c>
    </row>
    <row r="136" spans="1:21">
      <c r="A136">
        <v>8630</v>
      </c>
      <c r="B136" t="str">
        <f t="shared" si="16"/>
        <v>傲骨</v>
      </c>
      <c r="C136">
        <f t="shared" si="21"/>
        <v>6</v>
      </c>
      <c r="D136">
        <v>6</v>
      </c>
      <c r="E136">
        <v>2</v>
      </c>
      <c r="F136">
        <v>10</v>
      </c>
      <c r="G136" t="str">
        <f>VLOOKUP(P136,定义数据!$B$14:$C$29,2,0)&amp;"+"&amp;Q136&amp;IF(R136=0,"",","&amp;VLOOKUP(R136,定义数据!$B$14:$C$29,2,0)&amp;"+"&amp;S136)&amp;IF(T136=0,"",","&amp;VLOOKUP(T136,定义数据!$B$14:$C$29,2,0)&amp;"+"&amp;U136)</f>
        <v>韧性值+4878</v>
      </c>
      <c r="H136">
        <v>0</v>
      </c>
      <c r="I136">
        <f t="shared" si="19"/>
        <v>6</v>
      </c>
      <c r="J136">
        <f>IF(ISERROR(VLOOKUP(D136,命格辅助表!$I$76:$N$86,D_命格表!E136+2,0)),0,VLOOKUP(D136,命格辅助表!$I$76:$N$86,D_命格表!E136+2,0))</f>
        <v>5120</v>
      </c>
      <c r="K136">
        <f>IF(ISERROR(VLOOKUP(D136,命格辅助表!$P$76:$U$86,E136+2,0)),0,VLOOKUP(D136,命格辅助表!$P$76:$U$86,E136+2,0))</f>
        <v>5040</v>
      </c>
      <c r="L136">
        <v>0</v>
      </c>
      <c r="M136">
        <v>0</v>
      </c>
      <c r="N136">
        <v>8230</v>
      </c>
      <c r="O136">
        <f t="shared" si="23"/>
        <v>1</v>
      </c>
      <c r="P136">
        <f t="shared" si="17"/>
        <v>9</v>
      </c>
      <c r="Q136">
        <f>ROUND((VLOOKUP($A136,命格属性表,13,0)+VLOOKUP($A136,命格属性表,20,0)*($D136-1))*IF(P136&gt;9,1,VLOOKUP(D136,命格辅助表!$S$3:$U$10,3,0)),0)</f>
        <v>4878</v>
      </c>
      <c r="R136">
        <f t="shared" si="18"/>
        <v>0</v>
      </c>
      <c r="S136">
        <f>ROUND(IF(R136=0,0,VLOOKUP($A136,命格属性表,15,0)+VLOOKUP($A136,命格属性表,22,0)*($D136-1))*IF(R136&gt;9,1,VLOOKUP(D136,命格辅助表!$S$3:$U$10,3,0)),0)</f>
        <v>0</v>
      </c>
      <c r="T136">
        <f t="shared" si="20"/>
        <v>0</v>
      </c>
      <c r="U136">
        <f t="shared" si="22"/>
        <v>0</v>
      </c>
    </row>
    <row r="137" spans="1:21">
      <c r="A137">
        <v>8630</v>
      </c>
      <c r="B137" t="str">
        <f t="shared" si="16"/>
        <v>傲骨</v>
      </c>
      <c r="C137">
        <f t="shared" si="21"/>
        <v>6</v>
      </c>
      <c r="D137">
        <v>7</v>
      </c>
      <c r="E137">
        <v>2</v>
      </c>
      <c r="F137">
        <v>10</v>
      </c>
      <c r="G137" t="str">
        <f>VLOOKUP(P137,定义数据!$B$14:$C$29,2,0)&amp;"+"&amp;Q137&amp;IF(R137=0,"",","&amp;VLOOKUP(R137,定义数据!$B$14:$C$29,2,0)&amp;"+"&amp;S137)&amp;IF(T137=0,"",","&amp;VLOOKUP(T137,定义数据!$B$14:$C$29,2,0)&amp;"+"&amp;U137)</f>
        <v>韧性值+7317</v>
      </c>
      <c r="H137">
        <v>0</v>
      </c>
      <c r="I137">
        <f t="shared" si="19"/>
        <v>6</v>
      </c>
      <c r="J137">
        <f>IF(ISERROR(VLOOKUP(D137,命格辅助表!$I$76:$N$86,D_命格表!E137+2,0)),0,VLOOKUP(D137,命格辅助表!$I$76:$N$86,D_命格表!E137+2,0))</f>
        <v>10240</v>
      </c>
      <c r="K137">
        <f>IF(ISERROR(VLOOKUP(D137,命格辅助表!$P$76:$U$86,E137+2,0)),0,VLOOKUP(D137,命格辅助表!$P$76:$U$86,E137+2,0))</f>
        <v>10160</v>
      </c>
      <c r="L137">
        <v>0</v>
      </c>
      <c r="M137">
        <v>0</v>
      </c>
      <c r="N137">
        <v>8230</v>
      </c>
      <c r="O137">
        <f t="shared" si="23"/>
        <v>1</v>
      </c>
      <c r="P137">
        <f t="shared" si="17"/>
        <v>9</v>
      </c>
      <c r="Q137">
        <f>ROUND((VLOOKUP($A137,命格属性表,13,0)+VLOOKUP($A137,命格属性表,20,0)*($D137-1))*IF(P137&gt;9,1,VLOOKUP(D137,命格辅助表!$S$3:$U$10,3,0)),0)</f>
        <v>7317</v>
      </c>
      <c r="R137">
        <f t="shared" si="18"/>
        <v>0</v>
      </c>
      <c r="S137">
        <f>ROUND(IF(R137=0,0,VLOOKUP($A137,命格属性表,15,0)+VLOOKUP($A137,命格属性表,22,0)*($D137-1))*IF(R137&gt;9,1,VLOOKUP(D137,命格辅助表!$S$3:$U$10,3,0)),0)</f>
        <v>0</v>
      </c>
      <c r="T137">
        <f t="shared" si="20"/>
        <v>0</v>
      </c>
      <c r="U137">
        <f t="shared" si="22"/>
        <v>0</v>
      </c>
    </row>
    <row r="138" spans="1:21">
      <c r="A138">
        <v>8630</v>
      </c>
      <c r="B138" t="str">
        <f t="shared" si="16"/>
        <v>傲骨</v>
      </c>
      <c r="C138">
        <f t="shared" si="21"/>
        <v>6</v>
      </c>
      <c r="D138">
        <v>8</v>
      </c>
      <c r="E138">
        <v>2</v>
      </c>
      <c r="F138">
        <v>10</v>
      </c>
      <c r="G138" t="str">
        <f>VLOOKUP(P138,定义数据!$B$14:$C$29,2,0)&amp;"+"&amp;Q138&amp;IF(R138=0,"",","&amp;VLOOKUP(R138,定义数据!$B$14:$C$29,2,0)&amp;"+"&amp;S138)&amp;IF(T138=0,"",","&amp;VLOOKUP(T138,定义数据!$B$14:$C$29,2,0)&amp;"+"&amp;U138)</f>
        <v>韧性值+10976</v>
      </c>
      <c r="H138">
        <v>0</v>
      </c>
      <c r="I138">
        <f t="shared" si="19"/>
        <v>6</v>
      </c>
      <c r="J138">
        <f>IF(ISERROR(VLOOKUP(D138,命格辅助表!$I$76:$N$86,D_命格表!E138+2,0)),0,VLOOKUP(D138,命格辅助表!$I$76:$N$86,D_命格表!E138+2,0))</f>
        <v>20480</v>
      </c>
      <c r="K138">
        <f>IF(ISERROR(VLOOKUP(D138,命格辅助表!$P$76:$U$86,E138+2,0)),0,VLOOKUP(D138,命格辅助表!$P$76:$U$86,E138+2,0))</f>
        <v>20400</v>
      </c>
      <c r="L138">
        <f>IF(ISERROR(VLOOKUP(D138,命格辅助表!$I$76:$N$86,D_命格表!E138+2,0)),0,VLOOKUP(D138,命格辅助表!$I$76:$N$86,D_命格表!E138+2,0))</f>
        <v>20480</v>
      </c>
      <c r="M138">
        <f>A138+10</f>
        <v>8640</v>
      </c>
      <c r="N138">
        <v>8230</v>
      </c>
      <c r="O138">
        <f t="shared" si="23"/>
        <v>1</v>
      </c>
      <c r="P138">
        <f t="shared" si="17"/>
        <v>9</v>
      </c>
      <c r="Q138">
        <f>ROUND((VLOOKUP($A138,命格属性表,13,0)+VLOOKUP($A138,命格属性表,20,0)*($D138-1))*IF(P138&gt;9,1,VLOOKUP(D138,命格辅助表!$S$3:$U$10,3,0)),0)</f>
        <v>10976</v>
      </c>
      <c r="R138">
        <f t="shared" si="18"/>
        <v>0</v>
      </c>
      <c r="S138">
        <f>ROUND(IF(R138=0,0,VLOOKUP($A138,命格属性表,15,0)+VLOOKUP($A138,命格属性表,22,0)*($D138-1))*IF(R138&gt;9,1,VLOOKUP(D138,命格辅助表!$S$3:$U$10,3,0)),0)</f>
        <v>0</v>
      </c>
      <c r="T138">
        <f t="shared" si="20"/>
        <v>0</v>
      </c>
      <c r="U138">
        <f t="shared" si="22"/>
        <v>0</v>
      </c>
    </row>
    <row r="139" spans="1:21">
      <c r="A139">
        <v>8730</v>
      </c>
      <c r="B139" t="str">
        <f t="shared" si="16"/>
        <v>心眼</v>
      </c>
      <c r="C139">
        <f t="shared" si="21"/>
        <v>7</v>
      </c>
      <c r="D139">
        <v>1</v>
      </c>
      <c r="E139">
        <v>2</v>
      </c>
      <c r="F139">
        <v>10</v>
      </c>
      <c r="G139" t="str">
        <f>VLOOKUP(P139,定义数据!$B$14:$C$29,2,0)&amp;"+"&amp;Q139&amp;IF(R139=0,"",","&amp;VLOOKUP(R139,定义数据!$B$14:$C$29,2,0)&amp;"+"&amp;S139)&amp;IF(T139=0,"",","&amp;VLOOKUP(T139,定义数据!$B$14:$C$29,2,0)&amp;"+"&amp;U139)</f>
        <v>暴击值+642</v>
      </c>
      <c r="H139">
        <v>0</v>
      </c>
      <c r="I139">
        <f t="shared" si="19"/>
        <v>7</v>
      </c>
      <c r="J139">
        <f>IF(ISERROR(VLOOKUP(D139,命格辅助表!$I$76:$N$86,D_命格表!E139+2,0)),0,VLOOKUP(D139,命格辅助表!$I$76:$N$86,D_命格表!E139+2,0))</f>
        <v>160</v>
      </c>
      <c r="K139">
        <f>IF(ISERROR(VLOOKUP(D139,命格辅助表!$P$76:$U$86,E139+2,0)),0,VLOOKUP(D139,命格辅助表!$P$76:$U$86,E139+2,0))</f>
        <v>80</v>
      </c>
      <c r="L139">
        <v>0</v>
      </c>
      <c r="M139">
        <v>0</v>
      </c>
      <c r="N139">
        <v>8330</v>
      </c>
      <c r="O139">
        <f t="shared" si="23"/>
        <v>1</v>
      </c>
      <c r="P139">
        <f t="shared" si="17"/>
        <v>8</v>
      </c>
      <c r="Q139">
        <f>ROUND((VLOOKUP($A139,命格属性表,13,0)+VLOOKUP($A139,命格属性表,20,0)*($D139-1))*IF(P139&gt;9,1,VLOOKUP(D139,命格辅助表!$S$3:$U$10,3,0)),0)</f>
        <v>642</v>
      </c>
      <c r="R139">
        <f t="shared" si="18"/>
        <v>0</v>
      </c>
      <c r="S139">
        <f>ROUND(IF(R139=0,0,VLOOKUP($A139,命格属性表,15,0)+VLOOKUP($A139,命格属性表,22,0)*($D139-1))*IF(R139&gt;9,1,VLOOKUP(D139,命格辅助表!$S$3:$U$10,3,0)),0)</f>
        <v>0</v>
      </c>
      <c r="T139">
        <f t="shared" si="20"/>
        <v>0</v>
      </c>
      <c r="U139">
        <f t="shared" si="22"/>
        <v>0</v>
      </c>
    </row>
    <row r="140" spans="1:21">
      <c r="A140">
        <v>8730</v>
      </c>
      <c r="B140" t="str">
        <f t="shared" si="16"/>
        <v>心眼</v>
      </c>
      <c r="C140">
        <f t="shared" si="21"/>
        <v>7</v>
      </c>
      <c r="D140">
        <v>2</v>
      </c>
      <c r="E140">
        <v>2</v>
      </c>
      <c r="F140">
        <v>10</v>
      </c>
      <c r="G140" t="str">
        <f>VLOOKUP(P140,定义数据!$B$14:$C$29,2,0)&amp;"+"&amp;Q140&amp;IF(R140=0,"",","&amp;VLOOKUP(R140,定义数据!$B$14:$C$29,2,0)&amp;"+"&amp;S140)&amp;IF(T140=0,"",","&amp;VLOOKUP(T140,定义数据!$B$14:$C$29,2,0)&amp;"+"&amp;U140)</f>
        <v>暴击值+964</v>
      </c>
      <c r="H140">
        <v>0</v>
      </c>
      <c r="I140">
        <f t="shared" si="19"/>
        <v>7</v>
      </c>
      <c r="J140">
        <f>IF(ISERROR(VLOOKUP(D140,命格辅助表!$I$76:$N$86,D_命格表!E140+2,0)),0,VLOOKUP(D140,命格辅助表!$I$76:$N$86,D_命格表!E140+2,0))</f>
        <v>320</v>
      </c>
      <c r="K140">
        <f>IF(ISERROR(VLOOKUP(D140,命格辅助表!$P$76:$U$86,E140+2,0)),0,VLOOKUP(D140,命格辅助表!$P$76:$U$86,E140+2,0))</f>
        <v>240</v>
      </c>
      <c r="L140">
        <v>0</v>
      </c>
      <c r="M140">
        <v>0</v>
      </c>
      <c r="N140">
        <v>8330</v>
      </c>
      <c r="O140">
        <f t="shared" si="23"/>
        <v>1</v>
      </c>
      <c r="P140">
        <f t="shared" si="17"/>
        <v>8</v>
      </c>
      <c r="Q140">
        <f>ROUND((VLOOKUP($A140,命格属性表,13,0)+VLOOKUP($A140,命格属性表,20,0)*($D140-1))*IF(P140&gt;9,1,VLOOKUP(D140,命格辅助表!$S$3:$U$10,3,0)),0)</f>
        <v>964</v>
      </c>
      <c r="R140">
        <f t="shared" si="18"/>
        <v>0</v>
      </c>
      <c r="S140">
        <f>ROUND(IF(R140=0,0,VLOOKUP($A140,命格属性表,15,0)+VLOOKUP($A140,命格属性表,22,0)*($D140-1))*IF(R140&gt;9,1,VLOOKUP(D140,命格辅助表!$S$3:$U$10,3,0)),0)</f>
        <v>0</v>
      </c>
      <c r="T140">
        <f t="shared" si="20"/>
        <v>0</v>
      </c>
      <c r="U140">
        <f t="shared" si="22"/>
        <v>0</v>
      </c>
    </row>
    <row r="141" spans="1:21">
      <c r="A141">
        <v>8730</v>
      </c>
      <c r="B141" t="str">
        <f t="shared" si="16"/>
        <v>心眼</v>
      </c>
      <c r="C141">
        <f t="shared" si="21"/>
        <v>7</v>
      </c>
      <c r="D141">
        <v>3</v>
      </c>
      <c r="E141">
        <v>2</v>
      </c>
      <c r="F141">
        <v>10</v>
      </c>
      <c r="G141" t="str">
        <f>VLOOKUP(P141,定义数据!$B$14:$C$29,2,0)&amp;"+"&amp;Q141&amp;IF(R141=0,"",","&amp;VLOOKUP(R141,定义数据!$B$14:$C$29,2,0)&amp;"+"&amp;S141)&amp;IF(T141=0,"",","&amp;VLOOKUP(T141,定义数据!$B$14:$C$29,2,0)&amp;"+"&amp;U141)</f>
        <v>暴击值+1445</v>
      </c>
      <c r="H141">
        <v>0</v>
      </c>
      <c r="I141">
        <f t="shared" si="19"/>
        <v>7</v>
      </c>
      <c r="J141">
        <f>IF(ISERROR(VLOOKUP(D141,命格辅助表!$I$76:$N$86,D_命格表!E141+2,0)),0,VLOOKUP(D141,命格辅助表!$I$76:$N$86,D_命格表!E141+2,0))</f>
        <v>640</v>
      </c>
      <c r="K141">
        <f>IF(ISERROR(VLOOKUP(D141,命格辅助表!$P$76:$U$86,E141+2,0)),0,VLOOKUP(D141,命格辅助表!$P$76:$U$86,E141+2,0))</f>
        <v>560</v>
      </c>
      <c r="L141">
        <v>0</v>
      </c>
      <c r="M141">
        <v>0</v>
      </c>
      <c r="N141">
        <v>8330</v>
      </c>
      <c r="O141">
        <f t="shared" si="23"/>
        <v>1</v>
      </c>
      <c r="P141">
        <f t="shared" si="17"/>
        <v>8</v>
      </c>
      <c r="Q141">
        <f>ROUND((VLOOKUP($A141,命格属性表,13,0)+VLOOKUP($A141,命格属性表,20,0)*($D141-1))*IF(P141&gt;9,1,VLOOKUP(D141,命格辅助表!$S$3:$U$10,3,0)),0)</f>
        <v>1445</v>
      </c>
      <c r="R141">
        <f t="shared" si="18"/>
        <v>0</v>
      </c>
      <c r="S141">
        <f>ROUND(IF(R141=0,0,VLOOKUP($A141,命格属性表,15,0)+VLOOKUP($A141,命格属性表,22,0)*($D141-1))*IF(R141&gt;9,1,VLOOKUP(D141,命格辅助表!$S$3:$U$10,3,0)),0)</f>
        <v>0</v>
      </c>
      <c r="T141">
        <f t="shared" si="20"/>
        <v>0</v>
      </c>
      <c r="U141">
        <f t="shared" si="22"/>
        <v>0</v>
      </c>
    </row>
    <row r="142" spans="1:21">
      <c r="A142">
        <v>8730</v>
      </c>
      <c r="B142" t="str">
        <f t="shared" ref="B142:B187" si="24">VLOOKUP(A142,命格属性表,2,0)</f>
        <v>心眼</v>
      </c>
      <c r="C142">
        <f t="shared" si="21"/>
        <v>7</v>
      </c>
      <c r="D142">
        <v>4</v>
      </c>
      <c r="E142">
        <v>2</v>
      </c>
      <c r="F142">
        <v>10</v>
      </c>
      <c r="G142" t="str">
        <f>VLOOKUP(P142,定义数据!$B$14:$C$29,2,0)&amp;"+"&amp;Q142&amp;IF(R142=0,"",","&amp;VLOOKUP(R142,定义数据!$B$14:$C$29,2,0)&amp;"+"&amp;S142)&amp;IF(T142=0,"",","&amp;VLOOKUP(T142,定义数据!$B$14:$C$29,2,0)&amp;"+"&amp;U142)</f>
        <v>暴击值+2168</v>
      </c>
      <c r="H142">
        <v>0</v>
      </c>
      <c r="I142">
        <f t="shared" si="19"/>
        <v>7</v>
      </c>
      <c r="J142">
        <f>IF(ISERROR(VLOOKUP(D142,命格辅助表!$I$76:$N$86,D_命格表!E142+2,0)),0,VLOOKUP(D142,命格辅助表!$I$76:$N$86,D_命格表!E142+2,0))</f>
        <v>1280</v>
      </c>
      <c r="K142">
        <f>IF(ISERROR(VLOOKUP(D142,命格辅助表!$P$76:$U$86,E142+2,0)),0,VLOOKUP(D142,命格辅助表!$P$76:$U$86,E142+2,0))</f>
        <v>1200</v>
      </c>
      <c r="L142">
        <v>0</v>
      </c>
      <c r="M142">
        <v>0</v>
      </c>
      <c r="N142">
        <v>8330</v>
      </c>
      <c r="O142">
        <f t="shared" si="23"/>
        <v>1</v>
      </c>
      <c r="P142">
        <f t="shared" ref="P142:P187" si="25">VLOOKUP($A142,命格属性表,12,0)</f>
        <v>8</v>
      </c>
      <c r="Q142">
        <f>ROUND((VLOOKUP($A142,命格属性表,13,0)+VLOOKUP($A142,命格属性表,20,0)*($D142-1))*IF(P142&gt;9,1,VLOOKUP(D142,命格辅助表!$S$3:$U$10,3,0)),0)</f>
        <v>2168</v>
      </c>
      <c r="R142">
        <f t="shared" ref="R142:R187" si="26">VLOOKUP($A142,命格属性表,14,0)</f>
        <v>0</v>
      </c>
      <c r="S142">
        <f>ROUND(IF(R142=0,0,VLOOKUP($A142,命格属性表,15,0)+VLOOKUP($A142,命格属性表,22,0)*($D142-1))*IF(R142&gt;9,1,VLOOKUP(D142,命格辅助表!$S$3:$U$10,3,0)),0)</f>
        <v>0</v>
      </c>
      <c r="T142">
        <f t="shared" si="20"/>
        <v>0</v>
      </c>
      <c r="U142">
        <f t="shared" si="22"/>
        <v>0</v>
      </c>
    </row>
    <row r="143" spans="1:21">
      <c r="A143">
        <v>8730</v>
      </c>
      <c r="B143" t="str">
        <f t="shared" si="24"/>
        <v>心眼</v>
      </c>
      <c r="C143">
        <f t="shared" si="21"/>
        <v>7</v>
      </c>
      <c r="D143">
        <v>5</v>
      </c>
      <c r="E143">
        <v>2</v>
      </c>
      <c r="F143">
        <v>10</v>
      </c>
      <c r="G143" t="str">
        <f>VLOOKUP(P143,定义数据!$B$14:$C$29,2,0)&amp;"+"&amp;Q143&amp;IF(R143=0,"",","&amp;VLOOKUP(R143,定义数据!$B$14:$C$29,2,0)&amp;"+"&amp;S143)&amp;IF(T143=0,"",","&amp;VLOOKUP(T143,定义数据!$B$14:$C$29,2,0)&amp;"+"&amp;U143)</f>
        <v>暴击值+3252</v>
      </c>
      <c r="H143">
        <v>0</v>
      </c>
      <c r="I143">
        <f t="shared" ref="I143:I188" si="27">VLOOKUP($A143,命格属性表,26,0)</f>
        <v>7</v>
      </c>
      <c r="J143">
        <f>IF(ISERROR(VLOOKUP(D143,命格辅助表!$I$76:$N$86,D_命格表!E143+2,0)),0,VLOOKUP(D143,命格辅助表!$I$76:$N$86,D_命格表!E143+2,0))</f>
        <v>2560</v>
      </c>
      <c r="K143">
        <f>IF(ISERROR(VLOOKUP(D143,命格辅助表!$P$76:$U$86,E143+2,0)),0,VLOOKUP(D143,命格辅助表!$P$76:$U$86,E143+2,0))</f>
        <v>2480</v>
      </c>
      <c r="L143">
        <v>0</v>
      </c>
      <c r="M143">
        <v>0</v>
      </c>
      <c r="N143">
        <v>8330</v>
      </c>
      <c r="O143">
        <f t="shared" si="23"/>
        <v>1</v>
      </c>
      <c r="P143">
        <f t="shared" si="25"/>
        <v>8</v>
      </c>
      <c r="Q143">
        <f>ROUND((VLOOKUP($A143,命格属性表,13,0)+VLOOKUP($A143,命格属性表,20,0)*($D143-1))*IF(P143&gt;9,1,VLOOKUP(D143,命格辅助表!$S$3:$U$10,3,0)),0)</f>
        <v>3252</v>
      </c>
      <c r="R143">
        <f t="shared" si="26"/>
        <v>0</v>
      </c>
      <c r="S143">
        <f>ROUND(IF(R143=0,0,VLOOKUP($A143,命格属性表,15,0)+VLOOKUP($A143,命格属性表,22,0)*($D143-1))*IF(R143&gt;9,1,VLOOKUP(D143,命格辅助表!$S$3:$U$10,3,0)),0)</f>
        <v>0</v>
      </c>
      <c r="T143">
        <f t="shared" ref="T143:T188" si="28">VLOOKUP($A143,命格属性表,16,0)</f>
        <v>0</v>
      </c>
      <c r="U143">
        <f t="shared" si="22"/>
        <v>0</v>
      </c>
    </row>
    <row r="144" spans="1:21">
      <c r="A144">
        <v>8730</v>
      </c>
      <c r="B144" t="str">
        <f t="shared" si="24"/>
        <v>心眼</v>
      </c>
      <c r="C144">
        <f t="shared" ref="C144:C189" si="29">I144</f>
        <v>7</v>
      </c>
      <c r="D144">
        <v>6</v>
      </c>
      <c r="E144">
        <v>2</v>
      </c>
      <c r="F144">
        <v>10</v>
      </c>
      <c r="G144" t="str">
        <f>VLOOKUP(P144,定义数据!$B$14:$C$29,2,0)&amp;"+"&amp;Q144&amp;IF(R144=0,"",","&amp;VLOOKUP(R144,定义数据!$B$14:$C$29,2,0)&amp;"+"&amp;S144)&amp;IF(T144=0,"",","&amp;VLOOKUP(T144,定义数据!$B$14:$C$29,2,0)&amp;"+"&amp;U144)</f>
        <v>暴击值+4878</v>
      </c>
      <c r="H144">
        <v>0</v>
      </c>
      <c r="I144">
        <f t="shared" si="27"/>
        <v>7</v>
      </c>
      <c r="J144">
        <f>IF(ISERROR(VLOOKUP(D144,命格辅助表!$I$76:$N$86,D_命格表!E144+2,0)),0,VLOOKUP(D144,命格辅助表!$I$76:$N$86,D_命格表!E144+2,0))</f>
        <v>5120</v>
      </c>
      <c r="K144">
        <f>IF(ISERROR(VLOOKUP(D144,命格辅助表!$P$76:$U$86,E144+2,0)),0,VLOOKUP(D144,命格辅助表!$P$76:$U$86,E144+2,0))</f>
        <v>5040</v>
      </c>
      <c r="L144">
        <v>0</v>
      </c>
      <c r="M144">
        <v>0</v>
      </c>
      <c r="N144">
        <v>8330</v>
      </c>
      <c r="O144">
        <f t="shared" si="23"/>
        <v>1</v>
      </c>
      <c r="P144">
        <f t="shared" si="25"/>
        <v>8</v>
      </c>
      <c r="Q144">
        <f>ROUND((VLOOKUP($A144,命格属性表,13,0)+VLOOKUP($A144,命格属性表,20,0)*($D144-1))*IF(P144&gt;9,1,VLOOKUP(D144,命格辅助表!$S$3:$U$10,3,0)),0)</f>
        <v>4878</v>
      </c>
      <c r="R144">
        <f t="shared" si="26"/>
        <v>0</v>
      </c>
      <c r="S144">
        <f>ROUND(IF(R144=0,0,VLOOKUP($A144,命格属性表,15,0)+VLOOKUP($A144,命格属性表,22,0)*($D144-1))*IF(R144&gt;9,1,VLOOKUP(D144,命格辅助表!$S$3:$U$10,3,0)),0)</f>
        <v>0</v>
      </c>
      <c r="T144">
        <f t="shared" si="28"/>
        <v>0</v>
      </c>
      <c r="U144">
        <f t="shared" si="22"/>
        <v>0</v>
      </c>
    </row>
    <row r="145" spans="1:21">
      <c r="A145">
        <v>8730</v>
      </c>
      <c r="B145" t="str">
        <f t="shared" si="24"/>
        <v>心眼</v>
      </c>
      <c r="C145">
        <f t="shared" si="29"/>
        <v>7</v>
      </c>
      <c r="D145">
        <v>7</v>
      </c>
      <c r="E145">
        <v>2</v>
      </c>
      <c r="F145">
        <v>10</v>
      </c>
      <c r="G145" t="str">
        <f>VLOOKUP(P145,定义数据!$B$14:$C$29,2,0)&amp;"+"&amp;Q145&amp;IF(R145=0,"",","&amp;VLOOKUP(R145,定义数据!$B$14:$C$29,2,0)&amp;"+"&amp;S145)&amp;IF(T145=0,"",","&amp;VLOOKUP(T145,定义数据!$B$14:$C$29,2,0)&amp;"+"&amp;U145)</f>
        <v>暴击值+7317</v>
      </c>
      <c r="H145">
        <v>0</v>
      </c>
      <c r="I145">
        <f t="shared" si="27"/>
        <v>7</v>
      </c>
      <c r="J145">
        <f>IF(ISERROR(VLOOKUP(D145,命格辅助表!$I$76:$N$86,D_命格表!E145+2,0)),0,VLOOKUP(D145,命格辅助表!$I$76:$N$86,D_命格表!E145+2,0))</f>
        <v>10240</v>
      </c>
      <c r="K145">
        <f>IF(ISERROR(VLOOKUP(D145,命格辅助表!$P$76:$U$86,E145+2,0)),0,VLOOKUP(D145,命格辅助表!$P$76:$U$86,E145+2,0))</f>
        <v>10160</v>
      </c>
      <c r="L145">
        <v>0</v>
      </c>
      <c r="M145">
        <v>0</v>
      </c>
      <c r="N145">
        <v>8330</v>
      </c>
      <c r="O145">
        <f t="shared" si="23"/>
        <v>1</v>
      </c>
      <c r="P145">
        <f t="shared" si="25"/>
        <v>8</v>
      </c>
      <c r="Q145">
        <f>ROUND((VLOOKUP($A145,命格属性表,13,0)+VLOOKUP($A145,命格属性表,20,0)*($D145-1))*IF(P145&gt;9,1,VLOOKUP(D145,命格辅助表!$S$3:$U$10,3,0)),0)</f>
        <v>7317</v>
      </c>
      <c r="R145">
        <f t="shared" si="26"/>
        <v>0</v>
      </c>
      <c r="S145">
        <f>ROUND(IF(R145=0,0,VLOOKUP($A145,命格属性表,15,0)+VLOOKUP($A145,命格属性表,22,0)*($D145-1))*IF(R145&gt;9,1,VLOOKUP(D145,命格辅助表!$S$3:$U$10,3,0)),0)</f>
        <v>0</v>
      </c>
      <c r="T145">
        <f t="shared" si="28"/>
        <v>0</v>
      </c>
      <c r="U145">
        <f t="shared" si="22"/>
        <v>0</v>
      </c>
    </row>
    <row r="146" spans="1:21">
      <c r="A146">
        <v>8730</v>
      </c>
      <c r="B146" t="str">
        <f t="shared" si="24"/>
        <v>心眼</v>
      </c>
      <c r="C146">
        <f t="shared" si="29"/>
        <v>7</v>
      </c>
      <c r="D146">
        <v>8</v>
      </c>
      <c r="E146">
        <v>2</v>
      </c>
      <c r="F146">
        <v>10</v>
      </c>
      <c r="G146" t="str">
        <f>VLOOKUP(P146,定义数据!$B$14:$C$29,2,0)&amp;"+"&amp;Q146&amp;IF(R146=0,"",","&amp;VLOOKUP(R146,定义数据!$B$14:$C$29,2,0)&amp;"+"&amp;S146)&amp;IF(T146=0,"",","&amp;VLOOKUP(T146,定义数据!$B$14:$C$29,2,0)&amp;"+"&amp;U146)</f>
        <v>暴击值+10976</v>
      </c>
      <c r="H146">
        <v>0</v>
      </c>
      <c r="I146">
        <f t="shared" si="27"/>
        <v>7</v>
      </c>
      <c r="J146">
        <f>IF(ISERROR(VLOOKUP(D146,命格辅助表!$I$76:$N$86,D_命格表!E146+2,0)),0,VLOOKUP(D146,命格辅助表!$I$76:$N$86,D_命格表!E146+2,0))</f>
        <v>20480</v>
      </c>
      <c r="K146">
        <f>IF(ISERROR(VLOOKUP(D146,命格辅助表!$P$76:$U$86,E146+2,0)),0,VLOOKUP(D146,命格辅助表!$P$76:$U$86,E146+2,0))</f>
        <v>20400</v>
      </c>
      <c r="L146">
        <f>IF(ISERROR(VLOOKUP(D146,命格辅助表!$I$76:$N$86,D_命格表!E146+2,0)),0,VLOOKUP(D146,命格辅助表!$I$76:$N$86,D_命格表!E146+2,0))</f>
        <v>20480</v>
      </c>
      <c r="M146">
        <f>A146+10</f>
        <v>8740</v>
      </c>
      <c r="N146">
        <v>8330</v>
      </c>
      <c r="O146">
        <f t="shared" si="23"/>
        <v>1</v>
      </c>
      <c r="P146">
        <f t="shared" si="25"/>
        <v>8</v>
      </c>
      <c r="Q146">
        <f>ROUND((VLOOKUP($A146,命格属性表,13,0)+VLOOKUP($A146,命格属性表,20,0)*($D146-1))*IF(P146&gt;9,1,VLOOKUP(D146,命格辅助表!$S$3:$U$10,3,0)),0)</f>
        <v>10976</v>
      </c>
      <c r="R146">
        <f t="shared" si="26"/>
        <v>0</v>
      </c>
      <c r="S146">
        <f>ROUND(IF(R146=0,0,VLOOKUP($A146,命格属性表,15,0)+VLOOKUP($A146,命格属性表,22,0)*($D146-1))*IF(R146&gt;9,1,VLOOKUP(D146,命格辅助表!$S$3:$U$10,3,0)),0)</f>
        <v>0</v>
      </c>
      <c r="T146">
        <f t="shared" si="28"/>
        <v>0</v>
      </c>
      <c r="U146">
        <f t="shared" si="22"/>
        <v>0</v>
      </c>
    </row>
    <row r="147" spans="1:21">
      <c r="A147">
        <v>8830</v>
      </c>
      <c r="B147" t="str">
        <f t="shared" si="24"/>
        <v>噬生</v>
      </c>
      <c r="C147">
        <f t="shared" si="29"/>
        <v>8</v>
      </c>
      <c r="D147">
        <v>1</v>
      </c>
      <c r="E147">
        <v>2</v>
      </c>
      <c r="F147">
        <v>10</v>
      </c>
      <c r="G147" t="str">
        <f>VLOOKUP(P147,定义数据!$B$14:$C$29,2,0)&amp;"+"&amp;Q147&amp;IF(R147=0,"",","&amp;VLOOKUP(R147,定义数据!$B$14:$C$29,2,0)&amp;"+"&amp;S147)&amp;IF(T147=0,"",","&amp;VLOOKUP(T147,定义数据!$B$14:$C$29,2,0)&amp;"+"&amp;U147)</f>
        <v>暴击倍数+926,攻击+58</v>
      </c>
      <c r="H147">
        <v>0</v>
      </c>
      <c r="I147">
        <f t="shared" si="27"/>
        <v>8</v>
      </c>
      <c r="J147">
        <f>IF(ISERROR(VLOOKUP(D147,命格辅助表!$I$76:$N$86,D_命格表!E147+2,0)),0,VLOOKUP(D147,命格辅助表!$I$76:$N$86,D_命格表!E147+2,0))</f>
        <v>160</v>
      </c>
      <c r="K147">
        <f>IF(ISERROR(VLOOKUP(D147,命格辅助表!$P$76:$U$86,E147+2,0)),0,VLOOKUP(D147,命格辅助表!$P$76:$U$86,E147+2,0))</f>
        <v>80</v>
      </c>
      <c r="L147">
        <v>0</v>
      </c>
      <c r="M147">
        <v>0</v>
      </c>
      <c r="N147">
        <v>8430</v>
      </c>
      <c r="O147">
        <f t="shared" si="23"/>
        <v>2</v>
      </c>
      <c r="P147">
        <f t="shared" si="25"/>
        <v>10</v>
      </c>
      <c r="Q147">
        <f>ROUND((VLOOKUP($A147,命格属性表,13,0)+VLOOKUP($A147,命格属性表,20,0)*($D147-1))*IF(P147&gt;9,1,VLOOKUP(D147,命格辅助表!$S$3:$U$10,3,0)),0)</f>
        <v>926</v>
      </c>
      <c r="R147">
        <f t="shared" si="26"/>
        <v>2</v>
      </c>
      <c r="S147">
        <f>ROUND(IF(R147=0,0,VLOOKUP($A147,命格属性表,15,0)+VLOOKUP($A147,命格属性表,22,0)*($D147-1))*IF(R147&gt;9,1,VLOOKUP(D147,命格辅助表!$S$3:$U$10,3,0)),0)</f>
        <v>58</v>
      </c>
      <c r="T147">
        <f t="shared" si="28"/>
        <v>0</v>
      </c>
      <c r="U147">
        <f t="shared" si="22"/>
        <v>0</v>
      </c>
    </row>
    <row r="148" spans="1:21">
      <c r="A148">
        <v>8830</v>
      </c>
      <c r="B148" t="str">
        <f t="shared" si="24"/>
        <v>噬生</v>
      </c>
      <c r="C148">
        <f t="shared" si="29"/>
        <v>8</v>
      </c>
      <c r="D148">
        <v>2</v>
      </c>
      <c r="E148">
        <v>2</v>
      </c>
      <c r="F148">
        <v>10</v>
      </c>
      <c r="G148" t="str">
        <f>VLOOKUP(P148,定义数据!$B$14:$C$29,2,0)&amp;"+"&amp;Q148&amp;IF(R148=0,"",","&amp;VLOOKUP(R148,定义数据!$B$14:$C$29,2,0)&amp;"+"&amp;S148)&amp;IF(T148=0,"",","&amp;VLOOKUP(T148,定义数据!$B$14:$C$29,2,0)&amp;"+"&amp;U148)</f>
        <v>暴击倍数+1852,攻击+86</v>
      </c>
      <c r="H148">
        <v>0</v>
      </c>
      <c r="I148">
        <f t="shared" si="27"/>
        <v>8</v>
      </c>
      <c r="J148">
        <f>IF(ISERROR(VLOOKUP(D148,命格辅助表!$I$76:$N$86,D_命格表!E148+2,0)),0,VLOOKUP(D148,命格辅助表!$I$76:$N$86,D_命格表!E148+2,0))</f>
        <v>320</v>
      </c>
      <c r="K148">
        <f>IF(ISERROR(VLOOKUP(D148,命格辅助表!$P$76:$U$86,E148+2,0)),0,VLOOKUP(D148,命格辅助表!$P$76:$U$86,E148+2,0))</f>
        <v>240</v>
      </c>
      <c r="L148">
        <v>0</v>
      </c>
      <c r="M148">
        <v>0</v>
      </c>
      <c r="N148">
        <v>8430</v>
      </c>
      <c r="O148">
        <f t="shared" si="23"/>
        <v>2</v>
      </c>
      <c r="P148">
        <f t="shared" si="25"/>
        <v>10</v>
      </c>
      <c r="Q148">
        <f>ROUND((VLOOKUP($A148,命格属性表,13,0)+VLOOKUP($A148,命格属性表,20,0)*($D148-1))*IF(P148&gt;9,1,VLOOKUP(D148,命格辅助表!$S$3:$U$10,3,0)),0)</f>
        <v>1852</v>
      </c>
      <c r="R148">
        <f t="shared" si="26"/>
        <v>2</v>
      </c>
      <c r="S148">
        <f>ROUND(IF(R148=0,0,VLOOKUP($A148,命格属性表,15,0)+VLOOKUP($A148,命格属性表,22,0)*($D148-1))*IF(R148&gt;9,1,VLOOKUP(D148,命格辅助表!$S$3:$U$10,3,0)),0)</f>
        <v>86</v>
      </c>
      <c r="T148">
        <f t="shared" si="28"/>
        <v>0</v>
      </c>
      <c r="U148">
        <f t="shared" si="22"/>
        <v>0</v>
      </c>
    </row>
    <row r="149" spans="1:21">
      <c r="A149">
        <v>8830</v>
      </c>
      <c r="B149" t="str">
        <f t="shared" si="24"/>
        <v>噬生</v>
      </c>
      <c r="C149">
        <f t="shared" si="29"/>
        <v>8</v>
      </c>
      <c r="D149">
        <v>3</v>
      </c>
      <c r="E149">
        <v>2</v>
      </c>
      <c r="F149">
        <v>10</v>
      </c>
      <c r="G149" t="str">
        <f>VLOOKUP(P149,定义数据!$B$14:$C$29,2,0)&amp;"+"&amp;Q149&amp;IF(R149=0,"",","&amp;VLOOKUP(R149,定义数据!$B$14:$C$29,2,0)&amp;"+"&amp;S149)&amp;IF(T149=0,"",","&amp;VLOOKUP(T149,定义数据!$B$14:$C$29,2,0)&amp;"+"&amp;U149)</f>
        <v>暴击倍数+2778,攻击+130</v>
      </c>
      <c r="H149">
        <v>0</v>
      </c>
      <c r="I149">
        <f t="shared" si="27"/>
        <v>8</v>
      </c>
      <c r="J149">
        <f>IF(ISERROR(VLOOKUP(D149,命格辅助表!$I$76:$N$86,D_命格表!E149+2,0)),0,VLOOKUP(D149,命格辅助表!$I$76:$N$86,D_命格表!E149+2,0))</f>
        <v>640</v>
      </c>
      <c r="K149">
        <f>IF(ISERROR(VLOOKUP(D149,命格辅助表!$P$76:$U$86,E149+2,0)),0,VLOOKUP(D149,命格辅助表!$P$76:$U$86,E149+2,0))</f>
        <v>560</v>
      </c>
      <c r="L149">
        <v>0</v>
      </c>
      <c r="M149">
        <v>0</v>
      </c>
      <c r="N149">
        <v>8430</v>
      </c>
      <c r="O149">
        <f t="shared" si="23"/>
        <v>2</v>
      </c>
      <c r="P149">
        <f t="shared" si="25"/>
        <v>10</v>
      </c>
      <c r="Q149">
        <f>ROUND((VLOOKUP($A149,命格属性表,13,0)+VLOOKUP($A149,命格属性表,20,0)*($D149-1))*IF(P149&gt;9,1,VLOOKUP(D149,命格辅助表!$S$3:$U$10,3,0)),0)</f>
        <v>2778</v>
      </c>
      <c r="R149">
        <f t="shared" si="26"/>
        <v>2</v>
      </c>
      <c r="S149">
        <f>ROUND(IF(R149=0,0,VLOOKUP($A149,命格属性表,15,0)+VLOOKUP($A149,命格属性表,22,0)*($D149-1))*IF(R149&gt;9,1,VLOOKUP(D149,命格辅助表!$S$3:$U$10,3,0)),0)</f>
        <v>130</v>
      </c>
      <c r="T149">
        <f t="shared" si="28"/>
        <v>0</v>
      </c>
      <c r="U149">
        <f t="shared" si="22"/>
        <v>0</v>
      </c>
    </row>
    <row r="150" spans="1:21">
      <c r="A150">
        <v>8830</v>
      </c>
      <c r="B150" t="str">
        <f t="shared" si="24"/>
        <v>噬生</v>
      </c>
      <c r="C150">
        <f t="shared" si="29"/>
        <v>8</v>
      </c>
      <c r="D150">
        <v>4</v>
      </c>
      <c r="E150">
        <v>2</v>
      </c>
      <c r="F150">
        <v>10</v>
      </c>
      <c r="G150" t="str">
        <f>VLOOKUP(P150,定义数据!$B$14:$C$29,2,0)&amp;"+"&amp;Q150&amp;IF(R150=0,"",","&amp;VLOOKUP(R150,定义数据!$B$14:$C$29,2,0)&amp;"+"&amp;S150)&amp;IF(T150=0,"",","&amp;VLOOKUP(T150,定义数据!$B$14:$C$29,2,0)&amp;"+"&amp;U150)</f>
        <v>暴击倍数+3704,攻击+194</v>
      </c>
      <c r="H150">
        <v>0</v>
      </c>
      <c r="I150">
        <f t="shared" si="27"/>
        <v>8</v>
      </c>
      <c r="J150">
        <f>IF(ISERROR(VLOOKUP(D150,命格辅助表!$I$76:$N$86,D_命格表!E150+2,0)),0,VLOOKUP(D150,命格辅助表!$I$76:$N$86,D_命格表!E150+2,0))</f>
        <v>1280</v>
      </c>
      <c r="K150">
        <f>IF(ISERROR(VLOOKUP(D150,命格辅助表!$P$76:$U$86,E150+2,0)),0,VLOOKUP(D150,命格辅助表!$P$76:$U$86,E150+2,0))</f>
        <v>1200</v>
      </c>
      <c r="L150">
        <v>0</v>
      </c>
      <c r="M150">
        <v>0</v>
      </c>
      <c r="N150">
        <v>8430</v>
      </c>
      <c r="O150">
        <f t="shared" si="23"/>
        <v>2</v>
      </c>
      <c r="P150">
        <f t="shared" si="25"/>
        <v>10</v>
      </c>
      <c r="Q150">
        <f>ROUND((VLOOKUP($A150,命格属性表,13,0)+VLOOKUP($A150,命格属性表,20,0)*($D150-1))*IF(P150&gt;9,1,VLOOKUP(D150,命格辅助表!$S$3:$U$10,3,0)),0)</f>
        <v>3704</v>
      </c>
      <c r="R150">
        <f t="shared" si="26"/>
        <v>2</v>
      </c>
      <c r="S150">
        <f>ROUND(IF(R150=0,0,VLOOKUP($A150,命格属性表,15,0)+VLOOKUP($A150,命格属性表,22,0)*($D150-1))*IF(R150&gt;9,1,VLOOKUP(D150,命格辅助表!$S$3:$U$10,3,0)),0)</f>
        <v>194</v>
      </c>
      <c r="T150">
        <f t="shared" si="28"/>
        <v>0</v>
      </c>
      <c r="U150">
        <f t="shared" si="22"/>
        <v>0</v>
      </c>
    </row>
    <row r="151" spans="1:21">
      <c r="A151">
        <v>8830</v>
      </c>
      <c r="B151" t="str">
        <f t="shared" si="24"/>
        <v>噬生</v>
      </c>
      <c r="C151">
        <f t="shared" si="29"/>
        <v>8</v>
      </c>
      <c r="D151">
        <v>5</v>
      </c>
      <c r="E151">
        <v>2</v>
      </c>
      <c r="F151">
        <v>10</v>
      </c>
      <c r="G151" t="str">
        <f>VLOOKUP(P151,定义数据!$B$14:$C$29,2,0)&amp;"+"&amp;Q151&amp;IF(R151=0,"",","&amp;VLOOKUP(R151,定义数据!$B$14:$C$29,2,0)&amp;"+"&amp;S151)&amp;IF(T151=0,"",","&amp;VLOOKUP(T151,定义数据!$B$14:$C$29,2,0)&amp;"+"&amp;U151)</f>
        <v>暴击倍数+4630,攻击+292</v>
      </c>
      <c r="H151">
        <v>0</v>
      </c>
      <c r="I151">
        <f t="shared" si="27"/>
        <v>8</v>
      </c>
      <c r="J151">
        <f>IF(ISERROR(VLOOKUP(D151,命格辅助表!$I$76:$N$86,D_命格表!E151+2,0)),0,VLOOKUP(D151,命格辅助表!$I$76:$N$86,D_命格表!E151+2,0))</f>
        <v>2560</v>
      </c>
      <c r="K151">
        <f>IF(ISERROR(VLOOKUP(D151,命格辅助表!$P$76:$U$86,E151+2,0)),0,VLOOKUP(D151,命格辅助表!$P$76:$U$86,E151+2,0))</f>
        <v>2480</v>
      </c>
      <c r="L151">
        <v>0</v>
      </c>
      <c r="M151">
        <v>0</v>
      </c>
      <c r="N151">
        <v>8430</v>
      </c>
      <c r="O151">
        <f t="shared" si="23"/>
        <v>2</v>
      </c>
      <c r="P151">
        <f t="shared" si="25"/>
        <v>10</v>
      </c>
      <c r="Q151">
        <f>ROUND((VLOOKUP($A151,命格属性表,13,0)+VLOOKUP($A151,命格属性表,20,0)*($D151-1))*IF(P151&gt;9,1,VLOOKUP(D151,命格辅助表!$S$3:$U$10,3,0)),0)</f>
        <v>4630</v>
      </c>
      <c r="R151">
        <f t="shared" si="26"/>
        <v>2</v>
      </c>
      <c r="S151">
        <f>ROUND(IF(R151=0,0,VLOOKUP($A151,命格属性表,15,0)+VLOOKUP($A151,命格属性表,22,0)*($D151-1))*IF(R151&gt;9,1,VLOOKUP(D151,命格辅助表!$S$3:$U$10,3,0)),0)</f>
        <v>292</v>
      </c>
      <c r="T151">
        <f t="shared" si="28"/>
        <v>0</v>
      </c>
      <c r="U151">
        <f t="shared" si="22"/>
        <v>0</v>
      </c>
    </row>
    <row r="152" spans="1:21">
      <c r="A152">
        <v>8830</v>
      </c>
      <c r="B152" t="str">
        <f t="shared" si="24"/>
        <v>噬生</v>
      </c>
      <c r="C152">
        <f t="shared" si="29"/>
        <v>8</v>
      </c>
      <c r="D152">
        <v>6</v>
      </c>
      <c r="E152">
        <v>2</v>
      </c>
      <c r="F152">
        <v>10</v>
      </c>
      <c r="G152" t="str">
        <f>VLOOKUP(P152,定义数据!$B$14:$C$29,2,0)&amp;"+"&amp;Q152&amp;IF(R152=0,"",","&amp;VLOOKUP(R152,定义数据!$B$14:$C$29,2,0)&amp;"+"&amp;S152)&amp;IF(T152=0,"",","&amp;VLOOKUP(T152,定义数据!$B$14:$C$29,2,0)&amp;"+"&amp;U152)</f>
        <v>暴击倍数+5556,攻击+437</v>
      </c>
      <c r="H152">
        <v>0</v>
      </c>
      <c r="I152">
        <f t="shared" si="27"/>
        <v>8</v>
      </c>
      <c r="J152">
        <f>IF(ISERROR(VLOOKUP(D152,命格辅助表!$I$76:$N$86,D_命格表!E152+2,0)),0,VLOOKUP(D152,命格辅助表!$I$76:$N$86,D_命格表!E152+2,0))</f>
        <v>5120</v>
      </c>
      <c r="K152">
        <f>IF(ISERROR(VLOOKUP(D152,命格辅助表!$P$76:$U$86,E152+2,0)),0,VLOOKUP(D152,命格辅助表!$P$76:$U$86,E152+2,0))</f>
        <v>5040</v>
      </c>
      <c r="L152">
        <v>0</v>
      </c>
      <c r="M152">
        <v>0</v>
      </c>
      <c r="N152">
        <v>8430</v>
      </c>
      <c r="O152">
        <f t="shared" si="23"/>
        <v>2</v>
      </c>
      <c r="P152">
        <f t="shared" si="25"/>
        <v>10</v>
      </c>
      <c r="Q152">
        <f>ROUND((VLOOKUP($A152,命格属性表,13,0)+VLOOKUP($A152,命格属性表,20,0)*($D152-1))*IF(P152&gt;9,1,VLOOKUP(D152,命格辅助表!$S$3:$U$10,3,0)),0)</f>
        <v>5556</v>
      </c>
      <c r="R152">
        <f t="shared" si="26"/>
        <v>2</v>
      </c>
      <c r="S152">
        <f>ROUND(IF(R152=0,0,VLOOKUP($A152,命格属性表,15,0)+VLOOKUP($A152,命格属性表,22,0)*($D152-1))*IF(R152&gt;9,1,VLOOKUP(D152,命格辅助表!$S$3:$U$10,3,0)),0)</f>
        <v>437</v>
      </c>
      <c r="T152">
        <f t="shared" si="28"/>
        <v>0</v>
      </c>
      <c r="U152">
        <f t="shared" si="22"/>
        <v>0</v>
      </c>
    </row>
    <row r="153" spans="1:21">
      <c r="A153">
        <v>8830</v>
      </c>
      <c r="B153" t="str">
        <f t="shared" si="24"/>
        <v>噬生</v>
      </c>
      <c r="C153">
        <f t="shared" si="29"/>
        <v>8</v>
      </c>
      <c r="D153">
        <v>7</v>
      </c>
      <c r="E153">
        <v>2</v>
      </c>
      <c r="F153">
        <v>10</v>
      </c>
      <c r="G153" t="str">
        <f>VLOOKUP(P153,定义数据!$B$14:$C$29,2,0)&amp;"+"&amp;Q153&amp;IF(R153=0,"",","&amp;VLOOKUP(R153,定义数据!$B$14:$C$29,2,0)&amp;"+"&amp;S153)&amp;IF(T153=0,"",","&amp;VLOOKUP(T153,定义数据!$B$14:$C$29,2,0)&amp;"+"&amp;U153)</f>
        <v>暴击倍数+6482,攻击+656</v>
      </c>
      <c r="H153">
        <v>0</v>
      </c>
      <c r="I153">
        <f t="shared" si="27"/>
        <v>8</v>
      </c>
      <c r="J153">
        <f>IF(ISERROR(VLOOKUP(D153,命格辅助表!$I$76:$N$86,D_命格表!E153+2,0)),0,VLOOKUP(D153,命格辅助表!$I$76:$N$86,D_命格表!E153+2,0))</f>
        <v>10240</v>
      </c>
      <c r="K153">
        <f>IF(ISERROR(VLOOKUP(D153,命格辅助表!$P$76:$U$86,E153+2,0)),0,VLOOKUP(D153,命格辅助表!$P$76:$U$86,E153+2,0))</f>
        <v>10160</v>
      </c>
      <c r="L153">
        <v>0</v>
      </c>
      <c r="M153">
        <v>0</v>
      </c>
      <c r="N153">
        <v>8430</v>
      </c>
      <c r="O153">
        <f t="shared" si="23"/>
        <v>2</v>
      </c>
      <c r="P153">
        <f t="shared" si="25"/>
        <v>10</v>
      </c>
      <c r="Q153">
        <f>ROUND((VLOOKUP($A153,命格属性表,13,0)+VLOOKUP($A153,命格属性表,20,0)*($D153-1))*IF(P153&gt;9,1,VLOOKUP(D153,命格辅助表!$S$3:$U$10,3,0)),0)</f>
        <v>6482</v>
      </c>
      <c r="R153">
        <f t="shared" si="26"/>
        <v>2</v>
      </c>
      <c r="S153">
        <f>ROUND(IF(R153=0,0,VLOOKUP($A153,命格属性表,15,0)+VLOOKUP($A153,命格属性表,22,0)*($D153-1))*IF(R153&gt;9,1,VLOOKUP(D153,命格辅助表!$S$3:$U$10,3,0)),0)</f>
        <v>656</v>
      </c>
      <c r="T153">
        <f t="shared" si="28"/>
        <v>0</v>
      </c>
      <c r="U153">
        <f t="shared" si="22"/>
        <v>0</v>
      </c>
    </row>
    <row r="154" spans="1:21">
      <c r="A154">
        <v>8830</v>
      </c>
      <c r="B154" t="str">
        <f t="shared" si="24"/>
        <v>噬生</v>
      </c>
      <c r="C154">
        <f t="shared" si="29"/>
        <v>8</v>
      </c>
      <c r="D154">
        <v>8</v>
      </c>
      <c r="E154">
        <v>2</v>
      </c>
      <c r="F154">
        <v>10</v>
      </c>
      <c r="G154" t="str">
        <f>VLOOKUP(P154,定义数据!$B$14:$C$29,2,0)&amp;"+"&amp;Q154&amp;IF(R154=0,"",","&amp;VLOOKUP(R154,定义数据!$B$14:$C$29,2,0)&amp;"+"&amp;S154)&amp;IF(T154=0,"",","&amp;VLOOKUP(T154,定义数据!$B$14:$C$29,2,0)&amp;"+"&amp;U154)</f>
        <v>暴击倍数+7408,攻击+984</v>
      </c>
      <c r="H154">
        <v>0</v>
      </c>
      <c r="I154">
        <f t="shared" si="27"/>
        <v>8</v>
      </c>
      <c r="J154">
        <f>IF(ISERROR(VLOOKUP(D154,命格辅助表!$I$76:$N$86,D_命格表!E154+2,0)),0,VLOOKUP(D154,命格辅助表!$I$76:$N$86,D_命格表!E154+2,0))</f>
        <v>20480</v>
      </c>
      <c r="K154">
        <f>IF(ISERROR(VLOOKUP(D154,命格辅助表!$P$76:$U$86,E154+2,0)),0,VLOOKUP(D154,命格辅助表!$P$76:$U$86,E154+2,0))</f>
        <v>20400</v>
      </c>
      <c r="L154">
        <f>IF(ISERROR(VLOOKUP(D154,命格辅助表!$I$76:$N$86,D_命格表!E154+2,0)),0,VLOOKUP(D154,命格辅助表!$I$76:$N$86,D_命格表!E154+2,0))</f>
        <v>20480</v>
      </c>
      <c r="M154">
        <f>A154+10</f>
        <v>8840</v>
      </c>
      <c r="N154">
        <v>8430</v>
      </c>
      <c r="O154">
        <f t="shared" si="23"/>
        <v>2</v>
      </c>
      <c r="P154">
        <f t="shared" si="25"/>
        <v>10</v>
      </c>
      <c r="Q154">
        <f>ROUND((VLOOKUP($A154,命格属性表,13,0)+VLOOKUP($A154,命格属性表,20,0)*($D154-1))*IF(P154&gt;9,1,VLOOKUP(D154,命格辅助表!$S$3:$U$10,3,0)),0)</f>
        <v>7408</v>
      </c>
      <c r="R154">
        <f t="shared" si="26"/>
        <v>2</v>
      </c>
      <c r="S154">
        <f>ROUND(IF(R154=0,0,VLOOKUP($A154,命格属性表,15,0)+VLOOKUP($A154,命格属性表,22,0)*($D154-1))*IF(R154&gt;9,1,VLOOKUP(D154,命格辅助表!$S$3:$U$10,3,0)),0)</f>
        <v>984</v>
      </c>
      <c r="T154">
        <f t="shared" si="28"/>
        <v>0</v>
      </c>
      <c r="U154">
        <f t="shared" si="22"/>
        <v>0</v>
      </c>
    </row>
    <row r="155" spans="1:21">
      <c r="A155">
        <v>8930</v>
      </c>
      <c r="B155" t="str">
        <f t="shared" si="24"/>
        <v>痛击</v>
      </c>
      <c r="C155">
        <f t="shared" si="29"/>
        <v>9</v>
      </c>
      <c r="D155">
        <v>1</v>
      </c>
      <c r="E155">
        <v>2</v>
      </c>
      <c r="F155">
        <v>10</v>
      </c>
      <c r="G155" t="str">
        <f>VLOOKUP(P155,定义数据!$B$14:$C$29,2,0)&amp;"+"&amp;Q155&amp;IF(R155=0,"",","&amp;VLOOKUP(R155,定义数据!$B$14:$C$29,2,0)&amp;"+"&amp;S155)&amp;IF(T155=0,"",","&amp;VLOOKUP(T155,定义数据!$B$14:$C$29,2,0)&amp;"+"&amp;U155)</f>
        <v>攻击加成+309,生命+1445</v>
      </c>
      <c r="H155">
        <v>0</v>
      </c>
      <c r="I155">
        <f t="shared" si="27"/>
        <v>9</v>
      </c>
      <c r="J155">
        <f>IF(ISERROR(VLOOKUP(D155,命格辅助表!$I$76:$N$86,D_命格表!E155+2,0)),0,VLOOKUP(D155,命格辅助表!$I$76:$N$86,D_命格表!E155+2,0))</f>
        <v>160</v>
      </c>
      <c r="K155">
        <f>IF(ISERROR(VLOOKUP(D155,命格辅助表!$P$76:$U$86,E155+2,0)),0,VLOOKUP(D155,命格辅助表!$P$76:$U$86,E155+2,0))</f>
        <v>80</v>
      </c>
      <c r="L155">
        <v>0</v>
      </c>
      <c r="M155">
        <v>0</v>
      </c>
      <c r="N155">
        <v>8130</v>
      </c>
      <c r="O155">
        <f t="shared" si="23"/>
        <v>2</v>
      </c>
      <c r="P155">
        <f t="shared" si="25"/>
        <v>22</v>
      </c>
      <c r="Q155">
        <f>ROUND((VLOOKUP($A155,命格属性表,13,0)+VLOOKUP($A155,命格属性表,20,0)*($D155-1))*IF(P155&gt;9,1,VLOOKUP(D155,命格辅助表!$S$3:$U$10,3,0)),0)</f>
        <v>309</v>
      </c>
      <c r="R155">
        <f t="shared" si="26"/>
        <v>1</v>
      </c>
      <c r="S155">
        <f>ROUND(IF(R155=0,0,VLOOKUP($A155,命格属性表,15,0)+VLOOKUP($A155,命格属性表,22,0)*($D155-1))*IF(R155&gt;9,1,VLOOKUP(D155,命格辅助表!$S$3:$U$10,3,0)),0)</f>
        <v>1445</v>
      </c>
      <c r="T155">
        <f t="shared" si="28"/>
        <v>0</v>
      </c>
      <c r="U155">
        <f t="shared" si="22"/>
        <v>0</v>
      </c>
    </row>
    <row r="156" spans="1:21">
      <c r="A156">
        <v>8930</v>
      </c>
      <c r="B156" t="str">
        <f t="shared" si="24"/>
        <v>痛击</v>
      </c>
      <c r="C156">
        <f t="shared" si="29"/>
        <v>9</v>
      </c>
      <c r="D156">
        <v>2</v>
      </c>
      <c r="E156">
        <v>2</v>
      </c>
      <c r="F156">
        <v>10</v>
      </c>
      <c r="G156" t="str">
        <f>VLOOKUP(P156,定义数据!$B$14:$C$29,2,0)&amp;"+"&amp;Q156&amp;IF(R156=0,"",","&amp;VLOOKUP(R156,定义数据!$B$14:$C$29,2,0)&amp;"+"&amp;S156)&amp;IF(T156=0,"",","&amp;VLOOKUP(T156,定义数据!$B$14:$C$29,2,0)&amp;"+"&amp;U156)</f>
        <v>攻击加成+618,生命+2167</v>
      </c>
      <c r="H156">
        <v>0</v>
      </c>
      <c r="I156">
        <f t="shared" si="27"/>
        <v>9</v>
      </c>
      <c r="J156">
        <f>IF(ISERROR(VLOOKUP(D156,命格辅助表!$I$76:$N$86,D_命格表!E156+2,0)),0,VLOOKUP(D156,命格辅助表!$I$76:$N$86,D_命格表!E156+2,0))</f>
        <v>320</v>
      </c>
      <c r="K156">
        <f>IF(ISERROR(VLOOKUP(D156,命格辅助表!$P$76:$U$86,E156+2,0)),0,VLOOKUP(D156,命格辅助表!$P$76:$U$86,E156+2,0))</f>
        <v>240</v>
      </c>
      <c r="L156">
        <v>0</v>
      </c>
      <c r="M156">
        <v>0</v>
      </c>
      <c r="N156">
        <v>8130</v>
      </c>
      <c r="O156">
        <f t="shared" si="23"/>
        <v>2</v>
      </c>
      <c r="P156">
        <f t="shared" si="25"/>
        <v>22</v>
      </c>
      <c r="Q156">
        <f>ROUND((VLOOKUP($A156,命格属性表,13,0)+VLOOKUP($A156,命格属性表,20,0)*($D156-1))*IF(P156&gt;9,1,VLOOKUP(D156,命格辅助表!$S$3:$U$10,3,0)),0)</f>
        <v>618</v>
      </c>
      <c r="R156">
        <f t="shared" si="26"/>
        <v>1</v>
      </c>
      <c r="S156">
        <f>ROUND(IF(R156=0,0,VLOOKUP($A156,命格属性表,15,0)+VLOOKUP($A156,命格属性表,22,0)*($D156-1))*IF(R156&gt;9,1,VLOOKUP(D156,命格辅助表!$S$3:$U$10,3,0)),0)</f>
        <v>2167</v>
      </c>
      <c r="T156">
        <f t="shared" si="28"/>
        <v>0</v>
      </c>
      <c r="U156">
        <f t="shared" si="22"/>
        <v>0</v>
      </c>
    </row>
    <row r="157" spans="1:21">
      <c r="A157">
        <v>8930</v>
      </c>
      <c r="B157" t="str">
        <f t="shared" si="24"/>
        <v>痛击</v>
      </c>
      <c r="C157">
        <f t="shared" si="29"/>
        <v>9</v>
      </c>
      <c r="D157">
        <v>3</v>
      </c>
      <c r="E157">
        <v>2</v>
      </c>
      <c r="F157">
        <v>10</v>
      </c>
      <c r="G157" t="str">
        <f>VLOOKUP(P157,定义数据!$B$14:$C$29,2,0)&amp;"+"&amp;Q157&amp;IF(R157=0,"",","&amp;VLOOKUP(R157,定义数据!$B$14:$C$29,2,0)&amp;"+"&amp;S157)&amp;IF(T157=0,"",","&amp;VLOOKUP(T157,定义数据!$B$14:$C$29,2,0)&amp;"+"&amp;U157)</f>
        <v>攻击加成+927,生命+3251</v>
      </c>
      <c r="H157">
        <v>0</v>
      </c>
      <c r="I157">
        <f t="shared" si="27"/>
        <v>9</v>
      </c>
      <c r="J157">
        <f>IF(ISERROR(VLOOKUP(D157,命格辅助表!$I$76:$N$86,D_命格表!E157+2,0)),0,VLOOKUP(D157,命格辅助表!$I$76:$N$86,D_命格表!E157+2,0))</f>
        <v>640</v>
      </c>
      <c r="K157">
        <f>IF(ISERROR(VLOOKUP(D157,命格辅助表!$P$76:$U$86,E157+2,0)),0,VLOOKUP(D157,命格辅助表!$P$76:$U$86,E157+2,0))</f>
        <v>560</v>
      </c>
      <c r="L157">
        <v>0</v>
      </c>
      <c r="M157">
        <v>0</v>
      </c>
      <c r="N157">
        <v>8130</v>
      </c>
      <c r="O157">
        <f t="shared" si="23"/>
        <v>2</v>
      </c>
      <c r="P157">
        <f t="shared" si="25"/>
        <v>22</v>
      </c>
      <c r="Q157">
        <f>ROUND((VLOOKUP($A157,命格属性表,13,0)+VLOOKUP($A157,命格属性表,20,0)*($D157-1))*IF(P157&gt;9,1,VLOOKUP(D157,命格辅助表!$S$3:$U$10,3,0)),0)</f>
        <v>927</v>
      </c>
      <c r="R157">
        <f t="shared" si="26"/>
        <v>1</v>
      </c>
      <c r="S157">
        <f>ROUND(IF(R157=0,0,VLOOKUP($A157,命格属性表,15,0)+VLOOKUP($A157,命格属性表,22,0)*($D157-1))*IF(R157&gt;9,1,VLOOKUP(D157,命格辅助表!$S$3:$U$10,3,0)),0)</f>
        <v>3251</v>
      </c>
      <c r="T157">
        <f t="shared" si="28"/>
        <v>0</v>
      </c>
      <c r="U157">
        <f t="shared" si="22"/>
        <v>0</v>
      </c>
    </row>
    <row r="158" spans="1:21">
      <c r="A158">
        <v>8930</v>
      </c>
      <c r="B158" t="str">
        <f t="shared" si="24"/>
        <v>痛击</v>
      </c>
      <c r="C158">
        <f t="shared" si="29"/>
        <v>9</v>
      </c>
      <c r="D158">
        <v>4</v>
      </c>
      <c r="E158">
        <v>2</v>
      </c>
      <c r="F158">
        <v>10</v>
      </c>
      <c r="G158" t="str">
        <f>VLOOKUP(P158,定义数据!$B$14:$C$29,2,0)&amp;"+"&amp;Q158&amp;IF(R158=0,"",","&amp;VLOOKUP(R158,定义数据!$B$14:$C$29,2,0)&amp;"+"&amp;S158)&amp;IF(T158=0,"",","&amp;VLOOKUP(T158,定义数据!$B$14:$C$29,2,0)&amp;"+"&amp;U158)</f>
        <v>攻击加成+1236,生命+4877</v>
      </c>
      <c r="H158">
        <v>0</v>
      </c>
      <c r="I158">
        <f t="shared" si="27"/>
        <v>9</v>
      </c>
      <c r="J158">
        <f>IF(ISERROR(VLOOKUP(D158,命格辅助表!$I$76:$N$86,D_命格表!E158+2,0)),0,VLOOKUP(D158,命格辅助表!$I$76:$N$86,D_命格表!E158+2,0))</f>
        <v>1280</v>
      </c>
      <c r="K158">
        <f>IF(ISERROR(VLOOKUP(D158,命格辅助表!$P$76:$U$86,E158+2,0)),0,VLOOKUP(D158,命格辅助表!$P$76:$U$86,E158+2,0))</f>
        <v>1200</v>
      </c>
      <c r="L158">
        <v>0</v>
      </c>
      <c r="M158">
        <v>0</v>
      </c>
      <c r="N158">
        <v>8130</v>
      </c>
      <c r="O158">
        <f t="shared" si="23"/>
        <v>2</v>
      </c>
      <c r="P158">
        <f t="shared" si="25"/>
        <v>22</v>
      </c>
      <c r="Q158">
        <f>ROUND((VLOOKUP($A158,命格属性表,13,0)+VLOOKUP($A158,命格属性表,20,0)*($D158-1))*IF(P158&gt;9,1,VLOOKUP(D158,命格辅助表!$S$3:$U$10,3,0)),0)</f>
        <v>1236</v>
      </c>
      <c r="R158">
        <f t="shared" si="26"/>
        <v>1</v>
      </c>
      <c r="S158">
        <f>ROUND(IF(R158=0,0,VLOOKUP($A158,命格属性表,15,0)+VLOOKUP($A158,命格属性表,22,0)*($D158-1))*IF(R158&gt;9,1,VLOOKUP(D158,命格辅助表!$S$3:$U$10,3,0)),0)</f>
        <v>4877</v>
      </c>
      <c r="T158">
        <f t="shared" si="28"/>
        <v>0</v>
      </c>
      <c r="U158">
        <f t="shared" si="22"/>
        <v>0</v>
      </c>
    </row>
    <row r="159" spans="1:21">
      <c r="A159">
        <v>8930</v>
      </c>
      <c r="B159" t="str">
        <f t="shared" si="24"/>
        <v>痛击</v>
      </c>
      <c r="C159">
        <f t="shared" si="29"/>
        <v>9</v>
      </c>
      <c r="D159">
        <v>5</v>
      </c>
      <c r="E159">
        <v>2</v>
      </c>
      <c r="F159">
        <v>10</v>
      </c>
      <c r="G159" t="str">
        <f>VLOOKUP(P159,定义数据!$B$14:$C$29,2,0)&amp;"+"&amp;Q159&amp;IF(R159=0,"",","&amp;VLOOKUP(R159,定义数据!$B$14:$C$29,2,0)&amp;"+"&amp;S159)&amp;IF(T159=0,"",","&amp;VLOOKUP(T159,定义数据!$B$14:$C$29,2,0)&amp;"+"&amp;U159)</f>
        <v>攻击加成+1545,生命+7315</v>
      </c>
      <c r="H159">
        <v>0</v>
      </c>
      <c r="I159">
        <f t="shared" si="27"/>
        <v>9</v>
      </c>
      <c r="J159">
        <f>IF(ISERROR(VLOOKUP(D159,命格辅助表!$I$76:$N$86,D_命格表!E159+2,0)),0,VLOOKUP(D159,命格辅助表!$I$76:$N$86,D_命格表!E159+2,0))</f>
        <v>2560</v>
      </c>
      <c r="K159">
        <f>IF(ISERROR(VLOOKUP(D159,命格辅助表!$P$76:$U$86,E159+2,0)),0,VLOOKUP(D159,命格辅助表!$P$76:$U$86,E159+2,0))</f>
        <v>2480</v>
      </c>
      <c r="L159">
        <v>0</v>
      </c>
      <c r="M159">
        <v>0</v>
      </c>
      <c r="N159">
        <v>8130</v>
      </c>
      <c r="O159">
        <f t="shared" si="23"/>
        <v>2</v>
      </c>
      <c r="P159">
        <f t="shared" si="25"/>
        <v>22</v>
      </c>
      <c r="Q159">
        <f>ROUND((VLOOKUP($A159,命格属性表,13,0)+VLOOKUP($A159,命格属性表,20,0)*($D159-1))*IF(P159&gt;9,1,VLOOKUP(D159,命格辅助表!$S$3:$U$10,3,0)),0)</f>
        <v>1545</v>
      </c>
      <c r="R159">
        <f t="shared" si="26"/>
        <v>1</v>
      </c>
      <c r="S159">
        <f>ROUND(IF(R159=0,0,VLOOKUP($A159,命格属性表,15,0)+VLOOKUP($A159,命格属性表,22,0)*($D159-1))*IF(R159&gt;9,1,VLOOKUP(D159,命格辅助表!$S$3:$U$10,3,0)),0)</f>
        <v>7315</v>
      </c>
      <c r="T159">
        <f t="shared" si="28"/>
        <v>0</v>
      </c>
      <c r="U159">
        <f t="shared" si="22"/>
        <v>0</v>
      </c>
    </row>
    <row r="160" spans="1:21">
      <c r="A160">
        <v>8930</v>
      </c>
      <c r="B160" t="str">
        <f t="shared" si="24"/>
        <v>痛击</v>
      </c>
      <c r="C160">
        <f t="shared" si="29"/>
        <v>9</v>
      </c>
      <c r="D160">
        <v>6</v>
      </c>
      <c r="E160">
        <v>2</v>
      </c>
      <c r="F160">
        <v>10</v>
      </c>
      <c r="G160" t="str">
        <f>VLOOKUP(P160,定义数据!$B$14:$C$29,2,0)&amp;"+"&amp;Q160&amp;IF(R160=0,"",","&amp;VLOOKUP(R160,定义数据!$B$14:$C$29,2,0)&amp;"+"&amp;S160)&amp;IF(T160=0,"",","&amp;VLOOKUP(T160,定义数据!$B$14:$C$29,2,0)&amp;"+"&amp;U160)</f>
        <v>攻击加成+1854,生命+10972</v>
      </c>
      <c r="H160">
        <v>0</v>
      </c>
      <c r="I160">
        <f t="shared" si="27"/>
        <v>9</v>
      </c>
      <c r="J160">
        <f>IF(ISERROR(VLOOKUP(D160,命格辅助表!$I$76:$N$86,D_命格表!E160+2,0)),0,VLOOKUP(D160,命格辅助表!$I$76:$N$86,D_命格表!E160+2,0))</f>
        <v>5120</v>
      </c>
      <c r="K160">
        <f>IF(ISERROR(VLOOKUP(D160,命格辅助表!$P$76:$U$86,E160+2,0)),0,VLOOKUP(D160,命格辅助表!$P$76:$U$86,E160+2,0))</f>
        <v>5040</v>
      </c>
      <c r="L160">
        <v>0</v>
      </c>
      <c r="M160">
        <v>0</v>
      </c>
      <c r="N160">
        <v>8130</v>
      </c>
      <c r="O160">
        <f t="shared" si="23"/>
        <v>2</v>
      </c>
      <c r="P160">
        <f t="shared" si="25"/>
        <v>22</v>
      </c>
      <c r="Q160">
        <f>ROUND((VLOOKUP($A160,命格属性表,13,0)+VLOOKUP($A160,命格属性表,20,0)*($D160-1))*IF(P160&gt;9,1,VLOOKUP(D160,命格辅助表!$S$3:$U$10,3,0)),0)</f>
        <v>1854</v>
      </c>
      <c r="R160">
        <f t="shared" si="26"/>
        <v>1</v>
      </c>
      <c r="S160">
        <f>ROUND(IF(R160=0,0,VLOOKUP($A160,命格属性表,15,0)+VLOOKUP($A160,命格属性表,22,0)*($D160-1))*IF(R160&gt;9,1,VLOOKUP(D160,命格辅助表!$S$3:$U$10,3,0)),0)</f>
        <v>10972</v>
      </c>
      <c r="T160">
        <f t="shared" si="28"/>
        <v>0</v>
      </c>
      <c r="U160">
        <f t="shared" si="22"/>
        <v>0</v>
      </c>
    </row>
    <row r="161" spans="1:21">
      <c r="A161">
        <v>8930</v>
      </c>
      <c r="B161" t="str">
        <f t="shared" si="24"/>
        <v>痛击</v>
      </c>
      <c r="C161">
        <f t="shared" si="29"/>
        <v>9</v>
      </c>
      <c r="D161">
        <v>7</v>
      </c>
      <c r="E161">
        <v>2</v>
      </c>
      <c r="F161">
        <v>10</v>
      </c>
      <c r="G161" t="str">
        <f>VLOOKUP(P161,定义数据!$B$14:$C$29,2,0)&amp;"+"&amp;Q161&amp;IF(R161=0,"",","&amp;VLOOKUP(R161,定义数据!$B$14:$C$29,2,0)&amp;"+"&amp;S161)&amp;IF(T161=0,"",","&amp;VLOOKUP(T161,定义数据!$B$14:$C$29,2,0)&amp;"+"&amp;U161)</f>
        <v>攻击加成+2163,生命+16459</v>
      </c>
      <c r="H161">
        <v>0</v>
      </c>
      <c r="I161">
        <f t="shared" si="27"/>
        <v>9</v>
      </c>
      <c r="J161">
        <f>IF(ISERROR(VLOOKUP(D161,命格辅助表!$I$76:$N$86,D_命格表!E161+2,0)),0,VLOOKUP(D161,命格辅助表!$I$76:$N$86,D_命格表!E161+2,0))</f>
        <v>10240</v>
      </c>
      <c r="K161">
        <f>IF(ISERROR(VLOOKUP(D161,命格辅助表!$P$76:$U$86,E161+2,0)),0,VLOOKUP(D161,命格辅助表!$P$76:$U$86,E161+2,0))</f>
        <v>10160</v>
      </c>
      <c r="L161">
        <v>0</v>
      </c>
      <c r="M161">
        <v>0</v>
      </c>
      <c r="N161">
        <v>8130</v>
      </c>
      <c r="O161">
        <f t="shared" si="23"/>
        <v>2</v>
      </c>
      <c r="P161">
        <f t="shared" si="25"/>
        <v>22</v>
      </c>
      <c r="Q161">
        <f>ROUND((VLOOKUP($A161,命格属性表,13,0)+VLOOKUP($A161,命格属性表,20,0)*($D161-1))*IF(P161&gt;9,1,VLOOKUP(D161,命格辅助表!$S$3:$U$10,3,0)),0)</f>
        <v>2163</v>
      </c>
      <c r="R161">
        <f t="shared" si="26"/>
        <v>1</v>
      </c>
      <c r="S161">
        <f>ROUND(IF(R161=0,0,VLOOKUP($A161,命格属性表,15,0)+VLOOKUP($A161,命格属性表,22,0)*($D161-1))*IF(R161&gt;9,1,VLOOKUP(D161,命格辅助表!$S$3:$U$10,3,0)),0)</f>
        <v>16459</v>
      </c>
      <c r="T161">
        <f t="shared" si="28"/>
        <v>0</v>
      </c>
      <c r="U161">
        <f t="shared" si="22"/>
        <v>0</v>
      </c>
    </row>
    <row r="162" spans="1:21">
      <c r="A162">
        <v>8930</v>
      </c>
      <c r="B162" t="str">
        <f t="shared" si="24"/>
        <v>痛击</v>
      </c>
      <c r="C162">
        <f t="shared" si="29"/>
        <v>9</v>
      </c>
      <c r="D162">
        <v>8</v>
      </c>
      <c r="E162">
        <v>2</v>
      </c>
      <c r="F162">
        <v>10</v>
      </c>
      <c r="G162" t="str">
        <f>VLOOKUP(P162,定义数据!$B$14:$C$29,2,0)&amp;"+"&amp;Q162&amp;IF(R162=0,"",","&amp;VLOOKUP(R162,定义数据!$B$14:$C$29,2,0)&amp;"+"&amp;S162)&amp;IF(T162=0,"",","&amp;VLOOKUP(T162,定义数据!$B$14:$C$29,2,0)&amp;"+"&amp;U162)</f>
        <v>攻击加成+2472,生命+24688</v>
      </c>
      <c r="H162">
        <v>0</v>
      </c>
      <c r="I162">
        <f t="shared" si="27"/>
        <v>9</v>
      </c>
      <c r="J162">
        <f>IF(ISERROR(VLOOKUP(D162,命格辅助表!$I$76:$N$86,D_命格表!E162+2,0)),0,VLOOKUP(D162,命格辅助表!$I$76:$N$86,D_命格表!E162+2,0))</f>
        <v>20480</v>
      </c>
      <c r="K162">
        <f>IF(ISERROR(VLOOKUP(D162,命格辅助表!$P$76:$U$86,E162+2,0)),0,VLOOKUP(D162,命格辅助表!$P$76:$U$86,E162+2,0))</f>
        <v>20400</v>
      </c>
      <c r="L162">
        <f>IF(ISERROR(VLOOKUP(D162,命格辅助表!$I$76:$N$86,D_命格表!E162+2,0)),0,VLOOKUP(D162,命格辅助表!$I$76:$N$86,D_命格表!E162+2,0))</f>
        <v>20480</v>
      </c>
      <c r="M162">
        <f>A162+10</f>
        <v>8940</v>
      </c>
      <c r="N162">
        <v>8130</v>
      </c>
      <c r="O162">
        <f t="shared" si="23"/>
        <v>2</v>
      </c>
      <c r="P162">
        <f t="shared" si="25"/>
        <v>22</v>
      </c>
      <c r="Q162">
        <f>ROUND((VLOOKUP($A162,命格属性表,13,0)+VLOOKUP($A162,命格属性表,20,0)*($D162-1))*IF(P162&gt;9,1,VLOOKUP(D162,命格辅助表!$S$3:$U$10,3,0)),0)</f>
        <v>2472</v>
      </c>
      <c r="R162">
        <f t="shared" si="26"/>
        <v>1</v>
      </c>
      <c r="S162">
        <f>ROUND(IF(R162=0,0,VLOOKUP($A162,命格属性表,15,0)+VLOOKUP($A162,命格属性表,22,0)*($D162-1))*IF(R162&gt;9,1,VLOOKUP(D162,命格辅助表!$S$3:$U$10,3,0)),0)</f>
        <v>24688</v>
      </c>
      <c r="T162">
        <f t="shared" si="28"/>
        <v>0</v>
      </c>
      <c r="U162">
        <f t="shared" si="22"/>
        <v>0</v>
      </c>
    </row>
    <row r="163" spans="1:21">
      <c r="A163">
        <v>9030</v>
      </c>
      <c r="B163" t="str">
        <f t="shared" si="24"/>
        <v>不坏</v>
      </c>
      <c r="C163">
        <f t="shared" si="29"/>
        <v>10</v>
      </c>
      <c r="D163">
        <v>1</v>
      </c>
      <c r="E163">
        <v>2</v>
      </c>
      <c r="F163">
        <v>10</v>
      </c>
      <c r="G163" t="str">
        <f>VLOOKUP(P163,定义数据!$B$14:$C$29,2,0)&amp;"+"&amp;Q163&amp;IF(R163=0,"",","&amp;VLOOKUP(R163,定义数据!$B$14:$C$29,2,0)&amp;"+"&amp;S163)&amp;IF(T163=0,"",","&amp;VLOOKUP(T163,定义数据!$B$14:$C$29,2,0)&amp;"+"&amp;U163)</f>
        <v>防御加成+463,攻击+58</v>
      </c>
      <c r="H163">
        <v>0</v>
      </c>
      <c r="I163">
        <f t="shared" si="27"/>
        <v>10</v>
      </c>
      <c r="J163">
        <f>IF(ISERROR(VLOOKUP(D163,命格辅助表!$I$76:$N$86,D_命格表!E163+2,0)),0,VLOOKUP(D163,命格辅助表!$I$76:$N$86,D_命格表!E163+2,0))</f>
        <v>160</v>
      </c>
      <c r="K163">
        <f>IF(ISERROR(VLOOKUP(D163,命格辅助表!$P$76:$U$86,E163+2,0)),0,VLOOKUP(D163,命格辅助表!$P$76:$U$86,E163+2,0))</f>
        <v>80</v>
      </c>
      <c r="L163">
        <v>0</v>
      </c>
      <c r="M163">
        <v>0</v>
      </c>
      <c r="N163">
        <v>8230</v>
      </c>
      <c r="O163">
        <f t="shared" si="23"/>
        <v>2</v>
      </c>
      <c r="P163">
        <f t="shared" si="25"/>
        <v>23</v>
      </c>
      <c r="Q163">
        <f>ROUND((VLOOKUP($A163,命格属性表,13,0)+VLOOKUP($A163,命格属性表,20,0)*($D163-1))*IF(P163&gt;9,1,VLOOKUP(D163,命格辅助表!$S$3:$U$10,3,0)),0)</f>
        <v>463</v>
      </c>
      <c r="R163">
        <f t="shared" si="26"/>
        <v>2</v>
      </c>
      <c r="S163">
        <f>ROUND(IF(R163=0,0,VLOOKUP($A163,命格属性表,15,0)+VLOOKUP($A163,命格属性表,22,0)*($D163-1))*IF(R163&gt;9,1,VLOOKUP(D163,命格辅助表!$S$3:$U$10,3,0)),0)</f>
        <v>58</v>
      </c>
      <c r="T163">
        <f t="shared" si="28"/>
        <v>0</v>
      </c>
      <c r="U163">
        <f t="shared" si="22"/>
        <v>0</v>
      </c>
    </row>
    <row r="164" spans="1:21">
      <c r="A164">
        <v>9030</v>
      </c>
      <c r="B164" t="str">
        <f t="shared" si="24"/>
        <v>不坏</v>
      </c>
      <c r="C164">
        <f t="shared" si="29"/>
        <v>10</v>
      </c>
      <c r="D164">
        <v>2</v>
      </c>
      <c r="E164">
        <v>2</v>
      </c>
      <c r="F164">
        <v>10</v>
      </c>
      <c r="G164" t="str">
        <f>VLOOKUP(P164,定义数据!$B$14:$C$29,2,0)&amp;"+"&amp;Q164&amp;IF(R164=0,"",","&amp;VLOOKUP(R164,定义数据!$B$14:$C$29,2,0)&amp;"+"&amp;S164)&amp;IF(T164=0,"",","&amp;VLOOKUP(T164,定义数据!$B$14:$C$29,2,0)&amp;"+"&amp;U164)</f>
        <v>防御加成+926,攻击+86</v>
      </c>
      <c r="H164">
        <v>0</v>
      </c>
      <c r="I164">
        <f t="shared" si="27"/>
        <v>10</v>
      </c>
      <c r="J164">
        <f>IF(ISERROR(VLOOKUP(D164,命格辅助表!$I$76:$N$86,D_命格表!E164+2,0)),0,VLOOKUP(D164,命格辅助表!$I$76:$N$86,D_命格表!E164+2,0))</f>
        <v>320</v>
      </c>
      <c r="K164">
        <f>IF(ISERROR(VLOOKUP(D164,命格辅助表!$P$76:$U$86,E164+2,0)),0,VLOOKUP(D164,命格辅助表!$P$76:$U$86,E164+2,0))</f>
        <v>240</v>
      </c>
      <c r="L164">
        <v>0</v>
      </c>
      <c r="M164">
        <v>0</v>
      </c>
      <c r="N164">
        <v>8230</v>
      </c>
      <c r="O164">
        <f t="shared" si="23"/>
        <v>2</v>
      </c>
      <c r="P164">
        <f t="shared" si="25"/>
        <v>23</v>
      </c>
      <c r="Q164">
        <f>ROUND((VLOOKUP($A164,命格属性表,13,0)+VLOOKUP($A164,命格属性表,20,0)*($D164-1))*IF(P164&gt;9,1,VLOOKUP(D164,命格辅助表!$S$3:$U$10,3,0)),0)</f>
        <v>926</v>
      </c>
      <c r="R164">
        <f t="shared" si="26"/>
        <v>2</v>
      </c>
      <c r="S164">
        <f>ROUND(IF(R164=0,0,VLOOKUP($A164,命格属性表,15,0)+VLOOKUP($A164,命格属性表,22,0)*($D164-1))*IF(R164&gt;9,1,VLOOKUP(D164,命格辅助表!$S$3:$U$10,3,0)),0)</f>
        <v>86</v>
      </c>
      <c r="T164">
        <f t="shared" si="28"/>
        <v>0</v>
      </c>
      <c r="U164">
        <f t="shared" si="22"/>
        <v>0</v>
      </c>
    </row>
    <row r="165" spans="1:21">
      <c r="A165">
        <v>9030</v>
      </c>
      <c r="B165" t="str">
        <f t="shared" si="24"/>
        <v>不坏</v>
      </c>
      <c r="C165">
        <f t="shared" si="29"/>
        <v>10</v>
      </c>
      <c r="D165">
        <v>3</v>
      </c>
      <c r="E165">
        <v>2</v>
      </c>
      <c r="F165">
        <v>10</v>
      </c>
      <c r="G165" t="str">
        <f>VLOOKUP(P165,定义数据!$B$14:$C$29,2,0)&amp;"+"&amp;Q165&amp;IF(R165=0,"",","&amp;VLOOKUP(R165,定义数据!$B$14:$C$29,2,0)&amp;"+"&amp;S165)&amp;IF(T165=0,"",","&amp;VLOOKUP(T165,定义数据!$B$14:$C$29,2,0)&amp;"+"&amp;U165)</f>
        <v>防御加成+1389,攻击+130</v>
      </c>
      <c r="H165">
        <v>0</v>
      </c>
      <c r="I165">
        <f t="shared" si="27"/>
        <v>10</v>
      </c>
      <c r="J165">
        <f>IF(ISERROR(VLOOKUP(D165,命格辅助表!$I$76:$N$86,D_命格表!E165+2,0)),0,VLOOKUP(D165,命格辅助表!$I$76:$N$86,D_命格表!E165+2,0))</f>
        <v>640</v>
      </c>
      <c r="K165">
        <f>IF(ISERROR(VLOOKUP(D165,命格辅助表!$P$76:$U$86,E165+2,0)),0,VLOOKUP(D165,命格辅助表!$P$76:$U$86,E165+2,0))</f>
        <v>560</v>
      </c>
      <c r="L165">
        <v>0</v>
      </c>
      <c r="M165">
        <v>0</v>
      </c>
      <c r="N165">
        <v>8230</v>
      </c>
      <c r="O165">
        <f t="shared" si="23"/>
        <v>2</v>
      </c>
      <c r="P165">
        <f t="shared" si="25"/>
        <v>23</v>
      </c>
      <c r="Q165">
        <f>ROUND((VLOOKUP($A165,命格属性表,13,0)+VLOOKUP($A165,命格属性表,20,0)*($D165-1))*IF(P165&gt;9,1,VLOOKUP(D165,命格辅助表!$S$3:$U$10,3,0)),0)</f>
        <v>1389</v>
      </c>
      <c r="R165">
        <f t="shared" si="26"/>
        <v>2</v>
      </c>
      <c r="S165">
        <f>ROUND(IF(R165=0,0,VLOOKUP($A165,命格属性表,15,0)+VLOOKUP($A165,命格属性表,22,0)*($D165-1))*IF(R165&gt;9,1,VLOOKUP(D165,命格辅助表!$S$3:$U$10,3,0)),0)</f>
        <v>130</v>
      </c>
      <c r="T165">
        <f t="shared" si="28"/>
        <v>0</v>
      </c>
      <c r="U165">
        <f t="shared" si="22"/>
        <v>0</v>
      </c>
    </row>
    <row r="166" spans="1:21">
      <c r="A166">
        <v>9030</v>
      </c>
      <c r="B166" t="str">
        <f t="shared" si="24"/>
        <v>不坏</v>
      </c>
      <c r="C166">
        <f t="shared" si="29"/>
        <v>10</v>
      </c>
      <c r="D166">
        <v>4</v>
      </c>
      <c r="E166">
        <v>2</v>
      </c>
      <c r="F166">
        <v>10</v>
      </c>
      <c r="G166" t="str">
        <f>VLOOKUP(P166,定义数据!$B$14:$C$29,2,0)&amp;"+"&amp;Q166&amp;IF(R166=0,"",","&amp;VLOOKUP(R166,定义数据!$B$14:$C$29,2,0)&amp;"+"&amp;S166)&amp;IF(T166=0,"",","&amp;VLOOKUP(T166,定义数据!$B$14:$C$29,2,0)&amp;"+"&amp;U166)</f>
        <v>防御加成+1852,攻击+194</v>
      </c>
      <c r="H166">
        <v>0</v>
      </c>
      <c r="I166">
        <f t="shared" si="27"/>
        <v>10</v>
      </c>
      <c r="J166">
        <f>IF(ISERROR(VLOOKUP(D166,命格辅助表!$I$76:$N$86,D_命格表!E166+2,0)),0,VLOOKUP(D166,命格辅助表!$I$76:$N$86,D_命格表!E166+2,0))</f>
        <v>1280</v>
      </c>
      <c r="K166">
        <f>IF(ISERROR(VLOOKUP(D166,命格辅助表!$P$76:$U$86,E166+2,0)),0,VLOOKUP(D166,命格辅助表!$P$76:$U$86,E166+2,0))</f>
        <v>1200</v>
      </c>
      <c r="L166">
        <v>0</v>
      </c>
      <c r="M166">
        <v>0</v>
      </c>
      <c r="N166">
        <v>8230</v>
      </c>
      <c r="O166">
        <f t="shared" si="23"/>
        <v>2</v>
      </c>
      <c r="P166">
        <f t="shared" si="25"/>
        <v>23</v>
      </c>
      <c r="Q166">
        <f>ROUND((VLOOKUP($A166,命格属性表,13,0)+VLOOKUP($A166,命格属性表,20,0)*($D166-1))*IF(P166&gt;9,1,VLOOKUP(D166,命格辅助表!$S$3:$U$10,3,0)),0)</f>
        <v>1852</v>
      </c>
      <c r="R166">
        <f t="shared" si="26"/>
        <v>2</v>
      </c>
      <c r="S166">
        <f>ROUND(IF(R166=0,0,VLOOKUP($A166,命格属性表,15,0)+VLOOKUP($A166,命格属性表,22,0)*($D166-1))*IF(R166&gt;9,1,VLOOKUP(D166,命格辅助表!$S$3:$U$10,3,0)),0)</f>
        <v>194</v>
      </c>
      <c r="T166">
        <f t="shared" si="28"/>
        <v>0</v>
      </c>
      <c r="U166">
        <f t="shared" si="22"/>
        <v>0</v>
      </c>
    </row>
    <row r="167" spans="1:21">
      <c r="A167">
        <v>9030</v>
      </c>
      <c r="B167" t="str">
        <f t="shared" si="24"/>
        <v>不坏</v>
      </c>
      <c r="C167">
        <f t="shared" si="29"/>
        <v>10</v>
      </c>
      <c r="D167">
        <v>5</v>
      </c>
      <c r="E167">
        <v>2</v>
      </c>
      <c r="F167">
        <v>10</v>
      </c>
      <c r="G167" t="str">
        <f>VLOOKUP(P167,定义数据!$B$14:$C$29,2,0)&amp;"+"&amp;Q167&amp;IF(R167=0,"",","&amp;VLOOKUP(R167,定义数据!$B$14:$C$29,2,0)&amp;"+"&amp;S167)&amp;IF(T167=0,"",","&amp;VLOOKUP(T167,定义数据!$B$14:$C$29,2,0)&amp;"+"&amp;U167)</f>
        <v>防御加成+2315,攻击+292</v>
      </c>
      <c r="H167">
        <v>0</v>
      </c>
      <c r="I167">
        <f t="shared" si="27"/>
        <v>10</v>
      </c>
      <c r="J167">
        <f>IF(ISERROR(VLOOKUP(D167,命格辅助表!$I$76:$N$86,D_命格表!E167+2,0)),0,VLOOKUP(D167,命格辅助表!$I$76:$N$86,D_命格表!E167+2,0))</f>
        <v>2560</v>
      </c>
      <c r="K167">
        <f>IF(ISERROR(VLOOKUP(D167,命格辅助表!$P$76:$U$86,E167+2,0)),0,VLOOKUP(D167,命格辅助表!$P$76:$U$86,E167+2,0))</f>
        <v>2480</v>
      </c>
      <c r="L167">
        <v>0</v>
      </c>
      <c r="M167">
        <v>0</v>
      </c>
      <c r="N167">
        <v>8230</v>
      </c>
      <c r="O167">
        <f t="shared" si="23"/>
        <v>2</v>
      </c>
      <c r="P167">
        <f t="shared" si="25"/>
        <v>23</v>
      </c>
      <c r="Q167">
        <f>ROUND((VLOOKUP($A167,命格属性表,13,0)+VLOOKUP($A167,命格属性表,20,0)*($D167-1))*IF(P167&gt;9,1,VLOOKUP(D167,命格辅助表!$S$3:$U$10,3,0)),0)</f>
        <v>2315</v>
      </c>
      <c r="R167">
        <f t="shared" si="26"/>
        <v>2</v>
      </c>
      <c r="S167">
        <f>ROUND(IF(R167=0,0,VLOOKUP($A167,命格属性表,15,0)+VLOOKUP($A167,命格属性表,22,0)*($D167-1))*IF(R167&gt;9,1,VLOOKUP(D167,命格辅助表!$S$3:$U$10,3,0)),0)</f>
        <v>292</v>
      </c>
      <c r="T167">
        <f t="shared" si="28"/>
        <v>0</v>
      </c>
      <c r="U167">
        <f t="shared" si="22"/>
        <v>0</v>
      </c>
    </row>
    <row r="168" spans="1:21">
      <c r="A168">
        <v>9030</v>
      </c>
      <c r="B168" t="str">
        <f t="shared" si="24"/>
        <v>不坏</v>
      </c>
      <c r="C168">
        <f t="shared" si="29"/>
        <v>10</v>
      </c>
      <c r="D168">
        <v>6</v>
      </c>
      <c r="E168">
        <v>2</v>
      </c>
      <c r="F168">
        <v>10</v>
      </c>
      <c r="G168" t="str">
        <f>VLOOKUP(P168,定义数据!$B$14:$C$29,2,0)&amp;"+"&amp;Q168&amp;IF(R168=0,"",","&amp;VLOOKUP(R168,定义数据!$B$14:$C$29,2,0)&amp;"+"&amp;S168)&amp;IF(T168=0,"",","&amp;VLOOKUP(T168,定义数据!$B$14:$C$29,2,0)&amp;"+"&amp;U168)</f>
        <v>防御加成+2778,攻击+437</v>
      </c>
      <c r="H168">
        <v>0</v>
      </c>
      <c r="I168">
        <f t="shared" si="27"/>
        <v>10</v>
      </c>
      <c r="J168">
        <f>IF(ISERROR(VLOOKUP(D168,命格辅助表!$I$76:$N$86,D_命格表!E168+2,0)),0,VLOOKUP(D168,命格辅助表!$I$76:$N$86,D_命格表!E168+2,0))</f>
        <v>5120</v>
      </c>
      <c r="K168">
        <f>IF(ISERROR(VLOOKUP(D168,命格辅助表!$P$76:$U$86,E168+2,0)),0,VLOOKUP(D168,命格辅助表!$P$76:$U$86,E168+2,0))</f>
        <v>5040</v>
      </c>
      <c r="L168">
        <v>0</v>
      </c>
      <c r="M168">
        <v>0</v>
      </c>
      <c r="N168">
        <v>8230</v>
      </c>
      <c r="O168">
        <f t="shared" si="23"/>
        <v>2</v>
      </c>
      <c r="P168">
        <f t="shared" si="25"/>
        <v>23</v>
      </c>
      <c r="Q168">
        <f>ROUND((VLOOKUP($A168,命格属性表,13,0)+VLOOKUP($A168,命格属性表,20,0)*($D168-1))*IF(P168&gt;9,1,VLOOKUP(D168,命格辅助表!$S$3:$U$10,3,0)),0)</f>
        <v>2778</v>
      </c>
      <c r="R168">
        <f t="shared" si="26"/>
        <v>2</v>
      </c>
      <c r="S168">
        <f>ROUND(IF(R168=0,0,VLOOKUP($A168,命格属性表,15,0)+VLOOKUP($A168,命格属性表,22,0)*($D168-1))*IF(R168&gt;9,1,VLOOKUP(D168,命格辅助表!$S$3:$U$10,3,0)),0)</f>
        <v>437</v>
      </c>
      <c r="T168">
        <f t="shared" si="28"/>
        <v>0</v>
      </c>
      <c r="U168">
        <f t="shared" si="22"/>
        <v>0</v>
      </c>
    </row>
    <row r="169" spans="1:21">
      <c r="A169">
        <v>9030</v>
      </c>
      <c r="B169" t="str">
        <f t="shared" si="24"/>
        <v>不坏</v>
      </c>
      <c r="C169">
        <f t="shared" si="29"/>
        <v>10</v>
      </c>
      <c r="D169">
        <v>7</v>
      </c>
      <c r="E169">
        <v>2</v>
      </c>
      <c r="F169">
        <v>10</v>
      </c>
      <c r="G169" t="str">
        <f>VLOOKUP(P169,定义数据!$B$14:$C$29,2,0)&amp;"+"&amp;Q169&amp;IF(R169=0,"",","&amp;VLOOKUP(R169,定义数据!$B$14:$C$29,2,0)&amp;"+"&amp;S169)&amp;IF(T169=0,"",","&amp;VLOOKUP(T169,定义数据!$B$14:$C$29,2,0)&amp;"+"&amp;U169)</f>
        <v>防御加成+3241,攻击+656</v>
      </c>
      <c r="H169">
        <v>0</v>
      </c>
      <c r="I169">
        <f t="shared" si="27"/>
        <v>10</v>
      </c>
      <c r="J169">
        <f>IF(ISERROR(VLOOKUP(D169,命格辅助表!$I$76:$N$86,D_命格表!E169+2,0)),0,VLOOKUP(D169,命格辅助表!$I$76:$N$86,D_命格表!E169+2,0))</f>
        <v>10240</v>
      </c>
      <c r="K169">
        <f>IF(ISERROR(VLOOKUP(D169,命格辅助表!$P$76:$U$86,E169+2,0)),0,VLOOKUP(D169,命格辅助表!$P$76:$U$86,E169+2,0))</f>
        <v>10160</v>
      </c>
      <c r="L169">
        <v>0</v>
      </c>
      <c r="M169">
        <v>0</v>
      </c>
      <c r="N169">
        <v>8230</v>
      </c>
      <c r="O169">
        <f t="shared" si="23"/>
        <v>2</v>
      </c>
      <c r="P169">
        <f t="shared" si="25"/>
        <v>23</v>
      </c>
      <c r="Q169">
        <f>ROUND((VLOOKUP($A169,命格属性表,13,0)+VLOOKUP($A169,命格属性表,20,0)*($D169-1))*IF(P169&gt;9,1,VLOOKUP(D169,命格辅助表!$S$3:$U$10,3,0)),0)</f>
        <v>3241</v>
      </c>
      <c r="R169">
        <f t="shared" si="26"/>
        <v>2</v>
      </c>
      <c r="S169">
        <f>ROUND(IF(R169=0,0,VLOOKUP($A169,命格属性表,15,0)+VLOOKUP($A169,命格属性表,22,0)*($D169-1))*IF(R169&gt;9,1,VLOOKUP(D169,命格辅助表!$S$3:$U$10,3,0)),0)</f>
        <v>656</v>
      </c>
      <c r="T169">
        <f t="shared" si="28"/>
        <v>0</v>
      </c>
      <c r="U169">
        <f t="shared" si="22"/>
        <v>0</v>
      </c>
    </row>
    <row r="170" spans="1:21">
      <c r="A170">
        <v>9030</v>
      </c>
      <c r="B170" t="str">
        <f t="shared" si="24"/>
        <v>不坏</v>
      </c>
      <c r="C170">
        <f t="shared" si="29"/>
        <v>10</v>
      </c>
      <c r="D170">
        <v>8</v>
      </c>
      <c r="E170">
        <v>2</v>
      </c>
      <c r="F170">
        <v>10</v>
      </c>
      <c r="G170" t="str">
        <f>VLOOKUP(P170,定义数据!$B$14:$C$29,2,0)&amp;"+"&amp;Q170&amp;IF(R170=0,"",","&amp;VLOOKUP(R170,定义数据!$B$14:$C$29,2,0)&amp;"+"&amp;S170)&amp;IF(T170=0,"",","&amp;VLOOKUP(T170,定义数据!$B$14:$C$29,2,0)&amp;"+"&amp;U170)</f>
        <v>防御加成+3704,攻击+984</v>
      </c>
      <c r="H170">
        <v>0</v>
      </c>
      <c r="I170">
        <f t="shared" si="27"/>
        <v>10</v>
      </c>
      <c r="J170">
        <f>IF(ISERROR(VLOOKUP(D170,命格辅助表!$I$76:$N$86,D_命格表!E170+2,0)),0,VLOOKUP(D170,命格辅助表!$I$76:$N$86,D_命格表!E170+2,0))</f>
        <v>20480</v>
      </c>
      <c r="K170">
        <f>IF(ISERROR(VLOOKUP(D170,命格辅助表!$P$76:$U$86,E170+2,0)),0,VLOOKUP(D170,命格辅助表!$P$76:$U$86,E170+2,0))</f>
        <v>20400</v>
      </c>
      <c r="L170">
        <f>IF(ISERROR(VLOOKUP(D170,命格辅助表!$I$76:$N$86,D_命格表!E170+2,0)),0,VLOOKUP(D170,命格辅助表!$I$76:$N$86,D_命格表!E170+2,0))</f>
        <v>20480</v>
      </c>
      <c r="M170">
        <f>A170+10</f>
        <v>9040</v>
      </c>
      <c r="N170">
        <v>8230</v>
      </c>
      <c r="O170">
        <f t="shared" si="23"/>
        <v>2</v>
      </c>
      <c r="P170">
        <f t="shared" si="25"/>
        <v>23</v>
      </c>
      <c r="Q170">
        <f>ROUND((VLOOKUP($A170,命格属性表,13,0)+VLOOKUP($A170,命格属性表,20,0)*($D170-1))*IF(P170&gt;9,1,VLOOKUP(D170,命格辅助表!$S$3:$U$10,3,0)),0)</f>
        <v>3704</v>
      </c>
      <c r="R170">
        <f t="shared" si="26"/>
        <v>2</v>
      </c>
      <c r="S170">
        <f>ROUND(IF(R170=0,0,VLOOKUP($A170,命格属性表,15,0)+VLOOKUP($A170,命格属性表,22,0)*($D170-1))*IF(R170&gt;9,1,VLOOKUP(D170,命格辅助表!$S$3:$U$10,3,0)),0)</f>
        <v>984</v>
      </c>
      <c r="T170">
        <f t="shared" si="28"/>
        <v>0</v>
      </c>
      <c r="U170">
        <f t="shared" si="22"/>
        <v>0</v>
      </c>
    </row>
    <row r="171" spans="1:21">
      <c r="A171">
        <v>9130</v>
      </c>
      <c r="B171" t="s">
        <v>313</v>
      </c>
      <c r="C171">
        <f t="shared" si="29"/>
        <v>11</v>
      </c>
      <c r="D171">
        <v>1</v>
      </c>
      <c r="E171">
        <v>2</v>
      </c>
      <c r="F171">
        <v>10</v>
      </c>
      <c r="G171" t="str">
        <f>VLOOKUP(P171,定义数据!$B$14:$C$29,2,0)&amp;"+"&amp;Q171&amp;IF(R171=0,"",","&amp;VLOOKUP(R171,定义数据!$B$14:$C$29,2,0)&amp;"+"&amp;S171)&amp;IF(T171=0,"",","&amp;VLOOKUP(T171,定义数据!$B$14:$C$29,2,0)&amp;"+"&amp;U171)</f>
        <v>伤害加深+370,生命+1445</v>
      </c>
      <c r="H171">
        <v>0</v>
      </c>
      <c r="I171">
        <f t="shared" si="27"/>
        <v>11</v>
      </c>
      <c r="J171">
        <f>IF(ISERROR(VLOOKUP(D171,命格辅助表!$I$76:$N$86,D_命格表!E171+2,0)),0,VLOOKUP(D171,命格辅助表!$I$76:$N$86,D_命格表!E171+2,0))</f>
        <v>160</v>
      </c>
      <c r="K171">
        <f>IF(ISERROR(VLOOKUP(D171,命格辅助表!$P$76:$U$86,E171+2,0)),0,VLOOKUP(D171,命格辅助表!$P$76:$U$86,E171+2,0))</f>
        <v>80</v>
      </c>
      <c r="L171">
        <v>0</v>
      </c>
      <c r="M171">
        <v>0</v>
      </c>
      <c r="N171">
        <v>8330</v>
      </c>
      <c r="O171">
        <f t="shared" si="23"/>
        <v>2</v>
      </c>
      <c r="P171">
        <f t="shared" si="25"/>
        <v>24</v>
      </c>
      <c r="Q171">
        <f>ROUND((VLOOKUP($A171,命格属性表,13,0)+VLOOKUP($A171,命格属性表,20,0)*($D171-1))*IF(P171&gt;9,1,VLOOKUP(D171,命格辅助表!$S$3:$U$10,3,0)),0)</f>
        <v>370</v>
      </c>
      <c r="R171">
        <f t="shared" si="26"/>
        <v>1</v>
      </c>
      <c r="S171">
        <f>ROUND(IF(R171=0,0,VLOOKUP($A171,命格属性表,15,0)+VLOOKUP($A171,命格属性表,22,0)*($D171-1))*IF(R171&gt;9,1,VLOOKUP(D171,命格辅助表!$S$3:$U$10,3,0)),0)</f>
        <v>1445</v>
      </c>
      <c r="T171">
        <f t="shared" si="28"/>
        <v>0</v>
      </c>
      <c r="U171">
        <f t="shared" si="22"/>
        <v>0</v>
      </c>
    </row>
    <row r="172" spans="1:21">
      <c r="A172">
        <v>9130</v>
      </c>
      <c r="B172" t="s">
        <v>313</v>
      </c>
      <c r="C172">
        <f t="shared" si="29"/>
        <v>11</v>
      </c>
      <c r="D172">
        <v>2</v>
      </c>
      <c r="E172">
        <v>2</v>
      </c>
      <c r="F172">
        <v>10</v>
      </c>
      <c r="G172" t="str">
        <f>VLOOKUP(P172,定义数据!$B$14:$C$29,2,0)&amp;"+"&amp;Q172&amp;IF(R172=0,"",","&amp;VLOOKUP(R172,定义数据!$B$14:$C$29,2,0)&amp;"+"&amp;S172)&amp;IF(T172=0,"",","&amp;VLOOKUP(T172,定义数据!$B$14:$C$29,2,0)&amp;"+"&amp;U172)</f>
        <v>伤害加深+740,生命+2167</v>
      </c>
      <c r="H172">
        <v>0</v>
      </c>
      <c r="I172">
        <f t="shared" si="27"/>
        <v>11</v>
      </c>
      <c r="J172">
        <f>IF(ISERROR(VLOOKUP(D172,命格辅助表!$I$76:$N$86,D_命格表!E172+2,0)),0,VLOOKUP(D172,命格辅助表!$I$76:$N$86,D_命格表!E172+2,0))</f>
        <v>320</v>
      </c>
      <c r="K172">
        <f>IF(ISERROR(VLOOKUP(D172,命格辅助表!$P$76:$U$86,E172+2,0)),0,VLOOKUP(D172,命格辅助表!$P$76:$U$86,E172+2,0))</f>
        <v>240</v>
      </c>
      <c r="L172">
        <v>0</v>
      </c>
      <c r="M172">
        <v>0</v>
      </c>
      <c r="N172">
        <v>8330</v>
      </c>
      <c r="O172">
        <f t="shared" si="23"/>
        <v>2</v>
      </c>
      <c r="P172">
        <f t="shared" si="25"/>
        <v>24</v>
      </c>
      <c r="Q172">
        <f>ROUND((VLOOKUP($A172,命格属性表,13,0)+VLOOKUP($A172,命格属性表,20,0)*($D172-1))*IF(P172&gt;9,1,VLOOKUP(D172,命格辅助表!$S$3:$U$10,3,0)),0)</f>
        <v>740</v>
      </c>
      <c r="R172">
        <f t="shared" si="26"/>
        <v>1</v>
      </c>
      <c r="S172">
        <f>ROUND(IF(R172=0,0,VLOOKUP($A172,命格属性表,15,0)+VLOOKUP($A172,命格属性表,22,0)*($D172-1))*IF(R172&gt;9,1,VLOOKUP(D172,命格辅助表!$S$3:$U$10,3,0)),0)</f>
        <v>2167</v>
      </c>
      <c r="T172">
        <f t="shared" si="28"/>
        <v>0</v>
      </c>
      <c r="U172">
        <f t="shared" si="22"/>
        <v>0</v>
      </c>
    </row>
    <row r="173" spans="1:21">
      <c r="A173">
        <v>9130</v>
      </c>
      <c r="B173" t="s">
        <v>313</v>
      </c>
      <c r="C173">
        <f t="shared" si="29"/>
        <v>11</v>
      </c>
      <c r="D173">
        <v>3</v>
      </c>
      <c r="E173">
        <v>2</v>
      </c>
      <c r="F173">
        <v>10</v>
      </c>
      <c r="G173" t="str">
        <f>VLOOKUP(P173,定义数据!$B$14:$C$29,2,0)&amp;"+"&amp;Q173&amp;IF(R173=0,"",","&amp;VLOOKUP(R173,定义数据!$B$14:$C$29,2,0)&amp;"+"&amp;S173)&amp;IF(T173=0,"",","&amp;VLOOKUP(T173,定义数据!$B$14:$C$29,2,0)&amp;"+"&amp;U173)</f>
        <v>伤害加深+1110,生命+3251</v>
      </c>
      <c r="H173">
        <v>0</v>
      </c>
      <c r="I173">
        <f t="shared" si="27"/>
        <v>11</v>
      </c>
      <c r="J173">
        <f>IF(ISERROR(VLOOKUP(D173,命格辅助表!$I$76:$N$86,D_命格表!E173+2,0)),0,VLOOKUP(D173,命格辅助表!$I$76:$N$86,D_命格表!E173+2,0))</f>
        <v>640</v>
      </c>
      <c r="K173">
        <f>IF(ISERROR(VLOOKUP(D173,命格辅助表!$P$76:$U$86,E173+2,0)),0,VLOOKUP(D173,命格辅助表!$P$76:$U$86,E173+2,0))</f>
        <v>560</v>
      </c>
      <c r="L173">
        <v>0</v>
      </c>
      <c r="M173">
        <v>0</v>
      </c>
      <c r="N173">
        <v>8330</v>
      </c>
      <c r="O173">
        <f t="shared" si="23"/>
        <v>2</v>
      </c>
      <c r="P173">
        <f t="shared" si="25"/>
        <v>24</v>
      </c>
      <c r="Q173">
        <f>ROUND((VLOOKUP($A173,命格属性表,13,0)+VLOOKUP($A173,命格属性表,20,0)*($D173-1))*IF(P173&gt;9,1,VLOOKUP(D173,命格辅助表!$S$3:$U$10,3,0)),0)</f>
        <v>1110</v>
      </c>
      <c r="R173">
        <f t="shared" si="26"/>
        <v>1</v>
      </c>
      <c r="S173">
        <f>ROUND(IF(R173=0,0,VLOOKUP($A173,命格属性表,15,0)+VLOOKUP($A173,命格属性表,22,0)*($D173-1))*IF(R173&gt;9,1,VLOOKUP(D173,命格辅助表!$S$3:$U$10,3,0)),0)</f>
        <v>3251</v>
      </c>
      <c r="T173">
        <f t="shared" si="28"/>
        <v>0</v>
      </c>
      <c r="U173">
        <f t="shared" si="22"/>
        <v>0</v>
      </c>
    </row>
    <row r="174" spans="1:21">
      <c r="A174">
        <v>9130</v>
      </c>
      <c r="B174" t="s">
        <v>313</v>
      </c>
      <c r="C174">
        <f t="shared" si="29"/>
        <v>11</v>
      </c>
      <c r="D174">
        <v>4</v>
      </c>
      <c r="E174">
        <v>2</v>
      </c>
      <c r="F174">
        <v>10</v>
      </c>
      <c r="G174" t="str">
        <f>VLOOKUP(P174,定义数据!$B$14:$C$29,2,0)&amp;"+"&amp;Q174&amp;IF(R174=0,"",","&amp;VLOOKUP(R174,定义数据!$B$14:$C$29,2,0)&amp;"+"&amp;S174)&amp;IF(T174=0,"",","&amp;VLOOKUP(T174,定义数据!$B$14:$C$29,2,0)&amp;"+"&amp;U174)</f>
        <v>伤害加深+1480,生命+4877</v>
      </c>
      <c r="H174">
        <v>0</v>
      </c>
      <c r="I174">
        <f t="shared" si="27"/>
        <v>11</v>
      </c>
      <c r="J174">
        <f>IF(ISERROR(VLOOKUP(D174,命格辅助表!$I$76:$N$86,D_命格表!E174+2,0)),0,VLOOKUP(D174,命格辅助表!$I$76:$N$86,D_命格表!E174+2,0))</f>
        <v>1280</v>
      </c>
      <c r="K174">
        <f>IF(ISERROR(VLOOKUP(D174,命格辅助表!$P$76:$U$86,E174+2,0)),0,VLOOKUP(D174,命格辅助表!$P$76:$U$86,E174+2,0))</f>
        <v>1200</v>
      </c>
      <c r="L174">
        <v>0</v>
      </c>
      <c r="M174">
        <v>0</v>
      </c>
      <c r="N174">
        <v>8330</v>
      </c>
      <c r="O174">
        <f t="shared" si="23"/>
        <v>2</v>
      </c>
      <c r="P174">
        <f t="shared" si="25"/>
        <v>24</v>
      </c>
      <c r="Q174">
        <f>ROUND((VLOOKUP($A174,命格属性表,13,0)+VLOOKUP($A174,命格属性表,20,0)*($D174-1))*IF(P174&gt;9,1,VLOOKUP(D174,命格辅助表!$S$3:$U$10,3,0)),0)</f>
        <v>1480</v>
      </c>
      <c r="R174">
        <f t="shared" si="26"/>
        <v>1</v>
      </c>
      <c r="S174">
        <f>ROUND(IF(R174=0,0,VLOOKUP($A174,命格属性表,15,0)+VLOOKUP($A174,命格属性表,22,0)*($D174-1))*IF(R174&gt;9,1,VLOOKUP(D174,命格辅助表!$S$3:$U$10,3,0)),0)</f>
        <v>4877</v>
      </c>
      <c r="T174">
        <f t="shared" si="28"/>
        <v>0</v>
      </c>
      <c r="U174">
        <f t="shared" si="22"/>
        <v>0</v>
      </c>
    </row>
    <row r="175" spans="1:21">
      <c r="A175">
        <v>9130</v>
      </c>
      <c r="B175" t="s">
        <v>313</v>
      </c>
      <c r="C175">
        <f t="shared" si="29"/>
        <v>11</v>
      </c>
      <c r="D175">
        <v>5</v>
      </c>
      <c r="E175">
        <v>2</v>
      </c>
      <c r="F175">
        <v>10</v>
      </c>
      <c r="G175" t="str">
        <f>VLOOKUP(P175,定义数据!$B$14:$C$29,2,0)&amp;"+"&amp;Q175&amp;IF(R175=0,"",","&amp;VLOOKUP(R175,定义数据!$B$14:$C$29,2,0)&amp;"+"&amp;S175)&amp;IF(T175=0,"",","&amp;VLOOKUP(T175,定义数据!$B$14:$C$29,2,0)&amp;"+"&amp;U175)</f>
        <v>伤害加深+1850,生命+7315</v>
      </c>
      <c r="H175">
        <v>0</v>
      </c>
      <c r="I175">
        <f t="shared" si="27"/>
        <v>11</v>
      </c>
      <c r="J175">
        <f>IF(ISERROR(VLOOKUP(D175,命格辅助表!$I$76:$N$86,D_命格表!E175+2,0)),0,VLOOKUP(D175,命格辅助表!$I$76:$N$86,D_命格表!E175+2,0))</f>
        <v>2560</v>
      </c>
      <c r="K175">
        <f>IF(ISERROR(VLOOKUP(D175,命格辅助表!$P$76:$U$86,E175+2,0)),0,VLOOKUP(D175,命格辅助表!$P$76:$U$86,E175+2,0))</f>
        <v>2480</v>
      </c>
      <c r="L175">
        <v>0</v>
      </c>
      <c r="M175">
        <v>0</v>
      </c>
      <c r="N175">
        <v>8330</v>
      </c>
      <c r="O175">
        <f t="shared" si="23"/>
        <v>2</v>
      </c>
      <c r="P175">
        <f t="shared" si="25"/>
        <v>24</v>
      </c>
      <c r="Q175">
        <f>ROUND((VLOOKUP($A175,命格属性表,13,0)+VLOOKUP($A175,命格属性表,20,0)*($D175-1))*IF(P175&gt;9,1,VLOOKUP(D175,命格辅助表!$S$3:$U$10,3,0)),0)</f>
        <v>1850</v>
      </c>
      <c r="R175">
        <f t="shared" si="26"/>
        <v>1</v>
      </c>
      <c r="S175">
        <f>ROUND(IF(R175=0,0,VLOOKUP($A175,命格属性表,15,0)+VLOOKUP($A175,命格属性表,22,0)*($D175-1))*IF(R175&gt;9,1,VLOOKUP(D175,命格辅助表!$S$3:$U$10,3,0)),0)</f>
        <v>7315</v>
      </c>
      <c r="T175">
        <f t="shared" si="28"/>
        <v>0</v>
      </c>
      <c r="U175">
        <f t="shared" si="22"/>
        <v>0</v>
      </c>
    </row>
    <row r="176" spans="1:21">
      <c r="A176">
        <v>9130</v>
      </c>
      <c r="B176" t="s">
        <v>313</v>
      </c>
      <c r="C176">
        <f t="shared" si="29"/>
        <v>11</v>
      </c>
      <c r="D176">
        <v>6</v>
      </c>
      <c r="E176">
        <v>2</v>
      </c>
      <c r="F176">
        <v>10</v>
      </c>
      <c r="G176" t="str">
        <f>VLOOKUP(P176,定义数据!$B$14:$C$29,2,0)&amp;"+"&amp;Q176&amp;IF(R176=0,"",","&amp;VLOOKUP(R176,定义数据!$B$14:$C$29,2,0)&amp;"+"&amp;S176)&amp;IF(T176=0,"",","&amp;VLOOKUP(T176,定义数据!$B$14:$C$29,2,0)&amp;"+"&amp;U176)</f>
        <v>伤害加深+2220,生命+10972</v>
      </c>
      <c r="H176">
        <v>0</v>
      </c>
      <c r="I176">
        <f t="shared" si="27"/>
        <v>11</v>
      </c>
      <c r="J176">
        <f>IF(ISERROR(VLOOKUP(D176,命格辅助表!$I$76:$N$86,D_命格表!E176+2,0)),0,VLOOKUP(D176,命格辅助表!$I$76:$N$86,D_命格表!E176+2,0))</f>
        <v>5120</v>
      </c>
      <c r="K176">
        <f>IF(ISERROR(VLOOKUP(D176,命格辅助表!$P$76:$U$86,E176+2,0)),0,VLOOKUP(D176,命格辅助表!$P$76:$U$86,E176+2,0))</f>
        <v>5040</v>
      </c>
      <c r="L176">
        <v>0</v>
      </c>
      <c r="M176">
        <v>0</v>
      </c>
      <c r="N176">
        <v>8330</v>
      </c>
      <c r="O176">
        <f t="shared" si="23"/>
        <v>2</v>
      </c>
      <c r="P176">
        <f t="shared" si="25"/>
        <v>24</v>
      </c>
      <c r="Q176">
        <f>ROUND((VLOOKUP($A176,命格属性表,13,0)+VLOOKUP($A176,命格属性表,20,0)*($D176-1))*IF(P176&gt;9,1,VLOOKUP(D176,命格辅助表!$S$3:$U$10,3,0)),0)</f>
        <v>2220</v>
      </c>
      <c r="R176">
        <f t="shared" si="26"/>
        <v>1</v>
      </c>
      <c r="S176">
        <f>ROUND(IF(R176=0,0,VLOOKUP($A176,命格属性表,15,0)+VLOOKUP($A176,命格属性表,22,0)*($D176-1))*IF(R176&gt;9,1,VLOOKUP(D176,命格辅助表!$S$3:$U$10,3,0)),0)</f>
        <v>10972</v>
      </c>
      <c r="T176">
        <f t="shared" si="28"/>
        <v>0</v>
      </c>
      <c r="U176">
        <f t="shared" si="22"/>
        <v>0</v>
      </c>
    </row>
    <row r="177" spans="1:21">
      <c r="A177">
        <v>9130</v>
      </c>
      <c r="B177" t="s">
        <v>313</v>
      </c>
      <c r="C177">
        <f t="shared" si="29"/>
        <v>11</v>
      </c>
      <c r="D177">
        <v>7</v>
      </c>
      <c r="E177">
        <v>2</v>
      </c>
      <c r="F177">
        <v>10</v>
      </c>
      <c r="G177" t="str">
        <f>VLOOKUP(P177,定义数据!$B$14:$C$29,2,0)&amp;"+"&amp;Q177&amp;IF(R177=0,"",","&amp;VLOOKUP(R177,定义数据!$B$14:$C$29,2,0)&amp;"+"&amp;S177)&amp;IF(T177=0,"",","&amp;VLOOKUP(T177,定义数据!$B$14:$C$29,2,0)&amp;"+"&amp;U177)</f>
        <v>伤害加深+2590,生命+16459</v>
      </c>
      <c r="H177">
        <v>0</v>
      </c>
      <c r="I177">
        <f t="shared" si="27"/>
        <v>11</v>
      </c>
      <c r="J177">
        <f>IF(ISERROR(VLOOKUP(D177,命格辅助表!$I$76:$N$86,D_命格表!E177+2,0)),0,VLOOKUP(D177,命格辅助表!$I$76:$N$86,D_命格表!E177+2,0))</f>
        <v>10240</v>
      </c>
      <c r="K177">
        <f>IF(ISERROR(VLOOKUP(D177,命格辅助表!$P$76:$U$86,E177+2,0)),0,VLOOKUP(D177,命格辅助表!$P$76:$U$86,E177+2,0))</f>
        <v>10160</v>
      </c>
      <c r="L177">
        <v>0</v>
      </c>
      <c r="M177">
        <v>0</v>
      </c>
      <c r="N177">
        <v>8330</v>
      </c>
      <c r="O177">
        <f t="shared" si="23"/>
        <v>2</v>
      </c>
      <c r="P177">
        <f t="shared" si="25"/>
        <v>24</v>
      </c>
      <c r="Q177">
        <f>ROUND((VLOOKUP($A177,命格属性表,13,0)+VLOOKUP($A177,命格属性表,20,0)*($D177-1))*IF(P177&gt;9,1,VLOOKUP(D177,命格辅助表!$S$3:$U$10,3,0)),0)</f>
        <v>2590</v>
      </c>
      <c r="R177">
        <f t="shared" si="26"/>
        <v>1</v>
      </c>
      <c r="S177">
        <f>ROUND(IF(R177=0,0,VLOOKUP($A177,命格属性表,15,0)+VLOOKUP($A177,命格属性表,22,0)*($D177-1))*IF(R177&gt;9,1,VLOOKUP(D177,命格辅助表!$S$3:$U$10,3,0)),0)</f>
        <v>16459</v>
      </c>
      <c r="T177">
        <f t="shared" si="28"/>
        <v>0</v>
      </c>
      <c r="U177">
        <f t="shared" si="22"/>
        <v>0</v>
      </c>
    </row>
    <row r="178" spans="1:21">
      <c r="A178">
        <v>9130</v>
      </c>
      <c r="B178" t="s">
        <v>313</v>
      </c>
      <c r="C178">
        <f t="shared" si="29"/>
        <v>11</v>
      </c>
      <c r="D178">
        <v>8</v>
      </c>
      <c r="E178">
        <v>2</v>
      </c>
      <c r="F178">
        <v>10</v>
      </c>
      <c r="G178" t="str">
        <f>VLOOKUP(P178,定义数据!$B$14:$C$29,2,0)&amp;"+"&amp;Q178&amp;IF(R178=0,"",","&amp;VLOOKUP(R178,定义数据!$B$14:$C$29,2,0)&amp;"+"&amp;S178)&amp;IF(T178=0,"",","&amp;VLOOKUP(T178,定义数据!$B$14:$C$29,2,0)&amp;"+"&amp;U178)</f>
        <v>伤害加深+2960,生命+24688</v>
      </c>
      <c r="H178">
        <v>0</v>
      </c>
      <c r="I178">
        <f t="shared" si="27"/>
        <v>11</v>
      </c>
      <c r="J178">
        <f>IF(ISERROR(VLOOKUP(D178,命格辅助表!$I$76:$N$86,D_命格表!E178+2,0)),0,VLOOKUP(D178,命格辅助表!$I$76:$N$86,D_命格表!E178+2,0))</f>
        <v>20480</v>
      </c>
      <c r="K178">
        <f>IF(ISERROR(VLOOKUP(D178,命格辅助表!$P$76:$U$86,E178+2,0)),0,VLOOKUP(D178,命格辅助表!$P$76:$U$86,E178+2,0))</f>
        <v>20400</v>
      </c>
      <c r="L178">
        <f>IF(ISERROR(VLOOKUP(D178,命格辅助表!$I$76:$N$86,D_命格表!E178+2,0)),0,VLOOKUP(D178,命格辅助表!$I$76:$N$86,D_命格表!E178+2,0))</f>
        <v>20480</v>
      </c>
      <c r="M178">
        <f>A178+10</f>
        <v>9140</v>
      </c>
      <c r="N178">
        <v>8330</v>
      </c>
      <c r="O178">
        <f t="shared" si="23"/>
        <v>2</v>
      </c>
      <c r="P178">
        <f t="shared" si="25"/>
        <v>24</v>
      </c>
      <c r="Q178">
        <f>ROUND((VLOOKUP($A178,命格属性表,13,0)+VLOOKUP($A178,命格属性表,20,0)*($D178-1))*IF(P178&gt;9,1,VLOOKUP(D178,命格辅助表!$S$3:$U$10,3,0)),0)</f>
        <v>2960</v>
      </c>
      <c r="R178">
        <f t="shared" si="26"/>
        <v>1</v>
      </c>
      <c r="S178">
        <f>ROUND(IF(R178=0,0,VLOOKUP($A178,命格属性表,15,0)+VLOOKUP($A178,命格属性表,22,0)*($D178-1))*IF(R178&gt;9,1,VLOOKUP(D178,命格辅助表!$S$3:$U$10,3,0)),0)</f>
        <v>24688</v>
      </c>
      <c r="T178">
        <f t="shared" si="28"/>
        <v>0</v>
      </c>
      <c r="U178">
        <f t="shared" si="22"/>
        <v>0</v>
      </c>
    </row>
    <row r="179" spans="1:21">
      <c r="A179">
        <v>9230</v>
      </c>
      <c r="B179" t="str">
        <f t="shared" si="24"/>
        <v>盘蛇</v>
      </c>
      <c r="C179">
        <f t="shared" si="29"/>
        <v>12</v>
      </c>
      <c r="D179">
        <v>1</v>
      </c>
      <c r="E179">
        <v>2</v>
      </c>
      <c r="F179">
        <v>10</v>
      </c>
      <c r="G179" t="str">
        <f>VLOOKUP(P179,定义数据!$B$14:$C$29,2,0)&amp;"+"&amp;Q179&amp;IF(R179=0,"",","&amp;VLOOKUP(R179,定义数据!$B$14:$C$29,2,0)&amp;"+"&amp;S179)&amp;IF(T179=0,"",","&amp;VLOOKUP(T179,定义数据!$B$14:$C$29,2,0)&amp;"+"&amp;U179)</f>
        <v>伤害减免+370,攻击+58</v>
      </c>
      <c r="H179">
        <v>0</v>
      </c>
      <c r="I179">
        <f t="shared" si="27"/>
        <v>12</v>
      </c>
      <c r="J179">
        <f>IF(ISERROR(VLOOKUP(D179,命格辅助表!$I$76:$N$86,D_命格表!E179+2,0)),0,VLOOKUP(D179,命格辅助表!$I$76:$N$86,D_命格表!E179+2,0))</f>
        <v>160</v>
      </c>
      <c r="K179">
        <f>IF(ISERROR(VLOOKUP(D179,命格辅助表!$P$76:$U$86,E179+2,0)),0,VLOOKUP(D179,命格辅助表!$P$76:$U$86,E179+2,0))</f>
        <v>80</v>
      </c>
      <c r="L179">
        <v>0</v>
      </c>
      <c r="M179">
        <v>0</v>
      </c>
      <c r="N179">
        <v>8430</v>
      </c>
      <c r="O179">
        <f t="shared" si="23"/>
        <v>2</v>
      </c>
      <c r="P179">
        <f t="shared" si="25"/>
        <v>25</v>
      </c>
      <c r="Q179">
        <f>ROUND((VLOOKUP($A179,命格属性表,13,0)+VLOOKUP($A179,命格属性表,20,0)*($D179-1))*IF(P179&gt;9,1,VLOOKUP(D179,命格辅助表!$S$3:$U$10,3,0)),0)</f>
        <v>370</v>
      </c>
      <c r="R179">
        <f t="shared" si="26"/>
        <v>2</v>
      </c>
      <c r="S179">
        <f>ROUND(IF(R179=0,0,VLOOKUP($A179,命格属性表,15,0)+VLOOKUP($A179,命格属性表,22,0)*($D179-1))*IF(R179&gt;9,1,VLOOKUP(D179,命格辅助表!$S$3:$U$10,3,0)),0)</f>
        <v>58</v>
      </c>
      <c r="T179">
        <f t="shared" si="28"/>
        <v>0</v>
      </c>
      <c r="U179">
        <f t="shared" si="22"/>
        <v>0</v>
      </c>
    </row>
    <row r="180" spans="1:21">
      <c r="A180">
        <v>9230</v>
      </c>
      <c r="B180" t="str">
        <f t="shared" si="24"/>
        <v>盘蛇</v>
      </c>
      <c r="C180">
        <f t="shared" si="29"/>
        <v>12</v>
      </c>
      <c r="D180">
        <v>2</v>
      </c>
      <c r="E180">
        <v>2</v>
      </c>
      <c r="F180">
        <v>10</v>
      </c>
      <c r="G180" t="str">
        <f>VLOOKUP(P180,定义数据!$B$14:$C$29,2,0)&amp;"+"&amp;Q180&amp;IF(R180=0,"",","&amp;VLOOKUP(R180,定义数据!$B$14:$C$29,2,0)&amp;"+"&amp;S180)&amp;IF(T180=0,"",","&amp;VLOOKUP(T180,定义数据!$B$14:$C$29,2,0)&amp;"+"&amp;U180)</f>
        <v>伤害减免+740,攻击+86</v>
      </c>
      <c r="H180">
        <v>0</v>
      </c>
      <c r="I180">
        <f t="shared" si="27"/>
        <v>12</v>
      </c>
      <c r="J180">
        <f>IF(ISERROR(VLOOKUP(D180,命格辅助表!$I$76:$N$86,D_命格表!E180+2,0)),0,VLOOKUP(D180,命格辅助表!$I$76:$N$86,D_命格表!E180+2,0))</f>
        <v>320</v>
      </c>
      <c r="K180">
        <f>IF(ISERROR(VLOOKUP(D180,命格辅助表!$P$76:$U$86,E180+2,0)),0,VLOOKUP(D180,命格辅助表!$P$76:$U$86,E180+2,0))</f>
        <v>240</v>
      </c>
      <c r="L180">
        <v>0</v>
      </c>
      <c r="M180">
        <v>0</v>
      </c>
      <c r="N180">
        <v>8430</v>
      </c>
      <c r="O180">
        <f t="shared" si="23"/>
        <v>2</v>
      </c>
      <c r="P180">
        <f t="shared" si="25"/>
        <v>25</v>
      </c>
      <c r="Q180">
        <f>ROUND((VLOOKUP($A180,命格属性表,13,0)+VLOOKUP($A180,命格属性表,20,0)*($D180-1))*IF(P180&gt;9,1,VLOOKUP(D180,命格辅助表!$S$3:$U$10,3,0)),0)</f>
        <v>740</v>
      </c>
      <c r="R180">
        <f t="shared" si="26"/>
        <v>2</v>
      </c>
      <c r="S180">
        <f>ROUND(IF(R180=0,0,VLOOKUP($A180,命格属性表,15,0)+VLOOKUP($A180,命格属性表,22,0)*($D180-1))*IF(R180&gt;9,1,VLOOKUP(D180,命格辅助表!$S$3:$U$10,3,0)),0)</f>
        <v>86</v>
      </c>
      <c r="T180">
        <f t="shared" si="28"/>
        <v>0</v>
      </c>
      <c r="U180">
        <f t="shared" si="22"/>
        <v>0</v>
      </c>
    </row>
    <row r="181" spans="1:21">
      <c r="A181">
        <v>9230</v>
      </c>
      <c r="B181" t="str">
        <f t="shared" si="24"/>
        <v>盘蛇</v>
      </c>
      <c r="C181">
        <f t="shared" si="29"/>
        <v>12</v>
      </c>
      <c r="D181">
        <v>3</v>
      </c>
      <c r="E181">
        <v>2</v>
      </c>
      <c r="F181">
        <v>10</v>
      </c>
      <c r="G181" t="str">
        <f>VLOOKUP(P181,定义数据!$B$14:$C$29,2,0)&amp;"+"&amp;Q181&amp;IF(R181=0,"",","&amp;VLOOKUP(R181,定义数据!$B$14:$C$29,2,0)&amp;"+"&amp;S181)&amp;IF(T181=0,"",","&amp;VLOOKUP(T181,定义数据!$B$14:$C$29,2,0)&amp;"+"&amp;U181)</f>
        <v>伤害减免+1110,攻击+130</v>
      </c>
      <c r="H181">
        <v>0</v>
      </c>
      <c r="I181">
        <f t="shared" si="27"/>
        <v>12</v>
      </c>
      <c r="J181">
        <f>IF(ISERROR(VLOOKUP(D181,命格辅助表!$I$76:$N$86,D_命格表!E181+2,0)),0,VLOOKUP(D181,命格辅助表!$I$76:$N$86,D_命格表!E181+2,0))</f>
        <v>640</v>
      </c>
      <c r="K181">
        <f>IF(ISERROR(VLOOKUP(D181,命格辅助表!$P$76:$U$86,E181+2,0)),0,VLOOKUP(D181,命格辅助表!$P$76:$U$86,E181+2,0))</f>
        <v>560</v>
      </c>
      <c r="L181">
        <v>0</v>
      </c>
      <c r="M181">
        <v>0</v>
      </c>
      <c r="N181">
        <v>8430</v>
      </c>
      <c r="O181">
        <f t="shared" si="23"/>
        <v>2</v>
      </c>
      <c r="P181">
        <f t="shared" si="25"/>
        <v>25</v>
      </c>
      <c r="Q181">
        <f>ROUND((VLOOKUP($A181,命格属性表,13,0)+VLOOKUP($A181,命格属性表,20,0)*($D181-1))*IF(P181&gt;9,1,VLOOKUP(D181,命格辅助表!$S$3:$U$10,3,0)),0)</f>
        <v>1110</v>
      </c>
      <c r="R181">
        <f t="shared" si="26"/>
        <v>2</v>
      </c>
      <c r="S181">
        <f>ROUND(IF(R181=0,0,VLOOKUP($A181,命格属性表,15,0)+VLOOKUP($A181,命格属性表,22,0)*($D181-1))*IF(R181&gt;9,1,VLOOKUP(D181,命格辅助表!$S$3:$U$10,3,0)),0)</f>
        <v>130</v>
      </c>
      <c r="T181">
        <f t="shared" si="28"/>
        <v>0</v>
      </c>
      <c r="U181">
        <f t="shared" si="22"/>
        <v>0</v>
      </c>
    </row>
    <row r="182" spans="1:21">
      <c r="A182">
        <v>9230</v>
      </c>
      <c r="B182" t="str">
        <f t="shared" si="24"/>
        <v>盘蛇</v>
      </c>
      <c r="C182">
        <f t="shared" si="29"/>
        <v>12</v>
      </c>
      <c r="D182">
        <v>4</v>
      </c>
      <c r="E182">
        <v>2</v>
      </c>
      <c r="F182">
        <v>10</v>
      </c>
      <c r="G182" t="str">
        <f>VLOOKUP(P182,定义数据!$B$14:$C$29,2,0)&amp;"+"&amp;Q182&amp;IF(R182=0,"",","&amp;VLOOKUP(R182,定义数据!$B$14:$C$29,2,0)&amp;"+"&amp;S182)&amp;IF(T182=0,"",","&amp;VLOOKUP(T182,定义数据!$B$14:$C$29,2,0)&amp;"+"&amp;U182)</f>
        <v>伤害减免+1480,攻击+194</v>
      </c>
      <c r="H182">
        <v>0</v>
      </c>
      <c r="I182">
        <f t="shared" si="27"/>
        <v>12</v>
      </c>
      <c r="J182">
        <f>IF(ISERROR(VLOOKUP(D182,命格辅助表!$I$76:$N$86,D_命格表!E182+2,0)),0,VLOOKUP(D182,命格辅助表!$I$76:$N$86,D_命格表!E182+2,0))</f>
        <v>1280</v>
      </c>
      <c r="K182">
        <f>IF(ISERROR(VLOOKUP(D182,命格辅助表!$P$76:$U$86,E182+2,0)),0,VLOOKUP(D182,命格辅助表!$P$76:$U$86,E182+2,0))</f>
        <v>1200</v>
      </c>
      <c r="L182">
        <v>0</v>
      </c>
      <c r="M182">
        <v>0</v>
      </c>
      <c r="N182">
        <v>8430</v>
      </c>
      <c r="O182">
        <f t="shared" si="23"/>
        <v>2</v>
      </c>
      <c r="P182">
        <f t="shared" si="25"/>
        <v>25</v>
      </c>
      <c r="Q182">
        <f>ROUND((VLOOKUP($A182,命格属性表,13,0)+VLOOKUP($A182,命格属性表,20,0)*($D182-1))*IF(P182&gt;9,1,VLOOKUP(D182,命格辅助表!$S$3:$U$10,3,0)),0)</f>
        <v>1480</v>
      </c>
      <c r="R182">
        <f t="shared" si="26"/>
        <v>2</v>
      </c>
      <c r="S182">
        <f>ROUND(IF(R182=0,0,VLOOKUP($A182,命格属性表,15,0)+VLOOKUP($A182,命格属性表,22,0)*($D182-1))*IF(R182&gt;9,1,VLOOKUP(D182,命格辅助表!$S$3:$U$10,3,0)),0)</f>
        <v>194</v>
      </c>
      <c r="T182">
        <f t="shared" si="28"/>
        <v>0</v>
      </c>
      <c r="U182">
        <f t="shared" si="22"/>
        <v>0</v>
      </c>
    </row>
    <row r="183" spans="1:21">
      <c r="A183">
        <v>9230</v>
      </c>
      <c r="B183" t="str">
        <f t="shared" si="24"/>
        <v>盘蛇</v>
      </c>
      <c r="C183">
        <f t="shared" si="29"/>
        <v>12</v>
      </c>
      <c r="D183">
        <v>5</v>
      </c>
      <c r="E183">
        <v>2</v>
      </c>
      <c r="F183">
        <v>10</v>
      </c>
      <c r="G183" t="str">
        <f>VLOOKUP(P183,定义数据!$B$14:$C$29,2,0)&amp;"+"&amp;Q183&amp;IF(R183=0,"",","&amp;VLOOKUP(R183,定义数据!$B$14:$C$29,2,0)&amp;"+"&amp;S183)&amp;IF(T183=0,"",","&amp;VLOOKUP(T183,定义数据!$B$14:$C$29,2,0)&amp;"+"&amp;U183)</f>
        <v>伤害减免+1850,攻击+292</v>
      </c>
      <c r="H183">
        <v>0</v>
      </c>
      <c r="I183">
        <f t="shared" si="27"/>
        <v>12</v>
      </c>
      <c r="J183">
        <f>IF(ISERROR(VLOOKUP(D183,命格辅助表!$I$76:$N$86,D_命格表!E183+2,0)),0,VLOOKUP(D183,命格辅助表!$I$76:$N$86,D_命格表!E183+2,0))</f>
        <v>2560</v>
      </c>
      <c r="K183">
        <f>IF(ISERROR(VLOOKUP(D183,命格辅助表!$P$76:$U$86,E183+2,0)),0,VLOOKUP(D183,命格辅助表!$P$76:$U$86,E183+2,0))</f>
        <v>2480</v>
      </c>
      <c r="L183">
        <v>0</v>
      </c>
      <c r="M183">
        <v>0</v>
      </c>
      <c r="N183">
        <v>8430</v>
      </c>
      <c r="O183">
        <f t="shared" si="23"/>
        <v>2</v>
      </c>
      <c r="P183">
        <f t="shared" si="25"/>
        <v>25</v>
      </c>
      <c r="Q183">
        <f>ROUND((VLOOKUP($A183,命格属性表,13,0)+VLOOKUP($A183,命格属性表,20,0)*($D183-1))*IF(P183&gt;9,1,VLOOKUP(D183,命格辅助表!$S$3:$U$10,3,0)),0)</f>
        <v>1850</v>
      </c>
      <c r="R183">
        <f t="shared" si="26"/>
        <v>2</v>
      </c>
      <c r="S183">
        <f>ROUND(IF(R183=0,0,VLOOKUP($A183,命格属性表,15,0)+VLOOKUP($A183,命格属性表,22,0)*($D183-1))*IF(R183&gt;9,1,VLOOKUP(D183,命格辅助表!$S$3:$U$10,3,0)),0)</f>
        <v>292</v>
      </c>
      <c r="T183">
        <f t="shared" si="28"/>
        <v>0</v>
      </c>
      <c r="U183">
        <f t="shared" si="22"/>
        <v>0</v>
      </c>
    </row>
    <row r="184" spans="1:21">
      <c r="A184">
        <v>9230</v>
      </c>
      <c r="B184" t="str">
        <f t="shared" si="24"/>
        <v>盘蛇</v>
      </c>
      <c r="C184">
        <f t="shared" si="29"/>
        <v>12</v>
      </c>
      <c r="D184">
        <v>6</v>
      </c>
      <c r="E184">
        <v>2</v>
      </c>
      <c r="F184">
        <v>10</v>
      </c>
      <c r="G184" t="str">
        <f>VLOOKUP(P184,定义数据!$B$14:$C$29,2,0)&amp;"+"&amp;Q184&amp;IF(R184=0,"",","&amp;VLOOKUP(R184,定义数据!$B$14:$C$29,2,0)&amp;"+"&amp;S184)&amp;IF(T184=0,"",","&amp;VLOOKUP(T184,定义数据!$B$14:$C$29,2,0)&amp;"+"&amp;U184)</f>
        <v>伤害减免+2220,攻击+437</v>
      </c>
      <c r="H184">
        <v>0</v>
      </c>
      <c r="I184">
        <f t="shared" si="27"/>
        <v>12</v>
      </c>
      <c r="J184">
        <f>IF(ISERROR(VLOOKUP(D184,命格辅助表!$I$76:$N$86,D_命格表!E184+2,0)),0,VLOOKUP(D184,命格辅助表!$I$76:$N$86,D_命格表!E184+2,0))</f>
        <v>5120</v>
      </c>
      <c r="K184">
        <f>IF(ISERROR(VLOOKUP(D184,命格辅助表!$P$76:$U$86,E184+2,0)),0,VLOOKUP(D184,命格辅助表!$P$76:$U$86,E184+2,0))</f>
        <v>5040</v>
      </c>
      <c r="L184">
        <v>0</v>
      </c>
      <c r="M184">
        <v>0</v>
      </c>
      <c r="N184">
        <v>8430</v>
      </c>
      <c r="O184">
        <f t="shared" si="23"/>
        <v>2</v>
      </c>
      <c r="P184">
        <f t="shared" si="25"/>
        <v>25</v>
      </c>
      <c r="Q184">
        <f>ROUND((VLOOKUP($A184,命格属性表,13,0)+VLOOKUP($A184,命格属性表,20,0)*($D184-1))*IF(P184&gt;9,1,VLOOKUP(D184,命格辅助表!$S$3:$U$10,3,0)),0)</f>
        <v>2220</v>
      </c>
      <c r="R184">
        <f t="shared" si="26"/>
        <v>2</v>
      </c>
      <c r="S184">
        <f>ROUND(IF(R184=0,0,VLOOKUP($A184,命格属性表,15,0)+VLOOKUP($A184,命格属性表,22,0)*($D184-1))*IF(R184&gt;9,1,VLOOKUP(D184,命格辅助表!$S$3:$U$10,3,0)),0)</f>
        <v>437</v>
      </c>
      <c r="T184">
        <f t="shared" si="28"/>
        <v>0</v>
      </c>
      <c r="U184">
        <f t="shared" si="22"/>
        <v>0</v>
      </c>
    </row>
    <row r="185" spans="1:21">
      <c r="A185">
        <v>9230</v>
      </c>
      <c r="B185" t="str">
        <f t="shared" si="24"/>
        <v>盘蛇</v>
      </c>
      <c r="C185">
        <f t="shared" si="29"/>
        <v>12</v>
      </c>
      <c r="D185">
        <v>7</v>
      </c>
      <c r="E185">
        <v>2</v>
      </c>
      <c r="F185">
        <v>10</v>
      </c>
      <c r="G185" t="str">
        <f>VLOOKUP(P185,定义数据!$B$14:$C$29,2,0)&amp;"+"&amp;Q185&amp;IF(R185=0,"",","&amp;VLOOKUP(R185,定义数据!$B$14:$C$29,2,0)&amp;"+"&amp;S185)&amp;IF(T185=0,"",","&amp;VLOOKUP(T185,定义数据!$B$14:$C$29,2,0)&amp;"+"&amp;U185)</f>
        <v>伤害减免+2590,攻击+656</v>
      </c>
      <c r="H185">
        <v>0</v>
      </c>
      <c r="I185">
        <f t="shared" si="27"/>
        <v>12</v>
      </c>
      <c r="J185">
        <f>IF(ISERROR(VLOOKUP(D185,命格辅助表!$I$76:$N$86,D_命格表!E185+2,0)),0,VLOOKUP(D185,命格辅助表!$I$76:$N$86,D_命格表!E185+2,0))</f>
        <v>10240</v>
      </c>
      <c r="K185">
        <f>IF(ISERROR(VLOOKUP(D185,命格辅助表!$P$76:$U$86,E185+2,0)),0,VLOOKUP(D185,命格辅助表!$P$76:$U$86,E185+2,0))</f>
        <v>10160</v>
      </c>
      <c r="L185">
        <v>0</v>
      </c>
      <c r="M185">
        <v>0</v>
      </c>
      <c r="N185">
        <v>8430</v>
      </c>
      <c r="O185">
        <f t="shared" si="23"/>
        <v>2</v>
      </c>
      <c r="P185">
        <f t="shared" si="25"/>
        <v>25</v>
      </c>
      <c r="Q185">
        <f>ROUND((VLOOKUP($A185,命格属性表,13,0)+VLOOKUP($A185,命格属性表,20,0)*($D185-1))*IF(P185&gt;9,1,VLOOKUP(D185,命格辅助表!$S$3:$U$10,3,0)),0)</f>
        <v>2590</v>
      </c>
      <c r="R185">
        <f t="shared" si="26"/>
        <v>2</v>
      </c>
      <c r="S185">
        <f>ROUND(IF(R185=0,0,VLOOKUP($A185,命格属性表,15,0)+VLOOKUP($A185,命格属性表,22,0)*($D185-1))*IF(R185&gt;9,1,VLOOKUP(D185,命格辅助表!$S$3:$U$10,3,0)),0)</f>
        <v>656</v>
      </c>
      <c r="T185">
        <f t="shared" si="28"/>
        <v>0</v>
      </c>
      <c r="U185">
        <f t="shared" si="22"/>
        <v>0</v>
      </c>
    </row>
    <row r="186" spans="1:21">
      <c r="A186">
        <v>9230</v>
      </c>
      <c r="B186" t="str">
        <f t="shared" si="24"/>
        <v>盘蛇</v>
      </c>
      <c r="C186">
        <f t="shared" si="29"/>
        <v>12</v>
      </c>
      <c r="D186">
        <v>8</v>
      </c>
      <c r="E186">
        <v>2</v>
      </c>
      <c r="F186">
        <v>10</v>
      </c>
      <c r="G186" t="str">
        <f>VLOOKUP(P186,定义数据!$B$14:$C$29,2,0)&amp;"+"&amp;Q186&amp;IF(R186=0,"",","&amp;VLOOKUP(R186,定义数据!$B$14:$C$29,2,0)&amp;"+"&amp;S186)&amp;IF(T186=0,"",","&amp;VLOOKUP(T186,定义数据!$B$14:$C$29,2,0)&amp;"+"&amp;U186)</f>
        <v>伤害减免+2960,攻击+984</v>
      </c>
      <c r="H186">
        <v>0</v>
      </c>
      <c r="I186">
        <f t="shared" si="27"/>
        <v>12</v>
      </c>
      <c r="J186">
        <f>IF(ISERROR(VLOOKUP(D186,命格辅助表!$I$76:$N$86,D_命格表!E186+2,0)),0,VLOOKUP(D186,命格辅助表!$I$76:$N$86,D_命格表!E186+2,0))</f>
        <v>20480</v>
      </c>
      <c r="K186">
        <f>IF(ISERROR(VLOOKUP(D186,命格辅助表!$P$76:$U$86,E186+2,0)),0,VLOOKUP(D186,命格辅助表!$P$76:$U$86,E186+2,0))</f>
        <v>20400</v>
      </c>
      <c r="L186">
        <f>IF(ISERROR(VLOOKUP(D186,命格辅助表!$I$76:$N$86,D_命格表!E186+2,0)),0,VLOOKUP(D186,命格辅助表!$I$76:$N$86,D_命格表!E186+2,0))</f>
        <v>20480</v>
      </c>
      <c r="M186">
        <f>A186+10</f>
        <v>9240</v>
      </c>
      <c r="N186">
        <v>8430</v>
      </c>
      <c r="O186">
        <f t="shared" si="23"/>
        <v>2</v>
      </c>
      <c r="P186">
        <f t="shared" si="25"/>
        <v>25</v>
      </c>
      <c r="Q186">
        <f>ROUND((VLOOKUP($A186,命格属性表,13,0)+VLOOKUP($A186,命格属性表,20,0)*($D186-1))*IF(P186&gt;9,1,VLOOKUP(D186,命格辅助表!$S$3:$U$10,3,0)),0)</f>
        <v>2960</v>
      </c>
      <c r="R186">
        <f t="shared" si="26"/>
        <v>2</v>
      </c>
      <c r="S186">
        <f>ROUND(IF(R186=0,0,VLOOKUP($A186,命格属性表,15,0)+VLOOKUP($A186,命格属性表,22,0)*($D186-1))*IF(R186&gt;9,1,VLOOKUP(D186,命格辅助表!$S$3:$U$10,3,0)),0)</f>
        <v>984</v>
      </c>
      <c r="T186">
        <f t="shared" si="28"/>
        <v>0</v>
      </c>
      <c r="U186">
        <f t="shared" si="22"/>
        <v>0</v>
      </c>
    </row>
    <row r="187" spans="1:21">
      <c r="A187">
        <v>8140</v>
      </c>
      <c r="B187" t="str">
        <f t="shared" si="24"/>
        <v>天命</v>
      </c>
      <c r="C187">
        <f t="shared" si="29"/>
        <v>1</v>
      </c>
      <c r="D187">
        <v>1</v>
      </c>
      <c r="E187">
        <v>3</v>
      </c>
      <c r="F187">
        <v>10</v>
      </c>
      <c r="G187" t="str">
        <f>VLOOKUP(P187,定义数据!$B$14:$C$29,2,0)&amp;"+"&amp;Q187&amp;IF(R187=0,"",","&amp;VLOOKUP(R187,定义数据!$B$14:$C$29,2,0)&amp;"+"&amp;S187)&amp;IF(T187=0,"",","&amp;VLOOKUP(T187,定义数据!$B$14:$C$29,2,0)&amp;"+"&amp;U187)</f>
        <v>生命+5202</v>
      </c>
      <c r="H187">
        <v>0</v>
      </c>
      <c r="I187">
        <f t="shared" si="27"/>
        <v>1</v>
      </c>
      <c r="J187">
        <f>IF(ISERROR(VLOOKUP(D187,命格辅助表!$I$76:$N$86,D_命格表!E187+2,0)),0,VLOOKUP(D187,命格辅助表!$I$76:$N$86,D_命格表!E187+2,0))</f>
        <v>320</v>
      </c>
      <c r="K187">
        <f>IF(ISERROR(VLOOKUP(D187,命格辅助表!$P$76:$U$86,E187+2,0)),0,VLOOKUP(D187,命格辅助表!$P$76:$U$86,E187+2,0))</f>
        <v>160</v>
      </c>
      <c r="L187">
        <v>0</v>
      </c>
      <c r="M187">
        <v>0</v>
      </c>
      <c r="N187">
        <v>8140</v>
      </c>
      <c r="O187">
        <f t="shared" si="23"/>
        <v>1</v>
      </c>
      <c r="P187">
        <f t="shared" si="25"/>
        <v>1</v>
      </c>
      <c r="Q187">
        <f>ROUND((VLOOKUP($A187,命格属性表,13,0)+VLOOKUP($A187,命格属性表,20,0)*($D187-1))*IF(P187&gt;9,1,VLOOKUP(D187,命格辅助表!$S$3:$U$10,3,0)),0)</f>
        <v>5202</v>
      </c>
      <c r="R187">
        <f t="shared" si="26"/>
        <v>0</v>
      </c>
      <c r="S187">
        <f>ROUND(IF(R187=0,0,VLOOKUP($A187,命格属性表,15,0)+VLOOKUP($A187,命格属性表,22,0)*($D187-1))*IF(R187&gt;9,1,VLOOKUP(D187,命格辅助表!$S$3:$U$10,3,0)),0)</f>
        <v>0</v>
      </c>
      <c r="T187">
        <f t="shared" si="28"/>
        <v>0</v>
      </c>
      <c r="U187">
        <f t="shared" si="22"/>
        <v>0</v>
      </c>
    </row>
    <row r="188" spans="1:21">
      <c r="A188">
        <v>8140</v>
      </c>
      <c r="B188" t="str">
        <f t="shared" ref="B188:B234" si="30">VLOOKUP(A188,命格属性表,2,0)</f>
        <v>天命</v>
      </c>
      <c r="C188">
        <f t="shared" si="29"/>
        <v>1</v>
      </c>
      <c r="D188">
        <v>2</v>
      </c>
      <c r="E188">
        <v>3</v>
      </c>
      <c r="F188">
        <v>10</v>
      </c>
      <c r="G188" t="str">
        <f>VLOOKUP(P188,定义数据!$B$14:$C$29,2,0)&amp;"+"&amp;Q188&amp;IF(R188=0,"",","&amp;VLOOKUP(R188,定义数据!$B$14:$C$29,2,0)&amp;"+"&amp;S188)&amp;IF(T188=0,"",","&amp;VLOOKUP(T188,定义数据!$B$14:$C$29,2,0)&amp;"+"&amp;U188)</f>
        <v>生命+7804</v>
      </c>
      <c r="H188">
        <v>0</v>
      </c>
      <c r="I188">
        <f t="shared" si="27"/>
        <v>1</v>
      </c>
      <c r="J188">
        <f>IF(ISERROR(VLOOKUP(D188,命格辅助表!$I$76:$N$86,D_命格表!E188+2,0)),0,VLOOKUP(D188,命格辅助表!$I$76:$N$86,D_命格表!E188+2,0))</f>
        <v>640</v>
      </c>
      <c r="K188">
        <f>IF(ISERROR(VLOOKUP(D188,命格辅助表!$P$76:$U$86,E188+2,0)),0,VLOOKUP(D188,命格辅助表!$P$76:$U$86,E188+2,0))</f>
        <v>480</v>
      </c>
      <c r="L188">
        <v>0</v>
      </c>
      <c r="M188">
        <v>0</v>
      </c>
      <c r="N188">
        <v>8140</v>
      </c>
      <c r="O188">
        <f t="shared" si="23"/>
        <v>1</v>
      </c>
      <c r="P188">
        <f t="shared" ref="P188:P234" si="31">VLOOKUP($A188,命格属性表,12,0)</f>
        <v>1</v>
      </c>
      <c r="Q188">
        <f>ROUND((VLOOKUP($A188,命格属性表,13,0)+VLOOKUP($A188,命格属性表,20,0)*($D188-1))*IF(P188&gt;9,1,VLOOKUP(D188,命格辅助表!$S$3:$U$10,3,0)),0)</f>
        <v>7804</v>
      </c>
      <c r="R188">
        <f t="shared" ref="R188:R234" si="32">VLOOKUP($A188,命格属性表,14,0)</f>
        <v>0</v>
      </c>
      <c r="S188">
        <f>ROUND(IF(R188=0,0,VLOOKUP($A188,命格属性表,15,0)+VLOOKUP($A188,命格属性表,22,0)*($D188-1))*IF(R188&gt;9,1,VLOOKUP(D188,命格辅助表!$S$3:$U$10,3,0)),0)</f>
        <v>0</v>
      </c>
      <c r="T188">
        <f t="shared" si="28"/>
        <v>0</v>
      </c>
      <c r="U188">
        <f t="shared" si="22"/>
        <v>0</v>
      </c>
    </row>
    <row r="189" spans="1:21">
      <c r="A189">
        <v>8140</v>
      </c>
      <c r="B189" t="str">
        <f t="shared" si="30"/>
        <v>天命</v>
      </c>
      <c r="C189">
        <f t="shared" si="29"/>
        <v>1</v>
      </c>
      <c r="D189">
        <v>3</v>
      </c>
      <c r="E189">
        <v>3</v>
      </c>
      <c r="F189">
        <v>10</v>
      </c>
      <c r="G189" t="str">
        <f>VLOOKUP(P189,定义数据!$B$14:$C$29,2,0)&amp;"+"&amp;Q189&amp;IF(R189=0,"",","&amp;VLOOKUP(R189,定义数据!$B$14:$C$29,2,0)&amp;"+"&amp;S189)&amp;IF(T189=0,"",","&amp;VLOOKUP(T189,定义数据!$B$14:$C$29,2,0)&amp;"+"&amp;U189)</f>
        <v>生命+11705</v>
      </c>
      <c r="H189">
        <v>0</v>
      </c>
      <c r="I189">
        <f t="shared" ref="I189:I234" si="33">VLOOKUP($A189,命格属性表,26,0)</f>
        <v>1</v>
      </c>
      <c r="J189">
        <f>IF(ISERROR(VLOOKUP(D189,命格辅助表!$I$76:$N$86,D_命格表!E189+2,0)),0,VLOOKUP(D189,命格辅助表!$I$76:$N$86,D_命格表!E189+2,0))</f>
        <v>1280</v>
      </c>
      <c r="K189">
        <f>IF(ISERROR(VLOOKUP(D189,命格辅助表!$P$76:$U$86,E189+2,0)),0,VLOOKUP(D189,命格辅助表!$P$76:$U$86,E189+2,0))</f>
        <v>1120</v>
      </c>
      <c r="L189">
        <v>0</v>
      </c>
      <c r="M189">
        <v>0</v>
      </c>
      <c r="N189">
        <v>8140</v>
      </c>
      <c r="O189">
        <f t="shared" si="23"/>
        <v>1</v>
      </c>
      <c r="P189">
        <f t="shared" si="31"/>
        <v>1</v>
      </c>
      <c r="Q189">
        <f>ROUND((VLOOKUP($A189,命格属性表,13,0)+VLOOKUP($A189,命格属性表,20,0)*($D189-1))*IF(P189&gt;9,1,VLOOKUP(D189,命格辅助表!$S$3:$U$10,3,0)),0)</f>
        <v>11705</v>
      </c>
      <c r="R189">
        <f t="shared" si="32"/>
        <v>0</v>
      </c>
      <c r="S189">
        <f>ROUND(IF(R189=0,0,VLOOKUP($A189,命格属性表,15,0)+VLOOKUP($A189,命格属性表,22,0)*($D189-1))*IF(R189&gt;9,1,VLOOKUP(D189,命格辅助表!$S$3:$U$10,3,0)),0)</f>
        <v>0</v>
      </c>
      <c r="T189">
        <f t="shared" ref="T189:T234" si="34">VLOOKUP($A189,命格属性表,16,0)</f>
        <v>0</v>
      </c>
      <c r="U189">
        <f t="shared" si="22"/>
        <v>0</v>
      </c>
    </row>
    <row r="190" spans="1:21">
      <c r="A190">
        <v>8140</v>
      </c>
      <c r="B190" t="str">
        <f t="shared" si="30"/>
        <v>天命</v>
      </c>
      <c r="C190">
        <f t="shared" ref="C190:C235" si="35">I190</f>
        <v>1</v>
      </c>
      <c r="D190">
        <v>4</v>
      </c>
      <c r="E190">
        <v>3</v>
      </c>
      <c r="F190">
        <v>10</v>
      </c>
      <c r="G190" t="str">
        <f>VLOOKUP(P190,定义数据!$B$14:$C$29,2,0)&amp;"+"&amp;Q190&amp;IF(R190=0,"",","&amp;VLOOKUP(R190,定义数据!$B$14:$C$29,2,0)&amp;"+"&amp;S190)&amp;IF(T190=0,"",","&amp;VLOOKUP(T190,定义数据!$B$14:$C$29,2,0)&amp;"+"&amp;U190)</f>
        <v>生命+17558</v>
      </c>
      <c r="H190">
        <v>0</v>
      </c>
      <c r="I190">
        <f t="shared" si="33"/>
        <v>1</v>
      </c>
      <c r="J190">
        <f>IF(ISERROR(VLOOKUP(D190,命格辅助表!$I$76:$N$86,D_命格表!E190+2,0)),0,VLOOKUP(D190,命格辅助表!$I$76:$N$86,D_命格表!E190+2,0))</f>
        <v>2560</v>
      </c>
      <c r="K190">
        <f>IF(ISERROR(VLOOKUP(D190,命格辅助表!$P$76:$U$86,E190+2,0)),0,VLOOKUP(D190,命格辅助表!$P$76:$U$86,E190+2,0))</f>
        <v>2400</v>
      </c>
      <c r="L190">
        <v>0</v>
      </c>
      <c r="M190">
        <v>0</v>
      </c>
      <c r="N190">
        <v>8140</v>
      </c>
      <c r="O190">
        <f t="shared" si="23"/>
        <v>1</v>
      </c>
      <c r="P190">
        <f t="shared" si="31"/>
        <v>1</v>
      </c>
      <c r="Q190">
        <f>ROUND((VLOOKUP($A190,命格属性表,13,0)+VLOOKUP($A190,命格属性表,20,0)*($D190-1))*IF(P190&gt;9,1,VLOOKUP(D190,命格辅助表!$S$3:$U$10,3,0)),0)</f>
        <v>17558</v>
      </c>
      <c r="R190">
        <f t="shared" si="32"/>
        <v>0</v>
      </c>
      <c r="S190">
        <f>ROUND(IF(R190=0,0,VLOOKUP($A190,命格属性表,15,0)+VLOOKUP($A190,命格属性表,22,0)*($D190-1))*IF(R190&gt;9,1,VLOOKUP(D190,命格辅助表!$S$3:$U$10,3,0)),0)</f>
        <v>0</v>
      </c>
      <c r="T190">
        <f t="shared" si="34"/>
        <v>0</v>
      </c>
      <c r="U190">
        <f t="shared" si="22"/>
        <v>0</v>
      </c>
    </row>
    <row r="191" spans="1:21">
      <c r="A191">
        <v>8140</v>
      </c>
      <c r="B191" t="str">
        <f t="shared" si="30"/>
        <v>天命</v>
      </c>
      <c r="C191">
        <f t="shared" si="35"/>
        <v>1</v>
      </c>
      <c r="D191">
        <v>5</v>
      </c>
      <c r="E191">
        <v>3</v>
      </c>
      <c r="F191">
        <v>10</v>
      </c>
      <c r="G191" t="str">
        <f>VLOOKUP(P191,定义数据!$B$14:$C$29,2,0)&amp;"+"&amp;Q191&amp;IF(R191=0,"",","&amp;VLOOKUP(R191,定义数据!$B$14:$C$29,2,0)&amp;"+"&amp;S191)&amp;IF(T191=0,"",","&amp;VLOOKUP(T191,定义数据!$B$14:$C$29,2,0)&amp;"+"&amp;U191)</f>
        <v>生命+26337</v>
      </c>
      <c r="H191">
        <v>0</v>
      </c>
      <c r="I191">
        <f t="shared" si="33"/>
        <v>1</v>
      </c>
      <c r="J191">
        <f>IF(ISERROR(VLOOKUP(D191,命格辅助表!$I$76:$N$86,D_命格表!E191+2,0)),0,VLOOKUP(D191,命格辅助表!$I$76:$N$86,D_命格表!E191+2,0))</f>
        <v>5120</v>
      </c>
      <c r="K191">
        <f>IF(ISERROR(VLOOKUP(D191,命格辅助表!$P$76:$U$86,E191+2,0)),0,VLOOKUP(D191,命格辅助表!$P$76:$U$86,E191+2,0))</f>
        <v>4960</v>
      </c>
      <c r="L191">
        <v>0</v>
      </c>
      <c r="M191">
        <v>0</v>
      </c>
      <c r="N191">
        <v>8140</v>
      </c>
      <c r="O191">
        <f t="shared" si="23"/>
        <v>1</v>
      </c>
      <c r="P191">
        <f t="shared" si="31"/>
        <v>1</v>
      </c>
      <c r="Q191">
        <f>ROUND((VLOOKUP($A191,命格属性表,13,0)+VLOOKUP($A191,命格属性表,20,0)*($D191-1))*IF(P191&gt;9,1,VLOOKUP(D191,命格辅助表!$S$3:$U$10,3,0)),0)</f>
        <v>26337</v>
      </c>
      <c r="R191">
        <f t="shared" si="32"/>
        <v>0</v>
      </c>
      <c r="S191">
        <f>ROUND(IF(R191=0,0,VLOOKUP($A191,命格属性表,15,0)+VLOOKUP($A191,命格属性表,22,0)*($D191-1))*IF(R191&gt;9,1,VLOOKUP(D191,命格辅助表!$S$3:$U$10,3,0)),0)</f>
        <v>0</v>
      </c>
      <c r="T191">
        <f t="shared" si="34"/>
        <v>0</v>
      </c>
      <c r="U191">
        <f t="shared" si="22"/>
        <v>0</v>
      </c>
    </row>
    <row r="192" spans="1:21">
      <c r="A192">
        <v>8140</v>
      </c>
      <c r="B192" t="str">
        <f t="shared" si="30"/>
        <v>天命</v>
      </c>
      <c r="C192">
        <f t="shared" si="35"/>
        <v>1</v>
      </c>
      <c r="D192">
        <v>6</v>
      </c>
      <c r="E192">
        <v>3</v>
      </c>
      <c r="F192">
        <v>10</v>
      </c>
      <c r="G192" t="str">
        <f>VLOOKUP(P192,定义数据!$B$14:$C$29,2,0)&amp;"+"&amp;Q192&amp;IF(R192=0,"",","&amp;VLOOKUP(R192,定义数据!$B$14:$C$29,2,0)&amp;"+"&amp;S192)&amp;IF(T192=0,"",","&amp;VLOOKUP(T192,定义数据!$B$14:$C$29,2,0)&amp;"+"&amp;U192)</f>
        <v>生命+39506</v>
      </c>
      <c r="H192">
        <v>0</v>
      </c>
      <c r="I192">
        <f t="shared" si="33"/>
        <v>1</v>
      </c>
      <c r="J192">
        <f>IF(ISERROR(VLOOKUP(D192,命格辅助表!$I$76:$N$86,D_命格表!E192+2,0)),0,VLOOKUP(D192,命格辅助表!$I$76:$N$86,D_命格表!E192+2,0))</f>
        <v>10240</v>
      </c>
      <c r="K192">
        <f>IF(ISERROR(VLOOKUP(D192,命格辅助表!$P$76:$U$86,E192+2,0)),0,VLOOKUP(D192,命格辅助表!$P$76:$U$86,E192+2,0))</f>
        <v>10080</v>
      </c>
      <c r="L192">
        <v>0</v>
      </c>
      <c r="M192">
        <v>0</v>
      </c>
      <c r="N192">
        <v>8140</v>
      </c>
      <c r="O192">
        <f t="shared" si="23"/>
        <v>1</v>
      </c>
      <c r="P192">
        <f t="shared" si="31"/>
        <v>1</v>
      </c>
      <c r="Q192">
        <f>ROUND((VLOOKUP($A192,命格属性表,13,0)+VLOOKUP($A192,命格属性表,20,0)*($D192-1))*IF(P192&gt;9,1,VLOOKUP(D192,命格辅助表!$S$3:$U$10,3,0)),0)</f>
        <v>39506</v>
      </c>
      <c r="R192">
        <f t="shared" si="32"/>
        <v>0</v>
      </c>
      <c r="S192">
        <f>ROUND(IF(R192=0,0,VLOOKUP($A192,命格属性表,15,0)+VLOOKUP($A192,命格属性表,22,0)*($D192-1))*IF(R192&gt;9,1,VLOOKUP(D192,命格辅助表!$S$3:$U$10,3,0)),0)</f>
        <v>0</v>
      </c>
      <c r="T192">
        <f t="shared" si="34"/>
        <v>0</v>
      </c>
      <c r="U192">
        <f t="shared" si="22"/>
        <v>0</v>
      </c>
    </row>
    <row r="193" spans="1:21">
      <c r="A193">
        <v>8140</v>
      </c>
      <c r="B193" t="str">
        <f t="shared" si="30"/>
        <v>天命</v>
      </c>
      <c r="C193">
        <f t="shared" si="35"/>
        <v>1</v>
      </c>
      <c r="D193">
        <v>7</v>
      </c>
      <c r="E193">
        <v>3</v>
      </c>
      <c r="F193">
        <v>10</v>
      </c>
      <c r="G193" t="str">
        <f>VLOOKUP(P193,定义数据!$B$14:$C$29,2,0)&amp;"+"&amp;Q193&amp;IF(R193=0,"",","&amp;VLOOKUP(R193,定义数据!$B$14:$C$29,2,0)&amp;"+"&amp;S193)&amp;IF(T193=0,"",","&amp;VLOOKUP(T193,定义数据!$B$14:$C$29,2,0)&amp;"+"&amp;U193)</f>
        <v>生命+59259</v>
      </c>
      <c r="H193">
        <v>0</v>
      </c>
      <c r="I193">
        <f t="shared" si="33"/>
        <v>1</v>
      </c>
      <c r="J193">
        <f>IF(ISERROR(VLOOKUP(D193,命格辅助表!$I$76:$N$86,D_命格表!E193+2,0)),0,VLOOKUP(D193,命格辅助表!$I$76:$N$86,D_命格表!E193+2,0))</f>
        <v>20480</v>
      </c>
      <c r="K193">
        <f>IF(ISERROR(VLOOKUP(D193,命格辅助表!$P$76:$U$86,E193+2,0)),0,VLOOKUP(D193,命格辅助表!$P$76:$U$86,E193+2,0))</f>
        <v>20320</v>
      </c>
      <c r="L193">
        <v>0</v>
      </c>
      <c r="M193">
        <v>0</v>
      </c>
      <c r="N193">
        <v>8140</v>
      </c>
      <c r="O193">
        <f t="shared" si="23"/>
        <v>1</v>
      </c>
      <c r="P193">
        <f t="shared" si="31"/>
        <v>1</v>
      </c>
      <c r="Q193">
        <f>ROUND((VLOOKUP($A193,命格属性表,13,0)+VLOOKUP($A193,命格属性表,20,0)*($D193-1))*IF(P193&gt;9,1,VLOOKUP(D193,命格辅助表!$S$3:$U$10,3,0)),0)</f>
        <v>59259</v>
      </c>
      <c r="R193">
        <f t="shared" si="32"/>
        <v>0</v>
      </c>
      <c r="S193">
        <f>ROUND(IF(R193=0,0,VLOOKUP($A193,命格属性表,15,0)+VLOOKUP($A193,命格属性表,22,0)*($D193-1))*IF(R193&gt;9,1,VLOOKUP(D193,命格辅助表!$S$3:$U$10,3,0)),0)</f>
        <v>0</v>
      </c>
      <c r="T193">
        <f t="shared" si="34"/>
        <v>0</v>
      </c>
      <c r="U193">
        <f t="shared" si="22"/>
        <v>0</v>
      </c>
    </row>
    <row r="194" spans="1:21">
      <c r="A194">
        <v>8140</v>
      </c>
      <c r="B194" t="str">
        <f t="shared" si="30"/>
        <v>天命</v>
      </c>
      <c r="C194">
        <f t="shared" si="35"/>
        <v>1</v>
      </c>
      <c r="D194">
        <v>8</v>
      </c>
      <c r="E194">
        <v>3</v>
      </c>
      <c r="F194">
        <v>10</v>
      </c>
      <c r="G194" t="str">
        <f>VLOOKUP(P194,定义数据!$B$14:$C$29,2,0)&amp;"+"&amp;Q194&amp;IF(R194=0,"",","&amp;VLOOKUP(R194,定义数据!$B$14:$C$29,2,0)&amp;"+"&amp;S194)&amp;IF(T194=0,"",","&amp;VLOOKUP(T194,定义数据!$B$14:$C$29,2,0)&amp;"+"&amp;U194)</f>
        <v>生命+88888</v>
      </c>
      <c r="H194">
        <v>0</v>
      </c>
      <c r="I194">
        <f t="shared" si="33"/>
        <v>1</v>
      </c>
      <c r="J194">
        <f>IF(ISERROR(VLOOKUP(D194,命格辅助表!$I$76:$N$86,D_命格表!E194+2,0)),0,VLOOKUP(D194,命格辅助表!$I$76:$N$86,D_命格表!E194+2,0))</f>
        <v>40960</v>
      </c>
      <c r="K194">
        <f>IF(ISERROR(VLOOKUP(D194,命格辅助表!$P$76:$U$86,E194+2,0)),0,VLOOKUP(D194,命格辅助表!$P$76:$U$86,E194+2,0))</f>
        <v>40800</v>
      </c>
      <c r="L194">
        <f>IF(ISERROR(VLOOKUP(D194,命格辅助表!$I$76:$N$86,D_命格表!E194+2,0)),0,VLOOKUP(D194,命格辅助表!$I$76:$N$86,D_命格表!E194+2,0))</f>
        <v>40960</v>
      </c>
      <c r="M194">
        <f>A194+10</f>
        <v>8150</v>
      </c>
      <c r="N194">
        <v>8140</v>
      </c>
      <c r="O194">
        <f t="shared" si="23"/>
        <v>1</v>
      </c>
      <c r="P194">
        <f t="shared" si="31"/>
        <v>1</v>
      </c>
      <c r="Q194">
        <f>ROUND((VLOOKUP($A194,命格属性表,13,0)+VLOOKUP($A194,命格属性表,20,0)*($D194-1))*IF(P194&gt;9,1,VLOOKUP(D194,命格辅助表!$S$3:$U$10,3,0)),0)</f>
        <v>88888</v>
      </c>
      <c r="R194">
        <f t="shared" si="32"/>
        <v>0</v>
      </c>
      <c r="S194">
        <f>ROUND(IF(R194=0,0,VLOOKUP($A194,命格属性表,15,0)+VLOOKUP($A194,命格属性表,22,0)*($D194-1))*IF(R194&gt;9,1,VLOOKUP(D194,命格辅助表!$S$3:$U$10,3,0)),0)</f>
        <v>0</v>
      </c>
      <c r="T194">
        <f t="shared" si="34"/>
        <v>0</v>
      </c>
      <c r="U194">
        <f t="shared" ref="U194:U257" si="36">IF(T194=0,0,VLOOKUP($A194,命格属性表,17,0)+VLOOKUP($A194,命格属性表,24,0)*($D194-1))</f>
        <v>0</v>
      </c>
    </row>
    <row r="195" spans="1:21">
      <c r="A195">
        <v>8240</v>
      </c>
      <c r="B195" t="str">
        <f t="shared" si="30"/>
        <v>龙吟</v>
      </c>
      <c r="C195">
        <f t="shared" si="35"/>
        <v>2</v>
      </c>
      <c r="D195">
        <v>1</v>
      </c>
      <c r="E195">
        <v>3</v>
      </c>
      <c r="F195">
        <v>10</v>
      </c>
      <c r="G195" t="str">
        <f>VLOOKUP(P195,定义数据!$B$14:$C$29,2,0)&amp;"+"&amp;Q195&amp;IF(R195=0,"",","&amp;VLOOKUP(R195,定义数据!$B$14:$C$29,2,0)&amp;"+"&amp;S195)&amp;IF(T195=0,"",","&amp;VLOOKUP(T195,定义数据!$B$14:$C$29,2,0)&amp;"+"&amp;U195)</f>
        <v>攻击+208</v>
      </c>
      <c r="H195">
        <v>0</v>
      </c>
      <c r="I195">
        <f t="shared" si="33"/>
        <v>2</v>
      </c>
      <c r="J195">
        <f>IF(ISERROR(VLOOKUP(D195,命格辅助表!$I$76:$N$86,D_命格表!E195+2,0)),0,VLOOKUP(D195,命格辅助表!$I$76:$N$86,D_命格表!E195+2,0))</f>
        <v>320</v>
      </c>
      <c r="K195">
        <f>IF(ISERROR(VLOOKUP(D195,命格辅助表!$P$76:$U$86,E195+2,0)),0,VLOOKUP(D195,命格辅助表!$P$76:$U$86,E195+2,0))</f>
        <v>160</v>
      </c>
      <c r="L195">
        <v>0</v>
      </c>
      <c r="M195">
        <v>0</v>
      </c>
      <c r="N195">
        <v>8240</v>
      </c>
      <c r="O195">
        <f t="shared" ref="O195:O250" si="37">COUNTIF(P195:U195,"&gt;0")/2</f>
        <v>1</v>
      </c>
      <c r="P195">
        <f t="shared" si="31"/>
        <v>2</v>
      </c>
      <c r="Q195">
        <f>ROUND((VLOOKUP($A195,命格属性表,13,0)+VLOOKUP($A195,命格属性表,20,0)*($D195-1))*IF(P195&gt;9,1,VLOOKUP(D195,命格辅助表!$S$3:$U$10,3,0)),0)</f>
        <v>208</v>
      </c>
      <c r="R195">
        <f t="shared" si="32"/>
        <v>0</v>
      </c>
      <c r="S195">
        <f>ROUND(IF(R195=0,0,VLOOKUP($A195,命格属性表,15,0)+VLOOKUP($A195,命格属性表,22,0)*($D195-1))*IF(R195&gt;9,1,VLOOKUP(D195,命格辅助表!$S$3:$U$10,3,0)),0)</f>
        <v>0</v>
      </c>
      <c r="T195">
        <f t="shared" si="34"/>
        <v>0</v>
      </c>
      <c r="U195">
        <f t="shared" si="36"/>
        <v>0</v>
      </c>
    </row>
    <row r="196" spans="1:21">
      <c r="A196">
        <v>8240</v>
      </c>
      <c r="B196" t="str">
        <f t="shared" si="30"/>
        <v>龙吟</v>
      </c>
      <c r="C196">
        <f t="shared" si="35"/>
        <v>2</v>
      </c>
      <c r="D196">
        <v>2</v>
      </c>
      <c r="E196">
        <v>3</v>
      </c>
      <c r="F196">
        <v>10</v>
      </c>
      <c r="G196" t="str">
        <f>VLOOKUP(P196,定义数据!$B$14:$C$29,2,0)&amp;"+"&amp;Q196&amp;IF(R196=0,"",","&amp;VLOOKUP(R196,定义数据!$B$14:$C$29,2,0)&amp;"+"&amp;S196)&amp;IF(T196=0,"",","&amp;VLOOKUP(T196,定义数据!$B$14:$C$29,2,0)&amp;"+"&amp;U196)</f>
        <v>攻击+312</v>
      </c>
      <c r="H196">
        <v>0</v>
      </c>
      <c r="I196">
        <f t="shared" si="33"/>
        <v>2</v>
      </c>
      <c r="J196">
        <f>IF(ISERROR(VLOOKUP(D196,命格辅助表!$I$76:$N$86,D_命格表!E196+2,0)),0,VLOOKUP(D196,命格辅助表!$I$76:$N$86,D_命格表!E196+2,0))</f>
        <v>640</v>
      </c>
      <c r="K196">
        <f>IF(ISERROR(VLOOKUP(D196,命格辅助表!$P$76:$U$86,E196+2,0)),0,VLOOKUP(D196,命格辅助表!$P$76:$U$86,E196+2,0))</f>
        <v>480</v>
      </c>
      <c r="L196">
        <v>0</v>
      </c>
      <c r="M196">
        <v>0</v>
      </c>
      <c r="N196">
        <v>8240</v>
      </c>
      <c r="O196">
        <f t="shared" si="37"/>
        <v>1</v>
      </c>
      <c r="P196">
        <f t="shared" si="31"/>
        <v>2</v>
      </c>
      <c r="Q196">
        <f>ROUND((VLOOKUP($A196,命格属性表,13,0)+VLOOKUP($A196,命格属性表,20,0)*($D196-1))*IF(P196&gt;9,1,VLOOKUP(D196,命格辅助表!$S$3:$U$10,3,0)),0)</f>
        <v>312</v>
      </c>
      <c r="R196">
        <f t="shared" si="32"/>
        <v>0</v>
      </c>
      <c r="S196">
        <f>ROUND(IF(R196=0,0,VLOOKUP($A196,命格属性表,15,0)+VLOOKUP($A196,命格属性表,22,0)*($D196-1))*IF(R196&gt;9,1,VLOOKUP(D196,命格辅助表!$S$3:$U$10,3,0)),0)</f>
        <v>0</v>
      </c>
      <c r="T196">
        <f t="shared" si="34"/>
        <v>0</v>
      </c>
      <c r="U196">
        <f t="shared" si="36"/>
        <v>0</v>
      </c>
    </row>
    <row r="197" spans="1:21">
      <c r="A197">
        <v>8240</v>
      </c>
      <c r="B197" t="str">
        <f t="shared" si="30"/>
        <v>龙吟</v>
      </c>
      <c r="C197">
        <f t="shared" si="35"/>
        <v>2</v>
      </c>
      <c r="D197">
        <v>3</v>
      </c>
      <c r="E197">
        <v>3</v>
      </c>
      <c r="F197">
        <v>10</v>
      </c>
      <c r="G197" t="str">
        <f>VLOOKUP(P197,定义数据!$B$14:$C$29,2,0)&amp;"+"&amp;Q197&amp;IF(R197=0,"",","&amp;VLOOKUP(R197,定义数据!$B$14:$C$29,2,0)&amp;"+"&amp;S197)&amp;IF(T197=0,"",","&amp;VLOOKUP(T197,定义数据!$B$14:$C$29,2,0)&amp;"+"&amp;U197)</f>
        <v>攻击+468</v>
      </c>
      <c r="H197">
        <v>0</v>
      </c>
      <c r="I197">
        <f t="shared" si="33"/>
        <v>2</v>
      </c>
      <c r="J197">
        <f>IF(ISERROR(VLOOKUP(D197,命格辅助表!$I$76:$N$86,D_命格表!E197+2,0)),0,VLOOKUP(D197,命格辅助表!$I$76:$N$86,D_命格表!E197+2,0))</f>
        <v>1280</v>
      </c>
      <c r="K197">
        <f>IF(ISERROR(VLOOKUP(D197,命格辅助表!$P$76:$U$86,E197+2,0)),0,VLOOKUP(D197,命格辅助表!$P$76:$U$86,E197+2,0))</f>
        <v>1120</v>
      </c>
      <c r="L197">
        <v>0</v>
      </c>
      <c r="M197">
        <v>0</v>
      </c>
      <c r="N197">
        <v>8240</v>
      </c>
      <c r="O197">
        <f t="shared" si="37"/>
        <v>1</v>
      </c>
      <c r="P197">
        <f t="shared" si="31"/>
        <v>2</v>
      </c>
      <c r="Q197">
        <f>ROUND((VLOOKUP($A197,命格属性表,13,0)+VLOOKUP($A197,命格属性表,20,0)*($D197-1))*IF(P197&gt;9,1,VLOOKUP(D197,命格辅助表!$S$3:$U$10,3,0)),0)</f>
        <v>468</v>
      </c>
      <c r="R197">
        <f t="shared" si="32"/>
        <v>0</v>
      </c>
      <c r="S197">
        <f>ROUND(IF(R197=0,0,VLOOKUP($A197,命格属性表,15,0)+VLOOKUP($A197,命格属性表,22,0)*($D197-1))*IF(R197&gt;9,1,VLOOKUP(D197,命格辅助表!$S$3:$U$10,3,0)),0)</f>
        <v>0</v>
      </c>
      <c r="T197">
        <f t="shared" si="34"/>
        <v>0</v>
      </c>
      <c r="U197">
        <f t="shared" si="36"/>
        <v>0</v>
      </c>
    </row>
    <row r="198" spans="1:21">
      <c r="A198">
        <v>8240</v>
      </c>
      <c r="B198" t="str">
        <f t="shared" si="30"/>
        <v>龙吟</v>
      </c>
      <c r="C198">
        <f t="shared" si="35"/>
        <v>2</v>
      </c>
      <c r="D198">
        <v>4</v>
      </c>
      <c r="E198">
        <v>3</v>
      </c>
      <c r="F198">
        <v>10</v>
      </c>
      <c r="G198" t="str">
        <f>VLOOKUP(P198,定义数据!$B$14:$C$29,2,0)&amp;"+"&amp;Q198&amp;IF(R198=0,"",","&amp;VLOOKUP(R198,定义数据!$B$14:$C$29,2,0)&amp;"+"&amp;S198)&amp;IF(T198=0,"",","&amp;VLOOKUP(T198,定义数据!$B$14:$C$29,2,0)&amp;"+"&amp;U198)</f>
        <v>攻击+702</v>
      </c>
      <c r="H198">
        <v>0</v>
      </c>
      <c r="I198">
        <f t="shared" si="33"/>
        <v>2</v>
      </c>
      <c r="J198">
        <f>IF(ISERROR(VLOOKUP(D198,命格辅助表!$I$76:$N$86,D_命格表!E198+2,0)),0,VLOOKUP(D198,命格辅助表!$I$76:$N$86,D_命格表!E198+2,0))</f>
        <v>2560</v>
      </c>
      <c r="K198">
        <f>IF(ISERROR(VLOOKUP(D198,命格辅助表!$P$76:$U$86,E198+2,0)),0,VLOOKUP(D198,命格辅助表!$P$76:$U$86,E198+2,0))</f>
        <v>2400</v>
      </c>
      <c r="L198">
        <v>0</v>
      </c>
      <c r="M198">
        <v>0</v>
      </c>
      <c r="N198">
        <v>8240</v>
      </c>
      <c r="O198">
        <f t="shared" si="37"/>
        <v>1</v>
      </c>
      <c r="P198">
        <f t="shared" si="31"/>
        <v>2</v>
      </c>
      <c r="Q198">
        <f>ROUND((VLOOKUP($A198,命格属性表,13,0)+VLOOKUP($A198,命格属性表,20,0)*($D198-1))*IF(P198&gt;9,1,VLOOKUP(D198,命格辅助表!$S$3:$U$10,3,0)),0)</f>
        <v>702</v>
      </c>
      <c r="R198">
        <f t="shared" si="32"/>
        <v>0</v>
      </c>
      <c r="S198">
        <f>ROUND(IF(R198=0,0,VLOOKUP($A198,命格属性表,15,0)+VLOOKUP($A198,命格属性表,22,0)*($D198-1))*IF(R198&gt;9,1,VLOOKUP(D198,命格辅助表!$S$3:$U$10,3,0)),0)</f>
        <v>0</v>
      </c>
      <c r="T198">
        <f t="shared" si="34"/>
        <v>0</v>
      </c>
      <c r="U198">
        <f t="shared" si="36"/>
        <v>0</v>
      </c>
    </row>
    <row r="199" spans="1:21">
      <c r="A199">
        <v>8240</v>
      </c>
      <c r="B199" t="str">
        <f t="shared" si="30"/>
        <v>龙吟</v>
      </c>
      <c r="C199">
        <f t="shared" si="35"/>
        <v>2</v>
      </c>
      <c r="D199">
        <v>5</v>
      </c>
      <c r="E199">
        <v>3</v>
      </c>
      <c r="F199">
        <v>10</v>
      </c>
      <c r="G199" t="str">
        <f>VLOOKUP(P199,定义数据!$B$14:$C$29,2,0)&amp;"+"&amp;Q199&amp;IF(R199=0,"",","&amp;VLOOKUP(R199,定义数据!$B$14:$C$29,2,0)&amp;"+"&amp;S199)&amp;IF(T199=0,"",","&amp;VLOOKUP(T199,定义数据!$B$14:$C$29,2,0)&amp;"+"&amp;U199)</f>
        <v>攻击+1052</v>
      </c>
      <c r="H199">
        <v>0</v>
      </c>
      <c r="I199">
        <f t="shared" si="33"/>
        <v>2</v>
      </c>
      <c r="J199">
        <f>IF(ISERROR(VLOOKUP(D199,命格辅助表!$I$76:$N$86,D_命格表!E199+2,0)),0,VLOOKUP(D199,命格辅助表!$I$76:$N$86,D_命格表!E199+2,0))</f>
        <v>5120</v>
      </c>
      <c r="K199">
        <f>IF(ISERROR(VLOOKUP(D199,命格辅助表!$P$76:$U$86,E199+2,0)),0,VLOOKUP(D199,命格辅助表!$P$76:$U$86,E199+2,0))</f>
        <v>4960</v>
      </c>
      <c r="L199">
        <v>0</v>
      </c>
      <c r="M199">
        <v>0</v>
      </c>
      <c r="N199">
        <v>8240</v>
      </c>
      <c r="O199">
        <f t="shared" si="37"/>
        <v>1</v>
      </c>
      <c r="P199">
        <f t="shared" si="31"/>
        <v>2</v>
      </c>
      <c r="Q199">
        <f>ROUND((VLOOKUP($A199,命格属性表,13,0)+VLOOKUP($A199,命格属性表,20,0)*($D199-1))*IF(P199&gt;9,1,VLOOKUP(D199,命格辅助表!$S$3:$U$10,3,0)),0)</f>
        <v>1052</v>
      </c>
      <c r="R199">
        <f t="shared" si="32"/>
        <v>0</v>
      </c>
      <c r="S199">
        <f>ROUND(IF(R199=0,0,VLOOKUP($A199,命格属性表,15,0)+VLOOKUP($A199,命格属性表,22,0)*($D199-1))*IF(R199&gt;9,1,VLOOKUP(D199,命格辅助表!$S$3:$U$10,3,0)),0)</f>
        <v>0</v>
      </c>
      <c r="T199">
        <f t="shared" si="34"/>
        <v>0</v>
      </c>
      <c r="U199">
        <f t="shared" si="36"/>
        <v>0</v>
      </c>
    </row>
    <row r="200" spans="1:21">
      <c r="A200">
        <v>8240</v>
      </c>
      <c r="B200" t="str">
        <f t="shared" si="30"/>
        <v>龙吟</v>
      </c>
      <c r="C200">
        <f t="shared" si="35"/>
        <v>2</v>
      </c>
      <c r="D200">
        <v>6</v>
      </c>
      <c r="E200">
        <v>3</v>
      </c>
      <c r="F200">
        <v>10</v>
      </c>
      <c r="G200" t="str">
        <f>VLOOKUP(P200,定义数据!$B$14:$C$29,2,0)&amp;"+"&amp;Q200&amp;IF(R200=0,"",","&amp;VLOOKUP(R200,定义数据!$B$14:$C$29,2,0)&amp;"+"&amp;S200)&amp;IF(T200=0,"",","&amp;VLOOKUP(T200,定义数据!$B$14:$C$29,2,0)&amp;"+"&amp;U200)</f>
        <v>攻击+1579</v>
      </c>
      <c r="H200">
        <v>0</v>
      </c>
      <c r="I200">
        <f t="shared" si="33"/>
        <v>2</v>
      </c>
      <c r="J200">
        <f>IF(ISERROR(VLOOKUP(D200,命格辅助表!$I$76:$N$86,D_命格表!E200+2,0)),0,VLOOKUP(D200,命格辅助表!$I$76:$N$86,D_命格表!E200+2,0))</f>
        <v>10240</v>
      </c>
      <c r="K200">
        <f>IF(ISERROR(VLOOKUP(D200,命格辅助表!$P$76:$U$86,E200+2,0)),0,VLOOKUP(D200,命格辅助表!$P$76:$U$86,E200+2,0))</f>
        <v>10080</v>
      </c>
      <c r="L200">
        <v>0</v>
      </c>
      <c r="M200">
        <v>0</v>
      </c>
      <c r="N200">
        <v>8240</v>
      </c>
      <c r="O200">
        <f t="shared" si="37"/>
        <v>1</v>
      </c>
      <c r="P200">
        <f t="shared" si="31"/>
        <v>2</v>
      </c>
      <c r="Q200">
        <f>ROUND((VLOOKUP($A200,命格属性表,13,0)+VLOOKUP($A200,命格属性表,20,0)*($D200-1))*IF(P200&gt;9,1,VLOOKUP(D200,命格辅助表!$S$3:$U$10,3,0)),0)</f>
        <v>1579</v>
      </c>
      <c r="R200">
        <f t="shared" si="32"/>
        <v>0</v>
      </c>
      <c r="S200">
        <f>ROUND(IF(R200=0,0,VLOOKUP($A200,命格属性表,15,0)+VLOOKUP($A200,命格属性表,22,0)*($D200-1))*IF(R200&gt;9,1,VLOOKUP(D200,命格辅助表!$S$3:$U$10,3,0)),0)</f>
        <v>0</v>
      </c>
      <c r="T200">
        <f t="shared" si="34"/>
        <v>0</v>
      </c>
      <c r="U200">
        <f t="shared" si="36"/>
        <v>0</v>
      </c>
    </row>
    <row r="201" spans="1:21">
      <c r="A201">
        <v>8240</v>
      </c>
      <c r="B201" t="str">
        <f t="shared" si="30"/>
        <v>龙吟</v>
      </c>
      <c r="C201">
        <f t="shared" si="35"/>
        <v>2</v>
      </c>
      <c r="D201">
        <v>7</v>
      </c>
      <c r="E201">
        <v>3</v>
      </c>
      <c r="F201">
        <v>10</v>
      </c>
      <c r="G201" t="str">
        <f>VLOOKUP(P201,定义数据!$B$14:$C$29,2,0)&amp;"+"&amp;Q201&amp;IF(R201=0,"",","&amp;VLOOKUP(R201,定义数据!$B$14:$C$29,2,0)&amp;"+"&amp;S201)&amp;IF(T201=0,"",","&amp;VLOOKUP(T201,定义数据!$B$14:$C$29,2,0)&amp;"+"&amp;U201)</f>
        <v>攻击+2368</v>
      </c>
      <c r="H201">
        <v>0</v>
      </c>
      <c r="I201">
        <f t="shared" si="33"/>
        <v>2</v>
      </c>
      <c r="J201">
        <f>IF(ISERROR(VLOOKUP(D201,命格辅助表!$I$76:$N$86,D_命格表!E201+2,0)),0,VLOOKUP(D201,命格辅助表!$I$76:$N$86,D_命格表!E201+2,0))</f>
        <v>20480</v>
      </c>
      <c r="K201">
        <f>IF(ISERROR(VLOOKUP(D201,命格辅助表!$P$76:$U$86,E201+2,0)),0,VLOOKUP(D201,命格辅助表!$P$76:$U$86,E201+2,0))</f>
        <v>20320</v>
      </c>
      <c r="L201">
        <v>0</v>
      </c>
      <c r="M201">
        <v>0</v>
      </c>
      <c r="N201">
        <v>8240</v>
      </c>
      <c r="O201">
        <f t="shared" si="37"/>
        <v>1</v>
      </c>
      <c r="P201">
        <f t="shared" si="31"/>
        <v>2</v>
      </c>
      <c r="Q201">
        <f>ROUND((VLOOKUP($A201,命格属性表,13,0)+VLOOKUP($A201,命格属性表,20,0)*($D201-1))*IF(P201&gt;9,1,VLOOKUP(D201,命格辅助表!$S$3:$U$10,3,0)),0)</f>
        <v>2368</v>
      </c>
      <c r="R201">
        <f t="shared" si="32"/>
        <v>0</v>
      </c>
      <c r="S201">
        <f>ROUND(IF(R201=0,0,VLOOKUP($A201,命格属性表,15,0)+VLOOKUP($A201,命格属性表,22,0)*($D201-1))*IF(R201&gt;9,1,VLOOKUP(D201,命格辅助表!$S$3:$U$10,3,0)),0)</f>
        <v>0</v>
      </c>
      <c r="T201">
        <f t="shared" si="34"/>
        <v>0</v>
      </c>
      <c r="U201">
        <f t="shared" si="36"/>
        <v>0</v>
      </c>
    </row>
    <row r="202" spans="1:21">
      <c r="A202">
        <v>8240</v>
      </c>
      <c r="B202" t="str">
        <f t="shared" si="30"/>
        <v>龙吟</v>
      </c>
      <c r="C202">
        <f t="shared" si="35"/>
        <v>2</v>
      </c>
      <c r="D202">
        <v>8</v>
      </c>
      <c r="E202">
        <v>3</v>
      </c>
      <c r="F202">
        <v>10</v>
      </c>
      <c r="G202" t="str">
        <f>VLOOKUP(P202,定义数据!$B$14:$C$29,2,0)&amp;"+"&amp;Q202&amp;IF(R202=0,"",","&amp;VLOOKUP(R202,定义数据!$B$14:$C$29,2,0)&amp;"+"&amp;S202)&amp;IF(T202=0,"",","&amp;VLOOKUP(T202,定义数据!$B$14:$C$29,2,0)&amp;"+"&amp;U202)</f>
        <v>攻击+3552</v>
      </c>
      <c r="H202">
        <v>0</v>
      </c>
      <c r="I202">
        <f t="shared" si="33"/>
        <v>2</v>
      </c>
      <c r="J202">
        <f>IF(ISERROR(VLOOKUP(D202,命格辅助表!$I$76:$N$86,D_命格表!E202+2,0)),0,VLOOKUP(D202,命格辅助表!$I$76:$N$86,D_命格表!E202+2,0))</f>
        <v>40960</v>
      </c>
      <c r="K202">
        <f>IF(ISERROR(VLOOKUP(D202,命格辅助表!$P$76:$U$86,E202+2,0)),0,VLOOKUP(D202,命格辅助表!$P$76:$U$86,E202+2,0))</f>
        <v>40800</v>
      </c>
      <c r="L202">
        <f>IF(ISERROR(VLOOKUP(D202,命格辅助表!$I$76:$N$86,D_命格表!E202+2,0)),0,VLOOKUP(D202,命格辅助表!$I$76:$N$86,D_命格表!E202+2,0))</f>
        <v>40960</v>
      </c>
      <c r="M202">
        <f>A202+10</f>
        <v>8250</v>
      </c>
      <c r="N202">
        <v>8240</v>
      </c>
      <c r="O202">
        <f t="shared" si="37"/>
        <v>1</v>
      </c>
      <c r="P202">
        <f t="shared" si="31"/>
        <v>2</v>
      </c>
      <c r="Q202">
        <f>ROUND((VLOOKUP($A202,命格属性表,13,0)+VLOOKUP($A202,命格属性表,20,0)*($D202-1))*IF(P202&gt;9,1,VLOOKUP(D202,命格辅助表!$S$3:$U$10,3,0)),0)</f>
        <v>3552</v>
      </c>
      <c r="R202">
        <f t="shared" si="32"/>
        <v>0</v>
      </c>
      <c r="S202">
        <f>ROUND(IF(R202=0,0,VLOOKUP($A202,命格属性表,15,0)+VLOOKUP($A202,命格属性表,22,0)*($D202-1))*IF(R202&gt;9,1,VLOOKUP(D202,命格辅助表!$S$3:$U$10,3,0)),0)</f>
        <v>0</v>
      </c>
      <c r="T202">
        <f t="shared" si="34"/>
        <v>0</v>
      </c>
      <c r="U202">
        <f t="shared" si="36"/>
        <v>0</v>
      </c>
    </row>
    <row r="203" spans="1:21">
      <c r="A203">
        <v>8340</v>
      </c>
      <c r="B203" t="str">
        <f t="shared" si="30"/>
        <v>守御</v>
      </c>
      <c r="C203">
        <f t="shared" si="35"/>
        <v>3</v>
      </c>
      <c r="D203">
        <v>1</v>
      </c>
      <c r="E203">
        <v>3</v>
      </c>
      <c r="F203">
        <v>10</v>
      </c>
      <c r="G203" t="str">
        <f>VLOOKUP(P203,定义数据!$B$14:$C$29,2,0)&amp;"+"&amp;Q203&amp;IF(R203=0,"",","&amp;VLOOKUP(R203,定义数据!$B$14:$C$29,2,0)&amp;"+"&amp;S203)&amp;IF(T203=0,"",","&amp;VLOOKUP(T203,定义数据!$B$14:$C$29,2,0)&amp;"+"&amp;U203)</f>
        <v>防御+208</v>
      </c>
      <c r="H203">
        <v>0</v>
      </c>
      <c r="I203">
        <f t="shared" si="33"/>
        <v>3</v>
      </c>
      <c r="J203">
        <f>IF(ISERROR(VLOOKUP(D203,命格辅助表!$I$76:$N$86,D_命格表!E203+2,0)),0,VLOOKUP(D203,命格辅助表!$I$76:$N$86,D_命格表!E203+2,0))</f>
        <v>320</v>
      </c>
      <c r="K203">
        <f>IF(ISERROR(VLOOKUP(D203,命格辅助表!$P$76:$U$86,E203+2,0)),0,VLOOKUP(D203,命格辅助表!$P$76:$U$86,E203+2,0))</f>
        <v>160</v>
      </c>
      <c r="L203">
        <v>0</v>
      </c>
      <c r="M203">
        <v>0</v>
      </c>
      <c r="N203">
        <v>8340</v>
      </c>
      <c r="O203">
        <f t="shared" si="37"/>
        <v>1</v>
      </c>
      <c r="P203">
        <f t="shared" si="31"/>
        <v>3</v>
      </c>
      <c r="Q203">
        <f>ROUND((VLOOKUP($A203,命格属性表,13,0)+VLOOKUP($A203,命格属性表,20,0)*($D203-1))*IF(P203&gt;9,1,VLOOKUP(D203,命格辅助表!$S$3:$U$10,3,0)),0)</f>
        <v>208</v>
      </c>
      <c r="R203">
        <f t="shared" si="32"/>
        <v>0</v>
      </c>
      <c r="S203">
        <f>ROUND(IF(R203=0,0,VLOOKUP($A203,命格属性表,15,0)+VLOOKUP($A203,命格属性表,22,0)*($D203-1))*IF(R203&gt;9,1,VLOOKUP(D203,命格辅助表!$S$3:$U$10,3,0)),0)</f>
        <v>0</v>
      </c>
      <c r="T203">
        <f t="shared" si="34"/>
        <v>0</v>
      </c>
      <c r="U203">
        <f t="shared" si="36"/>
        <v>0</v>
      </c>
    </row>
    <row r="204" spans="1:21">
      <c r="A204">
        <v>8340</v>
      </c>
      <c r="B204" t="str">
        <f t="shared" si="30"/>
        <v>守御</v>
      </c>
      <c r="C204">
        <f t="shared" si="35"/>
        <v>3</v>
      </c>
      <c r="D204">
        <v>2</v>
      </c>
      <c r="E204">
        <v>3</v>
      </c>
      <c r="F204">
        <v>10</v>
      </c>
      <c r="G204" t="str">
        <f>VLOOKUP(P204,定义数据!$B$14:$C$29,2,0)&amp;"+"&amp;Q204&amp;IF(R204=0,"",","&amp;VLOOKUP(R204,定义数据!$B$14:$C$29,2,0)&amp;"+"&amp;S204)&amp;IF(T204=0,"",","&amp;VLOOKUP(T204,定义数据!$B$14:$C$29,2,0)&amp;"+"&amp;U204)</f>
        <v>防御+312</v>
      </c>
      <c r="H204">
        <v>0</v>
      </c>
      <c r="I204">
        <f t="shared" si="33"/>
        <v>3</v>
      </c>
      <c r="J204">
        <f>IF(ISERROR(VLOOKUP(D204,命格辅助表!$I$76:$N$86,D_命格表!E204+2,0)),0,VLOOKUP(D204,命格辅助表!$I$76:$N$86,D_命格表!E204+2,0))</f>
        <v>640</v>
      </c>
      <c r="K204">
        <f>IF(ISERROR(VLOOKUP(D204,命格辅助表!$P$76:$U$86,E204+2,0)),0,VLOOKUP(D204,命格辅助表!$P$76:$U$86,E204+2,0))</f>
        <v>480</v>
      </c>
      <c r="L204">
        <v>0</v>
      </c>
      <c r="M204">
        <v>0</v>
      </c>
      <c r="N204">
        <v>8340</v>
      </c>
      <c r="O204">
        <f t="shared" si="37"/>
        <v>1</v>
      </c>
      <c r="P204">
        <f t="shared" si="31"/>
        <v>3</v>
      </c>
      <c r="Q204">
        <f>ROUND((VLOOKUP($A204,命格属性表,13,0)+VLOOKUP($A204,命格属性表,20,0)*($D204-1))*IF(P204&gt;9,1,VLOOKUP(D204,命格辅助表!$S$3:$U$10,3,0)),0)</f>
        <v>312</v>
      </c>
      <c r="R204">
        <f t="shared" si="32"/>
        <v>0</v>
      </c>
      <c r="S204">
        <f>ROUND(IF(R204=0,0,VLOOKUP($A204,命格属性表,15,0)+VLOOKUP($A204,命格属性表,22,0)*($D204-1))*IF(R204&gt;9,1,VLOOKUP(D204,命格辅助表!$S$3:$U$10,3,0)),0)</f>
        <v>0</v>
      </c>
      <c r="T204">
        <f t="shared" si="34"/>
        <v>0</v>
      </c>
      <c r="U204">
        <f t="shared" si="36"/>
        <v>0</v>
      </c>
    </row>
    <row r="205" spans="1:21">
      <c r="A205">
        <v>8340</v>
      </c>
      <c r="B205" t="str">
        <f t="shared" si="30"/>
        <v>守御</v>
      </c>
      <c r="C205">
        <f t="shared" si="35"/>
        <v>3</v>
      </c>
      <c r="D205">
        <v>3</v>
      </c>
      <c r="E205">
        <v>3</v>
      </c>
      <c r="F205">
        <v>10</v>
      </c>
      <c r="G205" t="str">
        <f>VLOOKUP(P205,定义数据!$B$14:$C$29,2,0)&amp;"+"&amp;Q205&amp;IF(R205=0,"",","&amp;VLOOKUP(R205,定义数据!$B$14:$C$29,2,0)&amp;"+"&amp;S205)&amp;IF(T205=0,"",","&amp;VLOOKUP(T205,定义数据!$B$14:$C$29,2,0)&amp;"+"&amp;U205)</f>
        <v>防御+468</v>
      </c>
      <c r="H205">
        <v>0</v>
      </c>
      <c r="I205">
        <f t="shared" si="33"/>
        <v>3</v>
      </c>
      <c r="J205">
        <f>IF(ISERROR(VLOOKUP(D205,命格辅助表!$I$76:$N$86,D_命格表!E205+2,0)),0,VLOOKUP(D205,命格辅助表!$I$76:$N$86,D_命格表!E205+2,0))</f>
        <v>1280</v>
      </c>
      <c r="K205">
        <f>IF(ISERROR(VLOOKUP(D205,命格辅助表!$P$76:$U$86,E205+2,0)),0,VLOOKUP(D205,命格辅助表!$P$76:$U$86,E205+2,0))</f>
        <v>1120</v>
      </c>
      <c r="L205">
        <v>0</v>
      </c>
      <c r="M205">
        <v>0</v>
      </c>
      <c r="N205">
        <v>8340</v>
      </c>
      <c r="O205">
        <f t="shared" si="37"/>
        <v>1</v>
      </c>
      <c r="P205">
        <f t="shared" si="31"/>
        <v>3</v>
      </c>
      <c r="Q205">
        <f>ROUND((VLOOKUP($A205,命格属性表,13,0)+VLOOKUP($A205,命格属性表,20,0)*($D205-1))*IF(P205&gt;9,1,VLOOKUP(D205,命格辅助表!$S$3:$U$10,3,0)),0)</f>
        <v>468</v>
      </c>
      <c r="R205">
        <f t="shared" si="32"/>
        <v>0</v>
      </c>
      <c r="S205">
        <f>ROUND(IF(R205=0,0,VLOOKUP($A205,命格属性表,15,0)+VLOOKUP($A205,命格属性表,22,0)*($D205-1))*IF(R205&gt;9,1,VLOOKUP(D205,命格辅助表!$S$3:$U$10,3,0)),0)</f>
        <v>0</v>
      </c>
      <c r="T205">
        <f t="shared" si="34"/>
        <v>0</v>
      </c>
      <c r="U205">
        <f t="shared" si="36"/>
        <v>0</v>
      </c>
    </row>
    <row r="206" spans="1:21">
      <c r="A206">
        <v>8340</v>
      </c>
      <c r="B206" t="str">
        <f t="shared" si="30"/>
        <v>守御</v>
      </c>
      <c r="C206">
        <f t="shared" si="35"/>
        <v>3</v>
      </c>
      <c r="D206">
        <v>4</v>
      </c>
      <c r="E206">
        <v>3</v>
      </c>
      <c r="F206">
        <v>10</v>
      </c>
      <c r="G206" t="str">
        <f>VLOOKUP(P206,定义数据!$B$14:$C$29,2,0)&amp;"+"&amp;Q206&amp;IF(R206=0,"",","&amp;VLOOKUP(R206,定义数据!$B$14:$C$29,2,0)&amp;"+"&amp;S206)&amp;IF(T206=0,"",","&amp;VLOOKUP(T206,定义数据!$B$14:$C$29,2,0)&amp;"+"&amp;U206)</f>
        <v>防御+702</v>
      </c>
      <c r="H206">
        <v>0</v>
      </c>
      <c r="I206">
        <f t="shared" si="33"/>
        <v>3</v>
      </c>
      <c r="J206">
        <f>IF(ISERROR(VLOOKUP(D206,命格辅助表!$I$76:$N$86,D_命格表!E206+2,0)),0,VLOOKUP(D206,命格辅助表!$I$76:$N$86,D_命格表!E206+2,0))</f>
        <v>2560</v>
      </c>
      <c r="K206">
        <f>IF(ISERROR(VLOOKUP(D206,命格辅助表!$P$76:$U$86,E206+2,0)),0,VLOOKUP(D206,命格辅助表!$P$76:$U$86,E206+2,0))</f>
        <v>2400</v>
      </c>
      <c r="L206">
        <v>0</v>
      </c>
      <c r="M206">
        <v>0</v>
      </c>
      <c r="N206">
        <v>8340</v>
      </c>
      <c r="O206">
        <f t="shared" si="37"/>
        <v>1</v>
      </c>
      <c r="P206">
        <f t="shared" si="31"/>
        <v>3</v>
      </c>
      <c r="Q206">
        <f>ROUND((VLOOKUP($A206,命格属性表,13,0)+VLOOKUP($A206,命格属性表,20,0)*($D206-1))*IF(P206&gt;9,1,VLOOKUP(D206,命格辅助表!$S$3:$U$10,3,0)),0)</f>
        <v>702</v>
      </c>
      <c r="R206">
        <f t="shared" si="32"/>
        <v>0</v>
      </c>
      <c r="S206">
        <f>ROUND(IF(R206=0,0,VLOOKUP($A206,命格属性表,15,0)+VLOOKUP($A206,命格属性表,22,0)*($D206-1))*IF(R206&gt;9,1,VLOOKUP(D206,命格辅助表!$S$3:$U$10,3,0)),0)</f>
        <v>0</v>
      </c>
      <c r="T206">
        <f t="shared" si="34"/>
        <v>0</v>
      </c>
      <c r="U206">
        <f t="shared" si="36"/>
        <v>0</v>
      </c>
    </row>
    <row r="207" spans="1:21">
      <c r="A207">
        <v>8340</v>
      </c>
      <c r="B207" t="str">
        <f t="shared" si="30"/>
        <v>守御</v>
      </c>
      <c r="C207">
        <f t="shared" si="35"/>
        <v>3</v>
      </c>
      <c r="D207">
        <v>5</v>
      </c>
      <c r="E207">
        <v>3</v>
      </c>
      <c r="F207">
        <v>10</v>
      </c>
      <c r="G207" t="str">
        <f>VLOOKUP(P207,定义数据!$B$14:$C$29,2,0)&amp;"+"&amp;Q207&amp;IF(R207=0,"",","&amp;VLOOKUP(R207,定义数据!$B$14:$C$29,2,0)&amp;"+"&amp;S207)&amp;IF(T207=0,"",","&amp;VLOOKUP(T207,定义数据!$B$14:$C$29,2,0)&amp;"+"&amp;U207)</f>
        <v>防御+1052</v>
      </c>
      <c r="H207">
        <v>0</v>
      </c>
      <c r="I207">
        <f t="shared" si="33"/>
        <v>3</v>
      </c>
      <c r="J207">
        <f>IF(ISERROR(VLOOKUP(D207,命格辅助表!$I$76:$N$86,D_命格表!E207+2,0)),0,VLOOKUP(D207,命格辅助表!$I$76:$N$86,D_命格表!E207+2,0))</f>
        <v>5120</v>
      </c>
      <c r="K207">
        <f>IF(ISERROR(VLOOKUP(D207,命格辅助表!$P$76:$U$86,E207+2,0)),0,VLOOKUP(D207,命格辅助表!$P$76:$U$86,E207+2,0))</f>
        <v>4960</v>
      </c>
      <c r="L207">
        <v>0</v>
      </c>
      <c r="M207">
        <v>0</v>
      </c>
      <c r="N207">
        <v>8340</v>
      </c>
      <c r="O207">
        <f t="shared" si="37"/>
        <v>1</v>
      </c>
      <c r="P207">
        <f t="shared" si="31"/>
        <v>3</v>
      </c>
      <c r="Q207">
        <f>ROUND((VLOOKUP($A207,命格属性表,13,0)+VLOOKUP($A207,命格属性表,20,0)*($D207-1))*IF(P207&gt;9,1,VLOOKUP(D207,命格辅助表!$S$3:$U$10,3,0)),0)</f>
        <v>1052</v>
      </c>
      <c r="R207">
        <f t="shared" si="32"/>
        <v>0</v>
      </c>
      <c r="S207">
        <f>ROUND(IF(R207=0,0,VLOOKUP($A207,命格属性表,15,0)+VLOOKUP($A207,命格属性表,22,0)*($D207-1))*IF(R207&gt;9,1,VLOOKUP(D207,命格辅助表!$S$3:$U$10,3,0)),0)</f>
        <v>0</v>
      </c>
      <c r="T207">
        <f t="shared" si="34"/>
        <v>0</v>
      </c>
      <c r="U207">
        <f t="shared" si="36"/>
        <v>0</v>
      </c>
    </row>
    <row r="208" spans="1:21">
      <c r="A208">
        <v>8340</v>
      </c>
      <c r="B208" t="str">
        <f t="shared" si="30"/>
        <v>守御</v>
      </c>
      <c r="C208">
        <f t="shared" si="35"/>
        <v>3</v>
      </c>
      <c r="D208">
        <v>6</v>
      </c>
      <c r="E208">
        <v>3</v>
      </c>
      <c r="F208">
        <v>10</v>
      </c>
      <c r="G208" t="str">
        <f>VLOOKUP(P208,定义数据!$B$14:$C$29,2,0)&amp;"+"&amp;Q208&amp;IF(R208=0,"",","&amp;VLOOKUP(R208,定义数据!$B$14:$C$29,2,0)&amp;"+"&amp;S208)&amp;IF(T208=0,"",","&amp;VLOOKUP(T208,定义数据!$B$14:$C$29,2,0)&amp;"+"&amp;U208)</f>
        <v>防御+1579</v>
      </c>
      <c r="H208">
        <v>0</v>
      </c>
      <c r="I208">
        <f t="shared" si="33"/>
        <v>3</v>
      </c>
      <c r="J208">
        <f>IF(ISERROR(VLOOKUP(D208,命格辅助表!$I$76:$N$86,D_命格表!E208+2,0)),0,VLOOKUP(D208,命格辅助表!$I$76:$N$86,D_命格表!E208+2,0))</f>
        <v>10240</v>
      </c>
      <c r="K208">
        <f>IF(ISERROR(VLOOKUP(D208,命格辅助表!$P$76:$U$86,E208+2,0)),0,VLOOKUP(D208,命格辅助表!$P$76:$U$86,E208+2,0))</f>
        <v>10080</v>
      </c>
      <c r="L208">
        <v>0</v>
      </c>
      <c r="M208">
        <v>0</v>
      </c>
      <c r="N208">
        <v>8340</v>
      </c>
      <c r="O208">
        <f t="shared" si="37"/>
        <v>1</v>
      </c>
      <c r="P208">
        <f t="shared" si="31"/>
        <v>3</v>
      </c>
      <c r="Q208">
        <f>ROUND((VLOOKUP($A208,命格属性表,13,0)+VLOOKUP($A208,命格属性表,20,0)*($D208-1))*IF(P208&gt;9,1,VLOOKUP(D208,命格辅助表!$S$3:$U$10,3,0)),0)</f>
        <v>1579</v>
      </c>
      <c r="R208">
        <f t="shared" si="32"/>
        <v>0</v>
      </c>
      <c r="S208">
        <f>ROUND(IF(R208=0,0,VLOOKUP($A208,命格属性表,15,0)+VLOOKUP($A208,命格属性表,22,0)*($D208-1))*IF(R208&gt;9,1,VLOOKUP(D208,命格辅助表!$S$3:$U$10,3,0)),0)</f>
        <v>0</v>
      </c>
      <c r="T208">
        <f t="shared" si="34"/>
        <v>0</v>
      </c>
      <c r="U208">
        <f t="shared" si="36"/>
        <v>0</v>
      </c>
    </row>
    <row r="209" spans="1:21">
      <c r="A209">
        <v>8340</v>
      </c>
      <c r="B209" t="str">
        <f t="shared" si="30"/>
        <v>守御</v>
      </c>
      <c r="C209">
        <f t="shared" si="35"/>
        <v>3</v>
      </c>
      <c r="D209">
        <v>7</v>
      </c>
      <c r="E209">
        <v>3</v>
      </c>
      <c r="F209">
        <v>10</v>
      </c>
      <c r="G209" t="str">
        <f>VLOOKUP(P209,定义数据!$B$14:$C$29,2,0)&amp;"+"&amp;Q209&amp;IF(R209=0,"",","&amp;VLOOKUP(R209,定义数据!$B$14:$C$29,2,0)&amp;"+"&amp;S209)&amp;IF(T209=0,"",","&amp;VLOOKUP(T209,定义数据!$B$14:$C$29,2,0)&amp;"+"&amp;U209)</f>
        <v>防御+2368</v>
      </c>
      <c r="H209">
        <v>0</v>
      </c>
      <c r="I209">
        <f t="shared" si="33"/>
        <v>3</v>
      </c>
      <c r="J209">
        <f>IF(ISERROR(VLOOKUP(D209,命格辅助表!$I$76:$N$86,D_命格表!E209+2,0)),0,VLOOKUP(D209,命格辅助表!$I$76:$N$86,D_命格表!E209+2,0))</f>
        <v>20480</v>
      </c>
      <c r="K209">
        <f>IF(ISERROR(VLOOKUP(D209,命格辅助表!$P$76:$U$86,E209+2,0)),0,VLOOKUP(D209,命格辅助表!$P$76:$U$86,E209+2,0))</f>
        <v>20320</v>
      </c>
      <c r="L209">
        <v>0</v>
      </c>
      <c r="M209">
        <v>0</v>
      </c>
      <c r="N209">
        <v>8340</v>
      </c>
      <c r="O209">
        <f t="shared" si="37"/>
        <v>1</v>
      </c>
      <c r="P209">
        <f t="shared" si="31"/>
        <v>3</v>
      </c>
      <c r="Q209">
        <f>ROUND((VLOOKUP($A209,命格属性表,13,0)+VLOOKUP($A209,命格属性表,20,0)*($D209-1))*IF(P209&gt;9,1,VLOOKUP(D209,命格辅助表!$S$3:$U$10,3,0)),0)</f>
        <v>2368</v>
      </c>
      <c r="R209">
        <f t="shared" si="32"/>
        <v>0</v>
      </c>
      <c r="S209">
        <f>ROUND(IF(R209=0,0,VLOOKUP($A209,命格属性表,15,0)+VLOOKUP($A209,命格属性表,22,0)*($D209-1))*IF(R209&gt;9,1,VLOOKUP(D209,命格辅助表!$S$3:$U$10,3,0)),0)</f>
        <v>0</v>
      </c>
      <c r="T209">
        <f t="shared" si="34"/>
        <v>0</v>
      </c>
      <c r="U209">
        <f t="shared" si="36"/>
        <v>0</v>
      </c>
    </row>
    <row r="210" spans="1:21">
      <c r="A210">
        <v>8340</v>
      </c>
      <c r="B210" t="str">
        <f t="shared" si="30"/>
        <v>守御</v>
      </c>
      <c r="C210">
        <f t="shared" si="35"/>
        <v>3</v>
      </c>
      <c r="D210">
        <v>8</v>
      </c>
      <c r="E210">
        <v>3</v>
      </c>
      <c r="F210">
        <v>10</v>
      </c>
      <c r="G210" t="str">
        <f>VLOOKUP(P210,定义数据!$B$14:$C$29,2,0)&amp;"+"&amp;Q210&amp;IF(R210=0,"",","&amp;VLOOKUP(R210,定义数据!$B$14:$C$29,2,0)&amp;"+"&amp;S210)&amp;IF(T210=0,"",","&amp;VLOOKUP(T210,定义数据!$B$14:$C$29,2,0)&amp;"+"&amp;U210)</f>
        <v>防御+3552</v>
      </c>
      <c r="H210">
        <v>0</v>
      </c>
      <c r="I210">
        <f t="shared" si="33"/>
        <v>3</v>
      </c>
      <c r="J210">
        <f>IF(ISERROR(VLOOKUP(D210,命格辅助表!$I$76:$N$86,D_命格表!E210+2,0)),0,VLOOKUP(D210,命格辅助表!$I$76:$N$86,D_命格表!E210+2,0))</f>
        <v>40960</v>
      </c>
      <c r="K210">
        <f>IF(ISERROR(VLOOKUP(D210,命格辅助表!$P$76:$U$86,E210+2,0)),0,VLOOKUP(D210,命格辅助表!$P$76:$U$86,E210+2,0))</f>
        <v>40800</v>
      </c>
      <c r="L210">
        <f>IF(ISERROR(VLOOKUP(D210,命格辅助表!$I$76:$N$86,D_命格表!E210+2,0)),0,VLOOKUP(D210,命格辅助表!$I$76:$N$86,D_命格表!E210+2,0))</f>
        <v>40960</v>
      </c>
      <c r="M210">
        <f>A210+10</f>
        <v>8350</v>
      </c>
      <c r="N210">
        <v>8340</v>
      </c>
      <c r="O210">
        <f t="shared" si="37"/>
        <v>1</v>
      </c>
      <c r="P210">
        <f t="shared" si="31"/>
        <v>3</v>
      </c>
      <c r="Q210">
        <f>ROUND((VLOOKUP($A210,命格属性表,13,0)+VLOOKUP($A210,命格属性表,20,0)*($D210-1))*IF(P210&gt;9,1,VLOOKUP(D210,命格辅助表!$S$3:$U$10,3,0)),0)</f>
        <v>3552</v>
      </c>
      <c r="R210">
        <f t="shared" si="32"/>
        <v>0</v>
      </c>
      <c r="S210">
        <f>ROUND(IF(R210=0,0,VLOOKUP($A210,命格属性表,15,0)+VLOOKUP($A210,命格属性表,22,0)*($D210-1))*IF(R210&gt;9,1,VLOOKUP(D210,命格辅助表!$S$3:$U$10,3,0)),0)</f>
        <v>0</v>
      </c>
      <c r="T210">
        <f t="shared" si="34"/>
        <v>0</v>
      </c>
      <c r="U210">
        <f t="shared" si="36"/>
        <v>0</v>
      </c>
    </row>
    <row r="211" spans="1:21">
      <c r="A211">
        <v>8440</v>
      </c>
      <c r="B211" t="str">
        <f t="shared" si="30"/>
        <v>千眼</v>
      </c>
      <c r="C211">
        <f t="shared" si="35"/>
        <v>4</v>
      </c>
      <c r="D211">
        <v>1</v>
      </c>
      <c r="E211">
        <v>3</v>
      </c>
      <c r="F211">
        <v>10</v>
      </c>
      <c r="G211" t="str">
        <f>VLOOKUP(P211,定义数据!$B$14:$C$29,2,0)&amp;"+"&amp;Q211&amp;IF(R211=0,"",","&amp;VLOOKUP(R211,定义数据!$B$14:$C$29,2,0)&amp;"+"&amp;S211)&amp;IF(T211=0,"",","&amp;VLOOKUP(T211,定义数据!$B$14:$C$29,2,0)&amp;"+"&amp;U211)</f>
        <v>命中值+612</v>
      </c>
      <c r="H211">
        <v>0</v>
      </c>
      <c r="I211">
        <f t="shared" si="33"/>
        <v>4</v>
      </c>
      <c r="J211">
        <f>IF(ISERROR(VLOOKUP(D211,命格辅助表!$I$76:$N$86,D_命格表!E211+2,0)),0,VLOOKUP(D211,命格辅助表!$I$76:$N$86,D_命格表!E211+2,0))</f>
        <v>320</v>
      </c>
      <c r="K211">
        <f>IF(ISERROR(VLOOKUP(D211,命格辅助表!$P$76:$U$86,E211+2,0)),0,VLOOKUP(D211,命格辅助表!$P$76:$U$86,E211+2,0))</f>
        <v>160</v>
      </c>
      <c r="L211">
        <v>0</v>
      </c>
      <c r="M211">
        <v>0</v>
      </c>
      <c r="N211">
        <v>8440</v>
      </c>
      <c r="O211">
        <f t="shared" si="37"/>
        <v>1</v>
      </c>
      <c r="P211">
        <f t="shared" si="31"/>
        <v>6</v>
      </c>
      <c r="Q211">
        <f>ROUND((VLOOKUP($A211,命格属性表,13,0)+VLOOKUP($A211,命格属性表,20,0)*($D211-1))*IF(P211&gt;9,1,VLOOKUP(D211,命格辅助表!$S$3:$U$10,3,0)),0)</f>
        <v>612</v>
      </c>
      <c r="R211">
        <f t="shared" si="32"/>
        <v>0</v>
      </c>
      <c r="S211">
        <f>ROUND(IF(R211=0,0,VLOOKUP($A211,命格属性表,15,0)+VLOOKUP($A211,命格属性表,22,0)*($D211-1))*IF(R211&gt;9,1,VLOOKUP(D211,命格辅助表!$S$3:$U$10,3,0)),0)</f>
        <v>0</v>
      </c>
      <c r="T211">
        <f t="shared" si="34"/>
        <v>0</v>
      </c>
      <c r="U211">
        <f t="shared" si="36"/>
        <v>0</v>
      </c>
    </row>
    <row r="212" spans="1:21">
      <c r="A212">
        <v>8440</v>
      </c>
      <c r="B212" t="str">
        <f t="shared" si="30"/>
        <v>千眼</v>
      </c>
      <c r="C212">
        <f t="shared" si="35"/>
        <v>4</v>
      </c>
      <c r="D212">
        <v>2</v>
      </c>
      <c r="E212">
        <v>3</v>
      </c>
      <c r="F212">
        <v>10</v>
      </c>
      <c r="G212" t="str">
        <f>VLOOKUP(P212,定义数据!$B$14:$C$29,2,0)&amp;"+"&amp;Q212&amp;IF(R212=0,"",","&amp;VLOOKUP(R212,定义数据!$B$14:$C$29,2,0)&amp;"+"&amp;S212)&amp;IF(T212=0,"",","&amp;VLOOKUP(T212,定义数据!$B$14:$C$29,2,0)&amp;"+"&amp;U212)</f>
        <v>命中值+918</v>
      </c>
      <c r="H212">
        <v>0</v>
      </c>
      <c r="I212">
        <f t="shared" si="33"/>
        <v>4</v>
      </c>
      <c r="J212">
        <f>IF(ISERROR(VLOOKUP(D212,命格辅助表!$I$76:$N$86,D_命格表!E212+2,0)),0,VLOOKUP(D212,命格辅助表!$I$76:$N$86,D_命格表!E212+2,0))</f>
        <v>640</v>
      </c>
      <c r="K212">
        <f>IF(ISERROR(VLOOKUP(D212,命格辅助表!$P$76:$U$86,E212+2,0)),0,VLOOKUP(D212,命格辅助表!$P$76:$U$86,E212+2,0))</f>
        <v>480</v>
      </c>
      <c r="L212">
        <v>0</v>
      </c>
      <c r="M212">
        <v>0</v>
      </c>
      <c r="N212">
        <v>8440</v>
      </c>
      <c r="O212">
        <f t="shared" si="37"/>
        <v>1</v>
      </c>
      <c r="P212">
        <f t="shared" si="31"/>
        <v>6</v>
      </c>
      <c r="Q212">
        <f>ROUND((VLOOKUP($A212,命格属性表,13,0)+VLOOKUP($A212,命格属性表,20,0)*($D212-1))*IF(P212&gt;9,1,VLOOKUP(D212,命格辅助表!$S$3:$U$10,3,0)),0)</f>
        <v>918</v>
      </c>
      <c r="R212">
        <f t="shared" si="32"/>
        <v>0</v>
      </c>
      <c r="S212">
        <f>ROUND(IF(R212=0,0,VLOOKUP($A212,命格属性表,15,0)+VLOOKUP($A212,命格属性表,22,0)*($D212-1))*IF(R212&gt;9,1,VLOOKUP(D212,命格辅助表!$S$3:$U$10,3,0)),0)</f>
        <v>0</v>
      </c>
      <c r="T212">
        <f t="shared" si="34"/>
        <v>0</v>
      </c>
      <c r="U212">
        <f t="shared" si="36"/>
        <v>0</v>
      </c>
    </row>
    <row r="213" spans="1:21">
      <c r="A213">
        <v>8440</v>
      </c>
      <c r="B213" t="str">
        <f t="shared" si="30"/>
        <v>千眼</v>
      </c>
      <c r="C213">
        <f t="shared" si="35"/>
        <v>4</v>
      </c>
      <c r="D213">
        <v>3</v>
      </c>
      <c r="E213">
        <v>3</v>
      </c>
      <c r="F213">
        <v>10</v>
      </c>
      <c r="G213" t="str">
        <f>VLOOKUP(P213,定义数据!$B$14:$C$29,2,0)&amp;"+"&amp;Q213&amp;IF(R213=0,"",","&amp;VLOOKUP(R213,定义数据!$B$14:$C$29,2,0)&amp;"+"&amp;S213)&amp;IF(T213=0,"",","&amp;VLOOKUP(T213,定义数据!$B$14:$C$29,2,0)&amp;"+"&amp;U213)</f>
        <v>命中值+1377</v>
      </c>
      <c r="H213">
        <v>0</v>
      </c>
      <c r="I213">
        <f t="shared" si="33"/>
        <v>4</v>
      </c>
      <c r="J213">
        <f>IF(ISERROR(VLOOKUP(D213,命格辅助表!$I$76:$N$86,D_命格表!E213+2,0)),0,VLOOKUP(D213,命格辅助表!$I$76:$N$86,D_命格表!E213+2,0))</f>
        <v>1280</v>
      </c>
      <c r="K213">
        <f>IF(ISERROR(VLOOKUP(D213,命格辅助表!$P$76:$U$86,E213+2,0)),0,VLOOKUP(D213,命格辅助表!$P$76:$U$86,E213+2,0))</f>
        <v>1120</v>
      </c>
      <c r="L213">
        <v>0</v>
      </c>
      <c r="M213">
        <v>0</v>
      </c>
      <c r="N213">
        <v>8440</v>
      </c>
      <c r="O213">
        <f t="shared" si="37"/>
        <v>1</v>
      </c>
      <c r="P213">
        <f t="shared" si="31"/>
        <v>6</v>
      </c>
      <c r="Q213">
        <f>ROUND((VLOOKUP($A213,命格属性表,13,0)+VLOOKUP($A213,命格属性表,20,0)*($D213-1))*IF(P213&gt;9,1,VLOOKUP(D213,命格辅助表!$S$3:$U$10,3,0)),0)</f>
        <v>1377</v>
      </c>
      <c r="R213">
        <f t="shared" si="32"/>
        <v>0</v>
      </c>
      <c r="S213">
        <f>ROUND(IF(R213=0,0,VLOOKUP($A213,命格属性表,15,0)+VLOOKUP($A213,命格属性表,22,0)*($D213-1))*IF(R213&gt;9,1,VLOOKUP(D213,命格辅助表!$S$3:$U$10,3,0)),0)</f>
        <v>0</v>
      </c>
      <c r="T213">
        <f t="shared" si="34"/>
        <v>0</v>
      </c>
      <c r="U213">
        <f t="shared" si="36"/>
        <v>0</v>
      </c>
    </row>
    <row r="214" spans="1:21">
      <c r="A214">
        <v>8440</v>
      </c>
      <c r="B214" t="str">
        <f t="shared" si="30"/>
        <v>千眼</v>
      </c>
      <c r="C214">
        <f t="shared" si="35"/>
        <v>4</v>
      </c>
      <c r="D214">
        <v>4</v>
      </c>
      <c r="E214">
        <v>3</v>
      </c>
      <c r="F214">
        <v>10</v>
      </c>
      <c r="G214" t="str">
        <f>VLOOKUP(P214,定义数据!$B$14:$C$29,2,0)&amp;"+"&amp;Q214&amp;IF(R214=0,"",","&amp;VLOOKUP(R214,定义数据!$B$14:$C$29,2,0)&amp;"+"&amp;S214)&amp;IF(T214=0,"",","&amp;VLOOKUP(T214,定义数据!$B$14:$C$29,2,0)&amp;"+"&amp;U214)</f>
        <v>命中值+2065</v>
      </c>
      <c r="H214">
        <v>0</v>
      </c>
      <c r="I214">
        <f t="shared" si="33"/>
        <v>4</v>
      </c>
      <c r="J214">
        <f>IF(ISERROR(VLOOKUP(D214,命格辅助表!$I$76:$N$86,D_命格表!E214+2,0)),0,VLOOKUP(D214,命格辅助表!$I$76:$N$86,D_命格表!E214+2,0))</f>
        <v>2560</v>
      </c>
      <c r="K214">
        <f>IF(ISERROR(VLOOKUP(D214,命格辅助表!$P$76:$U$86,E214+2,0)),0,VLOOKUP(D214,命格辅助表!$P$76:$U$86,E214+2,0))</f>
        <v>2400</v>
      </c>
      <c r="L214">
        <v>0</v>
      </c>
      <c r="M214">
        <v>0</v>
      </c>
      <c r="N214">
        <v>8440</v>
      </c>
      <c r="O214">
        <f t="shared" si="37"/>
        <v>1</v>
      </c>
      <c r="P214">
        <f t="shared" si="31"/>
        <v>6</v>
      </c>
      <c r="Q214">
        <f>ROUND((VLOOKUP($A214,命格属性表,13,0)+VLOOKUP($A214,命格属性表,20,0)*($D214-1))*IF(P214&gt;9,1,VLOOKUP(D214,命格辅助表!$S$3:$U$10,3,0)),0)</f>
        <v>2065</v>
      </c>
      <c r="R214">
        <f t="shared" si="32"/>
        <v>0</v>
      </c>
      <c r="S214">
        <f>ROUND(IF(R214=0,0,VLOOKUP($A214,命格属性表,15,0)+VLOOKUP($A214,命格属性表,22,0)*($D214-1))*IF(R214&gt;9,1,VLOOKUP(D214,命格辅助表!$S$3:$U$10,3,0)),0)</f>
        <v>0</v>
      </c>
      <c r="T214">
        <f t="shared" si="34"/>
        <v>0</v>
      </c>
      <c r="U214">
        <f t="shared" si="36"/>
        <v>0</v>
      </c>
    </row>
    <row r="215" spans="1:21">
      <c r="A215">
        <v>8440</v>
      </c>
      <c r="B215" t="str">
        <f t="shared" si="30"/>
        <v>千眼</v>
      </c>
      <c r="C215">
        <f t="shared" si="35"/>
        <v>4</v>
      </c>
      <c r="D215">
        <v>5</v>
      </c>
      <c r="E215">
        <v>3</v>
      </c>
      <c r="F215">
        <v>10</v>
      </c>
      <c r="G215" t="str">
        <f>VLOOKUP(P215,定义数据!$B$14:$C$29,2,0)&amp;"+"&amp;Q215&amp;IF(R215=0,"",","&amp;VLOOKUP(R215,定义数据!$B$14:$C$29,2,0)&amp;"+"&amp;S215)&amp;IF(T215=0,"",","&amp;VLOOKUP(T215,定义数据!$B$14:$C$29,2,0)&amp;"+"&amp;U215)</f>
        <v>命中值+3098</v>
      </c>
      <c r="H215">
        <v>0</v>
      </c>
      <c r="I215">
        <f t="shared" si="33"/>
        <v>4</v>
      </c>
      <c r="J215">
        <f>IF(ISERROR(VLOOKUP(D215,命格辅助表!$I$76:$N$86,D_命格表!E215+2,0)),0,VLOOKUP(D215,命格辅助表!$I$76:$N$86,D_命格表!E215+2,0))</f>
        <v>5120</v>
      </c>
      <c r="K215">
        <f>IF(ISERROR(VLOOKUP(D215,命格辅助表!$P$76:$U$86,E215+2,0)),0,VLOOKUP(D215,命格辅助表!$P$76:$U$86,E215+2,0))</f>
        <v>4960</v>
      </c>
      <c r="L215">
        <v>0</v>
      </c>
      <c r="M215">
        <v>0</v>
      </c>
      <c r="N215">
        <v>8440</v>
      </c>
      <c r="O215">
        <f t="shared" si="37"/>
        <v>1</v>
      </c>
      <c r="P215">
        <f t="shared" si="31"/>
        <v>6</v>
      </c>
      <c r="Q215">
        <f>ROUND((VLOOKUP($A215,命格属性表,13,0)+VLOOKUP($A215,命格属性表,20,0)*($D215-1))*IF(P215&gt;9,1,VLOOKUP(D215,命格辅助表!$S$3:$U$10,3,0)),0)</f>
        <v>3098</v>
      </c>
      <c r="R215">
        <f t="shared" si="32"/>
        <v>0</v>
      </c>
      <c r="S215">
        <f>ROUND(IF(R215=0,0,VLOOKUP($A215,命格属性表,15,0)+VLOOKUP($A215,命格属性表,22,0)*($D215-1))*IF(R215&gt;9,1,VLOOKUP(D215,命格辅助表!$S$3:$U$10,3,0)),0)</f>
        <v>0</v>
      </c>
      <c r="T215">
        <f t="shared" si="34"/>
        <v>0</v>
      </c>
      <c r="U215">
        <f t="shared" si="36"/>
        <v>0</v>
      </c>
    </row>
    <row r="216" spans="1:21">
      <c r="A216">
        <v>8440</v>
      </c>
      <c r="B216" t="str">
        <f t="shared" si="30"/>
        <v>千眼</v>
      </c>
      <c r="C216">
        <f t="shared" si="35"/>
        <v>4</v>
      </c>
      <c r="D216">
        <v>6</v>
      </c>
      <c r="E216">
        <v>3</v>
      </c>
      <c r="F216">
        <v>10</v>
      </c>
      <c r="G216" t="str">
        <f>VLOOKUP(P216,定义数据!$B$14:$C$29,2,0)&amp;"+"&amp;Q216&amp;IF(R216=0,"",","&amp;VLOOKUP(R216,定义数据!$B$14:$C$29,2,0)&amp;"+"&amp;S216)&amp;IF(T216=0,"",","&amp;VLOOKUP(T216,定义数据!$B$14:$C$29,2,0)&amp;"+"&amp;U216)</f>
        <v>命中值+4647</v>
      </c>
      <c r="H216">
        <v>0</v>
      </c>
      <c r="I216">
        <f t="shared" si="33"/>
        <v>4</v>
      </c>
      <c r="J216">
        <f>IF(ISERROR(VLOOKUP(D216,命格辅助表!$I$76:$N$86,D_命格表!E216+2,0)),0,VLOOKUP(D216,命格辅助表!$I$76:$N$86,D_命格表!E216+2,0))</f>
        <v>10240</v>
      </c>
      <c r="K216">
        <f>IF(ISERROR(VLOOKUP(D216,命格辅助表!$P$76:$U$86,E216+2,0)),0,VLOOKUP(D216,命格辅助表!$P$76:$U$86,E216+2,0))</f>
        <v>10080</v>
      </c>
      <c r="L216">
        <v>0</v>
      </c>
      <c r="M216">
        <v>0</v>
      </c>
      <c r="N216">
        <v>8440</v>
      </c>
      <c r="O216">
        <f t="shared" si="37"/>
        <v>1</v>
      </c>
      <c r="P216">
        <f t="shared" si="31"/>
        <v>6</v>
      </c>
      <c r="Q216">
        <f>ROUND((VLOOKUP($A216,命格属性表,13,0)+VLOOKUP($A216,命格属性表,20,0)*($D216-1))*IF(P216&gt;9,1,VLOOKUP(D216,命格辅助表!$S$3:$U$10,3,0)),0)</f>
        <v>4647</v>
      </c>
      <c r="R216">
        <f t="shared" si="32"/>
        <v>0</v>
      </c>
      <c r="S216">
        <f>ROUND(IF(R216=0,0,VLOOKUP($A216,命格属性表,15,0)+VLOOKUP($A216,命格属性表,22,0)*($D216-1))*IF(R216&gt;9,1,VLOOKUP(D216,命格辅助表!$S$3:$U$10,3,0)),0)</f>
        <v>0</v>
      </c>
      <c r="T216">
        <f t="shared" si="34"/>
        <v>0</v>
      </c>
      <c r="U216">
        <f t="shared" si="36"/>
        <v>0</v>
      </c>
    </row>
    <row r="217" spans="1:21">
      <c r="A217">
        <v>8440</v>
      </c>
      <c r="B217" t="str">
        <f t="shared" si="30"/>
        <v>千眼</v>
      </c>
      <c r="C217">
        <f t="shared" si="35"/>
        <v>4</v>
      </c>
      <c r="D217">
        <v>7</v>
      </c>
      <c r="E217">
        <v>3</v>
      </c>
      <c r="F217">
        <v>10</v>
      </c>
      <c r="G217" t="str">
        <f>VLOOKUP(P217,定义数据!$B$14:$C$29,2,0)&amp;"+"&amp;Q217&amp;IF(R217=0,"",","&amp;VLOOKUP(R217,定义数据!$B$14:$C$29,2,0)&amp;"+"&amp;S217)&amp;IF(T217=0,"",","&amp;VLOOKUP(T217,定义数据!$B$14:$C$29,2,0)&amp;"+"&amp;U217)</f>
        <v>命中值+6971</v>
      </c>
      <c r="H217">
        <v>0</v>
      </c>
      <c r="I217">
        <f t="shared" si="33"/>
        <v>4</v>
      </c>
      <c r="J217">
        <f>IF(ISERROR(VLOOKUP(D217,命格辅助表!$I$76:$N$86,D_命格表!E217+2,0)),0,VLOOKUP(D217,命格辅助表!$I$76:$N$86,D_命格表!E217+2,0))</f>
        <v>20480</v>
      </c>
      <c r="K217">
        <f>IF(ISERROR(VLOOKUP(D217,命格辅助表!$P$76:$U$86,E217+2,0)),0,VLOOKUP(D217,命格辅助表!$P$76:$U$86,E217+2,0))</f>
        <v>20320</v>
      </c>
      <c r="L217">
        <v>0</v>
      </c>
      <c r="M217">
        <v>0</v>
      </c>
      <c r="N217">
        <v>8440</v>
      </c>
      <c r="O217">
        <f t="shared" si="37"/>
        <v>1</v>
      </c>
      <c r="P217">
        <f t="shared" si="31"/>
        <v>6</v>
      </c>
      <c r="Q217">
        <f>ROUND((VLOOKUP($A217,命格属性表,13,0)+VLOOKUP($A217,命格属性表,20,0)*($D217-1))*IF(P217&gt;9,1,VLOOKUP(D217,命格辅助表!$S$3:$U$10,3,0)),0)</f>
        <v>6971</v>
      </c>
      <c r="R217">
        <f t="shared" si="32"/>
        <v>0</v>
      </c>
      <c r="S217">
        <f>ROUND(IF(R217=0,0,VLOOKUP($A217,命格属性表,15,0)+VLOOKUP($A217,命格属性表,22,0)*($D217-1))*IF(R217&gt;9,1,VLOOKUP(D217,命格辅助表!$S$3:$U$10,3,0)),0)</f>
        <v>0</v>
      </c>
      <c r="T217">
        <f t="shared" si="34"/>
        <v>0</v>
      </c>
      <c r="U217">
        <f t="shared" si="36"/>
        <v>0</v>
      </c>
    </row>
    <row r="218" spans="1:21">
      <c r="A218">
        <v>8440</v>
      </c>
      <c r="B218" t="str">
        <f t="shared" si="30"/>
        <v>千眼</v>
      </c>
      <c r="C218">
        <f t="shared" si="35"/>
        <v>4</v>
      </c>
      <c r="D218">
        <v>8</v>
      </c>
      <c r="E218">
        <v>3</v>
      </c>
      <c r="F218">
        <v>10</v>
      </c>
      <c r="G218" t="str">
        <f>VLOOKUP(P218,定义数据!$B$14:$C$29,2,0)&amp;"+"&amp;Q218&amp;IF(R218=0,"",","&amp;VLOOKUP(R218,定义数据!$B$14:$C$29,2,0)&amp;"+"&amp;S218)&amp;IF(T218=0,"",","&amp;VLOOKUP(T218,定义数据!$B$14:$C$29,2,0)&amp;"+"&amp;U218)</f>
        <v>命中值+10456</v>
      </c>
      <c r="H218">
        <v>0</v>
      </c>
      <c r="I218">
        <f t="shared" si="33"/>
        <v>4</v>
      </c>
      <c r="J218">
        <f>IF(ISERROR(VLOOKUP(D218,命格辅助表!$I$76:$N$86,D_命格表!E218+2,0)),0,VLOOKUP(D218,命格辅助表!$I$76:$N$86,D_命格表!E218+2,0))</f>
        <v>40960</v>
      </c>
      <c r="K218">
        <f>IF(ISERROR(VLOOKUP(D218,命格辅助表!$P$76:$U$86,E218+2,0)),0,VLOOKUP(D218,命格辅助表!$P$76:$U$86,E218+2,0))</f>
        <v>40800</v>
      </c>
      <c r="L218">
        <f>IF(ISERROR(VLOOKUP(D218,命格辅助表!$I$76:$N$86,D_命格表!E218+2,0)),0,VLOOKUP(D218,命格辅助表!$I$76:$N$86,D_命格表!E218+2,0))</f>
        <v>40960</v>
      </c>
      <c r="M218">
        <f>A218+10</f>
        <v>8450</v>
      </c>
      <c r="N218">
        <v>8440</v>
      </c>
      <c r="O218">
        <f t="shared" si="37"/>
        <v>1</v>
      </c>
      <c r="P218">
        <f t="shared" si="31"/>
        <v>6</v>
      </c>
      <c r="Q218">
        <f>ROUND((VLOOKUP($A218,命格属性表,13,0)+VLOOKUP($A218,命格属性表,20,0)*($D218-1))*IF(P218&gt;9,1,VLOOKUP(D218,命格辅助表!$S$3:$U$10,3,0)),0)</f>
        <v>10456</v>
      </c>
      <c r="R218">
        <f t="shared" si="32"/>
        <v>0</v>
      </c>
      <c r="S218">
        <f>ROUND(IF(R218=0,0,VLOOKUP($A218,命格属性表,15,0)+VLOOKUP($A218,命格属性表,22,0)*($D218-1))*IF(R218&gt;9,1,VLOOKUP(D218,命格辅助表!$S$3:$U$10,3,0)),0)</f>
        <v>0</v>
      </c>
      <c r="T218">
        <f t="shared" si="34"/>
        <v>0</v>
      </c>
      <c r="U218">
        <f t="shared" si="36"/>
        <v>0</v>
      </c>
    </row>
    <row r="219" spans="1:21">
      <c r="A219">
        <v>8540</v>
      </c>
      <c r="B219" t="str">
        <f t="shared" si="30"/>
        <v>逍遥</v>
      </c>
      <c r="C219">
        <f t="shared" si="35"/>
        <v>5</v>
      </c>
      <c r="D219">
        <v>1</v>
      </c>
      <c r="E219">
        <v>3</v>
      </c>
      <c r="F219">
        <v>10</v>
      </c>
      <c r="G219" t="str">
        <f>VLOOKUP(P219,定义数据!$B$14:$C$29,2,0)&amp;"+"&amp;Q219&amp;IF(R219=0,"",","&amp;VLOOKUP(R219,定义数据!$B$14:$C$29,2,0)&amp;"+"&amp;S219)&amp;IF(T219=0,"",","&amp;VLOOKUP(T219,定义数据!$B$14:$C$29,2,0)&amp;"+"&amp;U219)</f>
        <v>闪避值+612</v>
      </c>
      <c r="H219">
        <v>0</v>
      </c>
      <c r="I219">
        <f t="shared" si="33"/>
        <v>5</v>
      </c>
      <c r="J219">
        <f>IF(ISERROR(VLOOKUP(D219,命格辅助表!$I$76:$N$86,D_命格表!E219+2,0)),0,VLOOKUP(D219,命格辅助表!$I$76:$N$86,D_命格表!E219+2,0))</f>
        <v>320</v>
      </c>
      <c r="K219">
        <f>IF(ISERROR(VLOOKUP(D219,命格辅助表!$P$76:$U$86,E219+2,0)),0,VLOOKUP(D219,命格辅助表!$P$76:$U$86,E219+2,0))</f>
        <v>160</v>
      </c>
      <c r="L219">
        <v>0</v>
      </c>
      <c r="M219">
        <v>0</v>
      </c>
      <c r="N219">
        <v>8140</v>
      </c>
      <c r="O219">
        <f t="shared" si="37"/>
        <v>1</v>
      </c>
      <c r="P219">
        <f t="shared" si="31"/>
        <v>7</v>
      </c>
      <c r="Q219">
        <f>ROUND((VLOOKUP($A219,命格属性表,13,0)+VLOOKUP($A219,命格属性表,20,0)*($D219-1))*IF(P219&gt;9,1,VLOOKUP(D219,命格辅助表!$S$3:$U$10,3,0)),0)</f>
        <v>612</v>
      </c>
      <c r="R219">
        <f t="shared" si="32"/>
        <v>0</v>
      </c>
      <c r="S219">
        <f>ROUND(IF(R219=0,0,VLOOKUP($A219,命格属性表,15,0)+VLOOKUP($A219,命格属性表,22,0)*($D219-1))*IF(R219&gt;9,1,VLOOKUP(D219,命格辅助表!$S$3:$U$10,3,0)),0)</f>
        <v>0</v>
      </c>
      <c r="T219">
        <f t="shared" si="34"/>
        <v>0</v>
      </c>
      <c r="U219">
        <f t="shared" si="36"/>
        <v>0</v>
      </c>
    </row>
    <row r="220" spans="1:21">
      <c r="A220">
        <v>8540</v>
      </c>
      <c r="B220" t="str">
        <f t="shared" si="30"/>
        <v>逍遥</v>
      </c>
      <c r="C220">
        <f t="shared" si="35"/>
        <v>5</v>
      </c>
      <c r="D220">
        <v>2</v>
      </c>
      <c r="E220">
        <v>3</v>
      </c>
      <c r="F220">
        <v>10</v>
      </c>
      <c r="G220" t="str">
        <f>VLOOKUP(P220,定义数据!$B$14:$C$29,2,0)&amp;"+"&amp;Q220&amp;IF(R220=0,"",","&amp;VLOOKUP(R220,定义数据!$B$14:$C$29,2,0)&amp;"+"&amp;S220)&amp;IF(T220=0,"",","&amp;VLOOKUP(T220,定义数据!$B$14:$C$29,2,0)&amp;"+"&amp;U220)</f>
        <v>闪避值+918</v>
      </c>
      <c r="H220">
        <v>0</v>
      </c>
      <c r="I220">
        <f t="shared" si="33"/>
        <v>5</v>
      </c>
      <c r="J220">
        <f>IF(ISERROR(VLOOKUP(D220,命格辅助表!$I$76:$N$86,D_命格表!E220+2,0)),0,VLOOKUP(D220,命格辅助表!$I$76:$N$86,D_命格表!E220+2,0))</f>
        <v>640</v>
      </c>
      <c r="K220">
        <f>IF(ISERROR(VLOOKUP(D220,命格辅助表!$P$76:$U$86,E220+2,0)),0,VLOOKUP(D220,命格辅助表!$P$76:$U$86,E220+2,0))</f>
        <v>480</v>
      </c>
      <c r="L220">
        <v>0</v>
      </c>
      <c r="M220">
        <v>0</v>
      </c>
      <c r="N220">
        <v>8140</v>
      </c>
      <c r="O220">
        <f t="shared" si="37"/>
        <v>1</v>
      </c>
      <c r="P220">
        <f t="shared" si="31"/>
        <v>7</v>
      </c>
      <c r="Q220">
        <f>ROUND((VLOOKUP($A220,命格属性表,13,0)+VLOOKUP($A220,命格属性表,20,0)*($D220-1))*IF(P220&gt;9,1,VLOOKUP(D220,命格辅助表!$S$3:$U$10,3,0)),0)</f>
        <v>918</v>
      </c>
      <c r="R220">
        <f t="shared" si="32"/>
        <v>0</v>
      </c>
      <c r="S220">
        <f>ROUND(IF(R220=0,0,VLOOKUP($A220,命格属性表,15,0)+VLOOKUP($A220,命格属性表,22,0)*($D220-1))*IF(R220&gt;9,1,VLOOKUP(D220,命格辅助表!$S$3:$U$10,3,0)),0)</f>
        <v>0</v>
      </c>
      <c r="T220">
        <f t="shared" si="34"/>
        <v>0</v>
      </c>
      <c r="U220">
        <f t="shared" si="36"/>
        <v>0</v>
      </c>
    </row>
    <row r="221" spans="1:21">
      <c r="A221">
        <v>8540</v>
      </c>
      <c r="B221" t="str">
        <f t="shared" si="30"/>
        <v>逍遥</v>
      </c>
      <c r="C221">
        <f t="shared" si="35"/>
        <v>5</v>
      </c>
      <c r="D221">
        <v>3</v>
      </c>
      <c r="E221">
        <v>3</v>
      </c>
      <c r="F221">
        <v>10</v>
      </c>
      <c r="G221" t="str">
        <f>VLOOKUP(P221,定义数据!$B$14:$C$29,2,0)&amp;"+"&amp;Q221&amp;IF(R221=0,"",","&amp;VLOOKUP(R221,定义数据!$B$14:$C$29,2,0)&amp;"+"&amp;S221)&amp;IF(T221=0,"",","&amp;VLOOKUP(T221,定义数据!$B$14:$C$29,2,0)&amp;"+"&amp;U221)</f>
        <v>闪避值+1377</v>
      </c>
      <c r="H221">
        <v>0</v>
      </c>
      <c r="I221">
        <f t="shared" si="33"/>
        <v>5</v>
      </c>
      <c r="J221">
        <f>IF(ISERROR(VLOOKUP(D221,命格辅助表!$I$76:$N$86,D_命格表!E221+2,0)),0,VLOOKUP(D221,命格辅助表!$I$76:$N$86,D_命格表!E221+2,0))</f>
        <v>1280</v>
      </c>
      <c r="K221">
        <f>IF(ISERROR(VLOOKUP(D221,命格辅助表!$P$76:$U$86,E221+2,0)),0,VLOOKUP(D221,命格辅助表!$P$76:$U$86,E221+2,0))</f>
        <v>1120</v>
      </c>
      <c r="L221">
        <v>0</v>
      </c>
      <c r="M221">
        <v>0</v>
      </c>
      <c r="N221">
        <v>8140</v>
      </c>
      <c r="O221">
        <f t="shared" si="37"/>
        <v>1</v>
      </c>
      <c r="P221">
        <f t="shared" si="31"/>
        <v>7</v>
      </c>
      <c r="Q221">
        <f>ROUND((VLOOKUP($A221,命格属性表,13,0)+VLOOKUP($A221,命格属性表,20,0)*($D221-1))*IF(P221&gt;9,1,VLOOKUP(D221,命格辅助表!$S$3:$U$10,3,0)),0)</f>
        <v>1377</v>
      </c>
      <c r="R221">
        <f t="shared" si="32"/>
        <v>0</v>
      </c>
      <c r="S221">
        <f>ROUND(IF(R221=0,0,VLOOKUP($A221,命格属性表,15,0)+VLOOKUP($A221,命格属性表,22,0)*($D221-1))*IF(R221&gt;9,1,VLOOKUP(D221,命格辅助表!$S$3:$U$10,3,0)),0)</f>
        <v>0</v>
      </c>
      <c r="T221">
        <f t="shared" si="34"/>
        <v>0</v>
      </c>
      <c r="U221">
        <f t="shared" si="36"/>
        <v>0</v>
      </c>
    </row>
    <row r="222" spans="1:21">
      <c r="A222">
        <v>8540</v>
      </c>
      <c r="B222" t="str">
        <f t="shared" si="30"/>
        <v>逍遥</v>
      </c>
      <c r="C222">
        <f t="shared" si="35"/>
        <v>5</v>
      </c>
      <c r="D222">
        <v>4</v>
      </c>
      <c r="E222">
        <v>3</v>
      </c>
      <c r="F222">
        <v>10</v>
      </c>
      <c r="G222" t="str">
        <f>VLOOKUP(P222,定义数据!$B$14:$C$29,2,0)&amp;"+"&amp;Q222&amp;IF(R222=0,"",","&amp;VLOOKUP(R222,定义数据!$B$14:$C$29,2,0)&amp;"+"&amp;S222)&amp;IF(T222=0,"",","&amp;VLOOKUP(T222,定义数据!$B$14:$C$29,2,0)&amp;"+"&amp;U222)</f>
        <v>闪避值+2065</v>
      </c>
      <c r="H222">
        <v>0</v>
      </c>
      <c r="I222">
        <f t="shared" si="33"/>
        <v>5</v>
      </c>
      <c r="J222">
        <f>IF(ISERROR(VLOOKUP(D222,命格辅助表!$I$76:$N$86,D_命格表!E222+2,0)),0,VLOOKUP(D222,命格辅助表!$I$76:$N$86,D_命格表!E222+2,0))</f>
        <v>2560</v>
      </c>
      <c r="K222">
        <f>IF(ISERROR(VLOOKUP(D222,命格辅助表!$P$76:$U$86,E222+2,0)),0,VLOOKUP(D222,命格辅助表!$P$76:$U$86,E222+2,0))</f>
        <v>2400</v>
      </c>
      <c r="L222">
        <v>0</v>
      </c>
      <c r="M222">
        <v>0</v>
      </c>
      <c r="N222">
        <v>8140</v>
      </c>
      <c r="O222">
        <f t="shared" si="37"/>
        <v>1</v>
      </c>
      <c r="P222">
        <f t="shared" si="31"/>
        <v>7</v>
      </c>
      <c r="Q222">
        <f>ROUND((VLOOKUP($A222,命格属性表,13,0)+VLOOKUP($A222,命格属性表,20,0)*($D222-1))*IF(P222&gt;9,1,VLOOKUP(D222,命格辅助表!$S$3:$U$10,3,0)),0)</f>
        <v>2065</v>
      </c>
      <c r="R222">
        <f t="shared" si="32"/>
        <v>0</v>
      </c>
      <c r="S222">
        <f>ROUND(IF(R222=0,0,VLOOKUP($A222,命格属性表,15,0)+VLOOKUP($A222,命格属性表,22,0)*($D222-1))*IF(R222&gt;9,1,VLOOKUP(D222,命格辅助表!$S$3:$U$10,3,0)),0)</f>
        <v>0</v>
      </c>
      <c r="T222">
        <f t="shared" si="34"/>
        <v>0</v>
      </c>
      <c r="U222">
        <f t="shared" si="36"/>
        <v>0</v>
      </c>
    </row>
    <row r="223" spans="1:21">
      <c r="A223">
        <v>8540</v>
      </c>
      <c r="B223" t="str">
        <f t="shared" si="30"/>
        <v>逍遥</v>
      </c>
      <c r="C223">
        <f t="shared" si="35"/>
        <v>5</v>
      </c>
      <c r="D223">
        <v>5</v>
      </c>
      <c r="E223">
        <v>3</v>
      </c>
      <c r="F223">
        <v>10</v>
      </c>
      <c r="G223" t="str">
        <f>VLOOKUP(P223,定义数据!$B$14:$C$29,2,0)&amp;"+"&amp;Q223&amp;IF(R223=0,"",","&amp;VLOOKUP(R223,定义数据!$B$14:$C$29,2,0)&amp;"+"&amp;S223)&amp;IF(T223=0,"",","&amp;VLOOKUP(T223,定义数据!$B$14:$C$29,2,0)&amp;"+"&amp;U223)</f>
        <v>闪避值+3098</v>
      </c>
      <c r="H223">
        <v>0</v>
      </c>
      <c r="I223">
        <f t="shared" si="33"/>
        <v>5</v>
      </c>
      <c r="J223">
        <f>IF(ISERROR(VLOOKUP(D223,命格辅助表!$I$76:$N$86,D_命格表!E223+2,0)),0,VLOOKUP(D223,命格辅助表!$I$76:$N$86,D_命格表!E223+2,0))</f>
        <v>5120</v>
      </c>
      <c r="K223">
        <f>IF(ISERROR(VLOOKUP(D223,命格辅助表!$P$76:$U$86,E223+2,0)),0,VLOOKUP(D223,命格辅助表!$P$76:$U$86,E223+2,0))</f>
        <v>4960</v>
      </c>
      <c r="L223">
        <v>0</v>
      </c>
      <c r="M223">
        <v>0</v>
      </c>
      <c r="N223">
        <v>8140</v>
      </c>
      <c r="O223">
        <f t="shared" si="37"/>
        <v>1</v>
      </c>
      <c r="P223">
        <f t="shared" si="31"/>
        <v>7</v>
      </c>
      <c r="Q223">
        <f>ROUND((VLOOKUP($A223,命格属性表,13,0)+VLOOKUP($A223,命格属性表,20,0)*($D223-1))*IF(P223&gt;9,1,VLOOKUP(D223,命格辅助表!$S$3:$U$10,3,0)),0)</f>
        <v>3098</v>
      </c>
      <c r="R223">
        <f t="shared" si="32"/>
        <v>0</v>
      </c>
      <c r="S223">
        <f>ROUND(IF(R223=0,0,VLOOKUP($A223,命格属性表,15,0)+VLOOKUP($A223,命格属性表,22,0)*($D223-1))*IF(R223&gt;9,1,VLOOKUP(D223,命格辅助表!$S$3:$U$10,3,0)),0)</f>
        <v>0</v>
      </c>
      <c r="T223">
        <f t="shared" si="34"/>
        <v>0</v>
      </c>
      <c r="U223">
        <f t="shared" si="36"/>
        <v>0</v>
      </c>
    </row>
    <row r="224" spans="1:21">
      <c r="A224">
        <v>8540</v>
      </c>
      <c r="B224" t="str">
        <f t="shared" si="30"/>
        <v>逍遥</v>
      </c>
      <c r="C224">
        <f t="shared" si="35"/>
        <v>5</v>
      </c>
      <c r="D224">
        <v>6</v>
      </c>
      <c r="E224">
        <v>3</v>
      </c>
      <c r="F224">
        <v>10</v>
      </c>
      <c r="G224" t="str">
        <f>VLOOKUP(P224,定义数据!$B$14:$C$29,2,0)&amp;"+"&amp;Q224&amp;IF(R224=0,"",","&amp;VLOOKUP(R224,定义数据!$B$14:$C$29,2,0)&amp;"+"&amp;S224)&amp;IF(T224=0,"",","&amp;VLOOKUP(T224,定义数据!$B$14:$C$29,2,0)&amp;"+"&amp;U224)</f>
        <v>闪避值+4647</v>
      </c>
      <c r="H224">
        <v>0</v>
      </c>
      <c r="I224">
        <f t="shared" si="33"/>
        <v>5</v>
      </c>
      <c r="J224">
        <f>IF(ISERROR(VLOOKUP(D224,命格辅助表!$I$76:$N$86,D_命格表!E224+2,0)),0,VLOOKUP(D224,命格辅助表!$I$76:$N$86,D_命格表!E224+2,0))</f>
        <v>10240</v>
      </c>
      <c r="K224">
        <f>IF(ISERROR(VLOOKUP(D224,命格辅助表!$P$76:$U$86,E224+2,0)),0,VLOOKUP(D224,命格辅助表!$P$76:$U$86,E224+2,0))</f>
        <v>10080</v>
      </c>
      <c r="L224">
        <v>0</v>
      </c>
      <c r="M224">
        <v>0</v>
      </c>
      <c r="N224">
        <v>8140</v>
      </c>
      <c r="O224">
        <f t="shared" si="37"/>
        <v>1</v>
      </c>
      <c r="P224">
        <f t="shared" si="31"/>
        <v>7</v>
      </c>
      <c r="Q224">
        <f>ROUND((VLOOKUP($A224,命格属性表,13,0)+VLOOKUP($A224,命格属性表,20,0)*($D224-1))*IF(P224&gt;9,1,VLOOKUP(D224,命格辅助表!$S$3:$U$10,3,0)),0)</f>
        <v>4647</v>
      </c>
      <c r="R224">
        <f t="shared" si="32"/>
        <v>0</v>
      </c>
      <c r="S224">
        <f>ROUND(IF(R224=0,0,VLOOKUP($A224,命格属性表,15,0)+VLOOKUP($A224,命格属性表,22,0)*($D224-1))*IF(R224&gt;9,1,VLOOKUP(D224,命格辅助表!$S$3:$U$10,3,0)),0)</f>
        <v>0</v>
      </c>
      <c r="T224">
        <f t="shared" si="34"/>
        <v>0</v>
      </c>
      <c r="U224">
        <f t="shared" si="36"/>
        <v>0</v>
      </c>
    </row>
    <row r="225" spans="1:21">
      <c r="A225">
        <v>8540</v>
      </c>
      <c r="B225" t="str">
        <f t="shared" si="30"/>
        <v>逍遥</v>
      </c>
      <c r="C225">
        <f t="shared" si="35"/>
        <v>5</v>
      </c>
      <c r="D225">
        <v>7</v>
      </c>
      <c r="E225">
        <v>3</v>
      </c>
      <c r="F225">
        <v>10</v>
      </c>
      <c r="G225" t="str">
        <f>VLOOKUP(P225,定义数据!$B$14:$C$29,2,0)&amp;"+"&amp;Q225&amp;IF(R225=0,"",","&amp;VLOOKUP(R225,定义数据!$B$14:$C$29,2,0)&amp;"+"&amp;S225)&amp;IF(T225=0,"",","&amp;VLOOKUP(T225,定义数据!$B$14:$C$29,2,0)&amp;"+"&amp;U225)</f>
        <v>闪避值+6971</v>
      </c>
      <c r="H225">
        <v>0</v>
      </c>
      <c r="I225">
        <f t="shared" si="33"/>
        <v>5</v>
      </c>
      <c r="J225">
        <f>IF(ISERROR(VLOOKUP(D225,命格辅助表!$I$76:$N$86,D_命格表!E225+2,0)),0,VLOOKUP(D225,命格辅助表!$I$76:$N$86,D_命格表!E225+2,0))</f>
        <v>20480</v>
      </c>
      <c r="K225">
        <f>IF(ISERROR(VLOOKUP(D225,命格辅助表!$P$76:$U$86,E225+2,0)),0,VLOOKUP(D225,命格辅助表!$P$76:$U$86,E225+2,0))</f>
        <v>20320</v>
      </c>
      <c r="L225">
        <v>0</v>
      </c>
      <c r="M225">
        <v>0</v>
      </c>
      <c r="N225">
        <v>8140</v>
      </c>
      <c r="O225">
        <f t="shared" si="37"/>
        <v>1</v>
      </c>
      <c r="P225">
        <f t="shared" si="31"/>
        <v>7</v>
      </c>
      <c r="Q225">
        <f>ROUND((VLOOKUP($A225,命格属性表,13,0)+VLOOKUP($A225,命格属性表,20,0)*($D225-1))*IF(P225&gt;9,1,VLOOKUP(D225,命格辅助表!$S$3:$U$10,3,0)),0)</f>
        <v>6971</v>
      </c>
      <c r="R225">
        <f t="shared" si="32"/>
        <v>0</v>
      </c>
      <c r="S225">
        <f>ROUND(IF(R225=0,0,VLOOKUP($A225,命格属性表,15,0)+VLOOKUP($A225,命格属性表,22,0)*($D225-1))*IF(R225&gt;9,1,VLOOKUP(D225,命格辅助表!$S$3:$U$10,3,0)),0)</f>
        <v>0</v>
      </c>
      <c r="T225">
        <f t="shared" si="34"/>
        <v>0</v>
      </c>
      <c r="U225">
        <f t="shared" si="36"/>
        <v>0</v>
      </c>
    </row>
    <row r="226" spans="1:21">
      <c r="A226">
        <v>8540</v>
      </c>
      <c r="B226" t="str">
        <f t="shared" si="30"/>
        <v>逍遥</v>
      </c>
      <c r="C226">
        <f t="shared" si="35"/>
        <v>5</v>
      </c>
      <c r="D226">
        <v>8</v>
      </c>
      <c r="E226">
        <v>3</v>
      </c>
      <c r="F226">
        <v>10</v>
      </c>
      <c r="G226" t="str">
        <f>VLOOKUP(P226,定义数据!$B$14:$C$29,2,0)&amp;"+"&amp;Q226&amp;IF(R226=0,"",","&amp;VLOOKUP(R226,定义数据!$B$14:$C$29,2,0)&amp;"+"&amp;S226)&amp;IF(T226=0,"",","&amp;VLOOKUP(T226,定义数据!$B$14:$C$29,2,0)&amp;"+"&amp;U226)</f>
        <v>闪避值+10456</v>
      </c>
      <c r="H226">
        <v>0</v>
      </c>
      <c r="I226">
        <f t="shared" si="33"/>
        <v>5</v>
      </c>
      <c r="J226">
        <f>IF(ISERROR(VLOOKUP(D226,命格辅助表!$I$76:$N$86,D_命格表!E226+2,0)),0,VLOOKUP(D226,命格辅助表!$I$76:$N$86,D_命格表!E226+2,0))</f>
        <v>40960</v>
      </c>
      <c r="K226">
        <f>IF(ISERROR(VLOOKUP(D226,命格辅助表!$P$76:$U$86,E226+2,0)),0,VLOOKUP(D226,命格辅助表!$P$76:$U$86,E226+2,0))</f>
        <v>40800</v>
      </c>
      <c r="L226">
        <f>IF(ISERROR(VLOOKUP(D226,命格辅助表!$I$76:$N$86,D_命格表!E226+2,0)),0,VLOOKUP(D226,命格辅助表!$I$76:$N$86,D_命格表!E226+2,0))</f>
        <v>40960</v>
      </c>
      <c r="M226">
        <f>A226+10</f>
        <v>8550</v>
      </c>
      <c r="N226">
        <v>8140</v>
      </c>
      <c r="O226">
        <f t="shared" si="37"/>
        <v>1</v>
      </c>
      <c r="P226">
        <f t="shared" si="31"/>
        <v>7</v>
      </c>
      <c r="Q226">
        <f>ROUND((VLOOKUP($A226,命格属性表,13,0)+VLOOKUP($A226,命格属性表,20,0)*($D226-1))*IF(P226&gt;9,1,VLOOKUP(D226,命格辅助表!$S$3:$U$10,3,0)),0)</f>
        <v>10456</v>
      </c>
      <c r="R226">
        <f t="shared" si="32"/>
        <v>0</v>
      </c>
      <c r="S226">
        <f>ROUND(IF(R226=0,0,VLOOKUP($A226,命格属性表,15,0)+VLOOKUP($A226,命格属性表,22,0)*($D226-1))*IF(R226&gt;9,1,VLOOKUP(D226,命格辅助表!$S$3:$U$10,3,0)),0)</f>
        <v>0</v>
      </c>
      <c r="T226">
        <f t="shared" si="34"/>
        <v>0</v>
      </c>
      <c r="U226">
        <f t="shared" si="36"/>
        <v>0</v>
      </c>
    </row>
    <row r="227" spans="1:21">
      <c r="A227">
        <v>8640</v>
      </c>
      <c r="B227" t="str">
        <f t="shared" si="30"/>
        <v>流离</v>
      </c>
      <c r="C227">
        <f t="shared" si="35"/>
        <v>6</v>
      </c>
      <c r="D227">
        <v>1</v>
      </c>
      <c r="E227">
        <v>3</v>
      </c>
      <c r="F227">
        <v>10</v>
      </c>
      <c r="G227" t="str">
        <f>VLOOKUP(P227,定义数据!$B$14:$C$29,2,0)&amp;"+"&amp;Q227&amp;IF(R227=0,"",","&amp;VLOOKUP(R227,定义数据!$B$14:$C$29,2,0)&amp;"+"&amp;S227)&amp;IF(T227=0,"",","&amp;VLOOKUP(T227,定义数据!$B$14:$C$29,2,0)&amp;"+"&amp;U227)</f>
        <v>韧性值+1156</v>
      </c>
      <c r="H227">
        <v>0</v>
      </c>
      <c r="I227">
        <f t="shared" si="33"/>
        <v>6</v>
      </c>
      <c r="J227">
        <f>IF(ISERROR(VLOOKUP(D227,命格辅助表!$I$76:$N$86,D_命格表!E227+2,0)),0,VLOOKUP(D227,命格辅助表!$I$76:$N$86,D_命格表!E227+2,0))</f>
        <v>320</v>
      </c>
      <c r="K227">
        <f>IF(ISERROR(VLOOKUP(D227,命格辅助表!$P$76:$U$86,E227+2,0)),0,VLOOKUP(D227,命格辅助表!$P$76:$U$86,E227+2,0))</f>
        <v>160</v>
      </c>
      <c r="L227">
        <v>0</v>
      </c>
      <c r="M227">
        <v>0</v>
      </c>
      <c r="N227">
        <v>8240</v>
      </c>
      <c r="O227">
        <f t="shared" si="37"/>
        <v>1</v>
      </c>
      <c r="P227">
        <f t="shared" si="31"/>
        <v>9</v>
      </c>
      <c r="Q227">
        <f>ROUND((VLOOKUP($A227,命格属性表,13,0)+VLOOKUP($A227,命格属性表,20,0)*($D227-1))*IF(P227&gt;9,1,VLOOKUP(D227,命格辅助表!$S$3:$U$10,3,0)),0)</f>
        <v>1156</v>
      </c>
      <c r="R227">
        <f t="shared" si="32"/>
        <v>0</v>
      </c>
      <c r="S227">
        <f>ROUND(IF(R227=0,0,VLOOKUP($A227,命格属性表,15,0)+VLOOKUP($A227,命格属性表,22,0)*($D227-1))*IF(R227&gt;9,1,VLOOKUP(D227,命格辅助表!$S$3:$U$10,3,0)),0)</f>
        <v>0</v>
      </c>
      <c r="T227">
        <f t="shared" si="34"/>
        <v>0</v>
      </c>
      <c r="U227">
        <f t="shared" si="36"/>
        <v>0</v>
      </c>
    </row>
    <row r="228" spans="1:21">
      <c r="A228">
        <v>8640</v>
      </c>
      <c r="B228" t="str">
        <f t="shared" si="30"/>
        <v>流离</v>
      </c>
      <c r="C228">
        <f t="shared" si="35"/>
        <v>6</v>
      </c>
      <c r="D228">
        <v>2</v>
      </c>
      <c r="E228">
        <v>3</v>
      </c>
      <c r="F228">
        <v>10</v>
      </c>
      <c r="G228" t="str">
        <f>VLOOKUP(P228,定义数据!$B$14:$C$29,2,0)&amp;"+"&amp;Q228&amp;IF(R228=0,"",","&amp;VLOOKUP(R228,定义数据!$B$14:$C$29,2,0)&amp;"+"&amp;S228)&amp;IF(T228=0,"",","&amp;VLOOKUP(T228,定义数据!$B$14:$C$29,2,0)&amp;"+"&amp;U228)</f>
        <v>韧性值+1734</v>
      </c>
      <c r="H228">
        <v>0</v>
      </c>
      <c r="I228">
        <f t="shared" si="33"/>
        <v>6</v>
      </c>
      <c r="J228">
        <f>IF(ISERROR(VLOOKUP(D228,命格辅助表!$I$76:$N$86,D_命格表!E228+2,0)),0,VLOOKUP(D228,命格辅助表!$I$76:$N$86,D_命格表!E228+2,0))</f>
        <v>640</v>
      </c>
      <c r="K228">
        <f>IF(ISERROR(VLOOKUP(D228,命格辅助表!$P$76:$U$86,E228+2,0)),0,VLOOKUP(D228,命格辅助表!$P$76:$U$86,E228+2,0))</f>
        <v>480</v>
      </c>
      <c r="L228">
        <v>0</v>
      </c>
      <c r="M228">
        <v>0</v>
      </c>
      <c r="N228">
        <v>8240</v>
      </c>
      <c r="O228">
        <f t="shared" si="37"/>
        <v>1</v>
      </c>
      <c r="P228">
        <f t="shared" si="31"/>
        <v>9</v>
      </c>
      <c r="Q228">
        <f>ROUND((VLOOKUP($A228,命格属性表,13,0)+VLOOKUP($A228,命格属性表,20,0)*($D228-1))*IF(P228&gt;9,1,VLOOKUP(D228,命格辅助表!$S$3:$U$10,3,0)),0)</f>
        <v>1734</v>
      </c>
      <c r="R228">
        <f t="shared" si="32"/>
        <v>0</v>
      </c>
      <c r="S228">
        <f>ROUND(IF(R228=0,0,VLOOKUP($A228,命格属性表,15,0)+VLOOKUP($A228,命格属性表,22,0)*($D228-1))*IF(R228&gt;9,1,VLOOKUP(D228,命格辅助表!$S$3:$U$10,3,0)),0)</f>
        <v>0</v>
      </c>
      <c r="T228">
        <f t="shared" si="34"/>
        <v>0</v>
      </c>
      <c r="U228">
        <f t="shared" si="36"/>
        <v>0</v>
      </c>
    </row>
    <row r="229" spans="1:21">
      <c r="A229">
        <v>8640</v>
      </c>
      <c r="B229" t="str">
        <f t="shared" si="30"/>
        <v>流离</v>
      </c>
      <c r="C229">
        <f t="shared" si="35"/>
        <v>6</v>
      </c>
      <c r="D229">
        <v>3</v>
      </c>
      <c r="E229">
        <v>3</v>
      </c>
      <c r="F229">
        <v>10</v>
      </c>
      <c r="G229" t="str">
        <f>VLOOKUP(P229,定义数据!$B$14:$C$29,2,0)&amp;"+"&amp;Q229&amp;IF(R229=0,"",","&amp;VLOOKUP(R229,定义数据!$B$14:$C$29,2,0)&amp;"+"&amp;S229)&amp;IF(T229=0,"",","&amp;VLOOKUP(T229,定义数据!$B$14:$C$29,2,0)&amp;"+"&amp;U229)</f>
        <v>韧性值+2601</v>
      </c>
      <c r="H229">
        <v>0</v>
      </c>
      <c r="I229">
        <f t="shared" si="33"/>
        <v>6</v>
      </c>
      <c r="J229">
        <f>IF(ISERROR(VLOOKUP(D229,命格辅助表!$I$76:$N$86,D_命格表!E229+2,0)),0,VLOOKUP(D229,命格辅助表!$I$76:$N$86,D_命格表!E229+2,0))</f>
        <v>1280</v>
      </c>
      <c r="K229">
        <f>IF(ISERROR(VLOOKUP(D229,命格辅助表!$P$76:$U$86,E229+2,0)),0,VLOOKUP(D229,命格辅助表!$P$76:$U$86,E229+2,0))</f>
        <v>1120</v>
      </c>
      <c r="L229">
        <v>0</v>
      </c>
      <c r="M229">
        <v>0</v>
      </c>
      <c r="N229">
        <v>8240</v>
      </c>
      <c r="O229">
        <f t="shared" si="37"/>
        <v>1</v>
      </c>
      <c r="P229">
        <f t="shared" si="31"/>
        <v>9</v>
      </c>
      <c r="Q229">
        <f>ROUND((VLOOKUP($A229,命格属性表,13,0)+VLOOKUP($A229,命格属性表,20,0)*($D229-1))*IF(P229&gt;9,1,VLOOKUP(D229,命格辅助表!$S$3:$U$10,3,0)),0)</f>
        <v>2601</v>
      </c>
      <c r="R229">
        <f t="shared" si="32"/>
        <v>0</v>
      </c>
      <c r="S229">
        <f>ROUND(IF(R229=0,0,VLOOKUP($A229,命格属性表,15,0)+VLOOKUP($A229,命格属性表,22,0)*($D229-1))*IF(R229&gt;9,1,VLOOKUP(D229,命格辅助表!$S$3:$U$10,3,0)),0)</f>
        <v>0</v>
      </c>
      <c r="T229">
        <f t="shared" si="34"/>
        <v>0</v>
      </c>
      <c r="U229">
        <f t="shared" si="36"/>
        <v>0</v>
      </c>
    </row>
    <row r="230" spans="1:21">
      <c r="A230">
        <v>8640</v>
      </c>
      <c r="B230" t="str">
        <f t="shared" si="30"/>
        <v>流离</v>
      </c>
      <c r="C230">
        <f t="shared" si="35"/>
        <v>6</v>
      </c>
      <c r="D230">
        <v>4</v>
      </c>
      <c r="E230">
        <v>3</v>
      </c>
      <c r="F230">
        <v>10</v>
      </c>
      <c r="G230" t="str">
        <f>VLOOKUP(P230,定义数据!$B$14:$C$29,2,0)&amp;"+"&amp;Q230&amp;IF(R230=0,"",","&amp;VLOOKUP(R230,定义数据!$B$14:$C$29,2,0)&amp;"+"&amp;S230)&amp;IF(T230=0,"",","&amp;VLOOKUP(T230,定义数据!$B$14:$C$29,2,0)&amp;"+"&amp;U230)</f>
        <v>韧性值+3902</v>
      </c>
      <c r="H230">
        <v>0</v>
      </c>
      <c r="I230">
        <f t="shared" si="33"/>
        <v>6</v>
      </c>
      <c r="J230">
        <f>IF(ISERROR(VLOOKUP(D230,命格辅助表!$I$76:$N$86,D_命格表!E230+2,0)),0,VLOOKUP(D230,命格辅助表!$I$76:$N$86,D_命格表!E230+2,0))</f>
        <v>2560</v>
      </c>
      <c r="K230">
        <f>IF(ISERROR(VLOOKUP(D230,命格辅助表!$P$76:$U$86,E230+2,0)),0,VLOOKUP(D230,命格辅助表!$P$76:$U$86,E230+2,0))</f>
        <v>2400</v>
      </c>
      <c r="L230">
        <v>0</v>
      </c>
      <c r="M230">
        <v>0</v>
      </c>
      <c r="N230">
        <v>8240</v>
      </c>
      <c r="O230">
        <f t="shared" si="37"/>
        <v>1</v>
      </c>
      <c r="P230">
        <f t="shared" si="31"/>
        <v>9</v>
      </c>
      <c r="Q230">
        <f>ROUND((VLOOKUP($A230,命格属性表,13,0)+VLOOKUP($A230,命格属性表,20,0)*($D230-1))*IF(P230&gt;9,1,VLOOKUP(D230,命格辅助表!$S$3:$U$10,3,0)),0)</f>
        <v>3902</v>
      </c>
      <c r="R230">
        <f t="shared" si="32"/>
        <v>0</v>
      </c>
      <c r="S230">
        <f>ROUND(IF(R230=0,0,VLOOKUP($A230,命格属性表,15,0)+VLOOKUP($A230,命格属性表,22,0)*($D230-1))*IF(R230&gt;9,1,VLOOKUP(D230,命格辅助表!$S$3:$U$10,3,0)),0)</f>
        <v>0</v>
      </c>
      <c r="T230">
        <f t="shared" si="34"/>
        <v>0</v>
      </c>
      <c r="U230">
        <f t="shared" si="36"/>
        <v>0</v>
      </c>
    </row>
    <row r="231" spans="1:21">
      <c r="A231">
        <v>8640</v>
      </c>
      <c r="B231" t="str">
        <f t="shared" si="30"/>
        <v>流离</v>
      </c>
      <c r="C231">
        <f t="shared" si="35"/>
        <v>6</v>
      </c>
      <c r="D231">
        <v>5</v>
      </c>
      <c r="E231">
        <v>3</v>
      </c>
      <c r="F231">
        <v>10</v>
      </c>
      <c r="G231" t="str">
        <f>VLOOKUP(P231,定义数据!$B$14:$C$29,2,0)&amp;"+"&amp;Q231&amp;IF(R231=0,"",","&amp;VLOOKUP(R231,定义数据!$B$14:$C$29,2,0)&amp;"+"&amp;S231)&amp;IF(T231=0,"",","&amp;VLOOKUP(T231,定义数据!$B$14:$C$29,2,0)&amp;"+"&amp;U231)</f>
        <v>韧性值+5852</v>
      </c>
      <c r="H231">
        <v>0</v>
      </c>
      <c r="I231">
        <f t="shared" si="33"/>
        <v>6</v>
      </c>
      <c r="J231">
        <f>IF(ISERROR(VLOOKUP(D231,命格辅助表!$I$76:$N$86,D_命格表!E231+2,0)),0,VLOOKUP(D231,命格辅助表!$I$76:$N$86,D_命格表!E231+2,0))</f>
        <v>5120</v>
      </c>
      <c r="K231">
        <f>IF(ISERROR(VLOOKUP(D231,命格辅助表!$P$76:$U$86,E231+2,0)),0,VLOOKUP(D231,命格辅助表!$P$76:$U$86,E231+2,0))</f>
        <v>4960</v>
      </c>
      <c r="L231">
        <v>0</v>
      </c>
      <c r="M231">
        <v>0</v>
      </c>
      <c r="N231">
        <v>8240</v>
      </c>
      <c r="O231">
        <f t="shared" si="37"/>
        <v>1</v>
      </c>
      <c r="P231">
        <f t="shared" si="31"/>
        <v>9</v>
      </c>
      <c r="Q231">
        <f>ROUND((VLOOKUP($A231,命格属性表,13,0)+VLOOKUP($A231,命格属性表,20,0)*($D231-1))*IF(P231&gt;9,1,VLOOKUP(D231,命格辅助表!$S$3:$U$10,3,0)),0)</f>
        <v>5852</v>
      </c>
      <c r="R231">
        <f t="shared" si="32"/>
        <v>0</v>
      </c>
      <c r="S231">
        <f>ROUND(IF(R231=0,0,VLOOKUP($A231,命格属性表,15,0)+VLOOKUP($A231,命格属性表,22,0)*($D231-1))*IF(R231&gt;9,1,VLOOKUP(D231,命格辅助表!$S$3:$U$10,3,0)),0)</f>
        <v>0</v>
      </c>
      <c r="T231">
        <f t="shared" si="34"/>
        <v>0</v>
      </c>
      <c r="U231">
        <f t="shared" si="36"/>
        <v>0</v>
      </c>
    </row>
    <row r="232" spans="1:21">
      <c r="A232">
        <v>8640</v>
      </c>
      <c r="B232" t="str">
        <f t="shared" si="30"/>
        <v>流离</v>
      </c>
      <c r="C232">
        <f t="shared" si="35"/>
        <v>6</v>
      </c>
      <c r="D232">
        <v>6</v>
      </c>
      <c r="E232">
        <v>3</v>
      </c>
      <c r="F232">
        <v>10</v>
      </c>
      <c r="G232" t="str">
        <f>VLOOKUP(P232,定义数据!$B$14:$C$29,2,0)&amp;"+"&amp;Q232&amp;IF(R232=0,"",","&amp;VLOOKUP(R232,定义数据!$B$14:$C$29,2,0)&amp;"+"&amp;S232)&amp;IF(T232=0,"",","&amp;VLOOKUP(T232,定义数据!$B$14:$C$29,2,0)&amp;"+"&amp;U232)</f>
        <v>韧性值+8779</v>
      </c>
      <c r="H232">
        <v>0</v>
      </c>
      <c r="I232">
        <f t="shared" si="33"/>
        <v>6</v>
      </c>
      <c r="J232">
        <f>IF(ISERROR(VLOOKUP(D232,命格辅助表!$I$76:$N$86,D_命格表!E232+2,0)),0,VLOOKUP(D232,命格辅助表!$I$76:$N$86,D_命格表!E232+2,0))</f>
        <v>10240</v>
      </c>
      <c r="K232">
        <f>IF(ISERROR(VLOOKUP(D232,命格辅助表!$P$76:$U$86,E232+2,0)),0,VLOOKUP(D232,命格辅助表!$P$76:$U$86,E232+2,0))</f>
        <v>10080</v>
      </c>
      <c r="L232">
        <v>0</v>
      </c>
      <c r="M232">
        <v>0</v>
      </c>
      <c r="N232">
        <v>8240</v>
      </c>
      <c r="O232">
        <f t="shared" si="37"/>
        <v>1</v>
      </c>
      <c r="P232">
        <f t="shared" si="31"/>
        <v>9</v>
      </c>
      <c r="Q232">
        <f>ROUND((VLOOKUP($A232,命格属性表,13,0)+VLOOKUP($A232,命格属性表,20,0)*($D232-1))*IF(P232&gt;9,1,VLOOKUP(D232,命格辅助表!$S$3:$U$10,3,0)),0)</f>
        <v>8779</v>
      </c>
      <c r="R232">
        <f t="shared" si="32"/>
        <v>0</v>
      </c>
      <c r="S232">
        <f>ROUND(IF(R232=0,0,VLOOKUP($A232,命格属性表,15,0)+VLOOKUP($A232,命格属性表,22,0)*($D232-1))*IF(R232&gt;9,1,VLOOKUP(D232,命格辅助表!$S$3:$U$10,3,0)),0)</f>
        <v>0</v>
      </c>
      <c r="T232">
        <f t="shared" si="34"/>
        <v>0</v>
      </c>
      <c r="U232">
        <f t="shared" si="36"/>
        <v>0</v>
      </c>
    </row>
    <row r="233" spans="1:21">
      <c r="A233">
        <v>8640</v>
      </c>
      <c r="B233" t="str">
        <f t="shared" si="30"/>
        <v>流离</v>
      </c>
      <c r="C233">
        <f t="shared" si="35"/>
        <v>6</v>
      </c>
      <c r="D233">
        <v>7</v>
      </c>
      <c r="E233">
        <v>3</v>
      </c>
      <c r="F233">
        <v>10</v>
      </c>
      <c r="G233" t="str">
        <f>VLOOKUP(P233,定义数据!$B$14:$C$29,2,0)&amp;"+"&amp;Q233&amp;IF(R233=0,"",","&amp;VLOOKUP(R233,定义数据!$B$14:$C$29,2,0)&amp;"+"&amp;S233)&amp;IF(T233=0,"",","&amp;VLOOKUP(T233,定义数据!$B$14:$C$29,2,0)&amp;"+"&amp;U233)</f>
        <v>韧性值+13168</v>
      </c>
      <c r="H233">
        <v>0</v>
      </c>
      <c r="I233">
        <f t="shared" si="33"/>
        <v>6</v>
      </c>
      <c r="J233">
        <f>IF(ISERROR(VLOOKUP(D233,命格辅助表!$I$76:$N$86,D_命格表!E233+2,0)),0,VLOOKUP(D233,命格辅助表!$I$76:$N$86,D_命格表!E233+2,0))</f>
        <v>20480</v>
      </c>
      <c r="K233">
        <f>IF(ISERROR(VLOOKUP(D233,命格辅助表!$P$76:$U$86,E233+2,0)),0,VLOOKUP(D233,命格辅助表!$P$76:$U$86,E233+2,0))</f>
        <v>20320</v>
      </c>
      <c r="L233">
        <v>0</v>
      </c>
      <c r="M233">
        <v>0</v>
      </c>
      <c r="N233">
        <v>8240</v>
      </c>
      <c r="O233">
        <f t="shared" si="37"/>
        <v>1</v>
      </c>
      <c r="P233">
        <f t="shared" si="31"/>
        <v>9</v>
      </c>
      <c r="Q233">
        <f>ROUND((VLOOKUP($A233,命格属性表,13,0)+VLOOKUP($A233,命格属性表,20,0)*($D233-1))*IF(P233&gt;9,1,VLOOKUP(D233,命格辅助表!$S$3:$U$10,3,0)),0)</f>
        <v>13168</v>
      </c>
      <c r="R233">
        <f t="shared" si="32"/>
        <v>0</v>
      </c>
      <c r="S233">
        <f>ROUND(IF(R233=0,0,VLOOKUP($A233,命格属性表,15,0)+VLOOKUP($A233,命格属性表,22,0)*($D233-1))*IF(R233&gt;9,1,VLOOKUP(D233,命格辅助表!$S$3:$U$10,3,0)),0)</f>
        <v>0</v>
      </c>
      <c r="T233">
        <f t="shared" si="34"/>
        <v>0</v>
      </c>
      <c r="U233">
        <f t="shared" si="36"/>
        <v>0</v>
      </c>
    </row>
    <row r="234" spans="1:21">
      <c r="A234">
        <v>8640</v>
      </c>
      <c r="B234" t="str">
        <f t="shared" si="30"/>
        <v>流离</v>
      </c>
      <c r="C234">
        <f t="shared" si="35"/>
        <v>6</v>
      </c>
      <c r="D234">
        <v>8</v>
      </c>
      <c r="E234">
        <v>3</v>
      </c>
      <c r="F234">
        <v>10</v>
      </c>
      <c r="G234" t="str">
        <f>VLOOKUP(P234,定义数据!$B$14:$C$29,2,0)&amp;"+"&amp;Q234&amp;IF(R234=0,"",","&amp;VLOOKUP(R234,定义数据!$B$14:$C$29,2,0)&amp;"+"&amp;S234)&amp;IF(T234=0,"",","&amp;VLOOKUP(T234,定义数据!$B$14:$C$29,2,0)&amp;"+"&amp;U234)</f>
        <v>韧性值+19752</v>
      </c>
      <c r="H234">
        <v>0</v>
      </c>
      <c r="I234">
        <f t="shared" si="33"/>
        <v>6</v>
      </c>
      <c r="J234">
        <f>IF(ISERROR(VLOOKUP(D234,命格辅助表!$I$76:$N$86,D_命格表!E234+2,0)),0,VLOOKUP(D234,命格辅助表!$I$76:$N$86,D_命格表!E234+2,0))</f>
        <v>40960</v>
      </c>
      <c r="K234">
        <f>IF(ISERROR(VLOOKUP(D234,命格辅助表!$P$76:$U$86,E234+2,0)),0,VLOOKUP(D234,命格辅助表!$P$76:$U$86,E234+2,0))</f>
        <v>40800</v>
      </c>
      <c r="L234">
        <f>IF(ISERROR(VLOOKUP(D234,命格辅助表!$I$76:$N$86,D_命格表!E234+2,0)),0,VLOOKUP(D234,命格辅助表!$I$76:$N$86,D_命格表!E234+2,0))</f>
        <v>40960</v>
      </c>
      <c r="M234">
        <f>A234+10</f>
        <v>8650</v>
      </c>
      <c r="N234">
        <v>8240</v>
      </c>
      <c r="O234">
        <f t="shared" si="37"/>
        <v>1</v>
      </c>
      <c r="P234">
        <f t="shared" si="31"/>
        <v>9</v>
      </c>
      <c r="Q234">
        <f>ROUND((VLOOKUP($A234,命格属性表,13,0)+VLOOKUP($A234,命格属性表,20,0)*($D234-1))*IF(P234&gt;9,1,VLOOKUP(D234,命格辅助表!$S$3:$U$10,3,0)),0)</f>
        <v>19752</v>
      </c>
      <c r="R234">
        <f t="shared" si="32"/>
        <v>0</v>
      </c>
      <c r="S234">
        <f>ROUND(IF(R234=0,0,VLOOKUP($A234,命格属性表,15,0)+VLOOKUP($A234,命格属性表,22,0)*($D234-1))*IF(R234&gt;9,1,VLOOKUP(D234,命格辅助表!$S$3:$U$10,3,0)),0)</f>
        <v>0</v>
      </c>
      <c r="T234">
        <f t="shared" si="34"/>
        <v>0</v>
      </c>
      <c r="U234">
        <f t="shared" si="36"/>
        <v>0</v>
      </c>
    </row>
    <row r="235" spans="1:21">
      <c r="A235">
        <v>8740</v>
      </c>
      <c r="B235" t="str">
        <f t="shared" ref="B235:B282" si="38">VLOOKUP(A235,命格属性表,2,0)</f>
        <v>夺魄</v>
      </c>
      <c r="C235">
        <f t="shared" si="35"/>
        <v>7</v>
      </c>
      <c r="D235">
        <v>1</v>
      </c>
      <c r="E235">
        <v>3</v>
      </c>
      <c r="F235">
        <v>10</v>
      </c>
      <c r="G235" t="str">
        <f>VLOOKUP(P235,定义数据!$B$14:$C$29,2,0)&amp;"+"&amp;Q235&amp;IF(R235=0,"",","&amp;VLOOKUP(R235,定义数据!$B$14:$C$29,2,0)&amp;"+"&amp;S235)&amp;IF(T235=0,"",","&amp;VLOOKUP(T235,定义数据!$B$14:$C$29,2,0)&amp;"+"&amp;U235)</f>
        <v>暴击值+1156</v>
      </c>
      <c r="H235">
        <v>0</v>
      </c>
      <c r="I235">
        <f t="shared" ref="I235:I282" si="39">VLOOKUP($A235,命格属性表,26,0)</f>
        <v>7</v>
      </c>
      <c r="J235">
        <f>IF(ISERROR(VLOOKUP(D235,命格辅助表!$I$76:$N$86,D_命格表!E235+2,0)),0,VLOOKUP(D235,命格辅助表!$I$76:$N$86,D_命格表!E235+2,0))</f>
        <v>320</v>
      </c>
      <c r="K235">
        <f>IF(ISERROR(VLOOKUP(D235,命格辅助表!$P$76:$U$86,E235+2,0)),0,VLOOKUP(D235,命格辅助表!$P$76:$U$86,E235+2,0))</f>
        <v>160</v>
      </c>
      <c r="L235">
        <v>0</v>
      </c>
      <c r="M235">
        <v>0</v>
      </c>
      <c r="N235">
        <v>8340</v>
      </c>
      <c r="O235">
        <f t="shared" si="37"/>
        <v>1</v>
      </c>
      <c r="P235">
        <f t="shared" ref="P235:P282" si="40">VLOOKUP($A235,命格属性表,12,0)</f>
        <v>8</v>
      </c>
      <c r="Q235">
        <f>ROUND((VLOOKUP($A235,命格属性表,13,0)+VLOOKUP($A235,命格属性表,20,0)*($D235-1))*IF(P235&gt;9,1,VLOOKUP(D235,命格辅助表!$S$3:$U$10,3,0)),0)</f>
        <v>1156</v>
      </c>
      <c r="R235">
        <f t="shared" ref="R235:R282" si="41">VLOOKUP($A235,命格属性表,14,0)</f>
        <v>0</v>
      </c>
      <c r="S235">
        <f>ROUND(IF(R235=0,0,VLOOKUP($A235,命格属性表,15,0)+VLOOKUP($A235,命格属性表,22,0)*($D235-1))*IF(R235&gt;9,1,VLOOKUP(D235,命格辅助表!$S$3:$U$10,3,0)),0)</f>
        <v>0</v>
      </c>
      <c r="T235">
        <f t="shared" ref="T235:T282" si="42">VLOOKUP($A235,命格属性表,16,0)</f>
        <v>0</v>
      </c>
      <c r="U235">
        <f t="shared" si="36"/>
        <v>0</v>
      </c>
    </row>
    <row r="236" spans="1:21">
      <c r="A236">
        <v>8740</v>
      </c>
      <c r="B236" t="str">
        <f t="shared" si="38"/>
        <v>夺魄</v>
      </c>
      <c r="C236">
        <f t="shared" ref="C236:C282" si="43">I236</f>
        <v>7</v>
      </c>
      <c r="D236">
        <v>2</v>
      </c>
      <c r="E236">
        <v>3</v>
      </c>
      <c r="F236">
        <v>10</v>
      </c>
      <c r="G236" t="str">
        <f>VLOOKUP(P236,定义数据!$B$14:$C$29,2,0)&amp;"+"&amp;Q236&amp;IF(R236=0,"",","&amp;VLOOKUP(R236,定义数据!$B$14:$C$29,2,0)&amp;"+"&amp;S236)&amp;IF(T236=0,"",","&amp;VLOOKUP(T236,定义数据!$B$14:$C$29,2,0)&amp;"+"&amp;U236)</f>
        <v>暴击值+1734</v>
      </c>
      <c r="H236">
        <v>0</v>
      </c>
      <c r="I236">
        <f t="shared" si="39"/>
        <v>7</v>
      </c>
      <c r="J236">
        <f>IF(ISERROR(VLOOKUP(D236,命格辅助表!$I$76:$N$86,D_命格表!E236+2,0)),0,VLOOKUP(D236,命格辅助表!$I$76:$N$86,D_命格表!E236+2,0))</f>
        <v>640</v>
      </c>
      <c r="K236">
        <f>IF(ISERROR(VLOOKUP(D236,命格辅助表!$P$76:$U$86,E236+2,0)),0,VLOOKUP(D236,命格辅助表!$P$76:$U$86,E236+2,0))</f>
        <v>480</v>
      </c>
      <c r="L236">
        <v>0</v>
      </c>
      <c r="M236">
        <v>0</v>
      </c>
      <c r="N236">
        <v>8340</v>
      </c>
      <c r="O236">
        <f t="shared" si="37"/>
        <v>1</v>
      </c>
      <c r="P236">
        <f t="shared" si="40"/>
        <v>8</v>
      </c>
      <c r="Q236">
        <f>ROUND((VLOOKUP($A236,命格属性表,13,0)+VLOOKUP($A236,命格属性表,20,0)*($D236-1))*IF(P236&gt;9,1,VLOOKUP(D236,命格辅助表!$S$3:$U$10,3,0)),0)</f>
        <v>1734</v>
      </c>
      <c r="R236">
        <f t="shared" si="41"/>
        <v>0</v>
      </c>
      <c r="S236">
        <f>ROUND(IF(R236=0,0,VLOOKUP($A236,命格属性表,15,0)+VLOOKUP($A236,命格属性表,22,0)*($D236-1))*IF(R236&gt;9,1,VLOOKUP(D236,命格辅助表!$S$3:$U$10,3,0)),0)</f>
        <v>0</v>
      </c>
      <c r="T236">
        <f t="shared" si="42"/>
        <v>0</v>
      </c>
      <c r="U236">
        <f t="shared" si="36"/>
        <v>0</v>
      </c>
    </row>
    <row r="237" spans="1:21">
      <c r="A237">
        <v>8740</v>
      </c>
      <c r="B237" t="str">
        <f t="shared" si="38"/>
        <v>夺魄</v>
      </c>
      <c r="C237">
        <f t="shared" si="43"/>
        <v>7</v>
      </c>
      <c r="D237">
        <v>3</v>
      </c>
      <c r="E237">
        <v>3</v>
      </c>
      <c r="F237">
        <v>10</v>
      </c>
      <c r="G237" t="str">
        <f>VLOOKUP(P237,定义数据!$B$14:$C$29,2,0)&amp;"+"&amp;Q237&amp;IF(R237=0,"",","&amp;VLOOKUP(R237,定义数据!$B$14:$C$29,2,0)&amp;"+"&amp;S237)&amp;IF(T237=0,"",","&amp;VLOOKUP(T237,定义数据!$B$14:$C$29,2,0)&amp;"+"&amp;U237)</f>
        <v>暴击值+2601</v>
      </c>
      <c r="H237">
        <v>0</v>
      </c>
      <c r="I237">
        <f t="shared" si="39"/>
        <v>7</v>
      </c>
      <c r="J237">
        <f>IF(ISERROR(VLOOKUP(D237,命格辅助表!$I$76:$N$86,D_命格表!E237+2,0)),0,VLOOKUP(D237,命格辅助表!$I$76:$N$86,D_命格表!E237+2,0))</f>
        <v>1280</v>
      </c>
      <c r="K237">
        <f>IF(ISERROR(VLOOKUP(D237,命格辅助表!$P$76:$U$86,E237+2,0)),0,VLOOKUP(D237,命格辅助表!$P$76:$U$86,E237+2,0))</f>
        <v>1120</v>
      </c>
      <c r="L237">
        <v>0</v>
      </c>
      <c r="M237">
        <v>0</v>
      </c>
      <c r="N237">
        <v>8340</v>
      </c>
      <c r="O237">
        <f t="shared" si="37"/>
        <v>1</v>
      </c>
      <c r="P237">
        <f t="shared" si="40"/>
        <v>8</v>
      </c>
      <c r="Q237">
        <f>ROUND((VLOOKUP($A237,命格属性表,13,0)+VLOOKUP($A237,命格属性表,20,0)*($D237-1))*IF(P237&gt;9,1,VLOOKUP(D237,命格辅助表!$S$3:$U$10,3,0)),0)</f>
        <v>2601</v>
      </c>
      <c r="R237">
        <f t="shared" si="41"/>
        <v>0</v>
      </c>
      <c r="S237">
        <f>ROUND(IF(R237=0,0,VLOOKUP($A237,命格属性表,15,0)+VLOOKUP($A237,命格属性表,22,0)*($D237-1))*IF(R237&gt;9,1,VLOOKUP(D237,命格辅助表!$S$3:$U$10,3,0)),0)</f>
        <v>0</v>
      </c>
      <c r="T237">
        <f t="shared" si="42"/>
        <v>0</v>
      </c>
      <c r="U237">
        <f t="shared" si="36"/>
        <v>0</v>
      </c>
    </row>
    <row r="238" spans="1:21">
      <c r="A238">
        <v>8740</v>
      </c>
      <c r="B238" t="str">
        <f t="shared" si="38"/>
        <v>夺魄</v>
      </c>
      <c r="C238">
        <f t="shared" si="43"/>
        <v>7</v>
      </c>
      <c r="D238">
        <v>4</v>
      </c>
      <c r="E238">
        <v>3</v>
      </c>
      <c r="F238">
        <v>10</v>
      </c>
      <c r="G238" t="str">
        <f>VLOOKUP(P238,定义数据!$B$14:$C$29,2,0)&amp;"+"&amp;Q238&amp;IF(R238=0,"",","&amp;VLOOKUP(R238,定义数据!$B$14:$C$29,2,0)&amp;"+"&amp;S238)&amp;IF(T238=0,"",","&amp;VLOOKUP(T238,定义数据!$B$14:$C$29,2,0)&amp;"+"&amp;U238)</f>
        <v>暴击值+3902</v>
      </c>
      <c r="H238">
        <v>0</v>
      </c>
      <c r="I238">
        <f t="shared" si="39"/>
        <v>7</v>
      </c>
      <c r="J238">
        <f>IF(ISERROR(VLOOKUP(D238,命格辅助表!$I$76:$N$86,D_命格表!E238+2,0)),0,VLOOKUP(D238,命格辅助表!$I$76:$N$86,D_命格表!E238+2,0))</f>
        <v>2560</v>
      </c>
      <c r="K238">
        <f>IF(ISERROR(VLOOKUP(D238,命格辅助表!$P$76:$U$86,E238+2,0)),0,VLOOKUP(D238,命格辅助表!$P$76:$U$86,E238+2,0))</f>
        <v>2400</v>
      </c>
      <c r="L238">
        <v>0</v>
      </c>
      <c r="M238">
        <v>0</v>
      </c>
      <c r="N238">
        <v>8340</v>
      </c>
      <c r="O238">
        <f t="shared" si="37"/>
        <v>1</v>
      </c>
      <c r="P238">
        <f t="shared" si="40"/>
        <v>8</v>
      </c>
      <c r="Q238">
        <f>ROUND((VLOOKUP($A238,命格属性表,13,0)+VLOOKUP($A238,命格属性表,20,0)*($D238-1))*IF(P238&gt;9,1,VLOOKUP(D238,命格辅助表!$S$3:$U$10,3,0)),0)</f>
        <v>3902</v>
      </c>
      <c r="R238">
        <f t="shared" si="41"/>
        <v>0</v>
      </c>
      <c r="S238">
        <f>ROUND(IF(R238=0,0,VLOOKUP($A238,命格属性表,15,0)+VLOOKUP($A238,命格属性表,22,0)*($D238-1))*IF(R238&gt;9,1,VLOOKUP(D238,命格辅助表!$S$3:$U$10,3,0)),0)</f>
        <v>0</v>
      </c>
      <c r="T238">
        <f t="shared" si="42"/>
        <v>0</v>
      </c>
      <c r="U238">
        <f t="shared" si="36"/>
        <v>0</v>
      </c>
    </row>
    <row r="239" spans="1:21">
      <c r="A239">
        <v>8740</v>
      </c>
      <c r="B239" t="str">
        <f t="shared" si="38"/>
        <v>夺魄</v>
      </c>
      <c r="C239">
        <f t="shared" si="43"/>
        <v>7</v>
      </c>
      <c r="D239">
        <v>5</v>
      </c>
      <c r="E239">
        <v>3</v>
      </c>
      <c r="F239">
        <v>10</v>
      </c>
      <c r="G239" t="str">
        <f>VLOOKUP(P239,定义数据!$B$14:$C$29,2,0)&amp;"+"&amp;Q239&amp;IF(R239=0,"",","&amp;VLOOKUP(R239,定义数据!$B$14:$C$29,2,0)&amp;"+"&amp;S239)&amp;IF(T239=0,"",","&amp;VLOOKUP(T239,定义数据!$B$14:$C$29,2,0)&amp;"+"&amp;U239)</f>
        <v>暴击值+5852</v>
      </c>
      <c r="H239">
        <v>0</v>
      </c>
      <c r="I239">
        <f t="shared" si="39"/>
        <v>7</v>
      </c>
      <c r="J239">
        <f>IF(ISERROR(VLOOKUP(D239,命格辅助表!$I$76:$N$86,D_命格表!E239+2,0)),0,VLOOKUP(D239,命格辅助表!$I$76:$N$86,D_命格表!E239+2,0))</f>
        <v>5120</v>
      </c>
      <c r="K239">
        <f>IF(ISERROR(VLOOKUP(D239,命格辅助表!$P$76:$U$86,E239+2,0)),0,VLOOKUP(D239,命格辅助表!$P$76:$U$86,E239+2,0))</f>
        <v>4960</v>
      </c>
      <c r="L239">
        <v>0</v>
      </c>
      <c r="M239">
        <v>0</v>
      </c>
      <c r="N239">
        <v>8340</v>
      </c>
      <c r="O239">
        <f t="shared" si="37"/>
        <v>1</v>
      </c>
      <c r="P239">
        <f t="shared" si="40"/>
        <v>8</v>
      </c>
      <c r="Q239">
        <f>ROUND((VLOOKUP($A239,命格属性表,13,0)+VLOOKUP($A239,命格属性表,20,0)*($D239-1))*IF(P239&gt;9,1,VLOOKUP(D239,命格辅助表!$S$3:$U$10,3,0)),0)</f>
        <v>5852</v>
      </c>
      <c r="R239">
        <f t="shared" si="41"/>
        <v>0</v>
      </c>
      <c r="S239">
        <f>ROUND(IF(R239=0,0,VLOOKUP($A239,命格属性表,15,0)+VLOOKUP($A239,命格属性表,22,0)*($D239-1))*IF(R239&gt;9,1,VLOOKUP(D239,命格辅助表!$S$3:$U$10,3,0)),0)</f>
        <v>0</v>
      </c>
      <c r="T239">
        <f t="shared" si="42"/>
        <v>0</v>
      </c>
      <c r="U239">
        <f t="shared" si="36"/>
        <v>0</v>
      </c>
    </row>
    <row r="240" spans="1:21">
      <c r="A240">
        <v>8740</v>
      </c>
      <c r="B240" t="str">
        <f t="shared" si="38"/>
        <v>夺魄</v>
      </c>
      <c r="C240">
        <f t="shared" si="43"/>
        <v>7</v>
      </c>
      <c r="D240">
        <v>6</v>
      </c>
      <c r="E240">
        <v>3</v>
      </c>
      <c r="F240">
        <v>10</v>
      </c>
      <c r="G240" t="str">
        <f>VLOOKUP(P240,定义数据!$B$14:$C$29,2,0)&amp;"+"&amp;Q240&amp;IF(R240=0,"",","&amp;VLOOKUP(R240,定义数据!$B$14:$C$29,2,0)&amp;"+"&amp;S240)&amp;IF(T240=0,"",","&amp;VLOOKUP(T240,定义数据!$B$14:$C$29,2,0)&amp;"+"&amp;U240)</f>
        <v>暴击值+8779</v>
      </c>
      <c r="H240">
        <v>0</v>
      </c>
      <c r="I240">
        <f t="shared" si="39"/>
        <v>7</v>
      </c>
      <c r="J240">
        <f>IF(ISERROR(VLOOKUP(D240,命格辅助表!$I$76:$N$86,D_命格表!E240+2,0)),0,VLOOKUP(D240,命格辅助表!$I$76:$N$86,D_命格表!E240+2,0))</f>
        <v>10240</v>
      </c>
      <c r="K240">
        <f>IF(ISERROR(VLOOKUP(D240,命格辅助表!$P$76:$U$86,E240+2,0)),0,VLOOKUP(D240,命格辅助表!$P$76:$U$86,E240+2,0))</f>
        <v>10080</v>
      </c>
      <c r="L240">
        <v>0</v>
      </c>
      <c r="M240">
        <v>0</v>
      </c>
      <c r="N240">
        <v>8340</v>
      </c>
      <c r="O240">
        <f t="shared" si="37"/>
        <v>1</v>
      </c>
      <c r="P240">
        <f t="shared" si="40"/>
        <v>8</v>
      </c>
      <c r="Q240">
        <f>ROUND((VLOOKUP($A240,命格属性表,13,0)+VLOOKUP($A240,命格属性表,20,0)*($D240-1))*IF(P240&gt;9,1,VLOOKUP(D240,命格辅助表!$S$3:$U$10,3,0)),0)</f>
        <v>8779</v>
      </c>
      <c r="R240">
        <f t="shared" si="41"/>
        <v>0</v>
      </c>
      <c r="S240">
        <f>ROUND(IF(R240=0,0,VLOOKUP($A240,命格属性表,15,0)+VLOOKUP($A240,命格属性表,22,0)*($D240-1))*IF(R240&gt;9,1,VLOOKUP(D240,命格辅助表!$S$3:$U$10,3,0)),0)</f>
        <v>0</v>
      </c>
      <c r="T240">
        <f t="shared" si="42"/>
        <v>0</v>
      </c>
      <c r="U240">
        <f t="shared" si="36"/>
        <v>0</v>
      </c>
    </row>
    <row r="241" spans="1:21">
      <c r="A241">
        <v>8740</v>
      </c>
      <c r="B241" t="str">
        <f t="shared" si="38"/>
        <v>夺魄</v>
      </c>
      <c r="C241">
        <f t="shared" si="43"/>
        <v>7</v>
      </c>
      <c r="D241">
        <v>7</v>
      </c>
      <c r="E241">
        <v>3</v>
      </c>
      <c r="F241">
        <v>10</v>
      </c>
      <c r="G241" t="str">
        <f>VLOOKUP(P241,定义数据!$B$14:$C$29,2,0)&amp;"+"&amp;Q241&amp;IF(R241=0,"",","&amp;VLOOKUP(R241,定义数据!$B$14:$C$29,2,0)&amp;"+"&amp;S241)&amp;IF(T241=0,"",","&amp;VLOOKUP(T241,定义数据!$B$14:$C$29,2,0)&amp;"+"&amp;U241)</f>
        <v>暴击值+13168</v>
      </c>
      <c r="H241">
        <v>0</v>
      </c>
      <c r="I241">
        <f t="shared" si="39"/>
        <v>7</v>
      </c>
      <c r="J241">
        <f>IF(ISERROR(VLOOKUP(D241,命格辅助表!$I$76:$N$86,D_命格表!E241+2,0)),0,VLOOKUP(D241,命格辅助表!$I$76:$N$86,D_命格表!E241+2,0))</f>
        <v>20480</v>
      </c>
      <c r="K241">
        <f>IF(ISERROR(VLOOKUP(D241,命格辅助表!$P$76:$U$86,E241+2,0)),0,VLOOKUP(D241,命格辅助表!$P$76:$U$86,E241+2,0))</f>
        <v>20320</v>
      </c>
      <c r="L241">
        <v>0</v>
      </c>
      <c r="M241">
        <v>0</v>
      </c>
      <c r="N241">
        <v>8340</v>
      </c>
      <c r="O241">
        <f t="shared" si="37"/>
        <v>1</v>
      </c>
      <c r="P241">
        <f t="shared" si="40"/>
        <v>8</v>
      </c>
      <c r="Q241">
        <f>ROUND((VLOOKUP($A241,命格属性表,13,0)+VLOOKUP($A241,命格属性表,20,0)*($D241-1))*IF(P241&gt;9,1,VLOOKUP(D241,命格辅助表!$S$3:$U$10,3,0)),0)</f>
        <v>13168</v>
      </c>
      <c r="R241">
        <f t="shared" si="41"/>
        <v>0</v>
      </c>
      <c r="S241">
        <f>ROUND(IF(R241=0,0,VLOOKUP($A241,命格属性表,15,0)+VLOOKUP($A241,命格属性表,22,0)*($D241-1))*IF(R241&gt;9,1,VLOOKUP(D241,命格辅助表!$S$3:$U$10,3,0)),0)</f>
        <v>0</v>
      </c>
      <c r="T241">
        <f t="shared" si="42"/>
        <v>0</v>
      </c>
      <c r="U241">
        <f t="shared" si="36"/>
        <v>0</v>
      </c>
    </row>
    <row r="242" spans="1:21">
      <c r="A242">
        <v>8740</v>
      </c>
      <c r="B242" t="str">
        <f t="shared" si="38"/>
        <v>夺魄</v>
      </c>
      <c r="C242">
        <f t="shared" si="43"/>
        <v>7</v>
      </c>
      <c r="D242">
        <v>8</v>
      </c>
      <c r="E242">
        <v>3</v>
      </c>
      <c r="F242">
        <v>10</v>
      </c>
      <c r="G242" t="str">
        <f>VLOOKUP(P242,定义数据!$B$14:$C$29,2,0)&amp;"+"&amp;Q242&amp;IF(R242=0,"",","&amp;VLOOKUP(R242,定义数据!$B$14:$C$29,2,0)&amp;"+"&amp;S242)&amp;IF(T242=0,"",","&amp;VLOOKUP(T242,定义数据!$B$14:$C$29,2,0)&amp;"+"&amp;U242)</f>
        <v>暴击值+19752</v>
      </c>
      <c r="H242">
        <v>0</v>
      </c>
      <c r="I242">
        <f t="shared" si="39"/>
        <v>7</v>
      </c>
      <c r="J242">
        <f>IF(ISERROR(VLOOKUP(D242,命格辅助表!$I$76:$N$86,D_命格表!E242+2,0)),0,VLOOKUP(D242,命格辅助表!$I$76:$N$86,D_命格表!E242+2,0))</f>
        <v>40960</v>
      </c>
      <c r="K242">
        <f>IF(ISERROR(VLOOKUP(D242,命格辅助表!$P$76:$U$86,E242+2,0)),0,VLOOKUP(D242,命格辅助表!$P$76:$U$86,E242+2,0))</f>
        <v>40800</v>
      </c>
      <c r="L242">
        <f>IF(ISERROR(VLOOKUP(D242,命格辅助表!$I$76:$N$86,D_命格表!E242+2,0)),0,VLOOKUP(D242,命格辅助表!$I$76:$N$86,D_命格表!E242+2,0))</f>
        <v>40960</v>
      </c>
      <c r="M242">
        <f>A242+10</f>
        <v>8750</v>
      </c>
      <c r="N242">
        <v>8340</v>
      </c>
      <c r="O242">
        <f t="shared" si="37"/>
        <v>1</v>
      </c>
      <c r="P242">
        <f t="shared" si="40"/>
        <v>8</v>
      </c>
      <c r="Q242">
        <f>ROUND((VLOOKUP($A242,命格属性表,13,0)+VLOOKUP($A242,命格属性表,20,0)*($D242-1))*IF(P242&gt;9,1,VLOOKUP(D242,命格辅助表!$S$3:$U$10,3,0)),0)</f>
        <v>19752</v>
      </c>
      <c r="R242">
        <f t="shared" si="41"/>
        <v>0</v>
      </c>
      <c r="S242">
        <f>ROUND(IF(R242=0,0,VLOOKUP($A242,命格属性表,15,0)+VLOOKUP($A242,命格属性表,22,0)*($D242-1))*IF(R242&gt;9,1,VLOOKUP(D242,命格辅助表!$S$3:$U$10,3,0)),0)</f>
        <v>0</v>
      </c>
      <c r="T242">
        <f t="shared" si="42"/>
        <v>0</v>
      </c>
      <c r="U242">
        <f t="shared" si="36"/>
        <v>0</v>
      </c>
    </row>
    <row r="243" spans="1:21">
      <c r="A243">
        <v>8840</v>
      </c>
      <c r="B243" t="s">
        <v>314</v>
      </c>
      <c r="C243">
        <f t="shared" si="43"/>
        <v>8</v>
      </c>
      <c r="D243">
        <v>1</v>
      </c>
      <c r="E243">
        <v>3</v>
      </c>
      <c r="F243">
        <v>10</v>
      </c>
      <c r="G243" t="str">
        <f>VLOOKUP(P243,定义数据!$B$14:$C$29,2,0)&amp;"+"&amp;Q243&amp;IF(R243=0,"",","&amp;VLOOKUP(R243,定义数据!$B$14:$C$29,2,0)&amp;"+"&amp;S243)&amp;IF(T243=0,"",","&amp;VLOOKUP(T243,定义数据!$B$14:$C$29,2,0)&amp;"+"&amp;U243)</f>
        <v>暴击倍数+1667,攻击+104</v>
      </c>
      <c r="H243">
        <v>0</v>
      </c>
      <c r="I243">
        <f t="shared" si="39"/>
        <v>8</v>
      </c>
      <c r="J243">
        <f>IF(ISERROR(VLOOKUP(D243,命格辅助表!$I$76:$N$86,D_命格表!E243+2,0)),0,VLOOKUP(D243,命格辅助表!$I$76:$N$86,D_命格表!E243+2,0))</f>
        <v>320</v>
      </c>
      <c r="K243">
        <f>IF(ISERROR(VLOOKUP(D243,命格辅助表!$P$76:$U$86,E243+2,0)),0,VLOOKUP(D243,命格辅助表!$P$76:$U$86,E243+2,0))</f>
        <v>160</v>
      </c>
      <c r="L243">
        <v>0</v>
      </c>
      <c r="M243">
        <v>0</v>
      </c>
      <c r="N243">
        <v>8440</v>
      </c>
      <c r="O243">
        <f t="shared" si="37"/>
        <v>2</v>
      </c>
      <c r="P243">
        <f t="shared" si="40"/>
        <v>10</v>
      </c>
      <c r="Q243">
        <f>ROUND((VLOOKUP($A243,命格属性表,13,0)+VLOOKUP($A243,命格属性表,20,0)*($D243-1))*IF(P243&gt;9,1,VLOOKUP(D243,命格辅助表!$S$3:$U$10,3,0)),0)</f>
        <v>1667</v>
      </c>
      <c r="R243">
        <f t="shared" si="41"/>
        <v>2</v>
      </c>
      <c r="S243">
        <f>ROUND(IF(R243=0,0,VLOOKUP($A243,命格属性表,15,0)+VLOOKUP($A243,命格属性表,22,0)*($D243-1))*IF(R243&gt;9,1,VLOOKUP(D243,命格辅助表!$S$3:$U$10,3,0)),0)</f>
        <v>104</v>
      </c>
      <c r="T243">
        <f t="shared" si="42"/>
        <v>0</v>
      </c>
      <c r="U243">
        <f t="shared" si="36"/>
        <v>0</v>
      </c>
    </row>
    <row r="244" spans="1:21">
      <c r="A244">
        <v>8840</v>
      </c>
      <c r="B244" t="s">
        <v>314</v>
      </c>
      <c r="C244">
        <f t="shared" si="43"/>
        <v>8</v>
      </c>
      <c r="D244">
        <v>2</v>
      </c>
      <c r="E244">
        <v>3</v>
      </c>
      <c r="F244">
        <v>10</v>
      </c>
      <c r="G244" t="str">
        <f>VLOOKUP(P244,定义数据!$B$14:$C$29,2,0)&amp;"+"&amp;Q244&amp;IF(R244=0,"",","&amp;VLOOKUP(R244,定义数据!$B$14:$C$29,2,0)&amp;"+"&amp;S244)&amp;IF(T244=0,"",","&amp;VLOOKUP(T244,定义数据!$B$14:$C$29,2,0)&amp;"+"&amp;U244)</f>
        <v>暴击倍数+3334,攻击+156</v>
      </c>
      <c r="H244">
        <v>0</v>
      </c>
      <c r="I244">
        <f t="shared" si="39"/>
        <v>8</v>
      </c>
      <c r="J244">
        <f>IF(ISERROR(VLOOKUP(D244,命格辅助表!$I$76:$N$86,D_命格表!E244+2,0)),0,VLOOKUP(D244,命格辅助表!$I$76:$N$86,D_命格表!E244+2,0))</f>
        <v>640</v>
      </c>
      <c r="K244">
        <f>IF(ISERROR(VLOOKUP(D244,命格辅助表!$P$76:$U$86,E244+2,0)),0,VLOOKUP(D244,命格辅助表!$P$76:$U$86,E244+2,0))</f>
        <v>480</v>
      </c>
      <c r="L244">
        <v>0</v>
      </c>
      <c r="M244">
        <v>0</v>
      </c>
      <c r="N244">
        <v>8440</v>
      </c>
      <c r="O244">
        <f t="shared" si="37"/>
        <v>2</v>
      </c>
      <c r="P244">
        <f t="shared" si="40"/>
        <v>10</v>
      </c>
      <c r="Q244">
        <f>ROUND((VLOOKUP($A244,命格属性表,13,0)+VLOOKUP($A244,命格属性表,20,0)*($D244-1))*IF(P244&gt;9,1,VLOOKUP(D244,命格辅助表!$S$3:$U$10,3,0)),0)</f>
        <v>3334</v>
      </c>
      <c r="R244">
        <f t="shared" si="41"/>
        <v>2</v>
      </c>
      <c r="S244">
        <f>ROUND(IF(R244=0,0,VLOOKUP($A244,命格属性表,15,0)+VLOOKUP($A244,命格属性表,22,0)*($D244-1))*IF(R244&gt;9,1,VLOOKUP(D244,命格辅助表!$S$3:$U$10,3,0)),0)</f>
        <v>156</v>
      </c>
      <c r="T244">
        <f t="shared" si="42"/>
        <v>0</v>
      </c>
      <c r="U244">
        <f t="shared" si="36"/>
        <v>0</v>
      </c>
    </row>
    <row r="245" spans="1:21">
      <c r="A245">
        <v>8840</v>
      </c>
      <c r="B245" t="s">
        <v>314</v>
      </c>
      <c r="C245">
        <f t="shared" si="43"/>
        <v>8</v>
      </c>
      <c r="D245">
        <v>3</v>
      </c>
      <c r="E245">
        <v>3</v>
      </c>
      <c r="F245">
        <v>10</v>
      </c>
      <c r="G245" t="str">
        <f>VLOOKUP(P245,定义数据!$B$14:$C$29,2,0)&amp;"+"&amp;Q245&amp;IF(R245=0,"",","&amp;VLOOKUP(R245,定义数据!$B$14:$C$29,2,0)&amp;"+"&amp;S245)&amp;IF(T245=0,"",","&amp;VLOOKUP(T245,定义数据!$B$14:$C$29,2,0)&amp;"+"&amp;U245)</f>
        <v>暴击倍数+5001,攻击+234</v>
      </c>
      <c r="H245">
        <v>0</v>
      </c>
      <c r="I245">
        <f t="shared" si="39"/>
        <v>8</v>
      </c>
      <c r="J245">
        <f>IF(ISERROR(VLOOKUP(D245,命格辅助表!$I$76:$N$86,D_命格表!E245+2,0)),0,VLOOKUP(D245,命格辅助表!$I$76:$N$86,D_命格表!E245+2,0))</f>
        <v>1280</v>
      </c>
      <c r="K245">
        <f>IF(ISERROR(VLOOKUP(D245,命格辅助表!$P$76:$U$86,E245+2,0)),0,VLOOKUP(D245,命格辅助表!$P$76:$U$86,E245+2,0))</f>
        <v>1120</v>
      </c>
      <c r="L245">
        <v>0</v>
      </c>
      <c r="M245">
        <v>0</v>
      </c>
      <c r="N245">
        <v>8440</v>
      </c>
      <c r="O245">
        <f t="shared" si="37"/>
        <v>2</v>
      </c>
      <c r="P245">
        <f t="shared" si="40"/>
        <v>10</v>
      </c>
      <c r="Q245">
        <f>ROUND((VLOOKUP($A245,命格属性表,13,0)+VLOOKUP($A245,命格属性表,20,0)*($D245-1))*IF(P245&gt;9,1,VLOOKUP(D245,命格辅助表!$S$3:$U$10,3,0)),0)</f>
        <v>5001</v>
      </c>
      <c r="R245">
        <f t="shared" si="41"/>
        <v>2</v>
      </c>
      <c r="S245">
        <f>ROUND(IF(R245=0,0,VLOOKUP($A245,命格属性表,15,0)+VLOOKUP($A245,命格属性表,22,0)*($D245-1))*IF(R245&gt;9,1,VLOOKUP(D245,命格辅助表!$S$3:$U$10,3,0)),0)</f>
        <v>234</v>
      </c>
      <c r="T245">
        <f t="shared" si="42"/>
        <v>0</v>
      </c>
      <c r="U245">
        <f t="shared" si="36"/>
        <v>0</v>
      </c>
    </row>
    <row r="246" spans="1:21">
      <c r="A246">
        <v>8840</v>
      </c>
      <c r="B246" t="s">
        <v>314</v>
      </c>
      <c r="C246">
        <f t="shared" si="43"/>
        <v>8</v>
      </c>
      <c r="D246">
        <v>4</v>
      </c>
      <c r="E246">
        <v>3</v>
      </c>
      <c r="F246">
        <v>10</v>
      </c>
      <c r="G246" t="str">
        <f>VLOOKUP(P246,定义数据!$B$14:$C$29,2,0)&amp;"+"&amp;Q246&amp;IF(R246=0,"",","&amp;VLOOKUP(R246,定义数据!$B$14:$C$29,2,0)&amp;"+"&amp;S246)&amp;IF(T246=0,"",","&amp;VLOOKUP(T246,定义数据!$B$14:$C$29,2,0)&amp;"+"&amp;U246)</f>
        <v>暴击倍数+6668,攻击+351</v>
      </c>
      <c r="H246">
        <v>0</v>
      </c>
      <c r="I246">
        <f t="shared" si="39"/>
        <v>8</v>
      </c>
      <c r="J246">
        <f>IF(ISERROR(VLOOKUP(D246,命格辅助表!$I$76:$N$86,D_命格表!E246+2,0)),0,VLOOKUP(D246,命格辅助表!$I$76:$N$86,D_命格表!E246+2,0))</f>
        <v>2560</v>
      </c>
      <c r="K246">
        <f>IF(ISERROR(VLOOKUP(D246,命格辅助表!$P$76:$U$86,E246+2,0)),0,VLOOKUP(D246,命格辅助表!$P$76:$U$86,E246+2,0))</f>
        <v>2400</v>
      </c>
      <c r="L246">
        <v>0</v>
      </c>
      <c r="M246">
        <v>0</v>
      </c>
      <c r="N246">
        <v>8440</v>
      </c>
      <c r="O246">
        <f t="shared" si="37"/>
        <v>2</v>
      </c>
      <c r="P246">
        <f t="shared" si="40"/>
        <v>10</v>
      </c>
      <c r="Q246">
        <f>ROUND((VLOOKUP($A246,命格属性表,13,0)+VLOOKUP($A246,命格属性表,20,0)*($D246-1))*IF(P246&gt;9,1,VLOOKUP(D246,命格辅助表!$S$3:$U$10,3,0)),0)</f>
        <v>6668</v>
      </c>
      <c r="R246">
        <f t="shared" si="41"/>
        <v>2</v>
      </c>
      <c r="S246">
        <f>ROUND(IF(R246=0,0,VLOOKUP($A246,命格属性表,15,0)+VLOOKUP($A246,命格属性表,22,0)*($D246-1))*IF(R246&gt;9,1,VLOOKUP(D246,命格辅助表!$S$3:$U$10,3,0)),0)</f>
        <v>351</v>
      </c>
      <c r="T246">
        <f t="shared" si="42"/>
        <v>0</v>
      </c>
      <c r="U246">
        <f t="shared" si="36"/>
        <v>0</v>
      </c>
    </row>
    <row r="247" spans="1:21">
      <c r="A247">
        <v>8840</v>
      </c>
      <c r="B247" t="s">
        <v>314</v>
      </c>
      <c r="C247">
        <f t="shared" si="43"/>
        <v>8</v>
      </c>
      <c r="D247">
        <v>5</v>
      </c>
      <c r="E247">
        <v>3</v>
      </c>
      <c r="F247">
        <v>10</v>
      </c>
      <c r="G247" t="str">
        <f>VLOOKUP(P247,定义数据!$B$14:$C$29,2,0)&amp;"+"&amp;Q247&amp;IF(R247=0,"",","&amp;VLOOKUP(R247,定义数据!$B$14:$C$29,2,0)&amp;"+"&amp;S247)&amp;IF(T247=0,"",","&amp;VLOOKUP(T247,定义数据!$B$14:$C$29,2,0)&amp;"+"&amp;U247)</f>
        <v>暴击倍数+8335,攻击+526</v>
      </c>
      <c r="H247">
        <v>0</v>
      </c>
      <c r="I247">
        <f t="shared" si="39"/>
        <v>8</v>
      </c>
      <c r="J247">
        <f>IF(ISERROR(VLOOKUP(D247,命格辅助表!$I$76:$N$86,D_命格表!E247+2,0)),0,VLOOKUP(D247,命格辅助表!$I$76:$N$86,D_命格表!E247+2,0))</f>
        <v>5120</v>
      </c>
      <c r="K247">
        <f>IF(ISERROR(VLOOKUP(D247,命格辅助表!$P$76:$U$86,E247+2,0)),0,VLOOKUP(D247,命格辅助表!$P$76:$U$86,E247+2,0))</f>
        <v>4960</v>
      </c>
      <c r="L247">
        <v>0</v>
      </c>
      <c r="M247">
        <v>0</v>
      </c>
      <c r="N247">
        <v>8440</v>
      </c>
      <c r="O247">
        <f t="shared" si="37"/>
        <v>2</v>
      </c>
      <c r="P247">
        <f t="shared" si="40"/>
        <v>10</v>
      </c>
      <c r="Q247">
        <f>ROUND((VLOOKUP($A247,命格属性表,13,0)+VLOOKUP($A247,命格属性表,20,0)*($D247-1))*IF(P247&gt;9,1,VLOOKUP(D247,命格辅助表!$S$3:$U$10,3,0)),0)</f>
        <v>8335</v>
      </c>
      <c r="R247">
        <f t="shared" si="41"/>
        <v>2</v>
      </c>
      <c r="S247">
        <f>ROUND(IF(R247=0,0,VLOOKUP($A247,命格属性表,15,0)+VLOOKUP($A247,命格属性表,22,0)*($D247-1))*IF(R247&gt;9,1,VLOOKUP(D247,命格辅助表!$S$3:$U$10,3,0)),0)</f>
        <v>526</v>
      </c>
      <c r="T247">
        <f t="shared" si="42"/>
        <v>0</v>
      </c>
      <c r="U247">
        <f t="shared" si="36"/>
        <v>0</v>
      </c>
    </row>
    <row r="248" spans="1:21">
      <c r="A248">
        <v>8840</v>
      </c>
      <c r="B248" t="s">
        <v>314</v>
      </c>
      <c r="C248">
        <f t="shared" si="43"/>
        <v>8</v>
      </c>
      <c r="D248">
        <v>6</v>
      </c>
      <c r="E248">
        <v>3</v>
      </c>
      <c r="F248">
        <v>10</v>
      </c>
      <c r="G248" t="str">
        <f>VLOOKUP(P248,定义数据!$B$14:$C$29,2,0)&amp;"+"&amp;Q248&amp;IF(R248=0,"",","&amp;VLOOKUP(R248,定义数据!$B$14:$C$29,2,0)&amp;"+"&amp;S248)&amp;IF(T248=0,"",","&amp;VLOOKUP(T248,定义数据!$B$14:$C$29,2,0)&amp;"+"&amp;U248)</f>
        <v>暴击倍数+10002,攻击+789</v>
      </c>
      <c r="H248">
        <v>0</v>
      </c>
      <c r="I248">
        <f t="shared" si="39"/>
        <v>8</v>
      </c>
      <c r="J248">
        <f>IF(ISERROR(VLOOKUP(D248,命格辅助表!$I$76:$N$86,D_命格表!E248+2,0)),0,VLOOKUP(D248,命格辅助表!$I$76:$N$86,D_命格表!E248+2,0))</f>
        <v>10240</v>
      </c>
      <c r="K248">
        <f>IF(ISERROR(VLOOKUP(D248,命格辅助表!$P$76:$U$86,E248+2,0)),0,VLOOKUP(D248,命格辅助表!$P$76:$U$86,E248+2,0))</f>
        <v>10080</v>
      </c>
      <c r="L248">
        <v>0</v>
      </c>
      <c r="M248">
        <v>0</v>
      </c>
      <c r="N248">
        <v>8440</v>
      </c>
      <c r="O248">
        <f t="shared" si="37"/>
        <v>2</v>
      </c>
      <c r="P248">
        <f t="shared" si="40"/>
        <v>10</v>
      </c>
      <c r="Q248">
        <f>ROUND((VLOOKUP($A248,命格属性表,13,0)+VLOOKUP($A248,命格属性表,20,0)*($D248-1))*IF(P248&gt;9,1,VLOOKUP(D248,命格辅助表!$S$3:$U$10,3,0)),0)</f>
        <v>10002</v>
      </c>
      <c r="R248">
        <f t="shared" si="41"/>
        <v>2</v>
      </c>
      <c r="S248">
        <f>ROUND(IF(R248=0,0,VLOOKUP($A248,命格属性表,15,0)+VLOOKUP($A248,命格属性表,22,0)*($D248-1))*IF(R248&gt;9,1,VLOOKUP(D248,命格辅助表!$S$3:$U$10,3,0)),0)</f>
        <v>789</v>
      </c>
      <c r="T248">
        <f t="shared" si="42"/>
        <v>0</v>
      </c>
      <c r="U248">
        <f t="shared" si="36"/>
        <v>0</v>
      </c>
    </row>
    <row r="249" spans="1:21">
      <c r="A249">
        <v>8840</v>
      </c>
      <c r="B249" t="s">
        <v>314</v>
      </c>
      <c r="C249">
        <f t="shared" si="43"/>
        <v>8</v>
      </c>
      <c r="D249">
        <v>7</v>
      </c>
      <c r="E249">
        <v>3</v>
      </c>
      <c r="F249">
        <v>10</v>
      </c>
      <c r="G249" t="str">
        <f>VLOOKUP(P249,定义数据!$B$14:$C$29,2,0)&amp;"+"&amp;Q249&amp;IF(R249=0,"",","&amp;VLOOKUP(R249,定义数据!$B$14:$C$29,2,0)&amp;"+"&amp;S249)&amp;IF(T249=0,"",","&amp;VLOOKUP(T249,定义数据!$B$14:$C$29,2,0)&amp;"+"&amp;U249)</f>
        <v>暴击倍数+11669,攻击+1184</v>
      </c>
      <c r="H249">
        <v>0</v>
      </c>
      <c r="I249">
        <f t="shared" si="39"/>
        <v>8</v>
      </c>
      <c r="J249">
        <f>IF(ISERROR(VLOOKUP(D249,命格辅助表!$I$76:$N$86,D_命格表!E249+2,0)),0,VLOOKUP(D249,命格辅助表!$I$76:$N$86,D_命格表!E249+2,0))</f>
        <v>20480</v>
      </c>
      <c r="K249">
        <f>IF(ISERROR(VLOOKUP(D249,命格辅助表!$P$76:$U$86,E249+2,0)),0,VLOOKUP(D249,命格辅助表!$P$76:$U$86,E249+2,0))</f>
        <v>20320</v>
      </c>
      <c r="L249">
        <v>0</v>
      </c>
      <c r="M249">
        <v>0</v>
      </c>
      <c r="N249">
        <v>8440</v>
      </c>
      <c r="O249">
        <f t="shared" si="37"/>
        <v>2</v>
      </c>
      <c r="P249">
        <f t="shared" si="40"/>
        <v>10</v>
      </c>
      <c r="Q249">
        <f>ROUND((VLOOKUP($A249,命格属性表,13,0)+VLOOKUP($A249,命格属性表,20,0)*($D249-1))*IF(P249&gt;9,1,VLOOKUP(D249,命格辅助表!$S$3:$U$10,3,0)),0)</f>
        <v>11669</v>
      </c>
      <c r="R249">
        <f t="shared" si="41"/>
        <v>2</v>
      </c>
      <c r="S249">
        <f>ROUND(IF(R249=0,0,VLOOKUP($A249,命格属性表,15,0)+VLOOKUP($A249,命格属性表,22,0)*($D249-1))*IF(R249&gt;9,1,VLOOKUP(D249,命格辅助表!$S$3:$U$10,3,0)),0)</f>
        <v>1184</v>
      </c>
      <c r="T249">
        <f t="shared" si="42"/>
        <v>0</v>
      </c>
      <c r="U249">
        <f t="shared" si="36"/>
        <v>0</v>
      </c>
    </row>
    <row r="250" spans="1:21">
      <c r="A250">
        <v>8840</v>
      </c>
      <c r="B250" t="s">
        <v>314</v>
      </c>
      <c r="C250">
        <f t="shared" si="43"/>
        <v>8</v>
      </c>
      <c r="D250">
        <v>8</v>
      </c>
      <c r="E250">
        <v>3</v>
      </c>
      <c r="F250">
        <v>10</v>
      </c>
      <c r="G250" t="str">
        <f>VLOOKUP(P250,定义数据!$B$14:$C$29,2,0)&amp;"+"&amp;Q250&amp;IF(R250=0,"",","&amp;VLOOKUP(R250,定义数据!$B$14:$C$29,2,0)&amp;"+"&amp;S250)&amp;IF(T250=0,"",","&amp;VLOOKUP(T250,定义数据!$B$14:$C$29,2,0)&amp;"+"&amp;U250)</f>
        <v>暴击倍数+13336,攻击+1776</v>
      </c>
      <c r="H250">
        <v>0</v>
      </c>
      <c r="I250">
        <f t="shared" si="39"/>
        <v>8</v>
      </c>
      <c r="J250">
        <f>IF(ISERROR(VLOOKUP(D250,命格辅助表!$I$76:$N$86,D_命格表!E250+2,0)),0,VLOOKUP(D250,命格辅助表!$I$76:$N$86,D_命格表!E250+2,0))</f>
        <v>40960</v>
      </c>
      <c r="K250">
        <f>IF(ISERROR(VLOOKUP(D250,命格辅助表!$P$76:$U$86,E250+2,0)),0,VLOOKUP(D250,命格辅助表!$P$76:$U$86,E250+2,0))</f>
        <v>40800</v>
      </c>
      <c r="L250">
        <f>IF(ISERROR(VLOOKUP(D250,命格辅助表!$I$76:$N$86,D_命格表!E250+2,0)),0,VLOOKUP(D250,命格辅助表!$I$76:$N$86,D_命格表!E250+2,0))</f>
        <v>40960</v>
      </c>
      <c r="M250">
        <f>A250+10</f>
        <v>8850</v>
      </c>
      <c r="N250">
        <v>8440</v>
      </c>
      <c r="O250">
        <f t="shared" si="37"/>
        <v>2</v>
      </c>
      <c r="P250">
        <f t="shared" si="40"/>
        <v>10</v>
      </c>
      <c r="Q250">
        <f>ROUND((VLOOKUP($A250,命格属性表,13,0)+VLOOKUP($A250,命格属性表,20,0)*($D250-1))*IF(P250&gt;9,1,VLOOKUP(D250,命格辅助表!$S$3:$U$10,3,0)),0)</f>
        <v>13336</v>
      </c>
      <c r="R250">
        <f t="shared" si="41"/>
        <v>2</v>
      </c>
      <c r="S250">
        <f>ROUND(IF(R250=0,0,VLOOKUP($A250,命格属性表,15,0)+VLOOKUP($A250,命格属性表,22,0)*($D250-1))*IF(R250&gt;9,1,VLOOKUP(D250,命格辅助表!$S$3:$U$10,3,0)),0)</f>
        <v>1776</v>
      </c>
      <c r="T250">
        <f t="shared" si="42"/>
        <v>0</v>
      </c>
      <c r="U250">
        <f t="shared" si="36"/>
        <v>0</v>
      </c>
    </row>
    <row r="251" spans="1:21">
      <c r="A251">
        <v>8940</v>
      </c>
      <c r="B251" t="str">
        <f t="shared" si="38"/>
        <v>破天</v>
      </c>
      <c r="C251">
        <f t="shared" si="43"/>
        <v>9</v>
      </c>
      <c r="D251">
        <v>1</v>
      </c>
      <c r="E251">
        <v>3</v>
      </c>
      <c r="F251">
        <v>10</v>
      </c>
      <c r="G251" t="str">
        <f>VLOOKUP(P251,定义数据!$B$14:$C$29,2,0)&amp;"+"&amp;Q251&amp;IF(R251=0,"",","&amp;VLOOKUP(R251,定义数据!$B$14:$C$29,2,0)&amp;"+"&amp;S251)&amp;IF(T251=0,"",","&amp;VLOOKUP(T251,定义数据!$B$14:$C$29,2,0)&amp;"+"&amp;U251)</f>
        <v>攻击加成+667,生命+2601</v>
      </c>
      <c r="H251">
        <v>0</v>
      </c>
      <c r="I251">
        <f t="shared" si="39"/>
        <v>9</v>
      </c>
      <c r="J251">
        <f>IF(ISERROR(VLOOKUP(D251,命格辅助表!$I$76:$N$86,D_命格表!E251+2,0)),0,VLOOKUP(D251,命格辅助表!$I$76:$N$86,D_命格表!E251+2,0))</f>
        <v>320</v>
      </c>
      <c r="K251">
        <f>IF(ISERROR(VLOOKUP(D251,命格辅助表!$P$76:$U$86,E251+2,0)),0,VLOOKUP(D251,命格辅助表!$P$76:$U$86,E251+2,0))</f>
        <v>160</v>
      </c>
      <c r="L251">
        <v>0</v>
      </c>
      <c r="M251">
        <v>0</v>
      </c>
      <c r="N251">
        <v>8140</v>
      </c>
      <c r="O251">
        <f>COUNTIF(P251:U251,"&gt;0")/2</f>
        <v>2</v>
      </c>
      <c r="P251">
        <f t="shared" si="40"/>
        <v>22</v>
      </c>
      <c r="Q251">
        <f>ROUND((VLOOKUP($A251,命格属性表,13,0)+VLOOKUP($A251,命格属性表,20,0)*($D251-1))*IF(P251&gt;9,1,VLOOKUP(D251,命格辅助表!$S$3:$U$10,3,0)),0)</f>
        <v>667</v>
      </c>
      <c r="R251">
        <f t="shared" si="41"/>
        <v>1</v>
      </c>
      <c r="S251">
        <f>ROUND(IF(R251=0,0,VLOOKUP($A251,命格属性表,15,0)+VLOOKUP($A251,命格属性表,22,0)*($D251-1))*IF(R251&gt;9,1,VLOOKUP(D251,命格辅助表!$S$3:$U$10,3,0)),0)</f>
        <v>2601</v>
      </c>
      <c r="T251">
        <f t="shared" si="42"/>
        <v>0</v>
      </c>
      <c r="U251">
        <f t="shared" si="36"/>
        <v>0</v>
      </c>
    </row>
    <row r="252" spans="1:21">
      <c r="A252">
        <v>8940</v>
      </c>
      <c r="B252" t="str">
        <f t="shared" si="38"/>
        <v>破天</v>
      </c>
      <c r="C252">
        <f t="shared" si="43"/>
        <v>9</v>
      </c>
      <c r="D252">
        <v>2</v>
      </c>
      <c r="E252">
        <v>3</v>
      </c>
      <c r="F252">
        <v>10</v>
      </c>
      <c r="G252" t="str">
        <f>VLOOKUP(P252,定义数据!$B$14:$C$29,2,0)&amp;"+"&amp;Q252&amp;IF(R252=0,"",","&amp;VLOOKUP(R252,定义数据!$B$14:$C$29,2,0)&amp;"+"&amp;S252)&amp;IF(T252=0,"",","&amp;VLOOKUP(T252,定义数据!$B$14:$C$29,2,0)&amp;"+"&amp;U252)</f>
        <v>攻击加成+1223,生命+3901</v>
      </c>
      <c r="H252">
        <v>0</v>
      </c>
      <c r="I252">
        <f t="shared" si="39"/>
        <v>9</v>
      </c>
      <c r="J252">
        <f>IF(ISERROR(VLOOKUP(D252,命格辅助表!$I$76:$N$86,D_命格表!E252+2,0)),0,VLOOKUP(D252,命格辅助表!$I$76:$N$86,D_命格表!E252+2,0))</f>
        <v>640</v>
      </c>
      <c r="K252">
        <f>IF(ISERROR(VLOOKUP(D252,命格辅助表!$P$76:$U$86,E252+2,0)),0,VLOOKUP(D252,命格辅助表!$P$76:$U$86,E252+2,0))</f>
        <v>480</v>
      </c>
      <c r="L252">
        <v>0</v>
      </c>
      <c r="M252">
        <v>0</v>
      </c>
      <c r="N252">
        <v>8140</v>
      </c>
      <c r="O252">
        <f t="shared" ref="O252:O315" si="44">COUNTIF(P252:U252,"&gt;0")/2</f>
        <v>2</v>
      </c>
      <c r="P252">
        <f t="shared" si="40"/>
        <v>22</v>
      </c>
      <c r="Q252">
        <f>ROUND((VLOOKUP($A252,命格属性表,13,0)+VLOOKUP($A252,命格属性表,20,0)*($D252-1))*IF(P252&gt;9,1,VLOOKUP(D252,命格辅助表!$S$3:$U$10,3,0)),0)</f>
        <v>1223</v>
      </c>
      <c r="R252">
        <f t="shared" si="41"/>
        <v>1</v>
      </c>
      <c r="S252">
        <f>ROUND(IF(R252=0,0,VLOOKUP($A252,命格属性表,15,0)+VLOOKUP($A252,命格属性表,22,0)*($D252-1))*IF(R252&gt;9,1,VLOOKUP(D252,命格辅助表!$S$3:$U$10,3,0)),0)</f>
        <v>3901</v>
      </c>
      <c r="T252">
        <f t="shared" si="42"/>
        <v>0</v>
      </c>
      <c r="U252">
        <f t="shared" si="36"/>
        <v>0</v>
      </c>
    </row>
    <row r="253" spans="1:21">
      <c r="A253">
        <v>8940</v>
      </c>
      <c r="B253" t="str">
        <f t="shared" si="38"/>
        <v>破天</v>
      </c>
      <c r="C253">
        <f t="shared" si="43"/>
        <v>9</v>
      </c>
      <c r="D253">
        <v>3</v>
      </c>
      <c r="E253">
        <v>3</v>
      </c>
      <c r="F253">
        <v>10</v>
      </c>
      <c r="G253" t="str">
        <f>VLOOKUP(P253,定义数据!$B$14:$C$29,2,0)&amp;"+"&amp;Q253&amp;IF(R253=0,"",","&amp;VLOOKUP(R253,定义数据!$B$14:$C$29,2,0)&amp;"+"&amp;S253)&amp;IF(T253=0,"",","&amp;VLOOKUP(T253,定义数据!$B$14:$C$29,2,0)&amp;"+"&amp;U253)</f>
        <v>攻击加成+1779,生命+5852</v>
      </c>
      <c r="H253">
        <v>0</v>
      </c>
      <c r="I253">
        <f t="shared" si="39"/>
        <v>9</v>
      </c>
      <c r="J253">
        <f>IF(ISERROR(VLOOKUP(D253,命格辅助表!$I$76:$N$86,D_命格表!E253+2,0)),0,VLOOKUP(D253,命格辅助表!$I$76:$N$86,D_命格表!E253+2,0))</f>
        <v>1280</v>
      </c>
      <c r="K253">
        <f>IF(ISERROR(VLOOKUP(D253,命格辅助表!$P$76:$U$86,E253+2,0)),0,VLOOKUP(D253,命格辅助表!$P$76:$U$86,E253+2,0))</f>
        <v>1120</v>
      </c>
      <c r="L253">
        <v>0</v>
      </c>
      <c r="M253">
        <v>0</v>
      </c>
      <c r="N253">
        <v>8140</v>
      </c>
      <c r="O253">
        <f t="shared" si="44"/>
        <v>2</v>
      </c>
      <c r="P253">
        <f t="shared" si="40"/>
        <v>22</v>
      </c>
      <c r="Q253">
        <f>ROUND((VLOOKUP($A253,命格属性表,13,0)+VLOOKUP($A253,命格属性表,20,0)*($D253-1))*IF(P253&gt;9,1,VLOOKUP(D253,命格辅助表!$S$3:$U$10,3,0)),0)</f>
        <v>1779</v>
      </c>
      <c r="R253">
        <f t="shared" si="41"/>
        <v>1</v>
      </c>
      <c r="S253">
        <f>ROUND(IF(R253=0,0,VLOOKUP($A253,命格属性表,15,0)+VLOOKUP($A253,命格属性表,22,0)*($D253-1))*IF(R253&gt;9,1,VLOOKUP(D253,命格辅助表!$S$3:$U$10,3,0)),0)</f>
        <v>5852</v>
      </c>
      <c r="T253">
        <f t="shared" si="42"/>
        <v>0</v>
      </c>
      <c r="U253">
        <f t="shared" si="36"/>
        <v>0</v>
      </c>
    </row>
    <row r="254" spans="1:21">
      <c r="A254">
        <v>8940</v>
      </c>
      <c r="B254" t="str">
        <f t="shared" si="38"/>
        <v>破天</v>
      </c>
      <c r="C254">
        <f t="shared" si="43"/>
        <v>9</v>
      </c>
      <c r="D254">
        <v>4</v>
      </c>
      <c r="E254">
        <v>3</v>
      </c>
      <c r="F254">
        <v>10</v>
      </c>
      <c r="G254" t="str">
        <f>VLOOKUP(P254,定义数据!$B$14:$C$29,2,0)&amp;"+"&amp;Q254&amp;IF(R254=0,"",","&amp;VLOOKUP(R254,定义数据!$B$14:$C$29,2,0)&amp;"+"&amp;S254)&amp;IF(T254=0,"",","&amp;VLOOKUP(T254,定义数据!$B$14:$C$29,2,0)&amp;"+"&amp;U254)</f>
        <v>攻击加成+2335,生命+8778</v>
      </c>
      <c r="H254">
        <v>0</v>
      </c>
      <c r="I254">
        <f t="shared" si="39"/>
        <v>9</v>
      </c>
      <c r="J254">
        <f>IF(ISERROR(VLOOKUP(D254,命格辅助表!$I$76:$N$86,D_命格表!E254+2,0)),0,VLOOKUP(D254,命格辅助表!$I$76:$N$86,D_命格表!E254+2,0))</f>
        <v>2560</v>
      </c>
      <c r="K254">
        <f>IF(ISERROR(VLOOKUP(D254,命格辅助表!$P$76:$U$86,E254+2,0)),0,VLOOKUP(D254,命格辅助表!$P$76:$U$86,E254+2,0))</f>
        <v>2400</v>
      </c>
      <c r="L254">
        <v>0</v>
      </c>
      <c r="M254">
        <v>0</v>
      </c>
      <c r="N254">
        <v>8140</v>
      </c>
      <c r="O254">
        <f t="shared" si="44"/>
        <v>2</v>
      </c>
      <c r="P254">
        <f t="shared" si="40"/>
        <v>22</v>
      </c>
      <c r="Q254">
        <f>ROUND((VLOOKUP($A254,命格属性表,13,0)+VLOOKUP($A254,命格属性表,20,0)*($D254-1))*IF(P254&gt;9,1,VLOOKUP(D254,命格辅助表!$S$3:$U$10,3,0)),0)</f>
        <v>2335</v>
      </c>
      <c r="R254">
        <f t="shared" si="41"/>
        <v>1</v>
      </c>
      <c r="S254">
        <f>ROUND(IF(R254=0,0,VLOOKUP($A254,命格属性表,15,0)+VLOOKUP($A254,命格属性表,22,0)*($D254-1))*IF(R254&gt;9,1,VLOOKUP(D254,命格辅助表!$S$3:$U$10,3,0)),0)</f>
        <v>8778</v>
      </c>
      <c r="T254">
        <f t="shared" si="42"/>
        <v>0</v>
      </c>
      <c r="U254">
        <f t="shared" si="36"/>
        <v>0</v>
      </c>
    </row>
    <row r="255" spans="1:21">
      <c r="A255">
        <v>8940</v>
      </c>
      <c r="B255" t="str">
        <f t="shared" si="38"/>
        <v>破天</v>
      </c>
      <c r="C255">
        <f t="shared" si="43"/>
        <v>9</v>
      </c>
      <c r="D255">
        <v>5</v>
      </c>
      <c r="E255">
        <v>3</v>
      </c>
      <c r="F255">
        <v>10</v>
      </c>
      <c r="G255" t="str">
        <f>VLOOKUP(P255,定义数据!$B$14:$C$29,2,0)&amp;"+"&amp;Q255&amp;IF(R255=0,"",","&amp;VLOOKUP(R255,定义数据!$B$14:$C$29,2,0)&amp;"+"&amp;S255)&amp;IF(T255=0,"",","&amp;VLOOKUP(T255,定义数据!$B$14:$C$29,2,0)&amp;"+"&amp;U255)</f>
        <v>攻击加成+2891,生命+13167</v>
      </c>
      <c r="H255">
        <v>0</v>
      </c>
      <c r="I255">
        <f t="shared" si="39"/>
        <v>9</v>
      </c>
      <c r="J255">
        <f>IF(ISERROR(VLOOKUP(D255,命格辅助表!$I$76:$N$86,D_命格表!E255+2,0)),0,VLOOKUP(D255,命格辅助表!$I$76:$N$86,D_命格表!E255+2,0))</f>
        <v>5120</v>
      </c>
      <c r="K255">
        <f>IF(ISERROR(VLOOKUP(D255,命格辅助表!$P$76:$U$86,E255+2,0)),0,VLOOKUP(D255,命格辅助表!$P$76:$U$86,E255+2,0))</f>
        <v>4960</v>
      </c>
      <c r="L255">
        <v>0</v>
      </c>
      <c r="M255">
        <v>0</v>
      </c>
      <c r="N255">
        <v>8140</v>
      </c>
      <c r="O255">
        <f t="shared" si="44"/>
        <v>2</v>
      </c>
      <c r="P255">
        <f t="shared" si="40"/>
        <v>22</v>
      </c>
      <c r="Q255">
        <f>ROUND((VLOOKUP($A255,命格属性表,13,0)+VLOOKUP($A255,命格属性表,20,0)*($D255-1))*IF(P255&gt;9,1,VLOOKUP(D255,命格辅助表!$S$3:$U$10,3,0)),0)</f>
        <v>2891</v>
      </c>
      <c r="R255">
        <f t="shared" si="41"/>
        <v>1</v>
      </c>
      <c r="S255">
        <f>ROUND(IF(R255=0,0,VLOOKUP($A255,命格属性表,15,0)+VLOOKUP($A255,命格属性表,22,0)*($D255-1))*IF(R255&gt;9,1,VLOOKUP(D255,命格辅助表!$S$3:$U$10,3,0)),0)</f>
        <v>13167</v>
      </c>
      <c r="T255">
        <f t="shared" si="42"/>
        <v>0</v>
      </c>
      <c r="U255">
        <f t="shared" si="36"/>
        <v>0</v>
      </c>
    </row>
    <row r="256" spans="1:21">
      <c r="A256">
        <v>8940</v>
      </c>
      <c r="B256" t="str">
        <f t="shared" si="38"/>
        <v>破天</v>
      </c>
      <c r="C256">
        <f t="shared" si="43"/>
        <v>9</v>
      </c>
      <c r="D256">
        <v>6</v>
      </c>
      <c r="E256">
        <v>3</v>
      </c>
      <c r="F256">
        <v>10</v>
      </c>
      <c r="G256" t="str">
        <f>VLOOKUP(P256,定义数据!$B$14:$C$29,2,0)&amp;"+"&amp;Q256&amp;IF(R256=0,"",","&amp;VLOOKUP(R256,定义数据!$B$14:$C$29,2,0)&amp;"+"&amp;S256)&amp;IF(T256=0,"",","&amp;VLOOKUP(T256,定义数据!$B$14:$C$29,2,0)&amp;"+"&amp;U256)</f>
        <v>攻击加成+3447,生命+19751</v>
      </c>
      <c r="H256">
        <v>0</v>
      </c>
      <c r="I256">
        <f t="shared" si="39"/>
        <v>9</v>
      </c>
      <c r="J256">
        <f>IF(ISERROR(VLOOKUP(D256,命格辅助表!$I$76:$N$86,D_命格表!E256+2,0)),0,VLOOKUP(D256,命格辅助表!$I$76:$N$86,D_命格表!E256+2,0))</f>
        <v>10240</v>
      </c>
      <c r="K256">
        <f>IF(ISERROR(VLOOKUP(D256,命格辅助表!$P$76:$U$86,E256+2,0)),0,VLOOKUP(D256,命格辅助表!$P$76:$U$86,E256+2,0))</f>
        <v>10080</v>
      </c>
      <c r="L256">
        <v>0</v>
      </c>
      <c r="M256">
        <v>0</v>
      </c>
      <c r="N256">
        <v>8140</v>
      </c>
      <c r="O256">
        <f t="shared" si="44"/>
        <v>2</v>
      </c>
      <c r="P256">
        <f t="shared" si="40"/>
        <v>22</v>
      </c>
      <c r="Q256">
        <f>ROUND((VLOOKUP($A256,命格属性表,13,0)+VLOOKUP($A256,命格属性表,20,0)*($D256-1))*IF(P256&gt;9,1,VLOOKUP(D256,命格辅助表!$S$3:$U$10,3,0)),0)</f>
        <v>3447</v>
      </c>
      <c r="R256">
        <f t="shared" si="41"/>
        <v>1</v>
      </c>
      <c r="S256">
        <f>ROUND(IF(R256=0,0,VLOOKUP($A256,命格属性表,15,0)+VLOOKUP($A256,命格属性表,22,0)*($D256-1))*IF(R256&gt;9,1,VLOOKUP(D256,命格辅助表!$S$3:$U$10,3,0)),0)</f>
        <v>19751</v>
      </c>
      <c r="T256">
        <f t="shared" si="42"/>
        <v>0</v>
      </c>
      <c r="U256">
        <f t="shared" si="36"/>
        <v>0</v>
      </c>
    </row>
    <row r="257" spans="1:21">
      <c r="A257">
        <v>8940</v>
      </c>
      <c r="B257" t="str">
        <f t="shared" si="38"/>
        <v>破天</v>
      </c>
      <c r="C257">
        <f t="shared" si="43"/>
        <v>9</v>
      </c>
      <c r="D257">
        <v>7</v>
      </c>
      <c r="E257">
        <v>3</v>
      </c>
      <c r="F257">
        <v>10</v>
      </c>
      <c r="G257" t="str">
        <f>VLOOKUP(P257,定义数据!$B$14:$C$29,2,0)&amp;"+"&amp;Q257&amp;IF(R257=0,"",","&amp;VLOOKUP(R257,定义数据!$B$14:$C$29,2,0)&amp;"+"&amp;S257)&amp;IF(T257=0,"",","&amp;VLOOKUP(T257,定义数据!$B$14:$C$29,2,0)&amp;"+"&amp;U257)</f>
        <v>攻击加成+4003,生命+29627</v>
      </c>
      <c r="H257">
        <v>0</v>
      </c>
      <c r="I257">
        <f t="shared" si="39"/>
        <v>9</v>
      </c>
      <c r="J257">
        <f>IF(ISERROR(VLOOKUP(D257,命格辅助表!$I$76:$N$86,D_命格表!E257+2,0)),0,VLOOKUP(D257,命格辅助表!$I$76:$N$86,D_命格表!E257+2,0))</f>
        <v>20480</v>
      </c>
      <c r="K257">
        <f>IF(ISERROR(VLOOKUP(D257,命格辅助表!$P$76:$U$86,E257+2,0)),0,VLOOKUP(D257,命格辅助表!$P$76:$U$86,E257+2,0))</f>
        <v>20320</v>
      </c>
      <c r="L257">
        <v>0</v>
      </c>
      <c r="M257">
        <v>0</v>
      </c>
      <c r="N257">
        <v>8140</v>
      </c>
      <c r="O257">
        <f t="shared" si="44"/>
        <v>2</v>
      </c>
      <c r="P257">
        <f t="shared" si="40"/>
        <v>22</v>
      </c>
      <c r="Q257">
        <f>ROUND((VLOOKUP($A257,命格属性表,13,0)+VLOOKUP($A257,命格属性表,20,0)*($D257-1))*IF(P257&gt;9,1,VLOOKUP(D257,命格辅助表!$S$3:$U$10,3,0)),0)</f>
        <v>4003</v>
      </c>
      <c r="R257">
        <f t="shared" si="41"/>
        <v>1</v>
      </c>
      <c r="S257">
        <f>ROUND(IF(R257=0,0,VLOOKUP($A257,命格属性表,15,0)+VLOOKUP($A257,命格属性表,22,0)*($D257-1))*IF(R257&gt;9,1,VLOOKUP(D257,命格辅助表!$S$3:$U$10,3,0)),0)</f>
        <v>29627</v>
      </c>
      <c r="T257">
        <f t="shared" si="42"/>
        <v>0</v>
      </c>
      <c r="U257">
        <f t="shared" si="36"/>
        <v>0</v>
      </c>
    </row>
    <row r="258" spans="1:21">
      <c r="A258">
        <v>8940</v>
      </c>
      <c r="B258" t="str">
        <f t="shared" si="38"/>
        <v>破天</v>
      </c>
      <c r="C258">
        <f t="shared" si="43"/>
        <v>9</v>
      </c>
      <c r="D258">
        <v>8</v>
      </c>
      <c r="E258">
        <v>3</v>
      </c>
      <c r="F258">
        <v>10</v>
      </c>
      <c r="G258" t="str">
        <f>VLOOKUP(P258,定义数据!$B$14:$C$29,2,0)&amp;"+"&amp;Q258&amp;IF(R258=0,"",","&amp;VLOOKUP(R258,定义数据!$B$14:$C$29,2,0)&amp;"+"&amp;S258)&amp;IF(T258=0,"",","&amp;VLOOKUP(T258,定义数据!$B$14:$C$29,2,0)&amp;"+"&amp;U258)</f>
        <v>攻击加成+4559,生命+44440</v>
      </c>
      <c r="H258">
        <v>0</v>
      </c>
      <c r="I258">
        <f t="shared" si="39"/>
        <v>9</v>
      </c>
      <c r="J258">
        <f>IF(ISERROR(VLOOKUP(D258,命格辅助表!$I$76:$N$86,D_命格表!E258+2,0)),0,VLOOKUP(D258,命格辅助表!$I$76:$N$86,D_命格表!E258+2,0))</f>
        <v>40960</v>
      </c>
      <c r="K258">
        <f>IF(ISERROR(VLOOKUP(D258,命格辅助表!$P$76:$U$86,E258+2,0)),0,VLOOKUP(D258,命格辅助表!$P$76:$U$86,E258+2,0))</f>
        <v>40800</v>
      </c>
      <c r="L258">
        <f>IF(ISERROR(VLOOKUP(D258,命格辅助表!$I$76:$N$86,D_命格表!E258+2,0)),0,VLOOKUP(D258,命格辅助表!$I$76:$N$86,D_命格表!E258+2,0))</f>
        <v>40960</v>
      </c>
      <c r="M258">
        <f>A258+10</f>
        <v>8950</v>
      </c>
      <c r="N258">
        <v>8140</v>
      </c>
      <c r="O258">
        <f t="shared" si="44"/>
        <v>2</v>
      </c>
      <c r="P258">
        <f t="shared" si="40"/>
        <v>22</v>
      </c>
      <c r="Q258">
        <f>ROUND((VLOOKUP($A258,命格属性表,13,0)+VLOOKUP($A258,命格属性表,20,0)*($D258-1))*IF(P258&gt;9,1,VLOOKUP(D258,命格辅助表!$S$3:$U$10,3,0)),0)</f>
        <v>4559</v>
      </c>
      <c r="R258">
        <f t="shared" si="41"/>
        <v>1</v>
      </c>
      <c r="S258">
        <f>ROUND(IF(R258=0,0,VLOOKUP($A258,命格属性表,15,0)+VLOOKUP($A258,命格属性表,22,0)*($D258-1))*IF(R258&gt;9,1,VLOOKUP(D258,命格辅助表!$S$3:$U$10,3,0)),0)</f>
        <v>44440</v>
      </c>
      <c r="T258">
        <f t="shared" si="42"/>
        <v>0</v>
      </c>
      <c r="U258">
        <f t="shared" ref="U258:U321" si="45">IF(T258=0,0,VLOOKUP($A258,命格属性表,17,0)+VLOOKUP($A258,命格属性表,24,0)*($D258-1))</f>
        <v>0</v>
      </c>
    </row>
    <row r="259" spans="1:21">
      <c r="A259">
        <v>9040</v>
      </c>
      <c r="B259" t="s">
        <v>315</v>
      </c>
      <c r="C259">
        <f t="shared" si="43"/>
        <v>10</v>
      </c>
      <c r="D259">
        <v>1</v>
      </c>
      <c r="E259">
        <v>3</v>
      </c>
      <c r="F259">
        <v>10</v>
      </c>
      <c r="G259" t="str">
        <f>VLOOKUP(P259,定义数据!$B$14:$C$29,2,0)&amp;"+"&amp;Q259&amp;IF(R259=0,"",","&amp;VLOOKUP(R259,定义数据!$B$14:$C$29,2,0)&amp;"+"&amp;S259)&amp;IF(T259=0,"",","&amp;VLOOKUP(T259,定义数据!$B$14:$C$29,2,0)&amp;"+"&amp;U259)</f>
        <v>防御加成+833,攻击+104</v>
      </c>
      <c r="H259">
        <v>0</v>
      </c>
      <c r="I259">
        <f t="shared" si="39"/>
        <v>10</v>
      </c>
      <c r="J259">
        <f>IF(ISERROR(VLOOKUP(D259,命格辅助表!$I$76:$N$86,D_命格表!E259+2,0)),0,VLOOKUP(D259,命格辅助表!$I$76:$N$86,D_命格表!E259+2,0))</f>
        <v>320</v>
      </c>
      <c r="K259">
        <f>IF(ISERROR(VLOOKUP(D259,命格辅助表!$P$76:$U$86,E259+2,0)),0,VLOOKUP(D259,命格辅助表!$P$76:$U$86,E259+2,0))</f>
        <v>160</v>
      </c>
      <c r="L259">
        <v>0</v>
      </c>
      <c r="M259">
        <v>0</v>
      </c>
      <c r="N259">
        <v>8240</v>
      </c>
      <c r="O259">
        <f t="shared" si="44"/>
        <v>2</v>
      </c>
      <c r="P259">
        <f t="shared" si="40"/>
        <v>23</v>
      </c>
      <c r="Q259">
        <f>ROUND((VLOOKUP($A259,命格属性表,13,0)+VLOOKUP($A259,命格属性表,20,0)*($D259-1))*IF(P259&gt;9,1,VLOOKUP(D259,命格辅助表!$S$3:$U$10,3,0)),0)</f>
        <v>833</v>
      </c>
      <c r="R259">
        <f t="shared" si="41"/>
        <v>2</v>
      </c>
      <c r="S259">
        <f>ROUND(IF(R259=0,0,VLOOKUP($A259,命格属性表,15,0)+VLOOKUP($A259,命格属性表,22,0)*($D259-1))*IF(R259&gt;9,1,VLOOKUP(D259,命格辅助表!$S$3:$U$10,3,0)),0)</f>
        <v>104</v>
      </c>
      <c r="T259">
        <f t="shared" si="42"/>
        <v>0</v>
      </c>
      <c r="U259">
        <f t="shared" si="45"/>
        <v>0</v>
      </c>
    </row>
    <row r="260" spans="1:21">
      <c r="A260">
        <v>9040</v>
      </c>
      <c r="B260" t="s">
        <v>315</v>
      </c>
      <c r="C260">
        <f t="shared" si="43"/>
        <v>10</v>
      </c>
      <c r="D260">
        <v>2</v>
      </c>
      <c r="E260">
        <v>3</v>
      </c>
      <c r="F260">
        <v>10</v>
      </c>
      <c r="G260" t="str">
        <f>VLOOKUP(P260,定义数据!$B$14:$C$29,2,0)&amp;"+"&amp;Q260&amp;IF(R260=0,"",","&amp;VLOOKUP(R260,定义数据!$B$14:$C$29,2,0)&amp;"+"&amp;S260)&amp;IF(T260=0,"",","&amp;VLOOKUP(T260,定义数据!$B$14:$C$29,2,0)&amp;"+"&amp;U260)</f>
        <v>防御加成+1666,攻击+156</v>
      </c>
      <c r="H260">
        <v>0</v>
      </c>
      <c r="I260">
        <f t="shared" si="39"/>
        <v>10</v>
      </c>
      <c r="J260">
        <f>IF(ISERROR(VLOOKUP(D260,命格辅助表!$I$76:$N$86,D_命格表!E260+2,0)),0,VLOOKUP(D260,命格辅助表!$I$76:$N$86,D_命格表!E260+2,0))</f>
        <v>640</v>
      </c>
      <c r="K260">
        <f>IF(ISERROR(VLOOKUP(D260,命格辅助表!$P$76:$U$86,E260+2,0)),0,VLOOKUP(D260,命格辅助表!$P$76:$U$86,E260+2,0))</f>
        <v>480</v>
      </c>
      <c r="L260">
        <v>0</v>
      </c>
      <c r="M260">
        <v>0</v>
      </c>
      <c r="N260">
        <v>8240</v>
      </c>
      <c r="O260">
        <f t="shared" si="44"/>
        <v>2</v>
      </c>
      <c r="P260">
        <f t="shared" si="40"/>
        <v>23</v>
      </c>
      <c r="Q260">
        <f>ROUND((VLOOKUP($A260,命格属性表,13,0)+VLOOKUP($A260,命格属性表,20,0)*($D260-1))*IF(P260&gt;9,1,VLOOKUP(D260,命格辅助表!$S$3:$U$10,3,0)),0)</f>
        <v>1666</v>
      </c>
      <c r="R260">
        <f t="shared" si="41"/>
        <v>2</v>
      </c>
      <c r="S260">
        <f>ROUND(IF(R260=0,0,VLOOKUP($A260,命格属性表,15,0)+VLOOKUP($A260,命格属性表,22,0)*($D260-1))*IF(R260&gt;9,1,VLOOKUP(D260,命格辅助表!$S$3:$U$10,3,0)),0)</f>
        <v>156</v>
      </c>
      <c r="T260">
        <f t="shared" si="42"/>
        <v>0</v>
      </c>
      <c r="U260">
        <f t="shared" si="45"/>
        <v>0</v>
      </c>
    </row>
    <row r="261" spans="1:21">
      <c r="A261">
        <v>9040</v>
      </c>
      <c r="B261" t="s">
        <v>315</v>
      </c>
      <c r="C261">
        <f t="shared" si="43"/>
        <v>10</v>
      </c>
      <c r="D261">
        <v>3</v>
      </c>
      <c r="E261">
        <v>3</v>
      </c>
      <c r="F261">
        <v>10</v>
      </c>
      <c r="G261" t="str">
        <f>VLOOKUP(P261,定义数据!$B$14:$C$29,2,0)&amp;"+"&amp;Q261&amp;IF(R261=0,"",","&amp;VLOOKUP(R261,定义数据!$B$14:$C$29,2,0)&amp;"+"&amp;S261)&amp;IF(T261=0,"",","&amp;VLOOKUP(T261,定义数据!$B$14:$C$29,2,0)&amp;"+"&amp;U261)</f>
        <v>防御加成+2499,攻击+234</v>
      </c>
      <c r="H261">
        <v>0</v>
      </c>
      <c r="I261">
        <f t="shared" si="39"/>
        <v>10</v>
      </c>
      <c r="J261">
        <f>IF(ISERROR(VLOOKUP(D261,命格辅助表!$I$76:$N$86,D_命格表!E261+2,0)),0,VLOOKUP(D261,命格辅助表!$I$76:$N$86,D_命格表!E261+2,0))</f>
        <v>1280</v>
      </c>
      <c r="K261">
        <f>IF(ISERROR(VLOOKUP(D261,命格辅助表!$P$76:$U$86,E261+2,0)),0,VLOOKUP(D261,命格辅助表!$P$76:$U$86,E261+2,0))</f>
        <v>1120</v>
      </c>
      <c r="L261">
        <v>0</v>
      </c>
      <c r="M261">
        <v>0</v>
      </c>
      <c r="N261">
        <v>8240</v>
      </c>
      <c r="O261">
        <f t="shared" si="44"/>
        <v>2</v>
      </c>
      <c r="P261">
        <f t="shared" si="40"/>
        <v>23</v>
      </c>
      <c r="Q261">
        <f>ROUND((VLOOKUP($A261,命格属性表,13,0)+VLOOKUP($A261,命格属性表,20,0)*($D261-1))*IF(P261&gt;9,1,VLOOKUP(D261,命格辅助表!$S$3:$U$10,3,0)),0)</f>
        <v>2499</v>
      </c>
      <c r="R261">
        <f t="shared" si="41"/>
        <v>2</v>
      </c>
      <c r="S261">
        <f>ROUND(IF(R261=0,0,VLOOKUP($A261,命格属性表,15,0)+VLOOKUP($A261,命格属性表,22,0)*($D261-1))*IF(R261&gt;9,1,VLOOKUP(D261,命格辅助表!$S$3:$U$10,3,0)),0)</f>
        <v>234</v>
      </c>
      <c r="T261">
        <f t="shared" si="42"/>
        <v>0</v>
      </c>
      <c r="U261">
        <f t="shared" si="45"/>
        <v>0</v>
      </c>
    </row>
    <row r="262" spans="1:21">
      <c r="A262">
        <v>9040</v>
      </c>
      <c r="B262" t="s">
        <v>315</v>
      </c>
      <c r="C262">
        <f t="shared" si="43"/>
        <v>10</v>
      </c>
      <c r="D262">
        <v>4</v>
      </c>
      <c r="E262">
        <v>3</v>
      </c>
      <c r="F262">
        <v>10</v>
      </c>
      <c r="G262" t="str">
        <f>VLOOKUP(P262,定义数据!$B$14:$C$29,2,0)&amp;"+"&amp;Q262&amp;IF(R262=0,"",","&amp;VLOOKUP(R262,定义数据!$B$14:$C$29,2,0)&amp;"+"&amp;S262)&amp;IF(T262=0,"",","&amp;VLOOKUP(T262,定义数据!$B$14:$C$29,2,0)&amp;"+"&amp;U262)</f>
        <v>防御加成+3332,攻击+351</v>
      </c>
      <c r="H262">
        <v>0</v>
      </c>
      <c r="I262">
        <f t="shared" si="39"/>
        <v>10</v>
      </c>
      <c r="J262">
        <f>IF(ISERROR(VLOOKUP(D262,命格辅助表!$I$76:$N$86,D_命格表!E262+2,0)),0,VLOOKUP(D262,命格辅助表!$I$76:$N$86,D_命格表!E262+2,0))</f>
        <v>2560</v>
      </c>
      <c r="K262">
        <f>IF(ISERROR(VLOOKUP(D262,命格辅助表!$P$76:$U$86,E262+2,0)),0,VLOOKUP(D262,命格辅助表!$P$76:$U$86,E262+2,0))</f>
        <v>2400</v>
      </c>
      <c r="L262">
        <v>0</v>
      </c>
      <c r="M262">
        <v>0</v>
      </c>
      <c r="N262">
        <v>8240</v>
      </c>
      <c r="O262">
        <f t="shared" si="44"/>
        <v>2</v>
      </c>
      <c r="P262">
        <f t="shared" si="40"/>
        <v>23</v>
      </c>
      <c r="Q262">
        <f>ROUND((VLOOKUP($A262,命格属性表,13,0)+VLOOKUP($A262,命格属性表,20,0)*($D262-1))*IF(P262&gt;9,1,VLOOKUP(D262,命格辅助表!$S$3:$U$10,3,0)),0)</f>
        <v>3332</v>
      </c>
      <c r="R262">
        <f t="shared" si="41"/>
        <v>2</v>
      </c>
      <c r="S262">
        <f>ROUND(IF(R262=0,0,VLOOKUP($A262,命格属性表,15,0)+VLOOKUP($A262,命格属性表,22,0)*($D262-1))*IF(R262&gt;9,1,VLOOKUP(D262,命格辅助表!$S$3:$U$10,3,0)),0)</f>
        <v>351</v>
      </c>
      <c r="T262">
        <f t="shared" si="42"/>
        <v>0</v>
      </c>
      <c r="U262">
        <f t="shared" si="45"/>
        <v>0</v>
      </c>
    </row>
    <row r="263" spans="1:21">
      <c r="A263">
        <v>9040</v>
      </c>
      <c r="B263" t="s">
        <v>315</v>
      </c>
      <c r="C263">
        <f t="shared" si="43"/>
        <v>10</v>
      </c>
      <c r="D263">
        <v>5</v>
      </c>
      <c r="E263">
        <v>3</v>
      </c>
      <c r="F263">
        <v>10</v>
      </c>
      <c r="G263" t="str">
        <f>VLOOKUP(P263,定义数据!$B$14:$C$29,2,0)&amp;"+"&amp;Q263&amp;IF(R263=0,"",","&amp;VLOOKUP(R263,定义数据!$B$14:$C$29,2,0)&amp;"+"&amp;S263)&amp;IF(T263=0,"",","&amp;VLOOKUP(T263,定义数据!$B$14:$C$29,2,0)&amp;"+"&amp;U263)</f>
        <v>防御加成+4165,攻击+526</v>
      </c>
      <c r="H263">
        <v>0</v>
      </c>
      <c r="I263">
        <f t="shared" si="39"/>
        <v>10</v>
      </c>
      <c r="J263">
        <f>IF(ISERROR(VLOOKUP(D263,命格辅助表!$I$76:$N$86,D_命格表!E263+2,0)),0,VLOOKUP(D263,命格辅助表!$I$76:$N$86,D_命格表!E263+2,0))</f>
        <v>5120</v>
      </c>
      <c r="K263">
        <f>IF(ISERROR(VLOOKUP(D263,命格辅助表!$P$76:$U$86,E263+2,0)),0,VLOOKUP(D263,命格辅助表!$P$76:$U$86,E263+2,0))</f>
        <v>4960</v>
      </c>
      <c r="L263">
        <v>0</v>
      </c>
      <c r="M263">
        <v>0</v>
      </c>
      <c r="N263">
        <v>8240</v>
      </c>
      <c r="O263">
        <f t="shared" si="44"/>
        <v>2</v>
      </c>
      <c r="P263">
        <f t="shared" si="40"/>
        <v>23</v>
      </c>
      <c r="Q263">
        <f>ROUND((VLOOKUP($A263,命格属性表,13,0)+VLOOKUP($A263,命格属性表,20,0)*($D263-1))*IF(P263&gt;9,1,VLOOKUP(D263,命格辅助表!$S$3:$U$10,3,0)),0)</f>
        <v>4165</v>
      </c>
      <c r="R263">
        <f t="shared" si="41"/>
        <v>2</v>
      </c>
      <c r="S263">
        <f>ROUND(IF(R263=0,0,VLOOKUP($A263,命格属性表,15,0)+VLOOKUP($A263,命格属性表,22,0)*($D263-1))*IF(R263&gt;9,1,VLOOKUP(D263,命格辅助表!$S$3:$U$10,3,0)),0)</f>
        <v>526</v>
      </c>
      <c r="T263">
        <f t="shared" si="42"/>
        <v>0</v>
      </c>
      <c r="U263">
        <f t="shared" si="45"/>
        <v>0</v>
      </c>
    </row>
    <row r="264" spans="1:21">
      <c r="A264">
        <v>9040</v>
      </c>
      <c r="B264" t="s">
        <v>315</v>
      </c>
      <c r="C264">
        <f t="shared" si="43"/>
        <v>10</v>
      </c>
      <c r="D264">
        <v>6</v>
      </c>
      <c r="E264">
        <v>3</v>
      </c>
      <c r="F264">
        <v>10</v>
      </c>
      <c r="G264" t="str">
        <f>VLOOKUP(P264,定义数据!$B$14:$C$29,2,0)&amp;"+"&amp;Q264&amp;IF(R264=0,"",","&amp;VLOOKUP(R264,定义数据!$B$14:$C$29,2,0)&amp;"+"&amp;S264)&amp;IF(T264=0,"",","&amp;VLOOKUP(T264,定义数据!$B$14:$C$29,2,0)&amp;"+"&amp;U264)</f>
        <v>防御加成+4998,攻击+789</v>
      </c>
      <c r="H264">
        <v>0</v>
      </c>
      <c r="I264">
        <f t="shared" si="39"/>
        <v>10</v>
      </c>
      <c r="J264">
        <f>IF(ISERROR(VLOOKUP(D264,命格辅助表!$I$76:$N$86,D_命格表!E264+2,0)),0,VLOOKUP(D264,命格辅助表!$I$76:$N$86,D_命格表!E264+2,0))</f>
        <v>10240</v>
      </c>
      <c r="K264">
        <f>IF(ISERROR(VLOOKUP(D264,命格辅助表!$P$76:$U$86,E264+2,0)),0,VLOOKUP(D264,命格辅助表!$P$76:$U$86,E264+2,0))</f>
        <v>10080</v>
      </c>
      <c r="L264">
        <v>0</v>
      </c>
      <c r="M264">
        <v>0</v>
      </c>
      <c r="N264">
        <v>8240</v>
      </c>
      <c r="O264">
        <f t="shared" si="44"/>
        <v>2</v>
      </c>
      <c r="P264">
        <f t="shared" si="40"/>
        <v>23</v>
      </c>
      <c r="Q264">
        <f>ROUND((VLOOKUP($A264,命格属性表,13,0)+VLOOKUP($A264,命格属性表,20,0)*($D264-1))*IF(P264&gt;9,1,VLOOKUP(D264,命格辅助表!$S$3:$U$10,3,0)),0)</f>
        <v>4998</v>
      </c>
      <c r="R264">
        <f t="shared" si="41"/>
        <v>2</v>
      </c>
      <c r="S264">
        <f>ROUND(IF(R264=0,0,VLOOKUP($A264,命格属性表,15,0)+VLOOKUP($A264,命格属性表,22,0)*($D264-1))*IF(R264&gt;9,1,VLOOKUP(D264,命格辅助表!$S$3:$U$10,3,0)),0)</f>
        <v>789</v>
      </c>
      <c r="T264">
        <f t="shared" si="42"/>
        <v>0</v>
      </c>
      <c r="U264">
        <f t="shared" si="45"/>
        <v>0</v>
      </c>
    </row>
    <row r="265" spans="1:21">
      <c r="A265">
        <v>9040</v>
      </c>
      <c r="B265" t="s">
        <v>315</v>
      </c>
      <c r="C265">
        <f t="shared" si="43"/>
        <v>10</v>
      </c>
      <c r="D265">
        <v>7</v>
      </c>
      <c r="E265">
        <v>3</v>
      </c>
      <c r="F265">
        <v>10</v>
      </c>
      <c r="G265" t="str">
        <f>VLOOKUP(P265,定义数据!$B$14:$C$29,2,0)&amp;"+"&amp;Q265&amp;IF(R265=0,"",","&amp;VLOOKUP(R265,定义数据!$B$14:$C$29,2,0)&amp;"+"&amp;S265)&amp;IF(T265=0,"",","&amp;VLOOKUP(T265,定义数据!$B$14:$C$29,2,0)&amp;"+"&amp;U265)</f>
        <v>防御加成+5831,攻击+1184</v>
      </c>
      <c r="H265">
        <v>0</v>
      </c>
      <c r="I265">
        <f t="shared" si="39"/>
        <v>10</v>
      </c>
      <c r="J265">
        <f>IF(ISERROR(VLOOKUP(D265,命格辅助表!$I$76:$N$86,D_命格表!E265+2,0)),0,VLOOKUP(D265,命格辅助表!$I$76:$N$86,D_命格表!E265+2,0))</f>
        <v>20480</v>
      </c>
      <c r="K265">
        <f>IF(ISERROR(VLOOKUP(D265,命格辅助表!$P$76:$U$86,E265+2,0)),0,VLOOKUP(D265,命格辅助表!$P$76:$U$86,E265+2,0))</f>
        <v>20320</v>
      </c>
      <c r="L265">
        <v>0</v>
      </c>
      <c r="M265">
        <v>0</v>
      </c>
      <c r="N265">
        <v>8240</v>
      </c>
      <c r="O265">
        <f t="shared" si="44"/>
        <v>2</v>
      </c>
      <c r="P265">
        <f t="shared" si="40"/>
        <v>23</v>
      </c>
      <c r="Q265">
        <f>ROUND((VLOOKUP($A265,命格属性表,13,0)+VLOOKUP($A265,命格属性表,20,0)*($D265-1))*IF(P265&gt;9,1,VLOOKUP(D265,命格辅助表!$S$3:$U$10,3,0)),0)</f>
        <v>5831</v>
      </c>
      <c r="R265">
        <f t="shared" si="41"/>
        <v>2</v>
      </c>
      <c r="S265">
        <f>ROUND(IF(R265=0,0,VLOOKUP($A265,命格属性表,15,0)+VLOOKUP($A265,命格属性表,22,0)*($D265-1))*IF(R265&gt;9,1,VLOOKUP(D265,命格辅助表!$S$3:$U$10,3,0)),0)</f>
        <v>1184</v>
      </c>
      <c r="T265">
        <f t="shared" si="42"/>
        <v>0</v>
      </c>
      <c r="U265">
        <f t="shared" si="45"/>
        <v>0</v>
      </c>
    </row>
    <row r="266" spans="1:21">
      <c r="A266">
        <v>9040</v>
      </c>
      <c r="B266" t="s">
        <v>315</v>
      </c>
      <c r="C266">
        <f t="shared" si="43"/>
        <v>10</v>
      </c>
      <c r="D266">
        <v>8</v>
      </c>
      <c r="E266">
        <v>3</v>
      </c>
      <c r="F266">
        <v>10</v>
      </c>
      <c r="G266" t="str">
        <f>VLOOKUP(P266,定义数据!$B$14:$C$29,2,0)&amp;"+"&amp;Q266&amp;IF(R266=0,"",","&amp;VLOOKUP(R266,定义数据!$B$14:$C$29,2,0)&amp;"+"&amp;S266)&amp;IF(T266=0,"",","&amp;VLOOKUP(T266,定义数据!$B$14:$C$29,2,0)&amp;"+"&amp;U266)</f>
        <v>防御加成+6664,攻击+1776</v>
      </c>
      <c r="H266">
        <v>0</v>
      </c>
      <c r="I266">
        <f t="shared" si="39"/>
        <v>10</v>
      </c>
      <c r="J266">
        <f>IF(ISERROR(VLOOKUP(D266,命格辅助表!$I$76:$N$86,D_命格表!E266+2,0)),0,VLOOKUP(D266,命格辅助表!$I$76:$N$86,D_命格表!E266+2,0))</f>
        <v>40960</v>
      </c>
      <c r="K266">
        <f>IF(ISERROR(VLOOKUP(D266,命格辅助表!$P$76:$U$86,E266+2,0)),0,VLOOKUP(D266,命格辅助表!$P$76:$U$86,E266+2,0))</f>
        <v>40800</v>
      </c>
      <c r="L266">
        <f>IF(ISERROR(VLOOKUP(D266,命格辅助表!$I$76:$N$86,D_命格表!E266+2,0)),0,VLOOKUP(D266,命格辅助表!$I$76:$N$86,D_命格表!E266+2,0))</f>
        <v>40960</v>
      </c>
      <c r="M266">
        <f>A266+10</f>
        <v>9050</v>
      </c>
      <c r="N266">
        <v>8240</v>
      </c>
      <c r="O266">
        <f t="shared" si="44"/>
        <v>2</v>
      </c>
      <c r="P266">
        <f t="shared" si="40"/>
        <v>23</v>
      </c>
      <c r="Q266">
        <f>ROUND((VLOOKUP($A266,命格属性表,13,0)+VLOOKUP($A266,命格属性表,20,0)*($D266-1))*IF(P266&gt;9,1,VLOOKUP(D266,命格辅助表!$S$3:$U$10,3,0)),0)</f>
        <v>6664</v>
      </c>
      <c r="R266">
        <f t="shared" si="41"/>
        <v>2</v>
      </c>
      <c r="S266">
        <f>ROUND(IF(R266=0,0,VLOOKUP($A266,命格属性表,15,0)+VLOOKUP($A266,命格属性表,22,0)*($D266-1))*IF(R266&gt;9,1,VLOOKUP(D266,命格辅助表!$S$3:$U$10,3,0)),0)</f>
        <v>1776</v>
      </c>
      <c r="T266">
        <f t="shared" si="42"/>
        <v>0</v>
      </c>
      <c r="U266">
        <f t="shared" si="45"/>
        <v>0</v>
      </c>
    </row>
    <row r="267" spans="1:21">
      <c r="A267">
        <v>9140</v>
      </c>
      <c r="B267" t="str">
        <f t="shared" si="38"/>
        <v>幽灵</v>
      </c>
      <c r="C267">
        <f t="shared" si="43"/>
        <v>11</v>
      </c>
      <c r="D267">
        <v>1</v>
      </c>
      <c r="E267">
        <v>3</v>
      </c>
      <c r="F267">
        <v>10</v>
      </c>
      <c r="G267" t="str">
        <f>VLOOKUP(P267,定义数据!$B$14:$C$29,2,0)&amp;"+"&amp;Q267&amp;IF(R267=0,"",","&amp;VLOOKUP(R267,定义数据!$B$14:$C$29,2,0)&amp;"+"&amp;S267)&amp;IF(T267=0,"",","&amp;VLOOKUP(T267,定义数据!$B$14:$C$29,2,0)&amp;"+"&amp;U267)</f>
        <v>伤害加深+667,生命+2601</v>
      </c>
      <c r="H267">
        <v>0</v>
      </c>
      <c r="I267">
        <f t="shared" si="39"/>
        <v>11</v>
      </c>
      <c r="J267">
        <f>IF(ISERROR(VLOOKUP(D267,命格辅助表!$I$76:$N$86,D_命格表!E267+2,0)),0,VLOOKUP(D267,命格辅助表!$I$76:$N$86,D_命格表!E267+2,0))</f>
        <v>320</v>
      </c>
      <c r="K267">
        <f>IF(ISERROR(VLOOKUP(D267,命格辅助表!$P$76:$U$86,E267+2,0)),0,VLOOKUP(D267,命格辅助表!$P$76:$U$86,E267+2,0))</f>
        <v>160</v>
      </c>
      <c r="L267">
        <v>0</v>
      </c>
      <c r="M267">
        <v>0</v>
      </c>
      <c r="N267">
        <v>8340</v>
      </c>
      <c r="O267">
        <f t="shared" si="44"/>
        <v>2</v>
      </c>
      <c r="P267">
        <f t="shared" si="40"/>
        <v>24</v>
      </c>
      <c r="Q267">
        <f>ROUND((VLOOKUP($A267,命格属性表,13,0)+VLOOKUP($A267,命格属性表,20,0)*($D267-1))*IF(P267&gt;9,1,VLOOKUP(D267,命格辅助表!$S$3:$U$10,3,0)),0)</f>
        <v>667</v>
      </c>
      <c r="R267">
        <f t="shared" si="41"/>
        <v>1</v>
      </c>
      <c r="S267">
        <f>ROUND(IF(R267=0,0,VLOOKUP($A267,命格属性表,15,0)+VLOOKUP($A267,命格属性表,22,0)*($D267-1))*IF(R267&gt;9,1,VLOOKUP(D267,命格辅助表!$S$3:$U$10,3,0)),0)</f>
        <v>2601</v>
      </c>
      <c r="T267">
        <f t="shared" si="42"/>
        <v>0</v>
      </c>
      <c r="U267">
        <f t="shared" si="45"/>
        <v>0</v>
      </c>
    </row>
    <row r="268" spans="1:21">
      <c r="A268">
        <v>9140</v>
      </c>
      <c r="B268" t="str">
        <f t="shared" si="38"/>
        <v>幽灵</v>
      </c>
      <c r="C268">
        <f t="shared" si="43"/>
        <v>11</v>
      </c>
      <c r="D268">
        <v>2</v>
      </c>
      <c r="E268">
        <v>3</v>
      </c>
      <c r="F268">
        <v>10</v>
      </c>
      <c r="G268" t="str">
        <f>VLOOKUP(P268,定义数据!$B$14:$C$29,2,0)&amp;"+"&amp;Q268&amp;IF(R268=0,"",","&amp;VLOOKUP(R268,定义数据!$B$14:$C$29,2,0)&amp;"+"&amp;S268)&amp;IF(T268=0,"",","&amp;VLOOKUP(T268,定义数据!$B$14:$C$29,2,0)&amp;"+"&amp;U268)</f>
        <v>伤害加深+1334,生命+3901</v>
      </c>
      <c r="H268">
        <v>0</v>
      </c>
      <c r="I268">
        <f t="shared" si="39"/>
        <v>11</v>
      </c>
      <c r="J268">
        <f>IF(ISERROR(VLOOKUP(D268,命格辅助表!$I$76:$N$86,D_命格表!E268+2,0)),0,VLOOKUP(D268,命格辅助表!$I$76:$N$86,D_命格表!E268+2,0))</f>
        <v>640</v>
      </c>
      <c r="K268">
        <f>IF(ISERROR(VLOOKUP(D268,命格辅助表!$P$76:$U$86,E268+2,0)),0,VLOOKUP(D268,命格辅助表!$P$76:$U$86,E268+2,0))</f>
        <v>480</v>
      </c>
      <c r="L268">
        <v>0</v>
      </c>
      <c r="M268">
        <v>0</v>
      </c>
      <c r="N268">
        <v>8340</v>
      </c>
      <c r="O268">
        <f t="shared" si="44"/>
        <v>2</v>
      </c>
      <c r="P268">
        <f t="shared" si="40"/>
        <v>24</v>
      </c>
      <c r="Q268">
        <f>ROUND((VLOOKUP($A268,命格属性表,13,0)+VLOOKUP($A268,命格属性表,20,0)*($D268-1))*IF(P268&gt;9,1,VLOOKUP(D268,命格辅助表!$S$3:$U$10,3,0)),0)</f>
        <v>1334</v>
      </c>
      <c r="R268">
        <f t="shared" si="41"/>
        <v>1</v>
      </c>
      <c r="S268">
        <f>ROUND(IF(R268=0,0,VLOOKUP($A268,命格属性表,15,0)+VLOOKUP($A268,命格属性表,22,0)*($D268-1))*IF(R268&gt;9,1,VLOOKUP(D268,命格辅助表!$S$3:$U$10,3,0)),0)</f>
        <v>3901</v>
      </c>
      <c r="T268">
        <f t="shared" si="42"/>
        <v>0</v>
      </c>
      <c r="U268">
        <f t="shared" si="45"/>
        <v>0</v>
      </c>
    </row>
    <row r="269" spans="1:21">
      <c r="A269">
        <v>9140</v>
      </c>
      <c r="B269" t="str">
        <f t="shared" si="38"/>
        <v>幽灵</v>
      </c>
      <c r="C269">
        <f t="shared" si="43"/>
        <v>11</v>
      </c>
      <c r="D269">
        <v>3</v>
      </c>
      <c r="E269">
        <v>3</v>
      </c>
      <c r="F269">
        <v>10</v>
      </c>
      <c r="G269" t="str">
        <f>VLOOKUP(P269,定义数据!$B$14:$C$29,2,0)&amp;"+"&amp;Q269&amp;IF(R269=0,"",","&amp;VLOOKUP(R269,定义数据!$B$14:$C$29,2,0)&amp;"+"&amp;S269)&amp;IF(T269=0,"",","&amp;VLOOKUP(T269,定义数据!$B$14:$C$29,2,0)&amp;"+"&amp;U269)</f>
        <v>伤害加深+2001,生命+5852</v>
      </c>
      <c r="H269">
        <v>0</v>
      </c>
      <c r="I269">
        <f t="shared" si="39"/>
        <v>11</v>
      </c>
      <c r="J269">
        <f>IF(ISERROR(VLOOKUP(D269,命格辅助表!$I$76:$N$86,D_命格表!E269+2,0)),0,VLOOKUP(D269,命格辅助表!$I$76:$N$86,D_命格表!E269+2,0))</f>
        <v>1280</v>
      </c>
      <c r="K269">
        <f>IF(ISERROR(VLOOKUP(D269,命格辅助表!$P$76:$U$86,E269+2,0)),0,VLOOKUP(D269,命格辅助表!$P$76:$U$86,E269+2,0))</f>
        <v>1120</v>
      </c>
      <c r="L269">
        <v>0</v>
      </c>
      <c r="M269">
        <v>0</v>
      </c>
      <c r="N269">
        <v>8340</v>
      </c>
      <c r="O269">
        <f t="shared" si="44"/>
        <v>2</v>
      </c>
      <c r="P269">
        <f t="shared" si="40"/>
        <v>24</v>
      </c>
      <c r="Q269">
        <f>ROUND((VLOOKUP($A269,命格属性表,13,0)+VLOOKUP($A269,命格属性表,20,0)*($D269-1))*IF(P269&gt;9,1,VLOOKUP(D269,命格辅助表!$S$3:$U$10,3,0)),0)</f>
        <v>2001</v>
      </c>
      <c r="R269">
        <f t="shared" si="41"/>
        <v>1</v>
      </c>
      <c r="S269">
        <f>ROUND(IF(R269=0,0,VLOOKUP($A269,命格属性表,15,0)+VLOOKUP($A269,命格属性表,22,0)*($D269-1))*IF(R269&gt;9,1,VLOOKUP(D269,命格辅助表!$S$3:$U$10,3,0)),0)</f>
        <v>5852</v>
      </c>
      <c r="T269">
        <f t="shared" si="42"/>
        <v>0</v>
      </c>
      <c r="U269">
        <f t="shared" si="45"/>
        <v>0</v>
      </c>
    </row>
    <row r="270" spans="1:21">
      <c r="A270">
        <v>9140</v>
      </c>
      <c r="B270" t="str">
        <f t="shared" si="38"/>
        <v>幽灵</v>
      </c>
      <c r="C270">
        <f t="shared" si="43"/>
        <v>11</v>
      </c>
      <c r="D270">
        <v>4</v>
      </c>
      <c r="E270">
        <v>3</v>
      </c>
      <c r="F270">
        <v>10</v>
      </c>
      <c r="G270" t="str">
        <f>VLOOKUP(P270,定义数据!$B$14:$C$29,2,0)&amp;"+"&amp;Q270&amp;IF(R270=0,"",","&amp;VLOOKUP(R270,定义数据!$B$14:$C$29,2,0)&amp;"+"&amp;S270)&amp;IF(T270=0,"",","&amp;VLOOKUP(T270,定义数据!$B$14:$C$29,2,0)&amp;"+"&amp;U270)</f>
        <v>伤害加深+2668,生命+8778</v>
      </c>
      <c r="H270">
        <v>0</v>
      </c>
      <c r="I270">
        <f t="shared" si="39"/>
        <v>11</v>
      </c>
      <c r="J270">
        <f>IF(ISERROR(VLOOKUP(D270,命格辅助表!$I$76:$N$86,D_命格表!E270+2,0)),0,VLOOKUP(D270,命格辅助表!$I$76:$N$86,D_命格表!E270+2,0))</f>
        <v>2560</v>
      </c>
      <c r="K270">
        <f>IF(ISERROR(VLOOKUP(D270,命格辅助表!$P$76:$U$86,E270+2,0)),0,VLOOKUP(D270,命格辅助表!$P$76:$U$86,E270+2,0))</f>
        <v>2400</v>
      </c>
      <c r="L270">
        <v>0</v>
      </c>
      <c r="M270">
        <v>0</v>
      </c>
      <c r="N270">
        <v>8340</v>
      </c>
      <c r="O270">
        <f t="shared" si="44"/>
        <v>2</v>
      </c>
      <c r="P270">
        <f t="shared" si="40"/>
        <v>24</v>
      </c>
      <c r="Q270">
        <f>ROUND((VLOOKUP($A270,命格属性表,13,0)+VLOOKUP($A270,命格属性表,20,0)*($D270-1))*IF(P270&gt;9,1,VLOOKUP(D270,命格辅助表!$S$3:$U$10,3,0)),0)</f>
        <v>2668</v>
      </c>
      <c r="R270">
        <f t="shared" si="41"/>
        <v>1</v>
      </c>
      <c r="S270">
        <f>ROUND(IF(R270=0,0,VLOOKUP($A270,命格属性表,15,0)+VLOOKUP($A270,命格属性表,22,0)*($D270-1))*IF(R270&gt;9,1,VLOOKUP(D270,命格辅助表!$S$3:$U$10,3,0)),0)</f>
        <v>8778</v>
      </c>
      <c r="T270">
        <f t="shared" si="42"/>
        <v>0</v>
      </c>
      <c r="U270">
        <f t="shared" si="45"/>
        <v>0</v>
      </c>
    </row>
    <row r="271" spans="1:21">
      <c r="A271">
        <v>9140</v>
      </c>
      <c r="B271" t="str">
        <f t="shared" si="38"/>
        <v>幽灵</v>
      </c>
      <c r="C271">
        <f t="shared" si="43"/>
        <v>11</v>
      </c>
      <c r="D271">
        <v>5</v>
      </c>
      <c r="E271">
        <v>3</v>
      </c>
      <c r="F271">
        <v>10</v>
      </c>
      <c r="G271" t="str">
        <f>VLOOKUP(P271,定义数据!$B$14:$C$29,2,0)&amp;"+"&amp;Q271&amp;IF(R271=0,"",","&amp;VLOOKUP(R271,定义数据!$B$14:$C$29,2,0)&amp;"+"&amp;S271)&amp;IF(T271=0,"",","&amp;VLOOKUP(T271,定义数据!$B$14:$C$29,2,0)&amp;"+"&amp;U271)</f>
        <v>伤害加深+3335,生命+13167</v>
      </c>
      <c r="H271">
        <v>0</v>
      </c>
      <c r="I271">
        <f t="shared" si="39"/>
        <v>11</v>
      </c>
      <c r="J271">
        <f>IF(ISERROR(VLOOKUP(D271,命格辅助表!$I$76:$N$86,D_命格表!E271+2,0)),0,VLOOKUP(D271,命格辅助表!$I$76:$N$86,D_命格表!E271+2,0))</f>
        <v>5120</v>
      </c>
      <c r="K271">
        <f>IF(ISERROR(VLOOKUP(D271,命格辅助表!$P$76:$U$86,E271+2,0)),0,VLOOKUP(D271,命格辅助表!$P$76:$U$86,E271+2,0))</f>
        <v>4960</v>
      </c>
      <c r="L271">
        <v>0</v>
      </c>
      <c r="M271">
        <v>0</v>
      </c>
      <c r="N271">
        <v>8340</v>
      </c>
      <c r="O271">
        <f t="shared" si="44"/>
        <v>2</v>
      </c>
      <c r="P271">
        <f t="shared" si="40"/>
        <v>24</v>
      </c>
      <c r="Q271">
        <f>ROUND((VLOOKUP($A271,命格属性表,13,0)+VLOOKUP($A271,命格属性表,20,0)*($D271-1))*IF(P271&gt;9,1,VLOOKUP(D271,命格辅助表!$S$3:$U$10,3,0)),0)</f>
        <v>3335</v>
      </c>
      <c r="R271">
        <f t="shared" si="41"/>
        <v>1</v>
      </c>
      <c r="S271">
        <f>ROUND(IF(R271=0,0,VLOOKUP($A271,命格属性表,15,0)+VLOOKUP($A271,命格属性表,22,0)*($D271-1))*IF(R271&gt;9,1,VLOOKUP(D271,命格辅助表!$S$3:$U$10,3,0)),0)</f>
        <v>13167</v>
      </c>
      <c r="T271">
        <f t="shared" si="42"/>
        <v>0</v>
      </c>
      <c r="U271">
        <f t="shared" si="45"/>
        <v>0</v>
      </c>
    </row>
    <row r="272" spans="1:21">
      <c r="A272">
        <v>9140</v>
      </c>
      <c r="B272" t="str">
        <f t="shared" si="38"/>
        <v>幽灵</v>
      </c>
      <c r="C272">
        <f t="shared" si="43"/>
        <v>11</v>
      </c>
      <c r="D272">
        <v>6</v>
      </c>
      <c r="E272">
        <v>3</v>
      </c>
      <c r="F272">
        <v>10</v>
      </c>
      <c r="G272" t="str">
        <f>VLOOKUP(P272,定义数据!$B$14:$C$29,2,0)&amp;"+"&amp;Q272&amp;IF(R272=0,"",","&amp;VLOOKUP(R272,定义数据!$B$14:$C$29,2,0)&amp;"+"&amp;S272)&amp;IF(T272=0,"",","&amp;VLOOKUP(T272,定义数据!$B$14:$C$29,2,0)&amp;"+"&amp;U272)</f>
        <v>伤害加深+4002,生命+19751</v>
      </c>
      <c r="H272">
        <v>0</v>
      </c>
      <c r="I272">
        <f t="shared" si="39"/>
        <v>11</v>
      </c>
      <c r="J272">
        <f>IF(ISERROR(VLOOKUP(D272,命格辅助表!$I$76:$N$86,D_命格表!E272+2,0)),0,VLOOKUP(D272,命格辅助表!$I$76:$N$86,D_命格表!E272+2,0))</f>
        <v>10240</v>
      </c>
      <c r="K272">
        <f>IF(ISERROR(VLOOKUP(D272,命格辅助表!$P$76:$U$86,E272+2,0)),0,VLOOKUP(D272,命格辅助表!$P$76:$U$86,E272+2,0))</f>
        <v>10080</v>
      </c>
      <c r="L272">
        <v>0</v>
      </c>
      <c r="M272">
        <v>0</v>
      </c>
      <c r="N272">
        <v>8340</v>
      </c>
      <c r="O272">
        <f t="shared" si="44"/>
        <v>2</v>
      </c>
      <c r="P272">
        <f t="shared" si="40"/>
        <v>24</v>
      </c>
      <c r="Q272">
        <f>ROUND((VLOOKUP($A272,命格属性表,13,0)+VLOOKUP($A272,命格属性表,20,0)*($D272-1))*IF(P272&gt;9,1,VLOOKUP(D272,命格辅助表!$S$3:$U$10,3,0)),0)</f>
        <v>4002</v>
      </c>
      <c r="R272">
        <f t="shared" si="41"/>
        <v>1</v>
      </c>
      <c r="S272">
        <f>ROUND(IF(R272=0,0,VLOOKUP($A272,命格属性表,15,0)+VLOOKUP($A272,命格属性表,22,0)*($D272-1))*IF(R272&gt;9,1,VLOOKUP(D272,命格辅助表!$S$3:$U$10,3,0)),0)</f>
        <v>19751</v>
      </c>
      <c r="T272">
        <f t="shared" si="42"/>
        <v>0</v>
      </c>
      <c r="U272">
        <f t="shared" si="45"/>
        <v>0</v>
      </c>
    </row>
    <row r="273" spans="1:21">
      <c r="A273">
        <v>9140</v>
      </c>
      <c r="B273" t="str">
        <f t="shared" si="38"/>
        <v>幽灵</v>
      </c>
      <c r="C273">
        <f t="shared" si="43"/>
        <v>11</v>
      </c>
      <c r="D273">
        <v>7</v>
      </c>
      <c r="E273">
        <v>3</v>
      </c>
      <c r="F273">
        <v>10</v>
      </c>
      <c r="G273" t="str">
        <f>VLOOKUP(P273,定义数据!$B$14:$C$29,2,0)&amp;"+"&amp;Q273&amp;IF(R273=0,"",","&amp;VLOOKUP(R273,定义数据!$B$14:$C$29,2,0)&amp;"+"&amp;S273)&amp;IF(T273=0,"",","&amp;VLOOKUP(T273,定义数据!$B$14:$C$29,2,0)&amp;"+"&amp;U273)</f>
        <v>伤害加深+4669,生命+29627</v>
      </c>
      <c r="H273">
        <v>0</v>
      </c>
      <c r="I273">
        <f t="shared" si="39"/>
        <v>11</v>
      </c>
      <c r="J273">
        <f>IF(ISERROR(VLOOKUP(D273,命格辅助表!$I$76:$N$86,D_命格表!E273+2,0)),0,VLOOKUP(D273,命格辅助表!$I$76:$N$86,D_命格表!E273+2,0))</f>
        <v>20480</v>
      </c>
      <c r="K273">
        <f>IF(ISERROR(VLOOKUP(D273,命格辅助表!$P$76:$U$86,E273+2,0)),0,VLOOKUP(D273,命格辅助表!$P$76:$U$86,E273+2,0))</f>
        <v>20320</v>
      </c>
      <c r="L273">
        <v>0</v>
      </c>
      <c r="M273">
        <v>0</v>
      </c>
      <c r="N273">
        <v>8340</v>
      </c>
      <c r="O273">
        <f t="shared" si="44"/>
        <v>2</v>
      </c>
      <c r="P273">
        <f t="shared" si="40"/>
        <v>24</v>
      </c>
      <c r="Q273">
        <f>ROUND((VLOOKUP($A273,命格属性表,13,0)+VLOOKUP($A273,命格属性表,20,0)*($D273-1))*IF(P273&gt;9,1,VLOOKUP(D273,命格辅助表!$S$3:$U$10,3,0)),0)</f>
        <v>4669</v>
      </c>
      <c r="R273">
        <f t="shared" si="41"/>
        <v>1</v>
      </c>
      <c r="S273">
        <f>ROUND(IF(R273=0,0,VLOOKUP($A273,命格属性表,15,0)+VLOOKUP($A273,命格属性表,22,0)*($D273-1))*IF(R273&gt;9,1,VLOOKUP(D273,命格辅助表!$S$3:$U$10,3,0)),0)</f>
        <v>29627</v>
      </c>
      <c r="T273">
        <f t="shared" si="42"/>
        <v>0</v>
      </c>
      <c r="U273">
        <f t="shared" si="45"/>
        <v>0</v>
      </c>
    </row>
    <row r="274" spans="1:21">
      <c r="A274">
        <v>9140</v>
      </c>
      <c r="B274" t="str">
        <f t="shared" si="38"/>
        <v>幽灵</v>
      </c>
      <c r="C274">
        <f t="shared" si="43"/>
        <v>11</v>
      </c>
      <c r="D274">
        <v>8</v>
      </c>
      <c r="E274">
        <v>3</v>
      </c>
      <c r="F274">
        <v>10</v>
      </c>
      <c r="G274" t="str">
        <f>VLOOKUP(P274,定义数据!$B$14:$C$29,2,0)&amp;"+"&amp;Q274&amp;IF(R274=0,"",","&amp;VLOOKUP(R274,定义数据!$B$14:$C$29,2,0)&amp;"+"&amp;S274)&amp;IF(T274=0,"",","&amp;VLOOKUP(T274,定义数据!$B$14:$C$29,2,0)&amp;"+"&amp;U274)</f>
        <v>伤害加深+5336,生命+44440</v>
      </c>
      <c r="H274">
        <v>0</v>
      </c>
      <c r="I274">
        <f t="shared" si="39"/>
        <v>11</v>
      </c>
      <c r="J274">
        <f>IF(ISERROR(VLOOKUP(D274,命格辅助表!$I$76:$N$86,D_命格表!E274+2,0)),0,VLOOKUP(D274,命格辅助表!$I$76:$N$86,D_命格表!E274+2,0))</f>
        <v>40960</v>
      </c>
      <c r="K274">
        <f>IF(ISERROR(VLOOKUP(D274,命格辅助表!$P$76:$U$86,E274+2,0)),0,VLOOKUP(D274,命格辅助表!$P$76:$U$86,E274+2,0))</f>
        <v>40800</v>
      </c>
      <c r="L274">
        <f>IF(ISERROR(VLOOKUP(D274,命格辅助表!$I$76:$N$86,D_命格表!E274+2,0)),0,VLOOKUP(D274,命格辅助表!$I$76:$N$86,D_命格表!E274+2,0))</f>
        <v>40960</v>
      </c>
      <c r="M274">
        <f>A274+10</f>
        <v>9150</v>
      </c>
      <c r="N274">
        <v>8340</v>
      </c>
      <c r="O274">
        <f t="shared" si="44"/>
        <v>2</v>
      </c>
      <c r="P274">
        <f t="shared" si="40"/>
        <v>24</v>
      </c>
      <c r="Q274">
        <f>ROUND((VLOOKUP($A274,命格属性表,13,0)+VLOOKUP($A274,命格属性表,20,0)*($D274-1))*IF(P274&gt;9,1,VLOOKUP(D274,命格辅助表!$S$3:$U$10,3,0)),0)</f>
        <v>5336</v>
      </c>
      <c r="R274">
        <f t="shared" si="41"/>
        <v>1</v>
      </c>
      <c r="S274">
        <f>ROUND(IF(R274=0,0,VLOOKUP($A274,命格属性表,15,0)+VLOOKUP($A274,命格属性表,22,0)*($D274-1))*IF(R274&gt;9,1,VLOOKUP(D274,命格辅助表!$S$3:$U$10,3,0)),0)</f>
        <v>44440</v>
      </c>
      <c r="T274">
        <f t="shared" si="42"/>
        <v>0</v>
      </c>
      <c r="U274">
        <f t="shared" si="45"/>
        <v>0</v>
      </c>
    </row>
    <row r="275" spans="1:21">
      <c r="A275">
        <v>9240</v>
      </c>
      <c r="B275" t="str">
        <f t="shared" si="38"/>
        <v>困魔</v>
      </c>
      <c r="C275">
        <f t="shared" si="43"/>
        <v>12</v>
      </c>
      <c r="D275">
        <v>1</v>
      </c>
      <c r="E275">
        <v>3</v>
      </c>
      <c r="F275">
        <v>10</v>
      </c>
      <c r="G275" t="str">
        <f>VLOOKUP(P275,定义数据!$B$14:$C$29,2,0)&amp;"+"&amp;Q275&amp;IF(R275=0,"",","&amp;VLOOKUP(R275,定义数据!$B$14:$C$29,2,0)&amp;"+"&amp;S275)&amp;IF(T275=0,"",","&amp;VLOOKUP(T275,定义数据!$B$14:$C$29,2,0)&amp;"+"&amp;U275)</f>
        <v>伤害减免+667,攻击+104</v>
      </c>
      <c r="H275">
        <v>0</v>
      </c>
      <c r="I275">
        <f t="shared" si="39"/>
        <v>12</v>
      </c>
      <c r="J275">
        <f>IF(ISERROR(VLOOKUP(D275,命格辅助表!$I$76:$N$86,D_命格表!E275+2,0)),0,VLOOKUP(D275,命格辅助表!$I$76:$N$86,D_命格表!E275+2,0))</f>
        <v>320</v>
      </c>
      <c r="K275">
        <f>IF(ISERROR(VLOOKUP(D275,命格辅助表!$P$76:$U$86,E275+2,0)),0,VLOOKUP(D275,命格辅助表!$P$76:$U$86,E275+2,0))</f>
        <v>160</v>
      </c>
      <c r="L275">
        <v>0</v>
      </c>
      <c r="M275">
        <v>0</v>
      </c>
      <c r="N275">
        <v>8440</v>
      </c>
      <c r="O275">
        <f t="shared" si="44"/>
        <v>2</v>
      </c>
      <c r="P275">
        <f t="shared" si="40"/>
        <v>25</v>
      </c>
      <c r="Q275">
        <f>ROUND((VLOOKUP($A275,命格属性表,13,0)+VLOOKUP($A275,命格属性表,20,0)*($D275-1))*IF(P275&gt;9,1,VLOOKUP(D275,命格辅助表!$S$3:$U$10,3,0)),0)</f>
        <v>667</v>
      </c>
      <c r="R275">
        <f t="shared" si="41"/>
        <v>2</v>
      </c>
      <c r="S275">
        <f>ROUND(IF(R275=0,0,VLOOKUP($A275,命格属性表,15,0)+VLOOKUP($A275,命格属性表,22,0)*($D275-1))*IF(R275&gt;9,1,VLOOKUP(D275,命格辅助表!$S$3:$U$10,3,0)),0)</f>
        <v>104</v>
      </c>
      <c r="T275">
        <f t="shared" si="42"/>
        <v>0</v>
      </c>
      <c r="U275">
        <f t="shared" si="45"/>
        <v>0</v>
      </c>
    </row>
    <row r="276" spans="1:21">
      <c r="A276">
        <v>9240</v>
      </c>
      <c r="B276" t="str">
        <f t="shared" si="38"/>
        <v>困魔</v>
      </c>
      <c r="C276">
        <f t="shared" si="43"/>
        <v>12</v>
      </c>
      <c r="D276">
        <v>2</v>
      </c>
      <c r="E276">
        <v>3</v>
      </c>
      <c r="F276">
        <v>10</v>
      </c>
      <c r="G276" t="str">
        <f>VLOOKUP(P276,定义数据!$B$14:$C$29,2,0)&amp;"+"&amp;Q276&amp;IF(R276=0,"",","&amp;VLOOKUP(R276,定义数据!$B$14:$C$29,2,0)&amp;"+"&amp;S276)&amp;IF(T276=0,"",","&amp;VLOOKUP(T276,定义数据!$B$14:$C$29,2,0)&amp;"+"&amp;U276)</f>
        <v>伤害减免+1334,攻击+156</v>
      </c>
      <c r="H276">
        <v>0</v>
      </c>
      <c r="I276">
        <f t="shared" si="39"/>
        <v>12</v>
      </c>
      <c r="J276">
        <f>IF(ISERROR(VLOOKUP(D276,命格辅助表!$I$76:$N$86,D_命格表!E276+2,0)),0,VLOOKUP(D276,命格辅助表!$I$76:$N$86,D_命格表!E276+2,0))</f>
        <v>640</v>
      </c>
      <c r="K276">
        <f>IF(ISERROR(VLOOKUP(D276,命格辅助表!$P$76:$U$86,E276+2,0)),0,VLOOKUP(D276,命格辅助表!$P$76:$U$86,E276+2,0))</f>
        <v>480</v>
      </c>
      <c r="L276">
        <v>0</v>
      </c>
      <c r="M276">
        <v>0</v>
      </c>
      <c r="N276">
        <v>8440</v>
      </c>
      <c r="O276">
        <f t="shared" si="44"/>
        <v>2</v>
      </c>
      <c r="P276">
        <f t="shared" si="40"/>
        <v>25</v>
      </c>
      <c r="Q276">
        <f>ROUND((VLOOKUP($A276,命格属性表,13,0)+VLOOKUP($A276,命格属性表,20,0)*($D276-1))*IF(P276&gt;9,1,VLOOKUP(D276,命格辅助表!$S$3:$U$10,3,0)),0)</f>
        <v>1334</v>
      </c>
      <c r="R276">
        <f t="shared" si="41"/>
        <v>2</v>
      </c>
      <c r="S276">
        <f>ROUND(IF(R276=0,0,VLOOKUP($A276,命格属性表,15,0)+VLOOKUP($A276,命格属性表,22,0)*($D276-1))*IF(R276&gt;9,1,VLOOKUP(D276,命格辅助表!$S$3:$U$10,3,0)),0)</f>
        <v>156</v>
      </c>
      <c r="T276">
        <f t="shared" si="42"/>
        <v>0</v>
      </c>
      <c r="U276">
        <f t="shared" si="45"/>
        <v>0</v>
      </c>
    </row>
    <row r="277" spans="1:21">
      <c r="A277">
        <v>9240</v>
      </c>
      <c r="B277" t="str">
        <f t="shared" si="38"/>
        <v>困魔</v>
      </c>
      <c r="C277">
        <f t="shared" si="43"/>
        <v>12</v>
      </c>
      <c r="D277">
        <v>3</v>
      </c>
      <c r="E277">
        <v>3</v>
      </c>
      <c r="F277">
        <v>10</v>
      </c>
      <c r="G277" t="str">
        <f>VLOOKUP(P277,定义数据!$B$14:$C$29,2,0)&amp;"+"&amp;Q277&amp;IF(R277=0,"",","&amp;VLOOKUP(R277,定义数据!$B$14:$C$29,2,0)&amp;"+"&amp;S277)&amp;IF(T277=0,"",","&amp;VLOOKUP(T277,定义数据!$B$14:$C$29,2,0)&amp;"+"&amp;U277)</f>
        <v>伤害减免+2001,攻击+234</v>
      </c>
      <c r="H277">
        <v>0</v>
      </c>
      <c r="I277">
        <f t="shared" si="39"/>
        <v>12</v>
      </c>
      <c r="J277">
        <f>IF(ISERROR(VLOOKUP(D277,命格辅助表!$I$76:$N$86,D_命格表!E277+2,0)),0,VLOOKUP(D277,命格辅助表!$I$76:$N$86,D_命格表!E277+2,0))</f>
        <v>1280</v>
      </c>
      <c r="K277">
        <f>IF(ISERROR(VLOOKUP(D277,命格辅助表!$P$76:$U$86,E277+2,0)),0,VLOOKUP(D277,命格辅助表!$P$76:$U$86,E277+2,0))</f>
        <v>1120</v>
      </c>
      <c r="L277">
        <v>0</v>
      </c>
      <c r="M277">
        <v>0</v>
      </c>
      <c r="N277">
        <v>8440</v>
      </c>
      <c r="O277">
        <f t="shared" si="44"/>
        <v>2</v>
      </c>
      <c r="P277">
        <f t="shared" si="40"/>
        <v>25</v>
      </c>
      <c r="Q277">
        <f>ROUND((VLOOKUP($A277,命格属性表,13,0)+VLOOKUP($A277,命格属性表,20,0)*($D277-1))*IF(P277&gt;9,1,VLOOKUP(D277,命格辅助表!$S$3:$U$10,3,0)),0)</f>
        <v>2001</v>
      </c>
      <c r="R277">
        <f t="shared" si="41"/>
        <v>2</v>
      </c>
      <c r="S277">
        <f>ROUND(IF(R277=0,0,VLOOKUP($A277,命格属性表,15,0)+VLOOKUP($A277,命格属性表,22,0)*($D277-1))*IF(R277&gt;9,1,VLOOKUP(D277,命格辅助表!$S$3:$U$10,3,0)),0)</f>
        <v>234</v>
      </c>
      <c r="T277">
        <f t="shared" si="42"/>
        <v>0</v>
      </c>
      <c r="U277">
        <f t="shared" si="45"/>
        <v>0</v>
      </c>
    </row>
    <row r="278" spans="1:21">
      <c r="A278">
        <v>9240</v>
      </c>
      <c r="B278" t="str">
        <f t="shared" si="38"/>
        <v>困魔</v>
      </c>
      <c r="C278">
        <f t="shared" si="43"/>
        <v>12</v>
      </c>
      <c r="D278">
        <v>4</v>
      </c>
      <c r="E278">
        <v>3</v>
      </c>
      <c r="F278">
        <v>10</v>
      </c>
      <c r="G278" t="str">
        <f>VLOOKUP(P278,定义数据!$B$14:$C$29,2,0)&amp;"+"&amp;Q278&amp;IF(R278=0,"",","&amp;VLOOKUP(R278,定义数据!$B$14:$C$29,2,0)&amp;"+"&amp;S278)&amp;IF(T278=0,"",","&amp;VLOOKUP(T278,定义数据!$B$14:$C$29,2,0)&amp;"+"&amp;U278)</f>
        <v>伤害减免+2668,攻击+351</v>
      </c>
      <c r="H278">
        <v>0</v>
      </c>
      <c r="I278">
        <f t="shared" si="39"/>
        <v>12</v>
      </c>
      <c r="J278">
        <f>IF(ISERROR(VLOOKUP(D278,命格辅助表!$I$76:$N$86,D_命格表!E278+2,0)),0,VLOOKUP(D278,命格辅助表!$I$76:$N$86,D_命格表!E278+2,0))</f>
        <v>2560</v>
      </c>
      <c r="K278">
        <f>IF(ISERROR(VLOOKUP(D278,命格辅助表!$P$76:$U$86,E278+2,0)),0,VLOOKUP(D278,命格辅助表!$P$76:$U$86,E278+2,0))</f>
        <v>2400</v>
      </c>
      <c r="L278">
        <v>0</v>
      </c>
      <c r="M278">
        <v>0</v>
      </c>
      <c r="N278">
        <v>8440</v>
      </c>
      <c r="O278">
        <f t="shared" si="44"/>
        <v>2</v>
      </c>
      <c r="P278">
        <f t="shared" si="40"/>
        <v>25</v>
      </c>
      <c r="Q278">
        <f>ROUND((VLOOKUP($A278,命格属性表,13,0)+VLOOKUP($A278,命格属性表,20,0)*($D278-1))*IF(P278&gt;9,1,VLOOKUP(D278,命格辅助表!$S$3:$U$10,3,0)),0)</f>
        <v>2668</v>
      </c>
      <c r="R278">
        <f t="shared" si="41"/>
        <v>2</v>
      </c>
      <c r="S278">
        <f>ROUND(IF(R278=0,0,VLOOKUP($A278,命格属性表,15,0)+VLOOKUP($A278,命格属性表,22,0)*($D278-1))*IF(R278&gt;9,1,VLOOKUP(D278,命格辅助表!$S$3:$U$10,3,0)),0)</f>
        <v>351</v>
      </c>
      <c r="T278">
        <f t="shared" si="42"/>
        <v>0</v>
      </c>
      <c r="U278">
        <f t="shared" si="45"/>
        <v>0</v>
      </c>
    </row>
    <row r="279" spans="1:21">
      <c r="A279">
        <v>9240</v>
      </c>
      <c r="B279" t="str">
        <f t="shared" si="38"/>
        <v>困魔</v>
      </c>
      <c r="C279">
        <f t="shared" si="43"/>
        <v>12</v>
      </c>
      <c r="D279">
        <v>5</v>
      </c>
      <c r="E279">
        <v>3</v>
      </c>
      <c r="F279">
        <v>10</v>
      </c>
      <c r="G279" t="str">
        <f>VLOOKUP(P279,定义数据!$B$14:$C$29,2,0)&amp;"+"&amp;Q279&amp;IF(R279=0,"",","&amp;VLOOKUP(R279,定义数据!$B$14:$C$29,2,0)&amp;"+"&amp;S279)&amp;IF(T279=0,"",","&amp;VLOOKUP(T279,定义数据!$B$14:$C$29,2,0)&amp;"+"&amp;U279)</f>
        <v>伤害减免+3335,攻击+526</v>
      </c>
      <c r="H279">
        <v>0</v>
      </c>
      <c r="I279">
        <f t="shared" si="39"/>
        <v>12</v>
      </c>
      <c r="J279">
        <f>IF(ISERROR(VLOOKUP(D279,命格辅助表!$I$76:$N$86,D_命格表!E279+2,0)),0,VLOOKUP(D279,命格辅助表!$I$76:$N$86,D_命格表!E279+2,0))</f>
        <v>5120</v>
      </c>
      <c r="K279">
        <f>IF(ISERROR(VLOOKUP(D279,命格辅助表!$P$76:$U$86,E279+2,0)),0,VLOOKUP(D279,命格辅助表!$P$76:$U$86,E279+2,0))</f>
        <v>4960</v>
      </c>
      <c r="L279">
        <v>0</v>
      </c>
      <c r="M279">
        <v>0</v>
      </c>
      <c r="N279">
        <v>8440</v>
      </c>
      <c r="O279">
        <f t="shared" si="44"/>
        <v>2</v>
      </c>
      <c r="P279">
        <f t="shared" si="40"/>
        <v>25</v>
      </c>
      <c r="Q279">
        <f>ROUND((VLOOKUP($A279,命格属性表,13,0)+VLOOKUP($A279,命格属性表,20,0)*($D279-1))*IF(P279&gt;9,1,VLOOKUP(D279,命格辅助表!$S$3:$U$10,3,0)),0)</f>
        <v>3335</v>
      </c>
      <c r="R279">
        <f t="shared" si="41"/>
        <v>2</v>
      </c>
      <c r="S279">
        <f>ROUND(IF(R279=0,0,VLOOKUP($A279,命格属性表,15,0)+VLOOKUP($A279,命格属性表,22,0)*($D279-1))*IF(R279&gt;9,1,VLOOKUP(D279,命格辅助表!$S$3:$U$10,3,0)),0)</f>
        <v>526</v>
      </c>
      <c r="T279">
        <f t="shared" si="42"/>
        <v>0</v>
      </c>
      <c r="U279">
        <f t="shared" si="45"/>
        <v>0</v>
      </c>
    </row>
    <row r="280" spans="1:21">
      <c r="A280">
        <v>9240</v>
      </c>
      <c r="B280" t="str">
        <f t="shared" si="38"/>
        <v>困魔</v>
      </c>
      <c r="C280">
        <f t="shared" si="43"/>
        <v>12</v>
      </c>
      <c r="D280">
        <v>6</v>
      </c>
      <c r="E280">
        <v>3</v>
      </c>
      <c r="F280">
        <v>10</v>
      </c>
      <c r="G280" t="str">
        <f>VLOOKUP(P280,定义数据!$B$14:$C$29,2,0)&amp;"+"&amp;Q280&amp;IF(R280=0,"",","&amp;VLOOKUP(R280,定义数据!$B$14:$C$29,2,0)&amp;"+"&amp;S280)&amp;IF(T280=0,"",","&amp;VLOOKUP(T280,定义数据!$B$14:$C$29,2,0)&amp;"+"&amp;U280)</f>
        <v>伤害减免+4002,攻击+789</v>
      </c>
      <c r="H280">
        <v>0</v>
      </c>
      <c r="I280">
        <f t="shared" si="39"/>
        <v>12</v>
      </c>
      <c r="J280">
        <f>IF(ISERROR(VLOOKUP(D280,命格辅助表!$I$76:$N$86,D_命格表!E280+2,0)),0,VLOOKUP(D280,命格辅助表!$I$76:$N$86,D_命格表!E280+2,0))</f>
        <v>10240</v>
      </c>
      <c r="K280">
        <f>IF(ISERROR(VLOOKUP(D280,命格辅助表!$P$76:$U$86,E280+2,0)),0,VLOOKUP(D280,命格辅助表!$P$76:$U$86,E280+2,0))</f>
        <v>10080</v>
      </c>
      <c r="L280">
        <v>0</v>
      </c>
      <c r="M280">
        <v>0</v>
      </c>
      <c r="N280">
        <v>8440</v>
      </c>
      <c r="O280">
        <f t="shared" si="44"/>
        <v>2</v>
      </c>
      <c r="P280">
        <f t="shared" si="40"/>
        <v>25</v>
      </c>
      <c r="Q280">
        <f>ROUND((VLOOKUP($A280,命格属性表,13,0)+VLOOKUP($A280,命格属性表,20,0)*($D280-1))*IF(P280&gt;9,1,VLOOKUP(D280,命格辅助表!$S$3:$U$10,3,0)),0)</f>
        <v>4002</v>
      </c>
      <c r="R280">
        <f t="shared" si="41"/>
        <v>2</v>
      </c>
      <c r="S280">
        <f>ROUND(IF(R280=0,0,VLOOKUP($A280,命格属性表,15,0)+VLOOKUP($A280,命格属性表,22,0)*($D280-1))*IF(R280&gt;9,1,VLOOKUP(D280,命格辅助表!$S$3:$U$10,3,0)),0)</f>
        <v>789</v>
      </c>
      <c r="T280">
        <f t="shared" si="42"/>
        <v>0</v>
      </c>
      <c r="U280">
        <f t="shared" si="45"/>
        <v>0</v>
      </c>
    </row>
    <row r="281" spans="1:21">
      <c r="A281">
        <v>9240</v>
      </c>
      <c r="B281" t="str">
        <f t="shared" si="38"/>
        <v>困魔</v>
      </c>
      <c r="C281">
        <f t="shared" si="43"/>
        <v>12</v>
      </c>
      <c r="D281">
        <v>7</v>
      </c>
      <c r="E281">
        <v>3</v>
      </c>
      <c r="F281">
        <v>10</v>
      </c>
      <c r="G281" t="str">
        <f>VLOOKUP(P281,定义数据!$B$14:$C$29,2,0)&amp;"+"&amp;Q281&amp;IF(R281=0,"",","&amp;VLOOKUP(R281,定义数据!$B$14:$C$29,2,0)&amp;"+"&amp;S281)&amp;IF(T281=0,"",","&amp;VLOOKUP(T281,定义数据!$B$14:$C$29,2,0)&amp;"+"&amp;U281)</f>
        <v>伤害减免+4669,攻击+1184</v>
      </c>
      <c r="H281">
        <v>0</v>
      </c>
      <c r="I281">
        <f t="shared" si="39"/>
        <v>12</v>
      </c>
      <c r="J281">
        <f>IF(ISERROR(VLOOKUP(D281,命格辅助表!$I$76:$N$86,D_命格表!E281+2,0)),0,VLOOKUP(D281,命格辅助表!$I$76:$N$86,D_命格表!E281+2,0))</f>
        <v>20480</v>
      </c>
      <c r="K281">
        <f>IF(ISERROR(VLOOKUP(D281,命格辅助表!$P$76:$U$86,E281+2,0)),0,VLOOKUP(D281,命格辅助表!$P$76:$U$86,E281+2,0))</f>
        <v>20320</v>
      </c>
      <c r="L281">
        <v>0</v>
      </c>
      <c r="M281">
        <v>0</v>
      </c>
      <c r="N281">
        <v>8440</v>
      </c>
      <c r="O281">
        <f t="shared" si="44"/>
        <v>2</v>
      </c>
      <c r="P281">
        <f t="shared" si="40"/>
        <v>25</v>
      </c>
      <c r="Q281">
        <f>ROUND((VLOOKUP($A281,命格属性表,13,0)+VLOOKUP($A281,命格属性表,20,0)*($D281-1))*IF(P281&gt;9,1,VLOOKUP(D281,命格辅助表!$S$3:$U$10,3,0)),0)</f>
        <v>4669</v>
      </c>
      <c r="R281">
        <f t="shared" si="41"/>
        <v>2</v>
      </c>
      <c r="S281">
        <f>ROUND(IF(R281=0,0,VLOOKUP($A281,命格属性表,15,0)+VLOOKUP($A281,命格属性表,22,0)*($D281-1))*IF(R281&gt;9,1,VLOOKUP(D281,命格辅助表!$S$3:$U$10,3,0)),0)</f>
        <v>1184</v>
      </c>
      <c r="T281">
        <f t="shared" si="42"/>
        <v>0</v>
      </c>
      <c r="U281">
        <f t="shared" si="45"/>
        <v>0</v>
      </c>
    </row>
    <row r="282" spans="1:21">
      <c r="A282">
        <v>9240</v>
      </c>
      <c r="B282" t="str">
        <f t="shared" si="38"/>
        <v>困魔</v>
      </c>
      <c r="C282">
        <f t="shared" si="43"/>
        <v>12</v>
      </c>
      <c r="D282">
        <v>8</v>
      </c>
      <c r="E282">
        <v>3</v>
      </c>
      <c r="F282">
        <v>10</v>
      </c>
      <c r="G282" t="str">
        <f>VLOOKUP(P282,定义数据!$B$14:$C$29,2,0)&amp;"+"&amp;Q282&amp;IF(R282=0,"",","&amp;VLOOKUP(R282,定义数据!$B$14:$C$29,2,0)&amp;"+"&amp;S282)&amp;IF(T282=0,"",","&amp;VLOOKUP(T282,定义数据!$B$14:$C$29,2,0)&amp;"+"&amp;U282)</f>
        <v>伤害减免+5336,攻击+1776</v>
      </c>
      <c r="H282">
        <v>0</v>
      </c>
      <c r="I282">
        <f t="shared" si="39"/>
        <v>12</v>
      </c>
      <c r="J282">
        <f>IF(ISERROR(VLOOKUP(D282,命格辅助表!$I$76:$N$86,D_命格表!E282+2,0)),0,VLOOKUP(D282,命格辅助表!$I$76:$N$86,D_命格表!E282+2,0))</f>
        <v>40960</v>
      </c>
      <c r="K282">
        <f>IF(ISERROR(VLOOKUP(D282,命格辅助表!$P$76:$U$86,E282+2,0)),0,VLOOKUP(D282,命格辅助表!$P$76:$U$86,E282+2,0))</f>
        <v>40800</v>
      </c>
      <c r="L282">
        <f>IF(ISERROR(VLOOKUP(D282,命格辅助表!$I$76:$N$86,D_命格表!E282+2,0)),0,VLOOKUP(D282,命格辅助表!$I$76:$N$86,D_命格表!E282+2,0))</f>
        <v>40960</v>
      </c>
      <c r="M282">
        <f>A282+10</f>
        <v>9250</v>
      </c>
      <c r="N282">
        <v>8440</v>
      </c>
      <c r="O282">
        <f t="shared" si="44"/>
        <v>2</v>
      </c>
      <c r="P282">
        <f t="shared" si="40"/>
        <v>25</v>
      </c>
      <c r="Q282">
        <f>ROUND((VLOOKUP($A282,命格属性表,13,0)+VLOOKUP($A282,命格属性表,20,0)*($D282-1))*IF(P282&gt;9,1,VLOOKUP(D282,命格辅助表!$S$3:$U$10,3,0)),0)</f>
        <v>5336</v>
      </c>
      <c r="R282">
        <f t="shared" si="41"/>
        <v>2</v>
      </c>
      <c r="S282">
        <f>ROUND(IF(R282=0,0,VLOOKUP($A282,命格属性表,15,0)+VLOOKUP($A282,命格属性表,22,0)*($D282-1))*IF(R282&gt;9,1,VLOOKUP(D282,命格辅助表!$S$3:$U$10,3,0)),0)</f>
        <v>1776</v>
      </c>
      <c r="T282">
        <f t="shared" si="42"/>
        <v>0</v>
      </c>
      <c r="U282">
        <f t="shared" si="45"/>
        <v>0</v>
      </c>
    </row>
    <row r="283" spans="1:21">
      <c r="A283">
        <v>9340</v>
      </c>
      <c r="B283" t="str">
        <f t="shared" ref="B283:B322" si="46">VLOOKUP(A283,命格属性表,2,0)</f>
        <v>无尽</v>
      </c>
      <c r="C283">
        <f t="shared" ref="C283:C330" si="47">I283</f>
        <v>13</v>
      </c>
      <c r="D283">
        <v>1</v>
      </c>
      <c r="E283">
        <v>3</v>
      </c>
      <c r="F283">
        <v>10</v>
      </c>
      <c r="G283" t="str">
        <f>VLOOKUP(P283,定义数据!$B$14:$C$29,2,0)&amp;"+"&amp;Q283&amp;IF(R283=0,"",","&amp;VLOOKUP(R283,定义数据!$B$14:$C$29,2,0)&amp;"+"&amp;S283)&amp;IF(T283=0,"",","&amp;VLOOKUP(T283,定义数据!$B$14:$C$29,2,0)&amp;"+"&amp;U283)</f>
        <v>生命+2601,攻击+104</v>
      </c>
      <c r="H283">
        <v>0</v>
      </c>
      <c r="I283">
        <f t="shared" ref="I283:I329" si="48">VLOOKUP($A283,命格属性表,26,0)</f>
        <v>13</v>
      </c>
      <c r="J283">
        <f>IF(ISERROR(VLOOKUP(D283,命格辅助表!$I$76:$N$86,D_命格表!E283+2,0)),0,VLOOKUP(D283,命格辅助表!$I$76:$N$86,D_命格表!E283+2,0))</f>
        <v>320</v>
      </c>
      <c r="K283">
        <f>IF(ISERROR(VLOOKUP(D283,命格辅助表!$P$76:$U$86,E283+2,0)),0,VLOOKUP(D283,命格辅助表!$P$76:$U$86,E283+2,0))</f>
        <v>160</v>
      </c>
      <c r="L283">
        <v>0</v>
      </c>
      <c r="M283">
        <v>0</v>
      </c>
      <c r="N283">
        <v>8140</v>
      </c>
      <c r="O283">
        <f t="shared" si="44"/>
        <v>2</v>
      </c>
      <c r="P283">
        <f t="shared" ref="P283:P328" si="49">VLOOKUP($A283,命格属性表,12,0)</f>
        <v>1</v>
      </c>
      <c r="Q283">
        <f>ROUND((VLOOKUP($A283,命格属性表,13,0)+VLOOKUP($A283,命格属性表,20,0)*($D283-1))*IF(P283&gt;9,1,VLOOKUP(D283,命格辅助表!$S$3:$U$10,3,0)),0)</f>
        <v>2601</v>
      </c>
      <c r="R283">
        <f t="shared" ref="R283:R328" si="50">VLOOKUP($A283,命格属性表,14,0)</f>
        <v>2</v>
      </c>
      <c r="S283">
        <f>ROUND(IF(R283=0,0,VLOOKUP($A283,命格属性表,15,0)+VLOOKUP($A283,命格属性表,22,0)*($D283-1))*IF(R283&gt;9,1,VLOOKUP(D283,命格辅助表!$S$3:$U$10,3,0)),0)</f>
        <v>104</v>
      </c>
      <c r="T283">
        <f t="shared" ref="T283:T329" si="51">VLOOKUP($A283,命格属性表,16,0)</f>
        <v>0</v>
      </c>
      <c r="U283">
        <f t="shared" si="45"/>
        <v>0</v>
      </c>
    </row>
    <row r="284" spans="1:21">
      <c r="A284">
        <v>9340</v>
      </c>
      <c r="B284" t="str">
        <f t="shared" si="46"/>
        <v>无尽</v>
      </c>
      <c r="C284">
        <f t="shared" si="47"/>
        <v>13</v>
      </c>
      <c r="D284">
        <v>2</v>
      </c>
      <c r="E284">
        <v>3</v>
      </c>
      <c r="F284">
        <v>10</v>
      </c>
      <c r="G284" t="str">
        <f>VLOOKUP(P284,定义数据!$B$14:$C$29,2,0)&amp;"+"&amp;Q284&amp;IF(R284=0,"",","&amp;VLOOKUP(R284,定义数据!$B$14:$C$29,2,0)&amp;"+"&amp;S284)&amp;IF(T284=0,"",","&amp;VLOOKUP(T284,定义数据!$B$14:$C$29,2,0)&amp;"+"&amp;U284)</f>
        <v>生命+3902,攻击+156</v>
      </c>
      <c r="H284">
        <v>0</v>
      </c>
      <c r="I284">
        <f t="shared" si="48"/>
        <v>13</v>
      </c>
      <c r="J284">
        <f>IF(ISERROR(VLOOKUP(D284,命格辅助表!$I$76:$N$86,D_命格表!E284+2,0)),0,VLOOKUP(D284,命格辅助表!$I$76:$N$86,D_命格表!E284+2,0))</f>
        <v>640</v>
      </c>
      <c r="K284">
        <f>IF(ISERROR(VLOOKUP(D284,命格辅助表!$P$76:$U$86,E284+2,0)),0,VLOOKUP(D284,命格辅助表!$P$76:$U$86,E284+2,0))</f>
        <v>480</v>
      </c>
      <c r="L284">
        <v>0</v>
      </c>
      <c r="M284">
        <v>0</v>
      </c>
      <c r="N284">
        <v>8140</v>
      </c>
      <c r="O284">
        <f t="shared" si="44"/>
        <v>2</v>
      </c>
      <c r="P284">
        <f t="shared" si="49"/>
        <v>1</v>
      </c>
      <c r="Q284">
        <f>ROUND((VLOOKUP($A284,命格属性表,13,0)+VLOOKUP($A284,命格属性表,20,0)*($D284-1))*IF(P284&gt;9,1,VLOOKUP(D284,命格辅助表!$S$3:$U$10,3,0)),0)</f>
        <v>3902</v>
      </c>
      <c r="R284">
        <f t="shared" si="50"/>
        <v>2</v>
      </c>
      <c r="S284">
        <f>ROUND(IF(R284=0,0,VLOOKUP($A284,命格属性表,15,0)+VLOOKUP($A284,命格属性表,22,0)*($D284-1))*IF(R284&gt;9,1,VLOOKUP(D284,命格辅助表!$S$3:$U$10,3,0)),0)</f>
        <v>156</v>
      </c>
      <c r="T284">
        <f t="shared" si="51"/>
        <v>0</v>
      </c>
      <c r="U284">
        <f t="shared" si="45"/>
        <v>0</v>
      </c>
    </row>
    <row r="285" spans="1:21">
      <c r="A285">
        <v>9340</v>
      </c>
      <c r="B285" t="str">
        <f t="shared" si="46"/>
        <v>无尽</v>
      </c>
      <c r="C285">
        <f t="shared" si="47"/>
        <v>13</v>
      </c>
      <c r="D285">
        <v>3</v>
      </c>
      <c r="E285">
        <v>3</v>
      </c>
      <c r="F285">
        <v>10</v>
      </c>
      <c r="G285" t="str">
        <f>VLOOKUP(P285,定义数据!$B$14:$C$29,2,0)&amp;"+"&amp;Q285&amp;IF(R285=0,"",","&amp;VLOOKUP(R285,定义数据!$B$14:$C$29,2,0)&amp;"+"&amp;S285)&amp;IF(T285=0,"",","&amp;VLOOKUP(T285,定义数据!$B$14:$C$29,2,0)&amp;"+"&amp;U285)</f>
        <v>生命+5853,攻击+234</v>
      </c>
      <c r="H285">
        <v>0</v>
      </c>
      <c r="I285">
        <f t="shared" si="48"/>
        <v>13</v>
      </c>
      <c r="J285">
        <f>IF(ISERROR(VLOOKUP(D285,命格辅助表!$I$76:$N$86,D_命格表!E285+2,0)),0,VLOOKUP(D285,命格辅助表!$I$76:$N$86,D_命格表!E285+2,0))</f>
        <v>1280</v>
      </c>
      <c r="K285">
        <f>IF(ISERROR(VLOOKUP(D285,命格辅助表!$P$76:$U$86,E285+2,0)),0,VLOOKUP(D285,命格辅助表!$P$76:$U$86,E285+2,0))</f>
        <v>1120</v>
      </c>
      <c r="L285">
        <v>0</v>
      </c>
      <c r="M285">
        <v>0</v>
      </c>
      <c r="N285">
        <v>8140</v>
      </c>
      <c r="O285">
        <f t="shared" si="44"/>
        <v>2</v>
      </c>
      <c r="P285">
        <f t="shared" si="49"/>
        <v>1</v>
      </c>
      <c r="Q285">
        <f>ROUND((VLOOKUP($A285,命格属性表,13,0)+VLOOKUP($A285,命格属性表,20,0)*($D285-1))*IF(P285&gt;9,1,VLOOKUP(D285,命格辅助表!$S$3:$U$10,3,0)),0)</f>
        <v>5853</v>
      </c>
      <c r="R285">
        <f t="shared" si="50"/>
        <v>2</v>
      </c>
      <c r="S285">
        <f>ROUND(IF(R285=0,0,VLOOKUP($A285,命格属性表,15,0)+VLOOKUP($A285,命格属性表,22,0)*($D285-1))*IF(R285&gt;9,1,VLOOKUP(D285,命格辅助表!$S$3:$U$10,3,0)),0)</f>
        <v>234</v>
      </c>
      <c r="T285">
        <f t="shared" si="51"/>
        <v>0</v>
      </c>
      <c r="U285">
        <f t="shared" si="45"/>
        <v>0</v>
      </c>
    </row>
    <row r="286" spans="1:21">
      <c r="A286">
        <v>9340</v>
      </c>
      <c r="B286" t="str">
        <f t="shared" si="46"/>
        <v>无尽</v>
      </c>
      <c r="C286">
        <f t="shared" si="47"/>
        <v>13</v>
      </c>
      <c r="D286">
        <v>4</v>
      </c>
      <c r="E286">
        <v>3</v>
      </c>
      <c r="F286">
        <v>10</v>
      </c>
      <c r="G286" t="str">
        <f>VLOOKUP(P286,定义数据!$B$14:$C$29,2,0)&amp;"+"&amp;Q286&amp;IF(R286=0,"",","&amp;VLOOKUP(R286,定义数据!$B$14:$C$29,2,0)&amp;"+"&amp;S286)&amp;IF(T286=0,"",","&amp;VLOOKUP(T286,定义数据!$B$14:$C$29,2,0)&amp;"+"&amp;U286)</f>
        <v>生命+8780,攻击+351</v>
      </c>
      <c r="H286">
        <v>0</v>
      </c>
      <c r="I286">
        <f t="shared" si="48"/>
        <v>13</v>
      </c>
      <c r="J286">
        <f>IF(ISERROR(VLOOKUP(D286,命格辅助表!$I$76:$N$86,D_命格表!E286+2,0)),0,VLOOKUP(D286,命格辅助表!$I$76:$N$86,D_命格表!E286+2,0))</f>
        <v>2560</v>
      </c>
      <c r="K286">
        <f>IF(ISERROR(VLOOKUP(D286,命格辅助表!$P$76:$U$86,E286+2,0)),0,VLOOKUP(D286,命格辅助表!$P$76:$U$86,E286+2,0))</f>
        <v>2400</v>
      </c>
      <c r="L286">
        <v>0</v>
      </c>
      <c r="M286">
        <v>0</v>
      </c>
      <c r="N286">
        <v>8140</v>
      </c>
      <c r="O286">
        <f t="shared" si="44"/>
        <v>2</v>
      </c>
      <c r="P286">
        <f t="shared" si="49"/>
        <v>1</v>
      </c>
      <c r="Q286">
        <f>ROUND((VLOOKUP($A286,命格属性表,13,0)+VLOOKUP($A286,命格属性表,20,0)*($D286-1))*IF(P286&gt;9,1,VLOOKUP(D286,命格辅助表!$S$3:$U$10,3,0)),0)</f>
        <v>8780</v>
      </c>
      <c r="R286">
        <f t="shared" si="50"/>
        <v>2</v>
      </c>
      <c r="S286">
        <f>ROUND(IF(R286=0,0,VLOOKUP($A286,命格属性表,15,0)+VLOOKUP($A286,命格属性表,22,0)*($D286-1))*IF(R286&gt;9,1,VLOOKUP(D286,命格辅助表!$S$3:$U$10,3,0)),0)</f>
        <v>351</v>
      </c>
      <c r="T286">
        <f t="shared" si="51"/>
        <v>0</v>
      </c>
      <c r="U286">
        <f t="shared" si="45"/>
        <v>0</v>
      </c>
    </row>
    <row r="287" spans="1:21">
      <c r="A287">
        <v>9340</v>
      </c>
      <c r="B287" t="str">
        <f t="shared" si="46"/>
        <v>无尽</v>
      </c>
      <c r="C287">
        <f t="shared" si="47"/>
        <v>13</v>
      </c>
      <c r="D287">
        <v>5</v>
      </c>
      <c r="E287">
        <v>3</v>
      </c>
      <c r="F287">
        <v>10</v>
      </c>
      <c r="G287" t="str">
        <f>VLOOKUP(P287,定义数据!$B$14:$C$29,2,0)&amp;"+"&amp;Q287&amp;IF(R287=0,"",","&amp;VLOOKUP(R287,定义数据!$B$14:$C$29,2,0)&amp;"+"&amp;S287)&amp;IF(T287=0,"",","&amp;VLOOKUP(T287,定义数据!$B$14:$C$29,2,0)&amp;"+"&amp;U287)</f>
        <v>生命+13170,攻击+526</v>
      </c>
      <c r="H287">
        <v>0</v>
      </c>
      <c r="I287">
        <f t="shared" si="48"/>
        <v>13</v>
      </c>
      <c r="J287">
        <f>IF(ISERROR(VLOOKUP(D287,命格辅助表!$I$76:$N$86,D_命格表!E287+2,0)),0,VLOOKUP(D287,命格辅助表!$I$76:$N$86,D_命格表!E287+2,0))</f>
        <v>5120</v>
      </c>
      <c r="K287">
        <f>IF(ISERROR(VLOOKUP(D287,命格辅助表!$P$76:$U$86,E287+2,0)),0,VLOOKUP(D287,命格辅助表!$P$76:$U$86,E287+2,0))</f>
        <v>4960</v>
      </c>
      <c r="L287">
        <v>0</v>
      </c>
      <c r="M287">
        <v>0</v>
      </c>
      <c r="N287">
        <v>8140</v>
      </c>
      <c r="O287">
        <f t="shared" si="44"/>
        <v>2</v>
      </c>
      <c r="P287">
        <f t="shared" si="49"/>
        <v>1</v>
      </c>
      <c r="Q287">
        <f>ROUND((VLOOKUP($A287,命格属性表,13,0)+VLOOKUP($A287,命格属性表,20,0)*($D287-1))*IF(P287&gt;9,1,VLOOKUP(D287,命格辅助表!$S$3:$U$10,3,0)),0)</f>
        <v>13170</v>
      </c>
      <c r="R287">
        <f t="shared" si="50"/>
        <v>2</v>
      </c>
      <c r="S287">
        <f>ROUND(IF(R287=0,0,VLOOKUP($A287,命格属性表,15,0)+VLOOKUP($A287,命格属性表,22,0)*($D287-1))*IF(R287&gt;9,1,VLOOKUP(D287,命格辅助表!$S$3:$U$10,3,0)),0)</f>
        <v>526</v>
      </c>
      <c r="T287">
        <f t="shared" si="51"/>
        <v>0</v>
      </c>
      <c r="U287">
        <f t="shared" si="45"/>
        <v>0</v>
      </c>
    </row>
    <row r="288" spans="1:21">
      <c r="A288">
        <v>9340</v>
      </c>
      <c r="B288" t="str">
        <f t="shared" si="46"/>
        <v>无尽</v>
      </c>
      <c r="C288">
        <f t="shared" si="47"/>
        <v>13</v>
      </c>
      <c r="D288">
        <v>6</v>
      </c>
      <c r="E288">
        <v>3</v>
      </c>
      <c r="F288">
        <v>10</v>
      </c>
      <c r="G288" t="str">
        <f>VLOOKUP(P288,定义数据!$B$14:$C$29,2,0)&amp;"+"&amp;Q288&amp;IF(R288=0,"",","&amp;VLOOKUP(R288,定义数据!$B$14:$C$29,2,0)&amp;"+"&amp;S288)&amp;IF(T288=0,"",","&amp;VLOOKUP(T288,定义数据!$B$14:$C$29,2,0)&amp;"+"&amp;U288)</f>
        <v>生命+19755,攻击+789</v>
      </c>
      <c r="H288">
        <v>0</v>
      </c>
      <c r="I288">
        <f t="shared" si="48"/>
        <v>13</v>
      </c>
      <c r="J288">
        <f>IF(ISERROR(VLOOKUP(D288,命格辅助表!$I$76:$N$86,D_命格表!E288+2,0)),0,VLOOKUP(D288,命格辅助表!$I$76:$N$86,D_命格表!E288+2,0))</f>
        <v>10240</v>
      </c>
      <c r="K288">
        <f>IF(ISERROR(VLOOKUP(D288,命格辅助表!$P$76:$U$86,E288+2,0)),0,VLOOKUP(D288,命格辅助表!$P$76:$U$86,E288+2,0))</f>
        <v>10080</v>
      </c>
      <c r="L288">
        <v>0</v>
      </c>
      <c r="M288">
        <v>0</v>
      </c>
      <c r="N288">
        <v>8140</v>
      </c>
      <c r="O288">
        <f t="shared" si="44"/>
        <v>2</v>
      </c>
      <c r="P288">
        <f t="shared" si="49"/>
        <v>1</v>
      </c>
      <c r="Q288">
        <f>ROUND((VLOOKUP($A288,命格属性表,13,0)+VLOOKUP($A288,命格属性表,20,0)*($D288-1))*IF(P288&gt;9,1,VLOOKUP(D288,命格辅助表!$S$3:$U$10,3,0)),0)</f>
        <v>19755</v>
      </c>
      <c r="R288">
        <f t="shared" si="50"/>
        <v>2</v>
      </c>
      <c r="S288">
        <f>ROUND(IF(R288=0,0,VLOOKUP($A288,命格属性表,15,0)+VLOOKUP($A288,命格属性表,22,0)*($D288-1))*IF(R288&gt;9,1,VLOOKUP(D288,命格辅助表!$S$3:$U$10,3,0)),0)</f>
        <v>789</v>
      </c>
      <c r="T288">
        <f t="shared" si="51"/>
        <v>0</v>
      </c>
      <c r="U288">
        <f t="shared" si="45"/>
        <v>0</v>
      </c>
    </row>
    <row r="289" spans="1:21">
      <c r="A289">
        <v>9340</v>
      </c>
      <c r="B289" t="str">
        <f t="shared" si="46"/>
        <v>无尽</v>
      </c>
      <c r="C289">
        <f t="shared" si="47"/>
        <v>13</v>
      </c>
      <c r="D289">
        <v>7</v>
      </c>
      <c r="E289">
        <v>3</v>
      </c>
      <c r="F289">
        <v>10</v>
      </c>
      <c r="G289" t="str">
        <f>VLOOKUP(P289,定义数据!$B$14:$C$29,2,0)&amp;"+"&amp;Q289&amp;IF(R289=0,"",","&amp;VLOOKUP(R289,定义数据!$B$14:$C$29,2,0)&amp;"+"&amp;S289)&amp;IF(T289=0,"",","&amp;VLOOKUP(T289,定义数据!$B$14:$C$29,2,0)&amp;"+"&amp;U289)</f>
        <v>生命+29632,攻击+1184</v>
      </c>
      <c r="H289">
        <v>0</v>
      </c>
      <c r="I289">
        <f t="shared" si="48"/>
        <v>13</v>
      </c>
      <c r="J289">
        <f>IF(ISERROR(VLOOKUP(D289,命格辅助表!$I$76:$N$86,D_命格表!E289+2,0)),0,VLOOKUP(D289,命格辅助表!$I$76:$N$86,D_命格表!E289+2,0))</f>
        <v>20480</v>
      </c>
      <c r="K289">
        <f>IF(ISERROR(VLOOKUP(D289,命格辅助表!$P$76:$U$86,E289+2,0)),0,VLOOKUP(D289,命格辅助表!$P$76:$U$86,E289+2,0))</f>
        <v>20320</v>
      </c>
      <c r="L289">
        <v>0</v>
      </c>
      <c r="M289">
        <v>0</v>
      </c>
      <c r="N289">
        <v>8140</v>
      </c>
      <c r="O289">
        <f t="shared" si="44"/>
        <v>2</v>
      </c>
      <c r="P289">
        <f t="shared" si="49"/>
        <v>1</v>
      </c>
      <c r="Q289">
        <f>ROUND((VLOOKUP($A289,命格属性表,13,0)+VLOOKUP($A289,命格属性表,20,0)*($D289-1))*IF(P289&gt;9,1,VLOOKUP(D289,命格辅助表!$S$3:$U$10,3,0)),0)</f>
        <v>29632</v>
      </c>
      <c r="R289">
        <f t="shared" si="50"/>
        <v>2</v>
      </c>
      <c r="S289">
        <f>ROUND(IF(R289=0,0,VLOOKUP($A289,命格属性表,15,0)+VLOOKUP($A289,命格属性表,22,0)*($D289-1))*IF(R289&gt;9,1,VLOOKUP(D289,命格辅助表!$S$3:$U$10,3,0)),0)</f>
        <v>1184</v>
      </c>
      <c r="T289">
        <f t="shared" si="51"/>
        <v>0</v>
      </c>
      <c r="U289">
        <f t="shared" si="45"/>
        <v>0</v>
      </c>
    </row>
    <row r="290" spans="1:21">
      <c r="A290">
        <v>9340</v>
      </c>
      <c r="B290" t="str">
        <f t="shared" si="46"/>
        <v>无尽</v>
      </c>
      <c r="C290">
        <f t="shared" si="47"/>
        <v>13</v>
      </c>
      <c r="D290">
        <v>8</v>
      </c>
      <c r="E290">
        <v>3</v>
      </c>
      <c r="F290">
        <v>10</v>
      </c>
      <c r="G290" t="str">
        <f>VLOOKUP(P290,定义数据!$B$14:$C$29,2,0)&amp;"+"&amp;Q290&amp;IF(R290=0,"",","&amp;VLOOKUP(R290,定义数据!$B$14:$C$29,2,0)&amp;"+"&amp;S290)&amp;IF(T290=0,"",","&amp;VLOOKUP(T290,定义数据!$B$14:$C$29,2,0)&amp;"+"&amp;U290)</f>
        <v>生命+44448,攻击+1776</v>
      </c>
      <c r="H290">
        <v>0</v>
      </c>
      <c r="I290">
        <f t="shared" si="48"/>
        <v>13</v>
      </c>
      <c r="J290">
        <f>IF(ISERROR(VLOOKUP(D290,命格辅助表!$I$76:$N$86,D_命格表!E290+2,0)),0,VLOOKUP(D290,命格辅助表!$I$76:$N$86,D_命格表!E290+2,0))</f>
        <v>40960</v>
      </c>
      <c r="K290">
        <f>IF(ISERROR(VLOOKUP(D290,命格辅助表!$P$76:$U$86,E290+2,0)),0,VLOOKUP(D290,命格辅助表!$P$76:$U$86,E290+2,0))</f>
        <v>40800</v>
      </c>
      <c r="L290">
        <f>IF(ISERROR(VLOOKUP(D290,命格辅助表!$I$76:$N$86,D_命格表!E290+2,0)),0,VLOOKUP(D290,命格辅助表!$I$76:$N$86,D_命格表!E290+2,0))</f>
        <v>40960</v>
      </c>
      <c r="M290">
        <f>A290+10</f>
        <v>9350</v>
      </c>
      <c r="N290">
        <v>8140</v>
      </c>
      <c r="O290">
        <f t="shared" si="44"/>
        <v>2</v>
      </c>
      <c r="P290">
        <f t="shared" si="49"/>
        <v>1</v>
      </c>
      <c r="Q290">
        <f>ROUND((VLOOKUP($A290,命格属性表,13,0)+VLOOKUP($A290,命格属性表,20,0)*($D290-1))*IF(P290&gt;9,1,VLOOKUP(D290,命格辅助表!$S$3:$U$10,3,0)),0)</f>
        <v>44448</v>
      </c>
      <c r="R290">
        <f t="shared" si="50"/>
        <v>2</v>
      </c>
      <c r="S290">
        <f>ROUND(IF(R290=0,0,VLOOKUP($A290,命格属性表,15,0)+VLOOKUP($A290,命格属性表,22,0)*($D290-1))*IF(R290&gt;9,1,VLOOKUP(D290,命格辅助表!$S$3:$U$10,3,0)),0)</f>
        <v>1776</v>
      </c>
      <c r="T290">
        <f t="shared" si="51"/>
        <v>0</v>
      </c>
      <c r="U290">
        <f t="shared" si="45"/>
        <v>0</v>
      </c>
    </row>
    <row r="291" spans="1:21">
      <c r="A291">
        <v>9440</v>
      </c>
      <c r="B291" t="s">
        <v>329</v>
      </c>
      <c r="C291">
        <f t="shared" si="47"/>
        <v>14</v>
      </c>
      <c r="D291">
        <v>1</v>
      </c>
      <c r="E291">
        <v>3</v>
      </c>
      <c r="F291">
        <v>10</v>
      </c>
      <c r="G291" t="str">
        <f>VLOOKUP(P291,定义数据!$B$14:$C$29,2,0)&amp;"+"&amp;Q291&amp;IF(R291=0,"",","&amp;VLOOKUP(R291,定义数据!$B$14:$C$29,2,0)&amp;"+"&amp;S291)&amp;IF(T291=0,"",","&amp;VLOOKUP(T291,定义数据!$B$14:$C$29,2,0)&amp;"+"&amp;U291)</f>
        <v>攻击+104</v>
      </c>
      <c r="H291">
        <v>0</v>
      </c>
      <c r="I291">
        <f t="shared" si="48"/>
        <v>14</v>
      </c>
      <c r="J291">
        <f>IF(ISERROR(VLOOKUP(D291,命格辅助表!$I$76:$N$86,D_命格表!E291+2,0)),0,VLOOKUP(D291,命格辅助表!$I$76:$N$86,D_命格表!E291+2,0))</f>
        <v>320</v>
      </c>
      <c r="K291">
        <f>IF(ISERROR(VLOOKUP(D291,命格辅助表!$P$76:$U$86,E291+2,0)),0,VLOOKUP(D291,命格辅助表!$P$76:$U$86,E291+2,0))</f>
        <v>160</v>
      </c>
      <c r="L291">
        <v>0</v>
      </c>
      <c r="M291">
        <v>0</v>
      </c>
      <c r="N291">
        <v>8240</v>
      </c>
      <c r="O291">
        <f t="shared" si="44"/>
        <v>1</v>
      </c>
      <c r="P291">
        <f t="shared" si="49"/>
        <v>2</v>
      </c>
      <c r="Q291">
        <f>ROUND((VLOOKUP($A291,命格属性表,13,0)+VLOOKUP($A291,命格属性表,20,0)*($D291-1))*IF(P291&gt;9,1,VLOOKUP(D291,命格辅助表!$S$3:$U$10,3,0)),0)</f>
        <v>104</v>
      </c>
      <c r="R291">
        <f t="shared" si="50"/>
        <v>0</v>
      </c>
      <c r="S291">
        <f>ROUND(IF(R291=0,0,VLOOKUP($A291,命格属性表,15,0)+VLOOKUP($A291,命格属性表,22,0)*($D291-1))*IF(R291&gt;9,1,VLOOKUP(D291,命格辅助表!$S$3:$U$10,3,0)),0)</f>
        <v>0</v>
      </c>
      <c r="T291">
        <f t="shared" si="51"/>
        <v>0</v>
      </c>
      <c r="U291">
        <f t="shared" si="45"/>
        <v>0</v>
      </c>
    </row>
    <row r="292" spans="1:21">
      <c r="A292">
        <v>9440</v>
      </c>
      <c r="B292" t="s">
        <v>329</v>
      </c>
      <c r="C292">
        <f t="shared" si="47"/>
        <v>14</v>
      </c>
      <c r="D292">
        <v>2</v>
      </c>
      <c r="E292">
        <v>3</v>
      </c>
      <c r="F292">
        <v>10</v>
      </c>
      <c r="G292" t="str">
        <f>VLOOKUP(P292,定义数据!$B$14:$C$29,2,0)&amp;"+"&amp;Q292&amp;IF(R292=0,"",","&amp;VLOOKUP(R292,定义数据!$B$14:$C$29,2,0)&amp;"+"&amp;S292)&amp;IF(T292=0,"",","&amp;VLOOKUP(T292,定义数据!$B$14:$C$29,2,0)&amp;"+"&amp;U292)</f>
        <v>攻击+156</v>
      </c>
      <c r="H292">
        <v>0</v>
      </c>
      <c r="I292">
        <f t="shared" si="48"/>
        <v>14</v>
      </c>
      <c r="J292">
        <f>IF(ISERROR(VLOOKUP(D292,命格辅助表!$I$76:$N$86,D_命格表!E292+2,0)),0,VLOOKUP(D292,命格辅助表!$I$76:$N$86,D_命格表!E292+2,0))</f>
        <v>640</v>
      </c>
      <c r="K292">
        <f>IF(ISERROR(VLOOKUP(D292,命格辅助表!$P$76:$U$86,E292+2,0)),0,VLOOKUP(D292,命格辅助表!$P$76:$U$86,E292+2,0))</f>
        <v>480</v>
      </c>
      <c r="L292">
        <v>0</v>
      </c>
      <c r="M292">
        <v>0</v>
      </c>
      <c r="N292">
        <v>8240</v>
      </c>
      <c r="O292">
        <f t="shared" si="44"/>
        <v>1</v>
      </c>
      <c r="P292">
        <f t="shared" si="49"/>
        <v>2</v>
      </c>
      <c r="Q292">
        <f>ROUND((VLOOKUP($A292,命格属性表,13,0)+VLOOKUP($A292,命格属性表,20,0)*($D292-1))*IF(P292&gt;9,1,VLOOKUP(D292,命格辅助表!$S$3:$U$10,3,0)),0)</f>
        <v>156</v>
      </c>
      <c r="R292">
        <f t="shared" si="50"/>
        <v>0</v>
      </c>
      <c r="S292">
        <f>ROUND(IF(R292=0,0,VLOOKUP($A292,命格属性表,15,0)+VLOOKUP($A292,命格属性表,22,0)*($D292-1))*IF(R292&gt;9,1,VLOOKUP(D292,命格辅助表!$S$3:$U$10,3,0)),0)</f>
        <v>0</v>
      </c>
      <c r="T292">
        <f t="shared" si="51"/>
        <v>0</v>
      </c>
      <c r="U292">
        <f t="shared" si="45"/>
        <v>0</v>
      </c>
    </row>
    <row r="293" spans="1:21">
      <c r="A293">
        <v>9440</v>
      </c>
      <c r="B293" t="s">
        <v>329</v>
      </c>
      <c r="C293">
        <f t="shared" si="47"/>
        <v>14</v>
      </c>
      <c r="D293">
        <v>3</v>
      </c>
      <c r="E293">
        <v>3</v>
      </c>
      <c r="F293">
        <v>10</v>
      </c>
      <c r="G293" t="str">
        <f>VLOOKUP(P293,定义数据!$B$14:$C$29,2,0)&amp;"+"&amp;Q293&amp;IF(R293=0,"",","&amp;VLOOKUP(R293,定义数据!$B$14:$C$29,2,0)&amp;"+"&amp;S293)&amp;IF(T293=0,"",","&amp;VLOOKUP(T293,定义数据!$B$14:$C$29,2,0)&amp;"+"&amp;U293)</f>
        <v>攻击+234</v>
      </c>
      <c r="H293">
        <v>0</v>
      </c>
      <c r="I293">
        <f t="shared" si="48"/>
        <v>14</v>
      </c>
      <c r="J293">
        <f>IF(ISERROR(VLOOKUP(D293,命格辅助表!$I$76:$N$86,D_命格表!E293+2,0)),0,VLOOKUP(D293,命格辅助表!$I$76:$N$86,D_命格表!E293+2,0))</f>
        <v>1280</v>
      </c>
      <c r="K293">
        <f>IF(ISERROR(VLOOKUP(D293,命格辅助表!$P$76:$U$86,E293+2,0)),0,VLOOKUP(D293,命格辅助表!$P$76:$U$86,E293+2,0))</f>
        <v>1120</v>
      </c>
      <c r="L293">
        <v>0</v>
      </c>
      <c r="M293">
        <v>0</v>
      </c>
      <c r="N293">
        <v>8240</v>
      </c>
      <c r="O293">
        <f t="shared" si="44"/>
        <v>1</v>
      </c>
      <c r="P293">
        <f t="shared" si="49"/>
        <v>2</v>
      </c>
      <c r="Q293">
        <f>ROUND((VLOOKUP($A293,命格属性表,13,0)+VLOOKUP($A293,命格属性表,20,0)*($D293-1))*IF(P293&gt;9,1,VLOOKUP(D293,命格辅助表!$S$3:$U$10,3,0)),0)</f>
        <v>234</v>
      </c>
      <c r="R293">
        <f t="shared" si="50"/>
        <v>0</v>
      </c>
      <c r="S293">
        <f>ROUND(IF(R293=0,0,VLOOKUP($A293,命格属性表,15,0)+VLOOKUP($A293,命格属性表,22,0)*($D293-1))*IF(R293&gt;9,1,VLOOKUP(D293,命格辅助表!$S$3:$U$10,3,0)),0)</f>
        <v>0</v>
      </c>
      <c r="T293">
        <f t="shared" si="51"/>
        <v>0</v>
      </c>
      <c r="U293">
        <f t="shared" si="45"/>
        <v>0</v>
      </c>
    </row>
    <row r="294" spans="1:21">
      <c r="A294">
        <v>9440</v>
      </c>
      <c r="B294" t="s">
        <v>329</v>
      </c>
      <c r="C294">
        <f t="shared" si="47"/>
        <v>14</v>
      </c>
      <c r="D294">
        <v>4</v>
      </c>
      <c r="E294">
        <v>3</v>
      </c>
      <c r="F294">
        <v>10</v>
      </c>
      <c r="G294" t="str">
        <f>VLOOKUP(P294,定义数据!$B$14:$C$29,2,0)&amp;"+"&amp;Q294&amp;IF(R294=0,"",","&amp;VLOOKUP(R294,定义数据!$B$14:$C$29,2,0)&amp;"+"&amp;S294)&amp;IF(T294=0,"",","&amp;VLOOKUP(T294,定义数据!$B$14:$C$29,2,0)&amp;"+"&amp;U294)</f>
        <v>攻击+351</v>
      </c>
      <c r="H294">
        <v>0</v>
      </c>
      <c r="I294">
        <f t="shared" si="48"/>
        <v>14</v>
      </c>
      <c r="J294">
        <f>IF(ISERROR(VLOOKUP(D294,命格辅助表!$I$76:$N$86,D_命格表!E294+2,0)),0,VLOOKUP(D294,命格辅助表!$I$76:$N$86,D_命格表!E294+2,0))</f>
        <v>2560</v>
      </c>
      <c r="K294">
        <f>IF(ISERROR(VLOOKUP(D294,命格辅助表!$P$76:$U$86,E294+2,0)),0,VLOOKUP(D294,命格辅助表!$P$76:$U$86,E294+2,0))</f>
        <v>2400</v>
      </c>
      <c r="L294">
        <v>0</v>
      </c>
      <c r="M294">
        <v>0</v>
      </c>
      <c r="N294">
        <v>8240</v>
      </c>
      <c r="O294">
        <f t="shared" si="44"/>
        <v>1</v>
      </c>
      <c r="P294">
        <f t="shared" si="49"/>
        <v>2</v>
      </c>
      <c r="Q294">
        <f>ROUND((VLOOKUP($A294,命格属性表,13,0)+VLOOKUP($A294,命格属性表,20,0)*($D294-1))*IF(P294&gt;9,1,VLOOKUP(D294,命格辅助表!$S$3:$U$10,3,0)),0)</f>
        <v>351</v>
      </c>
      <c r="R294">
        <f t="shared" si="50"/>
        <v>0</v>
      </c>
      <c r="S294">
        <f>ROUND(IF(R294=0,0,VLOOKUP($A294,命格属性表,15,0)+VLOOKUP($A294,命格属性表,22,0)*($D294-1))*IF(R294&gt;9,1,VLOOKUP(D294,命格辅助表!$S$3:$U$10,3,0)),0)</f>
        <v>0</v>
      </c>
      <c r="T294">
        <f t="shared" si="51"/>
        <v>0</v>
      </c>
      <c r="U294">
        <f t="shared" si="45"/>
        <v>0</v>
      </c>
    </row>
    <row r="295" spans="1:21">
      <c r="A295">
        <v>9440</v>
      </c>
      <c r="B295" t="s">
        <v>329</v>
      </c>
      <c r="C295">
        <f t="shared" si="47"/>
        <v>14</v>
      </c>
      <c r="D295">
        <v>5</v>
      </c>
      <c r="E295">
        <v>3</v>
      </c>
      <c r="F295">
        <v>10</v>
      </c>
      <c r="G295" t="str">
        <f>VLOOKUP(P295,定义数据!$B$14:$C$29,2,0)&amp;"+"&amp;Q295&amp;IF(R295=0,"",","&amp;VLOOKUP(R295,定义数据!$B$14:$C$29,2,0)&amp;"+"&amp;S295)&amp;IF(T295=0,"",","&amp;VLOOKUP(T295,定义数据!$B$14:$C$29,2,0)&amp;"+"&amp;U295)</f>
        <v>攻击+526</v>
      </c>
      <c r="H295">
        <v>0</v>
      </c>
      <c r="I295">
        <f t="shared" si="48"/>
        <v>14</v>
      </c>
      <c r="J295">
        <f>IF(ISERROR(VLOOKUP(D295,命格辅助表!$I$76:$N$86,D_命格表!E295+2,0)),0,VLOOKUP(D295,命格辅助表!$I$76:$N$86,D_命格表!E295+2,0))</f>
        <v>5120</v>
      </c>
      <c r="K295">
        <f>IF(ISERROR(VLOOKUP(D295,命格辅助表!$P$76:$U$86,E295+2,0)),0,VLOOKUP(D295,命格辅助表!$P$76:$U$86,E295+2,0))</f>
        <v>4960</v>
      </c>
      <c r="L295">
        <v>0</v>
      </c>
      <c r="M295">
        <v>0</v>
      </c>
      <c r="N295">
        <v>8240</v>
      </c>
      <c r="O295">
        <f t="shared" si="44"/>
        <v>1</v>
      </c>
      <c r="P295">
        <f t="shared" si="49"/>
        <v>2</v>
      </c>
      <c r="Q295">
        <f>ROUND((VLOOKUP($A295,命格属性表,13,0)+VLOOKUP($A295,命格属性表,20,0)*($D295-1))*IF(P295&gt;9,1,VLOOKUP(D295,命格辅助表!$S$3:$U$10,3,0)),0)</f>
        <v>526</v>
      </c>
      <c r="R295">
        <f t="shared" si="50"/>
        <v>0</v>
      </c>
      <c r="S295">
        <f>ROUND(IF(R295=0,0,VLOOKUP($A295,命格属性表,15,0)+VLOOKUP($A295,命格属性表,22,0)*($D295-1))*IF(R295&gt;9,1,VLOOKUP(D295,命格辅助表!$S$3:$U$10,3,0)),0)</f>
        <v>0</v>
      </c>
      <c r="T295">
        <f t="shared" si="51"/>
        <v>0</v>
      </c>
      <c r="U295">
        <f t="shared" si="45"/>
        <v>0</v>
      </c>
    </row>
    <row r="296" spans="1:21">
      <c r="A296">
        <v>9440</v>
      </c>
      <c r="B296" t="s">
        <v>329</v>
      </c>
      <c r="C296">
        <f t="shared" si="47"/>
        <v>14</v>
      </c>
      <c r="D296">
        <v>6</v>
      </c>
      <c r="E296">
        <v>3</v>
      </c>
      <c r="F296">
        <v>10</v>
      </c>
      <c r="G296" t="str">
        <f>VLOOKUP(P296,定义数据!$B$14:$C$29,2,0)&amp;"+"&amp;Q296&amp;IF(R296=0,"",","&amp;VLOOKUP(R296,定义数据!$B$14:$C$29,2,0)&amp;"+"&amp;S296)&amp;IF(T296=0,"",","&amp;VLOOKUP(T296,定义数据!$B$14:$C$29,2,0)&amp;"+"&amp;U296)</f>
        <v>攻击+789</v>
      </c>
      <c r="H296">
        <v>0</v>
      </c>
      <c r="I296">
        <f t="shared" si="48"/>
        <v>14</v>
      </c>
      <c r="J296">
        <f>IF(ISERROR(VLOOKUP(D296,命格辅助表!$I$76:$N$86,D_命格表!E296+2,0)),0,VLOOKUP(D296,命格辅助表!$I$76:$N$86,D_命格表!E296+2,0))</f>
        <v>10240</v>
      </c>
      <c r="K296">
        <f>IF(ISERROR(VLOOKUP(D296,命格辅助表!$P$76:$U$86,E296+2,0)),0,VLOOKUP(D296,命格辅助表!$P$76:$U$86,E296+2,0))</f>
        <v>10080</v>
      </c>
      <c r="L296">
        <v>0</v>
      </c>
      <c r="M296">
        <v>0</v>
      </c>
      <c r="N296">
        <v>8240</v>
      </c>
      <c r="O296">
        <f t="shared" si="44"/>
        <v>1</v>
      </c>
      <c r="P296">
        <f t="shared" si="49"/>
        <v>2</v>
      </c>
      <c r="Q296">
        <f>ROUND((VLOOKUP($A296,命格属性表,13,0)+VLOOKUP($A296,命格属性表,20,0)*($D296-1))*IF(P296&gt;9,1,VLOOKUP(D296,命格辅助表!$S$3:$U$10,3,0)),0)</f>
        <v>789</v>
      </c>
      <c r="R296">
        <f t="shared" si="50"/>
        <v>0</v>
      </c>
      <c r="S296">
        <f>ROUND(IF(R296=0,0,VLOOKUP($A296,命格属性表,15,0)+VLOOKUP($A296,命格属性表,22,0)*($D296-1))*IF(R296&gt;9,1,VLOOKUP(D296,命格辅助表!$S$3:$U$10,3,0)),0)</f>
        <v>0</v>
      </c>
      <c r="T296">
        <f t="shared" si="51"/>
        <v>0</v>
      </c>
      <c r="U296">
        <f t="shared" si="45"/>
        <v>0</v>
      </c>
    </row>
    <row r="297" spans="1:21">
      <c r="A297">
        <v>9440</v>
      </c>
      <c r="B297" t="s">
        <v>329</v>
      </c>
      <c r="C297">
        <f t="shared" si="47"/>
        <v>14</v>
      </c>
      <c r="D297">
        <v>7</v>
      </c>
      <c r="E297">
        <v>3</v>
      </c>
      <c r="F297">
        <v>10</v>
      </c>
      <c r="G297" t="str">
        <f>VLOOKUP(P297,定义数据!$B$14:$C$29,2,0)&amp;"+"&amp;Q297&amp;IF(R297=0,"",","&amp;VLOOKUP(R297,定义数据!$B$14:$C$29,2,0)&amp;"+"&amp;S297)&amp;IF(T297=0,"",","&amp;VLOOKUP(T297,定义数据!$B$14:$C$29,2,0)&amp;"+"&amp;U297)</f>
        <v>攻击+1184</v>
      </c>
      <c r="H297">
        <v>0</v>
      </c>
      <c r="I297">
        <f t="shared" si="48"/>
        <v>14</v>
      </c>
      <c r="J297">
        <f>IF(ISERROR(VLOOKUP(D297,命格辅助表!$I$76:$N$86,D_命格表!E297+2,0)),0,VLOOKUP(D297,命格辅助表!$I$76:$N$86,D_命格表!E297+2,0))</f>
        <v>20480</v>
      </c>
      <c r="K297">
        <f>IF(ISERROR(VLOOKUP(D297,命格辅助表!$P$76:$U$86,E297+2,0)),0,VLOOKUP(D297,命格辅助表!$P$76:$U$86,E297+2,0))</f>
        <v>20320</v>
      </c>
      <c r="L297">
        <v>0</v>
      </c>
      <c r="M297">
        <v>0</v>
      </c>
      <c r="N297">
        <v>8240</v>
      </c>
      <c r="O297">
        <f t="shared" si="44"/>
        <v>1</v>
      </c>
      <c r="P297">
        <f t="shared" si="49"/>
        <v>2</v>
      </c>
      <c r="Q297">
        <f>ROUND((VLOOKUP($A297,命格属性表,13,0)+VLOOKUP($A297,命格属性表,20,0)*($D297-1))*IF(P297&gt;9,1,VLOOKUP(D297,命格辅助表!$S$3:$U$10,3,0)),0)</f>
        <v>1184</v>
      </c>
      <c r="R297">
        <f t="shared" si="50"/>
        <v>0</v>
      </c>
      <c r="S297">
        <f>ROUND(IF(R297=0,0,VLOOKUP($A297,命格属性表,15,0)+VLOOKUP($A297,命格属性表,22,0)*($D297-1))*IF(R297&gt;9,1,VLOOKUP(D297,命格辅助表!$S$3:$U$10,3,0)),0)</f>
        <v>0</v>
      </c>
      <c r="T297">
        <f t="shared" si="51"/>
        <v>0</v>
      </c>
      <c r="U297">
        <f t="shared" si="45"/>
        <v>0</v>
      </c>
    </row>
    <row r="298" spans="1:21">
      <c r="A298">
        <v>9440</v>
      </c>
      <c r="B298" t="s">
        <v>329</v>
      </c>
      <c r="C298">
        <f t="shared" si="47"/>
        <v>14</v>
      </c>
      <c r="D298">
        <v>8</v>
      </c>
      <c r="E298">
        <v>3</v>
      </c>
      <c r="F298">
        <v>10</v>
      </c>
      <c r="G298" t="str">
        <f>VLOOKUP(P298,定义数据!$B$14:$C$29,2,0)&amp;"+"&amp;Q298&amp;IF(R298=0,"",","&amp;VLOOKUP(R298,定义数据!$B$14:$C$29,2,0)&amp;"+"&amp;S298)&amp;IF(T298=0,"",","&amp;VLOOKUP(T298,定义数据!$B$14:$C$29,2,0)&amp;"+"&amp;U298)</f>
        <v>攻击+1776</v>
      </c>
      <c r="H298">
        <v>0</v>
      </c>
      <c r="I298">
        <f t="shared" si="48"/>
        <v>14</v>
      </c>
      <c r="J298">
        <f>IF(ISERROR(VLOOKUP(D298,命格辅助表!$I$76:$N$86,D_命格表!E298+2,0)),0,VLOOKUP(D298,命格辅助表!$I$76:$N$86,D_命格表!E298+2,0))</f>
        <v>40960</v>
      </c>
      <c r="K298">
        <f>IF(ISERROR(VLOOKUP(D298,命格辅助表!$P$76:$U$86,E298+2,0)),0,VLOOKUP(D298,命格辅助表!$P$76:$U$86,E298+2,0))</f>
        <v>40800</v>
      </c>
      <c r="L298">
        <f>IF(ISERROR(VLOOKUP(D298,命格辅助表!$I$76:$N$86,D_命格表!E298+2,0)),0,VLOOKUP(D298,命格辅助表!$I$76:$N$86,D_命格表!E298+2,0))</f>
        <v>40960</v>
      </c>
      <c r="M298">
        <f>A298+10</f>
        <v>9450</v>
      </c>
      <c r="N298">
        <v>8240</v>
      </c>
      <c r="O298">
        <f t="shared" si="44"/>
        <v>1</v>
      </c>
      <c r="P298">
        <f t="shared" si="49"/>
        <v>2</v>
      </c>
      <c r="Q298">
        <f>ROUND((VLOOKUP($A298,命格属性表,13,0)+VLOOKUP($A298,命格属性表,20,0)*($D298-1))*IF(P298&gt;9,1,VLOOKUP(D298,命格辅助表!$S$3:$U$10,3,0)),0)</f>
        <v>1776</v>
      </c>
      <c r="R298">
        <f t="shared" si="50"/>
        <v>0</v>
      </c>
      <c r="S298">
        <f>ROUND(IF(R298=0,0,VLOOKUP($A298,命格属性表,15,0)+VLOOKUP($A298,命格属性表,22,0)*($D298-1))*IF(R298&gt;9,1,VLOOKUP(D298,命格辅助表!$S$3:$U$10,3,0)),0)</f>
        <v>0</v>
      </c>
      <c r="T298">
        <f t="shared" si="51"/>
        <v>0</v>
      </c>
      <c r="U298">
        <f t="shared" si="45"/>
        <v>0</v>
      </c>
    </row>
    <row r="299" spans="1:21">
      <c r="A299">
        <v>9540</v>
      </c>
      <c r="B299" t="str">
        <f t="shared" si="46"/>
        <v>八卦</v>
      </c>
      <c r="C299">
        <f t="shared" si="47"/>
        <v>15</v>
      </c>
      <c r="D299">
        <v>1</v>
      </c>
      <c r="E299">
        <v>3</v>
      </c>
      <c r="F299">
        <v>10</v>
      </c>
      <c r="G299" t="str">
        <f>VLOOKUP(P299,定义数据!$B$14:$C$29,2,0)&amp;"+"&amp;Q299&amp;IF(R299=0,"",","&amp;VLOOKUP(R299,定义数据!$B$14:$C$29,2,0)&amp;"+"&amp;S299)&amp;IF(T299=0,"",","&amp;VLOOKUP(T299,定义数据!$B$14:$C$29,2,0)&amp;"+"&amp;U299)</f>
        <v>生命+1301,攻击+0</v>
      </c>
      <c r="H299">
        <v>0</v>
      </c>
      <c r="I299">
        <f t="shared" si="48"/>
        <v>15</v>
      </c>
      <c r="J299">
        <f>IF(ISERROR(VLOOKUP(D299,命格辅助表!$I$76:$N$86,D_命格表!E299+2,0)),0,VLOOKUP(D299,命格辅助表!$I$76:$N$86,D_命格表!E299+2,0))</f>
        <v>320</v>
      </c>
      <c r="K299">
        <f>IF(ISERROR(VLOOKUP(D299,命格辅助表!$P$76:$U$86,E299+2,0)),0,VLOOKUP(D299,命格辅助表!$P$76:$U$86,E299+2,0))</f>
        <v>160</v>
      </c>
      <c r="L299">
        <v>0</v>
      </c>
      <c r="M299">
        <v>0</v>
      </c>
      <c r="N299">
        <v>8340</v>
      </c>
      <c r="O299">
        <f t="shared" si="44"/>
        <v>1.5</v>
      </c>
      <c r="P299">
        <f t="shared" si="49"/>
        <v>1</v>
      </c>
      <c r="Q299">
        <f>ROUND((VLOOKUP($A299,命格属性表,13,0)+VLOOKUP($A299,命格属性表,20,0)*($D299-1))*IF(P299&gt;9,1,VLOOKUP(D299,命格辅助表!$S$3:$U$10,3,0)),0)</f>
        <v>1301</v>
      </c>
      <c r="R299">
        <f t="shared" si="50"/>
        <v>2</v>
      </c>
      <c r="S299">
        <f>ROUND(IF(R299=0,0,VLOOKUP($A299,命格属性表,15,0)+VLOOKUP($A299,命格属性表,22,0)*($D299-1))*IF(R299&gt;9,1,VLOOKUP(D299,命格辅助表!$S$3:$U$10,3,0)),0)</f>
        <v>0</v>
      </c>
      <c r="T299">
        <f t="shared" si="51"/>
        <v>0</v>
      </c>
      <c r="U299">
        <f t="shared" si="45"/>
        <v>0</v>
      </c>
    </row>
    <row r="300" spans="1:21">
      <c r="A300">
        <v>9540</v>
      </c>
      <c r="B300" t="str">
        <f t="shared" si="46"/>
        <v>八卦</v>
      </c>
      <c r="C300">
        <f t="shared" si="47"/>
        <v>15</v>
      </c>
      <c r="D300">
        <v>2</v>
      </c>
      <c r="E300">
        <v>3</v>
      </c>
      <c r="F300">
        <v>10</v>
      </c>
      <c r="G300" t="str">
        <f>VLOOKUP(P300,定义数据!$B$14:$C$29,2,0)&amp;"+"&amp;Q300&amp;IF(R300=0,"",","&amp;VLOOKUP(R300,定义数据!$B$14:$C$29,2,0)&amp;"+"&amp;S300)&amp;IF(T300=0,"",","&amp;VLOOKUP(T300,定义数据!$B$14:$C$29,2,0)&amp;"+"&amp;U300)</f>
        <v>生命+1951,攻击+0</v>
      </c>
      <c r="H300">
        <v>0</v>
      </c>
      <c r="I300">
        <f t="shared" si="48"/>
        <v>15</v>
      </c>
      <c r="J300">
        <f>IF(ISERROR(VLOOKUP(D300,命格辅助表!$I$76:$N$86,D_命格表!E300+2,0)),0,VLOOKUP(D300,命格辅助表!$I$76:$N$86,D_命格表!E300+2,0))</f>
        <v>640</v>
      </c>
      <c r="K300">
        <f>IF(ISERROR(VLOOKUP(D300,命格辅助表!$P$76:$U$86,E300+2,0)),0,VLOOKUP(D300,命格辅助表!$P$76:$U$86,E300+2,0))</f>
        <v>480</v>
      </c>
      <c r="L300">
        <v>0</v>
      </c>
      <c r="M300">
        <v>0</v>
      </c>
      <c r="N300">
        <v>8340</v>
      </c>
      <c r="O300">
        <f t="shared" si="44"/>
        <v>1.5</v>
      </c>
      <c r="P300">
        <f t="shared" si="49"/>
        <v>1</v>
      </c>
      <c r="Q300">
        <f>ROUND((VLOOKUP($A300,命格属性表,13,0)+VLOOKUP($A300,命格属性表,20,0)*($D300-1))*IF(P300&gt;9,1,VLOOKUP(D300,命格辅助表!$S$3:$U$10,3,0)),0)</f>
        <v>1951</v>
      </c>
      <c r="R300">
        <f t="shared" si="50"/>
        <v>2</v>
      </c>
      <c r="S300">
        <f>ROUND(IF(R300=0,0,VLOOKUP($A300,命格属性表,15,0)+VLOOKUP($A300,命格属性表,22,0)*($D300-1))*IF(R300&gt;9,1,VLOOKUP(D300,命格辅助表!$S$3:$U$10,3,0)),0)</f>
        <v>0</v>
      </c>
      <c r="T300">
        <f t="shared" si="51"/>
        <v>0</v>
      </c>
      <c r="U300">
        <f t="shared" si="45"/>
        <v>0</v>
      </c>
    </row>
    <row r="301" spans="1:21">
      <c r="A301">
        <v>9540</v>
      </c>
      <c r="B301" t="str">
        <f t="shared" si="46"/>
        <v>八卦</v>
      </c>
      <c r="C301">
        <f t="shared" si="47"/>
        <v>15</v>
      </c>
      <c r="D301">
        <v>3</v>
      </c>
      <c r="E301">
        <v>3</v>
      </c>
      <c r="F301">
        <v>10</v>
      </c>
      <c r="G301" t="str">
        <f>VLOOKUP(P301,定义数据!$B$14:$C$29,2,0)&amp;"+"&amp;Q301&amp;IF(R301=0,"",","&amp;VLOOKUP(R301,定义数据!$B$14:$C$29,2,0)&amp;"+"&amp;S301)&amp;IF(T301=0,"",","&amp;VLOOKUP(T301,定义数据!$B$14:$C$29,2,0)&amp;"+"&amp;U301)</f>
        <v>生命+2927,攻击+0</v>
      </c>
      <c r="H301">
        <v>0</v>
      </c>
      <c r="I301">
        <f t="shared" si="48"/>
        <v>15</v>
      </c>
      <c r="J301">
        <f>IF(ISERROR(VLOOKUP(D301,命格辅助表!$I$76:$N$86,D_命格表!E301+2,0)),0,VLOOKUP(D301,命格辅助表!$I$76:$N$86,D_命格表!E301+2,0))</f>
        <v>1280</v>
      </c>
      <c r="K301">
        <f>IF(ISERROR(VLOOKUP(D301,命格辅助表!$P$76:$U$86,E301+2,0)),0,VLOOKUP(D301,命格辅助表!$P$76:$U$86,E301+2,0))</f>
        <v>1120</v>
      </c>
      <c r="L301">
        <v>0</v>
      </c>
      <c r="M301">
        <v>0</v>
      </c>
      <c r="N301">
        <v>8340</v>
      </c>
      <c r="O301">
        <f t="shared" si="44"/>
        <v>1.5</v>
      </c>
      <c r="P301">
        <f t="shared" si="49"/>
        <v>1</v>
      </c>
      <c r="Q301">
        <f>ROUND((VLOOKUP($A301,命格属性表,13,0)+VLOOKUP($A301,命格属性表,20,0)*($D301-1))*IF(P301&gt;9,1,VLOOKUP(D301,命格辅助表!$S$3:$U$10,3,0)),0)</f>
        <v>2927</v>
      </c>
      <c r="R301">
        <f t="shared" si="50"/>
        <v>2</v>
      </c>
      <c r="S301">
        <f>ROUND(IF(R301=0,0,VLOOKUP($A301,命格属性表,15,0)+VLOOKUP($A301,命格属性表,22,0)*($D301-1))*IF(R301&gt;9,1,VLOOKUP(D301,命格辅助表!$S$3:$U$10,3,0)),0)</f>
        <v>0</v>
      </c>
      <c r="T301">
        <f t="shared" si="51"/>
        <v>0</v>
      </c>
      <c r="U301">
        <f t="shared" si="45"/>
        <v>0</v>
      </c>
    </row>
    <row r="302" spans="1:21">
      <c r="A302">
        <v>9540</v>
      </c>
      <c r="B302" t="str">
        <f t="shared" si="46"/>
        <v>八卦</v>
      </c>
      <c r="C302">
        <f t="shared" si="47"/>
        <v>15</v>
      </c>
      <c r="D302">
        <v>4</v>
      </c>
      <c r="E302">
        <v>3</v>
      </c>
      <c r="F302">
        <v>10</v>
      </c>
      <c r="G302" t="str">
        <f>VLOOKUP(P302,定义数据!$B$14:$C$29,2,0)&amp;"+"&amp;Q302&amp;IF(R302=0,"",","&amp;VLOOKUP(R302,定义数据!$B$14:$C$29,2,0)&amp;"+"&amp;S302)&amp;IF(T302=0,"",","&amp;VLOOKUP(T302,定义数据!$B$14:$C$29,2,0)&amp;"+"&amp;U302)</f>
        <v>生命+4390,攻击+0</v>
      </c>
      <c r="H302">
        <v>0</v>
      </c>
      <c r="I302">
        <f t="shared" si="48"/>
        <v>15</v>
      </c>
      <c r="J302">
        <f>IF(ISERROR(VLOOKUP(D302,命格辅助表!$I$76:$N$86,D_命格表!E302+2,0)),0,VLOOKUP(D302,命格辅助表!$I$76:$N$86,D_命格表!E302+2,0))</f>
        <v>2560</v>
      </c>
      <c r="K302">
        <f>IF(ISERROR(VLOOKUP(D302,命格辅助表!$P$76:$U$86,E302+2,0)),0,VLOOKUP(D302,命格辅助表!$P$76:$U$86,E302+2,0))</f>
        <v>2400</v>
      </c>
      <c r="L302">
        <v>0</v>
      </c>
      <c r="M302">
        <v>0</v>
      </c>
      <c r="N302">
        <v>8340</v>
      </c>
      <c r="O302">
        <f t="shared" si="44"/>
        <v>1.5</v>
      </c>
      <c r="P302">
        <f t="shared" si="49"/>
        <v>1</v>
      </c>
      <c r="Q302">
        <f>ROUND((VLOOKUP($A302,命格属性表,13,0)+VLOOKUP($A302,命格属性表,20,0)*($D302-1))*IF(P302&gt;9,1,VLOOKUP(D302,命格辅助表!$S$3:$U$10,3,0)),0)</f>
        <v>4390</v>
      </c>
      <c r="R302">
        <f t="shared" si="50"/>
        <v>2</v>
      </c>
      <c r="S302">
        <f>ROUND(IF(R302=0,0,VLOOKUP($A302,命格属性表,15,0)+VLOOKUP($A302,命格属性表,22,0)*($D302-1))*IF(R302&gt;9,1,VLOOKUP(D302,命格辅助表!$S$3:$U$10,3,0)),0)</f>
        <v>0</v>
      </c>
      <c r="T302">
        <f t="shared" si="51"/>
        <v>0</v>
      </c>
      <c r="U302">
        <f t="shared" si="45"/>
        <v>0</v>
      </c>
    </row>
    <row r="303" spans="1:21">
      <c r="A303">
        <v>9540</v>
      </c>
      <c r="B303" t="str">
        <f t="shared" si="46"/>
        <v>八卦</v>
      </c>
      <c r="C303">
        <f t="shared" si="47"/>
        <v>15</v>
      </c>
      <c r="D303">
        <v>5</v>
      </c>
      <c r="E303">
        <v>3</v>
      </c>
      <c r="F303">
        <v>10</v>
      </c>
      <c r="G303" t="str">
        <f>VLOOKUP(P303,定义数据!$B$14:$C$29,2,0)&amp;"+"&amp;Q303&amp;IF(R303=0,"",","&amp;VLOOKUP(R303,定义数据!$B$14:$C$29,2,0)&amp;"+"&amp;S303)&amp;IF(T303=0,"",","&amp;VLOOKUP(T303,定义数据!$B$14:$C$29,2,0)&amp;"+"&amp;U303)</f>
        <v>生命+6585,攻击+0</v>
      </c>
      <c r="H303">
        <v>0</v>
      </c>
      <c r="I303">
        <f t="shared" si="48"/>
        <v>15</v>
      </c>
      <c r="J303">
        <f>IF(ISERROR(VLOOKUP(D303,命格辅助表!$I$76:$N$86,D_命格表!E303+2,0)),0,VLOOKUP(D303,命格辅助表!$I$76:$N$86,D_命格表!E303+2,0))</f>
        <v>5120</v>
      </c>
      <c r="K303">
        <f>IF(ISERROR(VLOOKUP(D303,命格辅助表!$P$76:$U$86,E303+2,0)),0,VLOOKUP(D303,命格辅助表!$P$76:$U$86,E303+2,0))</f>
        <v>4960</v>
      </c>
      <c r="L303">
        <v>0</v>
      </c>
      <c r="M303">
        <v>0</v>
      </c>
      <c r="N303">
        <v>8340</v>
      </c>
      <c r="O303">
        <f t="shared" si="44"/>
        <v>1.5</v>
      </c>
      <c r="P303">
        <f t="shared" si="49"/>
        <v>1</v>
      </c>
      <c r="Q303">
        <f>ROUND((VLOOKUP($A303,命格属性表,13,0)+VLOOKUP($A303,命格属性表,20,0)*($D303-1))*IF(P303&gt;9,1,VLOOKUP(D303,命格辅助表!$S$3:$U$10,3,0)),0)</f>
        <v>6585</v>
      </c>
      <c r="R303">
        <f t="shared" si="50"/>
        <v>2</v>
      </c>
      <c r="S303">
        <f>ROUND(IF(R303=0,0,VLOOKUP($A303,命格属性表,15,0)+VLOOKUP($A303,命格属性表,22,0)*($D303-1))*IF(R303&gt;9,1,VLOOKUP(D303,命格辅助表!$S$3:$U$10,3,0)),0)</f>
        <v>0</v>
      </c>
      <c r="T303">
        <f t="shared" si="51"/>
        <v>0</v>
      </c>
      <c r="U303">
        <f t="shared" si="45"/>
        <v>0</v>
      </c>
    </row>
    <row r="304" spans="1:21">
      <c r="A304">
        <v>9540</v>
      </c>
      <c r="B304" t="str">
        <f t="shared" si="46"/>
        <v>八卦</v>
      </c>
      <c r="C304">
        <f t="shared" si="47"/>
        <v>15</v>
      </c>
      <c r="D304">
        <v>6</v>
      </c>
      <c r="E304">
        <v>3</v>
      </c>
      <c r="F304">
        <v>10</v>
      </c>
      <c r="G304" t="str">
        <f>VLOOKUP(P304,定义数据!$B$14:$C$29,2,0)&amp;"+"&amp;Q304&amp;IF(R304=0,"",","&amp;VLOOKUP(R304,定义数据!$B$14:$C$29,2,0)&amp;"+"&amp;S304)&amp;IF(T304=0,"",","&amp;VLOOKUP(T304,定义数据!$B$14:$C$29,2,0)&amp;"+"&amp;U304)</f>
        <v>生命+9877,攻击+0</v>
      </c>
      <c r="H304">
        <v>0</v>
      </c>
      <c r="I304">
        <f t="shared" si="48"/>
        <v>15</v>
      </c>
      <c r="J304">
        <f>IF(ISERROR(VLOOKUP(D304,命格辅助表!$I$76:$N$86,D_命格表!E304+2,0)),0,VLOOKUP(D304,命格辅助表!$I$76:$N$86,D_命格表!E304+2,0))</f>
        <v>10240</v>
      </c>
      <c r="K304">
        <f>IF(ISERROR(VLOOKUP(D304,命格辅助表!$P$76:$U$86,E304+2,0)),0,VLOOKUP(D304,命格辅助表!$P$76:$U$86,E304+2,0))</f>
        <v>10080</v>
      </c>
      <c r="L304">
        <v>0</v>
      </c>
      <c r="M304">
        <v>0</v>
      </c>
      <c r="N304">
        <v>8340</v>
      </c>
      <c r="O304">
        <f t="shared" si="44"/>
        <v>1.5</v>
      </c>
      <c r="P304">
        <f t="shared" si="49"/>
        <v>1</v>
      </c>
      <c r="Q304">
        <f>ROUND((VLOOKUP($A304,命格属性表,13,0)+VLOOKUP($A304,命格属性表,20,0)*($D304-1))*IF(P304&gt;9,1,VLOOKUP(D304,命格辅助表!$S$3:$U$10,3,0)),0)</f>
        <v>9877</v>
      </c>
      <c r="R304">
        <f t="shared" si="50"/>
        <v>2</v>
      </c>
      <c r="S304">
        <f>ROUND(IF(R304=0,0,VLOOKUP($A304,命格属性表,15,0)+VLOOKUP($A304,命格属性表,22,0)*($D304-1))*IF(R304&gt;9,1,VLOOKUP(D304,命格辅助表!$S$3:$U$10,3,0)),0)</f>
        <v>0</v>
      </c>
      <c r="T304">
        <f t="shared" si="51"/>
        <v>0</v>
      </c>
      <c r="U304">
        <f t="shared" si="45"/>
        <v>0</v>
      </c>
    </row>
    <row r="305" spans="1:21">
      <c r="A305">
        <v>9540</v>
      </c>
      <c r="B305" t="str">
        <f t="shared" si="46"/>
        <v>八卦</v>
      </c>
      <c r="C305">
        <f t="shared" si="47"/>
        <v>15</v>
      </c>
      <c r="D305">
        <v>7</v>
      </c>
      <c r="E305">
        <v>3</v>
      </c>
      <c r="F305">
        <v>10</v>
      </c>
      <c r="G305" t="str">
        <f>VLOOKUP(P305,定义数据!$B$14:$C$29,2,0)&amp;"+"&amp;Q305&amp;IF(R305=0,"",","&amp;VLOOKUP(R305,定义数据!$B$14:$C$29,2,0)&amp;"+"&amp;S305)&amp;IF(T305=0,"",","&amp;VLOOKUP(T305,定义数据!$B$14:$C$29,2,0)&amp;"+"&amp;U305)</f>
        <v>生命+14816,攻击+0</v>
      </c>
      <c r="H305">
        <v>0</v>
      </c>
      <c r="I305">
        <f t="shared" si="48"/>
        <v>15</v>
      </c>
      <c r="J305">
        <f>IF(ISERROR(VLOOKUP(D305,命格辅助表!$I$76:$N$86,D_命格表!E305+2,0)),0,VLOOKUP(D305,命格辅助表!$I$76:$N$86,D_命格表!E305+2,0))</f>
        <v>20480</v>
      </c>
      <c r="K305">
        <f>IF(ISERROR(VLOOKUP(D305,命格辅助表!$P$76:$U$86,E305+2,0)),0,VLOOKUP(D305,命格辅助表!$P$76:$U$86,E305+2,0))</f>
        <v>20320</v>
      </c>
      <c r="L305">
        <v>0</v>
      </c>
      <c r="M305">
        <v>0</v>
      </c>
      <c r="N305">
        <v>8340</v>
      </c>
      <c r="O305">
        <f t="shared" si="44"/>
        <v>1.5</v>
      </c>
      <c r="P305">
        <f t="shared" si="49"/>
        <v>1</v>
      </c>
      <c r="Q305">
        <f>ROUND((VLOOKUP($A305,命格属性表,13,0)+VLOOKUP($A305,命格属性表,20,0)*($D305-1))*IF(P305&gt;9,1,VLOOKUP(D305,命格辅助表!$S$3:$U$10,3,0)),0)</f>
        <v>14816</v>
      </c>
      <c r="R305">
        <f t="shared" si="50"/>
        <v>2</v>
      </c>
      <c r="S305">
        <f>ROUND(IF(R305=0,0,VLOOKUP($A305,命格属性表,15,0)+VLOOKUP($A305,命格属性表,22,0)*($D305-1))*IF(R305&gt;9,1,VLOOKUP(D305,命格辅助表!$S$3:$U$10,3,0)),0)</f>
        <v>0</v>
      </c>
      <c r="T305">
        <f t="shared" si="51"/>
        <v>0</v>
      </c>
      <c r="U305">
        <f t="shared" si="45"/>
        <v>0</v>
      </c>
    </row>
    <row r="306" spans="1:21">
      <c r="A306">
        <v>9540</v>
      </c>
      <c r="B306" t="str">
        <f t="shared" si="46"/>
        <v>八卦</v>
      </c>
      <c r="C306">
        <f t="shared" si="47"/>
        <v>15</v>
      </c>
      <c r="D306">
        <v>8</v>
      </c>
      <c r="E306">
        <v>3</v>
      </c>
      <c r="F306">
        <v>10</v>
      </c>
      <c r="G306" t="str">
        <f>VLOOKUP(P306,定义数据!$B$14:$C$29,2,0)&amp;"+"&amp;Q306&amp;IF(R306=0,"",","&amp;VLOOKUP(R306,定义数据!$B$14:$C$29,2,0)&amp;"+"&amp;S306)&amp;IF(T306=0,"",","&amp;VLOOKUP(T306,定义数据!$B$14:$C$29,2,0)&amp;"+"&amp;U306)</f>
        <v>生命+22224,攻击+0</v>
      </c>
      <c r="H306">
        <v>0</v>
      </c>
      <c r="I306">
        <f t="shared" si="48"/>
        <v>15</v>
      </c>
      <c r="J306">
        <f>IF(ISERROR(VLOOKUP(D306,命格辅助表!$I$76:$N$86,D_命格表!E306+2,0)),0,VLOOKUP(D306,命格辅助表!$I$76:$N$86,D_命格表!E306+2,0))</f>
        <v>40960</v>
      </c>
      <c r="K306">
        <f>IF(ISERROR(VLOOKUP(D306,命格辅助表!$P$76:$U$86,E306+2,0)),0,VLOOKUP(D306,命格辅助表!$P$76:$U$86,E306+2,0))</f>
        <v>40800</v>
      </c>
      <c r="L306">
        <f>IF(ISERROR(VLOOKUP(D306,命格辅助表!$I$76:$N$86,D_命格表!E306+2,0)),0,VLOOKUP(D306,命格辅助表!$I$76:$N$86,D_命格表!E306+2,0))</f>
        <v>40960</v>
      </c>
      <c r="M306">
        <f>A306+10</f>
        <v>9550</v>
      </c>
      <c r="N306">
        <v>8340</v>
      </c>
      <c r="O306">
        <f t="shared" si="44"/>
        <v>1.5</v>
      </c>
      <c r="P306">
        <f t="shared" si="49"/>
        <v>1</v>
      </c>
      <c r="Q306">
        <f>ROUND((VLOOKUP($A306,命格属性表,13,0)+VLOOKUP($A306,命格属性表,20,0)*($D306-1))*IF(P306&gt;9,1,VLOOKUP(D306,命格辅助表!$S$3:$U$10,3,0)),0)</f>
        <v>22224</v>
      </c>
      <c r="R306">
        <f t="shared" si="50"/>
        <v>2</v>
      </c>
      <c r="S306">
        <f>ROUND(IF(R306=0,0,VLOOKUP($A306,命格属性表,15,0)+VLOOKUP($A306,命格属性表,22,0)*($D306-1))*IF(R306&gt;9,1,VLOOKUP(D306,命格辅助表!$S$3:$U$10,3,0)),0)</f>
        <v>0</v>
      </c>
      <c r="T306">
        <f t="shared" si="51"/>
        <v>0</v>
      </c>
      <c r="U306">
        <f t="shared" si="45"/>
        <v>0</v>
      </c>
    </row>
    <row r="307" spans="1:21">
      <c r="A307">
        <v>9640</v>
      </c>
      <c r="B307" t="str">
        <f t="shared" si="46"/>
        <v>剎那</v>
      </c>
      <c r="C307">
        <f t="shared" si="47"/>
        <v>16</v>
      </c>
      <c r="D307">
        <v>1</v>
      </c>
      <c r="E307">
        <v>3</v>
      </c>
      <c r="F307">
        <v>10</v>
      </c>
      <c r="G307" t="str">
        <f>VLOOKUP(P307,定义数据!$B$14:$C$29,2,0)&amp;"+"&amp;Q307&amp;IF(R307=0,"",","&amp;VLOOKUP(R307,定义数据!$B$14:$C$29,2,0)&amp;"+"&amp;S307)&amp;IF(T307=0,"",","&amp;VLOOKUP(T307,定义数据!$B$14:$C$29,2,0)&amp;"+"&amp;U307)</f>
        <v>生命+5202,防御+41</v>
      </c>
      <c r="H307">
        <v>0</v>
      </c>
      <c r="I307">
        <f t="shared" si="48"/>
        <v>16</v>
      </c>
      <c r="J307">
        <f>IF(ISERROR(VLOOKUP(D307,命格辅助表!$I$76:$N$86,D_命格表!E307+2,0)),0,VLOOKUP(D307,命格辅助表!$I$76:$N$86,D_命格表!E307+2,0))</f>
        <v>320</v>
      </c>
      <c r="K307">
        <f>IF(ISERROR(VLOOKUP(D307,命格辅助表!$P$76:$U$86,E307+2,0)),0,VLOOKUP(D307,命格辅助表!$P$76:$U$86,E307+2,0))</f>
        <v>160</v>
      </c>
      <c r="L307">
        <v>0</v>
      </c>
      <c r="M307">
        <v>0</v>
      </c>
      <c r="N307">
        <v>8440</v>
      </c>
      <c r="O307">
        <f t="shared" si="44"/>
        <v>2</v>
      </c>
      <c r="P307">
        <f t="shared" si="49"/>
        <v>1</v>
      </c>
      <c r="Q307">
        <f>ROUND((VLOOKUP($A307,命格属性表,13,0)+VLOOKUP($A307,命格属性表,20,0)*($D307-1))*IF(P307&gt;9,1,VLOOKUP(D307,命格辅助表!$S$3:$U$10,3,0)),0)</f>
        <v>5202</v>
      </c>
      <c r="R307">
        <f t="shared" si="50"/>
        <v>3</v>
      </c>
      <c r="S307">
        <f>ROUND(IF(R307=0,0,VLOOKUP($A307,命格属性表,15,0)+VLOOKUP($A307,命格属性表,22,0)*($D307-1))*IF(R307&gt;9,1,VLOOKUP(D307,命格辅助表!$S$3:$U$10,3,0)),0)</f>
        <v>41</v>
      </c>
      <c r="T307">
        <f t="shared" si="51"/>
        <v>0</v>
      </c>
      <c r="U307">
        <f t="shared" si="45"/>
        <v>0</v>
      </c>
    </row>
    <row r="308" spans="1:21">
      <c r="A308">
        <v>9640</v>
      </c>
      <c r="B308" t="str">
        <f t="shared" si="46"/>
        <v>剎那</v>
      </c>
      <c r="C308">
        <f t="shared" si="47"/>
        <v>16</v>
      </c>
      <c r="D308">
        <v>2</v>
      </c>
      <c r="E308">
        <v>3</v>
      </c>
      <c r="F308">
        <v>10</v>
      </c>
      <c r="G308" t="str">
        <f>VLOOKUP(P308,定义数据!$B$14:$C$29,2,0)&amp;"+"&amp;Q308&amp;IF(R308=0,"",","&amp;VLOOKUP(R308,定义数据!$B$14:$C$29,2,0)&amp;"+"&amp;S308)&amp;IF(T308=0,"",","&amp;VLOOKUP(T308,定义数据!$B$14:$C$29,2,0)&amp;"+"&amp;U308)</f>
        <v>生命+7804,防御+62</v>
      </c>
      <c r="H308">
        <v>0</v>
      </c>
      <c r="I308">
        <f t="shared" si="48"/>
        <v>16</v>
      </c>
      <c r="J308">
        <f>IF(ISERROR(VLOOKUP(D308,命格辅助表!$I$76:$N$86,D_命格表!E308+2,0)),0,VLOOKUP(D308,命格辅助表!$I$76:$N$86,D_命格表!E308+2,0))</f>
        <v>640</v>
      </c>
      <c r="K308">
        <f>IF(ISERROR(VLOOKUP(D308,命格辅助表!$P$76:$U$86,E308+2,0)),0,VLOOKUP(D308,命格辅助表!$P$76:$U$86,E308+2,0))</f>
        <v>480</v>
      </c>
      <c r="L308">
        <v>0</v>
      </c>
      <c r="M308">
        <v>0</v>
      </c>
      <c r="N308">
        <v>8440</v>
      </c>
      <c r="O308">
        <f t="shared" si="44"/>
        <v>2</v>
      </c>
      <c r="P308">
        <f t="shared" si="49"/>
        <v>1</v>
      </c>
      <c r="Q308">
        <f>ROUND((VLOOKUP($A308,命格属性表,13,0)+VLOOKUP($A308,命格属性表,20,0)*($D308-1))*IF(P308&gt;9,1,VLOOKUP(D308,命格辅助表!$S$3:$U$10,3,0)),0)</f>
        <v>7804</v>
      </c>
      <c r="R308">
        <f t="shared" si="50"/>
        <v>3</v>
      </c>
      <c r="S308">
        <f>ROUND(IF(R308=0,0,VLOOKUP($A308,命格属性表,15,0)+VLOOKUP($A308,命格属性表,22,0)*($D308-1))*IF(R308&gt;9,1,VLOOKUP(D308,命格辅助表!$S$3:$U$10,3,0)),0)</f>
        <v>62</v>
      </c>
      <c r="T308">
        <f t="shared" si="51"/>
        <v>0</v>
      </c>
      <c r="U308">
        <f t="shared" si="45"/>
        <v>0</v>
      </c>
    </row>
    <row r="309" spans="1:21">
      <c r="A309">
        <v>9640</v>
      </c>
      <c r="B309" t="str">
        <f t="shared" si="46"/>
        <v>剎那</v>
      </c>
      <c r="C309">
        <f t="shared" si="47"/>
        <v>16</v>
      </c>
      <c r="D309">
        <v>3</v>
      </c>
      <c r="E309">
        <v>3</v>
      </c>
      <c r="F309">
        <v>10</v>
      </c>
      <c r="G309" t="str">
        <f>VLOOKUP(P309,定义数据!$B$14:$C$29,2,0)&amp;"+"&amp;Q309&amp;IF(R309=0,"",","&amp;VLOOKUP(R309,定义数据!$B$14:$C$29,2,0)&amp;"+"&amp;S309)&amp;IF(T309=0,"",","&amp;VLOOKUP(T309,定义数据!$B$14:$C$29,2,0)&amp;"+"&amp;U309)</f>
        <v>生命+11705,防御+93</v>
      </c>
      <c r="H309">
        <v>0</v>
      </c>
      <c r="I309">
        <f t="shared" si="48"/>
        <v>16</v>
      </c>
      <c r="J309">
        <f>IF(ISERROR(VLOOKUP(D309,命格辅助表!$I$76:$N$86,D_命格表!E309+2,0)),0,VLOOKUP(D309,命格辅助表!$I$76:$N$86,D_命格表!E309+2,0))</f>
        <v>1280</v>
      </c>
      <c r="K309">
        <f>IF(ISERROR(VLOOKUP(D309,命格辅助表!$P$76:$U$86,E309+2,0)),0,VLOOKUP(D309,命格辅助表!$P$76:$U$86,E309+2,0))</f>
        <v>1120</v>
      </c>
      <c r="L309">
        <v>0</v>
      </c>
      <c r="M309">
        <v>0</v>
      </c>
      <c r="N309">
        <v>8440</v>
      </c>
      <c r="O309">
        <f t="shared" si="44"/>
        <v>2</v>
      </c>
      <c r="P309">
        <f t="shared" si="49"/>
        <v>1</v>
      </c>
      <c r="Q309">
        <f>ROUND((VLOOKUP($A309,命格属性表,13,0)+VLOOKUP($A309,命格属性表,20,0)*($D309-1))*IF(P309&gt;9,1,VLOOKUP(D309,命格辅助表!$S$3:$U$10,3,0)),0)</f>
        <v>11705</v>
      </c>
      <c r="R309">
        <f t="shared" si="50"/>
        <v>3</v>
      </c>
      <c r="S309">
        <f>ROUND(IF(R309=0,0,VLOOKUP($A309,命格属性表,15,0)+VLOOKUP($A309,命格属性表,22,0)*($D309-1))*IF(R309&gt;9,1,VLOOKUP(D309,命格辅助表!$S$3:$U$10,3,0)),0)</f>
        <v>93</v>
      </c>
      <c r="T309">
        <f t="shared" si="51"/>
        <v>0</v>
      </c>
      <c r="U309">
        <f t="shared" si="45"/>
        <v>0</v>
      </c>
    </row>
    <row r="310" spans="1:21">
      <c r="A310">
        <v>9640</v>
      </c>
      <c r="B310" t="str">
        <f t="shared" si="46"/>
        <v>剎那</v>
      </c>
      <c r="C310">
        <f t="shared" si="47"/>
        <v>16</v>
      </c>
      <c r="D310">
        <v>4</v>
      </c>
      <c r="E310">
        <v>3</v>
      </c>
      <c r="F310">
        <v>10</v>
      </c>
      <c r="G310" t="str">
        <f>VLOOKUP(P310,定义数据!$B$14:$C$29,2,0)&amp;"+"&amp;Q310&amp;IF(R310=0,"",","&amp;VLOOKUP(R310,定义数据!$B$14:$C$29,2,0)&amp;"+"&amp;S310)&amp;IF(T310=0,"",","&amp;VLOOKUP(T310,定义数据!$B$14:$C$29,2,0)&amp;"+"&amp;U310)</f>
        <v>生命+17558,防御+139</v>
      </c>
      <c r="H310">
        <v>0</v>
      </c>
      <c r="I310">
        <f t="shared" si="48"/>
        <v>16</v>
      </c>
      <c r="J310">
        <f>IF(ISERROR(VLOOKUP(D310,命格辅助表!$I$76:$N$86,D_命格表!E310+2,0)),0,VLOOKUP(D310,命格辅助表!$I$76:$N$86,D_命格表!E310+2,0))</f>
        <v>2560</v>
      </c>
      <c r="K310">
        <f>IF(ISERROR(VLOOKUP(D310,命格辅助表!$P$76:$U$86,E310+2,0)),0,VLOOKUP(D310,命格辅助表!$P$76:$U$86,E310+2,0))</f>
        <v>2400</v>
      </c>
      <c r="L310">
        <v>0</v>
      </c>
      <c r="M310">
        <v>0</v>
      </c>
      <c r="N310">
        <v>8440</v>
      </c>
      <c r="O310">
        <f t="shared" si="44"/>
        <v>2</v>
      </c>
      <c r="P310">
        <f t="shared" si="49"/>
        <v>1</v>
      </c>
      <c r="Q310">
        <f>ROUND((VLOOKUP($A310,命格属性表,13,0)+VLOOKUP($A310,命格属性表,20,0)*($D310-1))*IF(P310&gt;9,1,VLOOKUP(D310,命格辅助表!$S$3:$U$10,3,0)),0)</f>
        <v>17558</v>
      </c>
      <c r="R310">
        <f t="shared" si="50"/>
        <v>3</v>
      </c>
      <c r="S310">
        <f>ROUND(IF(R310=0,0,VLOOKUP($A310,命格属性表,15,0)+VLOOKUP($A310,命格属性表,22,0)*($D310-1))*IF(R310&gt;9,1,VLOOKUP(D310,命格辅助表!$S$3:$U$10,3,0)),0)</f>
        <v>139</v>
      </c>
      <c r="T310">
        <f t="shared" si="51"/>
        <v>0</v>
      </c>
      <c r="U310">
        <f t="shared" si="45"/>
        <v>0</v>
      </c>
    </row>
    <row r="311" spans="1:21">
      <c r="A311">
        <v>9640</v>
      </c>
      <c r="B311" t="str">
        <f t="shared" si="46"/>
        <v>剎那</v>
      </c>
      <c r="C311">
        <f t="shared" si="47"/>
        <v>16</v>
      </c>
      <c r="D311">
        <v>5</v>
      </c>
      <c r="E311">
        <v>3</v>
      </c>
      <c r="F311">
        <v>10</v>
      </c>
      <c r="G311" t="str">
        <f>VLOOKUP(P311,定义数据!$B$14:$C$29,2,0)&amp;"+"&amp;Q311&amp;IF(R311=0,"",","&amp;VLOOKUP(R311,定义数据!$B$14:$C$29,2,0)&amp;"+"&amp;S311)&amp;IF(T311=0,"",","&amp;VLOOKUP(T311,定义数据!$B$14:$C$29,2,0)&amp;"+"&amp;U311)</f>
        <v>生命+26337,防御+209</v>
      </c>
      <c r="H311">
        <v>0</v>
      </c>
      <c r="I311">
        <f t="shared" si="48"/>
        <v>16</v>
      </c>
      <c r="J311">
        <f>IF(ISERROR(VLOOKUP(D311,命格辅助表!$I$76:$N$86,D_命格表!E311+2,0)),0,VLOOKUP(D311,命格辅助表!$I$76:$N$86,D_命格表!E311+2,0))</f>
        <v>5120</v>
      </c>
      <c r="K311">
        <f>IF(ISERROR(VLOOKUP(D311,命格辅助表!$P$76:$U$86,E311+2,0)),0,VLOOKUP(D311,命格辅助表!$P$76:$U$86,E311+2,0))</f>
        <v>4960</v>
      </c>
      <c r="L311">
        <v>0</v>
      </c>
      <c r="M311">
        <v>0</v>
      </c>
      <c r="N311">
        <v>8440</v>
      </c>
      <c r="O311">
        <f t="shared" si="44"/>
        <v>2</v>
      </c>
      <c r="P311">
        <f t="shared" si="49"/>
        <v>1</v>
      </c>
      <c r="Q311">
        <f>ROUND((VLOOKUP($A311,命格属性表,13,0)+VLOOKUP($A311,命格属性表,20,0)*($D311-1))*IF(P311&gt;9,1,VLOOKUP(D311,命格辅助表!$S$3:$U$10,3,0)),0)</f>
        <v>26337</v>
      </c>
      <c r="R311">
        <f t="shared" si="50"/>
        <v>3</v>
      </c>
      <c r="S311">
        <f>ROUND(IF(R311=0,0,VLOOKUP($A311,命格属性表,15,0)+VLOOKUP($A311,命格属性表,22,0)*($D311-1))*IF(R311&gt;9,1,VLOOKUP(D311,命格辅助表!$S$3:$U$10,3,0)),0)</f>
        <v>209</v>
      </c>
      <c r="T311">
        <f t="shared" si="51"/>
        <v>0</v>
      </c>
      <c r="U311">
        <f t="shared" si="45"/>
        <v>0</v>
      </c>
    </row>
    <row r="312" spans="1:21">
      <c r="A312">
        <v>9640</v>
      </c>
      <c r="B312" t="str">
        <f t="shared" si="46"/>
        <v>剎那</v>
      </c>
      <c r="C312">
        <f t="shared" si="47"/>
        <v>16</v>
      </c>
      <c r="D312">
        <v>6</v>
      </c>
      <c r="E312">
        <v>3</v>
      </c>
      <c r="F312">
        <v>10</v>
      </c>
      <c r="G312" t="str">
        <f>VLOOKUP(P312,定义数据!$B$14:$C$29,2,0)&amp;"+"&amp;Q312&amp;IF(R312=0,"",","&amp;VLOOKUP(R312,定义数据!$B$14:$C$29,2,0)&amp;"+"&amp;S312)&amp;IF(T312=0,"",","&amp;VLOOKUP(T312,定义数据!$B$14:$C$29,2,0)&amp;"+"&amp;U312)</f>
        <v>生命+39506,防御+313</v>
      </c>
      <c r="H312">
        <v>0</v>
      </c>
      <c r="I312">
        <f t="shared" si="48"/>
        <v>16</v>
      </c>
      <c r="J312">
        <f>IF(ISERROR(VLOOKUP(D312,命格辅助表!$I$76:$N$86,D_命格表!E312+2,0)),0,VLOOKUP(D312,命格辅助表!$I$76:$N$86,D_命格表!E312+2,0))</f>
        <v>10240</v>
      </c>
      <c r="K312">
        <f>IF(ISERROR(VLOOKUP(D312,命格辅助表!$P$76:$U$86,E312+2,0)),0,VLOOKUP(D312,命格辅助表!$P$76:$U$86,E312+2,0))</f>
        <v>10080</v>
      </c>
      <c r="L312">
        <v>0</v>
      </c>
      <c r="M312">
        <v>0</v>
      </c>
      <c r="N312">
        <v>8440</v>
      </c>
      <c r="O312">
        <f t="shared" si="44"/>
        <v>2</v>
      </c>
      <c r="P312">
        <f t="shared" si="49"/>
        <v>1</v>
      </c>
      <c r="Q312">
        <f>ROUND((VLOOKUP($A312,命格属性表,13,0)+VLOOKUP($A312,命格属性表,20,0)*($D312-1))*IF(P312&gt;9,1,VLOOKUP(D312,命格辅助表!$S$3:$U$10,3,0)),0)</f>
        <v>39506</v>
      </c>
      <c r="R312">
        <f t="shared" si="50"/>
        <v>3</v>
      </c>
      <c r="S312">
        <f>ROUND(IF(R312=0,0,VLOOKUP($A312,命格属性表,15,0)+VLOOKUP($A312,命格属性表,22,0)*($D312-1))*IF(R312&gt;9,1,VLOOKUP(D312,命格辅助表!$S$3:$U$10,3,0)),0)</f>
        <v>313</v>
      </c>
      <c r="T312">
        <f t="shared" si="51"/>
        <v>0</v>
      </c>
      <c r="U312">
        <f t="shared" si="45"/>
        <v>0</v>
      </c>
    </row>
    <row r="313" spans="1:21">
      <c r="A313">
        <v>9640</v>
      </c>
      <c r="B313" t="str">
        <f t="shared" si="46"/>
        <v>剎那</v>
      </c>
      <c r="C313">
        <f t="shared" si="47"/>
        <v>16</v>
      </c>
      <c r="D313">
        <v>7</v>
      </c>
      <c r="E313">
        <v>3</v>
      </c>
      <c r="F313">
        <v>10</v>
      </c>
      <c r="G313" t="str">
        <f>VLOOKUP(P313,定义数据!$B$14:$C$29,2,0)&amp;"+"&amp;Q313&amp;IF(R313=0,"",","&amp;VLOOKUP(R313,定义数据!$B$14:$C$29,2,0)&amp;"+"&amp;S313)&amp;IF(T313=0,"",","&amp;VLOOKUP(T313,定义数据!$B$14:$C$29,2,0)&amp;"+"&amp;U313)</f>
        <v>生命+59259,防御+469</v>
      </c>
      <c r="H313">
        <v>0</v>
      </c>
      <c r="I313">
        <f t="shared" si="48"/>
        <v>16</v>
      </c>
      <c r="J313">
        <f>IF(ISERROR(VLOOKUP(D313,命格辅助表!$I$76:$N$86,D_命格表!E313+2,0)),0,VLOOKUP(D313,命格辅助表!$I$76:$N$86,D_命格表!E313+2,0))</f>
        <v>20480</v>
      </c>
      <c r="K313">
        <f>IF(ISERROR(VLOOKUP(D313,命格辅助表!$P$76:$U$86,E313+2,0)),0,VLOOKUP(D313,命格辅助表!$P$76:$U$86,E313+2,0))</f>
        <v>20320</v>
      </c>
      <c r="L313">
        <v>0</v>
      </c>
      <c r="M313">
        <v>0</v>
      </c>
      <c r="N313">
        <v>8440</v>
      </c>
      <c r="O313">
        <f t="shared" si="44"/>
        <v>2</v>
      </c>
      <c r="P313">
        <f t="shared" si="49"/>
        <v>1</v>
      </c>
      <c r="Q313">
        <f>ROUND((VLOOKUP($A313,命格属性表,13,0)+VLOOKUP($A313,命格属性表,20,0)*($D313-1))*IF(P313&gt;9,1,VLOOKUP(D313,命格辅助表!$S$3:$U$10,3,0)),0)</f>
        <v>59259</v>
      </c>
      <c r="R313">
        <f t="shared" si="50"/>
        <v>3</v>
      </c>
      <c r="S313">
        <f>ROUND(IF(R313=0,0,VLOOKUP($A313,命格属性表,15,0)+VLOOKUP($A313,命格属性表,22,0)*($D313-1))*IF(R313&gt;9,1,VLOOKUP(D313,命格辅助表!$S$3:$U$10,3,0)),0)</f>
        <v>469</v>
      </c>
      <c r="T313">
        <f t="shared" si="51"/>
        <v>0</v>
      </c>
      <c r="U313">
        <f t="shared" si="45"/>
        <v>0</v>
      </c>
    </row>
    <row r="314" spans="1:21">
      <c r="A314">
        <v>9640</v>
      </c>
      <c r="B314" t="str">
        <f t="shared" si="46"/>
        <v>剎那</v>
      </c>
      <c r="C314">
        <f t="shared" si="47"/>
        <v>16</v>
      </c>
      <c r="D314">
        <v>8</v>
      </c>
      <c r="E314">
        <v>3</v>
      </c>
      <c r="F314">
        <v>10</v>
      </c>
      <c r="G314" t="str">
        <f>VLOOKUP(P314,定义数据!$B$14:$C$29,2,0)&amp;"+"&amp;Q314&amp;IF(R314=0,"",","&amp;VLOOKUP(R314,定义数据!$B$14:$C$29,2,0)&amp;"+"&amp;S314)&amp;IF(T314=0,"",","&amp;VLOOKUP(T314,定义数据!$B$14:$C$29,2,0)&amp;"+"&amp;U314)</f>
        <v>生命+88888,防御+704</v>
      </c>
      <c r="H314">
        <v>0</v>
      </c>
      <c r="I314">
        <f t="shared" si="48"/>
        <v>16</v>
      </c>
      <c r="J314">
        <f>IF(ISERROR(VLOOKUP(D314,命格辅助表!$I$76:$N$86,D_命格表!E314+2,0)),0,VLOOKUP(D314,命格辅助表!$I$76:$N$86,D_命格表!E314+2,0))</f>
        <v>40960</v>
      </c>
      <c r="K314">
        <f>IF(ISERROR(VLOOKUP(D314,命格辅助表!$P$76:$U$86,E314+2,0)),0,VLOOKUP(D314,命格辅助表!$P$76:$U$86,E314+2,0))</f>
        <v>40800</v>
      </c>
      <c r="L314">
        <f>IF(ISERROR(VLOOKUP(D314,命格辅助表!$I$76:$N$86,D_命格表!E314+2,0)),0,VLOOKUP(D314,命格辅助表!$I$76:$N$86,D_命格表!E314+2,0))</f>
        <v>40960</v>
      </c>
      <c r="M314">
        <f>A314+10</f>
        <v>9650</v>
      </c>
      <c r="N314">
        <v>8440</v>
      </c>
      <c r="O314">
        <f t="shared" si="44"/>
        <v>2</v>
      </c>
      <c r="P314">
        <f t="shared" si="49"/>
        <v>1</v>
      </c>
      <c r="Q314">
        <f>ROUND((VLOOKUP($A314,命格属性表,13,0)+VLOOKUP($A314,命格属性表,20,0)*($D314-1))*IF(P314&gt;9,1,VLOOKUP(D314,命格辅助表!$S$3:$U$10,3,0)),0)</f>
        <v>88888</v>
      </c>
      <c r="R314">
        <f t="shared" si="50"/>
        <v>3</v>
      </c>
      <c r="S314">
        <f>ROUND(IF(R314=0,0,VLOOKUP($A314,命格属性表,15,0)+VLOOKUP($A314,命格属性表,22,0)*($D314-1))*IF(R314&gt;9,1,VLOOKUP(D314,命格辅助表!$S$3:$U$10,3,0)),0)</f>
        <v>704</v>
      </c>
      <c r="T314">
        <f t="shared" si="51"/>
        <v>0</v>
      </c>
      <c r="U314">
        <f t="shared" si="45"/>
        <v>0</v>
      </c>
    </row>
    <row r="315" spans="1:21">
      <c r="A315">
        <v>9740</v>
      </c>
      <c r="B315" t="str">
        <f t="shared" si="46"/>
        <v>咆哮</v>
      </c>
      <c r="C315">
        <f t="shared" si="47"/>
        <v>17</v>
      </c>
      <c r="D315">
        <v>1</v>
      </c>
      <c r="E315">
        <v>3</v>
      </c>
      <c r="F315">
        <v>10</v>
      </c>
      <c r="G315" t="str">
        <f>VLOOKUP(P315,定义数据!$B$14:$C$29,2,0)&amp;"+"&amp;Q315&amp;IF(R315=0,"",","&amp;VLOOKUP(R315,定义数据!$B$14:$C$29,2,0)&amp;"+"&amp;S315)&amp;IF(T315=0,"",","&amp;VLOOKUP(T315,定义数据!$B$14:$C$29,2,0)&amp;"+"&amp;U315)</f>
        <v>攻击+208,防御+41</v>
      </c>
      <c r="H315">
        <v>0</v>
      </c>
      <c r="I315">
        <f t="shared" si="48"/>
        <v>17</v>
      </c>
      <c r="J315">
        <f>IF(ISERROR(VLOOKUP(D315,命格辅助表!$I$76:$N$86,D_命格表!E315+2,0)),0,VLOOKUP(D315,命格辅助表!$I$76:$N$86,D_命格表!E315+2,0))</f>
        <v>320</v>
      </c>
      <c r="K315">
        <f>IF(ISERROR(VLOOKUP(D315,命格辅助表!$P$76:$U$86,E315+2,0)),0,VLOOKUP(D315,命格辅助表!$P$76:$U$86,E315+2,0))</f>
        <v>160</v>
      </c>
      <c r="L315">
        <v>0</v>
      </c>
      <c r="M315">
        <v>0</v>
      </c>
      <c r="N315">
        <v>8140</v>
      </c>
      <c r="O315">
        <f t="shared" si="44"/>
        <v>2</v>
      </c>
      <c r="P315">
        <f t="shared" si="49"/>
        <v>2</v>
      </c>
      <c r="Q315">
        <f>ROUND((VLOOKUP($A315,命格属性表,13,0)+VLOOKUP($A315,命格属性表,20,0)*($D315-1))*IF(P315&gt;9,1,VLOOKUP(D315,命格辅助表!$S$3:$U$10,3,0)),0)</f>
        <v>208</v>
      </c>
      <c r="R315">
        <f t="shared" si="50"/>
        <v>3</v>
      </c>
      <c r="S315">
        <f>ROUND(IF(R315=0,0,VLOOKUP($A315,命格属性表,15,0)+VLOOKUP($A315,命格属性表,22,0)*($D315-1))*IF(R315&gt;9,1,VLOOKUP(D315,命格辅助表!$S$3:$U$10,3,0)),0)</f>
        <v>41</v>
      </c>
      <c r="T315">
        <f t="shared" si="51"/>
        <v>0</v>
      </c>
      <c r="U315">
        <f t="shared" si="45"/>
        <v>0</v>
      </c>
    </row>
    <row r="316" spans="1:21">
      <c r="A316">
        <v>9740</v>
      </c>
      <c r="B316" t="str">
        <f t="shared" si="46"/>
        <v>咆哮</v>
      </c>
      <c r="C316">
        <f t="shared" si="47"/>
        <v>17</v>
      </c>
      <c r="D316">
        <v>2</v>
      </c>
      <c r="E316">
        <v>3</v>
      </c>
      <c r="F316">
        <v>10</v>
      </c>
      <c r="G316" t="str">
        <f>VLOOKUP(P316,定义数据!$B$14:$C$29,2,0)&amp;"+"&amp;Q316&amp;IF(R316=0,"",","&amp;VLOOKUP(R316,定义数据!$B$14:$C$29,2,0)&amp;"+"&amp;S316)&amp;IF(T316=0,"",","&amp;VLOOKUP(T316,定义数据!$B$14:$C$29,2,0)&amp;"+"&amp;U316)</f>
        <v>攻击+312,防御+62</v>
      </c>
      <c r="H316">
        <v>0</v>
      </c>
      <c r="I316">
        <f t="shared" si="48"/>
        <v>17</v>
      </c>
      <c r="J316">
        <f>IF(ISERROR(VLOOKUP(D316,命格辅助表!$I$76:$N$86,D_命格表!E316+2,0)),0,VLOOKUP(D316,命格辅助表!$I$76:$N$86,D_命格表!E316+2,0))</f>
        <v>640</v>
      </c>
      <c r="K316">
        <f>IF(ISERROR(VLOOKUP(D316,命格辅助表!$P$76:$U$86,E316+2,0)),0,VLOOKUP(D316,命格辅助表!$P$76:$U$86,E316+2,0))</f>
        <v>480</v>
      </c>
      <c r="L316">
        <v>0</v>
      </c>
      <c r="M316">
        <v>0</v>
      </c>
      <c r="N316">
        <v>8140</v>
      </c>
      <c r="O316">
        <f t="shared" ref="O316:O379" si="52">COUNTIF(P316:U316,"&gt;0")/2</f>
        <v>2</v>
      </c>
      <c r="P316">
        <f t="shared" si="49"/>
        <v>2</v>
      </c>
      <c r="Q316">
        <f>ROUND((VLOOKUP($A316,命格属性表,13,0)+VLOOKUP($A316,命格属性表,20,0)*($D316-1))*IF(P316&gt;9,1,VLOOKUP(D316,命格辅助表!$S$3:$U$10,3,0)),0)</f>
        <v>312</v>
      </c>
      <c r="R316">
        <f t="shared" si="50"/>
        <v>3</v>
      </c>
      <c r="S316">
        <f>ROUND(IF(R316=0,0,VLOOKUP($A316,命格属性表,15,0)+VLOOKUP($A316,命格属性表,22,0)*($D316-1))*IF(R316&gt;9,1,VLOOKUP(D316,命格辅助表!$S$3:$U$10,3,0)),0)</f>
        <v>62</v>
      </c>
      <c r="T316">
        <f t="shared" si="51"/>
        <v>0</v>
      </c>
      <c r="U316">
        <f t="shared" si="45"/>
        <v>0</v>
      </c>
    </row>
    <row r="317" spans="1:21">
      <c r="A317">
        <v>9740</v>
      </c>
      <c r="B317" t="str">
        <f t="shared" si="46"/>
        <v>咆哮</v>
      </c>
      <c r="C317">
        <f t="shared" si="47"/>
        <v>17</v>
      </c>
      <c r="D317">
        <v>3</v>
      </c>
      <c r="E317">
        <v>3</v>
      </c>
      <c r="F317">
        <v>10</v>
      </c>
      <c r="G317" t="str">
        <f>VLOOKUP(P317,定义数据!$B$14:$C$29,2,0)&amp;"+"&amp;Q317&amp;IF(R317=0,"",","&amp;VLOOKUP(R317,定义数据!$B$14:$C$29,2,0)&amp;"+"&amp;S317)&amp;IF(T317=0,"",","&amp;VLOOKUP(T317,定义数据!$B$14:$C$29,2,0)&amp;"+"&amp;U317)</f>
        <v>攻击+468,防御+93</v>
      </c>
      <c r="H317">
        <v>0</v>
      </c>
      <c r="I317">
        <f t="shared" si="48"/>
        <v>17</v>
      </c>
      <c r="J317">
        <f>IF(ISERROR(VLOOKUP(D317,命格辅助表!$I$76:$N$86,D_命格表!E317+2,0)),0,VLOOKUP(D317,命格辅助表!$I$76:$N$86,D_命格表!E317+2,0))</f>
        <v>1280</v>
      </c>
      <c r="K317">
        <f>IF(ISERROR(VLOOKUP(D317,命格辅助表!$P$76:$U$86,E317+2,0)),0,VLOOKUP(D317,命格辅助表!$P$76:$U$86,E317+2,0))</f>
        <v>1120</v>
      </c>
      <c r="L317">
        <v>0</v>
      </c>
      <c r="M317">
        <v>0</v>
      </c>
      <c r="N317">
        <v>8140</v>
      </c>
      <c r="O317">
        <f t="shared" si="52"/>
        <v>2</v>
      </c>
      <c r="P317">
        <f t="shared" si="49"/>
        <v>2</v>
      </c>
      <c r="Q317">
        <f>ROUND((VLOOKUP($A317,命格属性表,13,0)+VLOOKUP($A317,命格属性表,20,0)*($D317-1))*IF(P317&gt;9,1,VLOOKUP(D317,命格辅助表!$S$3:$U$10,3,0)),0)</f>
        <v>468</v>
      </c>
      <c r="R317">
        <f t="shared" si="50"/>
        <v>3</v>
      </c>
      <c r="S317">
        <f>ROUND(IF(R317=0,0,VLOOKUP($A317,命格属性表,15,0)+VLOOKUP($A317,命格属性表,22,0)*($D317-1))*IF(R317&gt;9,1,VLOOKUP(D317,命格辅助表!$S$3:$U$10,3,0)),0)</f>
        <v>93</v>
      </c>
      <c r="T317">
        <f t="shared" si="51"/>
        <v>0</v>
      </c>
      <c r="U317">
        <f t="shared" si="45"/>
        <v>0</v>
      </c>
    </row>
    <row r="318" spans="1:21">
      <c r="A318">
        <v>9740</v>
      </c>
      <c r="B318" t="str">
        <f t="shared" si="46"/>
        <v>咆哮</v>
      </c>
      <c r="C318">
        <f t="shared" si="47"/>
        <v>17</v>
      </c>
      <c r="D318">
        <v>4</v>
      </c>
      <c r="E318">
        <v>3</v>
      </c>
      <c r="F318">
        <v>10</v>
      </c>
      <c r="G318" t="str">
        <f>VLOOKUP(P318,定义数据!$B$14:$C$29,2,0)&amp;"+"&amp;Q318&amp;IF(R318=0,"",","&amp;VLOOKUP(R318,定义数据!$B$14:$C$29,2,0)&amp;"+"&amp;S318)&amp;IF(T318=0,"",","&amp;VLOOKUP(T318,定义数据!$B$14:$C$29,2,0)&amp;"+"&amp;U318)</f>
        <v>攻击+702,防御+139</v>
      </c>
      <c r="H318">
        <v>0</v>
      </c>
      <c r="I318">
        <f t="shared" si="48"/>
        <v>17</v>
      </c>
      <c r="J318">
        <f>IF(ISERROR(VLOOKUP(D318,命格辅助表!$I$76:$N$86,D_命格表!E318+2,0)),0,VLOOKUP(D318,命格辅助表!$I$76:$N$86,D_命格表!E318+2,0))</f>
        <v>2560</v>
      </c>
      <c r="K318">
        <f>IF(ISERROR(VLOOKUP(D318,命格辅助表!$P$76:$U$86,E318+2,0)),0,VLOOKUP(D318,命格辅助表!$P$76:$U$86,E318+2,0))</f>
        <v>2400</v>
      </c>
      <c r="L318">
        <v>0</v>
      </c>
      <c r="M318">
        <v>0</v>
      </c>
      <c r="N318">
        <v>8140</v>
      </c>
      <c r="O318">
        <f t="shared" si="52"/>
        <v>2</v>
      </c>
      <c r="P318">
        <f t="shared" si="49"/>
        <v>2</v>
      </c>
      <c r="Q318">
        <f>ROUND((VLOOKUP($A318,命格属性表,13,0)+VLOOKUP($A318,命格属性表,20,0)*($D318-1))*IF(P318&gt;9,1,VLOOKUP(D318,命格辅助表!$S$3:$U$10,3,0)),0)</f>
        <v>702</v>
      </c>
      <c r="R318">
        <f t="shared" si="50"/>
        <v>3</v>
      </c>
      <c r="S318">
        <f>ROUND(IF(R318=0,0,VLOOKUP($A318,命格属性表,15,0)+VLOOKUP($A318,命格属性表,22,0)*($D318-1))*IF(R318&gt;9,1,VLOOKUP(D318,命格辅助表!$S$3:$U$10,3,0)),0)</f>
        <v>139</v>
      </c>
      <c r="T318">
        <f t="shared" si="51"/>
        <v>0</v>
      </c>
      <c r="U318">
        <f t="shared" si="45"/>
        <v>0</v>
      </c>
    </row>
    <row r="319" spans="1:21">
      <c r="A319">
        <v>9740</v>
      </c>
      <c r="B319" t="str">
        <f t="shared" si="46"/>
        <v>咆哮</v>
      </c>
      <c r="C319">
        <f t="shared" si="47"/>
        <v>17</v>
      </c>
      <c r="D319">
        <v>5</v>
      </c>
      <c r="E319">
        <v>3</v>
      </c>
      <c r="F319">
        <v>10</v>
      </c>
      <c r="G319" t="str">
        <f>VLOOKUP(P319,定义数据!$B$14:$C$29,2,0)&amp;"+"&amp;Q319&amp;IF(R319=0,"",","&amp;VLOOKUP(R319,定义数据!$B$14:$C$29,2,0)&amp;"+"&amp;S319)&amp;IF(T319=0,"",","&amp;VLOOKUP(T319,定义数据!$B$14:$C$29,2,0)&amp;"+"&amp;U319)</f>
        <v>攻击+1052,防御+209</v>
      </c>
      <c r="H319">
        <v>0</v>
      </c>
      <c r="I319">
        <f t="shared" si="48"/>
        <v>17</v>
      </c>
      <c r="J319">
        <f>IF(ISERROR(VLOOKUP(D319,命格辅助表!$I$76:$N$86,D_命格表!E319+2,0)),0,VLOOKUP(D319,命格辅助表!$I$76:$N$86,D_命格表!E319+2,0))</f>
        <v>5120</v>
      </c>
      <c r="K319">
        <f>IF(ISERROR(VLOOKUP(D319,命格辅助表!$P$76:$U$86,E319+2,0)),0,VLOOKUP(D319,命格辅助表!$P$76:$U$86,E319+2,0))</f>
        <v>4960</v>
      </c>
      <c r="L319">
        <v>0</v>
      </c>
      <c r="M319">
        <v>0</v>
      </c>
      <c r="N319">
        <v>8140</v>
      </c>
      <c r="O319">
        <f t="shared" si="52"/>
        <v>2</v>
      </c>
      <c r="P319">
        <f t="shared" si="49"/>
        <v>2</v>
      </c>
      <c r="Q319">
        <f>ROUND((VLOOKUP($A319,命格属性表,13,0)+VLOOKUP($A319,命格属性表,20,0)*($D319-1))*IF(P319&gt;9,1,VLOOKUP(D319,命格辅助表!$S$3:$U$10,3,0)),0)</f>
        <v>1052</v>
      </c>
      <c r="R319">
        <f t="shared" si="50"/>
        <v>3</v>
      </c>
      <c r="S319">
        <f>ROUND(IF(R319=0,0,VLOOKUP($A319,命格属性表,15,0)+VLOOKUP($A319,命格属性表,22,0)*($D319-1))*IF(R319&gt;9,1,VLOOKUP(D319,命格辅助表!$S$3:$U$10,3,0)),0)</f>
        <v>209</v>
      </c>
      <c r="T319">
        <f t="shared" si="51"/>
        <v>0</v>
      </c>
      <c r="U319">
        <f t="shared" si="45"/>
        <v>0</v>
      </c>
    </row>
    <row r="320" spans="1:21">
      <c r="A320">
        <v>9740</v>
      </c>
      <c r="B320" t="str">
        <f t="shared" si="46"/>
        <v>咆哮</v>
      </c>
      <c r="C320">
        <f t="shared" si="47"/>
        <v>17</v>
      </c>
      <c r="D320">
        <v>6</v>
      </c>
      <c r="E320">
        <v>3</v>
      </c>
      <c r="F320">
        <v>10</v>
      </c>
      <c r="G320" t="str">
        <f>VLOOKUP(P320,定义数据!$B$14:$C$29,2,0)&amp;"+"&amp;Q320&amp;IF(R320=0,"",","&amp;VLOOKUP(R320,定义数据!$B$14:$C$29,2,0)&amp;"+"&amp;S320)&amp;IF(T320=0,"",","&amp;VLOOKUP(T320,定义数据!$B$14:$C$29,2,0)&amp;"+"&amp;U320)</f>
        <v>攻击+1579,防御+313</v>
      </c>
      <c r="H320">
        <v>0</v>
      </c>
      <c r="I320">
        <f t="shared" si="48"/>
        <v>17</v>
      </c>
      <c r="J320">
        <f>IF(ISERROR(VLOOKUP(D320,命格辅助表!$I$76:$N$86,D_命格表!E320+2,0)),0,VLOOKUP(D320,命格辅助表!$I$76:$N$86,D_命格表!E320+2,0))</f>
        <v>10240</v>
      </c>
      <c r="K320">
        <f>IF(ISERROR(VLOOKUP(D320,命格辅助表!$P$76:$U$86,E320+2,0)),0,VLOOKUP(D320,命格辅助表!$P$76:$U$86,E320+2,0))</f>
        <v>10080</v>
      </c>
      <c r="L320">
        <v>0</v>
      </c>
      <c r="M320">
        <v>0</v>
      </c>
      <c r="N320">
        <v>8140</v>
      </c>
      <c r="O320">
        <f t="shared" si="52"/>
        <v>2</v>
      </c>
      <c r="P320">
        <f t="shared" si="49"/>
        <v>2</v>
      </c>
      <c r="Q320">
        <f>ROUND((VLOOKUP($A320,命格属性表,13,0)+VLOOKUP($A320,命格属性表,20,0)*($D320-1))*IF(P320&gt;9,1,VLOOKUP(D320,命格辅助表!$S$3:$U$10,3,0)),0)</f>
        <v>1579</v>
      </c>
      <c r="R320">
        <f t="shared" si="50"/>
        <v>3</v>
      </c>
      <c r="S320">
        <f>ROUND(IF(R320=0,0,VLOOKUP($A320,命格属性表,15,0)+VLOOKUP($A320,命格属性表,22,0)*($D320-1))*IF(R320&gt;9,1,VLOOKUP(D320,命格辅助表!$S$3:$U$10,3,0)),0)</f>
        <v>313</v>
      </c>
      <c r="T320">
        <f t="shared" si="51"/>
        <v>0</v>
      </c>
      <c r="U320">
        <f t="shared" si="45"/>
        <v>0</v>
      </c>
    </row>
    <row r="321" spans="1:21">
      <c r="A321">
        <v>9740</v>
      </c>
      <c r="B321" t="str">
        <f t="shared" si="46"/>
        <v>咆哮</v>
      </c>
      <c r="C321">
        <f t="shared" si="47"/>
        <v>17</v>
      </c>
      <c r="D321">
        <v>7</v>
      </c>
      <c r="E321">
        <v>3</v>
      </c>
      <c r="F321">
        <v>10</v>
      </c>
      <c r="G321" t="str">
        <f>VLOOKUP(P321,定义数据!$B$14:$C$29,2,0)&amp;"+"&amp;Q321&amp;IF(R321=0,"",","&amp;VLOOKUP(R321,定义数据!$B$14:$C$29,2,0)&amp;"+"&amp;S321)&amp;IF(T321=0,"",","&amp;VLOOKUP(T321,定义数据!$B$14:$C$29,2,0)&amp;"+"&amp;U321)</f>
        <v>攻击+2368,防御+469</v>
      </c>
      <c r="H321">
        <v>0</v>
      </c>
      <c r="I321">
        <f t="shared" si="48"/>
        <v>17</v>
      </c>
      <c r="J321">
        <f>IF(ISERROR(VLOOKUP(D321,命格辅助表!$I$76:$N$86,D_命格表!E321+2,0)),0,VLOOKUP(D321,命格辅助表!$I$76:$N$86,D_命格表!E321+2,0))</f>
        <v>20480</v>
      </c>
      <c r="K321">
        <f>IF(ISERROR(VLOOKUP(D321,命格辅助表!$P$76:$U$86,E321+2,0)),0,VLOOKUP(D321,命格辅助表!$P$76:$U$86,E321+2,0))</f>
        <v>20320</v>
      </c>
      <c r="L321">
        <v>0</v>
      </c>
      <c r="M321">
        <v>0</v>
      </c>
      <c r="N321">
        <v>8140</v>
      </c>
      <c r="O321">
        <f t="shared" si="52"/>
        <v>2</v>
      </c>
      <c r="P321">
        <f t="shared" si="49"/>
        <v>2</v>
      </c>
      <c r="Q321">
        <f>ROUND((VLOOKUP($A321,命格属性表,13,0)+VLOOKUP($A321,命格属性表,20,0)*($D321-1))*IF(P321&gt;9,1,VLOOKUP(D321,命格辅助表!$S$3:$U$10,3,0)),0)</f>
        <v>2368</v>
      </c>
      <c r="R321">
        <f t="shared" si="50"/>
        <v>3</v>
      </c>
      <c r="S321">
        <f>ROUND(IF(R321=0,0,VLOOKUP($A321,命格属性表,15,0)+VLOOKUP($A321,命格属性表,22,0)*($D321-1))*IF(R321&gt;9,1,VLOOKUP(D321,命格辅助表!$S$3:$U$10,3,0)),0)</f>
        <v>469</v>
      </c>
      <c r="T321">
        <f t="shared" si="51"/>
        <v>0</v>
      </c>
      <c r="U321">
        <f t="shared" si="45"/>
        <v>0</v>
      </c>
    </row>
    <row r="322" spans="1:21">
      <c r="A322">
        <v>9740</v>
      </c>
      <c r="B322" t="str">
        <f t="shared" si="46"/>
        <v>咆哮</v>
      </c>
      <c r="C322">
        <f t="shared" si="47"/>
        <v>17</v>
      </c>
      <c r="D322">
        <v>8</v>
      </c>
      <c r="E322">
        <v>3</v>
      </c>
      <c r="F322">
        <v>10</v>
      </c>
      <c r="G322" t="str">
        <f>VLOOKUP(P322,定义数据!$B$14:$C$29,2,0)&amp;"+"&amp;Q322&amp;IF(R322=0,"",","&amp;VLOOKUP(R322,定义数据!$B$14:$C$29,2,0)&amp;"+"&amp;S322)&amp;IF(T322=0,"",","&amp;VLOOKUP(T322,定义数据!$B$14:$C$29,2,0)&amp;"+"&amp;U322)</f>
        <v>攻击+3552,防御+704</v>
      </c>
      <c r="H322">
        <v>0</v>
      </c>
      <c r="I322">
        <f t="shared" si="48"/>
        <v>17</v>
      </c>
      <c r="J322">
        <f>IF(ISERROR(VLOOKUP(D322,命格辅助表!$I$76:$N$86,D_命格表!E322+2,0)),0,VLOOKUP(D322,命格辅助表!$I$76:$N$86,D_命格表!E322+2,0))</f>
        <v>40960</v>
      </c>
      <c r="K322">
        <f>IF(ISERROR(VLOOKUP(D322,命格辅助表!$P$76:$U$86,E322+2,0)),0,VLOOKUP(D322,命格辅助表!$P$76:$U$86,E322+2,0))</f>
        <v>40800</v>
      </c>
      <c r="L322">
        <f>IF(ISERROR(VLOOKUP(D322,命格辅助表!$I$76:$N$86,D_命格表!E322+2,0)),0,VLOOKUP(D322,命格辅助表!$I$76:$N$86,D_命格表!E322+2,0))</f>
        <v>40960</v>
      </c>
      <c r="M322">
        <f>A322+10</f>
        <v>9750</v>
      </c>
      <c r="N322">
        <v>8140</v>
      </c>
      <c r="O322">
        <f t="shared" si="52"/>
        <v>2</v>
      </c>
      <c r="P322">
        <f t="shared" si="49"/>
        <v>2</v>
      </c>
      <c r="Q322">
        <f>ROUND((VLOOKUP($A322,命格属性表,13,0)+VLOOKUP($A322,命格属性表,20,0)*($D322-1))*IF(P322&gt;9,1,VLOOKUP(D322,命格辅助表!$S$3:$U$10,3,0)),0)</f>
        <v>3552</v>
      </c>
      <c r="R322">
        <f t="shared" si="50"/>
        <v>3</v>
      </c>
      <c r="S322">
        <f>ROUND(IF(R322=0,0,VLOOKUP($A322,命格属性表,15,0)+VLOOKUP($A322,命格属性表,22,0)*($D322-1))*IF(R322&gt;9,1,VLOOKUP(D322,命格辅助表!$S$3:$U$10,3,0)),0)</f>
        <v>704</v>
      </c>
      <c r="T322">
        <f t="shared" si="51"/>
        <v>0</v>
      </c>
      <c r="U322">
        <f t="shared" ref="U322:U385" si="53">IF(T322=0,0,VLOOKUP($A322,命格属性表,17,0)+VLOOKUP($A322,命格属性表,24,0)*($D322-1))</f>
        <v>0</v>
      </c>
    </row>
    <row r="323" spans="1:21">
      <c r="A323">
        <v>9840</v>
      </c>
      <c r="B323" t="s">
        <v>330</v>
      </c>
      <c r="C323">
        <f t="shared" si="47"/>
        <v>18</v>
      </c>
      <c r="D323">
        <v>1</v>
      </c>
      <c r="E323">
        <v>3</v>
      </c>
      <c r="F323">
        <v>10</v>
      </c>
      <c r="G323" t="str">
        <f>VLOOKUP(P323,定义数据!$B$14:$C$29,2,0)&amp;"+"&amp;Q323&amp;IF(R323=0,"",","&amp;VLOOKUP(R323,定义数据!$B$14:$C$29,2,0)&amp;"+"&amp;S323)&amp;IF(T323=0,"",","&amp;VLOOKUP(T323,定义数据!$B$14:$C$29,2,0)&amp;"+"&amp;U323)</f>
        <v>暴击值+578</v>
      </c>
      <c r="H323">
        <v>0</v>
      </c>
      <c r="I323">
        <f t="shared" si="48"/>
        <v>18</v>
      </c>
      <c r="J323">
        <f>IF(ISERROR(VLOOKUP(D323,命格辅助表!$I$76:$N$86,D_命格表!E323+2,0)),0,VLOOKUP(D323,命格辅助表!$I$76:$N$86,D_命格表!E323+2,0))</f>
        <v>320</v>
      </c>
      <c r="K323">
        <f>IF(ISERROR(VLOOKUP(D323,命格辅助表!$P$76:$U$86,E323+2,0)),0,VLOOKUP(D323,命格辅助表!$P$76:$U$86,E323+2,0))</f>
        <v>160</v>
      </c>
      <c r="L323">
        <v>0</v>
      </c>
      <c r="M323">
        <v>0</v>
      </c>
      <c r="N323">
        <v>8240</v>
      </c>
      <c r="O323">
        <f t="shared" si="52"/>
        <v>1</v>
      </c>
      <c r="P323">
        <f t="shared" si="49"/>
        <v>8</v>
      </c>
      <c r="Q323">
        <f>ROUND((VLOOKUP($A323,命格属性表,13,0)+VLOOKUP($A323,命格属性表,20,0)*($D323-1))*IF(P323&gt;9,1,VLOOKUP(D323,命格辅助表!$S$3:$U$10,3,0)),0)</f>
        <v>578</v>
      </c>
      <c r="R323">
        <f t="shared" si="50"/>
        <v>0</v>
      </c>
      <c r="S323">
        <f>ROUND(IF(R323=0,0,VLOOKUP($A323,命格属性表,15,0)+VLOOKUP($A323,命格属性表,22,0)*($D323-1))*IF(R323&gt;9,1,VLOOKUP(D323,命格辅助表!$S$3:$U$10,3,0)),0)</f>
        <v>0</v>
      </c>
      <c r="T323">
        <f t="shared" si="51"/>
        <v>0</v>
      </c>
      <c r="U323">
        <f t="shared" si="53"/>
        <v>0</v>
      </c>
    </row>
    <row r="324" spans="1:21">
      <c r="A324">
        <v>9840</v>
      </c>
      <c r="B324" t="s">
        <v>330</v>
      </c>
      <c r="C324">
        <f t="shared" si="47"/>
        <v>18</v>
      </c>
      <c r="D324">
        <v>2</v>
      </c>
      <c r="E324">
        <v>3</v>
      </c>
      <c r="F324">
        <v>10</v>
      </c>
      <c r="G324" t="str">
        <f>VLOOKUP(P324,定义数据!$B$14:$C$29,2,0)&amp;"+"&amp;Q324&amp;IF(R324=0,"",","&amp;VLOOKUP(R324,定义数据!$B$14:$C$29,2,0)&amp;"+"&amp;S324)&amp;IF(T324=0,"",","&amp;VLOOKUP(T324,定义数据!$B$14:$C$29,2,0)&amp;"+"&amp;U324)</f>
        <v>暴击值+867</v>
      </c>
      <c r="H324">
        <v>0</v>
      </c>
      <c r="I324">
        <f t="shared" si="48"/>
        <v>18</v>
      </c>
      <c r="J324">
        <f>IF(ISERROR(VLOOKUP(D324,命格辅助表!$I$76:$N$86,D_命格表!E324+2,0)),0,VLOOKUP(D324,命格辅助表!$I$76:$N$86,D_命格表!E324+2,0))</f>
        <v>640</v>
      </c>
      <c r="K324">
        <f>IF(ISERROR(VLOOKUP(D324,命格辅助表!$P$76:$U$86,E324+2,0)),0,VLOOKUP(D324,命格辅助表!$P$76:$U$86,E324+2,0))</f>
        <v>480</v>
      </c>
      <c r="L324">
        <v>0</v>
      </c>
      <c r="M324">
        <v>0</v>
      </c>
      <c r="N324">
        <v>8240</v>
      </c>
      <c r="O324">
        <f t="shared" si="52"/>
        <v>1</v>
      </c>
      <c r="P324">
        <f t="shared" si="49"/>
        <v>8</v>
      </c>
      <c r="Q324">
        <f>ROUND((VLOOKUP($A324,命格属性表,13,0)+VLOOKUP($A324,命格属性表,20,0)*($D324-1))*IF(P324&gt;9,1,VLOOKUP(D324,命格辅助表!$S$3:$U$10,3,0)),0)</f>
        <v>867</v>
      </c>
      <c r="R324">
        <f t="shared" si="50"/>
        <v>0</v>
      </c>
      <c r="S324">
        <f>ROUND(IF(R324=0,0,VLOOKUP($A324,命格属性表,15,0)+VLOOKUP($A324,命格属性表,22,0)*($D324-1))*IF(R324&gt;9,1,VLOOKUP(D324,命格辅助表!$S$3:$U$10,3,0)),0)</f>
        <v>0</v>
      </c>
      <c r="T324">
        <f t="shared" si="51"/>
        <v>0</v>
      </c>
      <c r="U324">
        <f t="shared" si="53"/>
        <v>0</v>
      </c>
    </row>
    <row r="325" spans="1:21">
      <c r="A325">
        <v>9840</v>
      </c>
      <c r="B325" t="s">
        <v>330</v>
      </c>
      <c r="C325">
        <f t="shared" si="47"/>
        <v>18</v>
      </c>
      <c r="D325">
        <v>3</v>
      </c>
      <c r="E325">
        <v>3</v>
      </c>
      <c r="F325">
        <v>10</v>
      </c>
      <c r="G325" t="str">
        <f>VLOOKUP(P325,定义数据!$B$14:$C$29,2,0)&amp;"+"&amp;Q325&amp;IF(R325=0,"",","&amp;VLOOKUP(R325,定义数据!$B$14:$C$29,2,0)&amp;"+"&amp;S325)&amp;IF(T325=0,"",","&amp;VLOOKUP(T325,定义数据!$B$14:$C$29,2,0)&amp;"+"&amp;U325)</f>
        <v>暴击值+1301</v>
      </c>
      <c r="H325">
        <v>0</v>
      </c>
      <c r="I325">
        <f t="shared" si="48"/>
        <v>18</v>
      </c>
      <c r="J325">
        <f>IF(ISERROR(VLOOKUP(D325,命格辅助表!$I$76:$N$86,D_命格表!E325+2,0)),0,VLOOKUP(D325,命格辅助表!$I$76:$N$86,D_命格表!E325+2,0))</f>
        <v>1280</v>
      </c>
      <c r="K325">
        <f>IF(ISERROR(VLOOKUP(D325,命格辅助表!$P$76:$U$86,E325+2,0)),0,VLOOKUP(D325,命格辅助表!$P$76:$U$86,E325+2,0))</f>
        <v>1120</v>
      </c>
      <c r="L325">
        <v>0</v>
      </c>
      <c r="M325">
        <v>0</v>
      </c>
      <c r="N325">
        <v>8240</v>
      </c>
      <c r="O325">
        <f t="shared" si="52"/>
        <v>1</v>
      </c>
      <c r="P325">
        <f t="shared" si="49"/>
        <v>8</v>
      </c>
      <c r="Q325">
        <f>ROUND((VLOOKUP($A325,命格属性表,13,0)+VLOOKUP($A325,命格属性表,20,0)*($D325-1))*IF(P325&gt;9,1,VLOOKUP(D325,命格辅助表!$S$3:$U$10,3,0)),0)</f>
        <v>1301</v>
      </c>
      <c r="R325">
        <f t="shared" si="50"/>
        <v>0</v>
      </c>
      <c r="S325">
        <f>ROUND(IF(R325=0,0,VLOOKUP($A325,命格属性表,15,0)+VLOOKUP($A325,命格属性表,22,0)*($D325-1))*IF(R325&gt;9,1,VLOOKUP(D325,命格辅助表!$S$3:$U$10,3,0)),0)</f>
        <v>0</v>
      </c>
      <c r="T325">
        <f t="shared" si="51"/>
        <v>0</v>
      </c>
      <c r="U325">
        <f t="shared" si="53"/>
        <v>0</v>
      </c>
    </row>
    <row r="326" spans="1:21">
      <c r="A326">
        <v>9840</v>
      </c>
      <c r="B326" t="s">
        <v>330</v>
      </c>
      <c r="C326">
        <f t="shared" si="47"/>
        <v>18</v>
      </c>
      <c r="D326">
        <v>4</v>
      </c>
      <c r="E326">
        <v>3</v>
      </c>
      <c r="F326">
        <v>10</v>
      </c>
      <c r="G326" t="str">
        <f>VLOOKUP(P326,定义数据!$B$14:$C$29,2,0)&amp;"+"&amp;Q326&amp;IF(R326=0,"",","&amp;VLOOKUP(R326,定义数据!$B$14:$C$29,2,0)&amp;"+"&amp;S326)&amp;IF(T326=0,"",","&amp;VLOOKUP(T326,定义数据!$B$14:$C$29,2,0)&amp;"+"&amp;U326)</f>
        <v>暴击值+1952</v>
      </c>
      <c r="H326">
        <v>0</v>
      </c>
      <c r="I326">
        <f t="shared" si="48"/>
        <v>18</v>
      </c>
      <c r="J326">
        <f>IF(ISERROR(VLOOKUP(D326,命格辅助表!$I$76:$N$86,D_命格表!E326+2,0)),0,VLOOKUP(D326,命格辅助表!$I$76:$N$86,D_命格表!E326+2,0))</f>
        <v>2560</v>
      </c>
      <c r="K326">
        <f>IF(ISERROR(VLOOKUP(D326,命格辅助表!$P$76:$U$86,E326+2,0)),0,VLOOKUP(D326,命格辅助表!$P$76:$U$86,E326+2,0))</f>
        <v>2400</v>
      </c>
      <c r="L326">
        <v>0</v>
      </c>
      <c r="M326">
        <v>0</v>
      </c>
      <c r="N326">
        <v>8240</v>
      </c>
      <c r="O326">
        <f t="shared" si="52"/>
        <v>1</v>
      </c>
      <c r="P326">
        <f t="shared" si="49"/>
        <v>8</v>
      </c>
      <c r="Q326">
        <f>ROUND((VLOOKUP($A326,命格属性表,13,0)+VLOOKUP($A326,命格属性表,20,0)*($D326-1))*IF(P326&gt;9,1,VLOOKUP(D326,命格辅助表!$S$3:$U$10,3,0)),0)</f>
        <v>1952</v>
      </c>
      <c r="R326">
        <f t="shared" si="50"/>
        <v>0</v>
      </c>
      <c r="S326">
        <f>ROUND(IF(R326=0,0,VLOOKUP($A326,命格属性表,15,0)+VLOOKUP($A326,命格属性表,22,0)*($D326-1))*IF(R326&gt;9,1,VLOOKUP(D326,命格辅助表!$S$3:$U$10,3,0)),0)</f>
        <v>0</v>
      </c>
      <c r="T326">
        <f t="shared" si="51"/>
        <v>0</v>
      </c>
      <c r="U326">
        <f t="shared" si="53"/>
        <v>0</v>
      </c>
    </row>
    <row r="327" spans="1:21">
      <c r="A327">
        <v>9840</v>
      </c>
      <c r="B327" t="s">
        <v>330</v>
      </c>
      <c r="C327">
        <f t="shared" si="47"/>
        <v>18</v>
      </c>
      <c r="D327">
        <v>5</v>
      </c>
      <c r="E327">
        <v>3</v>
      </c>
      <c r="F327">
        <v>10</v>
      </c>
      <c r="G327" t="str">
        <f>VLOOKUP(P327,定义数据!$B$14:$C$29,2,0)&amp;"+"&amp;Q327&amp;IF(R327=0,"",","&amp;VLOOKUP(R327,定义数据!$B$14:$C$29,2,0)&amp;"+"&amp;S327)&amp;IF(T327=0,"",","&amp;VLOOKUP(T327,定义数据!$B$14:$C$29,2,0)&amp;"+"&amp;U327)</f>
        <v>暴击值+2927</v>
      </c>
      <c r="H327">
        <v>0</v>
      </c>
      <c r="I327">
        <f t="shared" si="48"/>
        <v>18</v>
      </c>
      <c r="J327">
        <f>IF(ISERROR(VLOOKUP(D327,命格辅助表!$I$76:$N$86,D_命格表!E327+2,0)),0,VLOOKUP(D327,命格辅助表!$I$76:$N$86,D_命格表!E327+2,0))</f>
        <v>5120</v>
      </c>
      <c r="K327">
        <f>IF(ISERROR(VLOOKUP(D327,命格辅助表!$P$76:$U$86,E327+2,0)),0,VLOOKUP(D327,命格辅助表!$P$76:$U$86,E327+2,0))</f>
        <v>4960</v>
      </c>
      <c r="L327">
        <v>0</v>
      </c>
      <c r="M327">
        <v>0</v>
      </c>
      <c r="N327">
        <v>8240</v>
      </c>
      <c r="O327">
        <f t="shared" si="52"/>
        <v>1</v>
      </c>
      <c r="P327">
        <f t="shared" si="49"/>
        <v>8</v>
      </c>
      <c r="Q327">
        <f>ROUND((VLOOKUP($A327,命格属性表,13,0)+VLOOKUP($A327,命格属性表,20,0)*($D327-1))*IF(P327&gt;9,1,VLOOKUP(D327,命格辅助表!$S$3:$U$10,3,0)),0)</f>
        <v>2927</v>
      </c>
      <c r="R327">
        <f t="shared" si="50"/>
        <v>0</v>
      </c>
      <c r="S327">
        <f>ROUND(IF(R327=0,0,VLOOKUP($A327,命格属性表,15,0)+VLOOKUP($A327,命格属性表,22,0)*($D327-1))*IF(R327&gt;9,1,VLOOKUP(D327,命格辅助表!$S$3:$U$10,3,0)),0)</f>
        <v>0</v>
      </c>
      <c r="T327">
        <f t="shared" si="51"/>
        <v>0</v>
      </c>
      <c r="U327">
        <f t="shared" si="53"/>
        <v>0</v>
      </c>
    </row>
    <row r="328" spans="1:21">
      <c r="A328">
        <v>9840</v>
      </c>
      <c r="B328" t="s">
        <v>330</v>
      </c>
      <c r="C328">
        <f t="shared" si="47"/>
        <v>18</v>
      </c>
      <c r="D328">
        <v>6</v>
      </c>
      <c r="E328">
        <v>3</v>
      </c>
      <c r="F328">
        <v>10</v>
      </c>
      <c r="G328" t="str">
        <f>VLOOKUP(P328,定义数据!$B$14:$C$29,2,0)&amp;"+"&amp;Q328&amp;IF(R328=0,"",","&amp;VLOOKUP(R328,定义数据!$B$14:$C$29,2,0)&amp;"+"&amp;S328)&amp;IF(T328=0,"",","&amp;VLOOKUP(T328,定义数据!$B$14:$C$29,2,0)&amp;"+"&amp;U328)</f>
        <v>暴击值+4391</v>
      </c>
      <c r="H328">
        <v>0</v>
      </c>
      <c r="I328">
        <f t="shared" si="48"/>
        <v>18</v>
      </c>
      <c r="J328">
        <f>IF(ISERROR(VLOOKUP(D328,命格辅助表!$I$76:$N$86,D_命格表!E328+2,0)),0,VLOOKUP(D328,命格辅助表!$I$76:$N$86,D_命格表!E328+2,0))</f>
        <v>10240</v>
      </c>
      <c r="K328">
        <f>IF(ISERROR(VLOOKUP(D328,命格辅助表!$P$76:$U$86,E328+2,0)),0,VLOOKUP(D328,命格辅助表!$P$76:$U$86,E328+2,0))</f>
        <v>10080</v>
      </c>
      <c r="L328">
        <v>0</v>
      </c>
      <c r="M328">
        <v>0</v>
      </c>
      <c r="N328">
        <v>8240</v>
      </c>
      <c r="O328">
        <f t="shared" si="52"/>
        <v>1</v>
      </c>
      <c r="P328">
        <f t="shared" si="49"/>
        <v>8</v>
      </c>
      <c r="Q328">
        <f>ROUND((VLOOKUP($A328,命格属性表,13,0)+VLOOKUP($A328,命格属性表,20,0)*($D328-1))*IF(P328&gt;9,1,VLOOKUP(D328,命格辅助表!$S$3:$U$10,3,0)),0)</f>
        <v>4391</v>
      </c>
      <c r="R328">
        <f t="shared" si="50"/>
        <v>0</v>
      </c>
      <c r="S328">
        <f>ROUND(IF(R328=0,0,VLOOKUP($A328,命格属性表,15,0)+VLOOKUP($A328,命格属性表,22,0)*($D328-1))*IF(R328&gt;9,1,VLOOKUP(D328,命格辅助表!$S$3:$U$10,3,0)),0)</f>
        <v>0</v>
      </c>
      <c r="T328">
        <f t="shared" si="51"/>
        <v>0</v>
      </c>
      <c r="U328">
        <f t="shared" si="53"/>
        <v>0</v>
      </c>
    </row>
    <row r="329" spans="1:21">
      <c r="A329">
        <v>9840</v>
      </c>
      <c r="B329" t="s">
        <v>330</v>
      </c>
      <c r="C329">
        <f t="shared" si="47"/>
        <v>18</v>
      </c>
      <c r="D329">
        <v>7</v>
      </c>
      <c r="E329">
        <v>3</v>
      </c>
      <c r="F329">
        <v>10</v>
      </c>
      <c r="G329" t="str">
        <f>VLOOKUP(P329,定义数据!$B$14:$C$29,2,0)&amp;"+"&amp;Q329&amp;IF(R329=0,"",","&amp;VLOOKUP(R329,定义数据!$B$14:$C$29,2,0)&amp;"+"&amp;S329)&amp;IF(T329=0,"",","&amp;VLOOKUP(T329,定义数据!$B$14:$C$29,2,0)&amp;"+"&amp;U329)</f>
        <v>暴击值+6587</v>
      </c>
      <c r="H329">
        <v>0</v>
      </c>
      <c r="I329">
        <f t="shared" si="48"/>
        <v>18</v>
      </c>
      <c r="J329">
        <f>IF(ISERROR(VLOOKUP(D329,命格辅助表!$I$76:$N$86,D_命格表!E329+2,0)),0,VLOOKUP(D329,命格辅助表!$I$76:$N$86,D_命格表!E329+2,0))</f>
        <v>20480</v>
      </c>
      <c r="K329">
        <f>IF(ISERROR(VLOOKUP(D329,命格辅助表!$P$76:$U$86,E329+2,0)),0,VLOOKUP(D329,命格辅助表!$P$76:$U$86,E329+2,0))</f>
        <v>20320</v>
      </c>
      <c r="L329">
        <v>0</v>
      </c>
      <c r="M329">
        <v>0</v>
      </c>
      <c r="N329">
        <v>8240</v>
      </c>
      <c r="O329">
        <f t="shared" si="52"/>
        <v>1</v>
      </c>
      <c r="P329">
        <f t="shared" ref="P329:P374" si="54">VLOOKUP($A329,命格属性表,12,0)</f>
        <v>8</v>
      </c>
      <c r="Q329">
        <f>ROUND((VLOOKUP($A329,命格属性表,13,0)+VLOOKUP($A329,命格属性表,20,0)*($D329-1))*IF(P329&gt;9,1,VLOOKUP(D329,命格辅助表!$S$3:$U$10,3,0)),0)</f>
        <v>6587</v>
      </c>
      <c r="R329">
        <f t="shared" ref="R329:R374" si="55">VLOOKUP($A329,命格属性表,14,0)</f>
        <v>0</v>
      </c>
      <c r="S329">
        <f>ROUND(IF(R329=0,0,VLOOKUP($A329,命格属性表,15,0)+VLOOKUP($A329,命格属性表,22,0)*($D329-1))*IF(R329&gt;9,1,VLOOKUP(D329,命格辅助表!$S$3:$U$10,3,0)),0)</f>
        <v>0</v>
      </c>
      <c r="T329">
        <f t="shared" si="51"/>
        <v>0</v>
      </c>
      <c r="U329">
        <f t="shared" si="53"/>
        <v>0</v>
      </c>
    </row>
    <row r="330" spans="1:21">
      <c r="A330">
        <v>9840</v>
      </c>
      <c r="B330" t="s">
        <v>330</v>
      </c>
      <c r="C330">
        <f t="shared" si="47"/>
        <v>18</v>
      </c>
      <c r="D330">
        <v>8</v>
      </c>
      <c r="E330">
        <v>3</v>
      </c>
      <c r="F330">
        <v>10</v>
      </c>
      <c r="G330" t="str">
        <f>VLOOKUP(P330,定义数据!$B$14:$C$29,2,0)&amp;"+"&amp;Q330&amp;IF(R330=0,"",","&amp;VLOOKUP(R330,定义数据!$B$14:$C$29,2,0)&amp;"+"&amp;S330)&amp;IF(T330=0,"",","&amp;VLOOKUP(T330,定义数据!$B$14:$C$29,2,0)&amp;"+"&amp;U330)</f>
        <v>暴击值+9880</v>
      </c>
      <c r="H330">
        <v>0</v>
      </c>
      <c r="I330">
        <f t="shared" ref="I330:I375" si="56">VLOOKUP($A330,命格属性表,26,0)</f>
        <v>18</v>
      </c>
      <c r="J330">
        <f>IF(ISERROR(VLOOKUP(D330,命格辅助表!$I$76:$N$86,D_命格表!E330+2,0)),0,VLOOKUP(D330,命格辅助表!$I$76:$N$86,D_命格表!E330+2,0))</f>
        <v>40960</v>
      </c>
      <c r="K330">
        <f>IF(ISERROR(VLOOKUP(D330,命格辅助表!$P$76:$U$86,E330+2,0)),0,VLOOKUP(D330,命格辅助表!$P$76:$U$86,E330+2,0))</f>
        <v>40800</v>
      </c>
      <c r="L330">
        <f>IF(ISERROR(VLOOKUP(D330,命格辅助表!$I$76:$N$86,D_命格表!E330+2,0)),0,VLOOKUP(D330,命格辅助表!$I$76:$N$86,D_命格表!E330+2,0))</f>
        <v>40960</v>
      </c>
      <c r="M330">
        <f>A330+10</f>
        <v>9850</v>
      </c>
      <c r="N330">
        <v>8240</v>
      </c>
      <c r="O330">
        <f t="shared" si="52"/>
        <v>1</v>
      </c>
      <c r="P330">
        <f t="shared" si="54"/>
        <v>8</v>
      </c>
      <c r="Q330">
        <f>ROUND((VLOOKUP($A330,命格属性表,13,0)+VLOOKUP($A330,命格属性表,20,0)*($D330-1))*IF(P330&gt;9,1,VLOOKUP(D330,命格辅助表!$S$3:$U$10,3,0)),0)</f>
        <v>9880</v>
      </c>
      <c r="R330">
        <f t="shared" si="55"/>
        <v>0</v>
      </c>
      <c r="S330">
        <f>ROUND(IF(R330=0,0,VLOOKUP($A330,命格属性表,15,0)+VLOOKUP($A330,命格属性表,22,0)*($D330-1))*IF(R330&gt;9,1,VLOOKUP(D330,命格辅助表!$S$3:$U$10,3,0)),0)</f>
        <v>0</v>
      </c>
      <c r="T330">
        <f t="shared" ref="T330:T375" si="57">VLOOKUP($A330,命格属性表,16,0)</f>
        <v>0</v>
      </c>
      <c r="U330">
        <f t="shared" si="53"/>
        <v>0</v>
      </c>
    </row>
    <row r="331" spans="1:21">
      <c r="A331">
        <v>8150</v>
      </c>
      <c r="B331" t="s">
        <v>316</v>
      </c>
      <c r="C331">
        <f t="shared" ref="C331:C376" si="58">I331</f>
        <v>1</v>
      </c>
      <c r="D331">
        <v>1</v>
      </c>
      <c r="E331">
        <v>4</v>
      </c>
      <c r="F331">
        <v>10</v>
      </c>
      <c r="G331" t="str">
        <f>VLOOKUP(P331,定义数据!$B$14:$C$29,2,0)&amp;"+"&amp;Q331&amp;IF(R331=0,"",","&amp;VLOOKUP(R331,定义数据!$B$14:$C$29,2,0)&amp;"+"&amp;S331)&amp;IF(T331=0,"",","&amp;VLOOKUP(T331,定义数据!$B$14:$C$29,2,0)&amp;"+"&amp;U331)</f>
        <v>生命+9364</v>
      </c>
      <c r="H331">
        <v>0</v>
      </c>
      <c r="I331">
        <f t="shared" si="56"/>
        <v>1</v>
      </c>
      <c r="J331">
        <f>IF(ISERROR(VLOOKUP(D331,命格辅助表!$I$76:$N$86,D_命格表!E331+2,0)),0,VLOOKUP(D331,命格辅助表!$I$76:$N$86,D_命格表!E331+2,0))</f>
        <v>640</v>
      </c>
      <c r="K331">
        <f>IF(ISERROR(VLOOKUP(D331,命格辅助表!$P$76:$U$86,E331+2,0)),0,VLOOKUP(D331,命格辅助表!$P$76:$U$86,E331+2,0))</f>
        <v>320</v>
      </c>
      <c r="L331">
        <v>0</v>
      </c>
      <c r="M331">
        <v>0</v>
      </c>
      <c r="N331">
        <v>8150</v>
      </c>
      <c r="O331">
        <f t="shared" si="52"/>
        <v>1</v>
      </c>
      <c r="P331">
        <f t="shared" si="54"/>
        <v>1</v>
      </c>
      <c r="Q331">
        <f>ROUND((VLOOKUP($A331,命格属性表,13,0)+VLOOKUP($A331,命格属性表,20,0)*($D331-1))*IF(P331&gt;9,1,VLOOKUP(D331,命格辅助表!$S$3:$U$10,3,0)),0)</f>
        <v>9364</v>
      </c>
      <c r="R331">
        <f t="shared" si="55"/>
        <v>0</v>
      </c>
      <c r="S331">
        <f>ROUND(IF(R331=0,0,VLOOKUP($A331,命格属性表,15,0)+VLOOKUP($A331,命格属性表,22,0)*($D331-1))*IF(R331&gt;9,1,VLOOKUP(D331,命格辅助表!$S$3:$U$10,3,0)),0)</f>
        <v>0</v>
      </c>
      <c r="T331">
        <f t="shared" si="57"/>
        <v>0</v>
      </c>
      <c r="U331">
        <f t="shared" si="53"/>
        <v>0</v>
      </c>
    </row>
    <row r="332" spans="1:21">
      <c r="A332">
        <v>8150</v>
      </c>
      <c r="B332" t="s">
        <v>316</v>
      </c>
      <c r="C332">
        <f t="shared" si="58"/>
        <v>1</v>
      </c>
      <c r="D332">
        <v>2</v>
      </c>
      <c r="E332">
        <v>4</v>
      </c>
      <c r="F332">
        <v>10</v>
      </c>
      <c r="G332" t="str">
        <f>VLOOKUP(P332,定义数据!$B$14:$C$29,2,0)&amp;"+"&amp;Q332&amp;IF(R332=0,"",","&amp;VLOOKUP(R332,定义数据!$B$14:$C$29,2,0)&amp;"+"&amp;S332)&amp;IF(T332=0,"",","&amp;VLOOKUP(T332,定义数据!$B$14:$C$29,2,0)&amp;"+"&amp;U332)</f>
        <v>生命+14047</v>
      </c>
      <c r="H332">
        <v>0</v>
      </c>
      <c r="I332">
        <f t="shared" si="56"/>
        <v>1</v>
      </c>
      <c r="J332">
        <f>IF(ISERROR(VLOOKUP(D332,命格辅助表!$I$76:$N$86,D_命格表!E332+2,0)),0,VLOOKUP(D332,命格辅助表!$I$76:$N$86,D_命格表!E332+2,0))</f>
        <v>1280</v>
      </c>
      <c r="K332">
        <f>IF(ISERROR(VLOOKUP(D332,命格辅助表!$P$76:$U$86,E332+2,0)),0,VLOOKUP(D332,命格辅助表!$P$76:$U$86,E332+2,0))</f>
        <v>960</v>
      </c>
      <c r="L332">
        <v>0</v>
      </c>
      <c r="M332">
        <v>0</v>
      </c>
      <c r="N332">
        <v>8150</v>
      </c>
      <c r="O332">
        <f t="shared" si="52"/>
        <v>1</v>
      </c>
      <c r="P332">
        <f t="shared" si="54"/>
        <v>1</v>
      </c>
      <c r="Q332">
        <f>ROUND((VLOOKUP($A332,命格属性表,13,0)+VLOOKUP($A332,命格属性表,20,0)*($D332-1))*IF(P332&gt;9,1,VLOOKUP(D332,命格辅助表!$S$3:$U$10,3,0)),0)</f>
        <v>14047</v>
      </c>
      <c r="R332">
        <f t="shared" si="55"/>
        <v>0</v>
      </c>
      <c r="S332">
        <f>ROUND(IF(R332=0,0,VLOOKUP($A332,命格属性表,15,0)+VLOOKUP($A332,命格属性表,22,0)*($D332-1))*IF(R332&gt;9,1,VLOOKUP(D332,命格辅助表!$S$3:$U$10,3,0)),0)</f>
        <v>0</v>
      </c>
      <c r="T332">
        <f t="shared" si="57"/>
        <v>0</v>
      </c>
      <c r="U332">
        <f t="shared" si="53"/>
        <v>0</v>
      </c>
    </row>
    <row r="333" spans="1:21">
      <c r="A333">
        <v>8150</v>
      </c>
      <c r="B333" t="s">
        <v>316</v>
      </c>
      <c r="C333">
        <f t="shared" si="58"/>
        <v>1</v>
      </c>
      <c r="D333">
        <v>3</v>
      </c>
      <c r="E333">
        <v>4</v>
      </c>
      <c r="F333">
        <v>10</v>
      </c>
      <c r="G333" t="str">
        <f>VLOOKUP(P333,定义数据!$B$14:$C$29,2,0)&amp;"+"&amp;Q333&amp;IF(R333=0,"",","&amp;VLOOKUP(R333,定义数据!$B$14:$C$29,2,0)&amp;"+"&amp;S333)&amp;IF(T333=0,"",","&amp;VLOOKUP(T333,定义数据!$B$14:$C$29,2,0)&amp;"+"&amp;U333)</f>
        <v>生命+21070</v>
      </c>
      <c r="H333">
        <v>0</v>
      </c>
      <c r="I333">
        <f t="shared" si="56"/>
        <v>1</v>
      </c>
      <c r="J333">
        <f>IF(ISERROR(VLOOKUP(D333,命格辅助表!$I$76:$N$86,D_命格表!E333+2,0)),0,VLOOKUP(D333,命格辅助表!$I$76:$N$86,D_命格表!E333+2,0))</f>
        <v>2560</v>
      </c>
      <c r="K333">
        <f>IF(ISERROR(VLOOKUP(D333,命格辅助表!$P$76:$U$86,E333+2,0)),0,VLOOKUP(D333,命格辅助表!$P$76:$U$86,E333+2,0))</f>
        <v>2240</v>
      </c>
      <c r="L333">
        <v>0</v>
      </c>
      <c r="M333">
        <v>0</v>
      </c>
      <c r="N333">
        <v>8150</v>
      </c>
      <c r="O333">
        <f t="shared" si="52"/>
        <v>1</v>
      </c>
      <c r="P333">
        <f t="shared" si="54"/>
        <v>1</v>
      </c>
      <c r="Q333">
        <f>ROUND((VLOOKUP($A333,命格属性表,13,0)+VLOOKUP($A333,命格属性表,20,0)*($D333-1))*IF(P333&gt;9,1,VLOOKUP(D333,命格辅助表!$S$3:$U$10,3,0)),0)</f>
        <v>21070</v>
      </c>
      <c r="R333">
        <f t="shared" si="55"/>
        <v>0</v>
      </c>
      <c r="S333">
        <f>ROUND(IF(R333=0,0,VLOOKUP($A333,命格属性表,15,0)+VLOOKUP($A333,命格属性表,22,0)*($D333-1))*IF(R333&gt;9,1,VLOOKUP(D333,命格辅助表!$S$3:$U$10,3,0)),0)</f>
        <v>0</v>
      </c>
      <c r="T333">
        <f t="shared" si="57"/>
        <v>0</v>
      </c>
      <c r="U333">
        <f t="shared" si="53"/>
        <v>0</v>
      </c>
    </row>
    <row r="334" spans="1:21">
      <c r="A334">
        <v>8150</v>
      </c>
      <c r="B334" t="s">
        <v>316</v>
      </c>
      <c r="C334">
        <f t="shared" si="58"/>
        <v>1</v>
      </c>
      <c r="D334">
        <v>4</v>
      </c>
      <c r="E334">
        <v>4</v>
      </c>
      <c r="F334">
        <v>10</v>
      </c>
      <c r="G334" t="str">
        <f>VLOOKUP(P334,定义数据!$B$14:$C$29,2,0)&amp;"+"&amp;Q334&amp;IF(R334=0,"",","&amp;VLOOKUP(R334,定义数据!$B$14:$C$29,2,0)&amp;"+"&amp;S334)&amp;IF(T334=0,"",","&amp;VLOOKUP(T334,定义数据!$B$14:$C$29,2,0)&amp;"+"&amp;U334)</f>
        <v>生命+31605</v>
      </c>
      <c r="H334">
        <v>0</v>
      </c>
      <c r="I334">
        <f t="shared" si="56"/>
        <v>1</v>
      </c>
      <c r="J334">
        <f>IF(ISERROR(VLOOKUP(D334,命格辅助表!$I$76:$N$86,D_命格表!E334+2,0)),0,VLOOKUP(D334,命格辅助表!$I$76:$N$86,D_命格表!E334+2,0))</f>
        <v>5120</v>
      </c>
      <c r="K334">
        <f>IF(ISERROR(VLOOKUP(D334,命格辅助表!$P$76:$U$86,E334+2,0)),0,VLOOKUP(D334,命格辅助表!$P$76:$U$86,E334+2,0))</f>
        <v>4800</v>
      </c>
      <c r="L334">
        <v>0</v>
      </c>
      <c r="M334">
        <v>0</v>
      </c>
      <c r="N334">
        <v>8150</v>
      </c>
      <c r="O334">
        <f t="shared" si="52"/>
        <v>1</v>
      </c>
      <c r="P334">
        <f t="shared" si="54"/>
        <v>1</v>
      </c>
      <c r="Q334">
        <f>ROUND((VLOOKUP($A334,命格属性表,13,0)+VLOOKUP($A334,命格属性表,20,0)*($D334-1))*IF(P334&gt;9,1,VLOOKUP(D334,命格辅助表!$S$3:$U$10,3,0)),0)</f>
        <v>31605</v>
      </c>
      <c r="R334">
        <f t="shared" si="55"/>
        <v>0</v>
      </c>
      <c r="S334">
        <f>ROUND(IF(R334=0,0,VLOOKUP($A334,命格属性表,15,0)+VLOOKUP($A334,命格属性表,22,0)*($D334-1))*IF(R334&gt;9,1,VLOOKUP(D334,命格辅助表!$S$3:$U$10,3,0)),0)</f>
        <v>0</v>
      </c>
      <c r="T334">
        <f t="shared" si="57"/>
        <v>0</v>
      </c>
      <c r="U334">
        <f t="shared" si="53"/>
        <v>0</v>
      </c>
    </row>
    <row r="335" spans="1:21">
      <c r="A335">
        <v>8150</v>
      </c>
      <c r="B335" t="s">
        <v>316</v>
      </c>
      <c r="C335">
        <f t="shared" si="58"/>
        <v>1</v>
      </c>
      <c r="D335">
        <v>5</v>
      </c>
      <c r="E335">
        <v>4</v>
      </c>
      <c r="F335">
        <v>10</v>
      </c>
      <c r="G335" t="str">
        <f>VLOOKUP(P335,定义数据!$B$14:$C$29,2,0)&amp;"+"&amp;Q335&amp;IF(R335=0,"",","&amp;VLOOKUP(R335,定义数据!$B$14:$C$29,2,0)&amp;"+"&amp;S335)&amp;IF(T335=0,"",","&amp;VLOOKUP(T335,定义数据!$B$14:$C$29,2,0)&amp;"+"&amp;U335)</f>
        <v>生命+47407</v>
      </c>
      <c r="H335">
        <v>0</v>
      </c>
      <c r="I335">
        <f t="shared" si="56"/>
        <v>1</v>
      </c>
      <c r="J335">
        <f>IF(ISERROR(VLOOKUP(D335,命格辅助表!$I$76:$N$86,D_命格表!E335+2,0)),0,VLOOKUP(D335,命格辅助表!$I$76:$N$86,D_命格表!E335+2,0))</f>
        <v>10240</v>
      </c>
      <c r="K335">
        <f>IF(ISERROR(VLOOKUP(D335,命格辅助表!$P$76:$U$86,E335+2,0)),0,VLOOKUP(D335,命格辅助表!$P$76:$U$86,E335+2,0))</f>
        <v>9920</v>
      </c>
      <c r="L335">
        <v>0</v>
      </c>
      <c r="M335">
        <v>0</v>
      </c>
      <c r="N335">
        <v>8150</v>
      </c>
      <c r="O335">
        <f t="shared" si="52"/>
        <v>1</v>
      </c>
      <c r="P335">
        <f t="shared" si="54"/>
        <v>1</v>
      </c>
      <c r="Q335">
        <f>ROUND((VLOOKUP($A335,命格属性表,13,0)+VLOOKUP($A335,命格属性表,20,0)*($D335-1))*IF(P335&gt;9,1,VLOOKUP(D335,命格辅助表!$S$3:$U$10,3,0)),0)</f>
        <v>47407</v>
      </c>
      <c r="R335">
        <f t="shared" si="55"/>
        <v>0</v>
      </c>
      <c r="S335">
        <f>ROUND(IF(R335=0,0,VLOOKUP($A335,命格属性表,15,0)+VLOOKUP($A335,命格属性表,22,0)*($D335-1))*IF(R335&gt;9,1,VLOOKUP(D335,命格辅助表!$S$3:$U$10,3,0)),0)</f>
        <v>0</v>
      </c>
      <c r="T335">
        <f t="shared" si="57"/>
        <v>0</v>
      </c>
      <c r="U335">
        <f t="shared" si="53"/>
        <v>0</v>
      </c>
    </row>
    <row r="336" spans="1:21">
      <c r="A336">
        <v>8150</v>
      </c>
      <c r="B336" t="s">
        <v>316</v>
      </c>
      <c r="C336">
        <f t="shared" si="58"/>
        <v>1</v>
      </c>
      <c r="D336">
        <v>6</v>
      </c>
      <c r="E336">
        <v>4</v>
      </c>
      <c r="F336">
        <v>10</v>
      </c>
      <c r="G336" t="str">
        <f>VLOOKUP(P336,定义数据!$B$14:$C$29,2,0)&amp;"+"&amp;Q336&amp;IF(R336=0,"",","&amp;VLOOKUP(R336,定义数据!$B$14:$C$29,2,0)&amp;"+"&amp;S336)&amp;IF(T336=0,"",","&amp;VLOOKUP(T336,定义数据!$B$14:$C$29,2,0)&amp;"+"&amp;U336)</f>
        <v>生命+71111</v>
      </c>
      <c r="H336">
        <v>0</v>
      </c>
      <c r="I336">
        <f t="shared" si="56"/>
        <v>1</v>
      </c>
      <c r="J336">
        <f>IF(ISERROR(VLOOKUP(D336,命格辅助表!$I$76:$N$86,D_命格表!E336+2,0)),0,VLOOKUP(D336,命格辅助表!$I$76:$N$86,D_命格表!E336+2,0))</f>
        <v>20480</v>
      </c>
      <c r="K336">
        <f>IF(ISERROR(VLOOKUP(D336,命格辅助表!$P$76:$U$86,E336+2,0)),0,VLOOKUP(D336,命格辅助表!$P$76:$U$86,E336+2,0))</f>
        <v>20160</v>
      </c>
      <c r="L336">
        <v>0</v>
      </c>
      <c r="M336">
        <v>0</v>
      </c>
      <c r="N336">
        <v>8150</v>
      </c>
      <c r="O336">
        <f t="shared" si="52"/>
        <v>1</v>
      </c>
      <c r="P336">
        <f t="shared" si="54"/>
        <v>1</v>
      </c>
      <c r="Q336">
        <f>ROUND((VLOOKUP($A336,命格属性表,13,0)+VLOOKUP($A336,命格属性表,20,0)*($D336-1))*IF(P336&gt;9,1,VLOOKUP(D336,命格辅助表!$S$3:$U$10,3,0)),0)</f>
        <v>71111</v>
      </c>
      <c r="R336">
        <f t="shared" si="55"/>
        <v>0</v>
      </c>
      <c r="S336">
        <f>ROUND(IF(R336=0,0,VLOOKUP($A336,命格属性表,15,0)+VLOOKUP($A336,命格属性表,22,0)*($D336-1))*IF(R336&gt;9,1,VLOOKUP(D336,命格辅助表!$S$3:$U$10,3,0)),0)</f>
        <v>0</v>
      </c>
      <c r="T336">
        <f t="shared" si="57"/>
        <v>0</v>
      </c>
      <c r="U336">
        <f t="shared" si="53"/>
        <v>0</v>
      </c>
    </row>
    <row r="337" spans="1:21">
      <c r="A337">
        <v>8150</v>
      </c>
      <c r="B337" t="s">
        <v>316</v>
      </c>
      <c r="C337">
        <f t="shared" si="58"/>
        <v>1</v>
      </c>
      <c r="D337">
        <v>7</v>
      </c>
      <c r="E337">
        <v>4</v>
      </c>
      <c r="F337">
        <v>10</v>
      </c>
      <c r="G337" t="str">
        <f>VLOOKUP(P337,定义数据!$B$14:$C$29,2,0)&amp;"+"&amp;Q337&amp;IF(R337=0,"",","&amp;VLOOKUP(R337,定义数据!$B$14:$C$29,2,0)&amp;"+"&amp;S337)&amp;IF(T337=0,"",","&amp;VLOOKUP(T337,定义数据!$B$14:$C$29,2,0)&amp;"+"&amp;U337)</f>
        <v>生命+106667</v>
      </c>
      <c r="H337">
        <v>0</v>
      </c>
      <c r="I337">
        <f t="shared" si="56"/>
        <v>1</v>
      </c>
      <c r="J337">
        <f>IF(ISERROR(VLOOKUP(D337,命格辅助表!$I$76:$N$86,D_命格表!E337+2,0)),0,VLOOKUP(D337,命格辅助表!$I$76:$N$86,D_命格表!E337+2,0))</f>
        <v>40960</v>
      </c>
      <c r="K337">
        <f>IF(ISERROR(VLOOKUP(D337,命格辅助表!$P$76:$U$86,E337+2,0)),0,VLOOKUP(D337,命格辅助表!$P$76:$U$86,E337+2,0))</f>
        <v>40640</v>
      </c>
      <c r="L337">
        <v>0</v>
      </c>
      <c r="M337">
        <v>0</v>
      </c>
      <c r="N337">
        <v>8150</v>
      </c>
      <c r="O337">
        <f t="shared" si="52"/>
        <v>1</v>
      </c>
      <c r="P337">
        <f t="shared" si="54"/>
        <v>1</v>
      </c>
      <c r="Q337">
        <f>ROUND((VLOOKUP($A337,命格属性表,13,0)+VLOOKUP($A337,命格属性表,20,0)*($D337-1))*IF(P337&gt;9,1,VLOOKUP(D337,命格辅助表!$S$3:$U$10,3,0)),0)</f>
        <v>106667</v>
      </c>
      <c r="R337">
        <f t="shared" si="55"/>
        <v>0</v>
      </c>
      <c r="S337">
        <f>ROUND(IF(R337=0,0,VLOOKUP($A337,命格属性表,15,0)+VLOOKUP($A337,命格属性表,22,0)*($D337-1))*IF(R337&gt;9,1,VLOOKUP(D337,命格辅助表!$S$3:$U$10,3,0)),0)</f>
        <v>0</v>
      </c>
      <c r="T337">
        <f t="shared" si="57"/>
        <v>0</v>
      </c>
      <c r="U337">
        <f t="shared" si="53"/>
        <v>0</v>
      </c>
    </row>
    <row r="338" spans="1:21">
      <c r="A338">
        <v>8150</v>
      </c>
      <c r="B338" t="s">
        <v>316</v>
      </c>
      <c r="C338">
        <f t="shared" si="58"/>
        <v>1</v>
      </c>
      <c r="D338">
        <v>8</v>
      </c>
      <c r="E338">
        <v>4</v>
      </c>
      <c r="F338">
        <v>10</v>
      </c>
      <c r="G338" t="str">
        <f>VLOOKUP(P338,定义数据!$B$14:$C$29,2,0)&amp;"+"&amp;Q338&amp;IF(R338=0,"",","&amp;VLOOKUP(R338,定义数据!$B$14:$C$29,2,0)&amp;"+"&amp;S338)&amp;IF(T338=0,"",","&amp;VLOOKUP(T338,定义数据!$B$14:$C$29,2,0)&amp;"+"&amp;U338)</f>
        <v>生命+160000</v>
      </c>
      <c r="H338">
        <v>0</v>
      </c>
      <c r="I338">
        <f t="shared" si="56"/>
        <v>1</v>
      </c>
      <c r="J338">
        <f>IF(ISERROR(VLOOKUP(D338,命格辅助表!$I$76:$N$86,D_命格表!E338+2,0)),0,VLOOKUP(D338,命格辅助表!$I$76:$N$86,D_命格表!E338+2,0))</f>
        <v>81920</v>
      </c>
      <c r="K338">
        <f>IF(ISERROR(VLOOKUP(D338,命格辅助表!$P$76:$U$86,E338+2,0)),0,VLOOKUP(D338,命格辅助表!$P$76:$U$86,E338+2,0))</f>
        <v>81600</v>
      </c>
      <c r="L338">
        <f>IF(ISERROR(VLOOKUP(D338,命格辅助表!$I$76:$N$86,D_命格表!E338+2,0)),0,VLOOKUP(D338,命格辅助表!$I$76:$N$86,D_命格表!E338+2,0))</f>
        <v>81920</v>
      </c>
      <c r="M338">
        <f>A338+10</f>
        <v>8160</v>
      </c>
      <c r="N338">
        <v>8150</v>
      </c>
      <c r="O338">
        <f t="shared" si="52"/>
        <v>1</v>
      </c>
      <c r="P338">
        <f t="shared" si="54"/>
        <v>1</v>
      </c>
      <c r="Q338">
        <f>ROUND((VLOOKUP($A338,命格属性表,13,0)+VLOOKUP($A338,命格属性表,20,0)*($D338-1))*IF(P338&gt;9,1,VLOOKUP(D338,命格辅助表!$S$3:$U$10,3,0)),0)</f>
        <v>160000</v>
      </c>
      <c r="R338">
        <f t="shared" si="55"/>
        <v>0</v>
      </c>
      <c r="S338">
        <f>ROUND(IF(R338=0,0,VLOOKUP($A338,命格属性表,15,0)+VLOOKUP($A338,命格属性表,22,0)*($D338-1))*IF(R338&gt;9,1,VLOOKUP(D338,命格辅助表!$S$3:$U$10,3,0)),0)</f>
        <v>0</v>
      </c>
      <c r="T338">
        <f t="shared" si="57"/>
        <v>0</v>
      </c>
      <c r="U338">
        <f t="shared" si="53"/>
        <v>0</v>
      </c>
    </row>
    <row r="339" spans="1:21">
      <c r="A339">
        <v>8250</v>
      </c>
      <c r="B339" t="s">
        <v>317</v>
      </c>
      <c r="C339">
        <f t="shared" si="58"/>
        <v>2</v>
      </c>
      <c r="D339">
        <v>1</v>
      </c>
      <c r="E339">
        <v>4</v>
      </c>
      <c r="F339">
        <v>10</v>
      </c>
      <c r="G339" t="str">
        <f>VLOOKUP(P339,定义数据!$B$14:$C$29,2,0)&amp;"+"&amp;Q339&amp;IF(R339=0,"",","&amp;VLOOKUP(R339,定义数据!$B$14:$C$29,2,0)&amp;"+"&amp;S339)&amp;IF(T339=0,"",","&amp;VLOOKUP(T339,定义数据!$B$14:$C$29,2,0)&amp;"+"&amp;U339)</f>
        <v>攻击+375</v>
      </c>
      <c r="H339">
        <v>0</v>
      </c>
      <c r="I339">
        <f t="shared" si="56"/>
        <v>2</v>
      </c>
      <c r="J339">
        <f>IF(ISERROR(VLOOKUP(D339,命格辅助表!$I$76:$N$86,D_命格表!E339+2,0)),0,VLOOKUP(D339,命格辅助表!$I$76:$N$86,D_命格表!E339+2,0))</f>
        <v>640</v>
      </c>
      <c r="K339">
        <f>IF(ISERROR(VLOOKUP(D339,命格辅助表!$P$76:$U$86,E339+2,0)),0,VLOOKUP(D339,命格辅助表!$P$76:$U$86,E339+2,0))</f>
        <v>320</v>
      </c>
      <c r="L339">
        <v>0</v>
      </c>
      <c r="M339">
        <v>0</v>
      </c>
      <c r="N339">
        <v>8250</v>
      </c>
      <c r="O339">
        <f t="shared" si="52"/>
        <v>1</v>
      </c>
      <c r="P339">
        <f t="shared" si="54"/>
        <v>2</v>
      </c>
      <c r="Q339">
        <f>ROUND((VLOOKUP($A339,命格属性表,13,0)+VLOOKUP($A339,命格属性表,20,0)*($D339-1))*IF(P339&gt;9,1,VLOOKUP(D339,命格辅助表!$S$3:$U$10,3,0)),0)</f>
        <v>375</v>
      </c>
      <c r="R339">
        <f t="shared" si="55"/>
        <v>0</v>
      </c>
      <c r="S339">
        <f>ROUND(IF(R339=0,0,VLOOKUP($A339,命格属性表,15,0)+VLOOKUP($A339,命格属性表,22,0)*($D339-1))*IF(R339&gt;9,1,VLOOKUP(D339,命格辅助表!$S$3:$U$10,3,0)),0)</f>
        <v>0</v>
      </c>
      <c r="T339">
        <f t="shared" si="57"/>
        <v>0</v>
      </c>
      <c r="U339">
        <f t="shared" si="53"/>
        <v>0</v>
      </c>
    </row>
    <row r="340" spans="1:21">
      <c r="A340">
        <v>8250</v>
      </c>
      <c r="B340" t="s">
        <v>317</v>
      </c>
      <c r="C340">
        <f t="shared" si="58"/>
        <v>2</v>
      </c>
      <c r="D340">
        <v>2</v>
      </c>
      <c r="E340">
        <v>4</v>
      </c>
      <c r="F340">
        <v>10</v>
      </c>
      <c r="G340" t="str">
        <f>VLOOKUP(P340,定义数据!$B$14:$C$29,2,0)&amp;"+"&amp;Q340&amp;IF(R340=0,"",","&amp;VLOOKUP(R340,定义数据!$B$14:$C$29,2,0)&amp;"+"&amp;S340)&amp;IF(T340=0,"",","&amp;VLOOKUP(T340,定义数据!$B$14:$C$29,2,0)&amp;"+"&amp;U340)</f>
        <v>攻击+562</v>
      </c>
      <c r="H340">
        <v>0</v>
      </c>
      <c r="I340">
        <f t="shared" si="56"/>
        <v>2</v>
      </c>
      <c r="J340">
        <f>IF(ISERROR(VLOOKUP(D340,命格辅助表!$I$76:$N$86,D_命格表!E340+2,0)),0,VLOOKUP(D340,命格辅助表!$I$76:$N$86,D_命格表!E340+2,0))</f>
        <v>1280</v>
      </c>
      <c r="K340">
        <f>IF(ISERROR(VLOOKUP(D340,命格辅助表!$P$76:$U$86,E340+2,0)),0,VLOOKUP(D340,命格辅助表!$P$76:$U$86,E340+2,0))</f>
        <v>960</v>
      </c>
      <c r="L340">
        <v>0</v>
      </c>
      <c r="M340">
        <v>0</v>
      </c>
      <c r="N340">
        <v>8250</v>
      </c>
      <c r="O340">
        <f t="shared" si="52"/>
        <v>1</v>
      </c>
      <c r="P340">
        <f t="shared" si="54"/>
        <v>2</v>
      </c>
      <c r="Q340">
        <f>ROUND((VLOOKUP($A340,命格属性表,13,0)+VLOOKUP($A340,命格属性表,20,0)*($D340-1))*IF(P340&gt;9,1,VLOOKUP(D340,命格辅助表!$S$3:$U$10,3,0)),0)</f>
        <v>562</v>
      </c>
      <c r="R340">
        <f t="shared" si="55"/>
        <v>0</v>
      </c>
      <c r="S340">
        <f>ROUND(IF(R340=0,0,VLOOKUP($A340,命格属性表,15,0)+VLOOKUP($A340,命格属性表,22,0)*($D340-1))*IF(R340&gt;9,1,VLOOKUP(D340,命格辅助表!$S$3:$U$10,3,0)),0)</f>
        <v>0</v>
      </c>
      <c r="T340">
        <f t="shared" si="57"/>
        <v>0</v>
      </c>
      <c r="U340">
        <f t="shared" si="53"/>
        <v>0</v>
      </c>
    </row>
    <row r="341" spans="1:21">
      <c r="A341">
        <v>8250</v>
      </c>
      <c r="B341" t="s">
        <v>317</v>
      </c>
      <c r="C341">
        <f t="shared" si="58"/>
        <v>2</v>
      </c>
      <c r="D341">
        <v>3</v>
      </c>
      <c r="E341">
        <v>4</v>
      </c>
      <c r="F341">
        <v>10</v>
      </c>
      <c r="G341" t="str">
        <f>VLOOKUP(P341,定义数据!$B$14:$C$29,2,0)&amp;"+"&amp;Q341&amp;IF(R341=0,"",","&amp;VLOOKUP(R341,定义数据!$B$14:$C$29,2,0)&amp;"+"&amp;S341)&amp;IF(T341=0,"",","&amp;VLOOKUP(T341,定义数据!$B$14:$C$29,2,0)&amp;"+"&amp;U341)</f>
        <v>攻击+843</v>
      </c>
      <c r="H341">
        <v>0</v>
      </c>
      <c r="I341">
        <f t="shared" si="56"/>
        <v>2</v>
      </c>
      <c r="J341">
        <f>IF(ISERROR(VLOOKUP(D341,命格辅助表!$I$76:$N$86,D_命格表!E341+2,0)),0,VLOOKUP(D341,命格辅助表!$I$76:$N$86,D_命格表!E341+2,0))</f>
        <v>2560</v>
      </c>
      <c r="K341">
        <f>IF(ISERROR(VLOOKUP(D341,命格辅助表!$P$76:$U$86,E341+2,0)),0,VLOOKUP(D341,命格辅助表!$P$76:$U$86,E341+2,0))</f>
        <v>2240</v>
      </c>
      <c r="L341">
        <v>0</v>
      </c>
      <c r="M341">
        <v>0</v>
      </c>
      <c r="N341">
        <v>8250</v>
      </c>
      <c r="O341">
        <f t="shared" si="52"/>
        <v>1</v>
      </c>
      <c r="P341">
        <f t="shared" si="54"/>
        <v>2</v>
      </c>
      <c r="Q341">
        <f>ROUND((VLOOKUP($A341,命格属性表,13,0)+VLOOKUP($A341,命格属性表,20,0)*($D341-1))*IF(P341&gt;9,1,VLOOKUP(D341,命格辅助表!$S$3:$U$10,3,0)),0)</f>
        <v>843</v>
      </c>
      <c r="R341">
        <f t="shared" si="55"/>
        <v>0</v>
      </c>
      <c r="S341">
        <f>ROUND(IF(R341=0,0,VLOOKUP($A341,命格属性表,15,0)+VLOOKUP($A341,命格属性表,22,0)*($D341-1))*IF(R341&gt;9,1,VLOOKUP(D341,命格辅助表!$S$3:$U$10,3,0)),0)</f>
        <v>0</v>
      </c>
      <c r="T341">
        <f t="shared" si="57"/>
        <v>0</v>
      </c>
      <c r="U341">
        <f t="shared" si="53"/>
        <v>0</v>
      </c>
    </row>
    <row r="342" spans="1:21">
      <c r="A342">
        <v>8250</v>
      </c>
      <c r="B342" t="s">
        <v>317</v>
      </c>
      <c r="C342">
        <f t="shared" si="58"/>
        <v>2</v>
      </c>
      <c r="D342">
        <v>4</v>
      </c>
      <c r="E342">
        <v>4</v>
      </c>
      <c r="F342">
        <v>10</v>
      </c>
      <c r="G342" t="str">
        <f>VLOOKUP(P342,定义数据!$B$14:$C$29,2,0)&amp;"+"&amp;Q342&amp;IF(R342=0,"",","&amp;VLOOKUP(R342,定义数据!$B$14:$C$29,2,0)&amp;"+"&amp;S342)&amp;IF(T342=0,"",","&amp;VLOOKUP(T342,定义数据!$B$14:$C$29,2,0)&amp;"+"&amp;U342)</f>
        <v>攻击+1264</v>
      </c>
      <c r="H342">
        <v>0</v>
      </c>
      <c r="I342">
        <f t="shared" si="56"/>
        <v>2</v>
      </c>
      <c r="J342">
        <f>IF(ISERROR(VLOOKUP(D342,命格辅助表!$I$76:$N$86,D_命格表!E342+2,0)),0,VLOOKUP(D342,命格辅助表!$I$76:$N$86,D_命格表!E342+2,0))</f>
        <v>5120</v>
      </c>
      <c r="K342">
        <f>IF(ISERROR(VLOOKUP(D342,命格辅助表!$P$76:$U$86,E342+2,0)),0,VLOOKUP(D342,命格辅助表!$P$76:$U$86,E342+2,0))</f>
        <v>4800</v>
      </c>
      <c r="L342">
        <v>0</v>
      </c>
      <c r="M342">
        <v>0</v>
      </c>
      <c r="N342">
        <v>8250</v>
      </c>
      <c r="O342">
        <f t="shared" si="52"/>
        <v>1</v>
      </c>
      <c r="P342">
        <f t="shared" si="54"/>
        <v>2</v>
      </c>
      <c r="Q342">
        <f>ROUND((VLOOKUP($A342,命格属性表,13,0)+VLOOKUP($A342,命格属性表,20,0)*($D342-1))*IF(P342&gt;9,1,VLOOKUP(D342,命格辅助表!$S$3:$U$10,3,0)),0)</f>
        <v>1264</v>
      </c>
      <c r="R342">
        <f t="shared" si="55"/>
        <v>0</v>
      </c>
      <c r="S342">
        <f>ROUND(IF(R342=0,0,VLOOKUP($A342,命格属性表,15,0)+VLOOKUP($A342,命格属性表,22,0)*($D342-1))*IF(R342&gt;9,1,VLOOKUP(D342,命格辅助表!$S$3:$U$10,3,0)),0)</f>
        <v>0</v>
      </c>
      <c r="T342">
        <f t="shared" si="57"/>
        <v>0</v>
      </c>
      <c r="U342">
        <f t="shared" si="53"/>
        <v>0</v>
      </c>
    </row>
    <row r="343" spans="1:21">
      <c r="A343">
        <v>8250</v>
      </c>
      <c r="B343" t="s">
        <v>317</v>
      </c>
      <c r="C343">
        <f t="shared" si="58"/>
        <v>2</v>
      </c>
      <c r="D343">
        <v>5</v>
      </c>
      <c r="E343">
        <v>4</v>
      </c>
      <c r="F343">
        <v>10</v>
      </c>
      <c r="G343" t="str">
        <f>VLOOKUP(P343,定义数据!$B$14:$C$29,2,0)&amp;"+"&amp;Q343&amp;IF(R343=0,"",","&amp;VLOOKUP(R343,定义数据!$B$14:$C$29,2,0)&amp;"+"&amp;S343)&amp;IF(T343=0,"",","&amp;VLOOKUP(T343,定义数据!$B$14:$C$29,2,0)&amp;"+"&amp;U343)</f>
        <v>攻击+1896</v>
      </c>
      <c r="H343">
        <v>0</v>
      </c>
      <c r="I343">
        <f t="shared" si="56"/>
        <v>2</v>
      </c>
      <c r="J343">
        <f>IF(ISERROR(VLOOKUP(D343,命格辅助表!$I$76:$N$86,D_命格表!E343+2,0)),0,VLOOKUP(D343,命格辅助表!$I$76:$N$86,D_命格表!E343+2,0))</f>
        <v>10240</v>
      </c>
      <c r="K343">
        <f>IF(ISERROR(VLOOKUP(D343,命格辅助表!$P$76:$U$86,E343+2,0)),0,VLOOKUP(D343,命格辅助表!$P$76:$U$86,E343+2,0))</f>
        <v>9920</v>
      </c>
      <c r="L343">
        <v>0</v>
      </c>
      <c r="M343">
        <v>0</v>
      </c>
      <c r="N343">
        <v>8250</v>
      </c>
      <c r="O343">
        <f t="shared" si="52"/>
        <v>1</v>
      </c>
      <c r="P343">
        <f t="shared" si="54"/>
        <v>2</v>
      </c>
      <c r="Q343">
        <f>ROUND((VLOOKUP($A343,命格属性表,13,0)+VLOOKUP($A343,命格属性表,20,0)*($D343-1))*IF(P343&gt;9,1,VLOOKUP(D343,命格辅助表!$S$3:$U$10,3,0)),0)</f>
        <v>1896</v>
      </c>
      <c r="R343">
        <f t="shared" si="55"/>
        <v>0</v>
      </c>
      <c r="S343">
        <f>ROUND(IF(R343=0,0,VLOOKUP($A343,命格属性表,15,0)+VLOOKUP($A343,命格属性表,22,0)*($D343-1))*IF(R343&gt;9,1,VLOOKUP(D343,命格辅助表!$S$3:$U$10,3,0)),0)</f>
        <v>0</v>
      </c>
      <c r="T343">
        <f t="shared" si="57"/>
        <v>0</v>
      </c>
      <c r="U343">
        <f t="shared" si="53"/>
        <v>0</v>
      </c>
    </row>
    <row r="344" spans="1:21">
      <c r="A344">
        <v>8250</v>
      </c>
      <c r="B344" t="s">
        <v>317</v>
      </c>
      <c r="C344">
        <f t="shared" si="58"/>
        <v>2</v>
      </c>
      <c r="D344">
        <v>6</v>
      </c>
      <c r="E344">
        <v>4</v>
      </c>
      <c r="F344">
        <v>10</v>
      </c>
      <c r="G344" t="str">
        <f>VLOOKUP(P344,定义数据!$B$14:$C$29,2,0)&amp;"+"&amp;Q344&amp;IF(R344=0,"",","&amp;VLOOKUP(R344,定义数据!$B$14:$C$29,2,0)&amp;"+"&amp;S344)&amp;IF(T344=0,"",","&amp;VLOOKUP(T344,定义数据!$B$14:$C$29,2,0)&amp;"+"&amp;U344)</f>
        <v>攻击+2844</v>
      </c>
      <c r="H344">
        <v>0</v>
      </c>
      <c r="I344">
        <f t="shared" si="56"/>
        <v>2</v>
      </c>
      <c r="J344">
        <f>IF(ISERROR(VLOOKUP(D344,命格辅助表!$I$76:$N$86,D_命格表!E344+2,0)),0,VLOOKUP(D344,命格辅助表!$I$76:$N$86,D_命格表!E344+2,0))</f>
        <v>20480</v>
      </c>
      <c r="K344">
        <f>IF(ISERROR(VLOOKUP(D344,命格辅助表!$P$76:$U$86,E344+2,0)),0,VLOOKUP(D344,命格辅助表!$P$76:$U$86,E344+2,0))</f>
        <v>20160</v>
      </c>
      <c r="L344">
        <v>0</v>
      </c>
      <c r="M344">
        <v>0</v>
      </c>
      <c r="N344">
        <v>8250</v>
      </c>
      <c r="O344">
        <f t="shared" si="52"/>
        <v>1</v>
      </c>
      <c r="P344">
        <f t="shared" si="54"/>
        <v>2</v>
      </c>
      <c r="Q344">
        <f>ROUND((VLOOKUP($A344,命格属性表,13,0)+VLOOKUP($A344,命格属性表,20,0)*($D344-1))*IF(P344&gt;9,1,VLOOKUP(D344,命格辅助表!$S$3:$U$10,3,0)),0)</f>
        <v>2844</v>
      </c>
      <c r="R344">
        <f t="shared" si="55"/>
        <v>0</v>
      </c>
      <c r="S344">
        <f>ROUND(IF(R344=0,0,VLOOKUP($A344,命格属性表,15,0)+VLOOKUP($A344,命格属性表,22,0)*($D344-1))*IF(R344&gt;9,1,VLOOKUP(D344,命格辅助表!$S$3:$U$10,3,0)),0)</f>
        <v>0</v>
      </c>
      <c r="T344">
        <f t="shared" si="57"/>
        <v>0</v>
      </c>
      <c r="U344">
        <f t="shared" si="53"/>
        <v>0</v>
      </c>
    </row>
    <row r="345" spans="1:21">
      <c r="A345">
        <v>8250</v>
      </c>
      <c r="B345" t="s">
        <v>317</v>
      </c>
      <c r="C345">
        <f t="shared" si="58"/>
        <v>2</v>
      </c>
      <c r="D345">
        <v>7</v>
      </c>
      <c r="E345">
        <v>4</v>
      </c>
      <c r="F345">
        <v>10</v>
      </c>
      <c r="G345" t="str">
        <f>VLOOKUP(P345,定义数据!$B$14:$C$29,2,0)&amp;"+"&amp;Q345&amp;IF(R345=0,"",","&amp;VLOOKUP(R345,定义数据!$B$14:$C$29,2,0)&amp;"+"&amp;S345)&amp;IF(T345=0,"",","&amp;VLOOKUP(T345,定义数据!$B$14:$C$29,2,0)&amp;"+"&amp;U345)</f>
        <v>攻击+4267</v>
      </c>
      <c r="H345">
        <v>0</v>
      </c>
      <c r="I345">
        <f t="shared" si="56"/>
        <v>2</v>
      </c>
      <c r="J345">
        <f>IF(ISERROR(VLOOKUP(D345,命格辅助表!$I$76:$N$86,D_命格表!E345+2,0)),0,VLOOKUP(D345,命格辅助表!$I$76:$N$86,D_命格表!E345+2,0))</f>
        <v>40960</v>
      </c>
      <c r="K345">
        <f>IF(ISERROR(VLOOKUP(D345,命格辅助表!$P$76:$U$86,E345+2,0)),0,VLOOKUP(D345,命格辅助表!$P$76:$U$86,E345+2,0))</f>
        <v>40640</v>
      </c>
      <c r="L345">
        <v>0</v>
      </c>
      <c r="M345">
        <v>0</v>
      </c>
      <c r="N345">
        <v>8250</v>
      </c>
      <c r="O345">
        <f t="shared" si="52"/>
        <v>1</v>
      </c>
      <c r="P345">
        <f t="shared" si="54"/>
        <v>2</v>
      </c>
      <c r="Q345">
        <f>ROUND((VLOOKUP($A345,命格属性表,13,0)+VLOOKUP($A345,命格属性表,20,0)*($D345-1))*IF(P345&gt;9,1,VLOOKUP(D345,命格辅助表!$S$3:$U$10,3,0)),0)</f>
        <v>4267</v>
      </c>
      <c r="R345">
        <f t="shared" si="55"/>
        <v>0</v>
      </c>
      <c r="S345">
        <f>ROUND(IF(R345=0,0,VLOOKUP($A345,命格属性表,15,0)+VLOOKUP($A345,命格属性表,22,0)*($D345-1))*IF(R345&gt;9,1,VLOOKUP(D345,命格辅助表!$S$3:$U$10,3,0)),0)</f>
        <v>0</v>
      </c>
      <c r="T345">
        <f t="shared" si="57"/>
        <v>0</v>
      </c>
      <c r="U345">
        <f t="shared" si="53"/>
        <v>0</v>
      </c>
    </row>
    <row r="346" spans="1:21">
      <c r="A346">
        <v>8250</v>
      </c>
      <c r="B346" t="s">
        <v>317</v>
      </c>
      <c r="C346">
        <f t="shared" si="58"/>
        <v>2</v>
      </c>
      <c r="D346">
        <v>8</v>
      </c>
      <c r="E346">
        <v>4</v>
      </c>
      <c r="F346">
        <v>10</v>
      </c>
      <c r="G346" t="str">
        <f>VLOOKUP(P346,定义数据!$B$14:$C$29,2,0)&amp;"+"&amp;Q346&amp;IF(R346=0,"",","&amp;VLOOKUP(R346,定义数据!$B$14:$C$29,2,0)&amp;"+"&amp;S346)&amp;IF(T346=0,"",","&amp;VLOOKUP(T346,定义数据!$B$14:$C$29,2,0)&amp;"+"&amp;U346)</f>
        <v>攻击+6400</v>
      </c>
      <c r="H346">
        <v>0</v>
      </c>
      <c r="I346">
        <f t="shared" si="56"/>
        <v>2</v>
      </c>
      <c r="J346">
        <f>IF(ISERROR(VLOOKUP(D346,命格辅助表!$I$76:$N$86,D_命格表!E346+2,0)),0,VLOOKUP(D346,命格辅助表!$I$76:$N$86,D_命格表!E346+2,0))</f>
        <v>81920</v>
      </c>
      <c r="K346">
        <f>IF(ISERROR(VLOOKUP(D346,命格辅助表!$P$76:$U$86,E346+2,0)),0,VLOOKUP(D346,命格辅助表!$P$76:$U$86,E346+2,0))</f>
        <v>81600</v>
      </c>
      <c r="L346">
        <f>IF(ISERROR(VLOOKUP(D346,命格辅助表!$I$76:$N$86,D_命格表!E346+2,0)),0,VLOOKUP(D346,命格辅助表!$I$76:$N$86,D_命格表!E346+2,0))</f>
        <v>81920</v>
      </c>
      <c r="M346">
        <f>A346+10</f>
        <v>8260</v>
      </c>
      <c r="N346">
        <v>8250</v>
      </c>
      <c r="O346">
        <f t="shared" si="52"/>
        <v>1</v>
      </c>
      <c r="P346">
        <f t="shared" si="54"/>
        <v>2</v>
      </c>
      <c r="Q346">
        <f>ROUND((VLOOKUP($A346,命格属性表,13,0)+VLOOKUP($A346,命格属性表,20,0)*($D346-1))*IF(P346&gt;9,1,VLOOKUP(D346,命格辅助表!$S$3:$U$10,3,0)),0)</f>
        <v>6400</v>
      </c>
      <c r="R346">
        <f t="shared" si="55"/>
        <v>0</v>
      </c>
      <c r="S346">
        <f>ROUND(IF(R346=0,0,VLOOKUP($A346,命格属性表,15,0)+VLOOKUP($A346,命格属性表,22,0)*($D346-1))*IF(R346&gt;9,1,VLOOKUP(D346,命格辅助表!$S$3:$U$10,3,0)),0)</f>
        <v>0</v>
      </c>
      <c r="T346">
        <f t="shared" si="57"/>
        <v>0</v>
      </c>
      <c r="U346">
        <f t="shared" si="53"/>
        <v>0</v>
      </c>
    </row>
    <row r="347" spans="1:21">
      <c r="A347">
        <v>8350</v>
      </c>
      <c r="B347" t="s">
        <v>318</v>
      </c>
      <c r="C347">
        <f t="shared" si="58"/>
        <v>3</v>
      </c>
      <c r="D347">
        <v>1</v>
      </c>
      <c r="E347">
        <v>4</v>
      </c>
      <c r="F347">
        <v>10</v>
      </c>
      <c r="G347" t="str">
        <f>VLOOKUP(P347,定义数据!$B$14:$C$29,2,0)&amp;"+"&amp;Q347&amp;IF(R347=0,"",","&amp;VLOOKUP(R347,定义数据!$B$14:$C$29,2,0)&amp;"+"&amp;S347)&amp;IF(T347=0,"",","&amp;VLOOKUP(T347,定义数据!$B$14:$C$29,2,0)&amp;"+"&amp;U347)</f>
        <v>防御+375</v>
      </c>
      <c r="H347">
        <v>0</v>
      </c>
      <c r="I347">
        <f t="shared" si="56"/>
        <v>3</v>
      </c>
      <c r="J347">
        <f>IF(ISERROR(VLOOKUP(D347,命格辅助表!$I$76:$N$86,D_命格表!E347+2,0)),0,VLOOKUP(D347,命格辅助表!$I$76:$N$86,D_命格表!E347+2,0))</f>
        <v>640</v>
      </c>
      <c r="K347">
        <f>IF(ISERROR(VLOOKUP(D347,命格辅助表!$P$76:$U$86,E347+2,0)),0,VLOOKUP(D347,命格辅助表!$P$76:$U$86,E347+2,0))</f>
        <v>320</v>
      </c>
      <c r="L347">
        <v>0</v>
      </c>
      <c r="M347">
        <v>0</v>
      </c>
      <c r="N347">
        <v>8350</v>
      </c>
      <c r="O347">
        <f t="shared" si="52"/>
        <v>1</v>
      </c>
      <c r="P347">
        <f t="shared" si="54"/>
        <v>3</v>
      </c>
      <c r="Q347">
        <f>ROUND((VLOOKUP($A347,命格属性表,13,0)+VLOOKUP($A347,命格属性表,20,0)*($D347-1))*IF(P347&gt;9,1,VLOOKUP(D347,命格辅助表!$S$3:$U$10,3,0)),0)</f>
        <v>375</v>
      </c>
      <c r="R347">
        <f t="shared" si="55"/>
        <v>0</v>
      </c>
      <c r="S347">
        <f>ROUND(IF(R347=0,0,VLOOKUP($A347,命格属性表,15,0)+VLOOKUP($A347,命格属性表,22,0)*($D347-1))*IF(R347&gt;9,1,VLOOKUP(D347,命格辅助表!$S$3:$U$10,3,0)),0)</f>
        <v>0</v>
      </c>
      <c r="T347">
        <f t="shared" si="57"/>
        <v>0</v>
      </c>
      <c r="U347">
        <f t="shared" si="53"/>
        <v>0</v>
      </c>
    </row>
    <row r="348" spans="1:21">
      <c r="A348">
        <v>8350</v>
      </c>
      <c r="B348" t="s">
        <v>318</v>
      </c>
      <c r="C348">
        <f t="shared" si="58"/>
        <v>3</v>
      </c>
      <c r="D348">
        <v>2</v>
      </c>
      <c r="E348">
        <v>4</v>
      </c>
      <c r="F348">
        <v>10</v>
      </c>
      <c r="G348" t="str">
        <f>VLOOKUP(P348,定义数据!$B$14:$C$29,2,0)&amp;"+"&amp;Q348&amp;IF(R348=0,"",","&amp;VLOOKUP(R348,定义数据!$B$14:$C$29,2,0)&amp;"+"&amp;S348)&amp;IF(T348=0,"",","&amp;VLOOKUP(T348,定义数据!$B$14:$C$29,2,0)&amp;"+"&amp;U348)</f>
        <v>防御+562</v>
      </c>
      <c r="H348">
        <v>0</v>
      </c>
      <c r="I348">
        <f t="shared" si="56"/>
        <v>3</v>
      </c>
      <c r="J348">
        <f>IF(ISERROR(VLOOKUP(D348,命格辅助表!$I$76:$N$86,D_命格表!E348+2,0)),0,VLOOKUP(D348,命格辅助表!$I$76:$N$86,D_命格表!E348+2,0))</f>
        <v>1280</v>
      </c>
      <c r="K348">
        <f>IF(ISERROR(VLOOKUP(D348,命格辅助表!$P$76:$U$86,E348+2,0)),0,VLOOKUP(D348,命格辅助表!$P$76:$U$86,E348+2,0))</f>
        <v>960</v>
      </c>
      <c r="L348">
        <v>0</v>
      </c>
      <c r="M348">
        <v>0</v>
      </c>
      <c r="N348">
        <v>8350</v>
      </c>
      <c r="O348">
        <f t="shared" si="52"/>
        <v>1</v>
      </c>
      <c r="P348">
        <f t="shared" si="54"/>
        <v>3</v>
      </c>
      <c r="Q348">
        <f>ROUND((VLOOKUP($A348,命格属性表,13,0)+VLOOKUP($A348,命格属性表,20,0)*($D348-1))*IF(P348&gt;9,1,VLOOKUP(D348,命格辅助表!$S$3:$U$10,3,0)),0)</f>
        <v>562</v>
      </c>
      <c r="R348">
        <f t="shared" si="55"/>
        <v>0</v>
      </c>
      <c r="S348">
        <f>ROUND(IF(R348=0,0,VLOOKUP($A348,命格属性表,15,0)+VLOOKUP($A348,命格属性表,22,0)*($D348-1))*IF(R348&gt;9,1,VLOOKUP(D348,命格辅助表!$S$3:$U$10,3,0)),0)</f>
        <v>0</v>
      </c>
      <c r="T348">
        <f t="shared" si="57"/>
        <v>0</v>
      </c>
      <c r="U348">
        <f t="shared" si="53"/>
        <v>0</v>
      </c>
    </row>
    <row r="349" spans="1:21">
      <c r="A349">
        <v>8350</v>
      </c>
      <c r="B349" t="s">
        <v>318</v>
      </c>
      <c r="C349">
        <f t="shared" si="58"/>
        <v>3</v>
      </c>
      <c r="D349">
        <v>3</v>
      </c>
      <c r="E349">
        <v>4</v>
      </c>
      <c r="F349">
        <v>10</v>
      </c>
      <c r="G349" t="str">
        <f>VLOOKUP(P349,定义数据!$B$14:$C$29,2,0)&amp;"+"&amp;Q349&amp;IF(R349=0,"",","&amp;VLOOKUP(R349,定义数据!$B$14:$C$29,2,0)&amp;"+"&amp;S349)&amp;IF(T349=0,"",","&amp;VLOOKUP(T349,定义数据!$B$14:$C$29,2,0)&amp;"+"&amp;U349)</f>
        <v>防御+843</v>
      </c>
      <c r="H349">
        <v>0</v>
      </c>
      <c r="I349">
        <f t="shared" si="56"/>
        <v>3</v>
      </c>
      <c r="J349">
        <f>IF(ISERROR(VLOOKUP(D349,命格辅助表!$I$76:$N$86,D_命格表!E349+2,0)),0,VLOOKUP(D349,命格辅助表!$I$76:$N$86,D_命格表!E349+2,0))</f>
        <v>2560</v>
      </c>
      <c r="K349">
        <f>IF(ISERROR(VLOOKUP(D349,命格辅助表!$P$76:$U$86,E349+2,0)),0,VLOOKUP(D349,命格辅助表!$P$76:$U$86,E349+2,0))</f>
        <v>2240</v>
      </c>
      <c r="L349">
        <v>0</v>
      </c>
      <c r="M349">
        <v>0</v>
      </c>
      <c r="N349">
        <v>8350</v>
      </c>
      <c r="O349">
        <f t="shared" si="52"/>
        <v>1</v>
      </c>
      <c r="P349">
        <f t="shared" si="54"/>
        <v>3</v>
      </c>
      <c r="Q349">
        <f>ROUND((VLOOKUP($A349,命格属性表,13,0)+VLOOKUP($A349,命格属性表,20,0)*($D349-1))*IF(P349&gt;9,1,VLOOKUP(D349,命格辅助表!$S$3:$U$10,3,0)),0)</f>
        <v>843</v>
      </c>
      <c r="R349">
        <f t="shared" si="55"/>
        <v>0</v>
      </c>
      <c r="S349">
        <f>ROUND(IF(R349=0,0,VLOOKUP($A349,命格属性表,15,0)+VLOOKUP($A349,命格属性表,22,0)*($D349-1))*IF(R349&gt;9,1,VLOOKUP(D349,命格辅助表!$S$3:$U$10,3,0)),0)</f>
        <v>0</v>
      </c>
      <c r="T349">
        <f t="shared" si="57"/>
        <v>0</v>
      </c>
      <c r="U349">
        <f t="shared" si="53"/>
        <v>0</v>
      </c>
    </row>
    <row r="350" spans="1:21">
      <c r="A350">
        <v>8350</v>
      </c>
      <c r="B350" t="s">
        <v>318</v>
      </c>
      <c r="C350">
        <f t="shared" si="58"/>
        <v>3</v>
      </c>
      <c r="D350">
        <v>4</v>
      </c>
      <c r="E350">
        <v>4</v>
      </c>
      <c r="F350">
        <v>10</v>
      </c>
      <c r="G350" t="str">
        <f>VLOOKUP(P350,定义数据!$B$14:$C$29,2,0)&amp;"+"&amp;Q350&amp;IF(R350=0,"",","&amp;VLOOKUP(R350,定义数据!$B$14:$C$29,2,0)&amp;"+"&amp;S350)&amp;IF(T350=0,"",","&amp;VLOOKUP(T350,定义数据!$B$14:$C$29,2,0)&amp;"+"&amp;U350)</f>
        <v>防御+1264</v>
      </c>
      <c r="H350">
        <v>0</v>
      </c>
      <c r="I350">
        <f t="shared" si="56"/>
        <v>3</v>
      </c>
      <c r="J350">
        <f>IF(ISERROR(VLOOKUP(D350,命格辅助表!$I$76:$N$86,D_命格表!E350+2,0)),0,VLOOKUP(D350,命格辅助表!$I$76:$N$86,D_命格表!E350+2,0))</f>
        <v>5120</v>
      </c>
      <c r="K350">
        <f>IF(ISERROR(VLOOKUP(D350,命格辅助表!$P$76:$U$86,E350+2,0)),0,VLOOKUP(D350,命格辅助表!$P$76:$U$86,E350+2,0))</f>
        <v>4800</v>
      </c>
      <c r="L350">
        <v>0</v>
      </c>
      <c r="M350">
        <v>0</v>
      </c>
      <c r="N350">
        <v>8350</v>
      </c>
      <c r="O350">
        <f t="shared" si="52"/>
        <v>1</v>
      </c>
      <c r="P350">
        <f t="shared" si="54"/>
        <v>3</v>
      </c>
      <c r="Q350">
        <f>ROUND((VLOOKUP($A350,命格属性表,13,0)+VLOOKUP($A350,命格属性表,20,0)*($D350-1))*IF(P350&gt;9,1,VLOOKUP(D350,命格辅助表!$S$3:$U$10,3,0)),0)</f>
        <v>1264</v>
      </c>
      <c r="R350">
        <f t="shared" si="55"/>
        <v>0</v>
      </c>
      <c r="S350">
        <f>ROUND(IF(R350=0,0,VLOOKUP($A350,命格属性表,15,0)+VLOOKUP($A350,命格属性表,22,0)*($D350-1))*IF(R350&gt;9,1,VLOOKUP(D350,命格辅助表!$S$3:$U$10,3,0)),0)</f>
        <v>0</v>
      </c>
      <c r="T350">
        <f t="shared" si="57"/>
        <v>0</v>
      </c>
      <c r="U350">
        <f t="shared" si="53"/>
        <v>0</v>
      </c>
    </row>
    <row r="351" spans="1:21">
      <c r="A351">
        <v>8350</v>
      </c>
      <c r="B351" t="s">
        <v>318</v>
      </c>
      <c r="C351">
        <f t="shared" si="58"/>
        <v>3</v>
      </c>
      <c r="D351">
        <v>5</v>
      </c>
      <c r="E351">
        <v>4</v>
      </c>
      <c r="F351">
        <v>10</v>
      </c>
      <c r="G351" t="str">
        <f>VLOOKUP(P351,定义数据!$B$14:$C$29,2,0)&amp;"+"&amp;Q351&amp;IF(R351=0,"",","&amp;VLOOKUP(R351,定义数据!$B$14:$C$29,2,0)&amp;"+"&amp;S351)&amp;IF(T351=0,"",","&amp;VLOOKUP(T351,定义数据!$B$14:$C$29,2,0)&amp;"+"&amp;U351)</f>
        <v>防御+1896</v>
      </c>
      <c r="H351">
        <v>0</v>
      </c>
      <c r="I351">
        <f t="shared" si="56"/>
        <v>3</v>
      </c>
      <c r="J351">
        <f>IF(ISERROR(VLOOKUP(D351,命格辅助表!$I$76:$N$86,D_命格表!E351+2,0)),0,VLOOKUP(D351,命格辅助表!$I$76:$N$86,D_命格表!E351+2,0))</f>
        <v>10240</v>
      </c>
      <c r="K351">
        <f>IF(ISERROR(VLOOKUP(D351,命格辅助表!$P$76:$U$86,E351+2,0)),0,VLOOKUP(D351,命格辅助表!$P$76:$U$86,E351+2,0))</f>
        <v>9920</v>
      </c>
      <c r="L351">
        <v>0</v>
      </c>
      <c r="M351">
        <v>0</v>
      </c>
      <c r="N351">
        <v>8350</v>
      </c>
      <c r="O351">
        <f t="shared" si="52"/>
        <v>1</v>
      </c>
      <c r="P351">
        <f t="shared" si="54"/>
        <v>3</v>
      </c>
      <c r="Q351">
        <f>ROUND((VLOOKUP($A351,命格属性表,13,0)+VLOOKUP($A351,命格属性表,20,0)*($D351-1))*IF(P351&gt;9,1,VLOOKUP(D351,命格辅助表!$S$3:$U$10,3,0)),0)</f>
        <v>1896</v>
      </c>
      <c r="R351">
        <f t="shared" si="55"/>
        <v>0</v>
      </c>
      <c r="S351">
        <f>ROUND(IF(R351=0,0,VLOOKUP($A351,命格属性表,15,0)+VLOOKUP($A351,命格属性表,22,0)*($D351-1))*IF(R351&gt;9,1,VLOOKUP(D351,命格辅助表!$S$3:$U$10,3,0)),0)</f>
        <v>0</v>
      </c>
      <c r="T351">
        <f t="shared" si="57"/>
        <v>0</v>
      </c>
      <c r="U351">
        <f t="shared" si="53"/>
        <v>0</v>
      </c>
    </row>
    <row r="352" spans="1:21">
      <c r="A352">
        <v>8350</v>
      </c>
      <c r="B352" t="s">
        <v>318</v>
      </c>
      <c r="C352">
        <f t="shared" si="58"/>
        <v>3</v>
      </c>
      <c r="D352">
        <v>6</v>
      </c>
      <c r="E352">
        <v>4</v>
      </c>
      <c r="F352">
        <v>10</v>
      </c>
      <c r="G352" t="str">
        <f>VLOOKUP(P352,定义数据!$B$14:$C$29,2,0)&amp;"+"&amp;Q352&amp;IF(R352=0,"",","&amp;VLOOKUP(R352,定义数据!$B$14:$C$29,2,0)&amp;"+"&amp;S352)&amp;IF(T352=0,"",","&amp;VLOOKUP(T352,定义数据!$B$14:$C$29,2,0)&amp;"+"&amp;U352)</f>
        <v>防御+2844</v>
      </c>
      <c r="H352">
        <v>0</v>
      </c>
      <c r="I352">
        <f t="shared" si="56"/>
        <v>3</v>
      </c>
      <c r="J352">
        <f>IF(ISERROR(VLOOKUP(D352,命格辅助表!$I$76:$N$86,D_命格表!E352+2,0)),0,VLOOKUP(D352,命格辅助表!$I$76:$N$86,D_命格表!E352+2,0))</f>
        <v>20480</v>
      </c>
      <c r="K352">
        <f>IF(ISERROR(VLOOKUP(D352,命格辅助表!$P$76:$U$86,E352+2,0)),0,VLOOKUP(D352,命格辅助表!$P$76:$U$86,E352+2,0))</f>
        <v>20160</v>
      </c>
      <c r="L352">
        <v>0</v>
      </c>
      <c r="M352">
        <v>0</v>
      </c>
      <c r="N352">
        <v>8350</v>
      </c>
      <c r="O352">
        <f t="shared" si="52"/>
        <v>1</v>
      </c>
      <c r="P352">
        <f t="shared" si="54"/>
        <v>3</v>
      </c>
      <c r="Q352">
        <f>ROUND((VLOOKUP($A352,命格属性表,13,0)+VLOOKUP($A352,命格属性表,20,0)*($D352-1))*IF(P352&gt;9,1,VLOOKUP(D352,命格辅助表!$S$3:$U$10,3,0)),0)</f>
        <v>2844</v>
      </c>
      <c r="R352">
        <f t="shared" si="55"/>
        <v>0</v>
      </c>
      <c r="S352">
        <f>ROUND(IF(R352=0,0,VLOOKUP($A352,命格属性表,15,0)+VLOOKUP($A352,命格属性表,22,0)*($D352-1))*IF(R352&gt;9,1,VLOOKUP(D352,命格辅助表!$S$3:$U$10,3,0)),0)</f>
        <v>0</v>
      </c>
      <c r="T352">
        <f t="shared" si="57"/>
        <v>0</v>
      </c>
      <c r="U352">
        <f t="shared" si="53"/>
        <v>0</v>
      </c>
    </row>
    <row r="353" spans="1:21">
      <c r="A353">
        <v>8350</v>
      </c>
      <c r="B353" t="s">
        <v>318</v>
      </c>
      <c r="C353">
        <f t="shared" si="58"/>
        <v>3</v>
      </c>
      <c r="D353">
        <v>7</v>
      </c>
      <c r="E353">
        <v>4</v>
      </c>
      <c r="F353">
        <v>10</v>
      </c>
      <c r="G353" t="str">
        <f>VLOOKUP(P353,定义数据!$B$14:$C$29,2,0)&amp;"+"&amp;Q353&amp;IF(R353=0,"",","&amp;VLOOKUP(R353,定义数据!$B$14:$C$29,2,0)&amp;"+"&amp;S353)&amp;IF(T353=0,"",","&amp;VLOOKUP(T353,定义数据!$B$14:$C$29,2,0)&amp;"+"&amp;U353)</f>
        <v>防御+4267</v>
      </c>
      <c r="H353">
        <v>0</v>
      </c>
      <c r="I353">
        <f t="shared" si="56"/>
        <v>3</v>
      </c>
      <c r="J353">
        <f>IF(ISERROR(VLOOKUP(D353,命格辅助表!$I$76:$N$86,D_命格表!E353+2,0)),0,VLOOKUP(D353,命格辅助表!$I$76:$N$86,D_命格表!E353+2,0))</f>
        <v>40960</v>
      </c>
      <c r="K353">
        <f>IF(ISERROR(VLOOKUP(D353,命格辅助表!$P$76:$U$86,E353+2,0)),0,VLOOKUP(D353,命格辅助表!$P$76:$U$86,E353+2,0))</f>
        <v>40640</v>
      </c>
      <c r="L353">
        <v>0</v>
      </c>
      <c r="M353">
        <v>0</v>
      </c>
      <c r="N353">
        <v>8350</v>
      </c>
      <c r="O353">
        <f t="shared" si="52"/>
        <v>1</v>
      </c>
      <c r="P353">
        <f t="shared" si="54"/>
        <v>3</v>
      </c>
      <c r="Q353">
        <f>ROUND((VLOOKUP($A353,命格属性表,13,0)+VLOOKUP($A353,命格属性表,20,0)*($D353-1))*IF(P353&gt;9,1,VLOOKUP(D353,命格辅助表!$S$3:$U$10,3,0)),0)</f>
        <v>4267</v>
      </c>
      <c r="R353">
        <f t="shared" si="55"/>
        <v>0</v>
      </c>
      <c r="S353">
        <f>ROUND(IF(R353=0,0,VLOOKUP($A353,命格属性表,15,0)+VLOOKUP($A353,命格属性表,22,0)*($D353-1))*IF(R353&gt;9,1,VLOOKUP(D353,命格辅助表!$S$3:$U$10,3,0)),0)</f>
        <v>0</v>
      </c>
      <c r="T353">
        <f t="shared" si="57"/>
        <v>0</v>
      </c>
      <c r="U353">
        <f t="shared" si="53"/>
        <v>0</v>
      </c>
    </row>
    <row r="354" spans="1:21">
      <c r="A354">
        <v>8350</v>
      </c>
      <c r="B354" t="s">
        <v>318</v>
      </c>
      <c r="C354">
        <f t="shared" si="58"/>
        <v>3</v>
      </c>
      <c r="D354">
        <v>8</v>
      </c>
      <c r="E354">
        <v>4</v>
      </c>
      <c r="F354">
        <v>10</v>
      </c>
      <c r="G354" t="str">
        <f>VLOOKUP(P354,定义数据!$B$14:$C$29,2,0)&amp;"+"&amp;Q354&amp;IF(R354=0,"",","&amp;VLOOKUP(R354,定义数据!$B$14:$C$29,2,0)&amp;"+"&amp;S354)&amp;IF(T354=0,"",","&amp;VLOOKUP(T354,定义数据!$B$14:$C$29,2,0)&amp;"+"&amp;U354)</f>
        <v>防御+6400</v>
      </c>
      <c r="H354">
        <v>0</v>
      </c>
      <c r="I354">
        <f t="shared" si="56"/>
        <v>3</v>
      </c>
      <c r="J354">
        <f>IF(ISERROR(VLOOKUP(D354,命格辅助表!$I$76:$N$86,D_命格表!E354+2,0)),0,VLOOKUP(D354,命格辅助表!$I$76:$N$86,D_命格表!E354+2,0))</f>
        <v>81920</v>
      </c>
      <c r="K354">
        <f>IF(ISERROR(VLOOKUP(D354,命格辅助表!$P$76:$U$86,E354+2,0)),0,VLOOKUP(D354,命格辅助表!$P$76:$U$86,E354+2,0))</f>
        <v>81600</v>
      </c>
      <c r="L354">
        <f>IF(ISERROR(VLOOKUP(D354,命格辅助表!$I$76:$N$86,D_命格表!E354+2,0)),0,VLOOKUP(D354,命格辅助表!$I$76:$N$86,D_命格表!E354+2,0))</f>
        <v>81920</v>
      </c>
      <c r="M354">
        <f>A354+10</f>
        <v>8360</v>
      </c>
      <c r="N354">
        <v>8350</v>
      </c>
      <c r="O354">
        <f t="shared" si="52"/>
        <v>1</v>
      </c>
      <c r="P354">
        <f t="shared" si="54"/>
        <v>3</v>
      </c>
      <c r="Q354">
        <f>ROUND((VLOOKUP($A354,命格属性表,13,0)+VLOOKUP($A354,命格属性表,20,0)*($D354-1))*IF(P354&gt;9,1,VLOOKUP(D354,命格辅助表!$S$3:$U$10,3,0)),0)</f>
        <v>6400</v>
      </c>
      <c r="R354">
        <f t="shared" si="55"/>
        <v>0</v>
      </c>
      <c r="S354">
        <f>ROUND(IF(R354=0,0,VLOOKUP($A354,命格属性表,15,0)+VLOOKUP($A354,命格属性表,22,0)*($D354-1))*IF(R354&gt;9,1,VLOOKUP(D354,命格辅助表!$S$3:$U$10,3,0)),0)</f>
        <v>0</v>
      </c>
      <c r="T354">
        <f t="shared" si="57"/>
        <v>0</v>
      </c>
      <c r="U354">
        <f t="shared" si="53"/>
        <v>0</v>
      </c>
    </row>
    <row r="355" spans="1:21">
      <c r="A355">
        <v>8450</v>
      </c>
      <c r="B355" t="s">
        <v>319</v>
      </c>
      <c r="C355">
        <f t="shared" si="58"/>
        <v>4</v>
      </c>
      <c r="D355">
        <v>1</v>
      </c>
      <c r="E355">
        <v>4</v>
      </c>
      <c r="F355">
        <v>10</v>
      </c>
      <c r="G355" t="str">
        <f>VLOOKUP(P355,定义数据!$B$14:$C$29,2,0)&amp;"+"&amp;Q355&amp;IF(R355=0,"",","&amp;VLOOKUP(R355,定义数据!$B$14:$C$29,2,0)&amp;"+"&amp;S355)&amp;IF(T355=0,"",","&amp;VLOOKUP(T355,定义数据!$B$14:$C$29,2,0)&amp;"+"&amp;U355)</f>
        <v>命中值+1102</v>
      </c>
      <c r="H355">
        <v>0</v>
      </c>
      <c r="I355">
        <f t="shared" si="56"/>
        <v>4</v>
      </c>
      <c r="J355">
        <f>IF(ISERROR(VLOOKUP(D355,命格辅助表!$I$76:$N$86,D_命格表!E355+2,0)),0,VLOOKUP(D355,命格辅助表!$I$76:$N$86,D_命格表!E355+2,0))</f>
        <v>640</v>
      </c>
      <c r="K355">
        <f>IF(ISERROR(VLOOKUP(D355,命格辅助表!$P$76:$U$86,E355+2,0)),0,VLOOKUP(D355,命格辅助表!$P$76:$U$86,E355+2,0))</f>
        <v>320</v>
      </c>
      <c r="L355">
        <v>0</v>
      </c>
      <c r="M355">
        <v>0</v>
      </c>
      <c r="N355">
        <v>8450</v>
      </c>
      <c r="O355">
        <f t="shared" si="52"/>
        <v>1</v>
      </c>
      <c r="P355">
        <f t="shared" si="54"/>
        <v>6</v>
      </c>
      <c r="Q355">
        <f>ROUND((VLOOKUP($A355,命格属性表,13,0)+VLOOKUP($A355,命格属性表,20,0)*($D355-1))*IF(P355&gt;9,1,VLOOKUP(D355,命格辅助表!$S$3:$U$10,3,0)),0)</f>
        <v>1102</v>
      </c>
      <c r="R355">
        <f t="shared" si="55"/>
        <v>0</v>
      </c>
      <c r="S355">
        <f>ROUND(IF(R355=0,0,VLOOKUP($A355,命格属性表,15,0)+VLOOKUP($A355,命格属性表,22,0)*($D355-1))*IF(R355&gt;9,1,VLOOKUP(D355,命格辅助表!$S$3:$U$10,3,0)),0)</f>
        <v>0</v>
      </c>
      <c r="T355">
        <f t="shared" si="57"/>
        <v>0</v>
      </c>
      <c r="U355">
        <f t="shared" si="53"/>
        <v>0</v>
      </c>
    </row>
    <row r="356" spans="1:21">
      <c r="A356">
        <v>8450</v>
      </c>
      <c r="B356" t="s">
        <v>319</v>
      </c>
      <c r="C356">
        <f t="shared" si="58"/>
        <v>4</v>
      </c>
      <c r="D356">
        <v>2</v>
      </c>
      <c r="E356">
        <v>4</v>
      </c>
      <c r="F356">
        <v>10</v>
      </c>
      <c r="G356" t="str">
        <f>VLOOKUP(P356,定义数据!$B$14:$C$29,2,0)&amp;"+"&amp;Q356&amp;IF(R356=0,"",","&amp;VLOOKUP(R356,定义数据!$B$14:$C$29,2,0)&amp;"+"&amp;S356)&amp;IF(T356=0,"",","&amp;VLOOKUP(T356,定义数据!$B$14:$C$29,2,0)&amp;"+"&amp;U356)</f>
        <v>命中值+1653</v>
      </c>
      <c r="H356">
        <v>0</v>
      </c>
      <c r="I356">
        <f t="shared" si="56"/>
        <v>4</v>
      </c>
      <c r="J356">
        <f>IF(ISERROR(VLOOKUP(D356,命格辅助表!$I$76:$N$86,D_命格表!E356+2,0)),0,VLOOKUP(D356,命格辅助表!$I$76:$N$86,D_命格表!E356+2,0))</f>
        <v>1280</v>
      </c>
      <c r="K356">
        <f>IF(ISERROR(VLOOKUP(D356,命格辅助表!$P$76:$U$86,E356+2,0)),0,VLOOKUP(D356,命格辅助表!$P$76:$U$86,E356+2,0))</f>
        <v>960</v>
      </c>
      <c r="L356">
        <v>0</v>
      </c>
      <c r="M356">
        <v>0</v>
      </c>
      <c r="N356">
        <v>8450</v>
      </c>
      <c r="O356">
        <f t="shared" si="52"/>
        <v>1</v>
      </c>
      <c r="P356">
        <f t="shared" si="54"/>
        <v>6</v>
      </c>
      <c r="Q356">
        <f>ROUND((VLOOKUP($A356,命格属性表,13,0)+VLOOKUP($A356,命格属性表,20,0)*($D356-1))*IF(P356&gt;9,1,VLOOKUP(D356,命格辅助表!$S$3:$U$10,3,0)),0)</f>
        <v>1653</v>
      </c>
      <c r="R356">
        <f t="shared" si="55"/>
        <v>0</v>
      </c>
      <c r="S356">
        <f>ROUND(IF(R356=0,0,VLOOKUP($A356,命格属性表,15,0)+VLOOKUP($A356,命格属性表,22,0)*($D356-1))*IF(R356&gt;9,1,VLOOKUP(D356,命格辅助表!$S$3:$U$10,3,0)),0)</f>
        <v>0</v>
      </c>
      <c r="T356">
        <f t="shared" si="57"/>
        <v>0</v>
      </c>
      <c r="U356">
        <f t="shared" si="53"/>
        <v>0</v>
      </c>
    </row>
    <row r="357" spans="1:21">
      <c r="A357">
        <v>8450</v>
      </c>
      <c r="B357" t="s">
        <v>319</v>
      </c>
      <c r="C357">
        <f t="shared" si="58"/>
        <v>4</v>
      </c>
      <c r="D357">
        <v>3</v>
      </c>
      <c r="E357">
        <v>4</v>
      </c>
      <c r="F357">
        <v>10</v>
      </c>
      <c r="G357" t="str">
        <f>VLOOKUP(P357,定义数据!$B$14:$C$29,2,0)&amp;"+"&amp;Q357&amp;IF(R357=0,"",","&amp;VLOOKUP(R357,定义数据!$B$14:$C$29,2,0)&amp;"+"&amp;S357)&amp;IF(T357=0,"",","&amp;VLOOKUP(T357,定义数据!$B$14:$C$29,2,0)&amp;"+"&amp;U357)</f>
        <v>命中值+2479</v>
      </c>
      <c r="H357">
        <v>0</v>
      </c>
      <c r="I357">
        <f t="shared" si="56"/>
        <v>4</v>
      </c>
      <c r="J357">
        <f>IF(ISERROR(VLOOKUP(D357,命格辅助表!$I$76:$N$86,D_命格表!E357+2,0)),0,VLOOKUP(D357,命格辅助表!$I$76:$N$86,D_命格表!E357+2,0))</f>
        <v>2560</v>
      </c>
      <c r="K357">
        <f>IF(ISERROR(VLOOKUP(D357,命格辅助表!$P$76:$U$86,E357+2,0)),0,VLOOKUP(D357,命格辅助表!$P$76:$U$86,E357+2,0))</f>
        <v>2240</v>
      </c>
      <c r="L357">
        <v>0</v>
      </c>
      <c r="M357">
        <v>0</v>
      </c>
      <c r="N357">
        <v>8450</v>
      </c>
      <c r="O357">
        <f t="shared" si="52"/>
        <v>1</v>
      </c>
      <c r="P357">
        <f t="shared" si="54"/>
        <v>6</v>
      </c>
      <c r="Q357">
        <f>ROUND((VLOOKUP($A357,命格属性表,13,0)+VLOOKUP($A357,命格属性表,20,0)*($D357-1))*IF(P357&gt;9,1,VLOOKUP(D357,命格辅助表!$S$3:$U$10,3,0)),0)</f>
        <v>2479</v>
      </c>
      <c r="R357">
        <f t="shared" si="55"/>
        <v>0</v>
      </c>
      <c r="S357">
        <f>ROUND(IF(R357=0,0,VLOOKUP($A357,命格属性表,15,0)+VLOOKUP($A357,命格属性表,22,0)*($D357-1))*IF(R357&gt;9,1,VLOOKUP(D357,命格辅助表!$S$3:$U$10,3,0)),0)</f>
        <v>0</v>
      </c>
      <c r="T357">
        <f t="shared" si="57"/>
        <v>0</v>
      </c>
      <c r="U357">
        <f t="shared" si="53"/>
        <v>0</v>
      </c>
    </row>
    <row r="358" spans="1:21">
      <c r="A358">
        <v>8450</v>
      </c>
      <c r="B358" t="s">
        <v>319</v>
      </c>
      <c r="C358">
        <f t="shared" si="58"/>
        <v>4</v>
      </c>
      <c r="D358">
        <v>4</v>
      </c>
      <c r="E358">
        <v>4</v>
      </c>
      <c r="F358">
        <v>10</v>
      </c>
      <c r="G358" t="str">
        <f>VLOOKUP(P358,定义数据!$B$14:$C$29,2,0)&amp;"+"&amp;Q358&amp;IF(R358=0,"",","&amp;VLOOKUP(R358,定义数据!$B$14:$C$29,2,0)&amp;"+"&amp;S358)&amp;IF(T358=0,"",","&amp;VLOOKUP(T358,定义数据!$B$14:$C$29,2,0)&amp;"+"&amp;U358)</f>
        <v>命中值+3718</v>
      </c>
      <c r="H358">
        <v>0</v>
      </c>
      <c r="I358">
        <f t="shared" si="56"/>
        <v>4</v>
      </c>
      <c r="J358">
        <f>IF(ISERROR(VLOOKUP(D358,命格辅助表!$I$76:$N$86,D_命格表!E358+2,0)),0,VLOOKUP(D358,命格辅助表!$I$76:$N$86,D_命格表!E358+2,0))</f>
        <v>5120</v>
      </c>
      <c r="K358">
        <f>IF(ISERROR(VLOOKUP(D358,命格辅助表!$P$76:$U$86,E358+2,0)),0,VLOOKUP(D358,命格辅助表!$P$76:$U$86,E358+2,0))</f>
        <v>4800</v>
      </c>
      <c r="L358">
        <v>0</v>
      </c>
      <c r="M358">
        <v>0</v>
      </c>
      <c r="N358">
        <v>8450</v>
      </c>
      <c r="O358">
        <f t="shared" si="52"/>
        <v>1</v>
      </c>
      <c r="P358">
        <f t="shared" si="54"/>
        <v>6</v>
      </c>
      <c r="Q358">
        <f>ROUND((VLOOKUP($A358,命格属性表,13,0)+VLOOKUP($A358,命格属性表,20,0)*($D358-1))*IF(P358&gt;9,1,VLOOKUP(D358,命格辅助表!$S$3:$U$10,3,0)),0)</f>
        <v>3718</v>
      </c>
      <c r="R358">
        <f t="shared" si="55"/>
        <v>0</v>
      </c>
      <c r="S358">
        <f>ROUND(IF(R358=0,0,VLOOKUP($A358,命格属性表,15,0)+VLOOKUP($A358,命格属性表,22,0)*($D358-1))*IF(R358&gt;9,1,VLOOKUP(D358,命格辅助表!$S$3:$U$10,3,0)),0)</f>
        <v>0</v>
      </c>
      <c r="T358">
        <f t="shared" si="57"/>
        <v>0</v>
      </c>
      <c r="U358">
        <f t="shared" si="53"/>
        <v>0</v>
      </c>
    </row>
    <row r="359" spans="1:21">
      <c r="A359">
        <v>8450</v>
      </c>
      <c r="B359" t="s">
        <v>319</v>
      </c>
      <c r="C359">
        <f t="shared" si="58"/>
        <v>4</v>
      </c>
      <c r="D359">
        <v>5</v>
      </c>
      <c r="E359">
        <v>4</v>
      </c>
      <c r="F359">
        <v>10</v>
      </c>
      <c r="G359" t="str">
        <f>VLOOKUP(P359,定义数据!$B$14:$C$29,2,0)&amp;"+"&amp;Q359&amp;IF(R359=0,"",","&amp;VLOOKUP(R359,定义数据!$B$14:$C$29,2,0)&amp;"+"&amp;S359)&amp;IF(T359=0,"",","&amp;VLOOKUP(T359,定义数据!$B$14:$C$29,2,0)&amp;"+"&amp;U359)</f>
        <v>命中值+5577</v>
      </c>
      <c r="H359">
        <v>0</v>
      </c>
      <c r="I359">
        <f t="shared" si="56"/>
        <v>4</v>
      </c>
      <c r="J359">
        <f>IF(ISERROR(VLOOKUP(D359,命格辅助表!$I$76:$N$86,D_命格表!E359+2,0)),0,VLOOKUP(D359,命格辅助表!$I$76:$N$86,D_命格表!E359+2,0))</f>
        <v>10240</v>
      </c>
      <c r="K359">
        <f>IF(ISERROR(VLOOKUP(D359,命格辅助表!$P$76:$U$86,E359+2,0)),0,VLOOKUP(D359,命格辅助表!$P$76:$U$86,E359+2,0))</f>
        <v>9920</v>
      </c>
      <c r="L359">
        <v>0</v>
      </c>
      <c r="M359">
        <v>0</v>
      </c>
      <c r="N359">
        <v>8450</v>
      </c>
      <c r="O359">
        <f t="shared" si="52"/>
        <v>1</v>
      </c>
      <c r="P359">
        <f t="shared" si="54"/>
        <v>6</v>
      </c>
      <c r="Q359">
        <f>ROUND((VLOOKUP($A359,命格属性表,13,0)+VLOOKUP($A359,命格属性表,20,0)*($D359-1))*IF(P359&gt;9,1,VLOOKUP(D359,命格辅助表!$S$3:$U$10,3,0)),0)</f>
        <v>5577</v>
      </c>
      <c r="R359">
        <f t="shared" si="55"/>
        <v>0</v>
      </c>
      <c r="S359">
        <f>ROUND(IF(R359=0,0,VLOOKUP($A359,命格属性表,15,0)+VLOOKUP($A359,命格属性表,22,0)*($D359-1))*IF(R359&gt;9,1,VLOOKUP(D359,命格辅助表!$S$3:$U$10,3,0)),0)</f>
        <v>0</v>
      </c>
      <c r="T359">
        <f t="shared" si="57"/>
        <v>0</v>
      </c>
      <c r="U359">
        <f t="shared" si="53"/>
        <v>0</v>
      </c>
    </row>
    <row r="360" spans="1:21">
      <c r="A360">
        <v>8450</v>
      </c>
      <c r="B360" t="s">
        <v>319</v>
      </c>
      <c r="C360">
        <f t="shared" si="58"/>
        <v>4</v>
      </c>
      <c r="D360">
        <v>6</v>
      </c>
      <c r="E360">
        <v>4</v>
      </c>
      <c r="F360">
        <v>10</v>
      </c>
      <c r="G360" t="str">
        <f>VLOOKUP(P360,定义数据!$B$14:$C$29,2,0)&amp;"+"&amp;Q360&amp;IF(R360=0,"",","&amp;VLOOKUP(R360,定义数据!$B$14:$C$29,2,0)&amp;"+"&amp;S360)&amp;IF(T360=0,"",","&amp;VLOOKUP(T360,定义数据!$B$14:$C$29,2,0)&amp;"+"&amp;U360)</f>
        <v>命中值+8366</v>
      </c>
      <c r="H360">
        <v>0</v>
      </c>
      <c r="I360">
        <f t="shared" si="56"/>
        <v>4</v>
      </c>
      <c r="J360">
        <f>IF(ISERROR(VLOOKUP(D360,命格辅助表!$I$76:$N$86,D_命格表!E360+2,0)),0,VLOOKUP(D360,命格辅助表!$I$76:$N$86,D_命格表!E360+2,0))</f>
        <v>20480</v>
      </c>
      <c r="K360">
        <f>IF(ISERROR(VLOOKUP(D360,命格辅助表!$P$76:$U$86,E360+2,0)),0,VLOOKUP(D360,命格辅助表!$P$76:$U$86,E360+2,0))</f>
        <v>20160</v>
      </c>
      <c r="L360">
        <v>0</v>
      </c>
      <c r="M360">
        <v>0</v>
      </c>
      <c r="N360">
        <v>8450</v>
      </c>
      <c r="O360">
        <f t="shared" si="52"/>
        <v>1</v>
      </c>
      <c r="P360">
        <f t="shared" si="54"/>
        <v>6</v>
      </c>
      <c r="Q360">
        <f>ROUND((VLOOKUP($A360,命格属性表,13,0)+VLOOKUP($A360,命格属性表,20,0)*($D360-1))*IF(P360&gt;9,1,VLOOKUP(D360,命格辅助表!$S$3:$U$10,3,0)),0)</f>
        <v>8366</v>
      </c>
      <c r="R360">
        <f t="shared" si="55"/>
        <v>0</v>
      </c>
      <c r="S360">
        <f>ROUND(IF(R360=0,0,VLOOKUP($A360,命格属性表,15,0)+VLOOKUP($A360,命格属性表,22,0)*($D360-1))*IF(R360&gt;9,1,VLOOKUP(D360,命格辅助表!$S$3:$U$10,3,0)),0)</f>
        <v>0</v>
      </c>
      <c r="T360">
        <f t="shared" si="57"/>
        <v>0</v>
      </c>
      <c r="U360">
        <f t="shared" si="53"/>
        <v>0</v>
      </c>
    </row>
    <row r="361" spans="1:21">
      <c r="A361">
        <v>8450</v>
      </c>
      <c r="B361" t="s">
        <v>319</v>
      </c>
      <c r="C361">
        <f t="shared" si="58"/>
        <v>4</v>
      </c>
      <c r="D361">
        <v>7</v>
      </c>
      <c r="E361">
        <v>4</v>
      </c>
      <c r="F361">
        <v>10</v>
      </c>
      <c r="G361" t="str">
        <f>VLOOKUP(P361,定义数据!$B$14:$C$29,2,0)&amp;"+"&amp;Q361&amp;IF(R361=0,"",","&amp;VLOOKUP(R361,定义数据!$B$14:$C$29,2,0)&amp;"+"&amp;S361)&amp;IF(T361=0,"",","&amp;VLOOKUP(T361,定义数据!$B$14:$C$29,2,0)&amp;"+"&amp;U361)</f>
        <v>命中值+12549</v>
      </c>
      <c r="H361">
        <v>0</v>
      </c>
      <c r="I361">
        <f t="shared" si="56"/>
        <v>4</v>
      </c>
      <c r="J361">
        <f>IF(ISERROR(VLOOKUP(D361,命格辅助表!$I$76:$N$86,D_命格表!E361+2,0)),0,VLOOKUP(D361,命格辅助表!$I$76:$N$86,D_命格表!E361+2,0))</f>
        <v>40960</v>
      </c>
      <c r="K361">
        <f>IF(ISERROR(VLOOKUP(D361,命格辅助表!$P$76:$U$86,E361+2,0)),0,VLOOKUP(D361,命格辅助表!$P$76:$U$86,E361+2,0))</f>
        <v>40640</v>
      </c>
      <c r="L361">
        <v>0</v>
      </c>
      <c r="M361">
        <v>0</v>
      </c>
      <c r="N361">
        <v>8450</v>
      </c>
      <c r="O361">
        <f t="shared" si="52"/>
        <v>1</v>
      </c>
      <c r="P361">
        <f t="shared" si="54"/>
        <v>6</v>
      </c>
      <c r="Q361">
        <f>ROUND((VLOOKUP($A361,命格属性表,13,0)+VLOOKUP($A361,命格属性表,20,0)*($D361-1))*IF(P361&gt;9,1,VLOOKUP(D361,命格辅助表!$S$3:$U$10,3,0)),0)</f>
        <v>12549</v>
      </c>
      <c r="R361">
        <f t="shared" si="55"/>
        <v>0</v>
      </c>
      <c r="S361">
        <f>ROUND(IF(R361=0,0,VLOOKUP($A361,命格属性表,15,0)+VLOOKUP($A361,命格属性表,22,0)*($D361-1))*IF(R361&gt;9,1,VLOOKUP(D361,命格辅助表!$S$3:$U$10,3,0)),0)</f>
        <v>0</v>
      </c>
      <c r="T361">
        <f t="shared" si="57"/>
        <v>0</v>
      </c>
      <c r="U361">
        <f t="shared" si="53"/>
        <v>0</v>
      </c>
    </row>
    <row r="362" spans="1:21">
      <c r="A362">
        <v>8450</v>
      </c>
      <c r="B362" t="s">
        <v>319</v>
      </c>
      <c r="C362">
        <f t="shared" si="58"/>
        <v>4</v>
      </c>
      <c r="D362">
        <v>8</v>
      </c>
      <c r="E362">
        <v>4</v>
      </c>
      <c r="F362">
        <v>10</v>
      </c>
      <c r="G362" t="str">
        <f>VLOOKUP(P362,定义数据!$B$14:$C$29,2,0)&amp;"+"&amp;Q362&amp;IF(R362=0,"",","&amp;VLOOKUP(R362,定义数据!$B$14:$C$29,2,0)&amp;"+"&amp;S362)&amp;IF(T362=0,"",","&amp;VLOOKUP(T362,定义数据!$B$14:$C$29,2,0)&amp;"+"&amp;U362)</f>
        <v>命中值+18824</v>
      </c>
      <c r="H362">
        <v>0</v>
      </c>
      <c r="I362">
        <f t="shared" si="56"/>
        <v>4</v>
      </c>
      <c r="J362">
        <f>IF(ISERROR(VLOOKUP(D362,命格辅助表!$I$76:$N$86,D_命格表!E362+2,0)),0,VLOOKUP(D362,命格辅助表!$I$76:$N$86,D_命格表!E362+2,0))</f>
        <v>81920</v>
      </c>
      <c r="K362">
        <f>IF(ISERROR(VLOOKUP(D362,命格辅助表!$P$76:$U$86,E362+2,0)),0,VLOOKUP(D362,命格辅助表!$P$76:$U$86,E362+2,0))</f>
        <v>81600</v>
      </c>
      <c r="L362">
        <f>IF(ISERROR(VLOOKUP(D362,命格辅助表!$I$76:$N$86,D_命格表!E362+2,0)),0,VLOOKUP(D362,命格辅助表!$I$76:$N$86,D_命格表!E362+2,0))</f>
        <v>81920</v>
      </c>
      <c r="M362">
        <f>A362+10</f>
        <v>8460</v>
      </c>
      <c r="N362">
        <v>8450</v>
      </c>
      <c r="O362">
        <f t="shared" si="52"/>
        <v>1</v>
      </c>
      <c r="P362">
        <f t="shared" si="54"/>
        <v>6</v>
      </c>
      <c r="Q362">
        <f>ROUND((VLOOKUP($A362,命格属性表,13,0)+VLOOKUP($A362,命格属性表,20,0)*($D362-1))*IF(P362&gt;9,1,VLOOKUP(D362,命格辅助表!$S$3:$U$10,3,0)),0)</f>
        <v>18824</v>
      </c>
      <c r="R362">
        <f t="shared" si="55"/>
        <v>0</v>
      </c>
      <c r="S362">
        <f>ROUND(IF(R362=0,0,VLOOKUP($A362,命格属性表,15,0)+VLOOKUP($A362,命格属性表,22,0)*($D362-1))*IF(R362&gt;9,1,VLOOKUP(D362,命格辅助表!$S$3:$U$10,3,0)),0)</f>
        <v>0</v>
      </c>
      <c r="T362">
        <f t="shared" si="57"/>
        <v>0</v>
      </c>
      <c r="U362">
        <f t="shared" si="53"/>
        <v>0</v>
      </c>
    </row>
    <row r="363" spans="1:21">
      <c r="A363">
        <v>8550</v>
      </c>
      <c r="B363" t="s">
        <v>320</v>
      </c>
      <c r="C363">
        <f t="shared" si="58"/>
        <v>5</v>
      </c>
      <c r="D363">
        <v>1</v>
      </c>
      <c r="E363">
        <v>4</v>
      </c>
      <c r="F363">
        <v>10</v>
      </c>
      <c r="G363" t="str">
        <f>VLOOKUP(P363,定义数据!$B$14:$C$29,2,0)&amp;"+"&amp;Q363&amp;IF(R363=0,"",","&amp;VLOOKUP(R363,定义数据!$B$14:$C$29,2,0)&amp;"+"&amp;S363)&amp;IF(T363=0,"",","&amp;VLOOKUP(T363,定义数据!$B$14:$C$29,2,0)&amp;"+"&amp;U363)</f>
        <v>闪避值+1102</v>
      </c>
      <c r="H363">
        <v>0</v>
      </c>
      <c r="I363">
        <f t="shared" si="56"/>
        <v>5</v>
      </c>
      <c r="J363">
        <f>IF(ISERROR(VLOOKUP(D363,命格辅助表!$I$76:$N$86,D_命格表!E363+2,0)),0,VLOOKUP(D363,命格辅助表!$I$76:$N$86,D_命格表!E363+2,0))</f>
        <v>640</v>
      </c>
      <c r="K363">
        <f>IF(ISERROR(VLOOKUP(D363,命格辅助表!$P$76:$U$86,E363+2,0)),0,VLOOKUP(D363,命格辅助表!$P$76:$U$86,E363+2,0))</f>
        <v>320</v>
      </c>
      <c r="L363">
        <v>0</v>
      </c>
      <c r="M363">
        <v>0</v>
      </c>
      <c r="N363">
        <v>8150</v>
      </c>
      <c r="O363">
        <f t="shared" si="52"/>
        <v>1</v>
      </c>
      <c r="P363">
        <f t="shared" si="54"/>
        <v>7</v>
      </c>
      <c r="Q363">
        <f>ROUND((VLOOKUP($A363,命格属性表,13,0)+VLOOKUP($A363,命格属性表,20,0)*($D363-1))*IF(P363&gt;9,1,VLOOKUP(D363,命格辅助表!$S$3:$U$10,3,0)),0)</f>
        <v>1102</v>
      </c>
      <c r="R363">
        <f t="shared" si="55"/>
        <v>0</v>
      </c>
      <c r="S363">
        <f>ROUND(IF(R363=0,0,VLOOKUP($A363,命格属性表,15,0)+VLOOKUP($A363,命格属性表,22,0)*($D363-1))*IF(R363&gt;9,1,VLOOKUP(D363,命格辅助表!$S$3:$U$10,3,0)),0)</f>
        <v>0</v>
      </c>
      <c r="T363">
        <f t="shared" si="57"/>
        <v>0</v>
      </c>
      <c r="U363">
        <f t="shared" si="53"/>
        <v>0</v>
      </c>
    </row>
    <row r="364" spans="1:21">
      <c r="A364">
        <v>8550</v>
      </c>
      <c r="B364" t="s">
        <v>320</v>
      </c>
      <c r="C364">
        <f t="shared" si="58"/>
        <v>5</v>
      </c>
      <c r="D364">
        <v>2</v>
      </c>
      <c r="E364">
        <v>4</v>
      </c>
      <c r="F364">
        <v>10</v>
      </c>
      <c r="G364" t="str">
        <f>VLOOKUP(P364,定义数据!$B$14:$C$29,2,0)&amp;"+"&amp;Q364&amp;IF(R364=0,"",","&amp;VLOOKUP(R364,定义数据!$B$14:$C$29,2,0)&amp;"+"&amp;S364)&amp;IF(T364=0,"",","&amp;VLOOKUP(T364,定义数据!$B$14:$C$29,2,0)&amp;"+"&amp;U364)</f>
        <v>闪避值+1653</v>
      </c>
      <c r="H364">
        <v>0</v>
      </c>
      <c r="I364">
        <f t="shared" si="56"/>
        <v>5</v>
      </c>
      <c r="J364">
        <f>IF(ISERROR(VLOOKUP(D364,命格辅助表!$I$76:$N$86,D_命格表!E364+2,0)),0,VLOOKUP(D364,命格辅助表!$I$76:$N$86,D_命格表!E364+2,0))</f>
        <v>1280</v>
      </c>
      <c r="K364">
        <f>IF(ISERROR(VLOOKUP(D364,命格辅助表!$P$76:$U$86,E364+2,0)),0,VLOOKUP(D364,命格辅助表!$P$76:$U$86,E364+2,0))</f>
        <v>960</v>
      </c>
      <c r="L364">
        <v>0</v>
      </c>
      <c r="M364">
        <v>0</v>
      </c>
      <c r="N364">
        <v>8150</v>
      </c>
      <c r="O364">
        <f t="shared" si="52"/>
        <v>1</v>
      </c>
      <c r="P364">
        <f t="shared" si="54"/>
        <v>7</v>
      </c>
      <c r="Q364">
        <f>ROUND((VLOOKUP($A364,命格属性表,13,0)+VLOOKUP($A364,命格属性表,20,0)*($D364-1))*IF(P364&gt;9,1,VLOOKUP(D364,命格辅助表!$S$3:$U$10,3,0)),0)</f>
        <v>1653</v>
      </c>
      <c r="R364">
        <f t="shared" si="55"/>
        <v>0</v>
      </c>
      <c r="S364">
        <f>ROUND(IF(R364=0,0,VLOOKUP($A364,命格属性表,15,0)+VLOOKUP($A364,命格属性表,22,0)*($D364-1))*IF(R364&gt;9,1,VLOOKUP(D364,命格辅助表!$S$3:$U$10,3,0)),0)</f>
        <v>0</v>
      </c>
      <c r="T364">
        <f t="shared" si="57"/>
        <v>0</v>
      </c>
      <c r="U364">
        <f t="shared" si="53"/>
        <v>0</v>
      </c>
    </row>
    <row r="365" spans="1:21">
      <c r="A365">
        <v>8550</v>
      </c>
      <c r="B365" t="s">
        <v>320</v>
      </c>
      <c r="C365">
        <f t="shared" si="58"/>
        <v>5</v>
      </c>
      <c r="D365">
        <v>3</v>
      </c>
      <c r="E365">
        <v>4</v>
      </c>
      <c r="F365">
        <v>10</v>
      </c>
      <c r="G365" t="str">
        <f>VLOOKUP(P365,定义数据!$B$14:$C$29,2,0)&amp;"+"&amp;Q365&amp;IF(R365=0,"",","&amp;VLOOKUP(R365,定义数据!$B$14:$C$29,2,0)&amp;"+"&amp;S365)&amp;IF(T365=0,"",","&amp;VLOOKUP(T365,定义数据!$B$14:$C$29,2,0)&amp;"+"&amp;U365)</f>
        <v>闪避值+2479</v>
      </c>
      <c r="H365">
        <v>0</v>
      </c>
      <c r="I365">
        <f t="shared" si="56"/>
        <v>5</v>
      </c>
      <c r="J365">
        <f>IF(ISERROR(VLOOKUP(D365,命格辅助表!$I$76:$N$86,D_命格表!E365+2,0)),0,VLOOKUP(D365,命格辅助表!$I$76:$N$86,D_命格表!E365+2,0))</f>
        <v>2560</v>
      </c>
      <c r="K365">
        <f>IF(ISERROR(VLOOKUP(D365,命格辅助表!$P$76:$U$86,E365+2,0)),0,VLOOKUP(D365,命格辅助表!$P$76:$U$86,E365+2,0))</f>
        <v>2240</v>
      </c>
      <c r="L365">
        <v>0</v>
      </c>
      <c r="M365">
        <v>0</v>
      </c>
      <c r="N365">
        <v>8150</v>
      </c>
      <c r="O365">
        <f t="shared" si="52"/>
        <v>1</v>
      </c>
      <c r="P365">
        <f t="shared" si="54"/>
        <v>7</v>
      </c>
      <c r="Q365">
        <f>ROUND((VLOOKUP($A365,命格属性表,13,0)+VLOOKUP($A365,命格属性表,20,0)*($D365-1))*IF(P365&gt;9,1,VLOOKUP(D365,命格辅助表!$S$3:$U$10,3,0)),0)</f>
        <v>2479</v>
      </c>
      <c r="R365">
        <f t="shared" si="55"/>
        <v>0</v>
      </c>
      <c r="S365">
        <f>ROUND(IF(R365=0,0,VLOOKUP($A365,命格属性表,15,0)+VLOOKUP($A365,命格属性表,22,0)*($D365-1))*IF(R365&gt;9,1,VLOOKUP(D365,命格辅助表!$S$3:$U$10,3,0)),0)</f>
        <v>0</v>
      </c>
      <c r="T365">
        <f t="shared" si="57"/>
        <v>0</v>
      </c>
      <c r="U365">
        <f t="shared" si="53"/>
        <v>0</v>
      </c>
    </row>
    <row r="366" spans="1:21">
      <c r="A366">
        <v>8550</v>
      </c>
      <c r="B366" t="s">
        <v>320</v>
      </c>
      <c r="C366">
        <f t="shared" si="58"/>
        <v>5</v>
      </c>
      <c r="D366">
        <v>4</v>
      </c>
      <c r="E366">
        <v>4</v>
      </c>
      <c r="F366">
        <v>10</v>
      </c>
      <c r="G366" t="str">
        <f>VLOOKUP(P366,定义数据!$B$14:$C$29,2,0)&amp;"+"&amp;Q366&amp;IF(R366=0,"",","&amp;VLOOKUP(R366,定义数据!$B$14:$C$29,2,0)&amp;"+"&amp;S366)&amp;IF(T366=0,"",","&amp;VLOOKUP(T366,定义数据!$B$14:$C$29,2,0)&amp;"+"&amp;U366)</f>
        <v>闪避值+3718</v>
      </c>
      <c r="H366">
        <v>0</v>
      </c>
      <c r="I366">
        <f t="shared" si="56"/>
        <v>5</v>
      </c>
      <c r="J366">
        <f>IF(ISERROR(VLOOKUP(D366,命格辅助表!$I$76:$N$86,D_命格表!E366+2,0)),0,VLOOKUP(D366,命格辅助表!$I$76:$N$86,D_命格表!E366+2,0))</f>
        <v>5120</v>
      </c>
      <c r="K366">
        <f>IF(ISERROR(VLOOKUP(D366,命格辅助表!$P$76:$U$86,E366+2,0)),0,VLOOKUP(D366,命格辅助表!$P$76:$U$86,E366+2,0))</f>
        <v>4800</v>
      </c>
      <c r="L366">
        <v>0</v>
      </c>
      <c r="M366">
        <v>0</v>
      </c>
      <c r="N366">
        <v>8150</v>
      </c>
      <c r="O366">
        <f t="shared" si="52"/>
        <v>1</v>
      </c>
      <c r="P366">
        <f t="shared" si="54"/>
        <v>7</v>
      </c>
      <c r="Q366">
        <f>ROUND((VLOOKUP($A366,命格属性表,13,0)+VLOOKUP($A366,命格属性表,20,0)*($D366-1))*IF(P366&gt;9,1,VLOOKUP(D366,命格辅助表!$S$3:$U$10,3,0)),0)</f>
        <v>3718</v>
      </c>
      <c r="R366">
        <f t="shared" si="55"/>
        <v>0</v>
      </c>
      <c r="S366">
        <f>ROUND(IF(R366=0,0,VLOOKUP($A366,命格属性表,15,0)+VLOOKUP($A366,命格属性表,22,0)*($D366-1))*IF(R366&gt;9,1,VLOOKUP(D366,命格辅助表!$S$3:$U$10,3,0)),0)</f>
        <v>0</v>
      </c>
      <c r="T366">
        <f t="shared" si="57"/>
        <v>0</v>
      </c>
      <c r="U366">
        <f t="shared" si="53"/>
        <v>0</v>
      </c>
    </row>
    <row r="367" spans="1:21">
      <c r="A367">
        <v>8550</v>
      </c>
      <c r="B367" t="s">
        <v>320</v>
      </c>
      <c r="C367">
        <f t="shared" si="58"/>
        <v>5</v>
      </c>
      <c r="D367">
        <v>5</v>
      </c>
      <c r="E367">
        <v>4</v>
      </c>
      <c r="F367">
        <v>10</v>
      </c>
      <c r="G367" t="str">
        <f>VLOOKUP(P367,定义数据!$B$14:$C$29,2,0)&amp;"+"&amp;Q367&amp;IF(R367=0,"",","&amp;VLOOKUP(R367,定义数据!$B$14:$C$29,2,0)&amp;"+"&amp;S367)&amp;IF(T367=0,"",","&amp;VLOOKUP(T367,定义数据!$B$14:$C$29,2,0)&amp;"+"&amp;U367)</f>
        <v>闪避值+5577</v>
      </c>
      <c r="H367">
        <v>0</v>
      </c>
      <c r="I367">
        <f t="shared" si="56"/>
        <v>5</v>
      </c>
      <c r="J367">
        <f>IF(ISERROR(VLOOKUP(D367,命格辅助表!$I$76:$N$86,D_命格表!E367+2,0)),0,VLOOKUP(D367,命格辅助表!$I$76:$N$86,D_命格表!E367+2,0))</f>
        <v>10240</v>
      </c>
      <c r="K367">
        <f>IF(ISERROR(VLOOKUP(D367,命格辅助表!$P$76:$U$86,E367+2,0)),0,VLOOKUP(D367,命格辅助表!$P$76:$U$86,E367+2,0))</f>
        <v>9920</v>
      </c>
      <c r="L367">
        <v>0</v>
      </c>
      <c r="M367">
        <v>0</v>
      </c>
      <c r="N367">
        <v>8150</v>
      </c>
      <c r="O367">
        <f t="shared" si="52"/>
        <v>1</v>
      </c>
      <c r="P367">
        <f t="shared" si="54"/>
        <v>7</v>
      </c>
      <c r="Q367">
        <f>ROUND((VLOOKUP($A367,命格属性表,13,0)+VLOOKUP($A367,命格属性表,20,0)*($D367-1))*IF(P367&gt;9,1,VLOOKUP(D367,命格辅助表!$S$3:$U$10,3,0)),0)</f>
        <v>5577</v>
      </c>
      <c r="R367">
        <f t="shared" si="55"/>
        <v>0</v>
      </c>
      <c r="S367">
        <f>ROUND(IF(R367=0,0,VLOOKUP($A367,命格属性表,15,0)+VLOOKUP($A367,命格属性表,22,0)*($D367-1))*IF(R367&gt;9,1,VLOOKUP(D367,命格辅助表!$S$3:$U$10,3,0)),0)</f>
        <v>0</v>
      </c>
      <c r="T367">
        <f t="shared" si="57"/>
        <v>0</v>
      </c>
      <c r="U367">
        <f t="shared" si="53"/>
        <v>0</v>
      </c>
    </row>
    <row r="368" spans="1:21">
      <c r="A368">
        <v>8550</v>
      </c>
      <c r="B368" t="s">
        <v>320</v>
      </c>
      <c r="C368">
        <f t="shared" si="58"/>
        <v>5</v>
      </c>
      <c r="D368">
        <v>6</v>
      </c>
      <c r="E368">
        <v>4</v>
      </c>
      <c r="F368">
        <v>10</v>
      </c>
      <c r="G368" t="str">
        <f>VLOOKUP(P368,定义数据!$B$14:$C$29,2,0)&amp;"+"&amp;Q368&amp;IF(R368=0,"",","&amp;VLOOKUP(R368,定义数据!$B$14:$C$29,2,0)&amp;"+"&amp;S368)&amp;IF(T368=0,"",","&amp;VLOOKUP(T368,定义数据!$B$14:$C$29,2,0)&amp;"+"&amp;U368)</f>
        <v>闪避值+8366</v>
      </c>
      <c r="H368">
        <v>0</v>
      </c>
      <c r="I368">
        <f t="shared" si="56"/>
        <v>5</v>
      </c>
      <c r="J368">
        <f>IF(ISERROR(VLOOKUP(D368,命格辅助表!$I$76:$N$86,D_命格表!E368+2,0)),0,VLOOKUP(D368,命格辅助表!$I$76:$N$86,D_命格表!E368+2,0))</f>
        <v>20480</v>
      </c>
      <c r="K368">
        <f>IF(ISERROR(VLOOKUP(D368,命格辅助表!$P$76:$U$86,E368+2,0)),0,VLOOKUP(D368,命格辅助表!$P$76:$U$86,E368+2,0))</f>
        <v>20160</v>
      </c>
      <c r="L368">
        <v>0</v>
      </c>
      <c r="M368">
        <v>0</v>
      </c>
      <c r="N368">
        <v>8150</v>
      </c>
      <c r="O368">
        <f t="shared" si="52"/>
        <v>1</v>
      </c>
      <c r="P368">
        <f t="shared" si="54"/>
        <v>7</v>
      </c>
      <c r="Q368">
        <f>ROUND((VLOOKUP($A368,命格属性表,13,0)+VLOOKUP($A368,命格属性表,20,0)*($D368-1))*IF(P368&gt;9,1,VLOOKUP(D368,命格辅助表!$S$3:$U$10,3,0)),0)</f>
        <v>8366</v>
      </c>
      <c r="R368">
        <f t="shared" si="55"/>
        <v>0</v>
      </c>
      <c r="S368">
        <f>ROUND(IF(R368=0,0,VLOOKUP($A368,命格属性表,15,0)+VLOOKUP($A368,命格属性表,22,0)*($D368-1))*IF(R368&gt;9,1,VLOOKUP(D368,命格辅助表!$S$3:$U$10,3,0)),0)</f>
        <v>0</v>
      </c>
      <c r="T368">
        <f t="shared" si="57"/>
        <v>0</v>
      </c>
      <c r="U368">
        <f t="shared" si="53"/>
        <v>0</v>
      </c>
    </row>
    <row r="369" spans="1:21">
      <c r="A369">
        <v>8550</v>
      </c>
      <c r="B369" t="s">
        <v>320</v>
      </c>
      <c r="C369">
        <f t="shared" si="58"/>
        <v>5</v>
      </c>
      <c r="D369">
        <v>7</v>
      </c>
      <c r="E369">
        <v>4</v>
      </c>
      <c r="F369">
        <v>10</v>
      </c>
      <c r="G369" t="str">
        <f>VLOOKUP(P369,定义数据!$B$14:$C$29,2,0)&amp;"+"&amp;Q369&amp;IF(R369=0,"",","&amp;VLOOKUP(R369,定义数据!$B$14:$C$29,2,0)&amp;"+"&amp;S369)&amp;IF(T369=0,"",","&amp;VLOOKUP(T369,定义数据!$B$14:$C$29,2,0)&amp;"+"&amp;U369)</f>
        <v>闪避值+12549</v>
      </c>
      <c r="H369">
        <v>0</v>
      </c>
      <c r="I369">
        <f t="shared" si="56"/>
        <v>5</v>
      </c>
      <c r="J369">
        <f>IF(ISERROR(VLOOKUP(D369,命格辅助表!$I$76:$N$86,D_命格表!E369+2,0)),0,VLOOKUP(D369,命格辅助表!$I$76:$N$86,D_命格表!E369+2,0))</f>
        <v>40960</v>
      </c>
      <c r="K369">
        <f>IF(ISERROR(VLOOKUP(D369,命格辅助表!$P$76:$U$86,E369+2,0)),0,VLOOKUP(D369,命格辅助表!$P$76:$U$86,E369+2,0))</f>
        <v>40640</v>
      </c>
      <c r="L369">
        <v>0</v>
      </c>
      <c r="M369">
        <v>0</v>
      </c>
      <c r="N369">
        <v>8150</v>
      </c>
      <c r="O369">
        <f t="shared" si="52"/>
        <v>1</v>
      </c>
      <c r="P369">
        <f t="shared" si="54"/>
        <v>7</v>
      </c>
      <c r="Q369">
        <f>ROUND((VLOOKUP($A369,命格属性表,13,0)+VLOOKUP($A369,命格属性表,20,0)*($D369-1))*IF(P369&gt;9,1,VLOOKUP(D369,命格辅助表!$S$3:$U$10,3,0)),0)</f>
        <v>12549</v>
      </c>
      <c r="R369">
        <f t="shared" si="55"/>
        <v>0</v>
      </c>
      <c r="S369">
        <f>ROUND(IF(R369=0,0,VLOOKUP($A369,命格属性表,15,0)+VLOOKUP($A369,命格属性表,22,0)*($D369-1))*IF(R369&gt;9,1,VLOOKUP(D369,命格辅助表!$S$3:$U$10,3,0)),0)</f>
        <v>0</v>
      </c>
      <c r="T369">
        <f t="shared" si="57"/>
        <v>0</v>
      </c>
      <c r="U369">
        <f t="shared" si="53"/>
        <v>0</v>
      </c>
    </row>
    <row r="370" spans="1:21">
      <c r="A370">
        <v>8550</v>
      </c>
      <c r="B370" t="s">
        <v>320</v>
      </c>
      <c r="C370">
        <f t="shared" si="58"/>
        <v>5</v>
      </c>
      <c r="D370">
        <v>8</v>
      </c>
      <c r="E370">
        <v>4</v>
      </c>
      <c r="F370">
        <v>10</v>
      </c>
      <c r="G370" t="str">
        <f>VLOOKUP(P370,定义数据!$B$14:$C$29,2,0)&amp;"+"&amp;Q370&amp;IF(R370=0,"",","&amp;VLOOKUP(R370,定义数据!$B$14:$C$29,2,0)&amp;"+"&amp;S370)&amp;IF(T370=0,"",","&amp;VLOOKUP(T370,定义数据!$B$14:$C$29,2,0)&amp;"+"&amp;U370)</f>
        <v>闪避值+18824</v>
      </c>
      <c r="H370">
        <v>0</v>
      </c>
      <c r="I370">
        <f t="shared" si="56"/>
        <v>5</v>
      </c>
      <c r="J370">
        <f>IF(ISERROR(VLOOKUP(D370,命格辅助表!$I$76:$N$86,D_命格表!E370+2,0)),0,VLOOKUP(D370,命格辅助表!$I$76:$N$86,D_命格表!E370+2,0))</f>
        <v>81920</v>
      </c>
      <c r="K370">
        <f>IF(ISERROR(VLOOKUP(D370,命格辅助表!$P$76:$U$86,E370+2,0)),0,VLOOKUP(D370,命格辅助表!$P$76:$U$86,E370+2,0))</f>
        <v>81600</v>
      </c>
      <c r="L370">
        <f>IF(ISERROR(VLOOKUP(D370,命格辅助表!$I$76:$N$86,D_命格表!E370+2,0)),0,VLOOKUP(D370,命格辅助表!$I$76:$N$86,D_命格表!E370+2,0))</f>
        <v>81920</v>
      </c>
      <c r="M370">
        <f>A370+10</f>
        <v>8560</v>
      </c>
      <c r="N370">
        <v>8150</v>
      </c>
      <c r="O370">
        <f t="shared" si="52"/>
        <v>1</v>
      </c>
      <c r="P370">
        <f t="shared" si="54"/>
        <v>7</v>
      </c>
      <c r="Q370">
        <f>ROUND((VLOOKUP($A370,命格属性表,13,0)+VLOOKUP($A370,命格属性表,20,0)*($D370-1))*IF(P370&gt;9,1,VLOOKUP(D370,命格辅助表!$S$3:$U$10,3,0)),0)</f>
        <v>18824</v>
      </c>
      <c r="R370">
        <f t="shared" si="55"/>
        <v>0</v>
      </c>
      <c r="S370">
        <f>ROUND(IF(R370=0,0,VLOOKUP($A370,命格属性表,15,0)+VLOOKUP($A370,命格属性表,22,0)*($D370-1))*IF(R370&gt;9,1,VLOOKUP(D370,命格辅助表!$S$3:$U$10,3,0)),0)</f>
        <v>0</v>
      </c>
      <c r="T370">
        <f t="shared" si="57"/>
        <v>0</v>
      </c>
      <c r="U370">
        <f t="shared" si="53"/>
        <v>0</v>
      </c>
    </row>
    <row r="371" spans="1:21">
      <c r="A371">
        <v>8650</v>
      </c>
      <c r="B371" t="str">
        <f t="shared" ref="B371:B374" si="59">VLOOKUP(A371,命格属性表,2,0)</f>
        <v>冰魄寒光</v>
      </c>
      <c r="C371">
        <f t="shared" si="58"/>
        <v>6</v>
      </c>
      <c r="D371">
        <v>1</v>
      </c>
      <c r="E371">
        <v>4</v>
      </c>
      <c r="F371">
        <v>10</v>
      </c>
      <c r="G371" t="str">
        <f>VLOOKUP(P371,定义数据!$B$14:$C$29,2,0)&amp;"+"&amp;Q371&amp;IF(R371=0,"",","&amp;VLOOKUP(R371,定义数据!$B$14:$C$29,2,0)&amp;"+"&amp;S371)&amp;IF(T371=0,"",","&amp;VLOOKUP(T371,定义数据!$B$14:$C$29,2,0)&amp;"+"&amp;U371)</f>
        <v>韧性值+2081</v>
      </c>
      <c r="H371">
        <v>0</v>
      </c>
      <c r="I371">
        <f t="shared" si="56"/>
        <v>6</v>
      </c>
      <c r="J371">
        <f>IF(ISERROR(VLOOKUP(D371,命格辅助表!$I$76:$N$86,D_命格表!E371+2,0)),0,VLOOKUP(D371,命格辅助表!$I$76:$N$86,D_命格表!E371+2,0))</f>
        <v>640</v>
      </c>
      <c r="K371">
        <f>IF(ISERROR(VLOOKUP(D371,命格辅助表!$P$76:$U$86,E371+2,0)),0,VLOOKUP(D371,命格辅助表!$P$76:$U$86,E371+2,0))</f>
        <v>320</v>
      </c>
      <c r="L371">
        <v>0</v>
      </c>
      <c r="M371">
        <v>0</v>
      </c>
      <c r="N371">
        <v>8250</v>
      </c>
      <c r="O371">
        <f t="shared" si="52"/>
        <v>1</v>
      </c>
      <c r="P371">
        <f t="shared" si="54"/>
        <v>9</v>
      </c>
      <c r="Q371">
        <f>ROUND((VLOOKUP($A371,命格属性表,13,0)+VLOOKUP($A371,命格属性表,20,0)*($D371-1))*IF(P371&gt;9,1,VLOOKUP(D371,命格辅助表!$S$3:$U$10,3,0)),0)</f>
        <v>2081</v>
      </c>
      <c r="R371">
        <f t="shared" si="55"/>
        <v>0</v>
      </c>
      <c r="S371">
        <f>ROUND(IF(R371=0,0,VLOOKUP($A371,命格属性表,15,0)+VLOOKUP($A371,命格属性表,22,0)*($D371-1))*IF(R371&gt;9,1,VLOOKUP(D371,命格辅助表!$S$3:$U$10,3,0)),0)</f>
        <v>0</v>
      </c>
      <c r="T371">
        <f t="shared" si="57"/>
        <v>0</v>
      </c>
      <c r="U371">
        <f t="shared" si="53"/>
        <v>0</v>
      </c>
    </row>
    <row r="372" spans="1:21">
      <c r="A372">
        <v>8650</v>
      </c>
      <c r="B372" t="str">
        <f t="shared" si="59"/>
        <v>冰魄寒光</v>
      </c>
      <c r="C372">
        <f t="shared" si="58"/>
        <v>6</v>
      </c>
      <c r="D372">
        <v>2</v>
      </c>
      <c r="E372">
        <v>4</v>
      </c>
      <c r="F372">
        <v>10</v>
      </c>
      <c r="G372" t="str">
        <f>VLOOKUP(P372,定义数据!$B$14:$C$29,2,0)&amp;"+"&amp;Q372&amp;IF(R372=0,"",","&amp;VLOOKUP(R372,定义数据!$B$14:$C$29,2,0)&amp;"+"&amp;S372)&amp;IF(T372=0,"",","&amp;VLOOKUP(T372,定义数据!$B$14:$C$29,2,0)&amp;"+"&amp;U372)</f>
        <v>韧性值+3121</v>
      </c>
      <c r="H372">
        <v>0</v>
      </c>
      <c r="I372">
        <f t="shared" si="56"/>
        <v>6</v>
      </c>
      <c r="J372">
        <f>IF(ISERROR(VLOOKUP(D372,命格辅助表!$I$76:$N$86,D_命格表!E372+2,0)),0,VLOOKUP(D372,命格辅助表!$I$76:$N$86,D_命格表!E372+2,0))</f>
        <v>1280</v>
      </c>
      <c r="K372">
        <f>IF(ISERROR(VLOOKUP(D372,命格辅助表!$P$76:$U$86,E372+2,0)),0,VLOOKUP(D372,命格辅助表!$P$76:$U$86,E372+2,0))</f>
        <v>960</v>
      </c>
      <c r="L372">
        <v>0</v>
      </c>
      <c r="M372">
        <v>0</v>
      </c>
      <c r="N372">
        <v>8250</v>
      </c>
      <c r="O372">
        <f t="shared" si="52"/>
        <v>1</v>
      </c>
      <c r="P372">
        <f t="shared" si="54"/>
        <v>9</v>
      </c>
      <c r="Q372">
        <f>ROUND((VLOOKUP($A372,命格属性表,13,0)+VLOOKUP($A372,命格属性表,20,0)*($D372-1))*IF(P372&gt;9,1,VLOOKUP(D372,命格辅助表!$S$3:$U$10,3,0)),0)</f>
        <v>3121</v>
      </c>
      <c r="R372">
        <f t="shared" si="55"/>
        <v>0</v>
      </c>
      <c r="S372">
        <f>ROUND(IF(R372=0,0,VLOOKUP($A372,命格属性表,15,0)+VLOOKUP($A372,命格属性表,22,0)*($D372-1))*IF(R372&gt;9,1,VLOOKUP(D372,命格辅助表!$S$3:$U$10,3,0)),0)</f>
        <v>0</v>
      </c>
      <c r="T372">
        <f t="shared" si="57"/>
        <v>0</v>
      </c>
      <c r="U372">
        <f t="shared" si="53"/>
        <v>0</v>
      </c>
    </row>
    <row r="373" spans="1:21">
      <c r="A373">
        <v>8650</v>
      </c>
      <c r="B373" t="str">
        <f t="shared" si="59"/>
        <v>冰魄寒光</v>
      </c>
      <c r="C373">
        <f t="shared" si="58"/>
        <v>6</v>
      </c>
      <c r="D373">
        <v>3</v>
      </c>
      <c r="E373">
        <v>4</v>
      </c>
      <c r="F373">
        <v>10</v>
      </c>
      <c r="G373" t="str">
        <f>VLOOKUP(P373,定义数据!$B$14:$C$29,2,0)&amp;"+"&amp;Q373&amp;IF(R373=0,"",","&amp;VLOOKUP(R373,定义数据!$B$14:$C$29,2,0)&amp;"+"&amp;S373)&amp;IF(T373=0,"",","&amp;VLOOKUP(T373,定义数据!$B$14:$C$29,2,0)&amp;"+"&amp;U373)</f>
        <v>韧性值+4682</v>
      </c>
      <c r="H373">
        <v>0</v>
      </c>
      <c r="I373">
        <f t="shared" si="56"/>
        <v>6</v>
      </c>
      <c r="J373">
        <f>IF(ISERROR(VLOOKUP(D373,命格辅助表!$I$76:$N$86,D_命格表!E373+2,0)),0,VLOOKUP(D373,命格辅助表!$I$76:$N$86,D_命格表!E373+2,0))</f>
        <v>2560</v>
      </c>
      <c r="K373">
        <f>IF(ISERROR(VLOOKUP(D373,命格辅助表!$P$76:$U$86,E373+2,0)),0,VLOOKUP(D373,命格辅助表!$P$76:$U$86,E373+2,0))</f>
        <v>2240</v>
      </c>
      <c r="L373">
        <v>0</v>
      </c>
      <c r="M373">
        <v>0</v>
      </c>
      <c r="N373">
        <v>8250</v>
      </c>
      <c r="O373">
        <f t="shared" si="52"/>
        <v>1</v>
      </c>
      <c r="P373">
        <f t="shared" si="54"/>
        <v>9</v>
      </c>
      <c r="Q373">
        <f>ROUND((VLOOKUP($A373,命格属性表,13,0)+VLOOKUP($A373,命格属性表,20,0)*($D373-1))*IF(P373&gt;9,1,VLOOKUP(D373,命格辅助表!$S$3:$U$10,3,0)),0)</f>
        <v>4682</v>
      </c>
      <c r="R373">
        <f t="shared" si="55"/>
        <v>0</v>
      </c>
      <c r="S373">
        <f>ROUND(IF(R373=0,0,VLOOKUP($A373,命格属性表,15,0)+VLOOKUP($A373,命格属性表,22,0)*($D373-1))*IF(R373&gt;9,1,VLOOKUP(D373,命格辅助表!$S$3:$U$10,3,0)),0)</f>
        <v>0</v>
      </c>
      <c r="T373">
        <f t="shared" si="57"/>
        <v>0</v>
      </c>
      <c r="U373">
        <f t="shared" si="53"/>
        <v>0</v>
      </c>
    </row>
    <row r="374" spans="1:21">
      <c r="A374">
        <v>8650</v>
      </c>
      <c r="B374" t="str">
        <f t="shared" si="59"/>
        <v>冰魄寒光</v>
      </c>
      <c r="C374">
        <f t="shared" si="58"/>
        <v>6</v>
      </c>
      <c r="D374">
        <v>4</v>
      </c>
      <c r="E374">
        <v>4</v>
      </c>
      <c r="F374">
        <v>10</v>
      </c>
      <c r="G374" t="str">
        <f>VLOOKUP(P374,定义数据!$B$14:$C$29,2,0)&amp;"+"&amp;Q374&amp;IF(R374=0,"",","&amp;VLOOKUP(R374,定义数据!$B$14:$C$29,2,0)&amp;"+"&amp;S374)&amp;IF(T374=0,"",","&amp;VLOOKUP(T374,定义数据!$B$14:$C$29,2,0)&amp;"+"&amp;U374)</f>
        <v>韧性值+7023</v>
      </c>
      <c r="H374">
        <v>0</v>
      </c>
      <c r="I374">
        <f t="shared" si="56"/>
        <v>6</v>
      </c>
      <c r="J374">
        <f>IF(ISERROR(VLOOKUP(D374,命格辅助表!$I$76:$N$86,D_命格表!E374+2,0)),0,VLOOKUP(D374,命格辅助表!$I$76:$N$86,D_命格表!E374+2,0))</f>
        <v>5120</v>
      </c>
      <c r="K374">
        <f>IF(ISERROR(VLOOKUP(D374,命格辅助表!$P$76:$U$86,E374+2,0)),0,VLOOKUP(D374,命格辅助表!$P$76:$U$86,E374+2,0))</f>
        <v>4800</v>
      </c>
      <c r="L374">
        <v>0</v>
      </c>
      <c r="M374">
        <v>0</v>
      </c>
      <c r="N374">
        <v>8250</v>
      </c>
      <c r="O374">
        <f t="shared" si="52"/>
        <v>1</v>
      </c>
      <c r="P374">
        <f t="shared" si="54"/>
        <v>9</v>
      </c>
      <c r="Q374">
        <f>ROUND((VLOOKUP($A374,命格属性表,13,0)+VLOOKUP($A374,命格属性表,20,0)*($D374-1))*IF(P374&gt;9,1,VLOOKUP(D374,命格辅助表!$S$3:$U$10,3,0)),0)</f>
        <v>7023</v>
      </c>
      <c r="R374">
        <f t="shared" si="55"/>
        <v>0</v>
      </c>
      <c r="S374">
        <f>ROUND(IF(R374=0,0,VLOOKUP($A374,命格属性表,15,0)+VLOOKUP($A374,命格属性表,22,0)*($D374-1))*IF(R374&gt;9,1,VLOOKUP(D374,命格辅助表!$S$3:$U$10,3,0)),0)</f>
        <v>0</v>
      </c>
      <c r="T374">
        <f t="shared" si="57"/>
        <v>0</v>
      </c>
      <c r="U374">
        <f t="shared" si="53"/>
        <v>0</v>
      </c>
    </row>
    <row r="375" spans="1:21">
      <c r="A375">
        <v>8650</v>
      </c>
      <c r="B375" t="str">
        <f t="shared" ref="B375:B378" si="60">VLOOKUP(A375,命格属性表,2,0)</f>
        <v>冰魄寒光</v>
      </c>
      <c r="C375">
        <f t="shared" si="58"/>
        <v>6</v>
      </c>
      <c r="D375">
        <v>5</v>
      </c>
      <c r="E375">
        <v>4</v>
      </c>
      <c r="F375">
        <v>10</v>
      </c>
      <c r="G375" t="str">
        <f>VLOOKUP(P375,定义数据!$B$14:$C$29,2,0)&amp;"+"&amp;Q375&amp;IF(R375=0,"",","&amp;VLOOKUP(R375,定义数据!$B$14:$C$29,2,0)&amp;"+"&amp;S375)&amp;IF(T375=0,"",","&amp;VLOOKUP(T375,定义数据!$B$14:$C$29,2,0)&amp;"+"&amp;U375)</f>
        <v>韧性值+10534</v>
      </c>
      <c r="H375">
        <v>0</v>
      </c>
      <c r="I375">
        <f t="shared" si="56"/>
        <v>6</v>
      </c>
      <c r="J375">
        <f>IF(ISERROR(VLOOKUP(D375,命格辅助表!$I$76:$N$86,D_命格表!E375+2,0)),0,VLOOKUP(D375,命格辅助表!$I$76:$N$86,D_命格表!E375+2,0))</f>
        <v>10240</v>
      </c>
      <c r="K375">
        <f>IF(ISERROR(VLOOKUP(D375,命格辅助表!$P$76:$U$86,E375+2,0)),0,VLOOKUP(D375,命格辅助表!$P$76:$U$86,E375+2,0))</f>
        <v>9920</v>
      </c>
      <c r="L375">
        <v>0</v>
      </c>
      <c r="M375">
        <v>0</v>
      </c>
      <c r="N375">
        <v>8250</v>
      </c>
      <c r="O375">
        <f t="shared" si="52"/>
        <v>1</v>
      </c>
      <c r="P375">
        <f t="shared" ref="P375:P420" si="61">VLOOKUP($A375,命格属性表,12,0)</f>
        <v>9</v>
      </c>
      <c r="Q375">
        <f>ROUND((VLOOKUP($A375,命格属性表,13,0)+VLOOKUP($A375,命格属性表,20,0)*($D375-1))*IF(P375&gt;9,1,VLOOKUP(D375,命格辅助表!$S$3:$U$10,3,0)),0)</f>
        <v>10534</v>
      </c>
      <c r="R375">
        <f t="shared" ref="R375:R420" si="62">VLOOKUP($A375,命格属性表,14,0)</f>
        <v>0</v>
      </c>
      <c r="S375">
        <f>ROUND(IF(R375=0,0,VLOOKUP($A375,命格属性表,15,0)+VLOOKUP($A375,命格属性表,22,0)*($D375-1))*IF(R375&gt;9,1,VLOOKUP(D375,命格辅助表!$S$3:$U$10,3,0)),0)</f>
        <v>0</v>
      </c>
      <c r="T375">
        <f t="shared" si="57"/>
        <v>0</v>
      </c>
      <c r="U375">
        <f t="shared" si="53"/>
        <v>0</v>
      </c>
    </row>
    <row r="376" spans="1:21">
      <c r="A376">
        <v>8650</v>
      </c>
      <c r="B376" t="str">
        <f t="shared" si="60"/>
        <v>冰魄寒光</v>
      </c>
      <c r="C376">
        <f t="shared" si="58"/>
        <v>6</v>
      </c>
      <c r="D376">
        <v>6</v>
      </c>
      <c r="E376">
        <v>4</v>
      </c>
      <c r="F376">
        <v>10</v>
      </c>
      <c r="G376" t="str">
        <f>VLOOKUP(P376,定义数据!$B$14:$C$29,2,0)&amp;"+"&amp;Q376&amp;IF(R376=0,"",","&amp;VLOOKUP(R376,定义数据!$B$14:$C$29,2,0)&amp;"+"&amp;S376)&amp;IF(T376=0,"",","&amp;VLOOKUP(T376,定义数据!$B$14:$C$29,2,0)&amp;"+"&amp;U376)</f>
        <v>韧性值+15801</v>
      </c>
      <c r="H376">
        <v>0</v>
      </c>
      <c r="I376">
        <f t="shared" ref="I376:I421" si="63">VLOOKUP($A376,命格属性表,26,0)</f>
        <v>6</v>
      </c>
      <c r="J376">
        <f>IF(ISERROR(VLOOKUP(D376,命格辅助表!$I$76:$N$86,D_命格表!E376+2,0)),0,VLOOKUP(D376,命格辅助表!$I$76:$N$86,D_命格表!E376+2,0))</f>
        <v>20480</v>
      </c>
      <c r="K376">
        <f>IF(ISERROR(VLOOKUP(D376,命格辅助表!$P$76:$U$86,E376+2,0)),0,VLOOKUP(D376,命格辅助表!$P$76:$U$86,E376+2,0))</f>
        <v>20160</v>
      </c>
      <c r="L376">
        <v>0</v>
      </c>
      <c r="M376">
        <v>0</v>
      </c>
      <c r="N376">
        <v>8250</v>
      </c>
      <c r="O376">
        <f t="shared" si="52"/>
        <v>1</v>
      </c>
      <c r="P376">
        <f t="shared" si="61"/>
        <v>9</v>
      </c>
      <c r="Q376">
        <f>ROUND((VLOOKUP($A376,命格属性表,13,0)+VLOOKUP($A376,命格属性表,20,0)*($D376-1))*IF(P376&gt;9,1,VLOOKUP(D376,命格辅助表!$S$3:$U$10,3,0)),0)</f>
        <v>15801</v>
      </c>
      <c r="R376">
        <f t="shared" si="62"/>
        <v>0</v>
      </c>
      <c r="S376">
        <f>ROUND(IF(R376=0,0,VLOOKUP($A376,命格属性表,15,0)+VLOOKUP($A376,命格属性表,22,0)*($D376-1))*IF(R376&gt;9,1,VLOOKUP(D376,命格辅助表!$S$3:$U$10,3,0)),0)</f>
        <v>0</v>
      </c>
      <c r="T376">
        <f t="shared" ref="T376:T421" si="64">VLOOKUP($A376,命格属性表,16,0)</f>
        <v>0</v>
      </c>
      <c r="U376">
        <f t="shared" si="53"/>
        <v>0</v>
      </c>
    </row>
    <row r="377" spans="1:21">
      <c r="A377">
        <v>8650</v>
      </c>
      <c r="B377" t="str">
        <f t="shared" si="60"/>
        <v>冰魄寒光</v>
      </c>
      <c r="C377">
        <f t="shared" ref="C377:C422" si="65">I377</f>
        <v>6</v>
      </c>
      <c r="D377">
        <v>7</v>
      </c>
      <c r="E377">
        <v>4</v>
      </c>
      <c r="F377">
        <v>10</v>
      </c>
      <c r="G377" t="str">
        <f>VLOOKUP(P377,定义数据!$B$14:$C$29,2,0)&amp;"+"&amp;Q377&amp;IF(R377=0,"",","&amp;VLOOKUP(R377,定义数据!$B$14:$C$29,2,0)&amp;"+"&amp;S377)&amp;IF(T377=0,"",","&amp;VLOOKUP(T377,定义数据!$B$14:$C$29,2,0)&amp;"+"&amp;U377)</f>
        <v>韧性值+23701</v>
      </c>
      <c r="H377">
        <v>0</v>
      </c>
      <c r="I377">
        <f t="shared" si="63"/>
        <v>6</v>
      </c>
      <c r="J377">
        <f>IF(ISERROR(VLOOKUP(D377,命格辅助表!$I$76:$N$86,D_命格表!E377+2,0)),0,VLOOKUP(D377,命格辅助表!$I$76:$N$86,D_命格表!E377+2,0))</f>
        <v>40960</v>
      </c>
      <c r="K377">
        <f>IF(ISERROR(VLOOKUP(D377,命格辅助表!$P$76:$U$86,E377+2,0)),0,VLOOKUP(D377,命格辅助表!$P$76:$U$86,E377+2,0))</f>
        <v>40640</v>
      </c>
      <c r="L377">
        <v>0</v>
      </c>
      <c r="M377">
        <v>0</v>
      </c>
      <c r="N377">
        <v>8250</v>
      </c>
      <c r="O377">
        <f t="shared" si="52"/>
        <v>1</v>
      </c>
      <c r="P377">
        <f t="shared" si="61"/>
        <v>9</v>
      </c>
      <c r="Q377">
        <f>ROUND((VLOOKUP($A377,命格属性表,13,0)+VLOOKUP($A377,命格属性表,20,0)*($D377-1))*IF(P377&gt;9,1,VLOOKUP(D377,命格辅助表!$S$3:$U$10,3,0)),0)</f>
        <v>23701</v>
      </c>
      <c r="R377">
        <f t="shared" si="62"/>
        <v>0</v>
      </c>
      <c r="S377">
        <f>ROUND(IF(R377=0,0,VLOOKUP($A377,命格属性表,15,0)+VLOOKUP($A377,命格属性表,22,0)*($D377-1))*IF(R377&gt;9,1,VLOOKUP(D377,命格辅助表!$S$3:$U$10,3,0)),0)</f>
        <v>0</v>
      </c>
      <c r="T377">
        <f t="shared" si="64"/>
        <v>0</v>
      </c>
      <c r="U377">
        <f t="shared" si="53"/>
        <v>0</v>
      </c>
    </row>
    <row r="378" spans="1:21">
      <c r="A378">
        <v>8650</v>
      </c>
      <c r="B378" t="str">
        <f t="shared" si="60"/>
        <v>冰魄寒光</v>
      </c>
      <c r="C378">
        <f t="shared" si="65"/>
        <v>6</v>
      </c>
      <c r="D378">
        <v>8</v>
      </c>
      <c r="E378">
        <v>4</v>
      </c>
      <c r="F378">
        <v>10</v>
      </c>
      <c r="G378" t="str">
        <f>VLOOKUP(P378,定义数据!$B$14:$C$29,2,0)&amp;"+"&amp;Q378&amp;IF(R378=0,"",","&amp;VLOOKUP(R378,定义数据!$B$14:$C$29,2,0)&amp;"+"&amp;S378)&amp;IF(T378=0,"",","&amp;VLOOKUP(T378,定义数据!$B$14:$C$29,2,0)&amp;"+"&amp;U378)</f>
        <v>韧性值+35552</v>
      </c>
      <c r="H378">
        <v>0</v>
      </c>
      <c r="I378">
        <f t="shared" si="63"/>
        <v>6</v>
      </c>
      <c r="J378">
        <f>IF(ISERROR(VLOOKUP(D378,命格辅助表!$I$76:$N$86,D_命格表!E378+2,0)),0,VLOOKUP(D378,命格辅助表!$I$76:$N$86,D_命格表!E378+2,0))</f>
        <v>81920</v>
      </c>
      <c r="K378">
        <f>IF(ISERROR(VLOOKUP(D378,命格辅助表!$P$76:$U$86,E378+2,0)),0,VLOOKUP(D378,命格辅助表!$P$76:$U$86,E378+2,0))</f>
        <v>81600</v>
      </c>
      <c r="L378">
        <f>IF(ISERROR(VLOOKUP(D378,命格辅助表!$I$76:$N$86,D_命格表!E378+2,0)),0,VLOOKUP(D378,命格辅助表!$I$76:$N$86,D_命格表!E378+2,0))</f>
        <v>81920</v>
      </c>
      <c r="M378">
        <f>A378+10</f>
        <v>8660</v>
      </c>
      <c r="N378">
        <v>8250</v>
      </c>
      <c r="O378">
        <f t="shared" si="52"/>
        <v>1</v>
      </c>
      <c r="P378">
        <f t="shared" si="61"/>
        <v>9</v>
      </c>
      <c r="Q378">
        <f>ROUND((VLOOKUP($A378,命格属性表,13,0)+VLOOKUP($A378,命格属性表,20,0)*($D378-1))*IF(P378&gt;9,1,VLOOKUP(D378,命格辅助表!$S$3:$U$10,3,0)),0)</f>
        <v>35552</v>
      </c>
      <c r="R378">
        <f t="shared" si="62"/>
        <v>0</v>
      </c>
      <c r="S378">
        <f>ROUND(IF(R378=0,0,VLOOKUP($A378,命格属性表,15,0)+VLOOKUP($A378,命格属性表,22,0)*($D378-1))*IF(R378&gt;9,1,VLOOKUP(D378,命格辅助表!$S$3:$U$10,3,0)),0)</f>
        <v>0</v>
      </c>
      <c r="T378">
        <f t="shared" si="64"/>
        <v>0</v>
      </c>
      <c r="U378">
        <f t="shared" si="53"/>
        <v>0</v>
      </c>
    </row>
    <row r="379" spans="1:21">
      <c r="A379">
        <v>8750</v>
      </c>
      <c r="B379" t="s">
        <v>321</v>
      </c>
      <c r="C379">
        <f t="shared" si="65"/>
        <v>7</v>
      </c>
      <c r="D379">
        <v>1</v>
      </c>
      <c r="E379">
        <v>4</v>
      </c>
      <c r="F379">
        <v>10</v>
      </c>
      <c r="G379" t="str">
        <f>VLOOKUP(P379,定义数据!$B$14:$C$29,2,0)&amp;"+"&amp;Q379&amp;IF(R379=0,"",","&amp;VLOOKUP(R379,定义数据!$B$14:$C$29,2,0)&amp;"+"&amp;S379)&amp;IF(T379=0,"",","&amp;VLOOKUP(T379,定义数据!$B$14:$C$29,2,0)&amp;"+"&amp;U379)</f>
        <v>暴击值+2081</v>
      </c>
      <c r="H379">
        <v>0</v>
      </c>
      <c r="I379">
        <f t="shared" si="63"/>
        <v>7</v>
      </c>
      <c r="J379">
        <f>IF(ISERROR(VLOOKUP(D379,命格辅助表!$I$76:$N$86,D_命格表!E379+2,0)),0,VLOOKUP(D379,命格辅助表!$I$76:$N$86,D_命格表!E379+2,0))</f>
        <v>640</v>
      </c>
      <c r="K379">
        <f>IF(ISERROR(VLOOKUP(D379,命格辅助表!$P$76:$U$86,E379+2,0)),0,VLOOKUP(D379,命格辅助表!$P$76:$U$86,E379+2,0))</f>
        <v>320</v>
      </c>
      <c r="L379">
        <v>0</v>
      </c>
      <c r="M379">
        <v>0</v>
      </c>
      <c r="N379">
        <v>8350</v>
      </c>
      <c r="O379">
        <f t="shared" si="52"/>
        <v>1</v>
      </c>
      <c r="P379">
        <f t="shared" si="61"/>
        <v>8</v>
      </c>
      <c r="Q379">
        <f>ROUND((VLOOKUP($A379,命格属性表,13,0)+VLOOKUP($A379,命格属性表,20,0)*($D379-1))*IF(P379&gt;9,1,VLOOKUP(D379,命格辅助表!$S$3:$U$10,3,0)),0)</f>
        <v>2081</v>
      </c>
      <c r="R379">
        <f t="shared" si="62"/>
        <v>0</v>
      </c>
      <c r="S379">
        <f>ROUND(IF(R379=0,0,VLOOKUP($A379,命格属性表,15,0)+VLOOKUP($A379,命格属性表,22,0)*($D379-1))*IF(R379&gt;9,1,VLOOKUP(D379,命格辅助表!$S$3:$U$10,3,0)),0)</f>
        <v>0</v>
      </c>
      <c r="T379">
        <f t="shared" si="64"/>
        <v>0</v>
      </c>
      <c r="U379">
        <f t="shared" si="53"/>
        <v>0</v>
      </c>
    </row>
    <row r="380" spans="1:21">
      <c r="A380">
        <v>8750</v>
      </c>
      <c r="B380" t="s">
        <v>321</v>
      </c>
      <c r="C380">
        <f t="shared" si="65"/>
        <v>7</v>
      </c>
      <c r="D380">
        <v>2</v>
      </c>
      <c r="E380">
        <v>4</v>
      </c>
      <c r="F380">
        <v>10</v>
      </c>
      <c r="G380" t="str">
        <f>VLOOKUP(P380,定义数据!$B$14:$C$29,2,0)&amp;"+"&amp;Q380&amp;IF(R380=0,"",","&amp;VLOOKUP(R380,定义数据!$B$14:$C$29,2,0)&amp;"+"&amp;S380)&amp;IF(T380=0,"",","&amp;VLOOKUP(T380,定义数据!$B$14:$C$29,2,0)&amp;"+"&amp;U380)</f>
        <v>暴击值+3121</v>
      </c>
      <c r="H380">
        <v>0</v>
      </c>
      <c r="I380">
        <f t="shared" si="63"/>
        <v>7</v>
      </c>
      <c r="J380">
        <f>IF(ISERROR(VLOOKUP(D380,命格辅助表!$I$76:$N$86,D_命格表!E380+2,0)),0,VLOOKUP(D380,命格辅助表!$I$76:$N$86,D_命格表!E380+2,0))</f>
        <v>1280</v>
      </c>
      <c r="K380">
        <f>IF(ISERROR(VLOOKUP(D380,命格辅助表!$P$76:$U$86,E380+2,0)),0,VLOOKUP(D380,命格辅助表!$P$76:$U$86,E380+2,0))</f>
        <v>960</v>
      </c>
      <c r="L380">
        <v>0</v>
      </c>
      <c r="M380">
        <v>0</v>
      </c>
      <c r="N380">
        <v>8350</v>
      </c>
      <c r="O380">
        <f t="shared" ref="O380:O443" si="66">COUNTIF(P380:U380,"&gt;0")/2</f>
        <v>1</v>
      </c>
      <c r="P380">
        <f t="shared" si="61"/>
        <v>8</v>
      </c>
      <c r="Q380">
        <f>ROUND((VLOOKUP($A380,命格属性表,13,0)+VLOOKUP($A380,命格属性表,20,0)*($D380-1))*IF(P380&gt;9,1,VLOOKUP(D380,命格辅助表!$S$3:$U$10,3,0)),0)</f>
        <v>3121</v>
      </c>
      <c r="R380">
        <f t="shared" si="62"/>
        <v>0</v>
      </c>
      <c r="S380">
        <f>ROUND(IF(R380=0,0,VLOOKUP($A380,命格属性表,15,0)+VLOOKUP($A380,命格属性表,22,0)*($D380-1))*IF(R380&gt;9,1,VLOOKUP(D380,命格辅助表!$S$3:$U$10,3,0)),0)</f>
        <v>0</v>
      </c>
      <c r="T380">
        <f t="shared" si="64"/>
        <v>0</v>
      </c>
      <c r="U380">
        <f t="shared" si="53"/>
        <v>0</v>
      </c>
    </row>
    <row r="381" spans="1:21">
      <c r="A381">
        <v>8750</v>
      </c>
      <c r="B381" t="s">
        <v>321</v>
      </c>
      <c r="C381">
        <f t="shared" si="65"/>
        <v>7</v>
      </c>
      <c r="D381">
        <v>3</v>
      </c>
      <c r="E381">
        <v>4</v>
      </c>
      <c r="F381">
        <v>10</v>
      </c>
      <c r="G381" t="str">
        <f>VLOOKUP(P381,定义数据!$B$14:$C$29,2,0)&amp;"+"&amp;Q381&amp;IF(R381=0,"",","&amp;VLOOKUP(R381,定义数据!$B$14:$C$29,2,0)&amp;"+"&amp;S381)&amp;IF(T381=0,"",","&amp;VLOOKUP(T381,定义数据!$B$14:$C$29,2,0)&amp;"+"&amp;U381)</f>
        <v>暴击值+4682</v>
      </c>
      <c r="H381">
        <v>0</v>
      </c>
      <c r="I381">
        <f t="shared" si="63"/>
        <v>7</v>
      </c>
      <c r="J381">
        <f>IF(ISERROR(VLOOKUP(D381,命格辅助表!$I$76:$N$86,D_命格表!E381+2,0)),0,VLOOKUP(D381,命格辅助表!$I$76:$N$86,D_命格表!E381+2,0))</f>
        <v>2560</v>
      </c>
      <c r="K381">
        <f>IF(ISERROR(VLOOKUP(D381,命格辅助表!$P$76:$U$86,E381+2,0)),0,VLOOKUP(D381,命格辅助表!$P$76:$U$86,E381+2,0))</f>
        <v>2240</v>
      </c>
      <c r="L381">
        <v>0</v>
      </c>
      <c r="M381">
        <v>0</v>
      </c>
      <c r="N381">
        <v>8350</v>
      </c>
      <c r="O381">
        <f t="shared" si="66"/>
        <v>1</v>
      </c>
      <c r="P381">
        <f t="shared" si="61"/>
        <v>8</v>
      </c>
      <c r="Q381">
        <f>ROUND((VLOOKUP($A381,命格属性表,13,0)+VLOOKUP($A381,命格属性表,20,0)*($D381-1))*IF(P381&gt;9,1,VLOOKUP(D381,命格辅助表!$S$3:$U$10,3,0)),0)</f>
        <v>4682</v>
      </c>
      <c r="R381">
        <f t="shared" si="62"/>
        <v>0</v>
      </c>
      <c r="S381">
        <f>ROUND(IF(R381=0,0,VLOOKUP($A381,命格属性表,15,0)+VLOOKUP($A381,命格属性表,22,0)*($D381-1))*IF(R381&gt;9,1,VLOOKUP(D381,命格辅助表!$S$3:$U$10,3,0)),0)</f>
        <v>0</v>
      </c>
      <c r="T381">
        <f t="shared" si="64"/>
        <v>0</v>
      </c>
      <c r="U381">
        <f t="shared" si="53"/>
        <v>0</v>
      </c>
    </row>
    <row r="382" spans="1:21">
      <c r="A382">
        <v>8750</v>
      </c>
      <c r="B382" t="s">
        <v>321</v>
      </c>
      <c r="C382">
        <f t="shared" si="65"/>
        <v>7</v>
      </c>
      <c r="D382">
        <v>4</v>
      </c>
      <c r="E382">
        <v>4</v>
      </c>
      <c r="F382">
        <v>10</v>
      </c>
      <c r="G382" t="str">
        <f>VLOOKUP(P382,定义数据!$B$14:$C$29,2,0)&amp;"+"&amp;Q382&amp;IF(R382=0,"",","&amp;VLOOKUP(R382,定义数据!$B$14:$C$29,2,0)&amp;"+"&amp;S382)&amp;IF(T382=0,"",","&amp;VLOOKUP(T382,定义数据!$B$14:$C$29,2,0)&amp;"+"&amp;U382)</f>
        <v>暴击值+7023</v>
      </c>
      <c r="H382">
        <v>0</v>
      </c>
      <c r="I382">
        <f t="shared" si="63"/>
        <v>7</v>
      </c>
      <c r="J382">
        <f>IF(ISERROR(VLOOKUP(D382,命格辅助表!$I$76:$N$86,D_命格表!E382+2,0)),0,VLOOKUP(D382,命格辅助表!$I$76:$N$86,D_命格表!E382+2,0))</f>
        <v>5120</v>
      </c>
      <c r="K382">
        <f>IF(ISERROR(VLOOKUP(D382,命格辅助表!$P$76:$U$86,E382+2,0)),0,VLOOKUP(D382,命格辅助表!$P$76:$U$86,E382+2,0))</f>
        <v>4800</v>
      </c>
      <c r="L382">
        <v>0</v>
      </c>
      <c r="M382">
        <v>0</v>
      </c>
      <c r="N382">
        <v>8350</v>
      </c>
      <c r="O382">
        <f t="shared" si="66"/>
        <v>1</v>
      </c>
      <c r="P382">
        <f t="shared" si="61"/>
        <v>8</v>
      </c>
      <c r="Q382">
        <f>ROUND((VLOOKUP($A382,命格属性表,13,0)+VLOOKUP($A382,命格属性表,20,0)*($D382-1))*IF(P382&gt;9,1,VLOOKUP(D382,命格辅助表!$S$3:$U$10,3,0)),0)</f>
        <v>7023</v>
      </c>
      <c r="R382">
        <f t="shared" si="62"/>
        <v>0</v>
      </c>
      <c r="S382">
        <f>ROUND(IF(R382=0,0,VLOOKUP($A382,命格属性表,15,0)+VLOOKUP($A382,命格属性表,22,0)*($D382-1))*IF(R382&gt;9,1,VLOOKUP(D382,命格辅助表!$S$3:$U$10,3,0)),0)</f>
        <v>0</v>
      </c>
      <c r="T382">
        <f t="shared" si="64"/>
        <v>0</v>
      </c>
      <c r="U382">
        <f t="shared" si="53"/>
        <v>0</v>
      </c>
    </row>
    <row r="383" spans="1:21">
      <c r="A383">
        <v>8750</v>
      </c>
      <c r="B383" t="s">
        <v>321</v>
      </c>
      <c r="C383">
        <f t="shared" si="65"/>
        <v>7</v>
      </c>
      <c r="D383">
        <v>5</v>
      </c>
      <c r="E383">
        <v>4</v>
      </c>
      <c r="F383">
        <v>10</v>
      </c>
      <c r="G383" t="str">
        <f>VLOOKUP(P383,定义数据!$B$14:$C$29,2,0)&amp;"+"&amp;Q383&amp;IF(R383=0,"",","&amp;VLOOKUP(R383,定义数据!$B$14:$C$29,2,0)&amp;"+"&amp;S383)&amp;IF(T383=0,"",","&amp;VLOOKUP(T383,定义数据!$B$14:$C$29,2,0)&amp;"+"&amp;U383)</f>
        <v>暴击值+10534</v>
      </c>
      <c r="H383">
        <v>0</v>
      </c>
      <c r="I383">
        <f t="shared" si="63"/>
        <v>7</v>
      </c>
      <c r="J383">
        <f>IF(ISERROR(VLOOKUP(D383,命格辅助表!$I$76:$N$86,D_命格表!E383+2,0)),0,VLOOKUP(D383,命格辅助表!$I$76:$N$86,D_命格表!E383+2,0))</f>
        <v>10240</v>
      </c>
      <c r="K383">
        <f>IF(ISERROR(VLOOKUP(D383,命格辅助表!$P$76:$U$86,E383+2,0)),0,VLOOKUP(D383,命格辅助表!$P$76:$U$86,E383+2,0))</f>
        <v>9920</v>
      </c>
      <c r="L383">
        <v>0</v>
      </c>
      <c r="M383">
        <v>0</v>
      </c>
      <c r="N383">
        <v>8350</v>
      </c>
      <c r="O383">
        <f t="shared" si="66"/>
        <v>1</v>
      </c>
      <c r="P383">
        <f t="shared" si="61"/>
        <v>8</v>
      </c>
      <c r="Q383">
        <f>ROUND((VLOOKUP($A383,命格属性表,13,0)+VLOOKUP($A383,命格属性表,20,0)*($D383-1))*IF(P383&gt;9,1,VLOOKUP(D383,命格辅助表!$S$3:$U$10,3,0)),0)</f>
        <v>10534</v>
      </c>
      <c r="R383">
        <f t="shared" si="62"/>
        <v>0</v>
      </c>
      <c r="S383">
        <f>ROUND(IF(R383=0,0,VLOOKUP($A383,命格属性表,15,0)+VLOOKUP($A383,命格属性表,22,0)*($D383-1))*IF(R383&gt;9,1,VLOOKUP(D383,命格辅助表!$S$3:$U$10,3,0)),0)</f>
        <v>0</v>
      </c>
      <c r="T383">
        <f t="shared" si="64"/>
        <v>0</v>
      </c>
      <c r="U383">
        <f t="shared" si="53"/>
        <v>0</v>
      </c>
    </row>
    <row r="384" spans="1:21">
      <c r="A384">
        <v>8750</v>
      </c>
      <c r="B384" t="s">
        <v>321</v>
      </c>
      <c r="C384">
        <f t="shared" si="65"/>
        <v>7</v>
      </c>
      <c r="D384">
        <v>6</v>
      </c>
      <c r="E384">
        <v>4</v>
      </c>
      <c r="F384">
        <v>10</v>
      </c>
      <c r="G384" t="str">
        <f>VLOOKUP(P384,定义数据!$B$14:$C$29,2,0)&amp;"+"&amp;Q384&amp;IF(R384=0,"",","&amp;VLOOKUP(R384,定义数据!$B$14:$C$29,2,0)&amp;"+"&amp;S384)&amp;IF(T384=0,"",","&amp;VLOOKUP(T384,定义数据!$B$14:$C$29,2,0)&amp;"+"&amp;U384)</f>
        <v>暴击值+15801</v>
      </c>
      <c r="H384">
        <v>0</v>
      </c>
      <c r="I384">
        <f t="shared" si="63"/>
        <v>7</v>
      </c>
      <c r="J384">
        <f>IF(ISERROR(VLOOKUP(D384,命格辅助表!$I$76:$N$86,D_命格表!E384+2,0)),0,VLOOKUP(D384,命格辅助表!$I$76:$N$86,D_命格表!E384+2,0))</f>
        <v>20480</v>
      </c>
      <c r="K384">
        <f>IF(ISERROR(VLOOKUP(D384,命格辅助表!$P$76:$U$86,E384+2,0)),0,VLOOKUP(D384,命格辅助表!$P$76:$U$86,E384+2,0))</f>
        <v>20160</v>
      </c>
      <c r="L384">
        <v>0</v>
      </c>
      <c r="M384">
        <v>0</v>
      </c>
      <c r="N384">
        <v>8350</v>
      </c>
      <c r="O384">
        <f t="shared" si="66"/>
        <v>1</v>
      </c>
      <c r="P384">
        <f t="shared" si="61"/>
        <v>8</v>
      </c>
      <c r="Q384">
        <f>ROUND((VLOOKUP($A384,命格属性表,13,0)+VLOOKUP($A384,命格属性表,20,0)*($D384-1))*IF(P384&gt;9,1,VLOOKUP(D384,命格辅助表!$S$3:$U$10,3,0)),0)</f>
        <v>15801</v>
      </c>
      <c r="R384">
        <f t="shared" si="62"/>
        <v>0</v>
      </c>
      <c r="S384">
        <f>ROUND(IF(R384=0,0,VLOOKUP($A384,命格属性表,15,0)+VLOOKUP($A384,命格属性表,22,0)*($D384-1))*IF(R384&gt;9,1,VLOOKUP(D384,命格辅助表!$S$3:$U$10,3,0)),0)</f>
        <v>0</v>
      </c>
      <c r="T384">
        <f t="shared" si="64"/>
        <v>0</v>
      </c>
      <c r="U384">
        <f t="shared" si="53"/>
        <v>0</v>
      </c>
    </row>
    <row r="385" spans="1:21">
      <c r="A385">
        <v>8750</v>
      </c>
      <c r="B385" t="s">
        <v>321</v>
      </c>
      <c r="C385">
        <f t="shared" si="65"/>
        <v>7</v>
      </c>
      <c r="D385">
        <v>7</v>
      </c>
      <c r="E385">
        <v>4</v>
      </c>
      <c r="F385">
        <v>10</v>
      </c>
      <c r="G385" t="str">
        <f>VLOOKUP(P385,定义数据!$B$14:$C$29,2,0)&amp;"+"&amp;Q385&amp;IF(R385=0,"",","&amp;VLOOKUP(R385,定义数据!$B$14:$C$29,2,0)&amp;"+"&amp;S385)&amp;IF(T385=0,"",","&amp;VLOOKUP(T385,定义数据!$B$14:$C$29,2,0)&amp;"+"&amp;U385)</f>
        <v>暴击值+23701</v>
      </c>
      <c r="H385">
        <v>0</v>
      </c>
      <c r="I385">
        <f t="shared" si="63"/>
        <v>7</v>
      </c>
      <c r="J385">
        <f>IF(ISERROR(VLOOKUP(D385,命格辅助表!$I$76:$N$86,D_命格表!E385+2,0)),0,VLOOKUP(D385,命格辅助表!$I$76:$N$86,D_命格表!E385+2,0))</f>
        <v>40960</v>
      </c>
      <c r="K385">
        <f>IF(ISERROR(VLOOKUP(D385,命格辅助表!$P$76:$U$86,E385+2,0)),0,VLOOKUP(D385,命格辅助表!$P$76:$U$86,E385+2,0))</f>
        <v>40640</v>
      </c>
      <c r="L385">
        <v>0</v>
      </c>
      <c r="M385">
        <v>0</v>
      </c>
      <c r="N385">
        <v>8350</v>
      </c>
      <c r="O385">
        <f t="shared" si="66"/>
        <v>1</v>
      </c>
      <c r="P385">
        <f t="shared" si="61"/>
        <v>8</v>
      </c>
      <c r="Q385">
        <f>ROUND((VLOOKUP($A385,命格属性表,13,0)+VLOOKUP($A385,命格属性表,20,0)*($D385-1))*IF(P385&gt;9,1,VLOOKUP(D385,命格辅助表!$S$3:$U$10,3,0)),0)</f>
        <v>23701</v>
      </c>
      <c r="R385">
        <f t="shared" si="62"/>
        <v>0</v>
      </c>
      <c r="S385">
        <f>ROUND(IF(R385=0,0,VLOOKUP($A385,命格属性表,15,0)+VLOOKUP($A385,命格属性表,22,0)*($D385-1))*IF(R385&gt;9,1,VLOOKUP(D385,命格辅助表!$S$3:$U$10,3,0)),0)</f>
        <v>0</v>
      </c>
      <c r="T385">
        <f t="shared" si="64"/>
        <v>0</v>
      </c>
      <c r="U385">
        <f t="shared" si="53"/>
        <v>0</v>
      </c>
    </row>
    <row r="386" spans="1:21">
      <c r="A386">
        <v>8750</v>
      </c>
      <c r="B386" t="s">
        <v>321</v>
      </c>
      <c r="C386">
        <f t="shared" si="65"/>
        <v>7</v>
      </c>
      <c r="D386">
        <v>8</v>
      </c>
      <c r="E386">
        <v>4</v>
      </c>
      <c r="F386">
        <v>10</v>
      </c>
      <c r="G386" t="str">
        <f>VLOOKUP(P386,定义数据!$B$14:$C$29,2,0)&amp;"+"&amp;Q386&amp;IF(R386=0,"",","&amp;VLOOKUP(R386,定义数据!$B$14:$C$29,2,0)&amp;"+"&amp;S386)&amp;IF(T386=0,"",","&amp;VLOOKUP(T386,定义数据!$B$14:$C$29,2,0)&amp;"+"&amp;U386)</f>
        <v>暴击值+35552</v>
      </c>
      <c r="H386">
        <v>0</v>
      </c>
      <c r="I386">
        <f t="shared" si="63"/>
        <v>7</v>
      </c>
      <c r="J386">
        <f>IF(ISERROR(VLOOKUP(D386,命格辅助表!$I$76:$N$86,D_命格表!E386+2,0)),0,VLOOKUP(D386,命格辅助表!$I$76:$N$86,D_命格表!E386+2,0))</f>
        <v>81920</v>
      </c>
      <c r="K386">
        <f>IF(ISERROR(VLOOKUP(D386,命格辅助表!$P$76:$U$86,E386+2,0)),0,VLOOKUP(D386,命格辅助表!$P$76:$U$86,E386+2,0))</f>
        <v>81600</v>
      </c>
      <c r="L386">
        <f>IF(ISERROR(VLOOKUP(D386,命格辅助表!$I$76:$N$86,D_命格表!E386+2,0)),0,VLOOKUP(D386,命格辅助表!$I$76:$N$86,D_命格表!E386+2,0))</f>
        <v>81920</v>
      </c>
      <c r="M386">
        <f>A386+10</f>
        <v>8760</v>
      </c>
      <c r="N386">
        <v>8350</v>
      </c>
      <c r="O386">
        <f t="shared" si="66"/>
        <v>1</v>
      </c>
      <c r="P386">
        <f t="shared" si="61"/>
        <v>8</v>
      </c>
      <c r="Q386">
        <f>ROUND((VLOOKUP($A386,命格属性表,13,0)+VLOOKUP($A386,命格属性表,20,0)*($D386-1))*IF(P386&gt;9,1,VLOOKUP(D386,命格辅助表!$S$3:$U$10,3,0)),0)</f>
        <v>35552</v>
      </c>
      <c r="R386">
        <f t="shared" si="62"/>
        <v>0</v>
      </c>
      <c r="S386">
        <f>ROUND(IF(R386=0,0,VLOOKUP($A386,命格属性表,15,0)+VLOOKUP($A386,命格属性表,22,0)*($D386-1))*IF(R386&gt;9,1,VLOOKUP(D386,命格辅助表!$S$3:$U$10,3,0)),0)</f>
        <v>0</v>
      </c>
      <c r="T386">
        <f t="shared" si="64"/>
        <v>0</v>
      </c>
      <c r="U386">
        <f t="shared" ref="U386:U449" si="67">IF(T386=0,0,VLOOKUP($A386,命格属性表,17,0)+VLOOKUP($A386,命格属性表,24,0)*($D386-1))</f>
        <v>0</v>
      </c>
    </row>
    <row r="387" spans="1:21">
      <c r="A387">
        <v>8850</v>
      </c>
      <c r="B387" t="s">
        <v>322</v>
      </c>
      <c r="C387">
        <f t="shared" si="65"/>
        <v>8</v>
      </c>
      <c r="D387">
        <v>1</v>
      </c>
      <c r="E387">
        <v>4</v>
      </c>
      <c r="F387">
        <v>10</v>
      </c>
      <c r="G387" t="str">
        <f>VLOOKUP(P387,定义数据!$B$14:$C$29,2,0)&amp;"+"&amp;Q387&amp;IF(R387=0,"",","&amp;VLOOKUP(R387,定义数据!$B$14:$C$29,2,0)&amp;"+"&amp;S387)&amp;IF(T387=0,"",","&amp;VLOOKUP(T387,定义数据!$B$14:$C$29,2,0)&amp;"+"&amp;U387)</f>
        <v>暴击倍数+3000,攻击+187</v>
      </c>
      <c r="H387">
        <v>0</v>
      </c>
      <c r="I387">
        <f t="shared" si="63"/>
        <v>8</v>
      </c>
      <c r="J387">
        <f>IF(ISERROR(VLOOKUP(D387,命格辅助表!$I$76:$N$86,D_命格表!E387+2,0)),0,VLOOKUP(D387,命格辅助表!$I$76:$N$86,D_命格表!E387+2,0))</f>
        <v>640</v>
      </c>
      <c r="K387">
        <f>IF(ISERROR(VLOOKUP(D387,命格辅助表!$P$76:$U$86,E387+2,0)),0,VLOOKUP(D387,命格辅助表!$P$76:$U$86,E387+2,0))</f>
        <v>320</v>
      </c>
      <c r="L387">
        <v>0</v>
      </c>
      <c r="M387">
        <v>0</v>
      </c>
      <c r="N387">
        <v>8450</v>
      </c>
      <c r="O387">
        <f t="shared" si="66"/>
        <v>2</v>
      </c>
      <c r="P387">
        <f t="shared" si="61"/>
        <v>10</v>
      </c>
      <c r="Q387">
        <f>ROUND((VLOOKUP($A387,命格属性表,13,0)+VLOOKUP($A387,命格属性表,20,0)*($D387-1))*IF(P387&gt;9,1,VLOOKUP(D387,命格辅助表!$S$3:$U$10,3,0)),0)</f>
        <v>3000</v>
      </c>
      <c r="R387">
        <f t="shared" si="62"/>
        <v>2</v>
      </c>
      <c r="S387">
        <f>ROUND(IF(R387=0,0,VLOOKUP($A387,命格属性表,15,0)+VLOOKUP($A387,命格属性表,22,0)*($D387-1))*IF(R387&gt;9,1,VLOOKUP(D387,命格辅助表!$S$3:$U$10,3,0)),0)</f>
        <v>187</v>
      </c>
      <c r="T387">
        <f t="shared" si="64"/>
        <v>0</v>
      </c>
      <c r="U387">
        <f t="shared" si="67"/>
        <v>0</v>
      </c>
    </row>
    <row r="388" spans="1:21">
      <c r="A388">
        <v>8850</v>
      </c>
      <c r="B388" t="s">
        <v>322</v>
      </c>
      <c r="C388">
        <f t="shared" si="65"/>
        <v>8</v>
      </c>
      <c r="D388">
        <v>2</v>
      </c>
      <c r="E388">
        <v>4</v>
      </c>
      <c r="F388">
        <v>10</v>
      </c>
      <c r="G388" t="str">
        <f>VLOOKUP(P388,定义数据!$B$14:$C$29,2,0)&amp;"+"&amp;Q388&amp;IF(R388=0,"",","&amp;VLOOKUP(R388,定义数据!$B$14:$C$29,2,0)&amp;"+"&amp;S388)&amp;IF(T388=0,"",","&amp;VLOOKUP(T388,定义数据!$B$14:$C$29,2,0)&amp;"+"&amp;U388)</f>
        <v>暴击倍数+6000,攻击+281</v>
      </c>
      <c r="H388">
        <v>0</v>
      </c>
      <c r="I388">
        <f t="shared" si="63"/>
        <v>8</v>
      </c>
      <c r="J388">
        <f>IF(ISERROR(VLOOKUP(D388,命格辅助表!$I$76:$N$86,D_命格表!E388+2,0)),0,VLOOKUP(D388,命格辅助表!$I$76:$N$86,D_命格表!E388+2,0))</f>
        <v>1280</v>
      </c>
      <c r="K388">
        <f>IF(ISERROR(VLOOKUP(D388,命格辅助表!$P$76:$U$86,E388+2,0)),0,VLOOKUP(D388,命格辅助表!$P$76:$U$86,E388+2,0))</f>
        <v>960</v>
      </c>
      <c r="L388">
        <v>0</v>
      </c>
      <c r="M388">
        <v>0</v>
      </c>
      <c r="N388">
        <v>8450</v>
      </c>
      <c r="O388">
        <f t="shared" si="66"/>
        <v>2</v>
      </c>
      <c r="P388">
        <f t="shared" si="61"/>
        <v>10</v>
      </c>
      <c r="Q388">
        <f>ROUND((VLOOKUP($A388,命格属性表,13,0)+VLOOKUP($A388,命格属性表,20,0)*($D388-1))*IF(P388&gt;9,1,VLOOKUP(D388,命格辅助表!$S$3:$U$10,3,0)),0)</f>
        <v>6000</v>
      </c>
      <c r="R388">
        <f t="shared" si="62"/>
        <v>2</v>
      </c>
      <c r="S388">
        <f>ROUND(IF(R388=0,0,VLOOKUP($A388,命格属性表,15,0)+VLOOKUP($A388,命格属性表,22,0)*($D388-1))*IF(R388&gt;9,1,VLOOKUP(D388,命格辅助表!$S$3:$U$10,3,0)),0)</f>
        <v>281</v>
      </c>
      <c r="T388">
        <f t="shared" si="64"/>
        <v>0</v>
      </c>
      <c r="U388">
        <f t="shared" si="67"/>
        <v>0</v>
      </c>
    </row>
    <row r="389" spans="1:21">
      <c r="A389">
        <v>8850</v>
      </c>
      <c r="B389" t="s">
        <v>322</v>
      </c>
      <c r="C389">
        <f t="shared" si="65"/>
        <v>8</v>
      </c>
      <c r="D389">
        <v>3</v>
      </c>
      <c r="E389">
        <v>4</v>
      </c>
      <c r="F389">
        <v>10</v>
      </c>
      <c r="G389" t="str">
        <f>VLOOKUP(P389,定义数据!$B$14:$C$29,2,0)&amp;"+"&amp;Q389&amp;IF(R389=0,"",","&amp;VLOOKUP(R389,定义数据!$B$14:$C$29,2,0)&amp;"+"&amp;S389)&amp;IF(T389=0,"",","&amp;VLOOKUP(T389,定义数据!$B$14:$C$29,2,0)&amp;"+"&amp;U389)</f>
        <v>暴击倍数+9000,攻击+421</v>
      </c>
      <c r="H389">
        <v>0</v>
      </c>
      <c r="I389">
        <f t="shared" si="63"/>
        <v>8</v>
      </c>
      <c r="J389">
        <f>IF(ISERROR(VLOOKUP(D389,命格辅助表!$I$76:$N$86,D_命格表!E389+2,0)),0,VLOOKUP(D389,命格辅助表!$I$76:$N$86,D_命格表!E389+2,0))</f>
        <v>2560</v>
      </c>
      <c r="K389">
        <f>IF(ISERROR(VLOOKUP(D389,命格辅助表!$P$76:$U$86,E389+2,0)),0,VLOOKUP(D389,命格辅助表!$P$76:$U$86,E389+2,0))</f>
        <v>2240</v>
      </c>
      <c r="L389">
        <v>0</v>
      </c>
      <c r="M389">
        <v>0</v>
      </c>
      <c r="N389">
        <v>8450</v>
      </c>
      <c r="O389">
        <f t="shared" si="66"/>
        <v>2</v>
      </c>
      <c r="P389">
        <f t="shared" si="61"/>
        <v>10</v>
      </c>
      <c r="Q389">
        <f>ROUND((VLOOKUP($A389,命格属性表,13,0)+VLOOKUP($A389,命格属性表,20,0)*($D389-1))*IF(P389&gt;9,1,VLOOKUP(D389,命格辅助表!$S$3:$U$10,3,0)),0)</f>
        <v>9000</v>
      </c>
      <c r="R389">
        <f t="shared" si="62"/>
        <v>2</v>
      </c>
      <c r="S389">
        <f>ROUND(IF(R389=0,0,VLOOKUP($A389,命格属性表,15,0)+VLOOKUP($A389,命格属性表,22,0)*($D389-1))*IF(R389&gt;9,1,VLOOKUP(D389,命格辅助表!$S$3:$U$10,3,0)),0)</f>
        <v>421</v>
      </c>
      <c r="T389">
        <f t="shared" si="64"/>
        <v>0</v>
      </c>
      <c r="U389">
        <f t="shared" si="67"/>
        <v>0</v>
      </c>
    </row>
    <row r="390" spans="1:21">
      <c r="A390">
        <v>8850</v>
      </c>
      <c r="B390" t="s">
        <v>322</v>
      </c>
      <c r="C390">
        <f t="shared" si="65"/>
        <v>8</v>
      </c>
      <c r="D390">
        <v>4</v>
      </c>
      <c r="E390">
        <v>4</v>
      </c>
      <c r="F390">
        <v>10</v>
      </c>
      <c r="G390" t="str">
        <f>VLOOKUP(P390,定义数据!$B$14:$C$29,2,0)&amp;"+"&amp;Q390&amp;IF(R390=0,"",","&amp;VLOOKUP(R390,定义数据!$B$14:$C$29,2,0)&amp;"+"&amp;S390)&amp;IF(T390=0,"",","&amp;VLOOKUP(T390,定义数据!$B$14:$C$29,2,0)&amp;"+"&amp;U390)</f>
        <v>暴击倍数+12000,攻击+632</v>
      </c>
      <c r="H390">
        <v>0</v>
      </c>
      <c r="I390">
        <f t="shared" si="63"/>
        <v>8</v>
      </c>
      <c r="J390">
        <f>IF(ISERROR(VLOOKUP(D390,命格辅助表!$I$76:$N$86,D_命格表!E390+2,0)),0,VLOOKUP(D390,命格辅助表!$I$76:$N$86,D_命格表!E390+2,0))</f>
        <v>5120</v>
      </c>
      <c r="K390">
        <f>IF(ISERROR(VLOOKUP(D390,命格辅助表!$P$76:$U$86,E390+2,0)),0,VLOOKUP(D390,命格辅助表!$P$76:$U$86,E390+2,0))</f>
        <v>4800</v>
      </c>
      <c r="L390">
        <v>0</v>
      </c>
      <c r="M390">
        <v>0</v>
      </c>
      <c r="N390">
        <v>8450</v>
      </c>
      <c r="O390">
        <f t="shared" si="66"/>
        <v>2</v>
      </c>
      <c r="P390">
        <f t="shared" si="61"/>
        <v>10</v>
      </c>
      <c r="Q390">
        <f>ROUND((VLOOKUP($A390,命格属性表,13,0)+VLOOKUP($A390,命格属性表,20,0)*($D390-1))*IF(P390&gt;9,1,VLOOKUP(D390,命格辅助表!$S$3:$U$10,3,0)),0)</f>
        <v>12000</v>
      </c>
      <c r="R390">
        <f t="shared" si="62"/>
        <v>2</v>
      </c>
      <c r="S390">
        <f>ROUND(IF(R390=0,0,VLOOKUP($A390,命格属性表,15,0)+VLOOKUP($A390,命格属性表,22,0)*($D390-1))*IF(R390&gt;9,1,VLOOKUP(D390,命格辅助表!$S$3:$U$10,3,0)),0)</f>
        <v>632</v>
      </c>
      <c r="T390">
        <f t="shared" si="64"/>
        <v>0</v>
      </c>
      <c r="U390">
        <f t="shared" si="67"/>
        <v>0</v>
      </c>
    </row>
    <row r="391" spans="1:21">
      <c r="A391">
        <v>8850</v>
      </c>
      <c r="B391" t="s">
        <v>322</v>
      </c>
      <c r="C391">
        <f t="shared" si="65"/>
        <v>8</v>
      </c>
      <c r="D391">
        <v>5</v>
      </c>
      <c r="E391">
        <v>4</v>
      </c>
      <c r="F391">
        <v>10</v>
      </c>
      <c r="G391" t="str">
        <f>VLOOKUP(P391,定义数据!$B$14:$C$29,2,0)&amp;"+"&amp;Q391&amp;IF(R391=0,"",","&amp;VLOOKUP(R391,定义数据!$B$14:$C$29,2,0)&amp;"+"&amp;S391)&amp;IF(T391=0,"",","&amp;VLOOKUP(T391,定义数据!$B$14:$C$29,2,0)&amp;"+"&amp;U391)</f>
        <v>暴击倍数+15000,攻击+948</v>
      </c>
      <c r="H391">
        <v>0</v>
      </c>
      <c r="I391">
        <f t="shared" si="63"/>
        <v>8</v>
      </c>
      <c r="J391">
        <f>IF(ISERROR(VLOOKUP(D391,命格辅助表!$I$76:$N$86,D_命格表!E391+2,0)),0,VLOOKUP(D391,命格辅助表!$I$76:$N$86,D_命格表!E391+2,0))</f>
        <v>10240</v>
      </c>
      <c r="K391">
        <f>IF(ISERROR(VLOOKUP(D391,命格辅助表!$P$76:$U$86,E391+2,0)),0,VLOOKUP(D391,命格辅助表!$P$76:$U$86,E391+2,0))</f>
        <v>9920</v>
      </c>
      <c r="L391">
        <v>0</v>
      </c>
      <c r="M391">
        <v>0</v>
      </c>
      <c r="N391">
        <v>8450</v>
      </c>
      <c r="O391">
        <f t="shared" si="66"/>
        <v>2</v>
      </c>
      <c r="P391">
        <f t="shared" si="61"/>
        <v>10</v>
      </c>
      <c r="Q391">
        <f>ROUND((VLOOKUP($A391,命格属性表,13,0)+VLOOKUP($A391,命格属性表,20,0)*($D391-1))*IF(P391&gt;9,1,VLOOKUP(D391,命格辅助表!$S$3:$U$10,3,0)),0)</f>
        <v>15000</v>
      </c>
      <c r="R391">
        <f t="shared" si="62"/>
        <v>2</v>
      </c>
      <c r="S391">
        <f>ROUND(IF(R391=0,0,VLOOKUP($A391,命格属性表,15,0)+VLOOKUP($A391,命格属性表,22,0)*($D391-1))*IF(R391&gt;9,1,VLOOKUP(D391,命格辅助表!$S$3:$U$10,3,0)),0)</f>
        <v>948</v>
      </c>
      <c r="T391">
        <f t="shared" si="64"/>
        <v>0</v>
      </c>
      <c r="U391">
        <f t="shared" si="67"/>
        <v>0</v>
      </c>
    </row>
    <row r="392" spans="1:21">
      <c r="A392">
        <v>8850</v>
      </c>
      <c r="B392" t="s">
        <v>322</v>
      </c>
      <c r="C392">
        <f t="shared" si="65"/>
        <v>8</v>
      </c>
      <c r="D392">
        <v>6</v>
      </c>
      <c r="E392">
        <v>4</v>
      </c>
      <c r="F392">
        <v>10</v>
      </c>
      <c r="G392" t="str">
        <f>VLOOKUP(P392,定义数据!$B$14:$C$29,2,0)&amp;"+"&amp;Q392&amp;IF(R392=0,"",","&amp;VLOOKUP(R392,定义数据!$B$14:$C$29,2,0)&amp;"+"&amp;S392)&amp;IF(T392=0,"",","&amp;VLOOKUP(T392,定义数据!$B$14:$C$29,2,0)&amp;"+"&amp;U392)</f>
        <v>暴击倍数+18000,攻击+1422</v>
      </c>
      <c r="H392">
        <v>0</v>
      </c>
      <c r="I392">
        <f t="shared" si="63"/>
        <v>8</v>
      </c>
      <c r="J392">
        <f>IF(ISERROR(VLOOKUP(D392,命格辅助表!$I$76:$N$86,D_命格表!E392+2,0)),0,VLOOKUP(D392,命格辅助表!$I$76:$N$86,D_命格表!E392+2,0))</f>
        <v>20480</v>
      </c>
      <c r="K392">
        <f>IF(ISERROR(VLOOKUP(D392,命格辅助表!$P$76:$U$86,E392+2,0)),0,VLOOKUP(D392,命格辅助表!$P$76:$U$86,E392+2,0))</f>
        <v>20160</v>
      </c>
      <c r="L392">
        <v>0</v>
      </c>
      <c r="M392">
        <v>0</v>
      </c>
      <c r="N392">
        <v>8450</v>
      </c>
      <c r="O392">
        <f t="shared" si="66"/>
        <v>2</v>
      </c>
      <c r="P392">
        <f t="shared" si="61"/>
        <v>10</v>
      </c>
      <c r="Q392">
        <f>ROUND((VLOOKUP($A392,命格属性表,13,0)+VLOOKUP($A392,命格属性表,20,0)*($D392-1))*IF(P392&gt;9,1,VLOOKUP(D392,命格辅助表!$S$3:$U$10,3,0)),0)</f>
        <v>18000</v>
      </c>
      <c r="R392">
        <f t="shared" si="62"/>
        <v>2</v>
      </c>
      <c r="S392">
        <f>ROUND(IF(R392=0,0,VLOOKUP($A392,命格属性表,15,0)+VLOOKUP($A392,命格属性表,22,0)*($D392-1))*IF(R392&gt;9,1,VLOOKUP(D392,命格辅助表!$S$3:$U$10,3,0)),0)</f>
        <v>1422</v>
      </c>
      <c r="T392">
        <f t="shared" si="64"/>
        <v>0</v>
      </c>
      <c r="U392">
        <f t="shared" si="67"/>
        <v>0</v>
      </c>
    </row>
    <row r="393" spans="1:21">
      <c r="A393">
        <v>8850</v>
      </c>
      <c r="B393" t="s">
        <v>322</v>
      </c>
      <c r="C393">
        <f t="shared" si="65"/>
        <v>8</v>
      </c>
      <c r="D393">
        <v>7</v>
      </c>
      <c r="E393">
        <v>4</v>
      </c>
      <c r="F393">
        <v>10</v>
      </c>
      <c r="G393" t="str">
        <f>VLOOKUP(P393,定义数据!$B$14:$C$29,2,0)&amp;"+"&amp;Q393&amp;IF(R393=0,"",","&amp;VLOOKUP(R393,定义数据!$B$14:$C$29,2,0)&amp;"+"&amp;S393)&amp;IF(T393=0,"",","&amp;VLOOKUP(T393,定义数据!$B$14:$C$29,2,0)&amp;"+"&amp;U393)</f>
        <v>暴击倍数+21000,攻击+2133</v>
      </c>
      <c r="H393">
        <v>0</v>
      </c>
      <c r="I393">
        <f t="shared" si="63"/>
        <v>8</v>
      </c>
      <c r="J393">
        <f>IF(ISERROR(VLOOKUP(D393,命格辅助表!$I$76:$N$86,D_命格表!E393+2,0)),0,VLOOKUP(D393,命格辅助表!$I$76:$N$86,D_命格表!E393+2,0))</f>
        <v>40960</v>
      </c>
      <c r="K393">
        <f>IF(ISERROR(VLOOKUP(D393,命格辅助表!$P$76:$U$86,E393+2,0)),0,VLOOKUP(D393,命格辅助表!$P$76:$U$86,E393+2,0))</f>
        <v>40640</v>
      </c>
      <c r="L393">
        <v>0</v>
      </c>
      <c r="M393">
        <v>0</v>
      </c>
      <c r="N393">
        <v>8450</v>
      </c>
      <c r="O393">
        <f t="shared" si="66"/>
        <v>2</v>
      </c>
      <c r="P393">
        <f t="shared" si="61"/>
        <v>10</v>
      </c>
      <c r="Q393">
        <f>ROUND((VLOOKUP($A393,命格属性表,13,0)+VLOOKUP($A393,命格属性表,20,0)*($D393-1))*IF(P393&gt;9,1,VLOOKUP(D393,命格辅助表!$S$3:$U$10,3,0)),0)</f>
        <v>21000</v>
      </c>
      <c r="R393">
        <f t="shared" si="62"/>
        <v>2</v>
      </c>
      <c r="S393">
        <f>ROUND(IF(R393=0,0,VLOOKUP($A393,命格属性表,15,0)+VLOOKUP($A393,命格属性表,22,0)*($D393-1))*IF(R393&gt;9,1,VLOOKUP(D393,命格辅助表!$S$3:$U$10,3,0)),0)</f>
        <v>2133</v>
      </c>
      <c r="T393">
        <f t="shared" si="64"/>
        <v>0</v>
      </c>
      <c r="U393">
        <f t="shared" si="67"/>
        <v>0</v>
      </c>
    </row>
    <row r="394" spans="1:21">
      <c r="A394">
        <v>8850</v>
      </c>
      <c r="B394" t="s">
        <v>322</v>
      </c>
      <c r="C394">
        <f t="shared" si="65"/>
        <v>8</v>
      </c>
      <c r="D394">
        <v>8</v>
      </c>
      <c r="E394">
        <v>4</v>
      </c>
      <c r="F394">
        <v>10</v>
      </c>
      <c r="G394" t="str">
        <f>VLOOKUP(P394,定义数据!$B$14:$C$29,2,0)&amp;"+"&amp;Q394&amp;IF(R394=0,"",","&amp;VLOOKUP(R394,定义数据!$B$14:$C$29,2,0)&amp;"+"&amp;S394)&amp;IF(T394=0,"",","&amp;VLOOKUP(T394,定义数据!$B$14:$C$29,2,0)&amp;"+"&amp;U394)</f>
        <v>暴击倍数+24000,攻击+3200</v>
      </c>
      <c r="H394">
        <v>0</v>
      </c>
      <c r="I394">
        <f t="shared" si="63"/>
        <v>8</v>
      </c>
      <c r="J394">
        <f>IF(ISERROR(VLOOKUP(D394,命格辅助表!$I$76:$N$86,D_命格表!E394+2,0)),0,VLOOKUP(D394,命格辅助表!$I$76:$N$86,D_命格表!E394+2,0))</f>
        <v>81920</v>
      </c>
      <c r="K394">
        <f>IF(ISERROR(VLOOKUP(D394,命格辅助表!$P$76:$U$86,E394+2,0)),0,VLOOKUP(D394,命格辅助表!$P$76:$U$86,E394+2,0))</f>
        <v>81600</v>
      </c>
      <c r="L394">
        <f>IF(ISERROR(VLOOKUP(D394,命格辅助表!$I$76:$N$86,D_命格表!E394+2,0)),0,VLOOKUP(D394,命格辅助表!$I$76:$N$86,D_命格表!E394+2,0))</f>
        <v>81920</v>
      </c>
      <c r="M394">
        <f>A394+10</f>
        <v>8860</v>
      </c>
      <c r="N394">
        <v>8450</v>
      </c>
      <c r="O394">
        <f t="shared" si="66"/>
        <v>2</v>
      </c>
      <c r="P394">
        <f t="shared" si="61"/>
        <v>10</v>
      </c>
      <c r="Q394">
        <f>ROUND((VLOOKUP($A394,命格属性表,13,0)+VLOOKUP($A394,命格属性表,20,0)*($D394-1))*IF(P394&gt;9,1,VLOOKUP(D394,命格辅助表!$S$3:$U$10,3,0)),0)</f>
        <v>24000</v>
      </c>
      <c r="R394">
        <f t="shared" si="62"/>
        <v>2</v>
      </c>
      <c r="S394">
        <f>ROUND(IF(R394=0,0,VLOOKUP($A394,命格属性表,15,0)+VLOOKUP($A394,命格属性表,22,0)*($D394-1))*IF(R394&gt;9,1,VLOOKUP(D394,命格辅助表!$S$3:$U$10,3,0)),0)</f>
        <v>3200</v>
      </c>
      <c r="T394">
        <f t="shared" si="64"/>
        <v>0</v>
      </c>
      <c r="U394">
        <f t="shared" si="67"/>
        <v>0</v>
      </c>
    </row>
    <row r="395" spans="1:21">
      <c r="A395">
        <v>8950</v>
      </c>
      <c r="B395" t="s">
        <v>323</v>
      </c>
      <c r="C395">
        <f t="shared" si="65"/>
        <v>9</v>
      </c>
      <c r="D395">
        <v>1</v>
      </c>
      <c r="E395">
        <v>4</v>
      </c>
      <c r="F395">
        <v>10</v>
      </c>
      <c r="G395" t="str">
        <f>VLOOKUP(P395,定义数据!$B$14:$C$29,2,0)&amp;"+"&amp;Q395&amp;IF(R395=0,"",","&amp;VLOOKUP(R395,定义数据!$B$14:$C$29,2,0)&amp;"+"&amp;S395)&amp;IF(T395=0,"",","&amp;VLOOKUP(T395,定义数据!$B$14:$C$29,2,0)&amp;"+"&amp;U395)</f>
        <v>攻击加成+1000,生命+4682</v>
      </c>
      <c r="H395">
        <v>0</v>
      </c>
      <c r="I395">
        <f t="shared" si="63"/>
        <v>9</v>
      </c>
      <c r="J395">
        <f>IF(ISERROR(VLOOKUP(D395,命格辅助表!$I$76:$N$86,D_命格表!E395+2,0)),0,VLOOKUP(D395,命格辅助表!$I$76:$N$86,D_命格表!E395+2,0))</f>
        <v>640</v>
      </c>
      <c r="K395">
        <f>IF(ISERROR(VLOOKUP(D395,命格辅助表!$P$76:$U$86,E395+2,0)),0,VLOOKUP(D395,命格辅助表!$P$76:$U$86,E395+2,0))</f>
        <v>320</v>
      </c>
      <c r="L395">
        <v>0</v>
      </c>
      <c r="M395">
        <v>0</v>
      </c>
      <c r="N395">
        <v>8150</v>
      </c>
      <c r="O395">
        <f t="shared" si="66"/>
        <v>2</v>
      </c>
      <c r="P395">
        <f t="shared" si="61"/>
        <v>22</v>
      </c>
      <c r="Q395">
        <f>ROUND((VLOOKUP($A395,命格属性表,13,0)+VLOOKUP($A395,命格属性表,20,0)*($D395-1))*IF(P395&gt;9,1,VLOOKUP(D395,命格辅助表!$S$3:$U$10,3,0)),0)</f>
        <v>1000</v>
      </c>
      <c r="R395">
        <f t="shared" si="62"/>
        <v>1</v>
      </c>
      <c r="S395">
        <f>ROUND(IF(R395=0,0,VLOOKUP($A395,命格属性表,15,0)+VLOOKUP($A395,命格属性表,22,0)*($D395-1))*IF(R395&gt;9,1,VLOOKUP(D395,命格辅助表!$S$3:$U$10,3,0)),0)</f>
        <v>4682</v>
      </c>
      <c r="T395">
        <f t="shared" si="64"/>
        <v>0</v>
      </c>
      <c r="U395">
        <f t="shared" si="67"/>
        <v>0</v>
      </c>
    </row>
    <row r="396" spans="1:21">
      <c r="A396">
        <v>8950</v>
      </c>
      <c r="B396" t="s">
        <v>323</v>
      </c>
      <c r="C396">
        <f t="shared" si="65"/>
        <v>9</v>
      </c>
      <c r="D396">
        <v>2</v>
      </c>
      <c r="E396">
        <v>4</v>
      </c>
      <c r="F396">
        <v>10</v>
      </c>
      <c r="G396" t="str">
        <f>VLOOKUP(P396,定义数据!$B$14:$C$29,2,0)&amp;"+"&amp;Q396&amp;IF(R396=0,"",","&amp;VLOOKUP(R396,定义数据!$B$14:$C$29,2,0)&amp;"+"&amp;S396)&amp;IF(T396=0,"",","&amp;VLOOKUP(T396,定义数据!$B$14:$C$29,2,0)&amp;"+"&amp;U396)</f>
        <v>攻击加成+2000,生命+7023</v>
      </c>
      <c r="H396">
        <v>0</v>
      </c>
      <c r="I396">
        <f t="shared" si="63"/>
        <v>9</v>
      </c>
      <c r="J396">
        <f>IF(ISERROR(VLOOKUP(D396,命格辅助表!$I$76:$N$86,D_命格表!E396+2,0)),0,VLOOKUP(D396,命格辅助表!$I$76:$N$86,D_命格表!E396+2,0))</f>
        <v>1280</v>
      </c>
      <c r="K396">
        <f>IF(ISERROR(VLOOKUP(D396,命格辅助表!$P$76:$U$86,E396+2,0)),0,VLOOKUP(D396,命格辅助表!$P$76:$U$86,E396+2,0))</f>
        <v>960</v>
      </c>
      <c r="L396">
        <v>0</v>
      </c>
      <c r="M396">
        <v>0</v>
      </c>
      <c r="N396">
        <v>8150</v>
      </c>
      <c r="O396">
        <f t="shared" si="66"/>
        <v>2</v>
      </c>
      <c r="P396">
        <f t="shared" si="61"/>
        <v>22</v>
      </c>
      <c r="Q396">
        <f>ROUND((VLOOKUP($A396,命格属性表,13,0)+VLOOKUP($A396,命格属性表,20,0)*($D396-1))*IF(P396&gt;9,1,VLOOKUP(D396,命格辅助表!$S$3:$U$10,3,0)),0)</f>
        <v>2000</v>
      </c>
      <c r="R396">
        <f t="shared" si="62"/>
        <v>1</v>
      </c>
      <c r="S396">
        <f>ROUND(IF(R396=0,0,VLOOKUP($A396,命格属性表,15,0)+VLOOKUP($A396,命格属性表,22,0)*($D396-1))*IF(R396&gt;9,1,VLOOKUP(D396,命格辅助表!$S$3:$U$10,3,0)),0)</f>
        <v>7023</v>
      </c>
      <c r="T396">
        <f t="shared" si="64"/>
        <v>0</v>
      </c>
      <c r="U396">
        <f t="shared" si="67"/>
        <v>0</v>
      </c>
    </row>
    <row r="397" spans="1:21">
      <c r="A397">
        <v>8950</v>
      </c>
      <c r="B397" t="s">
        <v>323</v>
      </c>
      <c r="C397">
        <f t="shared" si="65"/>
        <v>9</v>
      </c>
      <c r="D397">
        <v>3</v>
      </c>
      <c r="E397">
        <v>4</v>
      </c>
      <c r="F397">
        <v>10</v>
      </c>
      <c r="G397" t="str">
        <f>VLOOKUP(P397,定义数据!$B$14:$C$29,2,0)&amp;"+"&amp;Q397&amp;IF(R397=0,"",","&amp;VLOOKUP(R397,定义数据!$B$14:$C$29,2,0)&amp;"+"&amp;S397)&amp;IF(T397=0,"",","&amp;VLOOKUP(T397,定义数据!$B$14:$C$29,2,0)&amp;"+"&amp;U397)</f>
        <v>攻击加成+3000,生命+10535</v>
      </c>
      <c r="H397">
        <v>0</v>
      </c>
      <c r="I397">
        <f t="shared" si="63"/>
        <v>9</v>
      </c>
      <c r="J397">
        <f>IF(ISERROR(VLOOKUP(D397,命格辅助表!$I$76:$N$86,D_命格表!E397+2,0)),0,VLOOKUP(D397,命格辅助表!$I$76:$N$86,D_命格表!E397+2,0))</f>
        <v>2560</v>
      </c>
      <c r="K397">
        <f>IF(ISERROR(VLOOKUP(D397,命格辅助表!$P$76:$U$86,E397+2,0)),0,VLOOKUP(D397,命格辅助表!$P$76:$U$86,E397+2,0))</f>
        <v>2240</v>
      </c>
      <c r="L397">
        <v>0</v>
      </c>
      <c r="M397">
        <v>0</v>
      </c>
      <c r="N397">
        <v>8150</v>
      </c>
      <c r="O397">
        <f t="shared" si="66"/>
        <v>2</v>
      </c>
      <c r="P397">
        <f t="shared" si="61"/>
        <v>22</v>
      </c>
      <c r="Q397">
        <f>ROUND((VLOOKUP($A397,命格属性表,13,0)+VLOOKUP($A397,命格属性表,20,0)*($D397-1))*IF(P397&gt;9,1,VLOOKUP(D397,命格辅助表!$S$3:$U$10,3,0)),0)</f>
        <v>3000</v>
      </c>
      <c r="R397">
        <f t="shared" si="62"/>
        <v>1</v>
      </c>
      <c r="S397">
        <f>ROUND(IF(R397=0,0,VLOOKUP($A397,命格属性表,15,0)+VLOOKUP($A397,命格属性表,22,0)*($D397-1))*IF(R397&gt;9,1,VLOOKUP(D397,命格辅助表!$S$3:$U$10,3,0)),0)</f>
        <v>10535</v>
      </c>
      <c r="T397">
        <f t="shared" si="64"/>
        <v>0</v>
      </c>
      <c r="U397">
        <f t="shared" si="67"/>
        <v>0</v>
      </c>
    </row>
    <row r="398" spans="1:21">
      <c r="A398">
        <v>8950</v>
      </c>
      <c r="B398" t="s">
        <v>323</v>
      </c>
      <c r="C398">
        <f t="shared" si="65"/>
        <v>9</v>
      </c>
      <c r="D398">
        <v>4</v>
      </c>
      <c r="E398">
        <v>4</v>
      </c>
      <c r="F398">
        <v>10</v>
      </c>
      <c r="G398" t="str">
        <f>VLOOKUP(P398,定义数据!$B$14:$C$29,2,0)&amp;"+"&amp;Q398&amp;IF(R398=0,"",","&amp;VLOOKUP(R398,定义数据!$B$14:$C$29,2,0)&amp;"+"&amp;S398)&amp;IF(T398=0,"",","&amp;VLOOKUP(T398,定义数据!$B$14:$C$29,2,0)&amp;"+"&amp;U398)</f>
        <v>攻击加成+4000,生命+15802</v>
      </c>
      <c r="H398">
        <v>0</v>
      </c>
      <c r="I398">
        <f t="shared" si="63"/>
        <v>9</v>
      </c>
      <c r="J398">
        <f>IF(ISERROR(VLOOKUP(D398,命格辅助表!$I$76:$N$86,D_命格表!E398+2,0)),0,VLOOKUP(D398,命格辅助表!$I$76:$N$86,D_命格表!E398+2,0))</f>
        <v>5120</v>
      </c>
      <c r="K398">
        <f>IF(ISERROR(VLOOKUP(D398,命格辅助表!$P$76:$U$86,E398+2,0)),0,VLOOKUP(D398,命格辅助表!$P$76:$U$86,E398+2,0))</f>
        <v>4800</v>
      </c>
      <c r="L398">
        <v>0</v>
      </c>
      <c r="M398">
        <v>0</v>
      </c>
      <c r="N398">
        <v>8150</v>
      </c>
      <c r="O398">
        <f t="shared" si="66"/>
        <v>2</v>
      </c>
      <c r="P398">
        <f t="shared" si="61"/>
        <v>22</v>
      </c>
      <c r="Q398">
        <f>ROUND((VLOOKUP($A398,命格属性表,13,0)+VLOOKUP($A398,命格属性表,20,0)*($D398-1))*IF(P398&gt;9,1,VLOOKUP(D398,命格辅助表!$S$3:$U$10,3,0)),0)</f>
        <v>4000</v>
      </c>
      <c r="R398">
        <f t="shared" si="62"/>
        <v>1</v>
      </c>
      <c r="S398">
        <f>ROUND(IF(R398=0,0,VLOOKUP($A398,命格属性表,15,0)+VLOOKUP($A398,命格属性表,22,0)*($D398-1))*IF(R398&gt;9,1,VLOOKUP(D398,命格辅助表!$S$3:$U$10,3,0)),0)</f>
        <v>15802</v>
      </c>
      <c r="T398">
        <f t="shared" si="64"/>
        <v>0</v>
      </c>
      <c r="U398">
        <f t="shared" si="67"/>
        <v>0</v>
      </c>
    </row>
    <row r="399" spans="1:21">
      <c r="A399">
        <v>8950</v>
      </c>
      <c r="B399" t="s">
        <v>323</v>
      </c>
      <c r="C399">
        <f t="shared" si="65"/>
        <v>9</v>
      </c>
      <c r="D399">
        <v>5</v>
      </c>
      <c r="E399">
        <v>4</v>
      </c>
      <c r="F399">
        <v>10</v>
      </c>
      <c r="G399" t="str">
        <f>VLOOKUP(P399,定义数据!$B$14:$C$29,2,0)&amp;"+"&amp;Q399&amp;IF(R399=0,"",","&amp;VLOOKUP(R399,定义数据!$B$14:$C$29,2,0)&amp;"+"&amp;S399)&amp;IF(T399=0,"",","&amp;VLOOKUP(T399,定义数据!$B$14:$C$29,2,0)&amp;"+"&amp;U399)</f>
        <v>攻击加成+5000,生命+23704</v>
      </c>
      <c r="H399">
        <v>0</v>
      </c>
      <c r="I399">
        <f t="shared" si="63"/>
        <v>9</v>
      </c>
      <c r="J399">
        <f>IF(ISERROR(VLOOKUP(D399,命格辅助表!$I$76:$N$86,D_命格表!E399+2,0)),0,VLOOKUP(D399,命格辅助表!$I$76:$N$86,D_命格表!E399+2,0))</f>
        <v>10240</v>
      </c>
      <c r="K399">
        <f>IF(ISERROR(VLOOKUP(D399,命格辅助表!$P$76:$U$86,E399+2,0)),0,VLOOKUP(D399,命格辅助表!$P$76:$U$86,E399+2,0))</f>
        <v>9920</v>
      </c>
      <c r="L399">
        <v>0</v>
      </c>
      <c r="M399">
        <v>0</v>
      </c>
      <c r="N399">
        <v>8150</v>
      </c>
      <c r="O399">
        <f t="shared" si="66"/>
        <v>2</v>
      </c>
      <c r="P399">
        <f t="shared" si="61"/>
        <v>22</v>
      </c>
      <c r="Q399">
        <f>ROUND((VLOOKUP($A399,命格属性表,13,0)+VLOOKUP($A399,命格属性表,20,0)*($D399-1))*IF(P399&gt;9,1,VLOOKUP(D399,命格辅助表!$S$3:$U$10,3,0)),0)</f>
        <v>5000</v>
      </c>
      <c r="R399">
        <f t="shared" si="62"/>
        <v>1</v>
      </c>
      <c r="S399">
        <f>ROUND(IF(R399=0,0,VLOOKUP($A399,命格属性表,15,0)+VLOOKUP($A399,命格属性表,22,0)*($D399-1))*IF(R399&gt;9,1,VLOOKUP(D399,命格辅助表!$S$3:$U$10,3,0)),0)</f>
        <v>23704</v>
      </c>
      <c r="T399">
        <f t="shared" si="64"/>
        <v>0</v>
      </c>
      <c r="U399">
        <f t="shared" si="67"/>
        <v>0</v>
      </c>
    </row>
    <row r="400" spans="1:21">
      <c r="A400">
        <v>8950</v>
      </c>
      <c r="B400" t="s">
        <v>323</v>
      </c>
      <c r="C400">
        <f t="shared" si="65"/>
        <v>9</v>
      </c>
      <c r="D400">
        <v>6</v>
      </c>
      <c r="E400">
        <v>4</v>
      </c>
      <c r="F400">
        <v>10</v>
      </c>
      <c r="G400" t="str">
        <f>VLOOKUP(P400,定义数据!$B$14:$C$29,2,0)&amp;"+"&amp;Q400&amp;IF(R400=0,"",","&amp;VLOOKUP(R400,定义数据!$B$14:$C$29,2,0)&amp;"+"&amp;S400)&amp;IF(T400=0,"",","&amp;VLOOKUP(T400,定义数据!$B$14:$C$29,2,0)&amp;"+"&amp;U400)</f>
        <v>攻击加成+6000,生命+35556</v>
      </c>
      <c r="H400">
        <v>0</v>
      </c>
      <c r="I400">
        <f t="shared" si="63"/>
        <v>9</v>
      </c>
      <c r="J400">
        <f>IF(ISERROR(VLOOKUP(D400,命格辅助表!$I$76:$N$86,D_命格表!E400+2,0)),0,VLOOKUP(D400,命格辅助表!$I$76:$N$86,D_命格表!E400+2,0))</f>
        <v>20480</v>
      </c>
      <c r="K400">
        <f>IF(ISERROR(VLOOKUP(D400,命格辅助表!$P$76:$U$86,E400+2,0)),0,VLOOKUP(D400,命格辅助表!$P$76:$U$86,E400+2,0))</f>
        <v>20160</v>
      </c>
      <c r="L400">
        <v>0</v>
      </c>
      <c r="M400">
        <v>0</v>
      </c>
      <c r="N400">
        <v>8150</v>
      </c>
      <c r="O400">
        <f t="shared" si="66"/>
        <v>2</v>
      </c>
      <c r="P400">
        <f t="shared" si="61"/>
        <v>22</v>
      </c>
      <c r="Q400">
        <f>ROUND((VLOOKUP($A400,命格属性表,13,0)+VLOOKUP($A400,命格属性表,20,0)*($D400-1))*IF(P400&gt;9,1,VLOOKUP(D400,命格辅助表!$S$3:$U$10,3,0)),0)</f>
        <v>6000</v>
      </c>
      <c r="R400">
        <f t="shared" si="62"/>
        <v>1</v>
      </c>
      <c r="S400">
        <f>ROUND(IF(R400=0,0,VLOOKUP($A400,命格属性表,15,0)+VLOOKUP($A400,命格属性表,22,0)*($D400-1))*IF(R400&gt;9,1,VLOOKUP(D400,命格辅助表!$S$3:$U$10,3,0)),0)</f>
        <v>35556</v>
      </c>
      <c r="T400">
        <f t="shared" si="64"/>
        <v>0</v>
      </c>
      <c r="U400">
        <f t="shared" si="67"/>
        <v>0</v>
      </c>
    </row>
    <row r="401" spans="1:21">
      <c r="A401">
        <v>8950</v>
      </c>
      <c r="B401" t="s">
        <v>323</v>
      </c>
      <c r="C401">
        <f t="shared" si="65"/>
        <v>9</v>
      </c>
      <c r="D401">
        <v>7</v>
      </c>
      <c r="E401">
        <v>4</v>
      </c>
      <c r="F401">
        <v>10</v>
      </c>
      <c r="G401" t="str">
        <f>VLOOKUP(P401,定义数据!$B$14:$C$29,2,0)&amp;"+"&amp;Q401&amp;IF(R401=0,"",","&amp;VLOOKUP(R401,定义数据!$B$14:$C$29,2,0)&amp;"+"&amp;S401)&amp;IF(T401=0,"",","&amp;VLOOKUP(T401,定义数据!$B$14:$C$29,2,0)&amp;"+"&amp;U401)</f>
        <v>攻击加成+7000,生命+53333</v>
      </c>
      <c r="H401">
        <v>0</v>
      </c>
      <c r="I401">
        <f t="shared" si="63"/>
        <v>9</v>
      </c>
      <c r="J401">
        <f>IF(ISERROR(VLOOKUP(D401,命格辅助表!$I$76:$N$86,D_命格表!E401+2,0)),0,VLOOKUP(D401,命格辅助表!$I$76:$N$86,D_命格表!E401+2,0))</f>
        <v>40960</v>
      </c>
      <c r="K401">
        <f>IF(ISERROR(VLOOKUP(D401,命格辅助表!$P$76:$U$86,E401+2,0)),0,VLOOKUP(D401,命格辅助表!$P$76:$U$86,E401+2,0))</f>
        <v>40640</v>
      </c>
      <c r="L401">
        <v>0</v>
      </c>
      <c r="M401">
        <v>0</v>
      </c>
      <c r="N401">
        <v>8150</v>
      </c>
      <c r="O401">
        <f t="shared" si="66"/>
        <v>2</v>
      </c>
      <c r="P401">
        <f t="shared" si="61"/>
        <v>22</v>
      </c>
      <c r="Q401">
        <f>ROUND((VLOOKUP($A401,命格属性表,13,0)+VLOOKUP($A401,命格属性表,20,0)*($D401-1))*IF(P401&gt;9,1,VLOOKUP(D401,命格辅助表!$S$3:$U$10,3,0)),0)</f>
        <v>7000</v>
      </c>
      <c r="R401">
        <f t="shared" si="62"/>
        <v>1</v>
      </c>
      <c r="S401">
        <f>ROUND(IF(R401=0,0,VLOOKUP($A401,命格属性表,15,0)+VLOOKUP($A401,命格属性表,22,0)*($D401-1))*IF(R401&gt;9,1,VLOOKUP(D401,命格辅助表!$S$3:$U$10,3,0)),0)</f>
        <v>53333</v>
      </c>
      <c r="T401">
        <f t="shared" si="64"/>
        <v>0</v>
      </c>
      <c r="U401">
        <f t="shared" si="67"/>
        <v>0</v>
      </c>
    </row>
    <row r="402" spans="1:21">
      <c r="A402">
        <v>8950</v>
      </c>
      <c r="B402" t="s">
        <v>323</v>
      </c>
      <c r="C402">
        <f t="shared" si="65"/>
        <v>9</v>
      </c>
      <c r="D402">
        <v>8</v>
      </c>
      <c r="E402">
        <v>4</v>
      </c>
      <c r="F402">
        <v>10</v>
      </c>
      <c r="G402" t="str">
        <f>VLOOKUP(P402,定义数据!$B$14:$C$29,2,0)&amp;"+"&amp;Q402&amp;IF(R402=0,"",","&amp;VLOOKUP(R402,定义数据!$B$14:$C$29,2,0)&amp;"+"&amp;S402)&amp;IF(T402=0,"",","&amp;VLOOKUP(T402,定义数据!$B$14:$C$29,2,0)&amp;"+"&amp;U402)</f>
        <v>攻击加成+8000,生命+80000</v>
      </c>
      <c r="H402">
        <v>0</v>
      </c>
      <c r="I402">
        <f t="shared" si="63"/>
        <v>9</v>
      </c>
      <c r="J402">
        <f>IF(ISERROR(VLOOKUP(D402,命格辅助表!$I$76:$N$86,D_命格表!E402+2,0)),0,VLOOKUP(D402,命格辅助表!$I$76:$N$86,D_命格表!E402+2,0))</f>
        <v>81920</v>
      </c>
      <c r="K402">
        <f>IF(ISERROR(VLOOKUP(D402,命格辅助表!$P$76:$U$86,E402+2,0)),0,VLOOKUP(D402,命格辅助表!$P$76:$U$86,E402+2,0))</f>
        <v>81600</v>
      </c>
      <c r="L402">
        <f>IF(ISERROR(VLOOKUP(D402,命格辅助表!$I$76:$N$86,D_命格表!E402+2,0)),0,VLOOKUP(D402,命格辅助表!$I$76:$N$86,D_命格表!E402+2,0))</f>
        <v>81920</v>
      </c>
      <c r="M402">
        <f>A402+10</f>
        <v>8960</v>
      </c>
      <c r="N402">
        <v>8150</v>
      </c>
      <c r="O402">
        <f t="shared" si="66"/>
        <v>2</v>
      </c>
      <c r="P402">
        <f t="shared" si="61"/>
        <v>22</v>
      </c>
      <c r="Q402">
        <f>ROUND((VLOOKUP($A402,命格属性表,13,0)+VLOOKUP($A402,命格属性表,20,0)*($D402-1))*IF(P402&gt;9,1,VLOOKUP(D402,命格辅助表!$S$3:$U$10,3,0)),0)</f>
        <v>8000</v>
      </c>
      <c r="R402">
        <f t="shared" si="62"/>
        <v>1</v>
      </c>
      <c r="S402">
        <f>ROUND(IF(R402=0,0,VLOOKUP($A402,命格属性表,15,0)+VLOOKUP($A402,命格属性表,22,0)*($D402-1))*IF(R402&gt;9,1,VLOOKUP(D402,命格辅助表!$S$3:$U$10,3,0)),0)</f>
        <v>80000</v>
      </c>
      <c r="T402">
        <f t="shared" si="64"/>
        <v>0</v>
      </c>
      <c r="U402">
        <f t="shared" si="67"/>
        <v>0</v>
      </c>
    </row>
    <row r="403" spans="1:21">
      <c r="A403">
        <v>9050</v>
      </c>
      <c r="B403" t="s">
        <v>324</v>
      </c>
      <c r="C403">
        <f t="shared" si="65"/>
        <v>10</v>
      </c>
      <c r="D403">
        <v>1</v>
      </c>
      <c r="E403">
        <v>4</v>
      </c>
      <c r="F403">
        <v>10</v>
      </c>
      <c r="G403" t="str">
        <f>VLOOKUP(P403,定义数据!$B$14:$C$29,2,0)&amp;"+"&amp;Q403&amp;IF(R403=0,"",","&amp;VLOOKUP(R403,定义数据!$B$14:$C$29,2,0)&amp;"+"&amp;S403)&amp;IF(T403=0,"",","&amp;VLOOKUP(T403,定义数据!$B$14:$C$29,2,0)&amp;"+"&amp;U403)</f>
        <v>防御加成+1500,攻击+187</v>
      </c>
      <c r="H403">
        <v>0</v>
      </c>
      <c r="I403">
        <f t="shared" si="63"/>
        <v>10</v>
      </c>
      <c r="J403">
        <f>IF(ISERROR(VLOOKUP(D403,命格辅助表!$I$76:$N$86,D_命格表!E403+2,0)),0,VLOOKUP(D403,命格辅助表!$I$76:$N$86,D_命格表!E403+2,0))</f>
        <v>640</v>
      </c>
      <c r="K403">
        <f>IF(ISERROR(VLOOKUP(D403,命格辅助表!$P$76:$U$86,E403+2,0)),0,VLOOKUP(D403,命格辅助表!$P$76:$U$86,E403+2,0))</f>
        <v>320</v>
      </c>
      <c r="L403">
        <v>0</v>
      </c>
      <c r="M403">
        <v>0</v>
      </c>
      <c r="N403">
        <v>8250</v>
      </c>
      <c r="O403">
        <f t="shared" si="66"/>
        <v>2</v>
      </c>
      <c r="P403">
        <f t="shared" si="61"/>
        <v>23</v>
      </c>
      <c r="Q403">
        <f>ROUND((VLOOKUP($A403,命格属性表,13,0)+VLOOKUP($A403,命格属性表,20,0)*($D403-1))*IF(P403&gt;9,1,VLOOKUP(D403,命格辅助表!$S$3:$U$10,3,0)),0)</f>
        <v>1500</v>
      </c>
      <c r="R403">
        <f t="shared" si="62"/>
        <v>2</v>
      </c>
      <c r="S403">
        <f>ROUND(IF(R403=0,0,VLOOKUP($A403,命格属性表,15,0)+VLOOKUP($A403,命格属性表,22,0)*($D403-1))*IF(R403&gt;9,1,VLOOKUP(D403,命格辅助表!$S$3:$U$10,3,0)),0)</f>
        <v>187</v>
      </c>
      <c r="T403">
        <f t="shared" si="64"/>
        <v>0</v>
      </c>
      <c r="U403">
        <f t="shared" si="67"/>
        <v>0</v>
      </c>
    </row>
    <row r="404" spans="1:21">
      <c r="A404">
        <v>9050</v>
      </c>
      <c r="B404" t="s">
        <v>324</v>
      </c>
      <c r="C404">
        <f t="shared" si="65"/>
        <v>10</v>
      </c>
      <c r="D404">
        <v>2</v>
      </c>
      <c r="E404">
        <v>4</v>
      </c>
      <c r="F404">
        <v>10</v>
      </c>
      <c r="G404" t="str">
        <f>VLOOKUP(P404,定义数据!$B$14:$C$29,2,0)&amp;"+"&amp;Q404&amp;IF(R404=0,"",","&amp;VLOOKUP(R404,定义数据!$B$14:$C$29,2,0)&amp;"+"&amp;S404)&amp;IF(T404=0,"",","&amp;VLOOKUP(T404,定义数据!$B$14:$C$29,2,0)&amp;"+"&amp;U404)</f>
        <v>防御加成+3000,攻击+281</v>
      </c>
      <c r="H404">
        <v>0</v>
      </c>
      <c r="I404">
        <f t="shared" si="63"/>
        <v>10</v>
      </c>
      <c r="J404">
        <f>IF(ISERROR(VLOOKUP(D404,命格辅助表!$I$76:$N$86,D_命格表!E404+2,0)),0,VLOOKUP(D404,命格辅助表!$I$76:$N$86,D_命格表!E404+2,0))</f>
        <v>1280</v>
      </c>
      <c r="K404">
        <f>IF(ISERROR(VLOOKUP(D404,命格辅助表!$P$76:$U$86,E404+2,0)),0,VLOOKUP(D404,命格辅助表!$P$76:$U$86,E404+2,0))</f>
        <v>960</v>
      </c>
      <c r="L404">
        <v>0</v>
      </c>
      <c r="M404">
        <v>0</v>
      </c>
      <c r="N404">
        <v>8250</v>
      </c>
      <c r="O404">
        <f t="shared" si="66"/>
        <v>2</v>
      </c>
      <c r="P404">
        <f t="shared" si="61"/>
        <v>23</v>
      </c>
      <c r="Q404">
        <f>ROUND((VLOOKUP($A404,命格属性表,13,0)+VLOOKUP($A404,命格属性表,20,0)*($D404-1))*IF(P404&gt;9,1,VLOOKUP(D404,命格辅助表!$S$3:$U$10,3,0)),0)</f>
        <v>3000</v>
      </c>
      <c r="R404">
        <f t="shared" si="62"/>
        <v>2</v>
      </c>
      <c r="S404">
        <f>ROUND(IF(R404=0,0,VLOOKUP($A404,命格属性表,15,0)+VLOOKUP($A404,命格属性表,22,0)*($D404-1))*IF(R404&gt;9,1,VLOOKUP(D404,命格辅助表!$S$3:$U$10,3,0)),0)</f>
        <v>281</v>
      </c>
      <c r="T404">
        <f t="shared" si="64"/>
        <v>0</v>
      </c>
      <c r="U404">
        <f t="shared" si="67"/>
        <v>0</v>
      </c>
    </row>
    <row r="405" spans="1:21">
      <c r="A405">
        <v>9050</v>
      </c>
      <c r="B405" t="s">
        <v>324</v>
      </c>
      <c r="C405">
        <f t="shared" si="65"/>
        <v>10</v>
      </c>
      <c r="D405">
        <v>3</v>
      </c>
      <c r="E405">
        <v>4</v>
      </c>
      <c r="F405">
        <v>10</v>
      </c>
      <c r="G405" t="str">
        <f>VLOOKUP(P405,定义数据!$B$14:$C$29,2,0)&amp;"+"&amp;Q405&amp;IF(R405=0,"",","&amp;VLOOKUP(R405,定义数据!$B$14:$C$29,2,0)&amp;"+"&amp;S405)&amp;IF(T405=0,"",","&amp;VLOOKUP(T405,定义数据!$B$14:$C$29,2,0)&amp;"+"&amp;U405)</f>
        <v>防御加成+4500,攻击+421</v>
      </c>
      <c r="H405">
        <v>0</v>
      </c>
      <c r="I405">
        <f t="shared" si="63"/>
        <v>10</v>
      </c>
      <c r="J405">
        <f>IF(ISERROR(VLOOKUP(D405,命格辅助表!$I$76:$N$86,D_命格表!E405+2,0)),0,VLOOKUP(D405,命格辅助表!$I$76:$N$86,D_命格表!E405+2,0))</f>
        <v>2560</v>
      </c>
      <c r="K405">
        <f>IF(ISERROR(VLOOKUP(D405,命格辅助表!$P$76:$U$86,E405+2,0)),0,VLOOKUP(D405,命格辅助表!$P$76:$U$86,E405+2,0))</f>
        <v>2240</v>
      </c>
      <c r="L405">
        <v>0</v>
      </c>
      <c r="M405">
        <v>0</v>
      </c>
      <c r="N405">
        <v>8250</v>
      </c>
      <c r="O405">
        <f t="shared" si="66"/>
        <v>2</v>
      </c>
      <c r="P405">
        <f t="shared" si="61"/>
        <v>23</v>
      </c>
      <c r="Q405">
        <f>ROUND((VLOOKUP($A405,命格属性表,13,0)+VLOOKUP($A405,命格属性表,20,0)*($D405-1))*IF(P405&gt;9,1,VLOOKUP(D405,命格辅助表!$S$3:$U$10,3,0)),0)</f>
        <v>4500</v>
      </c>
      <c r="R405">
        <f t="shared" si="62"/>
        <v>2</v>
      </c>
      <c r="S405">
        <f>ROUND(IF(R405=0,0,VLOOKUP($A405,命格属性表,15,0)+VLOOKUP($A405,命格属性表,22,0)*($D405-1))*IF(R405&gt;9,1,VLOOKUP(D405,命格辅助表!$S$3:$U$10,3,0)),0)</f>
        <v>421</v>
      </c>
      <c r="T405">
        <f t="shared" si="64"/>
        <v>0</v>
      </c>
      <c r="U405">
        <f t="shared" si="67"/>
        <v>0</v>
      </c>
    </row>
    <row r="406" spans="1:21">
      <c r="A406">
        <v>9050</v>
      </c>
      <c r="B406" t="s">
        <v>324</v>
      </c>
      <c r="C406">
        <f t="shared" si="65"/>
        <v>10</v>
      </c>
      <c r="D406">
        <v>4</v>
      </c>
      <c r="E406">
        <v>4</v>
      </c>
      <c r="F406">
        <v>10</v>
      </c>
      <c r="G406" t="str">
        <f>VLOOKUP(P406,定义数据!$B$14:$C$29,2,0)&amp;"+"&amp;Q406&amp;IF(R406=0,"",","&amp;VLOOKUP(R406,定义数据!$B$14:$C$29,2,0)&amp;"+"&amp;S406)&amp;IF(T406=0,"",","&amp;VLOOKUP(T406,定义数据!$B$14:$C$29,2,0)&amp;"+"&amp;U406)</f>
        <v>防御加成+6000,攻击+632</v>
      </c>
      <c r="H406">
        <v>0</v>
      </c>
      <c r="I406">
        <f t="shared" si="63"/>
        <v>10</v>
      </c>
      <c r="J406">
        <f>IF(ISERROR(VLOOKUP(D406,命格辅助表!$I$76:$N$86,D_命格表!E406+2,0)),0,VLOOKUP(D406,命格辅助表!$I$76:$N$86,D_命格表!E406+2,0))</f>
        <v>5120</v>
      </c>
      <c r="K406">
        <f>IF(ISERROR(VLOOKUP(D406,命格辅助表!$P$76:$U$86,E406+2,0)),0,VLOOKUP(D406,命格辅助表!$P$76:$U$86,E406+2,0))</f>
        <v>4800</v>
      </c>
      <c r="L406">
        <v>0</v>
      </c>
      <c r="M406">
        <v>0</v>
      </c>
      <c r="N406">
        <v>8250</v>
      </c>
      <c r="O406">
        <f t="shared" si="66"/>
        <v>2</v>
      </c>
      <c r="P406">
        <f t="shared" si="61"/>
        <v>23</v>
      </c>
      <c r="Q406">
        <f>ROUND((VLOOKUP($A406,命格属性表,13,0)+VLOOKUP($A406,命格属性表,20,0)*($D406-1))*IF(P406&gt;9,1,VLOOKUP(D406,命格辅助表!$S$3:$U$10,3,0)),0)</f>
        <v>6000</v>
      </c>
      <c r="R406">
        <f t="shared" si="62"/>
        <v>2</v>
      </c>
      <c r="S406">
        <f>ROUND(IF(R406=0,0,VLOOKUP($A406,命格属性表,15,0)+VLOOKUP($A406,命格属性表,22,0)*($D406-1))*IF(R406&gt;9,1,VLOOKUP(D406,命格辅助表!$S$3:$U$10,3,0)),0)</f>
        <v>632</v>
      </c>
      <c r="T406">
        <f t="shared" si="64"/>
        <v>0</v>
      </c>
      <c r="U406">
        <f t="shared" si="67"/>
        <v>0</v>
      </c>
    </row>
    <row r="407" spans="1:21">
      <c r="A407">
        <v>9050</v>
      </c>
      <c r="B407" t="s">
        <v>324</v>
      </c>
      <c r="C407">
        <f t="shared" si="65"/>
        <v>10</v>
      </c>
      <c r="D407">
        <v>5</v>
      </c>
      <c r="E407">
        <v>4</v>
      </c>
      <c r="F407">
        <v>10</v>
      </c>
      <c r="G407" t="str">
        <f>VLOOKUP(P407,定义数据!$B$14:$C$29,2,0)&amp;"+"&amp;Q407&amp;IF(R407=0,"",","&amp;VLOOKUP(R407,定义数据!$B$14:$C$29,2,0)&amp;"+"&amp;S407)&amp;IF(T407=0,"",","&amp;VLOOKUP(T407,定义数据!$B$14:$C$29,2,0)&amp;"+"&amp;U407)</f>
        <v>防御加成+7500,攻击+948</v>
      </c>
      <c r="H407">
        <v>0</v>
      </c>
      <c r="I407">
        <f t="shared" si="63"/>
        <v>10</v>
      </c>
      <c r="J407">
        <f>IF(ISERROR(VLOOKUP(D407,命格辅助表!$I$76:$N$86,D_命格表!E407+2,0)),0,VLOOKUP(D407,命格辅助表!$I$76:$N$86,D_命格表!E407+2,0))</f>
        <v>10240</v>
      </c>
      <c r="K407">
        <f>IF(ISERROR(VLOOKUP(D407,命格辅助表!$P$76:$U$86,E407+2,0)),0,VLOOKUP(D407,命格辅助表!$P$76:$U$86,E407+2,0))</f>
        <v>9920</v>
      </c>
      <c r="L407">
        <v>0</v>
      </c>
      <c r="M407">
        <v>0</v>
      </c>
      <c r="N407">
        <v>8250</v>
      </c>
      <c r="O407">
        <f t="shared" si="66"/>
        <v>2</v>
      </c>
      <c r="P407">
        <f t="shared" si="61"/>
        <v>23</v>
      </c>
      <c r="Q407">
        <f>ROUND((VLOOKUP($A407,命格属性表,13,0)+VLOOKUP($A407,命格属性表,20,0)*($D407-1))*IF(P407&gt;9,1,VLOOKUP(D407,命格辅助表!$S$3:$U$10,3,0)),0)</f>
        <v>7500</v>
      </c>
      <c r="R407">
        <f t="shared" si="62"/>
        <v>2</v>
      </c>
      <c r="S407">
        <f>ROUND(IF(R407=0,0,VLOOKUP($A407,命格属性表,15,0)+VLOOKUP($A407,命格属性表,22,0)*($D407-1))*IF(R407&gt;9,1,VLOOKUP(D407,命格辅助表!$S$3:$U$10,3,0)),0)</f>
        <v>948</v>
      </c>
      <c r="T407">
        <f t="shared" si="64"/>
        <v>0</v>
      </c>
      <c r="U407">
        <f t="shared" si="67"/>
        <v>0</v>
      </c>
    </row>
    <row r="408" spans="1:21">
      <c r="A408">
        <v>9050</v>
      </c>
      <c r="B408" t="s">
        <v>324</v>
      </c>
      <c r="C408">
        <f t="shared" si="65"/>
        <v>10</v>
      </c>
      <c r="D408">
        <v>6</v>
      </c>
      <c r="E408">
        <v>4</v>
      </c>
      <c r="F408">
        <v>10</v>
      </c>
      <c r="G408" t="str">
        <f>VLOOKUP(P408,定义数据!$B$14:$C$29,2,0)&amp;"+"&amp;Q408&amp;IF(R408=0,"",","&amp;VLOOKUP(R408,定义数据!$B$14:$C$29,2,0)&amp;"+"&amp;S408)&amp;IF(T408=0,"",","&amp;VLOOKUP(T408,定义数据!$B$14:$C$29,2,0)&amp;"+"&amp;U408)</f>
        <v>防御加成+9000,攻击+1422</v>
      </c>
      <c r="H408">
        <v>0</v>
      </c>
      <c r="I408">
        <f t="shared" si="63"/>
        <v>10</v>
      </c>
      <c r="J408">
        <f>IF(ISERROR(VLOOKUP(D408,命格辅助表!$I$76:$N$86,D_命格表!E408+2,0)),0,VLOOKUP(D408,命格辅助表!$I$76:$N$86,D_命格表!E408+2,0))</f>
        <v>20480</v>
      </c>
      <c r="K408">
        <f>IF(ISERROR(VLOOKUP(D408,命格辅助表!$P$76:$U$86,E408+2,0)),0,VLOOKUP(D408,命格辅助表!$P$76:$U$86,E408+2,0))</f>
        <v>20160</v>
      </c>
      <c r="L408">
        <v>0</v>
      </c>
      <c r="M408">
        <v>0</v>
      </c>
      <c r="N408">
        <v>8250</v>
      </c>
      <c r="O408">
        <f t="shared" si="66"/>
        <v>2</v>
      </c>
      <c r="P408">
        <f t="shared" si="61"/>
        <v>23</v>
      </c>
      <c r="Q408">
        <f>ROUND((VLOOKUP($A408,命格属性表,13,0)+VLOOKUP($A408,命格属性表,20,0)*($D408-1))*IF(P408&gt;9,1,VLOOKUP(D408,命格辅助表!$S$3:$U$10,3,0)),0)</f>
        <v>9000</v>
      </c>
      <c r="R408">
        <f t="shared" si="62"/>
        <v>2</v>
      </c>
      <c r="S408">
        <f>ROUND(IF(R408=0,0,VLOOKUP($A408,命格属性表,15,0)+VLOOKUP($A408,命格属性表,22,0)*($D408-1))*IF(R408&gt;9,1,VLOOKUP(D408,命格辅助表!$S$3:$U$10,3,0)),0)</f>
        <v>1422</v>
      </c>
      <c r="T408">
        <f t="shared" si="64"/>
        <v>0</v>
      </c>
      <c r="U408">
        <f t="shared" si="67"/>
        <v>0</v>
      </c>
    </row>
    <row r="409" spans="1:21">
      <c r="A409">
        <v>9050</v>
      </c>
      <c r="B409" t="s">
        <v>324</v>
      </c>
      <c r="C409">
        <f t="shared" si="65"/>
        <v>10</v>
      </c>
      <c r="D409">
        <v>7</v>
      </c>
      <c r="E409">
        <v>4</v>
      </c>
      <c r="F409">
        <v>10</v>
      </c>
      <c r="G409" t="str">
        <f>VLOOKUP(P409,定义数据!$B$14:$C$29,2,0)&amp;"+"&amp;Q409&amp;IF(R409=0,"",","&amp;VLOOKUP(R409,定义数据!$B$14:$C$29,2,0)&amp;"+"&amp;S409)&amp;IF(T409=0,"",","&amp;VLOOKUP(T409,定义数据!$B$14:$C$29,2,0)&amp;"+"&amp;U409)</f>
        <v>防御加成+10500,攻击+2133</v>
      </c>
      <c r="H409">
        <v>0</v>
      </c>
      <c r="I409">
        <f t="shared" si="63"/>
        <v>10</v>
      </c>
      <c r="J409">
        <f>IF(ISERROR(VLOOKUP(D409,命格辅助表!$I$76:$N$86,D_命格表!E409+2,0)),0,VLOOKUP(D409,命格辅助表!$I$76:$N$86,D_命格表!E409+2,0))</f>
        <v>40960</v>
      </c>
      <c r="K409">
        <f>IF(ISERROR(VLOOKUP(D409,命格辅助表!$P$76:$U$86,E409+2,0)),0,VLOOKUP(D409,命格辅助表!$P$76:$U$86,E409+2,0))</f>
        <v>40640</v>
      </c>
      <c r="L409">
        <v>0</v>
      </c>
      <c r="M409">
        <v>0</v>
      </c>
      <c r="N409">
        <v>8250</v>
      </c>
      <c r="O409">
        <f t="shared" si="66"/>
        <v>2</v>
      </c>
      <c r="P409">
        <f t="shared" si="61"/>
        <v>23</v>
      </c>
      <c r="Q409">
        <f>ROUND((VLOOKUP($A409,命格属性表,13,0)+VLOOKUP($A409,命格属性表,20,0)*($D409-1))*IF(P409&gt;9,1,VLOOKUP(D409,命格辅助表!$S$3:$U$10,3,0)),0)</f>
        <v>10500</v>
      </c>
      <c r="R409">
        <f t="shared" si="62"/>
        <v>2</v>
      </c>
      <c r="S409">
        <f>ROUND(IF(R409=0,0,VLOOKUP($A409,命格属性表,15,0)+VLOOKUP($A409,命格属性表,22,0)*($D409-1))*IF(R409&gt;9,1,VLOOKUP(D409,命格辅助表!$S$3:$U$10,3,0)),0)</f>
        <v>2133</v>
      </c>
      <c r="T409">
        <f t="shared" si="64"/>
        <v>0</v>
      </c>
      <c r="U409">
        <f t="shared" si="67"/>
        <v>0</v>
      </c>
    </row>
    <row r="410" spans="1:21">
      <c r="A410">
        <v>9050</v>
      </c>
      <c r="B410" t="s">
        <v>324</v>
      </c>
      <c r="C410">
        <f t="shared" si="65"/>
        <v>10</v>
      </c>
      <c r="D410">
        <v>8</v>
      </c>
      <c r="E410">
        <v>4</v>
      </c>
      <c r="F410">
        <v>10</v>
      </c>
      <c r="G410" t="str">
        <f>VLOOKUP(P410,定义数据!$B$14:$C$29,2,0)&amp;"+"&amp;Q410&amp;IF(R410=0,"",","&amp;VLOOKUP(R410,定义数据!$B$14:$C$29,2,0)&amp;"+"&amp;S410)&amp;IF(T410=0,"",","&amp;VLOOKUP(T410,定义数据!$B$14:$C$29,2,0)&amp;"+"&amp;U410)</f>
        <v>防御加成+12000,攻击+3200</v>
      </c>
      <c r="H410">
        <v>0</v>
      </c>
      <c r="I410">
        <f t="shared" si="63"/>
        <v>10</v>
      </c>
      <c r="J410">
        <f>IF(ISERROR(VLOOKUP(D410,命格辅助表!$I$76:$N$86,D_命格表!E410+2,0)),0,VLOOKUP(D410,命格辅助表!$I$76:$N$86,D_命格表!E410+2,0))</f>
        <v>81920</v>
      </c>
      <c r="K410">
        <f>IF(ISERROR(VLOOKUP(D410,命格辅助表!$P$76:$U$86,E410+2,0)),0,VLOOKUP(D410,命格辅助表!$P$76:$U$86,E410+2,0))</f>
        <v>81600</v>
      </c>
      <c r="L410">
        <f>IF(ISERROR(VLOOKUP(D410,命格辅助表!$I$76:$N$86,D_命格表!E410+2,0)),0,VLOOKUP(D410,命格辅助表!$I$76:$N$86,D_命格表!E410+2,0))</f>
        <v>81920</v>
      </c>
      <c r="M410">
        <f>A410+10</f>
        <v>9060</v>
      </c>
      <c r="N410">
        <v>8250</v>
      </c>
      <c r="O410">
        <f t="shared" si="66"/>
        <v>2</v>
      </c>
      <c r="P410">
        <f t="shared" si="61"/>
        <v>23</v>
      </c>
      <c r="Q410">
        <f>ROUND((VLOOKUP($A410,命格属性表,13,0)+VLOOKUP($A410,命格属性表,20,0)*($D410-1))*IF(P410&gt;9,1,VLOOKUP(D410,命格辅助表!$S$3:$U$10,3,0)),0)</f>
        <v>12000</v>
      </c>
      <c r="R410">
        <f t="shared" si="62"/>
        <v>2</v>
      </c>
      <c r="S410">
        <f>ROUND(IF(R410=0,0,VLOOKUP($A410,命格属性表,15,0)+VLOOKUP($A410,命格属性表,22,0)*($D410-1))*IF(R410&gt;9,1,VLOOKUP(D410,命格辅助表!$S$3:$U$10,3,0)),0)</f>
        <v>3200</v>
      </c>
      <c r="T410">
        <f t="shared" si="64"/>
        <v>0</v>
      </c>
      <c r="U410">
        <f t="shared" si="67"/>
        <v>0</v>
      </c>
    </row>
    <row r="411" spans="1:21">
      <c r="A411">
        <v>9150</v>
      </c>
      <c r="B411" t="s">
        <v>325</v>
      </c>
      <c r="C411">
        <f t="shared" si="65"/>
        <v>11</v>
      </c>
      <c r="D411">
        <v>1</v>
      </c>
      <c r="E411">
        <v>4</v>
      </c>
      <c r="F411">
        <v>10</v>
      </c>
      <c r="G411" t="str">
        <f>VLOOKUP(P411,定义数据!$B$14:$C$29,2,0)&amp;"+"&amp;Q411&amp;IF(R411=0,"",","&amp;VLOOKUP(R411,定义数据!$B$14:$C$29,2,0)&amp;"+"&amp;S411)&amp;IF(T411=0,"",","&amp;VLOOKUP(T411,定义数据!$B$14:$C$29,2,0)&amp;"+"&amp;U411)</f>
        <v>伤害加深+1200,生命+4682</v>
      </c>
      <c r="H411">
        <v>0</v>
      </c>
      <c r="I411">
        <f t="shared" si="63"/>
        <v>11</v>
      </c>
      <c r="J411">
        <f>IF(ISERROR(VLOOKUP(D411,命格辅助表!$I$76:$N$86,D_命格表!E411+2,0)),0,VLOOKUP(D411,命格辅助表!$I$76:$N$86,D_命格表!E411+2,0))</f>
        <v>640</v>
      </c>
      <c r="K411">
        <f>IF(ISERROR(VLOOKUP(D411,命格辅助表!$P$76:$U$86,E411+2,0)),0,VLOOKUP(D411,命格辅助表!$P$76:$U$86,E411+2,0))</f>
        <v>320</v>
      </c>
      <c r="L411">
        <v>0</v>
      </c>
      <c r="M411">
        <v>0</v>
      </c>
      <c r="N411">
        <v>8350</v>
      </c>
      <c r="O411">
        <f t="shared" si="66"/>
        <v>2</v>
      </c>
      <c r="P411">
        <f t="shared" si="61"/>
        <v>24</v>
      </c>
      <c r="Q411">
        <f>ROUND((VLOOKUP($A411,命格属性表,13,0)+VLOOKUP($A411,命格属性表,20,0)*($D411-1))*IF(P411&gt;9,1,VLOOKUP(D411,命格辅助表!$S$3:$U$10,3,0)),0)</f>
        <v>1200</v>
      </c>
      <c r="R411">
        <f t="shared" si="62"/>
        <v>1</v>
      </c>
      <c r="S411">
        <f>ROUND(IF(R411=0,0,VLOOKUP($A411,命格属性表,15,0)+VLOOKUP($A411,命格属性表,22,0)*($D411-1))*IF(R411&gt;9,1,VLOOKUP(D411,命格辅助表!$S$3:$U$10,3,0)),0)</f>
        <v>4682</v>
      </c>
      <c r="T411">
        <f t="shared" si="64"/>
        <v>0</v>
      </c>
      <c r="U411">
        <f t="shared" si="67"/>
        <v>0</v>
      </c>
    </row>
    <row r="412" spans="1:21">
      <c r="A412">
        <v>9150</v>
      </c>
      <c r="B412" t="s">
        <v>325</v>
      </c>
      <c r="C412">
        <f t="shared" si="65"/>
        <v>11</v>
      </c>
      <c r="D412">
        <v>2</v>
      </c>
      <c r="E412">
        <v>4</v>
      </c>
      <c r="F412">
        <v>10</v>
      </c>
      <c r="G412" t="str">
        <f>VLOOKUP(P412,定义数据!$B$14:$C$29,2,0)&amp;"+"&amp;Q412&amp;IF(R412=0,"",","&amp;VLOOKUP(R412,定义数据!$B$14:$C$29,2,0)&amp;"+"&amp;S412)&amp;IF(T412=0,"",","&amp;VLOOKUP(T412,定义数据!$B$14:$C$29,2,0)&amp;"+"&amp;U412)</f>
        <v>伤害加深+2400,生命+7023</v>
      </c>
      <c r="H412">
        <v>0</v>
      </c>
      <c r="I412">
        <f t="shared" si="63"/>
        <v>11</v>
      </c>
      <c r="J412">
        <f>IF(ISERROR(VLOOKUP(D412,命格辅助表!$I$76:$N$86,D_命格表!E412+2,0)),0,VLOOKUP(D412,命格辅助表!$I$76:$N$86,D_命格表!E412+2,0))</f>
        <v>1280</v>
      </c>
      <c r="K412">
        <f>IF(ISERROR(VLOOKUP(D412,命格辅助表!$P$76:$U$86,E412+2,0)),0,VLOOKUP(D412,命格辅助表!$P$76:$U$86,E412+2,0))</f>
        <v>960</v>
      </c>
      <c r="L412">
        <v>0</v>
      </c>
      <c r="M412">
        <v>0</v>
      </c>
      <c r="N412">
        <v>8350</v>
      </c>
      <c r="O412">
        <f t="shared" si="66"/>
        <v>2</v>
      </c>
      <c r="P412">
        <f t="shared" si="61"/>
        <v>24</v>
      </c>
      <c r="Q412">
        <f>ROUND((VLOOKUP($A412,命格属性表,13,0)+VLOOKUP($A412,命格属性表,20,0)*($D412-1))*IF(P412&gt;9,1,VLOOKUP(D412,命格辅助表!$S$3:$U$10,3,0)),0)</f>
        <v>2400</v>
      </c>
      <c r="R412">
        <f t="shared" si="62"/>
        <v>1</v>
      </c>
      <c r="S412">
        <f>ROUND(IF(R412=0,0,VLOOKUP($A412,命格属性表,15,0)+VLOOKUP($A412,命格属性表,22,0)*($D412-1))*IF(R412&gt;9,1,VLOOKUP(D412,命格辅助表!$S$3:$U$10,3,0)),0)</f>
        <v>7023</v>
      </c>
      <c r="T412">
        <f t="shared" si="64"/>
        <v>0</v>
      </c>
      <c r="U412">
        <f t="shared" si="67"/>
        <v>0</v>
      </c>
    </row>
    <row r="413" spans="1:21">
      <c r="A413">
        <v>9150</v>
      </c>
      <c r="B413" t="s">
        <v>325</v>
      </c>
      <c r="C413">
        <f t="shared" si="65"/>
        <v>11</v>
      </c>
      <c r="D413">
        <v>3</v>
      </c>
      <c r="E413">
        <v>4</v>
      </c>
      <c r="F413">
        <v>10</v>
      </c>
      <c r="G413" t="str">
        <f>VLOOKUP(P413,定义数据!$B$14:$C$29,2,0)&amp;"+"&amp;Q413&amp;IF(R413=0,"",","&amp;VLOOKUP(R413,定义数据!$B$14:$C$29,2,0)&amp;"+"&amp;S413)&amp;IF(T413=0,"",","&amp;VLOOKUP(T413,定义数据!$B$14:$C$29,2,0)&amp;"+"&amp;U413)</f>
        <v>伤害加深+3600,生命+10535</v>
      </c>
      <c r="H413">
        <v>0</v>
      </c>
      <c r="I413">
        <f t="shared" si="63"/>
        <v>11</v>
      </c>
      <c r="J413">
        <f>IF(ISERROR(VLOOKUP(D413,命格辅助表!$I$76:$N$86,D_命格表!E413+2,0)),0,VLOOKUP(D413,命格辅助表!$I$76:$N$86,D_命格表!E413+2,0))</f>
        <v>2560</v>
      </c>
      <c r="K413">
        <f>IF(ISERROR(VLOOKUP(D413,命格辅助表!$P$76:$U$86,E413+2,0)),0,VLOOKUP(D413,命格辅助表!$P$76:$U$86,E413+2,0))</f>
        <v>2240</v>
      </c>
      <c r="L413">
        <v>0</v>
      </c>
      <c r="M413">
        <v>0</v>
      </c>
      <c r="N413">
        <v>8350</v>
      </c>
      <c r="O413">
        <f t="shared" si="66"/>
        <v>2</v>
      </c>
      <c r="P413">
        <f t="shared" si="61"/>
        <v>24</v>
      </c>
      <c r="Q413">
        <f>ROUND((VLOOKUP($A413,命格属性表,13,0)+VLOOKUP($A413,命格属性表,20,0)*($D413-1))*IF(P413&gt;9,1,VLOOKUP(D413,命格辅助表!$S$3:$U$10,3,0)),0)</f>
        <v>3600</v>
      </c>
      <c r="R413">
        <f t="shared" si="62"/>
        <v>1</v>
      </c>
      <c r="S413">
        <f>ROUND(IF(R413=0,0,VLOOKUP($A413,命格属性表,15,0)+VLOOKUP($A413,命格属性表,22,0)*($D413-1))*IF(R413&gt;9,1,VLOOKUP(D413,命格辅助表!$S$3:$U$10,3,0)),0)</f>
        <v>10535</v>
      </c>
      <c r="T413">
        <f t="shared" si="64"/>
        <v>0</v>
      </c>
      <c r="U413">
        <f t="shared" si="67"/>
        <v>0</v>
      </c>
    </row>
    <row r="414" spans="1:21">
      <c r="A414">
        <v>9150</v>
      </c>
      <c r="B414" t="s">
        <v>325</v>
      </c>
      <c r="C414">
        <f t="shared" si="65"/>
        <v>11</v>
      </c>
      <c r="D414">
        <v>4</v>
      </c>
      <c r="E414">
        <v>4</v>
      </c>
      <c r="F414">
        <v>10</v>
      </c>
      <c r="G414" t="str">
        <f>VLOOKUP(P414,定义数据!$B$14:$C$29,2,0)&amp;"+"&amp;Q414&amp;IF(R414=0,"",","&amp;VLOOKUP(R414,定义数据!$B$14:$C$29,2,0)&amp;"+"&amp;S414)&amp;IF(T414=0,"",","&amp;VLOOKUP(T414,定义数据!$B$14:$C$29,2,0)&amp;"+"&amp;U414)</f>
        <v>伤害加深+4800,生命+15802</v>
      </c>
      <c r="H414">
        <v>0</v>
      </c>
      <c r="I414">
        <f t="shared" si="63"/>
        <v>11</v>
      </c>
      <c r="J414">
        <f>IF(ISERROR(VLOOKUP(D414,命格辅助表!$I$76:$N$86,D_命格表!E414+2,0)),0,VLOOKUP(D414,命格辅助表!$I$76:$N$86,D_命格表!E414+2,0))</f>
        <v>5120</v>
      </c>
      <c r="K414">
        <f>IF(ISERROR(VLOOKUP(D414,命格辅助表!$P$76:$U$86,E414+2,0)),0,VLOOKUP(D414,命格辅助表!$P$76:$U$86,E414+2,0))</f>
        <v>4800</v>
      </c>
      <c r="L414">
        <v>0</v>
      </c>
      <c r="M414">
        <v>0</v>
      </c>
      <c r="N414">
        <v>8350</v>
      </c>
      <c r="O414">
        <f t="shared" si="66"/>
        <v>2</v>
      </c>
      <c r="P414">
        <f t="shared" si="61"/>
        <v>24</v>
      </c>
      <c r="Q414">
        <f>ROUND((VLOOKUP($A414,命格属性表,13,0)+VLOOKUP($A414,命格属性表,20,0)*($D414-1))*IF(P414&gt;9,1,VLOOKUP(D414,命格辅助表!$S$3:$U$10,3,0)),0)</f>
        <v>4800</v>
      </c>
      <c r="R414">
        <f t="shared" si="62"/>
        <v>1</v>
      </c>
      <c r="S414">
        <f>ROUND(IF(R414=0,0,VLOOKUP($A414,命格属性表,15,0)+VLOOKUP($A414,命格属性表,22,0)*($D414-1))*IF(R414&gt;9,1,VLOOKUP(D414,命格辅助表!$S$3:$U$10,3,0)),0)</f>
        <v>15802</v>
      </c>
      <c r="T414">
        <f t="shared" si="64"/>
        <v>0</v>
      </c>
      <c r="U414">
        <f t="shared" si="67"/>
        <v>0</v>
      </c>
    </row>
    <row r="415" spans="1:21">
      <c r="A415">
        <v>9150</v>
      </c>
      <c r="B415" t="s">
        <v>325</v>
      </c>
      <c r="C415">
        <f t="shared" si="65"/>
        <v>11</v>
      </c>
      <c r="D415">
        <v>5</v>
      </c>
      <c r="E415">
        <v>4</v>
      </c>
      <c r="F415">
        <v>10</v>
      </c>
      <c r="G415" t="str">
        <f>VLOOKUP(P415,定义数据!$B$14:$C$29,2,0)&amp;"+"&amp;Q415&amp;IF(R415=0,"",","&amp;VLOOKUP(R415,定义数据!$B$14:$C$29,2,0)&amp;"+"&amp;S415)&amp;IF(T415=0,"",","&amp;VLOOKUP(T415,定义数据!$B$14:$C$29,2,0)&amp;"+"&amp;U415)</f>
        <v>伤害加深+6000,生命+23704</v>
      </c>
      <c r="H415">
        <v>0</v>
      </c>
      <c r="I415">
        <f t="shared" si="63"/>
        <v>11</v>
      </c>
      <c r="J415">
        <f>IF(ISERROR(VLOOKUP(D415,命格辅助表!$I$76:$N$86,D_命格表!E415+2,0)),0,VLOOKUP(D415,命格辅助表!$I$76:$N$86,D_命格表!E415+2,0))</f>
        <v>10240</v>
      </c>
      <c r="K415">
        <f>IF(ISERROR(VLOOKUP(D415,命格辅助表!$P$76:$U$86,E415+2,0)),0,VLOOKUP(D415,命格辅助表!$P$76:$U$86,E415+2,0))</f>
        <v>9920</v>
      </c>
      <c r="L415">
        <v>0</v>
      </c>
      <c r="M415">
        <v>0</v>
      </c>
      <c r="N415">
        <v>8350</v>
      </c>
      <c r="O415">
        <f t="shared" si="66"/>
        <v>2</v>
      </c>
      <c r="P415">
        <f t="shared" si="61"/>
        <v>24</v>
      </c>
      <c r="Q415">
        <f>ROUND((VLOOKUP($A415,命格属性表,13,0)+VLOOKUP($A415,命格属性表,20,0)*($D415-1))*IF(P415&gt;9,1,VLOOKUP(D415,命格辅助表!$S$3:$U$10,3,0)),0)</f>
        <v>6000</v>
      </c>
      <c r="R415">
        <f t="shared" si="62"/>
        <v>1</v>
      </c>
      <c r="S415">
        <f>ROUND(IF(R415=0,0,VLOOKUP($A415,命格属性表,15,0)+VLOOKUP($A415,命格属性表,22,0)*($D415-1))*IF(R415&gt;9,1,VLOOKUP(D415,命格辅助表!$S$3:$U$10,3,0)),0)</f>
        <v>23704</v>
      </c>
      <c r="T415">
        <f t="shared" si="64"/>
        <v>0</v>
      </c>
      <c r="U415">
        <f t="shared" si="67"/>
        <v>0</v>
      </c>
    </row>
    <row r="416" spans="1:21">
      <c r="A416">
        <v>9150</v>
      </c>
      <c r="B416" t="s">
        <v>325</v>
      </c>
      <c r="C416">
        <f t="shared" si="65"/>
        <v>11</v>
      </c>
      <c r="D416">
        <v>6</v>
      </c>
      <c r="E416">
        <v>4</v>
      </c>
      <c r="F416">
        <v>10</v>
      </c>
      <c r="G416" t="str">
        <f>VLOOKUP(P416,定义数据!$B$14:$C$29,2,0)&amp;"+"&amp;Q416&amp;IF(R416=0,"",","&amp;VLOOKUP(R416,定义数据!$B$14:$C$29,2,0)&amp;"+"&amp;S416)&amp;IF(T416=0,"",","&amp;VLOOKUP(T416,定义数据!$B$14:$C$29,2,0)&amp;"+"&amp;U416)</f>
        <v>伤害加深+7200,生命+35556</v>
      </c>
      <c r="H416">
        <v>0</v>
      </c>
      <c r="I416">
        <f t="shared" si="63"/>
        <v>11</v>
      </c>
      <c r="J416">
        <f>IF(ISERROR(VLOOKUP(D416,命格辅助表!$I$76:$N$86,D_命格表!E416+2,0)),0,VLOOKUP(D416,命格辅助表!$I$76:$N$86,D_命格表!E416+2,0))</f>
        <v>20480</v>
      </c>
      <c r="K416">
        <f>IF(ISERROR(VLOOKUP(D416,命格辅助表!$P$76:$U$86,E416+2,0)),0,VLOOKUP(D416,命格辅助表!$P$76:$U$86,E416+2,0))</f>
        <v>20160</v>
      </c>
      <c r="L416">
        <v>0</v>
      </c>
      <c r="M416">
        <v>0</v>
      </c>
      <c r="N416">
        <v>8350</v>
      </c>
      <c r="O416">
        <f t="shared" si="66"/>
        <v>2</v>
      </c>
      <c r="P416">
        <f t="shared" si="61"/>
        <v>24</v>
      </c>
      <c r="Q416">
        <f>ROUND((VLOOKUP($A416,命格属性表,13,0)+VLOOKUP($A416,命格属性表,20,0)*($D416-1))*IF(P416&gt;9,1,VLOOKUP(D416,命格辅助表!$S$3:$U$10,3,0)),0)</f>
        <v>7200</v>
      </c>
      <c r="R416">
        <f t="shared" si="62"/>
        <v>1</v>
      </c>
      <c r="S416">
        <f>ROUND(IF(R416=0,0,VLOOKUP($A416,命格属性表,15,0)+VLOOKUP($A416,命格属性表,22,0)*($D416-1))*IF(R416&gt;9,1,VLOOKUP(D416,命格辅助表!$S$3:$U$10,3,0)),0)</f>
        <v>35556</v>
      </c>
      <c r="T416">
        <f t="shared" si="64"/>
        <v>0</v>
      </c>
      <c r="U416">
        <f t="shared" si="67"/>
        <v>0</v>
      </c>
    </row>
    <row r="417" spans="1:21">
      <c r="A417">
        <v>9150</v>
      </c>
      <c r="B417" t="s">
        <v>325</v>
      </c>
      <c r="C417">
        <f t="shared" si="65"/>
        <v>11</v>
      </c>
      <c r="D417">
        <v>7</v>
      </c>
      <c r="E417">
        <v>4</v>
      </c>
      <c r="F417">
        <v>10</v>
      </c>
      <c r="G417" t="str">
        <f>VLOOKUP(P417,定义数据!$B$14:$C$29,2,0)&amp;"+"&amp;Q417&amp;IF(R417=0,"",","&amp;VLOOKUP(R417,定义数据!$B$14:$C$29,2,0)&amp;"+"&amp;S417)&amp;IF(T417=0,"",","&amp;VLOOKUP(T417,定义数据!$B$14:$C$29,2,0)&amp;"+"&amp;U417)</f>
        <v>伤害加深+8400,生命+53333</v>
      </c>
      <c r="H417">
        <v>0</v>
      </c>
      <c r="I417">
        <f t="shared" si="63"/>
        <v>11</v>
      </c>
      <c r="J417">
        <f>IF(ISERROR(VLOOKUP(D417,命格辅助表!$I$76:$N$86,D_命格表!E417+2,0)),0,VLOOKUP(D417,命格辅助表!$I$76:$N$86,D_命格表!E417+2,0))</f>
        <v>40960</v>
      </c>
      <c r="K417">
        <f>IF(ISERROR(VLOOKUP(D417,命格辅助表!$P$76:$U$86,E417+2,0)),0,VLOOKUP(D417,命格辅助表!$P$76:$U$86,E417+2,0))</f>
        <v>40640</v>
      </c>
      <c r="L417">
        <v>0</v>
      </c>
      <c r="M417">
        <v>0</v>
      </c>
      <c r="N417">
        <v>8350</v>
      </c>
      <c r="O417">
        <f t="shared" si="66"/>
        <v>2</v>
      </c>
      <c r="P417">
        <f t="shared" si="61"/>
        <v>24</v>
      </c>
      <c r="Q417">
        <f>ROUND((VLOOKUP($A417,命格属性表,13,0)+VLOOKUP($A417,命格属性表,20,0)*($D417-1))*IF(P417&gt;9,1,VLOOKUP(D417,命格辅助表!$S$3:$U$10,3,0)),0)</f>
        <v>8400</v>
      </c>
      <c r="R417">
        <f t="shared" si="62"/>
        <v>1</v>
      </c>
      <c r="S417">
        <f>ROUND(IF(R417=0,0,VLOOKUP($A417,命格属性表,15,0)+VLOOKUP($A417,命格属性表,22,0)*($D417-1))*IF(R417&gt;9,1,VLOOKUP(D417,命格辅助表!$S$3:$U$10,3,0)),0)</f>
        <v>53333</v>
      </c>
      <c r="T417">
        <f t="shared" si="64"/>
        <v>0</v>
      </c>
      <c r="U417">
        <f t="shared" si="67"/>
        <v>0</v>
      </c>
    </row>
    <row r="418" spans="1:21">
      <c r="A418">
        <v>9150</v>
      </c>
      <c r="B418" t="s">
        <v>325</v>
      </c>
      <c r="C418">
        <f t="shared" si="65"/>
        <v>11</v>
      </c>
      <c r="D418">
        <v>8</v>
      </c>
      <c r="E418">
        <v>4</v>
      </c>
      <c r="F418">
        <v>10</v>
      </c>
      <c r="G418" t="str">
        <f>VLOOKUP(P418,定义数据!$B$14:$C$29,2,0)&amp;"+"&amp;Q418&amp;IF(R418=0,"",","&amp;VLOOKUP(R418,定义数据!$B$14:$C$29,2,0)&amp;"+"&amp;S418)&amp;IF(T418=0,"",","&amp;VLOOKUP(T418,定义数据!$B$14:$C$29,2,0)&amp;"+"&amp;U418)</f>
        <v>伤害加深+9600,生命+80000</v>
      </c>
      <c r="H418">
        <v>0</v>
      </c>
      <c r="I418">
        <f t="shared" si="63"/>
        <v>11</v>
      </c>
      <c r="J418">
        <f>IF(ISERROR(VLOOKUP(D418,命格辅助表!$I$76:$N$86,D_命格表!E418+2,0)),0,VLOOKUP(D418,命格辅助表!$I$76:$N$86,D_命格表!E418+2,0))</f>
        <v>81920</v>
      </c>
      <c r="K418">
        <f>IF(ISERROR(VLOOKUP(D418,命格辅助表!$P$76:$U$86,E418+2,0)),0,VLOOKUP(D418,命格辅助表!$P$76:$U$86,E418+2,0))</f>
        <v>81600</v>
      </c>
      <c r="L418">
        <f>IF(ISERROR(VLOOKUP(D418,命格辅助表!$I$76:$N$86,D_命格表!E418+2,0)),0,VLOOKUP(D418,命格辅助表!$I$76:$N$86,D_命格表!E418+2,0))</f>
        <v>81920</v>
      </c>
      <c r="M418">
        <f>A418+10</f>
        <v>9160</v>
      </c>
      <c r="N418">
        <v>8350</v>
      </c>
      <c r="O418">
        <f t="shared" si="66"/>
        <v>2</v>
      </c>
      <c r="P418">
        <f t="shared" si="61"/>
        <v>24</v>
      </c>
      <c r="Q418">
        <f>ROUND((VLOOKUP($A418,命格属性表,13,0)+VLOOKUP($A418,命格属性表,20,0)*($D418-1))*IF(P418&gt;9,1,VLOOKUP(D418,命格辅助表!$S$3:$U$10,3,0)),0)</f>
        <v>9600</v>
      </c>
      <c r="R418">
        <f t="shared" si="62"/>
        <v>1</v>
      </c>
      <c r="S418">
        <f>ROUND(IF(R418=0,0,VLOOKUP($A418,命格属性表,15,0)+VLOOKUP($A418,命格属性表,22,0)*($D418-1))*IF(R418&gt;9,1,VLOOKUP(D418,命格辅助表!$S$3:$U$10,3,0)),0)</f>
        <v>80000</v>
      </c>
      <c r="T418">
        <f t="shared" si="64"/>
        <v>0</v>
      </c>
      <c r="U418">
        <f t="shared" si="67"/>
        <v>0</v>
      </c>
    </row>
    <row r="419" spans="1:21">
      <c r="A419">
        <v>9250</v>
      </c>
      <c r="B419" t="s">
        <v>326</v>
      </c>
      <c r="C419">
        <f t="shared" si="65"/>
        <v>12</v>
      </c>
      <c r="D419">
        <v>1</v>
      </c>
      <c r="E419">
        <v>4</v>
      </c>
      <c r="F419">
        <v>10</v>
      </c>
      <c r="G419" t="str">
        <f>VLOOKUP(P419,定义数据!$B$14:$C$29,2,0)&amp;"+"&amp;Q419&amp;IF(R419=0,"",","&amp;VLOOKUP(R419,定义数据!$B$14:$C$29,2,0)&amp;"+"&amp;S419)&amp;IF(T419=0,"",","&amp;VLOOKUP(T419,定义数据!$B$14:$C$29,2,0)&amp;"+"&amp;U419)</f>
        <v>伤害减免+1200,攻击+187</v>
      </c>
      <c r="H419">
        <v>0</v>
      </c>
      <c r="I419">
        <f t="shared" si="63"/>
        <v>12</v>
      </c>
      <c r="J419">
        <f>IF(ISERROR(VLOOKUP(D419,命格辅助表!$I$76:$N$86,D_命格表!E419+2,0)),0,VLOOKUP(D419,命格辅助表!$I$76:$N$86,D_命格表!E419+2,0))</f>
        <v>640</v>
      </c>
      <c r="K419">
        <f>IF(ISERROR(VLOOKUP(D419,命格辅助表!$P$76:$U$86,E419+2,0)),0,VLOOKUP(D419,命格辅助表!$P$76:$U$86,E419+2,0))</f>
        <v>320</v>
      </c>
      <c r="L419">
        <v>0</v>
      </c>
      <c r="M419">
        <v>0</v>
      </c>
      <c r="N419">
        <v>8450</v>
      </c>
      <c r="O419">
        <f t="shared" si="66"/>
        <v>2</v>
      </c>
      <c r="P419">
        <f t="shared" si="61"/>
        <v>25</v>
      </c>
      <c r="Q419">
        <f>ROUND((VLOOKUP($A419,命格属性表,13,0)+VLOOKUP($A419,命格属性表,20,0)*($D419-1))*IF(P419&gt;9,1,VLOOKUP(D419,命格辅助表!$S$3:$U$10,3,0)),0)</f>
        <v>1200</v>
      </c>
      <c r="R419">
        <f t="shared" si="62"/>
        <v>2</v>
      </c>
      <c r="S419">
        <f>ROUND(IF(R419=0,0,VLOOKUP($A419,命格属性表,15,0)+VLOOKUP($A419,命格属性表,22,0)*($D419-1))*IF(R419&gt;9,1,VLOOKUP(D419,命格辅助表!$S$3:$U$10,3,0)),0)</f>
        <v>187</v>
      </c>
      <c r="T419">
        <f t="shared" si="64"/>
        <v>0</v>
      </c>
      <c r="U419">
        <f t="shared" si="67"/>
        <v>0</v>
      </c>
    </row>
    <row r="420" spans="1:21">
      <c r="A420">
        <v>9250</v>
      </c>
      <c r="B420" t="s">
        <v>326</v>
      </c>
      <c r="C420">
        <f t="shared" si="65"/>
        <v>12</v>
      </c>
      <c r="D420">
        <v>2</v>
      </c>
      <c r="E420">
        <v>4</v>
      </c>
      <c r="F420">
        <v>10</v>
      </c>
      <c r="G420" t="str">
        <f>VLOOKUP(P420,定义数据!$B$14:$C$29,2,0)&amp;"+"&amp;Q420&amp;IF(R420=0,"",","&amp;VLOOKUP(R420,定义数据!$B$14:$C$29,2,0)&amp;"+"&amp;S420)&amp;IF(T420=0,"",","&amp;VLOOKUP(T420,定义数据!$B$14:$C$29,2,0)&amp;"+"&amp;U420)</f>
        <v>伤害减免+2400,攻击+281</v>
      </c>
      <c r="H420">
        <v>0</v>
      </c>
      <c r="I420">
        <f t="shared" si="63"/>
        <v>12</v>
      </c>
      <c r="J420">
        <f>IF(ISERROR(VLOOKUP(D420,命格辅助表!$I$76:$N$86,D_命格表!E420+2,0)),0,VLOOKUP(D420,命格辅助表!$I$76:$N$86,D_命格表!E420+2,0))</f>
        <v>1280</v>
      </c>
      <c r="K420">
        <f>IF(ISERROR(VLOOKUP(D420,命格辅助表!$P$76:$U$86,E420+2,0)),0,VLOOKUP(D420,命格辅助表!$P$76:$U$86,E420+2,0))</f>
        <v>960</v>
      </c>
      <c r="L420">
        <v>0</v>
      </c>
      <c r="M420">
        <v>0</v>
      </c>
      <c r="N420">
        <v>8450</v>
      </c>
      <c r="O420">
        <f t="shared" si="66"/>
        <v>2</v>
      </c>
      <c r="P420">
        <f t="shared" si="61"/>
        <v>25</v>
      </c>
      <c r="Q420">
        <f>ROUND((VLOOKUP($A420,命格属性表,13,0)+VLOOKUP($A420,命格属性表,20,0)*($D420-1))*IF(P420&gt;9,1,VLOOKUP(D420,命格辅助表!$S$3:$U$10,3,0)),0)</f>
        <v>2400</v>
      </c>
      <c r="R420">
        <f t="shared" si="62"/>
        <v>2</v>
      </c>
      <c r="S420">
        <f>ROUND(IF(R420=0,0,VLOOKUP($A420,命格属性表,15,0)+VLOOKUP($A420,命格属性表,22,0)*($D420-1))*IF(R420&gt;9,1,VLOOKUP(D420,命格辅助表!$S$3:$U$10,3,0)),0)</f>
        <v>281</v>
      </c>
      <c r="T420">
        <f t="shared" si="64"/>
        <v>0</v>
      </c>
      <c r="U420">
        <f t="shared" si="67"/>
        <v>0</v>
      </c>
    </row>
    <row r="421" spans="1:21">
      <c r="A421">
        <v>9250</v>
      </c>
      <c r="B421" t="s">
        <v>326</v>
      </c>
      <c r="C421">
        <f t="shared" si="65"/>
        <v>12</v>
      </c>
      <c r="D421">
        <v>3</v>
      </c>
      <c r="E421">
        <v>4</v>
      </c>
      <c r="F421">
        <v>10</v>
      </c>
      <c r="G421" t="str">
        <f>VLOOKUP(P421,定义数据!$B$14:$C$29,2,0)&amp;"+"&amp;Q421&amp;IF(R421=0,"",","&amp;VLOOKUP(R421,定义数据!$B$14:$C$29,2,0)&amp;"+"&amp;S421)&amp;IF(T421=0,"",","&amp;VLOOKUP(T421,定义数据!$B$14:$C$29,2,0)&amp;"+"&amp;U421)</f>
        <v>伤害减免+3600,攻击+421</v>
      </c>
      <c r="H421">
        <v>0</v>
      </c>
      <c r="I421">
        <f t="shared" si="63"/>
        <v>12</v>
      </c>
      <c r="J421">
        <f>IF(ISERROR(VLOOKUP(D421,命格辅助表!$I$76:$N$86,D_命格表!E421+2,0)),0,VLOOKUP(D421,命格辅助表!$I$76:$N$86,D_命格表!E421+2,0))</f>
        <v>2560</v>
      </c>
      <c r="K421">
        <f>IF(ISERROR(VLOOKUP(D421,命格辅助表!$P$76:$U$86,E421+2,0)),0,VLOOKUP(D421,命格辅助表!$P$76:$U$86,E421+2,0))</f>
        <v>2240</v>
      </c>
      <c r="L421">
        <v>0</v>
      </c>
      <c r="M421">
        <v>0</v>
      </c>
      <c r="N421">
        <v>8450</v>
      </c>
      <c r="O421">
        <f t="shared" si="66"/>
        <v>2</v>
      </c>
      <c r="P421">
        <f t="shared" ref="P421:P466" si="68">VLOOKUP($A421,命格属性表,12,0)</f>
        <v>25</v>
      </c>
      <c r="Q421">
        <f>ROUND((VLOOKUP($A421,命格属性表,13,0)+VLOOKUP($A421,命格属性表,20,0)*($D421-1))*IF(P421&gt;9,1,VLOOKUP(D421,命格辅助表!$S$3:$U$10,3,0)),0)</f>
        <v>3600</v>
      </c>
      <c r="R421">
        <f t="shared" ref="R421:R466" si="69">VLOOKUP($A421,命格属性表,14,0)</f>
        <v>2</v>
      </c>
      <c r="S421">
        <f>ROUND(IF(R421=0,0,VLOOKUP($A421,命格属性表,15,0)+VLOOKUP($A421,命格属性表,22,0)*($D421-1))*IF(R421&gt;9,1,VLOOKUP(D421,命格辅助表!$S$3:$U$10,3,0)),0)</f>
        <v>421</v>
      </c>
      <c r="T421">
        <f t="shared" si="64"/>
        <v>0</v>
      </c>
      <c r="U421">
        <f t="shared" si="67"/>
        <v>0</v>
      </c>
    </row>
    <row r="422" spans="1:21">
      <c r="A422">
        <v>9250</v>
      </c>
      <c r="B422" t="s">
        <v>326</v>
      </c>
      <c r="C422">
        <f t="shared" si="65"/>
        <v>12</v>
      </c>
      <c r="D422">
        <v>4</v>
      </c>
      <c r="E422">
        <v>4</v>
      </c>
      <c r="F422">
        <v>10</v>
      </c>
      <c r="G422" t="str">
        <f>VLOOKUP(P422,定义数据!$B$14:$C$29,2,0)&amp;"+"&amp;Q422&amp;IF(R422=0,"",","&amp;VLOOKUP(R422,定义数据!$B$14:$C$29,2,0)&amp;"+"&amp;S422)&amp;IF(T422=0,"",","&amp;VLOOKUP(T422,定义数据!$B$14:$C$29,2,0)&amp;"+"&amp;U422)</f>
        <v>伤害减免+4800,攻击+632</v>
      </c>
      <c r="H422">
        <v>0</v>
      </c>
      <c r="I422">
        <f t="shared" ref="I422:I467" si="70">VLOOKUP($A422,命格属性表,26,0)</f>
        <v>12</v>
      </c>
      <c r="J422">
        <f>IF(ISERROR(VLOOKUP(D422,命格辅助表!$I$76:$N$86,D_命格表!E422+2,0)),0,VLOOKUP(D422,命格辅助表!$I$76:$N$86,D_命格表!E422+2,0))</f>
        <v>5120</v>
      </c>
      <c r="K422">
        <f>IF(ISERROR(VLOOKUP(D422,命格辅助表!$P$76:$U$86,E422+2,0)),0,VLOOKUP(D422,命格辅助表!$P$76:$U$86,E422+2,0))</f>
        <v>4800</v>
      </c>
      <c r="L422">
        <v>0</v>
      </c>
      <c r="M422">
        <v>0</v>
      </c>
      <c r="N422">
        <v>8450</v>
      </c>
      <c r="O422">
        <f t="shared" si="66"/>
        <v>2</v>
      </c>
      <c r="P422">
        <f t="shared" si="68"/>
        <v>25</v>
      </c>
      <c r="Q422">
        <f>ROUND((VLOOKUP($A422,命格属性表,13,0)+VLOOKUP($A422,命格属性表,20,0)*($D422-1))*IF(P422&gt;9,1,VLOOKUP(D422,命格辅助表!$S$3:$U$10,3,0)),0)</f>
        <v>4800</v>
      </c>
      <c r="R422">
        <f t="shared" si="69"/>
        <v>2</v>
      </c>
      <c r="S422">
        <f>ROUND(IF(R422=0,0,VLOOKUP($A422,命格属性表,15,0)+VLOOKUP($A422,命格属性表,22,0)*($D422-1))*IF(R422&gt;9,1,VLOOKUP(D422,命格辅助表!$S$3:$U$10,3,0)),0)</f>
        <v>632</v>
      </c>
      <c r="T422">
        <f t="shared" ref="T422:T467" si="71">VLOOKUP($A422,命格属性表,16,0)</f>
        <v>0</v>
      </c>
      <c r="U422">
        <f t="shared" si="67"/>
        <v>0</v>
      </c>
    </row>
    <row r="423" spans="1:21">
      <c r="A423">
        <v>9250</v>
      </c>
      <c r="B423" t="s">
        <v>326</v>
      </c>
      <c r="C423">
        <f t="shared" ref="C423:C468" si="72">I423</f>
        <v>12</v>
      </c>
      <c r="D423">
        <v>5</v>
      </c>
      <c r="E423">
        <v>4</v>
      </c>
      <c r="F423">
        <v>10</v>
      </c>
      <c r="G423" t="str">
        <f>VLOOKUP(P423,定义数据!$B$14:$C$29,2,0)&amp;"+"&amp;Q423&amp;IF(R423=0,"",","&amp;VLOOKUP(R423,定义数据!$B$14:$C$29,2,0)&amp;"+"&amp;S423)&amp;IF(T423=0,"",","&amp;VLOOKUP(T423,定义数据!$B$14:$C$29,2,0)&amp;"+"&amp;U423)</f>
        <v>伤害减免+6000,攻击+948</v>
      </c>
      <c r="H423">
        <v>0</v>
      </c>
      <c r="I423">
        <f t="shared" si="70"/>
        <v>12</v>
      </c>
      <c r="J423">
        <f>IF(ISERROR(VLOOKUP(D423,命格辅助表!$I$76:$N$86,D_命格表!E423+2,0)),0,VLOOKUP(D423,命格辅助表!$I$76:$N$86,D_命格表!E423+2,0))</f>
        <v>10240</v>
      </c>
      <c r="K423">
        <f>IF(ISERROR(VLOOKUP(D423,命格辅助表!$P$76:$U$86,E423+2,0)),0,VLOOKUP(D423,命格辅助表!$P$76:$U$86,E423+2,0))</f>
        <v>9920</v>
      </c>
      <c r="L423">
        <v>0</v>
      </c>
      <c r="M423">
        <v>0</v>
      </c>
      <c r="N423">
        <v>8450</v>
      </c>
      <c r="O423">
        <f t="shared" si="66"/>
        <v>2</v>
      </c>
      <c r="P423">
        <f t="shared" si="68"/>
        <v>25</v>
      </c>
      <c r="Q423">
        <f>ROUND((VLOOKUP($A423,命格属性表,13,0)+VLOOKUP($A423,命格属性表,20,0)*($D423-1))*IF(P423&gt;9,1,VLOOKUP(D423,命格辅助表!$S$3:$U$10,3,0)),0)</f>
        <v>6000</v>
      </c>
      <c r="R423">
        <f t="shared" si="69"/>
        <v>2</v>
      </c>
      <c r="S423">
        <f>ROUND(IF(R423=0,0,VLOOKUP($A423,命格属性表,15,0)+VLOOKUP($A423,命格属性表,22,0)*($D423-1))*IF(R423&gt;9,1,VLOOKUP(D423,命格辅助表!$S$3:$U$10,3,0)),0)</f>
        <v>948</v>
      </c>
      <c r="T423">
        <f t="shared" si="71"/>
        <v>0</v>
      </c>
      <c r="U423">
        <f t="shared" si="67"/>
        <v>0</v>
      </c>
    </row>
    <row r="424" spans="1:21">
      <c r="A424">
        <v>9250</v>
      </c>
      <c r="B424" t="s">
        <v>326</v>
      </c>
      <c r="C424">
        <f t="shared" si="72"/>
        <v>12</v>
      </c>
      <c r="D424">
        <v>6</v>
      </c>
      <c r="E424">
        <v>4</v>
      </c>
      <c r="F424">
        <v>10</v>
      </c>
      <c r="G424" t="str">
        <f>VLOOKUP(P424,定义数据!$B$14:$C$29,2,0)&amp;"+"&amp;Q424&amp;IF(R424=0,"",","&amp;VLOOKUP(R424,定义数据!$B$14:$C$29,2,0)&amp;"+"&amp;S424)&amp;IF(T424=0,"",","&amp;VLOOKUP(T424,定义数据!$B$14:$C$29,2,0)&amp;"+"&amp;U424)</f>
        <v>伤害减免+7200,攻击+1422</v>
      </c>
      <c r="H424">
        <v>0</v>
      </c>
      <c r="I424">
        <f t="shared" si="70"/>
        <v>12</v>
      </c>
      <c r="J424">
        <f>IF(ISERROR(VLOOKUP(D424,命格辅助表!$I$76:$N$86,D_命格表!E424+2,0)),0,VLOOKUP(D424,命格辅助表!$I$76:$N$86,D_命格表!E424+2,0))</f>
        <v>20480</v>
      </c>
      <c r="K424">
        <f>IF(ISERROR(VLOOKUP(D424,命格辅助表!$P$76:$U$86,E424+2,0)),0,VLOOKUP(D424,命格辅助表!$P$76:$U$86,E424+2,0))</f>
        <v>20160</v>
      </c>
      <c r="L424">
        <v>0</v>
      </c>
      <c r="M424">
        <v>0</v>
      </c>
      <c r="N424">
        <v>8450</v>
      </c>
      <c r="O424">
        <f t="shared" si="66"/>
        <v>2</v>
      </c>
      <c r="P424">
        <f t="shared" si="68"/>
        <v>25</v>
      </c>
      <c r="Q424">
        <f>ROUND((VLOOKUP($A424,命格属性表,13,0)+VLOOKUP($A424,命格属性表,20,0)*($D424-1))*IF(P424&gt;9,1,VLOOKUP(D424,命格辅助表!$S$3:$U$10,3,0)),0)</f>
        <v>7200</v>
      </c>
      <c r="R424">
        <f t="shared" si="69"/>
        <v>2</v>
      </c>
      <c r="S424">
        <f>ROUND(IF(R424=0,0,VLOOKUP($A424,命格属性表,15,0)+VLOOKUP($A424,命格属性表,22,0)*($D424-1))*IF(R424&gt;9,1,VLOOKUP(D424,命格辅助表!$S$3:$U$10,3,0)),0)</f>
        <v>1422</v>
      </c>
      <c r="T424">
        <f t="shared" si="71"/>
        <v>0</v>
      </c>
      <c r="U424">
        <f t="shared" si="67"/>
        <v>0</v>
      </c>
    </row>
    <row r="425" spans="1:21">
      <c r="A425">
        <v>9250</v>
      </c>
      <c r="B425" t="s">
        <v>326</v>
      </c>
      <c r="C425">
        <f t="shared" si="72"/>
        <v>12</v>
      </c>
      <c r="D425">
        <v>7</v>
      </c>
      <c r="E425">
        <v>4</v>
      </c>
      <c r="F425">
        <v>10</v>
      </c>
      <c r="G425" t="str">
        <f>VLOOKUP(P425,定义数据!$B$14:$C$29,2,0)&amp;"+"&amp;Q425&amp;IF(R425=0,"",","&amp;VLOOKUP(R425,定义数据!$B$14:$C$29,2,0)&amp;"+"&amp;S425)&amp;IF(T425=0,"",","&amp;VLOOKUP(T425,定义数据!$B$14:$C$29,2,0)&amp;"+"&amp;U425)</f>
        <v>伤害减免+8400,攻击+2133</v>
      </c>
      <c r="H425">
        <v>0</v>
      </c>
      <c r="I425">
        <f t="shared" si="70"/>
        <v>12</v>
      </c>
      <c r="J425">
        <f>IF(ISERROR(VLOOKUP(D425,命格辅助表!$I$76:$N$86,D_命格表!E425+2,0)),0,VLOOKUP(D425,命格辅助表!$I$76:$N$86,D_命格表!E425+2,0))</f>
        <v>40960</v>
      </c>
      <c r="K425">
        <f>IF(ISERROR(VLOOKUP(D425,命格辅助表!$P$76:$U$86,E425+2,0)),0,VLOOKUP(D425,命格辅助表!$P$76:$U$86,E425+2,0))</f>
        <v>40640</v>
      </c>
      <c r="L425">
        <v>0</v>
      </c>
      <c r="M425">
        <v>0</v>
      </c>
      <c r="N425">
        <v>8450</v>
      </c>
      <c r="O425">
        <f t="shared" si="66"/>
        <v>2</v>
      </c>
      <c r="P425">
        <f t="shared" si="68"/>
        <v>25</v>
      </c>
      <c r="Q425">
        <f>ROUND((VLOOKUP($A425,命格属性表,13,0)+VLOOKUP($A425,命格属性表,20,0)*($D425-1))*IF(P425&gt;9,1,VLOOKUP(D425,命格辅助表!$S$3:$U$10,3,0)),0)</f>
        <v>8400</v>
      </c>
      <c r="R425">
        <f t="shared" si="69"/>
        <v>2</v>
      </c>
      <c r="S425">
        <f>ROUND(IF(R425=0,0,VLOOKUP($A425,命格属性表,15,0)+VLOOKUP($A425,命格属性表,22,0)*($D425-1))*IF(R425&gt;9,1,VLOOKUP(D425,命格辅助表!$S$3:$U$10,3,0)),0)</f>
        <v>2133</v>
      </c>
      <c r="T425">
        <f t="shared" si="71"/>
        <v>0</v>
      </c>
      <c r="U425">
        <f t="shared" si="67"/>
        <v>0</v>
      </c>
    </row>
    <row r="426" spans="1:21">
      <c r="A426">
        <v>9250</v>
      </c>
      <c r="B426" t="s">
        <v>326</v>
      </c>
      <c r="C426">
        <f t="shared" si="72"/>
        <v>12</v>
      </c>
      <c r="D426">
        <v>8</v>
      </c>
      <c r="E426">
        <v>4</v>
      </c>
      <c r="F426">
        <v>10</v>
      </c>
      <c r="G426" t="str">
        <f>VLOOKUP(P426,定义数据!$B$14:$C$29,2,0)&amp;"+"&amp;Q426&amp;IF(R426=0,"",","&amp;VLOOKUP(R426,定义数据!$B$14:$C$29,2,0)&amp;"+"&amp;S426)&amp;IF(T426=0,"",","&amp;VLOOKUP(T426,定义数据!$B$14:$C$29,2,0)&amp;"+"&amp;U426)</f>
        <v>伤害减免+9600,攻击+3200</v>
      </c>
      <c r="H426">
        <v>0</v>
      </c>
      <c r="I426">
        <f t="shared" si="70"/>
        <v>12</v>
      </c>
      <c r="J426">
        <f>IF(ISERROR(VLOOKUP(D426,命格辅助表!$I$76:$N$86,D_命格表!E426+2,0)),0,VLOOKUP(D426,命格辅助表!$I$76:$N$86,D_命格表!E426+2,0))</f>
        <v>81920</v>
      </c>
      <c r="K426">
        <f>IF(ISERROR(VLOOKUP(D426,命格辅助表!$P$76:$U$86,E426+2,0)),0,VLOOKUP(D426,命格辅助表!$P$76:$U$86,E426+2,0))</f>
        <v>81600</v>
      </c>
      <c r="L426">
        <f>IF(ISERROR(VLOOKUP(D426,命格辅助表!$I$76:$N$86,D_命格表!E426+2,0)),0,VLOOKUP(D426,命格辅助表!$I$76:$N$86,D_命格表!E426+2,0))</f>
        <v>81920</v>
      </c>
      <c r="M426">
        <f>A426+10</f>
        <v>9260</v>
      </c>
      <c r="N426">
        <v>8450</v>
      </c>
      <c r="O426">
        <f t="shared" si="66"/>
        <v>2</v>
      </c>
      <c r="P426">
        <f t="shared" si="68"/>
        <v>25</v>
      </c>
      <c r="Q426">
        <f>ROUND((VLOOKUP($A426,命格属性表,13,0)+VLOOKUP($A426,命格属性表,20,0)*($D426-1))*IF(P426&gt;9,1,VLOOKUP(D426,命格辅助表!$S$3:$U$10,3,0)),0)</f>
        <v>9600</v>
      </c>
      <c r="R426">
        <f t="shared" si="69"/>
        <v>2</v>
      </c>
      <c r="S426">
        <f>ROUND(IF(R426=0,0,VLOOKUP($A426,命格属性表,15,0)+VLOOKUP($A426,命格属性表,22,0)*($D426-1))*IF(R426&gt;9,1,VLOOKUP(D426,命格辅助表!$S$3:$U$10,3,0)),0)</f>
        <v>3200</v>
      </c>
      <c r="T426">
        <f t="shared" si="71"/>
        <v>0</v>
      </c>
      <c r="U426">
        <f t="shared" si="67"/>
        <v>0</v>
      </c>
    </row>
    <row r="427" spans="1:21">
      <c r="A427">
        <v>9350</v>
      </c>
      <c r="B427" t="s">
        <v>327</v>
      </c>
      <c r="C427">
        <f t="shared" si="72"/>
        <v>13</v>
      </c>
      <c r="D427">
        <v>1</v>
      </c>
      <c r="E427">
        <v>4</v>
      </c>
      <c r="F427">
        <v>10</v>
      </c>
      <c r="G427" t="str">
        <f>VLOOKUP(P427,定义数据!$B$14:$C$29,2,0)&amp;"+"&amp;Q427&amp;IF(R427=0,"",","&amp;VLOOKUP(R427,定义数据!$B$14:$C$29,2,0)&amp;"+"&amp;S427)&amp;IF(T427=0,"",","&amp;VLOOKUP(T427,定义数据!$B$14:$C$29,2,0)&amp;"+"&amp;U427)</f>
        <v>生命+4682,攻击+187</v>
      </c>
      <c r="H427">
        <v>0</v>
      </c>
      <c r="I427">
        <f t="shared" si="70"/>
        <v>13</v>
      </c>
      <c r="J427">
        <f>IF(ISERROR(VLOOKUP(D427,命格辅助表!$I$76:$N$86,D_命格表!E427+2,0)),0,VLOOKUP(D427,命格辅助表!$I$76:$N$86,D_命格表!E427+2,0))</f>
        <v>640</v>
      </c>
      <c r="K427">
        <f>IF(ISERROR(VLOOKUP(D427,命格辅助表!$P$76:$U$86,E427+2,0)),0,VLOOKUP(D427,命格辅助表!$P$76:$U$86,E427+2,0))</f>
        <v>320</v>
      </c>
      <c r="L427">
        <v>0</v>
      </c>
      <c r="M427">
        <v>0</v>
      </c>
      <c r="N427">
        <v>8150</v>
      </c>
      <c r="O427">
        <f t="shared" si="66"/>
        <v>2</v>
      </c>
      <c r="P427">
        <f t="shared" si="68"/>
        <v>1</v>
      </c>
      <c r="Q427">
        <f>ROUND((VLOOKUP($A427,命格属性表,13,0)+VLOOKUP($A427,命格属性表,20,0)*($D427-1))*IF(P427&gt;9,1,VLOOKUP(D427,命格辅助表!$S$3:$U$10,3,0)),0)</f>
        <v>4682</v>
      </c>
      <c r="R427">
        <f t="shared" si="69"/>
        <v>2</v>
      </c>
      <c r="S427">
        <f>ROUND(IF(R427=0,0,VLOOKUP($A427,命格属性表,15,0)+VLOOKUP($A427,命格属性表,22,0)*($D427-1))*IF(R427&gt;9,1,VLOOKUP(D427,命格辅助表!$S$3:$U$10,3,0)),0)</f>
        <v>187</v>
      </c>
      <c r="T427">
        <f t="shared" si="71"/>
        <v>0</v>
      </c>
      <c r="U427">
        <f t="shared" si="67"/>
        <v>0</v>
      </c>
    </row>
    <row r="428" spans="1:21">
      <c r="A428">
        <v>9350</v>
      </c>
      <c r="B428" t="s">
        <v>327</v>
      </c>
      <c r="C428">
        <f t="shared" si="72"/>
        <v>13</v>
      </c>
      <c r="D428">
        <v>2</v>
      </c>
      <c r="E428">
        <v>4</v>
      </c>
      <c r="F428">
        <v>10</v>
      </c>
      <c r="G428" t="str">
        <f>VLOOKUP(P428,定义数据!$B$14:$C$29,2,0)&amp;"+"&amp;Q428&amp;IF(R428=0,"",","&amp;VLOOKUP(R428,定义数据!$B$14:$C$29,2,0)&amp;"+"&amp;S428)&amp;IF(T428=0,"",","&amp;VLOOKUP(T428,定义数据!$B$14:$C$29,2,0)&amp;"+"&amp;U428)</f>
        <v>生命+7023,攻击+281</v>
      </c>
      <c r="H428">
        <v>0</v>
      </c>
      <c r="I428">
        <f t="shared" si="70"/>
        <v>13</v>
      </c>
      <c r="J428">
        <f>IF(ISERROR(VLOOKUP(D428,命格辅助表!$I$76:$N$86,D_命格表!E428+2,0)),0,VLOOKUP(D428,命格辅助表!$I$76:$N$86,D_命格表!E428+2,0))</f>
        <v>1280</v>
      </c>
      <c r="K428">
        <f>IF(ISERROR(VLOOKUP(D428,命格辅助表!$P$76:$U$86,E428+2,0)),0,VLOOKUP(D428,命格辅助表!$P$76:$U$86,E428+2,0))</f>
        <v>960</v>
      </c>
      <c r="L428">
        <v>0</v>
      </c>
      <c r="M428">
        <v>0</v>
      </c>
      <c r="N428">
        <v>8150</v>
      </c>
      <c r="O428">
        <f t="shared" si="66"/>
        <v>2</v>
      </c>
      <c r="P428">
        <f t="shared" si="68"/>
        <v>1</v>
      </c>
      <c r="Q428">
        <f>ROUND((VLOOKUP($A428,命格属性表,13,0)+VLOOKUP($A428,命格属性表,20,0)*($D428-1))*IF(P428&gt;9,1,VLOOKUP(D428,命格辅助表!$S$3:$U$10,3,0)),0)</f>
        <v>7023</v>
      </c>
      <c r="R428">
        <f t="shared" si="69"/>
        <v>2</v>
      </c>
      <c r="S428">
        <f>ROUND(IF(R428=0,0,VLOOKUP($A428,命格属性表,15,0)+VLOOKUP($A428,命格属性表,22,0)*($D428-1))*IF(R428&gt;9,1,VLOOKUP(D428,命格辅助表!$S$3:$U$10,3,0)),0)</f>
        <v>281</v>
      </c>
      <c r="T428">
        <f t="shared" si="71"/>
        <v>0</v>
      </c>
      <c r="U428">
        <f t="shared" si="67"/>
        <v>0</v>
      </c>
    </row>
    <row r="429" spans="1:21">
      <c r="A429">
        <v>9350</v>
      </c>
      <c r="B429" t="s">
        <v>327</v>
      </c>
      <c r="C429">
        <f t="shared" si="72"/>
        <v>13</v>
      </c>
      <c r="D429">
        <v>3</v>
      </c>
      <c r="E429">
        <v>4</v>
      </c>
      <c r="F429">
        <v>10</v>
      </c>
      <c r="G429" t="str">
        <f>VLOOKUP(P429,定义数据!$B$14:$C$29,2,0)&amp;"+"&amp;Q429&amp;IF(R429=0,"",","&amp;VLOOKUP(R429,定义数据!$B$14:$C$29,2,0)&amp;"+"&amp;S429)&amp;IF(T429=0,"",","&amp;VLOOKUP(T429,定义数据!$B$14:$C$29,2,0)&amp;"+"&amp;U429)</f>
        <v>生命+10535,攻击+421</v>
      </c>
      <c r="H429">
        <v>0</v>
      </c>
      <c r="I429">
        <f t="shared" si="70"/>
        <v>13</v>
      </c>
      <c r="J429">
        <f>IF(ISERROR(VLOOKUP(D429,命格辅助表!$I$76:$N$86,D_命格表!E429+2,0)),0,VLOOKUP(D429,命格辅助表!$I$76:$N$86,D_命格表!E429+2,0))</f>
        <v>2560</v>
      </c>
      <c r="K429">
        <f>IF(ISERROR(VLOOKUP(D429,命格辅助表!$P$76:$U$86,E429+2,0)),0,VLOOKUP(D429,命格辅助表!$P$76:$U$86,E429+2,0))</f>
        <v>2240</v>
      </c>
      <c r="L429">
        <v>0</v>
      </c>
      <c r="M429">
        <v>0</v>
      </c>
      <c r="N429">
        <v>8150</v>
      </c>
      <c r="O429">
        <f t="shared" si="66"/>
        <v>2</v>
      </c>
      <c r="P429">
        <f t="shared" si="68"/>
        <v>1</v>
      </c>
      <c r="Q429">
        <f>ROUND((VLOOKUP($A429,命格属性表,13,0)+VLOOKUP($A429,命格属性表,20,0)*($D429-1))*IF(P429&gt;9,1,VLOOKUP(D429,命格辅助表!$S$3:$U$10,3,0)),0)</f>
        <v>10535</v>
      </c>
      <c r="R429">
        <f t="shared" si="69"/>
        <v>2</v>
      </c>
      <c r="S429">
        <f>ROUND(IF(R429=0,0,VLOOKUP($A429,命格属性表,15,0)+VLOOKUP($A429,命格属性表,22,0)*($D429-1))*IF(R429&gt;9,1,VLOOKUP(D429,命格辅助表!$S$3:$U$10,3,0)),0)</f>
        <v>421</v>
      </c>
      <c r="T429">
        <f t="shared" si="71"/>
        <v>0</v>
      </c>
      <c r="U429">
        <f t="shared" si="67"/>
        <v>0</v>
      </c>
    </row>
    <row r="430" spans="1:21">
      <c r="A430">
        <v>9350</v>
      </c>
      <c r="B430" t="s">
        <v>327</v>
      </c>
      <c r="C430">
        <f t="shared" si="72"/>
        <v>13</v>
      </c>
      <c r="D430">
        <v>4</v>
      </c>
      <c r="E430">
        <v>4</v>
      </c>
      <c r="F430">
        <v>10</v>
      </c>
      <c r="G430" t="str">
        <f>VLOOKUP(P430,定义数据!$B$14:$C$29,2,0)&amp;"+"&amp;Q430&amp;IF(R430=0,"",","&amp;VLOOKUP(R430,定义数据!$B$14:$C$29,2,0)&amp;"+"&amp;S430)&amp;IF(T430=0,"",","&amp;VLOOKUP(T430,定义数据!$B$14:$C$29,2,0)&amp;"+"&amp;U430)</f>
        <v>生命+15802,攻击+632</v>
      </c>
      <c r="H430">
        <v>0</v>
      </c>
      <c r="I430">
        <f t="shared" si="70"/>
        <v>13</v>
      </c>
      <c r="J430">
        <f>IF(ISERROR(VLOOKUP(D430,命格辅助表!$I$76:$N$86,D_命格表!E430+2,0)),0,VLOOKUP(D430,命格辅助表!$I$76:$N$86,D_命格表!E430+2,0))</f>
        <v>5120</v>
      </c>
      <c r="K430">
        <f>IF(ISERROR(VLOOKUP(D430,命格辅助表!$P$76:$U$86,E430+2,0)),0,VLOOKUP(D430,命格辅助表!$P$76:$U$86,E430+2,0))</f>
        <v>4800</v>
      </c>
      <c r="L430">
        <v>0</v>
      </c>
      <c r="M430">
        <v>0</v>
      </c>
      <c r="N430">
        <v>8150</v>
      </c>
      <c r="O430">
        <f t="shared" si="66"/>
        <v>2</v>
      </c>
      <c r="P430">
        <f t="shared" si="68"/>
        <v>1</v>
      </c>
      <c r="Q430">
        <f>ROUND((VLOOKUP($A430,命格属性表,13,0)+VLOOKUP($A430,命格属性表,20,0)*($D430-1))*IF(P430&gt;9,1,VLOOKUP(D430,命格辅助表!$S$3:$U$10,3,0)),0)</f>
        <v>15802</v>
      </c>
      <c r="R430">
        <f t="shared" si="69"/>
        <v>2</v>
      </c>
      <c r="S430">
        <f>ROUND(IF(R430=0,0,VLOOKUP($A430,命格属性表,15,0)+VLOOKUP($A430,命格属性表,22,0)*($D430-1))*IF(R430&gt;9,1,VLOOKUP(D430,命格辅助表!$S$3:$U$10,3,0)),0)</f>
        <v>632</v>
      </c>
      <c r="T430">
        <f t="shared" si="71"/>
        <v>0</v>
      </c>
      <c r="U430">
        <f t="shared" si="67"/>
        <v>0</v>
      </c>
    </row>
    <row r="431" spans="1:21">
      <c r="A431">
        <v>9350</v>
      </c>
      <c r="B431" t="s">
        <v>327</v>
      </c>
      <c r="C431">
        <f t="shared" si="72"/>
        <v>13</v>
      </c>
      <c r="D431">
        <v>5</v>
      </c>
      <c r="E431">
        <v>4</v>
      </c>
      <c r="F431">
        <v>10</v>
      </c>
      <c r="G431" t="str">
        <f>VLOOKUP(P431,定义数据!$B$14:$C$29,2,0)&amp;"+"&amp;Q431&amp;IF(R431=0,"",","&amp;VLOOKUP(R431,定义数据!$B$14:$C$29,2,0)&amp;"+"&amp;S431)&amp;IF(T431=0,"",","&amp;VLOOKUP(T431,定义数据!$B$14:$C$29,2,0)&amp;"+"&amp;U431)</f>
        <v>生命+23704,攻击+948</v>
      </c>
      <c r="H431">
        <v>0</v>
      </c>
      <c r="I431">
        <f t="shared" si="70"/>
        <v>13</v>
      </c>
      <c r="J431">
        <f>IF(ISERROR(VLOOKUP(D431,命格辅助表!$I$76:$N$86,D_命格表!E431+2,0)),0,VLOOKUP(D431,命格辅助表!$I$76:$N$86,D_命格表!E431+2,0))</f>
        <v>10240</v>
      </c>
      <c r="K431">
        <f>IF(ISERROR(VLOOKUP(D431,命格辅助表!$P$76:$U$86,E431+2,0)),0,VLOOKUP(D431,命格辅助表!$P$76:$U$86,E431+2,0))</f>
        <v>9920</v>
      </c>
      <c r="L431">
        <v>0</v>
      </c>
      <c r="M431">
        <v>0</v>
      </c>
      <c r="N431">
        <v>8150</v>
      </c>
      <c r="O431">
        <f t="shared" si="66"/>
        <v>2</v>
      </c>
      <c r="P431">
        <f t="shared" si="68"/>
        <v>1</v>
      </c>
      <c r="Q431">
        <f>ROUND((VLOOKUP($A431,命格属性表,13,0)+VLOOKUP($A431,命格属性表,20,0)*($D431-1))*IF(P431&gt;9,1,VLOOKUP(D431,命格辅助表!$S$3:$U$10,3,0)),0)</f>
        <v>23704</v>
      </c>
      <c r="R431">
        <f t="shared" si="69"/>
        <v>2</v>
      </c>
      <c r="S431">
        <f>ROUND(IF(R431=0,0,VLOOKUP($A431,命格属性表,15,0)+VLOOKUP($A431,命格属性表,22,0)*($D431-1))*IF(R431&gt;9,1,VLOOKUP(D431,命格辅助表!$S$3:$U$10,3,0)),0)</f>
        <v>948</v>
      </c>
      <c r="T431">
        <f t="shared" si="71"/>
        <v>0</v>
      </c>
      <c r="U431">
        <f t="shared" si="67"/>
        <v>0</v>
      </c>
    </row>
    <row r="432" spans="1:21">
      <c r="A432">
        <v>9350</v>
      </c>
      <c r="B432" t="s">
        <v>327</v>
      </c>
      <c r="C432">
        <f t="shared" si="72"/>
        <v>13</v>
      </c>
      <c r="D432">
        <v>6</v>
      </c>
      <c r="E432">
        <v>4</v>
      </c>
      <c r="F432">
        <v>10</v>
      </c>
      <c r="G432" t="str">
        <f>VLOOKUP(P432,定义数据!$B$14:$C$29,2,0)&amp;"+"&amp;Q432&amp;IF(R432=0,"",","&amp;VLOOKUP(R432,定义数据!$B$14:$C$29,2,0)&amp;"+"&amp;S432)&amp;IF(T432=0,"",","&amp;VLOOKUP(T432,定义数据!$B$14:$C$29,2,0)&amp;"+"&amp;U432)</f>
        <v>生命+35556,攻击+1422</v>
      </c>
      <c r="H432">
        <v>0</v>
      </c>
      <c r="I432">
        <f t="shared" si="70"/>
        <v>13</v>
      </c>
      <c r="J432">
        <f>IF(ISERROR(VLOOKUP(D432,命格辅助表!$I$76:$N$86,D_命格表!E432+2,0)),0,VLOOKUP(D432,命格辅助表!$I$76:$N$86,D_命格表!E432+2,0))</f>
        <v>20480</v>
      </c>
      <c r="K432">
        <f>IF(ISERROR(VLOOKUP(D432,命格辅助表!$P$76:$U$86,E432+2,0)),0,VLOOKUP(D432,命格辅助表!$P$76:$U$86,E432+2,0))</f>
        <v>20160</v>
      </c>
      <c r="L432">
        <v>0</v>
      </c>
      <c r="M432">
        <v>0</v>
      </c>
      <c r="N432">
        <v>8150</v>
      </c>
      <c r="O432">
        <f t="shared" si="66"/>
        <v>2</v>
      </c>
      <c r="P432">
        <f t="shared" si="68"/>
        <v>1</v>
      </c>
      <c r="Q432">
        <f>ROUND((VLOOKUP($A432,命格属性表,13,0)+VLOOKUP($A432,命格属性表,20,0)*($D432-1))*IF(P432&gt;9,1,VLOOKUP(D432,命格辅助表!$S$3:$U$10,3,0)),0)</f>
        <v>35556</v>
      </c>
      <c r="R432">
        <f t="shared" si="69"/>
        <v>2</v>
      </c>
      <c r="S432">
        <f>ROUND(IF(R432=0,0,VLOOKUP($A432,命格属性表,15,0)+VLOOKUP($A432,命格属性表,22,0)*($D432-1))*IF(R432&gt;9,1,VLOOKUP(D432,命格辅助表!$S$3:$U$10,3,0)),0)</f>
        <v>1422</v>
      </c>
      <c r="T432">
        <f t="shared" si="71"/>
        <v>0</v>
      </c>
      <c r="U432">
        <f t="shared" si="67"/>
        <v>0</v>
      </c>
    </row>
    <row r="433" spans="1:21">
      <c r="A433">
        <v>9350</v>
      </c>
      <c r="B433" t="s">
        <v>327</v>
      </c>
      <c r="C433">
        <f t="shared" si="72"/>
        <v>13</v>
      </c>
      <c r="D433">
        <v>7</v>
      </c>
      <c r="E433">
        <v>4</v>
      </c>
      <c r="F433">
        <v>10</v>
      </c>
      <c r="G433" t="str">
        <f>VLOOKUP(P433,定义数据!$B$14:$C$29,2,0)&amp;"+"&amp;Q433&amp;IF(R433=0,"",","&amp;VLOOKUP(R433,定义数据!$B$14:$C$29,2,0)&amp;"+"&amp;S433)&amp;IF(T433=0,"",","&amp;VLOOKUP(T433,定义数据!$B$14:$C$29,2,0)&amp;"+"&amp;U433)</f>
        <v>生命+53333,攻击+2133</v>
      </c>
      <c r="H433">
        <v>0</v>
      </c>
      <c r="I433">
        <f t="shared" si="70"/>
        <v>13</v>
      </c>
      <c r="J433">
        <f>IF(ISERROR(VLOOKUP(D433,命格辅助表!$I$76:$N$86,D_命格表!E433+2,0)),0,VLOOKUP(D433,命格辅助表!$I$76:$N$86,D_命格表!E433+2,0))</f>
        <v>40960</v>
      </c>
      <c r="K433">
        <f>IF(ISERROR(VLOOKUP(D433,命格辅助表!$P$76:$U$86,E433+2,0)),0,VLOOKUP(D433,命格辅助表!$P$76:$U$86,E433+2,0))</f>
        <v>40640</v>
      </c>
      <c r="L433">
        <v>0</v>
      </c>
      <c r="M433">
        <v>0</v>
      </c>
      <c r="N433">
        <v>8150</v>
      </c>
      <c r="O433">
        <f t="shared" si="66"/>
        <v>2</v>
      </c>
      <c r="P433">
        <f t="shared" si="68"/>
        <v>1</v>
      </c>
      <c r="Q433">
        <f>ROUND((VLOOKUP($A433,命格属性表,13,0)+VLOOKUP($A433,命格属性表,20,0)*($D433-1))*IF(P433&gt;9,1,VLOOKUP(D433,命格辅助表!$S$3:$U$10,3,0)),0)</f>
        <v>53333</v>
      </c>
      <c r="R433">
        <f t="shared" si="69"/>
        <v>2</v>
      </c>
      <c r="S433">
        <f>ROUND(IF(R433=0,0,VLOOKUP($A433,命格属性表,15,0)+VLOOKUP($A433,命格属性表,22,0)*($D433-1))*IF(R433&gt;9,1,VLOOKUP(D433,命格辅助表!$S$3:$U$10,3,0)),0)</f>
        <v>2133</v>
      </c>
      <c r="T433">
        <f t="shared" si="71"/>
        <v>0</v>
      </c>
      <c r="U433">
        <f t="shared" si="67"/>
        <v>0</v>
      </c>
    </row>
    <row r="434" spans="1:21">
      <c r="A434">
        <v>9350</v>
      </c>
      <c r="B434" t="s">
        <v>327</v>
      </c>
      <c r="C434">
        <f t="shared" si="72"/>
        <v>13</v>
      </c>
      <c r="D434">
        <v>8</v>
      </c>
      <c r="E434">
        <v>4</v>
      </c>
      <c r="F434">
        <v>10</v>
      </c>
      <c r="G434" t="str">
        <f>VLOOKUP(P434,定义数据!$B$14:$C$29,2,0)&amp;"+"&amp;Q434&amp;IF(R434=0,"",","&amp;VLOOKUP(R434,定义数据!$B$14:$C$29,2,0)&amp;"+"&amp;S434)&amp;IF(T434=0,"",","&amp;VLOOKUP(T434,定义数据!$B$14:$C$29,2,0)&amp;"+"&amp;U434)</f>
        <v>生命+80000,攻击+3200</v>
      </c>
      <c r="H434">
        <v>0</v>
      </c>
      <c r="I434">
        <f t="shared" si="70"/>
        <v>13</v>
      </c>
      <c r="J434">
        <f>IF(ISERROR(VLOOKUP(D434,命格辅助表!$I$76:$N$86,D_命格表!E434+2,0)),0,VLOOKUP(D434,命格辅助表!$I$76:$N$86,D_命格表!E434+2,0))</f>
        <v>81920</v>
      </c>
      <c r="K434">
        <f>IF(ISERROR(VLOOKUP(D434,命格辅助表!$P$76:$U$86,E434+2,0)),0,VLOOKUP(D434,命格辅助表!$P$76:$U$86,E434+2,0))</f>
        <v>81600</v>
      </c>
      <c r="L434">
        <f>IF(ISERROR(VLOOKUP(D434,命格辅助表!$I$76:$N$86,D_命格表!E434+2,0)),0,VLOOKUP(D434,命格辅助表!$I$76:$N$86,D_命格表!E434+2,0))</f>
        <v>81920</v>
      </c>
      <c r="M434">
        <f>A434+10</f>
        <v>9360</v>
      </c>
      <c r="N434">
        <v>8150</v>
      </c>
      <c r="O434">
        <f t="shared" si="66"/>
        <v>2</v>
      </c>
      <c r="P434">
        <f t="shared" si="68"/>
        <v>1</v>
      </c>
      <c r="Q434">
        <f>ROUND((VLOOKUP($A434,命格属性表,13,0)+VLOOKUP($A434,命格属性表,20,0)*($D434-1))*IF(P434&gt;9,1,VLOOKUP(D434,命格辅助表!$S$3:$U$10,3,0)),0)</f>
        <v>80000</v>
      </c>
      <c r="R434">
        <f t="shared" si="69"/>
        <v>2</v>
      </c>
      <c r="S434">
        <f>ROUND(IF(R434=0,0,VLOOKUP($A434,命格属性表,15,0)+VLOOKUP($A434,命格属性表,22,0)*($D434-1))*IF(R434&gt;9,1,VLOOKUP(D434,命格辅助表!$S$3:$U$10,3,0)),0)</f>
        <v>3200</v>
      </c>
      <c r="T434">
        <f t="shared" si="71"/>
        <v>0</v>
      </c>
      <c r="U434">
        <f t="shared" si="67"/>
        <v>0</v>
      </c>
    </row>
    <row r="435" spans="1:21">
      <c r="A435">
        <v>9450</v>
      </c>
      <c r="B435" t="s">
        <v>331</v>
      </c>
      <c r="C435">
        <f t="shared" si="72"/>
        <v>14</v>
      </c>
      <c r="D435">
        <v>1</v>
      </c>
      <c r="E435">
        <v>4</v>
      </c>
      <c r="F435">
        <v>10</v>
      </c>
      <c r="G435" t="str">
        <f>VLOOKUP(P435,定义数据!$B$14:$C$29,2,0)&amp;"+"&amp;Q435&amp;IF(R435=0,"",","&amp;VLOOKUP(R435,定义数据!$B$14:$C$29,2,0)&amp;"+"&amp;S435)&amp;IF(T435=0,"",","&amp;VLOOKUP(T435,定义数据!$B$14:$C$29,2,0)&amp;"+"&amp;U435)</f>
        <v>攻击+187</v>
      </c>
      <c r="H435">
        <v>0</v>
      </c>
      <c r="I435">
        <f t="shared" si="70"/>
        <v>14</v>
      </c>
      <c r="J435">
        <f>IF(ISERROR(VLOOKUP(D435,命格辅助表!$I$76:$N$86,D_命格表!E435+2,0)),0,VLOOKUP(D435,命格辅助表!$I$76:$N$86,D_命格表!E435+2,0))</f>
        <v>640</v>
      </c>
      <c r="K435">
        <f>IF(ISERROR(VLOOKUP(D435,命格辅助表!$P$76:$U$86,E435+2,0)),0,VLOOKUP(D435,命格辅助表!$P$76:$U$86,E435+2,0))</f>
        <v>320</v>
      </c>
      <c r="L435">
        <v>0</v>
      </c>
      <c r="M435">
        <v>0</v>
      </c>
      <c r="N435">
        <v>8250</v>
      </c>
      <c r="O435">
        <f t="shared" si="66"/>
        <v>1</v>
      </c>
      <c r="P435">
        <f t="shared" si="68"/>
        <v>2</v>
      </c>
      <c r="Q435">
        <f>ROUND((VLOOKUP($A435,命格属性表,13,0)+VLOOKUP($A435,命格属性表,20,0)*($D435-1))*IF(P435&gt;9,1,VLOOKUP(D435,命格辅助表!$S$3:$U$10,3,0)),0)</f>
        <v>187</v>
      </c>
      <c r="R435">
        <f t="shared" si="69"/>
        <v>0</v>
      </c>
      <c r="S435">
        <f>ROUND(IF(R435=0,0,VLOOKUP($A435,命格属性表,15,0)+VLOOKUP($A435,命格属性表,22,0)*($D435-1))*IF(R435&gt;9,1,VLOOKUP(D435,命格辅助表!$S$3:$U$10,3,0)),0)</f>
        <v>0</v>
      </c>
      <c r="T435">
        <f t="shared" si="71"/>
        <v>0</v>
      </c>
      <c r="U435">
        <f t="shared" si="67"/>
        <v>0</v>
      </c>
    </row>
    <row r="436" spans="1:21">
      <c r="A436">
        <v>9450</v>
      </c>
      <c r="B436" t="s">
        <v>331</v>
      </c>
      <c r="C436">
        <f t="shared" si="72"/>
        <v>14</v>
      </c>
      <c r="D436">
        <v>2</v>
      </c>
      <c r="E436">
        <v>4</v>
      </c>
      <c r="F436">
        <v>10</v>
      </c>
      <c r="G436" t="str">
        <f>VLOOKUP(P436,定义数据!$B$14:$C$29,2,0)&amp;"+"&amp;Q436&amp;IF(R436=0,"",","&amp;VLOOKUP(R436,定义数据!$B$14:$C$29,2,0)&amp;"+"&amp;S436)&amp;IF(T436=0,"",","&amp;VLOOKUP(T436,定义数据!$B$14:$C$29,2,0)&amp;"+"&amp;U436)</f>
        <v>攻击+281</v>
      </c>
      <c r="H436">
        <v>0</v>
      </c>
      <c r="I436">
        <f t="shared" si="70"/>
        <v>14</v>
      </c>
      <c r="J436">
        <f>IF(ISERROR(VLOOKUP(D436,命格辅助表!$I$76:$N$86,D_命格表!E436+2,0)),0,VLOOKUP(D436,命格辅助表!$I$76:$N$86,D_命格表!E436+2,0))</f>
        <v>1280</v>
      </c>
      <c r="K436">
        <f>IF(ISERROR(VLOOKUP(D436,命格辅助表!$P$76:$U$86,E436+2,0)),0,VLOOKUP(D436,命格辅助表!$P$76:$U$86,E436+2,0))</f>
        <v>960</v>
      </c>
      <c r="L436">
        <v>0</v>
      </c>
      <c r="M436">
        <v>0</v>
      </c>
      <c r="N436">
        <v>8250</v>
      </c>
      <c r="O436">
        <f t="shared" si="66"/>
        <v>1</v>
      </c>
      <c r="P436">
        <f t="shared" si="68"/>
        <v>2</v>
      </c>
      <c r="Q436">
        <f>ROUND((VLOOKUP($A436,命格属性表,13,0)+VLOOKUP($A436,命格属性表,20,0)*($D436-1))*IF(P436&gt;9,1,VLOOKUP(D436,命格辅助表!$S$3:$U$10,3,0)),0)</f>
        <v>281</v>
      </c>
      <c r="R436">
        <f t="shared" si="69"/>
        <v>0</v>
      </c>
      <c r="S436">
        <f>ROUND(IF(R436=0,0,VLOOKUP($A436,命格属性表,15,0)+VLOOKUP($A436,命格属性表,22,0)*($D436-1))*IF(R436&gt;9,1,VLOOKUP(D436,命格辅助表!$S$3:$U$10,3,0)),0)</f>
        <v>0</v>
      </c>
      <c r="T436">
        <f t="shared" si="71"/>
        <v>0</v>
      </c>
      <c r="U436">
        <f t="shared" si="67"/>
        <v>0</v>
      </c>
    </row>
    <row r="437" spans="1:21">
      <c r="A437">
        <v>9450</v>
      </c>
      <c r="B437" t="s">
        <v>331</v>
      </c>
      <c r="C437">
        <f t="shared" si="72"/>
        <v>14</v>
      </c>
      <c r="D437">
        <v>3</v>
      </c>
      <c r="E437">
        <v>4</v>
      </c>
      <c r="F437">
        <v>10</v>
      </c>
      <c r="G437" t="str">
        <f>VLOOKUP(P437,定义数据!$B$14:$C$29,2,0)&amp;"+"&amp;Q437&amp;IF(R437=0,"",","&amp;VLOOKUP(R437,定义数据!$B$14:$C$29,2,0)&amp;"+"&amp;S437)&amp;IF(T437=0,"",","&amp;VLOOKUP(T437,定义数据!$B$14:$C$29,2,0)&amp;"+"&amp;U437)</f>
        <v>攻击+421</v>
      </c>
      <c r="H437">
        <v>0</v>
      </c>
      <c r="I437">
        <f t="shared" si="70"/>
        <v>14</v>
      </c>
      <c r="J437">
        <f>IF(ISERROR(VLOOKUP(D437,命格辅助表!$I$76:$N$86,D_命格表!E437+2,0)),0,VLOOKUP(D437,命格辅助表!$I$76:$N$86,D_命格表!E437+2,0))</f>
        <v>2560</v>
      </c>
      <c r="K437">
        <f>IF(ISERROR(VLOOKUP(D437,命格辅助表!$P$76:$U$86,E437+2,0)),0,VLOOKUP(D437,命格辅助表!$P$76:$U$86,E437+2,0))</f>
        <v>2240</v>
      </c>
      <c r="L437">
        <v>0</v>
      </c>
      <c r="M437">
        <v>0</v>
      </c>
      <c r="N437">
        <v>8250</v>
      </c>
      <c r="O437">
        <f t="shared" si="66"/>
        <v>1</v>
      </c>
      <c r="P437">
        <f t="shared" si="68"/>
        <v>2</v>
      </c>
      <c r="Q437">
        <f>ROUND((VLOOKUP($A437,命格属性表,13,0)+VLOOKUP($A437,命格属性表,20,0)*($D437-1))*IF(P437&gt;9,1,VLOOKUP(D437,命格辅助表!$S$3:$U$10,3,0)),0)</f>
        <v>421</v>
      </c>
      <c r="R437">
        <f t="shared" si="69"/>
        <v>0</v>
      </c>
      <c r="S437">
        <f>ROUND(IF(R437=0,0,VLOOKUP($A437,命格属性表,15,0)+VLOOKUP($A437,命格属性表,22,0)*($D437-1))*IF(R437&gt;9,1,VLOOKUP(D437,命格辅助表!$S$3:$U$10,3,0)),0)</f>
        <v>0</v>
      </c>
      <c r="T437">
        <f t="shared" si="71"/>
        <v>0</v>
      </c>
      <c r="U437">
        <f t="shared" si="67"/>
        <v>0</v>
      </c>
    </row>
    <row r="438" spans="1:21">
      <c r="A438">
        <v>9450</v>
      </c>
      <c r="B438" t="s">
        <v>331</v>
      </c>
      <c r="C438">
        <f t="shared" si="72"/>
        <v>14</v>
      </c>
      <c r="D438">
        <v>4</v>
      </c>
      <c r="E438">
        <v>4</v>
      </c>
      <c r="F438">
        <v>10</v>
      </c>
      <c r="G438" t="str">
        <f>VLOOKUP(P438,定义数据!$B$14:$C$29,2,0)&amp;"+"&amp;Q438&amp;IF(R438=0,"",","&amp;VLOOKUP(R438,定义数据!$B$14:$C$29,2,0)&amp;"+"&amp;S438)&amp;IF(T438=0,"",","&amp;VLOOKUP(T438,定义数据!$B$14:$C$29,2,0)&amp;"+"&amp;U438)</f>
        <v>攻击+632</v>
      </c>
      <c r="H438">
        <v>0</v>
      </c>
      <c r="I438">
        <f t="shared" si="70"/>
        <v>14</v>
      </c>
      <c r="J438">
        <f>IF(ISERROR(VLOOKUP(D438,命格辅助表!$I$76:$N$86,D_命格表!E438+2,0)),0,VLOOKUP(D438,命格辅助表!$I$76:$N$86,D_命格表!E438+2,0))</f>
        <v>5120</v>
      </c>
      <c r="K438">
        <f>IF(ISERROR(VLOOKUP(D438,命格辅助表!$P$76:$U$86,E438+2,0)),0,VLOOKUP(D438,命格辅助表!$P$76:$U$86,E438+2,0))</f>
        <v>4800</v>
      </c>
      <c r="L438">
        <v>0</v>
      </c>
      <c r="M438">
        <v>0</v>
      </c>
      <c r="N438">
        <v>8250</v>
      </c>
      <c r="O438">
        <f t="shared" si="66"/>
        <v>1</v>
      </c>
      <c r="P438">
        <f t="shared" si="68"/>
        <v>2</v>
      </c>
      <c r="Q438">
        <f>ROUND((VLOOKUP($A438,命格属性表,13,0)+VLOOKUP($A438,命格属性表,20,0)*($D438-1))*IF(P438&gt;9,1,VLOOKUP(D438,命格辅助表!$S$3:$U$10,3,0)),0)</f>
        <v>632</v>
      </c>
      <c r="R438">
        <f t="shared" si="69"/>
        <v>0</v>
      </c>
      <c r="S438">
        <f>ROUND(IF(R438=0,0,VLOOKUP($A438,命格属性表,15,0)+VLOOKUP($A438,命格属性表,22,0)*($D438-1))*IF(R438&gt;9,1,VLOOKUP(D438,命格辅助表!$S$3:$U$10,3,0)),0)</f>
        <v>0</v>
      </c>
      <c r="T438">
        <f t="shared" si="71"/>
        <v>0</v>
      </c>
      <c r="U438">
        <f t="shared" si="67"/>
        <v>0</v>
      </c>
    </row>
    <row r="439" spans="1:21">
      <c r="A439">
        <v>9450</v>
      </c>
      <c r="B439" t="s">
        <v>331</v>
      </c>
      <c r="C439">
        <f t="shared" si="72"/>
        <v>14</v>
      </c>
      <c r="D439">
        <v>5</v>
      </c>
      <c r="E439">
        <v>4</v>
      </c>
      <c r="F439">
        <v>10</v>
      </c>
      <c r="G439" t="str">
        <f>VLOOKUP(P439,定义数据!$B$14:$C$29,2,0)&amp;"+"&amp;Q439&amp;IF(R439=0,"",","&amp;VLOOKUP(R439,定义数据!$B$14:$C$29,2,0)&amp;"+"&amp;S439)&amp;IF(T439=0,"",","&amp;VLOOKUP(T439,定义数据!$B$14:$C$29,2,0)&amp;"+"&amp;U439)</f>
        <v>攻击+948</v>
      </c>
      <c r="H439">
        <v>0</v>
      </c>
      <c r="I439">
        <f t="shared" si="70"/>
        <v>14</v>
      </c>
      <c r="J439">
        <f>IF(ISERROR(VLOOKUP(D439,命格辅助表!$I$76:$N$86,D_命格表!E439+2,0)),0,VLOOKUP(D439,命格辅助表!$I$76:$N$86,D_命格表!E439+2,0))</f>
        <v>10240</v>
      </c>
      <c r="K439">
        <f>IF(ISERROR(VLOOKUP(D439,命格辅助表!$P$76:$U$86,E439+2,0)),0,VLOOKUP(D439,命格辅助表!$P$76:$U$86,E439+2,0))</f>
        <v>9920</v>
      </c>
      <c r="L439">
        <v>0</v>
      </c>
      <c r="M439">
        <v>0</v>
      </c>
      <c r="N439">
        <v>8250</v>
      </c>
      <c r="O439">
        <f t="shared" si="66"/>
        <v>1</v>
      </c>
      <c r="P439">
        <f t="shared" si="68"/>
        <v>2</v>
      </c>
      <c r="Q439">
        <f>ROUND((VLOOKUP($A439,命格属性表,13,0)+VLOOKUP($A439,命格属性表,20,0)*($D439-1))*IF(P439&gt;9,1,VLOOKUP(D439,命格辅助表!$S$3:$U$10,3,0)),0)</f>
        <v>948</v>
      </c>
      <c r="R439">
        <f t="shared" si="69"/>
        <v>0</v>
      </c>
      <c r="S439">
        <f>ROUND(IF(R439=0,0,VLOOKUP($A439,命格属性表,15,0)+VLOOKUP($A439,命格属性表,22,0)*($D439-1))*IF(R439&gt;9,1,VLOOKUP(D439,命格辅助表!$S$3:$U$10,3,0)),0)</f>
        <v>0</v>
      </c>
      <c r="T439">
        <f t="shared" si="71"/>
        <v>0</v>
      </c>
      <c r="U439">
        <f t="shared" si="67"/>
        <v>0</v>
      </c>
    </row>
    <row r="440" spans="1:21">
      <c r="A440">
        <v>9450</v>
      </c>
      <c r="B440" t="s">
        <v>331</v>
      </c>
      <c r="C440">
        <f t="shared" si="72"/>
        <v>14</v>
      </c>
      <c r="D440">
        <v>6</v>
      </c>
      <c r="E440">
        <v>4</v>
      </c>
      <c r="F440">
        <v>10</v>
      </c>
      <c r="G440" t="str">
        <f>VLOOKUP(P440,定义数据!$B$14:$C$29,2,0)&amp;"+"&amp;Q440&amp;IF(R440=0,"",","&amp;VLOOKUP(R440,定义数据!$B$14:$C$29,2,0)&amp;"+"&amp;S440)&amp;IF(T440=0,"",","&amp;VLOOKUP(T440,定义数据!$B$14:$C$29,2,0)&amp;"+"&amp;U440)</f>
        <v>攻击+1422</v>
      </c>
      <c r="H440">
        <v>0</v>
      </c>
      <c r="I440">
        <f t="shared" si="70"/>
        <v>14</v>
      </c>
      <c r="J440">
        <f>IF(ISERROR(VLOOKUP(D440,命格辅助表!$I$76:$N$86,D_命格表!E440+2,0)),0,VLOOKUP(D440,命格辅助表!$I$76:$N$86,D_命格表!E440+2,0))</f>
        <v>20480</v>
      </c>
      <c r="K440">
        <f>IF(ISERROR(VLOOKUP(D440,命格辅助表!$P$76:$U$86,E440+2,0)),0,VLOOKUP(D440,命格辅助表!$P$76:$U$86,E440+2,0))</f>
        <v>20160</v>
      </c>
      <c r="L440">
        <v>0</v>
      </c>
      <c r="M440">
        <v>0</v>
      </c>
      <c r="N440">
        <v>8250</v>
      </c>
      <c r="O440">
        <f t="shared" si="66"/>
        <v>1</v>
      </c>
      <c r="P440">
        <f t="shared" si="68"/>
        <v>2</v>
      </c>
      <c r="Q440">
        <f>ROUND((VLOOKUP($A440,命格属性表,13,0)+VLOOKUP($A440,命格属性表,20,0)*($D440-1))*IF(P440&gt;9,1,VLOOKUP(D440,命格辅助表!$S$3:$U$10,3,0)),0)</f>
        <v>1422</v>
      </c>
      <c r="R440">
        <f t="shared" si="69"/>
        <v>0</v>
      </c>
      <c r="S440">
        <f>ROUND(IF(R440=0,0,VLOOKUP($A440,命格属性表,15,0)+VLOOKUP($A440,命格属性表,22,0)*($D440-1))*IF(R440&gt;9,1,VLOOKUP(D440,命格辅助表!$S$3:$U$10,3,0)),0)</f>
        <v>0</v>
      </c>
      <c r="T440">
        <f t="shared" si="71"/>
        <v>0</v>
      </c>
      <c r="U440">
        <f t="shared" si="67"/>
        <v>0</v>
      </c>
    </row>
    <row r="441" spans="1:21">
      <c r="A441">
        <v>9450</v>
      </c>
      <c r="B441" t="s">
        <v>331</v>
      </c>
      <c r="C441">
        <f t="shared" si="72"/>
        <v>14</v>
      </c>
      <c r="D441">
        <v>7</v>
      </c>
      <c r="E441">
        <v>4</v>
      </c>
      <c r="F441">
        <v>10</v>
      </c>
      <c r="G441" t="str">
        <f>VLOOKUP(P441,定义数据!$B$14:$C$29,2,0)&amp;"+"&amp;Q441&amp;IF(R441=0,"",","&amp;VLOOKUP(R441,定义数据!$B$14:$C$29,2,0)&amp;"+"&amp;S441)&amp;IF(T441=0,"",","&amp;VLOOKUP(T441,定义数据!$B$14:$C$29,2,0)&amp;"+"&amp;U441)</f>
        <v>攻击+2133</v>
      </c>
      <c r="H441">
        <v>0</v>
      </c>
      <c r="I441">
        <f t="shared" si="70"/>
        <v>14</v>
      </c>
      <c r="J441">
        <f>IF(ISERROR(VLOOKUP(D441,命格辅助表!$I$76:$N$86,D_命格表!E441+2,0)),0,VLOOKUP(D441,命格辅助表!$I$76:$N$86,D_命格表!E441+2,0))</f>
        <v>40960</v>
      </c>
      <c r="K441">
        <f>IF(ISERROR(VLOOKUP(D441,命格辅助表!$P$76:$U$86,E441+2,0)),0,VLOOKUP(D441,命格辅助表!$P$76:$U$86,E441+2,0))</f>
        <v>40640</v>
      </c>
      <c r="L441">
        <v>0</v>
      </c>
      <c r="M441">
        <v>0</v>
      </c>
      <c r="N441">
        <v>8250</v>
      </c>
      <c r="O441">
        <f t="shared" si="66"/>
        <v>1</v>
      </c>
      <c r="P441">
        <f t="shared" si="68"/>
        <v>2</v>
      </c>
      <c r="Q441">
        <f>ROUND((VLOOKUP($A441,命格属性表,13,0)+VLOOKUP($A441,命格属性表,20,0)*($D441-1))*IF(P441&gt;9,1,VLOOKUP(D441,命格辅助表!$S$3:$U$10,3,0)),0)</f>
        <v>2133</v>
      </c>
      <c r="R441">
        <f t="shared" si="69"/>
        <v>0</v>
      </c>
      <c r="S441">
        <f>ROUND(IF(R441=0,0,VLOOKUP($A441,命格属性表,15,0)+VLOOKUP($A441,命格属性表,22,0)*($D441-1))*IF(R441&gt;9,1,VLOOKUP(D441,命格辅助表!$S$3:$U$10,3,0)),0)</f>
        <v>0</v>
      </c>
      <c r="T441">
        <f t="shared" si="71"/>
        <v>0</v>
      </c>
      <c r="U441">
        <f t="shared" si="67"/>
        <v>0</v>
      </c>
    </row>
    <row r="442" spans="1:21">
      <c r="A442">
        <v>9450</v>
      </c>
      <c r="B442" t="s">
        <v>331</v>
      </c>
      <c r="C442">
        <f t="shared" si="72"/>
        <v>14</v>
      </c>
      <c r="D442">
        <v>8</v>
      </c>
      <c r="E442">
        <v>4</v>
      </c>
      <c r="F442">
        <v>10</v>
      </c>
      <c r="G442" t="str">
        <f>VLOOKUP(P442,定义数据!$B$14:$C$29,2,0)&amp;"+"&amp;Q442&amp;IF(R442=0,"",","&amp;VLOOKUP(R442,定义数据!$B$14:$C$29,2,0)&amp;"+"&amp;S442)&amp;IF(T442=0,"",","&amp;VLOOKUP(T442,定义数据!$B$14:$C$29,2,0)&amp;"+"&amp;U442)</f>
        <v>攻击+3200</v>
      </c>
      <c r="H442">
        <v>0</v>
      </c>
      <c r="I442">
        <f t="shared" si="70"/>
        <v>14</v>
      </c>
      <c r="J442">
        <f>IF(ISERROR(VLOOKUP(D442,命格辅助表!$I$76:$N$86,D_命格表!E442+2,0)),0,VLOOKUP(D442,命格辅助表!$I$76:$N$86,D_命格表!E442+2,0))</f>
        <v>81920</v>
      </c>
      <c r="K442">
        <f>IF(ISERROR(VLOOKUP(D442,命格辅助表!$P$76:$U$86,E442+2,0)),0,VLOOKUP(D442,命格辅助表!$P$76:$U$86,E442+2,0))</f>
        <v>81600</v>
      </c>
      <c r="L442">
        <f>IF(ISERROR(VLOOKUP(D442,命格辅助表!$I$76:$N$86,D_命格表!E442+2,0)),0,VLOOKUP(D442,命格辅助表!$I$76:$N$86,D_命格表!E442+2,0))</f>
        <v>81920</v>
      </c>
      <c r="M442">
        <f>A442+10</f>
        <v>9460</v>
      </c>
      <c r="N442">
        <v>8250</v>
      </c>
      <c r="O442">
        <f t="shared" si="66"/>
        <v>1</v>
      </c>
      <c r="P442">
        <f t="shared" si="68"/>
        <v>2</v>
      </c>
      <c r="Q442">
        <f>ROUND((VLOOKUP($A442,命格属性表,13,0)+VLOOKUP($A442,命格属性表,20,0)*($D442-1))*IF(P442&gt;9,1,VLOOKUP(D442,命格辅助表!$S$3:$U$10,3,0)),0)</f>
        <v>3200</v>
      </c>
      <c r="R442">
        <f t="shared" si="69"/>
        <v>0</v>
      </c>
      <c r="S442">
        <f>ROUND(IF(R442=0,0,VLOOKUP($A442,命格属性表,15,0)+VLOOKUP($A442,命格属性表,22,0)*($D442-1))*IF(R442&gt;9,1,VLOOKUP(D442,命格辅助表!$S$3:$U$10,3,0)),0)</f>
        <v>0</v>
      </c>
      <c r="T442">
        <f t="shared" si="71"/>
        <v>0</v>
      </c>
      <c r="U442">
        <f t="shared" si="67"/>
        <v>0</v>
      </c>
    </row>
    <row r="443" spans="1:21">
      <c r="A443">
        <v>9550</v>
      </c>
      <c r="B443" t="s">
        <v>332</v>
      </c>
      <c r="C443">
        <f t="shared" si="72"/>
        <v>15</v>
      </c>
      <c r="D443">
        <v>1</v>
      </c>
      <c r="E443">
        <v>4</v>
      </c>
      <c r="F443">
        <v>10</v>
      </c>
      <c r="G443" t="str">
        <f>VLOOKUP(P443,定义数据!$B$14:$C$29,2,0)&amp;"+"&amp;Q443&amp;IF(R443=0,"",","&amp;VLOOKUP(R443,定义数据!$B$14:$C$29,2,0)&amp;"+"&amp;S443)&amp;IF(T443=0,"",","&amp;VLOOKUP(T443,定义数据!$B$14:$C$29,2,0)&amp;"+"&amp;U443)</f>
        <v>生命+2341,攻击+0</v>
      </c>
      <c r="H443">
        <v>0</v>
      </c>
      <c r="I443">
        <f t="shared" si="70"/>
        <v>15</v>
      </c>
      <c r="J443">
        <f>IF(ISERROR(VLOOKUP(D443,命格辅助表!$I$76:$N$86,D_命格表!E443+2,0)),0,VLOOKUP(D443,命格辅助表!$I$76:$N$86,D_命格表!E443+2,0))</f>
        <v>640</v>
      </c>
      <c r="K443">
        <f>IF(ISERROR(VLOOKUP(D443,命格辅助表!$P$76:$U$86,E443+2,0)),0,VLOOKUP(D443,命格辅助表!$P$76:$U$86,E443+2,0))</f>
        <v>320</v>
      </c>
      <c r="L443">
        <v>0</v>
      </c>
      <c r="M443">
        <v>0</v>
      </c>
      <c r="N443">
        <v>8350</v>
      </c>
      <c r="O443">
        <f t="shared" si="66"/>
        <v>1.5</v>
      </c>
      <c r="P443">
        <f t="shared" si="68"/>
        <v>1</v>
      </c>
      <c r="Q443">
        <f>ROUND((VLOOKUP($A443,命格属性表,13,0)+VLOOKUP($A443,命格属性表,20,0)*($D443-1))*IF(P443&gt;9,1,VLOOKUP(D443,命格辅助表!$S$3:$U$10,3,0)),0)</f>
        <v>2341</v>
      </c>
      <c r="R443">
        <f t="shared" si="69"/>
        <v>2</v>
      </c>
      <c r="S443">
        <f>ROUND(IF(R443=0,0,VLOOKUP($A443,命格属性表,15,0)+VLOOKUP($A443,命格属性表,22,0)*($D443-1))*IF(R443&gt;9,1,VLOOKUP(D443,命格辅助表!$S$3:$U$10,3,0)),0)</f>
        <v>0</v>
      </c>
      <c r="T443">
        <f t="shared" si="71"/>
        <v>0</v>
      </c>
      <c r="U443">
        <f t="shared" si="67"/>
        <v>0</v>
      </c>
    </row>
    <row r="444" spans="1:21">
      <c r="A444">
        <v>9550</v>
      </c>
      <c r="B444" t="s">
        <v>332</v>
      </c>
      <c r="C444">
        <f t="shared" si="72"/>
        <v>15</v>
      </c>
      <c r="D444">
        <v>2</v>
      </c>
      <c r="E444">
        <v>4</v>
      </c>
      <c r="F444">
        <v>10</v>
      </c>
      <c r="G444" t="str">
        <f>VLOOKUP(P444,定义数据!$B$14:$C$29,2,0)&amp;"+"&amp;Q444&amp;IF(R444=0,"",","&amp;VLOOKUP(R444,定义数据!$B$14:$C$29,2,0)&amp;"+"&amp;S444)&amp;IF(T444=0,"",","&amp;VLOOKUP(T444,定义数据!$B$14:$C$29,2,0)&amp;"+"&amp;U444)</f>
        <v>生命+3512,攻击+0</v>
      </c>
      <c r="H444">
        <v>0</v>
      </c>
      <c r="I444">
        <f t="shared" si="70"/>
        <v>15</v>
      </c>
      <c r="J444">
        <f>IF(ISERROR(VLOOKUP(D444,命格辅助表!$I$76:$N$86,D_命格表!E444+2,0)),0,VLOOKUP(D444,命格辅助表!$I$76:$N$86,D_命格表!E444+2,0))</f>
        <v>1280</v>
      </c>
      <c r="K444">
        <f>IF(ISERROR(VLOOKUP(D444,命格辅助表!$P$76:$U$86,E444+2,0)),0,VLOOKUP(D444,命格辅助表!$P$76:$U$86,E444+2,0))</f>
        <v>960</v>
      </c>
      <c r="L444">
        <v>0</v>
      </c>
      <c r="M444">
        <v>0</v>
      </c>
      <c r="N444">
        <v>8350</v>
      </c>
      <c r="O444">
        <f t="shared" ref="O444:O474" si="73">COUNTIF(P444:U444,"&gt;0")/2</f>
        <v>1.5</v>
      </c>
      <c r="P444">
        <f t="shared" si="68"/>
        <v>1</v>
      </c>
      <c r="Q444">
        <f>ROUND((VLOOKUP($A444,命格属性表,13,0)+VLOOKUP($A444,命格属性表,20,0)*($D444-1))*IF(P444&gt;9,1,VLOOKUP(D444,命格辅助表!$S$3:$U$10,3,0)),0)</f>
        <v>3512</v>
      </c>
      <c r="R444">
        <f t="shared" si="69"/>
        <v>2</v>
      </c>
      <c r="S444">
        <f>ROUND(IF(R444=0,0,VLOOKUP($A444,命格属性表,15,0)+VLOOKUP($A444,命格属性表,22,0)*($D444-1))*IF(R444&gt;9,1,VLOOKUP(D444,命格辅助表!$S$3:$U$10,3,0)),0)</f>
        <v>0</v>
      </c>
      <c r="T444">
        <f t="shared" si="71"/>
        <v>0</v>
      </c>
      <c r="U444">
        <f t="shared" si="67"/>
        <v>0</v>
      </c>
    </row>
    <row r="445" spans="1:21">
      <c r="A445">
        <v>9550</v>
      </c>
      <c r="B445" t="s">
        <v>332</v>
      </c>
      <c r="C445">
        <f t="shared" si="72"/>
        <v>15</v>
      </c>
      <c r="D445">
        <v>3</v>
      </c>
      <c r="E445">
        <v>4</v>
      </c>
      <c r="F445">
        <v>10</v>
      </c>
      <c r="G445" t="str">
        <f>VLOOKUP(P445,定义数据!$B$14:$C$29,2,0)&amp;"+"&amp;Q445&amp;IF(R445=0,"",","&amp;VLOOKUP(R445,定义数据!$B$14:$C$29,2,0)&amp;"+"&amp;S445)&amp;IF(T445=0,"",","&amp;VLOOKUP(T445,定义数据!$B$14:$C$29,2,0)&amp;"+"&amp;U445)</f>
        <v>生命+5267,攻击+0</v>
      </c>
      <c r="H445">
        <v>0</v>
      </c>
      <c r="I445">
        <f t="shared" si="70"/>
        <v>15</v>
      </c>
      <c r="J445">
        <f>IF(ISERROR(VLOOKUP(D445,命格辅助表!$I$76:$N$86,D_命格表!E445+2,0)),0,VLOOKUP(D445,命格辅助表!$I$76:$N$86,D_命格表!E445+2,0))</f>
        <v>2560</v>
      </c>
      <c r="K445">
        <f>IF(ISERROR(VLOOKUP(D445,命格辅助表!$P$76:$U$86,E445+2,0)),0,VLOOKUP(D445,命格辅助表!$P$76:$U$86,E445+2,0))</f>
        <v>2240</v>
      </c>
      <c r="L445">
        <v>0</v>
      </c>
      <c r="M445">
        <v>0</v>
      </c>
      <c r="N445">
        <v>8350</v>
      </c>
      <c r="O445">
        <f t="shared" si="73"/>
        <v>1.5</v>
      </c>
      <c r="P445">
        <f t="shared" si="68"/>
        <v>1</v>
      </c>
      <c r="Q445">
        <f>ROUND((VLOOKUP($A445,命格属性表,13,0)+VLOOKUP($A445,命格属性表,20,0)*($D445-1))*IF(P445&gt;9,1,VLOOKUP(D445,命格辅助表!$S$3:$U$10,3,0)),0)</f>
        <v>5267</v>
      </c>
      <c r="R445">
        <f t="shared" si="69"/>
        <v>2</v>
      </c>
      <c r="S445">
        <f>ROUND(IF(R445=0,0,VLOOKUP($A445,命格属性表,15,0)+VLOOKUP($A445,命格属性表,22,0)*($D445-1))*IF(R445&gt;9,1,VLOOKUP(D445,命格辅助表!$S$3:$U$10,3,0)),0)</f>
        <v>0</v>
      </c>
      <c r="T445">
        <f t="shared" si="71"/>
        <v>0</v>
      </c>
      <c r="U445">
        <f t="shared" si="67"/>
        <v>0</v>
      </c>
    </row>
    <row r="446" spans="1:21">
      <c r="A446">
        <v>9550</v>
      </c>
      <c r="B446" t="s">
        <v>332</v>
      </c>
      <c r="C446">
        <f t="shared" si="72"/>
        <v>15</v>
      </c>
      <c r="D446">
        <v>4</v>
      </c>
      <c r="E446">
        <v>4</v>
      </c>
      <c r="F446">
        <v>10</v>
      </c>
      <c r="G446" t="str">
        <f>VLOOKUP(P446,定义数据!$B$14:$C$29,2,0)&amp;"+"&amp;Q446&amp;IF(R446=0,"",","&amp;VLOOKUP(R446,定义数据!$B$14:$C$29,2,0)&amp;"+"&amp;S446)&amp;IF(T446=0,"",","&amp;VLOOKUP(T446,定义数据!$B$14:$C$29,2,0)&amp;"+"&amp;U446)</f>
        <v>生命+7901,攻击+0</v>
      </c>
      <c r="H446">
        <v>0</v>
      </c>
      <c r="I446">
        <f t="shared" si="70"/>
        <v>15</v>
      </c>
      <c r="J446">
        <f>IF(ISERROR(VLOOKUP(D446,命格辅助表!$I$76:$N$86,D_命格表!E446+2,0)),0,VLOOKUP(D446,命格辅助表!$I$76:$N$86,D_命格表!E446+2,0))</f>
        <v>5120</v>
      </c>
      <c r="K446">
        <f>IF(ISERROR(VLOOKUP(D446,命格辅助表!$P$76:$U$86,E446+2,0)),0,VLOOKUP(D446,命格辅助表!$P$76:$U$86,E446+2,0))</f>
        <v>4800</v>
      </c>
      <c r="L446">
        <v>0</v>
      </c>
      <c r="M446">
        <v>0</v>
      </c>
      <c r="N446">
        <v>8350</v>
      </c>
      <c r="O446">
        <f t="shared" si="73"/>
        <v>1.5</v>
      </c>
      <c r="P446">
        <f t="shared" si="68"/>
        <v>1</v>
      </c>
      <c r="Q446">
        <f>ROUND((VLOOKUP($A446,命格属性表,13,0)+VLOOKUP($A446,命格属性表,20,0)*($D446-1))*IF(P446&gt;9,1,VLOOKUP(D446,命格辅助表!$S$3:$U$10,3,0)),0)</f>
        <v>7901</v>
      </c>
      <c r="R446">
        <f t="shared" si="69"/>
        <v>2</v>
      </c>
      <c r="S446">
        <f>ROUND(IF(R446=0,0,VLOOKUP($A446,命格属性表,15,0)+VLOOKUP($A446,命格属性表,22,0)*($D446-1))*IF(R446&gt;9,1,VLOOKUP(D446,命格辅助表!$S$3:$U$10,3,0)),0)</f>
        <v>0</v>
      </c>
      <c r="T446">
        <f t="shared" si="71"/>
        <v>0</v>
      </c>
      <c r="U446">
        <f t="shared" si="67"/>
        <v>0</v>
      </c>
    </row>
    <row r="447" spans="1:21">
      <c r="A447">
        <v>9550</v>
      </c>
      <c r="B447" t="s">
        <v>332</v>
      </c>
      <c r="C447">
        <f t="shared" si="72"/>
        <v>15</v>
      </c>
      <c r="D447">
        <v>5</v>
      </c>
      <c r="E447">
        <v>4</v>
      </c>
      <c r="F447">
        <v>10</v>
      </c>
      <c r="G447" t="str">
        <f>VLOOKUP(P447,定义数据!$B$14:$C$29,2,0)&amp;"+"&amp;Q447&amp;IF(R447=0,"",","&amp;VLOOKUP(R447,定义数据!$B$14:$C$29,2,0)&amp;"+"&amp;S447)&amp;IF(T447=0,"",","&amp;VLOOKUP(T447,定义数据!$B$14:$C$29,2,0)&amp;"+"&amp;U447)</f>
        <v>生命+11852,攻击+0</v>
      </c>
      <c r="H447">
        <v>0</v>
      </c>
      <c r="I447">
        <f t="shared" si="70"/>
        <v>15</v>
      </c>
      <c r="J447">
        <f>IF(ISERROR(VLOOKUP(D447,命格辅助表!$I$76:$N$86,D_命格表!E447+2,0)),0,VLOOKUP(D447,命格辅助表!$I$76:$N$86,D_命格表!E447+2,0))</f>
        <v>10240</v>
      </c>
      <c r="K447">
        <f>IF(ISERROR(VLOOKUP(D447,命格辅助表!$P$76:$U$86,E447+2,0)),0,VLOOKUP(D447,命格辅助表!$P$76:$U$86,E447+2,0))</f>
        <v>9920</v>
      </c>
      <c r="L447">
        <v>0</v>
      </c>
      <c r="M447">
        <v>0</v>
      </c>
      <c r="N447">
        <v>8350</v>
      </c>
      <c r="O447">
        <f t="shared" si="73"/>
        <v>1.5</v>
      </c>
      <c r="P447">
        <f t="shared" si="68"/>
        <v>1</v>
      </c>
      <c r="Q447">
        <f>ROUND((VLOOKUP($A447,命格属性表,13,0)+VLOOKUP($A447,命格属性表,20,0)*($D447-1))*IF(P447&gt;9,1,VLOOKUP(D447,命格辅助表!$S$3:$U$10,3,0)),0)</f>
        <v>11852</v>
      </c>
      <c r="R447">
        <f t="shared" si="69"/>
        <v>2</v>
      </c>
      <c r="S447">
        <f>ROUND(IF(R447=0,0,VLOOKUP($A447,命格属性表,15,0)+VLOOKUP($A447,命格属性表,22,0)*($D447-1))*IF(R447&gt;9,1,VLOOKUP(D447,命格辅助表!$S$3:$U$10,3,0)),0)</f>
        <v>0</v>
      </c>
      <c r="T447">
        <f t="shared" si="71"/>
        <v>0</v>
      </c>
      <c r="U447">
        <f t="shared" si="67"/>
        <v>0</v>
      </c>
    </row>
    <row r="448" spans="1:21">
      <c r="A448">
        <v>9550</v>
      </c>
      <c r="B448" t="s">
        <v>332</v>
      </c>
      <c r="C448">
        <f t="shared" si="72"/>
        <v>15</v>
      </c>
      <c r="D448">
        <v>6</v>
      </c>
      <c r="E448">
        <v>4</v>
      </c>
      <c r="F448">
        <v>10</v>
      </c>
      <c r="G448" t="str">
        <f>VLOOKUP(P448,定义数据!$B$14:$C$29,2,0)&amp;"+"&amp;Q448&amp;IF(R448=0,"",","&amp;VLOOKUP(R448,定义数据!$B$14:$C$29,2,0)&amp;"+"&amp;S448)&amp;IF(T448=0,"",","&amp;VLOOKUP(T448,定义数据!$B$14:$C$29,2,0)&amp;"+"&amp;U448)</f>
        <v>生命+17778,攻击+0</v>
      </c>
      <c r="H448">
        <v>0</v>
      </c>
      <c r="I448">
        <f t="shared" si="70"/>
        <v>15</v>
      </c>
      <c r="J448">
        <f>IF(ISERROR(VLOOKUP(D448,命格辅助表!$I$76:$N$86,D_命格表!E448+2,0)),0,VLOOKUP(D448,命格辅助表!$I$76:$N$86,D_命格表!E448+2,0))</f>
        <v>20480</v>
      </c>
      <c r="K448">
        <f>IF(ISERROR(VLOOKUP(D448,命格辅助表!$P$76:$U$86,E448+2,0)),0,VLOOKUP(D448,命格辅助表!$P$76:$U$86,E448+2,0))</f>
        <v>20160</v>
      </c>
      <c r="L448">
        <v>0</v>
      </c>
      <c r="M448">
        <v>0</v>
      </c>
      <c r="N448">
        <v>8350</v>
      </c>
      <c r="O448">
        <f t="shared" si="73"/>
        <v>1.5</v>
      </c>
      <c r="P448">
        <f t="shared" si="68"/>
        <v>1</v>
      </c>
      <c r="Q448">
        <f>ROUND((VLOOKUP($A448,命格属性表,13,0)+VLOOKUP($A448,命格属性表,20,0)*($D448-1))*IF(P448&gt;9,1,VLOOKUP(D448,命格辅助表!$S$3:$U$10,3,0)),0)</f>
        <v>17778</v>
      </c>
      <c r="R448">
        <f t="shared" si="69"/>
        <v>2</v>
      </c>
      <c r="S448">
        <f>ROUND(IF(R448=0,0,VLOOKUP($A448,命格属性表,15,0)+VLOOKUP($A448,命格属性表,22,0)*($D448-1))*IF(R448&gt;9,1,VLOOKUP(D448,命格辅助表!$S$3:$U$10,3,0)),0)</f>
        <v>0</v>
      </c>
      <c r="T448">
        <f t="shared" si="71"/>
        <v>0</v>
      </c>
      <c r="U448">
        <f t="shared" si="67"/>
        <v>0</v>
      </c>
    </row>
    <row r="449" spans="1:21">
      <c r="A449">
        <v>9550</v>
      </c>
      <c r="B449" t="s">
        <v>332</v>
      </c>
      <c r="C449">
        <f t="shared" si="72"/>
        <v>15</v>
      </c>
      <c r="D449">
        <v>7</v>
      </c>
      <c r="E449">
        <v>4</v>
      </c>
      <c r="F449">
        <v>10</v>
      </c>
      <c r="G449" t="str">
        <f>VLOOKUP(P449,定义数据!$B$14:$C$29,2,0)&amp;"+"&amp;Q449&amp;IF(R449=0,"",","&amp;VLOOKUP(R449,定义数据!$B$14:$C$29,2,0)&amp;"+"&amp;S449)&amp;IF(T449=0,"",","&amp;VLOOKUP(T449,定义数据!$B$14:$C$29,2,0)&amp;"+"&amp;U449)</f>
        <v>生命+26667,攻击+0</v>
      </c>
      <c r="H449">
        <v>0</v>
      </c>
      <c r="I449">
        <f t="shared" si="70"/>
        <v>15</v>
      </c>
      <c r="J449">
        <f>IF(ISERROR(VLOOKUP(D449,命格辅助表!$I$76:$N$86,D_命格表!E449+2,0)),0,VLOOKUP(D449,命格辅助表!$I$76:$N$86,D_命格表!E449+2,0))</f>
        <v>40960</v>
      </c>
      <c r="K449">
        <f>IF(ISERROR(VLOOKUP(D449,命格辅助表!$P$76:$U$86,E449+2,0)),0,VLOOKUP(D449,命格辅助表!$P$76:$U$86,E449+2,0))</f>
        <v>40640</v>
      </c>
      <c r="L449">
        <v>0</v>
      </c>
      <c r="M449">
        <v>0</v>
      </c>
      <c r="N449">
        <v>8350</v>
      </c>
      <c r="O449">
        <f t="shared" si="73"/>
        <v>1.5</v>
      </c>
      <c r="P449">
        <f t="shared" si="68"/>
        <v>1</v>
      </c>
      <c r="Q449">
        <f>ROUND((VLOOKUP($A449,命格属性表,13,0)+VLOOKUP($A449,命格属性表,20,0)*($D449-1))*IF(P449&gt;9,1,VLOOKUP(D449,命格辅助表!$S$3:$U$10,3,0)),0)</f>
        <v>26667</v>
      </c>
      <c r="R449">
        <f t="shared" si="69"/>
        <v>2</v>
      </c>
      <c r="S449">
        <f>ROUND(IF(R449=0,0,VLOOKUP($A449,命格属性表,15,0)+VLOOKUP($A449,命格属性表,22,0)*($D449-1))*IF(R449&gt;9,1,VLOOKUP(D449,命格辅助表!$S$3:$U$10,3,0)),0)</f>
        <v>0</v>
      </c>
      <c r="T449">
        <f t="shared" si="71"/>
        <v>0</v>
      </c>
      <c r="U449">
        <f t="shared" si="67"/>
        <v>0</v>
      </c>
    </row>
    <row r="450" spans="1:21">
      <c r="A450">
        <v>9550</v>
      </c>
      <c r="B450" t="s">
        <v>332</v>
      </c>
      <c r="C450">
        <f t="shared" si="72"/>
        <v>15</v>
      </c>
      <c r="D450">
        <v>8</v>
      </c>
      <c r="E450">
        <v>4</v>
      </c>
      <c r="F450">
        <v>10</v>
      </c>
      <c r="G450" t="str">
        <f>VLOOKUP(P450,定义数据!$B$14:$C$29,2,0)&amp;"+"&amp;Q450&amp;IF(R450=0,"",","&amp;VLOOKUP(R450,定义数据!$B$14:$C$29,2,0)&amp;"+"&amp;S450)&amp;IF(T450=0,"",","&amp;VLOOKUP(T450,定义数据!$B$14:$C$29,2,0)&amp;"+"&amp;U450)</f>
        <v>生命+40000,攻击+0</v>
      </c>
      <c r="H450">
        <v>0</v>
      </c>
      <c r="I450">
        <f t="shared" si="70"/>
        <v>15</v>
      </c>
      <c r="J450">
        <f>IF(ISERROR(VLOOKUP(D450,命格辅助表!$I$76:$N$86,D_命格表!E450+2,0)),0,VLOOKUP(D450,命格辅助表!$I$76:$N$86,D_命格表!E450+2,0))</f>
        <v>81920</v>
      </c>
      <c r="K450">
        <f>IF(ISERROR(VLOOKUP(D450,命格辅助表!$P$76:$U$86,E450+2,0)),0,VLOOKUP(D450,命格辅助表!$P$76:$U$86,E450+2,0))</f>
        <v>81600</v>
      </c>
      <c r="L450">
        <f>IF(ISERROR(VLOOKUP(D450,命格辅助表!$I$76:$N$86,D_命格表!E450+2,0)),0,VLOOKUP(D450,命格辅助表!$I$76:$N$86,D_命格表!E450+2,0))</f>
        <v>81920</v>
      </c>
      <c r="M450">
        <f>A450+10</f>
        <v>9560</v>
      </c>
      <c r="N450">
        <v>8350</v>
      </c>
      <c r="O450">
        <f t="shared" si="73"/>
        <v>1.5</v>
      </c>
      <c r="P450">
        <f t="shared" si="68"/>
        <v>1</v>
      </c>
      <c r="Q450">
        <f>ROUND((VLOOKUP($A450,命格属性表,13,0)+VLOOKUP($A450,命格属性表,20,0)*($D450-1))*IF(P450&gt;9,1,VLOOKUP(D450,命格辅助表!$S$3:$U$10,3,0)),0)</f>
        <v>40000</v>
      </c>
      <c r="R450">
        <f t="shared" si="69"/>
        <v>2</v>
      </c>
      <c r="S450">
        <f>ROUND(IF(R450=0,0,VLOOKUP($A450,命格属性表,15,0)+VLOOKUP($A450,命格属性表,22,0)*($D450-1))*IF(R450&gt;9,1,VLOOKUP(D450,命格辅助表!$S$3:$U$10,3,0)),0)</f>
        <v>0</v>
      </c>
      <c r="T450">
        <f t="shared" si="71"/>
        <v>0</v>
      </c>
      <c r="U450">
        <f t="shared" ref="U450:U474" si="74">IF(T450=0,0,VLOOKUP($A450,命格属性表,17,0)+VLOOKUP($A450,命格属性表,24,0)*($D450-1))</f>
        <v>0</v>
      </c>
    </row>
    <row r="451" spans="1:21">
      <c r="A451">
        <v>9650</v>
      </c>
      <c r="B451" t="s">
        <v>333</v>
      </c>
      <c r="C451">
        <f t="shared" si="72"/>
        <v>16</v>
      </c>
      <c r="D451">
        <v>1</v>
      </c>
      <c r="E451">
        <v>4</v>
      </c>
      <c r="F451">
        <v>10</v>
      </c>
      <c r="G451" t="str">
        <f>VLOOKUP(P451,定义数据!$B$14:$C$29,2,0)&amp;"+"&amp;Q451&amp;IF(R451=0,"",","&amp;VLOOKUP(R451,定义数据!$B$14:$C$29,2,0)&amp;"+"&amp;S451)&amp;IF(T451=0,"",","&amp;VLOOKUP(T451,定义数据!$B$14:$C$29,2,0)&amp;"+"&amp;U451)</f>
        <v>生命+9364,防御+75</v>
      </c>
      <c r="H451">
        <v>0</v>
      </c>
      <c r="I451">
        <f t="shared" si="70"/>
        <v>16</v>
      </c>
      <c r="J451">
        <f>IF(ISERROR(VLOOKUP(D451,命格辅助表!$I$76:$N$86,D_命格表!E451+2,0)),0,VLOOKUP(D451,命格辅助表!$I$76:$N$86,D_命格表!E451+2,0))</f>
        <v>640</v>
      </c>
      <c r="K451">
        <f>IF(ISERROR(VLOOKUP(D451,命格辅助表!$P$76:$U$86,E451+2,0)),0,VLOOKUP(D451,命格辅助表!$P$76:$U$86,E451+2,0))</f>
        <v>320</v>
      </c>
      <c r="L451">
        <v>0</v>
      </c>
      <c r="M451">
        <v>0</v>
      </c>
      <c r="N451">
        <v>8450</v>
      </c>
      <c r="O451">
        <f t="shared" si="73"/>
        <v>2</v>
      </c>
      <c r="P451">
        <f t="shared" si="68"/>
        <v>1</v>
      </c>
      <c r="Q451">
        <f>ROUND((VLOOKUP($A451,命格属性表,13,0)+VLOOKUP($A451,命格属性表,20,0)*($D451-1))*IF(P451&gt;9,1,VLOOKUP(D451,命格辅助表!$S$3:$U$10,3,0)),0)</f>
        <v>9364</v>
      </c>
      <c r="R451">
        <f t="shared" si="69"/>
        <v>3</v>
      </c>
      <c r="S451">
        <f>ROUND(IF(R451=0,0,VLOOKUP($A451,命格属性表,15,0)+VLOOKUP($A451,命格属性表,22,0)*($D451-1))*IF(R451&gt;9,1,VLOOKUP(D451,命格辅助表!$S$3:$U$10,3,0)),0)</f>
        <v>75</v>
      </c>
      <c r="T451">
        <f t="shared" si="71"/>
        <v>0</v>
      </c>
      <c r="U451">
        <f t="shared" si="74"/>
        <v>0</v>
      </c>
    </row>
    <row r="452" spans="1:21">
      <c r="A452">
        <v>9650</v>
      </c>
      <c r="B452" t="s">
        <v>333</v>
      </c>
      <c r="C452">
        <f t="shared" si="72"/>
        <v>16</v>
      </c>
      <c r="D452">
        <v>2</v>
      </c>
      <c r="E452">
        <v>4</v>
      </c>
      <c r="F452">
        <v>10</v>
      </c>
      <c r="G452" t="str">
        <f>VLOOKUP(P452,定义数据!$B$14:$C$29,2,0)&amp;"+"&amp;Q452&amp;IF(R452=0,"",","&amp;VLOOKUP(R452,定义数据!$B$14:$C$29,2,0)&amp;"+"&amp;S452)&amp;IF(T452=0,"",","&amp;VLOOKUP(T452,定义数据!$B$14:$C$29,2,0)&amp;"+"&amp;U452)</f>
        <v>生命+14047,防御+112</v>
      </c>
      <c r="H452">
        <v>0</v>
      </c>
      <c r="I452">
        <f t="shared" si="70"/>
        <v>16</v>
      </c>
      <c r="J452">
        <f>IF(ISERROR(VLOOKUP(D452,命格辅助表!$I$76:$N$86,D_命格表!E452+2,0)),0,VLOOKUP(D452,命格辅助表!$I$76:$N$86,D_命格表!E452+2,0))</f>
        <v>1280</v>
      </c>
      <c r="K452">
        <f>IF(ISERROR(VLOOKUP(D452,命格辅助表!$P$76:$U$86,E452+2,0)),0,VLOOKUP(D452,命格辅助表!$P$76:$U$86,E452+2,0))</f>
        <v>960</v>
      </c>
      <c r="L452">
        <v>0</v>
      </c>
      <c r="M452">
        <v>0</v>
      </c>
      <c r="N452">
        <v>8450</v>
      </c>
      <c r="O452">
        <f t="shared" si="73"/>
        <v>2</v>
      </c>
      <c r="P452">
        <f t="shared" si="68"/>
        <v>1</v>
      </c>
      <c r="Q452">
        <f>ROUND((VLOOKUP($A452,命格属性表,13,0)+VLOOKUP($A452,命格属性表,20,0)*($D452-1))*IF(P452&gt;9,1,VLOOKUP(D452,命格辅助表!$S$3:$U$10,3,0)),0)</f>
        <v>14047</v>
      </c>
      <c r="R452">
        <f t="shared" si="69"/>
        <v>3</v>
      </c>
      <c r="S452">
        <f>ROUND(IF(R452=0,0,VLOOKUP($A452,命格属性表,15,0)+VLOOKUP($A452,命格属性表,22,0)*($D452-1))*IF(R452&gt;9,1,VLOOKUP(D452,命格辅助表!$S$3:$U$10,3,0)),0)</f>
        <v>112</v>
      </c>
      <c r="T452">
        <f t="shared" si="71"/>
        <v>0</v>
      </c>
      <c r="U452">
        <f t="shared" si="74"/>
        <v>0</v>
      </c>
    </row>
    <row r="453" spans="1:21">
      <c r="A453">
        <v>9650</v>
      </c>
      <c r="B453" t="s">
        <v>333</v>
      </c>
      <c r="C453">
        <f t="shared" si="72"/>
        <v>16</v>
      </c>
      <c r="D453">
        <v>3</v>
      </c>
      <c r="E453">
        <v>4</v>
      </c>
      <c r="F453">
        <v>10</v>
      </c>
      <c r="G453" t="str">
        <f>VLOOKUP(P453,定义数据!$B$14:$C$29,2,0)&amp;"+"&amp;Q453&amp;IF(R453=0,"",","&amp;VLOOKUP(R453,定义数据!$B$14:$C$29,2,0)&amp;"+"&amp;S453)&amp;IF(T453=0,"",","&amp;VLOOKUP(T453,定义数据!$B$14:$C$29,2,0)&amp;"+"&amp;U453)</f>
        <v>生命+21070,防御+169</v>
      </c>
      <c r="H453">
        <v>0</v>
      </c>
      <c r="I453">
        <f t="shared" si="70"/>
        <v>16</v>
      </c>
      <c r="J453">
        <f>IF(ISERROR(VLOOKUP(D453,命格辅助表!$I$76:$N$86,D_命格表!E453+2,0)),0,VLOOKUP(D453,命格辅助表!$I$76:$N$86,D_命格表!E453+2,0))</f>
        <v>2560</v>
      </c>
      <c r="K453">
        <f>IF(ISERROR(VLOOKUP(D453,命格辅助表!$P$76:$U$86,E453+2,0)),0,VLOOKUP(D453,命格辅助表!$P$76:$U$86,E453+2,0))</f>
        <v>2240</v>
      </c>
      <c r="L453">
        <v>0</v>
      </c>
      <c r="M453">
        <v>0</v>
      </c>
      <c r="N453">
        <v>8450</v>
      </c>
      <c r="O453">
        <f t="shared" si="73"/>
        <v>2</v>
      </c>
      <c r="P453">
        <f t="shared" si="68"/>
        <v>1</v>
      </c>
      <c r="Q453">
        <f>ROUND((VLOOKUP($A453,命格属性表,13,0)+VLOOKUP($A453,命格属性表,20,0)*($D453-1))*IF(P453&gt;9,1,VLOOKUP(D453,命格辅助表!$S$3:$U$10,3,0)),0)</f>
        <v>21070</v>
      </c>
      <c r="R453">
        <f t="shared" si="69"/>
        <v>3</v>
      </c>
      <c r="S453">
        <f>ROUND(IF(R453=0,0,VLOOKUP($A453,命格属性表,15,0)+VLOOKUP($A453,命格属性表,22,0)*($D453-1))*IF(R453&gt;9,1,VLOOKUP(D453,命格辅助表!$S$3:$U$10,3,0)),0)</f>
        <v>169</v>
      </c>
      <c r="T453">
        <f t="shared" si="71"/>
        <v>0</v>
      </c>
      <c r="U453">
        <f t="shared" si="74"/>
        <v>0</v>
      </c>
    </row>
    <row r="454" spans="1:21">
      <c r="A454">
        <v>9650</v>
      </c>
      <c r="B454" t="s">
        <v>333</v>
      </c>
      <c r="C454">
        <f t="shared" si="72"/>
        <v>16</v>
      </c>
      <c r="D454">
        <v>4</v>
      </c>
      <c r="E454">
        <v>4</v>
      </c>
      <c r="F454">
        <v>10</v>
      </c>
      <c r="G454" t="str">
        <f>VLOOKUP(P454,定义数据!$B$14:$C$29,2,0)&amp;"+"&amp;Q454&amp;IF(R454=0,"",","&amp;VLOOKUP(R454,定义数据!$B$14:$C$29,2,0)&amp;"+"&amp;S454)&amp;IF(T454=0,"",","&amp;VLOOKUP(T454,定义数据!$B$14:$C$29,2,0)&amp;"+"&amp;U454)</f>
        <v>生命+31605,防御+253</v>
      </c>
      <c r="H454">
        <v>0</v>
      </c>
      <c r="I454">
        <f t="shared" si="70"/>
        <v>16</v>
      </c>
      <c r="J454">
        <f>IF(ISERROR(VLOOKUP(D454,命格辅助表!$I$76:$N$86,D_命格表!E454+2,0)),0,VLOOKUP(D454,命格辅助表!$I$76:$N$86,D_命格表!E454+2,0))</f>
        <v>5120</v>
      </c>
      <c r="K454">
        <f>IF(ISERROR(VLOOKUP(D454,命格辅助表!$P$76:$U$86,E454+2,0)),0,VLOOKUP(D454,命格辅助表!$P$76:$U$86,E454+2,0))</f>
        <v>4800</v>
      </c>
      <c r="L454">
        <v>0</v>
      </c>
      <c r="M454">
        <v>0</v>
      </c>
      <c r="N454">
        <v>8450</v>
      </c>
      <c r="O454">
        <f t="shared" si="73"/>
        <v>2</v>
      </c>
      <c r="P454">
        <f t="shared" si="68"/>
        <v>1</v>
      </c>
      <c r="Q454">
        <f>ROUND((VLOOKUP($A454,命格属性表,13,0)+VLOOKUP($A454,命格属性表,20,0)*($D454-1))*IF(P454&gt;9,1,VLOOKUP(D454,命格辅助表!$S$3:$U$10,3,0)),0)</f>
        <v>31605</v>
      </c>
      <c r="R454">
        <f t="shared" si="69"/>
        <v>3</v>
      </c>
      <c r="S454">
        <f>ROUND(IF(R454=0,0,VLOOKUP($A454,命格属性表,15,0)+VLOOKUP($A454,命格属性表,22,0)*($D454-1))*IF(R454&gt;9,1,VLOOKUP(D454,命格辅助表!$S$3:$U$10,3,0)),0)</f>
        <v>253</v>
      </c>
      <c r="T454">
        <f t="shared" si="71"/>
        <v>0</v>
      </c>
      <c r="U454">
        <f t="shared" si="74"/>
        <v>0</v>
      </c>
    </row>
    <row r="455" spans="1:21">
      <c r="A455">
        <v>9650</v>
      </c>
      <c r="B455" t="s">
        <v>333</v>
      </c>
      <c r="C455">
        <f t="shared" si="72"/>
        <v>16</v>
      </c>
      <c r="D455">
        <v>5</v>
      </c>
      <c r="E455">
        <v>4</v>
      </c>
      <c r="F455">
        <v>10</v>
      </c>
      <c r="G455" t="str">
        <f>VLOOKUP(P455,定义数据!$B$14:$C$29,2,0)&amp;"+"&amp;Q455&amp;IF(R455=0,"",","&amp;VLOOKUP(R455,定义数据!$B$14:$C$29,2,0)&amp;"+"&amp;S455)&amp;IF(T455=0,"",","&amp;VLOOKUP(T455,定义数据!$B$14:$C$29,2,0)&amp;"+"&amp;U455)</f>
        <v>生命+47407,防御+379</v>
      </c>
      <c r="H455">
        <v>0</v>
      </c>
      <c r="I455">
        <f t="shared" si="70"/>
        <v>16</v>
      </c>
      <c r="J455">
        <f>IF(ISERROR(VLOOKUP(D455,命格辅助表!$I$76:$N$86,D_命格表!E455+2,0)),0,VLOOKUP(D455,命格辅助表!$I$76:$N$86,D_命格表!E455+2,0))</f>
        <v>10240</v>
      </c>
      <c r="K455">
        <f>IF(ISERROR(VLOOKUP(D455,命格辅助表!$P$76:$U$86,E455+2,0)),0,VLOOKUP(D455,命格辅助表!$P$76:$U$86,E455+2,0))</f>
        <v>9920</v>
      </c>
      <c r="L455">
        <v>0</v>
      </c>
      <c r="M455">
        <v>0</v>
      </c>
      <c r="N455">
        <v>8450</v>
      </c>
      <c r="O455">
        <f t="shared" si="73"/>
        <v>2</v>
      </c>
      <c r="P455">
        <f t="shared" si="68"/>
        <v>1</v>
      </c>
      <c r="Q455">
        <f>ROUND((VLOOKUP($A455,命格属性表,13,0)+VLOOKUP($A455,命格属性表,20,0)*($D455-1))*IF(P455&gt;9,1,VLOOKUP(D455,命格辅助表!$S$3:$U$10,3,0)),0)</f>
        <v>47407</v>
      </c>
      <c r="R455">
        <f t="shared" si="69"/>
        <v>3</v>
      </c>
      <c r="S455">
        <f>ROUND(IF(R455=0,0,VLOOKUP($A455,命格属性表,15,0)+VLOOKUP($A455,命格属性表,22,0)*($D455-1))*IF(R455&gt;9,1,VLOOKUP(D455,命格辅助表!$S$3:$U$10,3,0)),0)</f>
        <v>379</v>
      </c>
      <c r="T455">
        <f t="shared" si="71"/>
        <v>0</v>
      </c>
      <c r="U455">
        <f t="shared" si="74"/>
        <v>0</v>
      </c>
    </row>
    <row r="456" spans="1:21">
      <c r="A456">
        <v>9650</v>
      </c>
      <c r="B456" t="s">
        <v>333</v>
      </c>
      <c r="C456">
        <f t="shared" si="72"/>
        <v>16</v>
      </c>
      <c r="D456">
        <v>6</v>
      </c>
      <c r="E456">
        <v>4</v>
      </c>
      <c r="F456">
        <v>10</v>
      </c>
      <c r="G456" t="str">
        <f>VLOOKUP(P456,定义数据!$B$14:$C$29,2,0)&amp;"+"&amp;Q456&amp;IF(R456=0,"",","&amp;VLOOKUP(R456,定义数据!$B$14:$C$29,2,0)&amp;"+"&amp;S456)&amp;IF(T456=0,"",","&amp;VLOOKUP(T456,定义数据!$B$14:$C$29,2,0)&amp;"+"&amp;U456)</f>
        <v>生命+71111,防御+569</v>
      </c>
      <c r="H456">
        <v>0</v>
      </c>
      <c r="I456">
        <f t="shared" si="70"/>
        <v>16</v>
      </c>
      <c r="J456">
        <f>IF(ISERROR(VLOOKUP(D456,命格辅助表!$I$76:$N$86,D_命格表!E456+2,0)),0,VLOOKUP(D456,命格辅助表!$I$76:$N$86,D_命格表!E456+2,0))</f>
        <v>20480</v>
      </c>
      <c r="K456">
        <f>IF(ISERROR(VLOOKUP(D456,命格辅助表!$P$76:$U$86,E456+2,0)),0,VLOOKUP(D456,命格辅助表!$P$76:$U$86,E456+2,0))</f>
        <v>20160</v>
      </c>
      <c r="L456">
        <v>0</v>
      </c>
      <c r="M456">
        <v>0</v>
      </c>
      <c r="N456">
        <v>8450</v>
      </c>
      <c r="O456">
        <f t="shared" si="73"/>
        <v>2</v>
      </c>
      <c r="P456">
        <f t="shared" si="68"/>
        <v>1</v>
      </c>
      <c r="Q456">
        <f>ROUND((VLOOKUP($A456,命格属性表,13,0)+VLOOKUP($A456,命格属性表,20,0)*($D456-1))*IF(P456&gt;9,1,VLOOKUP(D456,命格辅助表!$S$3:$U$10,3,0)),0)</f>
        <v>71111</v>
      </c>
      <c r="R456">
        <f t="shared" si="69"/>
        <v>3</v>
      </c>
      <c r="S456">
        <f>ROUND(IF(R456=0,0,VLOOKUP($A456,命格属性表,15,0)+VLOOKUP($A456,命格属性表,22,0)*($D456-1))*IF(R456&gt;9,1,VLOOKUP(D456,命格辅助表!$S$3:$U$10,3,0)),0)</f>
        <v>569</v>
      </c>
      <c r="T456">
        <f t="shared" si="71"/>
        <v>0</v>
      </c>
      <c r="U456">
        <f t="shared" si="74"/>
        <v>0</v>
      </c>
    </row>
    <row r="457" spans="1:21">
      <c r="A457">
        <v>9650</v>
      </c>
      <c r="B457" t="s">
        <v>333</v>
      </c>
      <c r="C457">
        <f t="shared" si="72"/>
        <v>16</v>
      </c>
      <c r="D457">
        <v>7</v>
      </c>
      <c r="E457">
        <v>4</v>
      </c>
      <c r="F457">
        <v>10</v>
      </c>
      <c r="G457" t="str">
        <f>VLOOKUP(P457,定义数据!$B$14:$C$29,2,0)&amp;"+"&amp;Q457&amp;IF(R457=0,"",","&amp;VLOOKUP(R457,定义数据!$B$14:$C$29,2,0)&amp;"+"&amp;S457)&amp;IF(T457=0,"",","&amp;VLOOKUP(T457,定义数据!$B$14:$C$29,2,0)&amp;"+"&amp;U457)</f>
        <v>生命+106667,防御+853</v>
      </c>
      <c r="H457">
        <v>0</v>
      </c>
      <c r="I457">
        <f t="shared" si="70"/>
        <v>16</v>
      </c>
      <c r="J457">
        <f>IF(ISERROR(VLOOKUP(D457,命格辅助表!$I$76:$N$86,D_命格表!E457+2,0)),0,VLOOKUP(D457,命格辅助表!$I$76:$N$86,D_命格表!E457+2,0))</f>
        <v>40960</v>
      </c>
      <c r="K457">
        <f>IF(ISERROR(VLOOKUP(D457,命格辅助表!$P$76:$U$86,E457+2,0)),0,VLOOKUP(D457,命格辅助表!$P$76:$U$86,E457+2,0))</f>
        <v>40640</v>
      </c>
      <c r="L457">
        <v>0</v>
      </c>
      <c r="M457">
        <v>0</v>
      </c>
      <c r="N457">
        <v>8450</v>
      </c>
      <c r="O457">
        <f t="shared" si="73"/>
        <v>2</v>
      </c>
      <c r="P457">
        <f t="shared" si="68"/>
        <v>1</v>
      </c>
      <c r="Q457">
        <f>ROUND((VLOOKUP($A457,命格属性表,13,0)+VLOOKUP($A457,命格属性表,20,0)*($D457-1))*IF(P457&gt;9,1,VLOOKUP(D457,命格辅助表!$S$3:$U$10,3,0)),0)</f>
        <v>106667</v>
      </c>
      <c r="R457">
        <f t="shared" si="69"/>
        <v>3</v>
      </c>
      <c r="S457">
        <f>ROUND(IF(R457=0,0,VLOOKUP($A457,命格属性表,15,0)+VLOOKUP($A457,命格属性表,22,0)*($D457-1))*IF(R457&gt;9,1,VLOOKUP(D457,命格辅助表!$S$3:$U$10,3,0)),0)</f>
        <v>853</v>
      </c>
      <c r="T457">
        <f t="shared" si="71"/>
        <v>0</v>
      </c>
      <c r="U457">
        <f t="shared" si="74"/>
        <v>0</v>
      </c>
    </row>
    <row r="458" spans="1:21">
      <c r="A458">
        <v>9650</v>
      </c>
      <c r="B458" t="s">
        <v>333</v>
      </c>
      <c r="C458">
        <f t="shared" si="72"/>
        <v>16</v>
      </c>
      <c r="D458">
        <v>8</v>
      </c>
      <c r="E458">
        <v>4</v>
      </c>
      <c r="F458">
        <v>10</v>
      </c>
      <c r="G458" t="str">
        <f>VLOOKUP(P458,定义数据!$B$14:$C$29,2,0)&amp;"+"&amp;Q458&amp;IF(R458=0,"",","&amp;VLOOKUP(R458,定义数据!$B$14:$C$29,2,0)&amp;"+"&amp;S458)&amp;IF(T458=0,"",","&amp;VLOOKUP(T458,定义数据!$B$14:$C$29,2,0)&amp;"+"&amp;U458)</f>
        <v>生命+160000,防御+1280</v>
      </c>
      <c r="H458">
        <v>0</v>
      </c>
      <c r="I458">
        <f t="shared" si="70"/>
        <v>16</v>
      </c>
      <c r="J458">
        <f>IF(ISERROR(VLOOKUP(D458,命格辅助表!$I$76:$N$86,D_命格表!E458+2,0)),0,VLOOKUP(D458,命格辅助表!$I$76:$N$86,D_命格表!E458+2,0))</f>
        <v>81920</v>
      </c>
      <c r="K458">
        <f>IF(ISERROR(VLOOKUP(D458,命格辅助表!$P$76:$U$86,E458+2,0)),0,VLOOKUP(D458,命格辅助表!$P$76:$U$86,E458+2,0))</f>
        <v>81600</v>
      </c>
      <c r="L458">
        <f>IF(ISERROR(VLOOKUP(D458,命格辅助表!$I$76:$N$86,D_命格表!E458+2,0)),0,VLOOKUP(D458,命格辅助表!$I$76:$N$86,D_命格表!E458+2,0))</f>
        <v>81920</v>
      </c>
      <c r="M458">
        <f>A458+10</f>
        <v>9660</v>
      </c>
      <c r="N458">
        <v>8450</v>
      </c>
      <c r="O458">
        <f t="shared" si="73"/>
        <v>2</v>
      </c>
      <c r="P458">
        <f t="shared" si="68"/>
        <v>1</v>
      </c>
      <c r="Q458">
        <f>ROUND((VLOOKUP($A458,命格属性表,13,0)+VLOOKUP($A458,命格属性表,20,0)*($D458-1))*IF(P458&gt;9,1,VLOOKUP(D458,命格辅助表!$S$3:$U$10,3,0)),0)</f>
        <v>160000</v>
      </c>
      <c r="R458">
        <f t="shared" si="69"/>
        <v>3</v>
      </c>
      <c r="S458">
        <f>ROUND(IF(R458=0,0,VLOOKUP($A458,命格属性表,15,0)+VLOOKUP($A458,命格属性表,22,0)*($D458-1))*IF(R458&gt;9,1,VLOOKUP(D458,命格辅助表!$S$3:$U$10,3,0)),0)</f>
        <v>1280</v>
      </c>
      <c r="T458">
        <f t="shared" si="71"/>
        <v>0</v>
      </c>
      <c r="U458">
        <f t="shared" si="74"/>
        <v>0</v>
      </c>
    </row>
    <row r="459" spans="1:21">
      <c r="A459">
        <v>9750</v>
      </c>
      <c r="B459" t="s">
        <v>334</v>
      </c>
      <c r="C459">
        <f t="shared" si="72"/>
        <v>17</v>
      </c>
      <c r="D459">
        <v>1</v>
      </c>
      <c r="E459">
        <v>4</v>
      </c>
      <c r="F459">
        <v>10</v>
      </c>
      <c r="G459" t="str">
        <f>VLOOKUP(P459,定义数据!$B$14:$C$29,2,0)&amp;"+"&amp;Q459&amp;IF(R459=0,"",","&amp;VLOOKUP(R459,定义数据!$B$14:$C$29,2,0)&amp;"+"&amp;S459)&amp;IF(T459=0,"",","&amp;VLOOKUP(T459,定义数据!$B$14:$C$29,2,0)&amp;"+"&amp;U459)</f>
        <v>攻击+375,防御+75</v>
      </c>
      <c r="H459">
        <v>0</v>
      </c>
      <c r="I459">
        <f t="shared" si="70"/>
        <v>17</v>
      </c>
      <c r="J459">
        <f>IF(ISERROR(VLOOKUP(D459,命格辅助表!$I$76:$N$86,D_命格表!E459+2,0)),0,VLOOKUP(D459,命格辅助表!$I$76:$N$86,D_命格表!E459+2,0))</f>
        <v>640</v>
      </c>
      <c r="K459">
        <f>IF(ISERROR(VLOOKUP(D459,命格辅助表!$P$76:$U$86,E459+2,0)),0,VLOOKUP(D459,命格辅助表!$P$76:$U$86,E459+2,0))</f>
        <v>320</v>
      </c>
      <c r="L459">
        <v>0</v>
      </c>
      <c r="M459">
        <v>0</v>
      </c>
      <c r="N459">
        <v>8150</v>
      </c>
      <c r="O459">
        <f t="shared" si="73"/>
        <v>2</v>
      </c>
      <c r="P459">
        <f t="shared" si="68"/>
        <v>2</v>
      </c>
      <c r="Q459">
        <f>ROUND((VLOOKUP($A459,命格属性表,13,0)+VLOOKUP($A459,命格属性表,20,0)*($D459-1))*IF(P459&gt;9,1,VLOOKUP(D459,命格辅助表!$S$3:$U$10,3,0)),0)</f>
        <v>375</v>
      </c>
      <c r="R459">
        <f t="shared" si="69"/>
        <v>3</v>
      </c>
      <c r="S459">
        <f>ROUND(IF(R459=0,0,VLOOKUP($A459,命格属性表,15,0)+VLOOKUP($A459,命格属性表,22,0)*($D459-1))*IF(R459&gt;9,1,VLOOKUP(D459,命格辅助表!$S$3:$U$10,3,0)),0)</f>
        <v>75</v>
      </c>
      <c r="T459">
        <f t="shared" si="71"/>
        <v>0</v>
      </c>
      <c r="U459">
        <f t="shared" si="74"/>
        <v>0</v>
      </c>
    </row>
    <row r="460" spans="1:21">
      <c r="A460">
        <v>9750</v>
      </c>
      <c r="B460" t="s">
        <v>334</v>
      </c>
      <c r="C460">
        <f t="shared" si="72"/>
        <v>17</v>
      </c>
      <c r="D460">
        <v>2</v>
      </c>
      <c r="E460">
        <v>4</v>
      </c>
      <c r="F460">
        <v>10</v>
      </c>
      <c r="G460" t="str">
        <f>VLOOKUP(P460,定义数据!$B$14:$C$29,2,0)&amp;"+"&amp;Q460&amp;IF(R460=0,"",","&amp;VLOOKUP(R460,定义数据!$B$14:$C$29,2,0)&amp;"+"&amp;S460)&amp;IF(T460=0,"",","&amp;VLOOKUP(T460,定义数据!$B$14:$C$29,2,0)&amp;"+"&amp;U460)</f>
        <v>攻击+562,防御+112</v>
      </c>
      <c r="H460">
        <v>0</v>
      </c>
      <c r="I460">
        <f t="shared" si="70"/>
        <v>17</v>
      </c>
      <c r="J460">
        <f>IF(ISERROR(VLOOKUP(D460,命格辅助表!$I$76:$N$86,D_命格表!E460+2,0)),0,VLOOKUP(D460,命格辅助表!$I$76:$N$86,D_命格表!E460+2,0))</f>
        <v>1280</v>
      </c>
      <c r="K460">
        <f>IF(ISERROR(VLOOKUP(D460,命格辅助表!$P$76:$U$86,E460+2,0)),0,VLOOKUP(D460,命格辅助表!$P$76:$U$86,E460+2,0))</f>
        <v>960</v>
      </c>
      <c r="L460">
        <v>0</v>
      </c>
      <c r="M460">
        <v>0</v>
      </c>
      <c r="N460">
        <v>8150</v>
      </c>
      <c r="O460">
        <f t="shared" si="73"/>
        <v>2</v>
      </c>
      <c r="P460">
        <f t="shared" si="68"/>
        <v>2</v>
      </c>
      <c r="Q460">
        <f>ROUND((VLOOKUP($A460,命格属性表,13,0)+VLOOKUP($A460,命格属性表,20,0)*($D460-1))*IF(P460&gt;9,1,VLOOKUP(D460,命格辅助表!$S$3:$U$10,3,0)),0)</f>
        <v>562</v>
      </c>
      <c r="R460">
        <f t="shared" si="69"/>
        <v>3</v>
      </c>
      <c r="S460">
        <f>ROUND(IF(R460=0,0,VLOOKUP($A460,命格属性表,15,0)+VLOOKUP($A460,命格属性表,22,0)*($D460-1))*IF(R460&gt;9,1,VLOOKUP(D460,命格辅助表!$S$3:$U$10,3,0)),0)</f>
        <v>112</v>
      </c>
      <c r="T460">
        <f t="shared" si="71"/>
        <v>0</v>
      </c>
      <c r="U460">
        <f t="shared" si="74"/>
        <v>0</v>
      </c>
    </row>
    <row r="461" spans="1:21">
      <c r="A461">
        <v>9750</v>
      </c>
      <c r="B461" t="s">
        <v>334</v>
      </c>
      <c r="C461">
        <f t="shared" si="72"/>
        <v>17</v>
      </c>
      <c r="D461">
        <v>3</v>
      </c>
      <c r="E461">
        <v>4</v>
      </c>
      <c r="F461">
        <v>10</v>
      </c>
      <c r="G461" t="str">
        <f>VLOOKUP(P461,定义数据!$B$14:$C$29,2,0)&amp;"+"&amp;Q461&amp;IF(R461=0,"",","&amp;VLOOKUP(R461,定义数据!$B$14:$C$29,2,0)&amp;"+"&amp;S461)&amp;IF(T461=0,"",","&amp;VLOOKUP(T461,定义数据!$B$14:$C$29,2,0)&amp;"+"&amp;U461)</f>
        <v>攻击+843,防御+169</v>
      </c>
      <c r="H461">
        <v>0</v>
      </c>
      <c r="I461">
        <f t="shared" si="70"/>
        <v>17</v>
      </c>
      <c r="J461">
        <f>IF(ISERROR(VLOOKUP(D461,命格辅助表!$I$76:$N$86,D_命格表!E461+2,0)),0,VLOOKUP(D461,命格辅助表!$I$76:$N$86,D_命格表!E461+2,0))</f>
        <v>2560</v>
      </c>
      <c r="K461">
        <f>IF(ISERROR(VLOOKUP(D461,命格辅助表!$P$76:$U$86,E461+2,0)),0,VLOOKUP(D461,命格辅助表!$P$76:$U$86,E461+2,0))</f>
        <v>2240</v>
      </c>
      <c r="L461">
        <v>0</v>
      </c>
      <c r="M461">
        <v>0</v>
      </c>
      <c r="N461">
        <v>8150</v>
      </c>
      <c r="O461">
        <f t="shared" si="73"/>
        <v>2</v>
      </c>
      <c r="P461">
        <f t="shared" si="68"/>
        <v>2</v>
      </c>
      <c r="Q461">
        <f>ROUND((VLOOKUP($A461,命格属性表,13,0)+VLOOKUP($A461,命格属性表,20,0)*($D461-1))*IF(P461&gt;9,1,VLOOKUP(D461,命格辅助表!$S$3:$U$10,3,0)),0)</f>
        <v>843</v>
      </c>
      <c r="R461">
        <f t="shared" si="69"/>
        <v>3</v>
      </c>
      <c r="S461">
        <f>ROUND(IF(R461=0,0,VLOOKUP($A461,命格属性表,15,0)+VLOOKUP($A461,命格属性表,22,0)*($D461-1))*IF(R461&gt;9,1,VLOOKUP(D461,命格辅助表!$S$3:$U$10,3,0)),0)</f>
        <v>169</v>
      </c>
      <c r="T461">
        <f t="shared" si="71"/>
        <v>0</v>
      </c>
      <c r="U461">
        <f t="shared" si="74"/>
        <v>0</v>
      </c>
    </row>
    <row r="462" spans="1:21">
      <c r="A462">
        <v>9750</v>
      </c>
      <c r="B462" t="s">
        <v>334</v>
      </c>
      <c r="C462">
        <f t="shared" si="72"/>
        <v>17</v>
      </c>
      <c r="D462">
        <v>4</v>
      </c>
      <c r="E462">
        <v>4</v>
      </c>
      <c r="F462">
        <v>10</v>
      </c>
      <c r="G462" t="str">
        <f>VLOOKUP(P462,定义数据!$B$14:$C$29,2,0)&amp;"+"&amp;Q462&amp;IF(R462=0,"",","&amp;VLOOKUP(R462,定义数据!$B$14:$C$29,2,0)&amp;"+"&amp;S462)&amp;IF(T462=0,"",","&amp;VLOOKUP(T462,定义数据!$B$14:$C$29,2,0)&amp;"+"&amp;U462)</f>
        <v>攻击+1264,防御+253</v>
      </c>
      <c r="H462">
        <v>0</v>
      </c>
      <c r="I462">
        <f t="shared" si="70"/>
        <v>17</v>
      </c>
      <c r="J462">
        <f>IF(ISERROR(VLOOKUP(D462,命格辅助表!$I$76:$N$86,D_命格表!E462+2,0)),0,VLOOKUP(D462,命格辅助表!$I$76:$N$86,D_命格表!E462+2,0))</f>
        <v>5120</v>
      </c>
      <c r="K462">
        <f>IF(ISERROR(VLOOKUP(D462,命格辅助表!$P$76:$U$86,E462+2,0)),0,VLOOKUP(D462,命格辅助表!$P$76:$U$86,E462+2,0))</f>
        <v>4800</v>
      </c>
      <c r="L462">
        <v>0</v>
      </c>
      <c r="M462">
        <v>0</v>
      </c>
      <c r="N462">
        <v>8150</v>
      </c>
      <c r="O462">
        <f t="shared" si="73"/>
        <v>2</v>
      </c>
      <c r="P462">
        <f t="shared" si="68"/>
        <v>2</v>
      </c>
      <c r="Q462">
        <f>ROUND((VLOOKUP($A462,命格属性表,13,0)+VLOOKUP($A462,命格属性表,20,0)*($D462-1))*IF(P462&gt;9,1,VLOOKUP(D462,命格辅助表!$S$3:$U$10,3,0)),0)</f>
        <v>1264</v>
      </c>
      <c r="R462">
        <f t="shared" si="69"/>
        <v>3</v>
      </c>
      <c r="S462">
        <f>ROUND(IF(R462=0,0,VLOOKUP($A462,命格属性表,15,0)+VLOOKUP($A462,命格属性表,22,0)*($D462-1))*IF(R462&gt;9,1,VLOOKUP(D462,命格辅助表!$S$3:$U$10,3,0)),0)</f>
        <v>253</v>
      </c>
      <c r="T462">
        <f t="shared" si="71"/>
        <v>0</v>
      </c>
      <c r="U462">
        <f t="shared" si="74"/>
        <v>0</v>
      </c>
    </row>
    <row r="463" spans="1:21">
      <c r="A463">
        <v>9750</v>
      </c>
      <c r="B463" t="s">
        <v>334</v>
      </c>
      <c r="C463">
        <f t="shared" si="72"/>
        <v>17</v>
      </c>
      <c r="D463">
        <v>5</v>
      </c>
      <c r="E463">
        <v>4</v>
      </c>
      <c r="F463">
        <v>10</v>
      </c>
      <c r="G463" t="str">
        <f>VLOOKUP(P463,定义数据!$B$14:$C$29,2,0)&amp;"+"&amp;Q463&amp;IF(R463=0,"",","&amp;VLOOKUP(R463,定义数据!$B$14:$C$29,2,0)&amp;"+"&amp;S463)&amp;IF(T463=0,"",","&amp;VLOOKUP(T463,定义数据!$B$14:$C$29,2,0)&amp;"+"&amp;U463)</f>
        <v>攻击+1896,防御+379</v>
      </c>
      <c r="H463">
        <v>0</v>
      </c>
      <c r="I463">
        <f t="shared" si="70"/>
        <v>17</v>
      </c>
      <c r="J463">
        <f>IF(ISERROR(VLOOKUP(D463,命格辅助表!$I$76:$N$86,D_命格表!E463+2,0)),0,VLOOKUP(D463,命格辅助表!$I$76:$N$86,D_命格表!E463+2,0))</f>
        <v>10240</v>
      </c>
      <c r="K463">
        <f>IF(ISERROR(VLOOKUP(D463,命格辅助表!$P$76:$U$86,E463+2,0)),0,VLOOKUP(D463,命格辅助表!$P$76:$U$86,E463+2,0))</f>
        <v>9920</v>
      </c>
      <c r="L463">
        <v>0</v>
      </c>
      <c r="M463">
        <v>0</v>
      </c>
      <c r="N463">
        <v>8150</v>
      </c>
      <c r="O463">
        <f t="shared" si="73"/>
        <v>2</v>
      </c>
      <c r="P463">
        <f t="shared" si="68"/>
        <v>2</v>
      </c>
      <c r="Q463">
        <f>ROUND((VLOOKUP($A463,命格属性表,13,0)+VLOOKUP($A463,命格属性表,20,0)*($D463-1))*IF(P463&gt;9,1,VLOOKUP(D463,命格辅助表!$S$3:$U$10,3,0)),0)</f>
        <v>1896</v>
      </c>
      <c r="R463">
        <f t="shared" si="69"/>
        <v>3</v>
      </c>
      <c r="S463">
        <f>ROUND(IF(R463=0,0,VLOOKUP($A463,命格属性表,15,0)+VLOOKUP($A463,命格属性表,22,0)*($D463-1))*IF(R463&gt;9,1,VLOOKUP(D463,命格辅助表!$S$3:$U$10,3,0)),0)</f>
        <v>379</v>
      </c>
      <c r="T463">
        <f t="shared" si="71"/>
        <v>0</v>
      </c>
      <c r="U463">
        <f t="shared" si="74"/>
        <v>0</v>
      </c>
    </row>
    <row r="464" spans="1:21">
      <c r="A464">
        <v>9750</v>
      </c>
      <c r="B464" t="s">
        <v>334</v>
      </c>
      <c r="C464">
        <f t="shared" si="72"/>
        <v>17</v>
      </c>
      <c r="D464">
        <v>6</v>
      </c>
      <c r="E464">
        <v>4</v>
      </c>
      <c r="F464">
        <v>10</v>
      </c>
      <c r="G464" t="str">
        <f>VLOOKUP(P464,定义数据!$B$14:$C$29,2,0)&amp;"+"&amp;Q464&amp;IF(R464=0,"",","&amp;VLOOKUP(R464,定义数据!$B$14:$C$29,2,0)&amp;"+"&amp;S464)&amp;IF(T464=0,"",","&amp;VLOOKUP(T464,定义数据!$B$14:$C$29,2,0)&amp;"+"&amp;U464)</f>
        <v>攻击+2844,防御+569</v>
      </c>
      <c r="H464">
        <v>0</v>
      </c>
      <c r="I464">
        <f t="shared" si="70"/>
        <v>17</v>
      </c>
      <c r="J464">
        <f>IF(ISERROR(VLOOKUP(D464,命格辅助表!$I$76:$N$86,D_命格表!E464+2,0)),0,VLOOKUP(D464,命格辅助表!$I$76:$N$86,D_命格表!E464+2,0))</f>
        <v>20480</v>
      </c>
      <c r="K464">
        <f>IF(ISERROR(VLOOKUP(D464,命格辅助表!$P$76:$U$86,E464+2,0)),0,VLOOKUP(D464,命格辅助表!$P$76:$U$86,E464+2,0))</f>
        <v>20160</v>
      </c>
      <c r="L464">
        <v>0</v>
      </c>
      <c r="M464">
        <v>0</v>
      </c>
      <c r="N464">
        <v>8150</v>
      </c>
      <c r="O464">
        <f t="shared" si="73"/>
        <v>2</v>
      </c>
      <c r="P464">
        <f t="shared" si="68"/>
        <v>2</v>
      </c>
      <c r="Q464">
        <f>ROUND((VLOOKUP($A464,命格属性表,13,0)+VLOOKUP($A464,命格属性表,20,0)*($D464-1))*IF(P464&gt;9,1,VLOOKUP(D464,命格辅助表!$S$3:$U$10,3,0)),0)</f>
        <v>2844</v>
      </c>
      <c r="R464">
        <f t="shared" si="69"/>
        <v>3</v>
      </c>
      <c r="S464">
        <f>ROUND(IF(R464=0,0,VLOOKUP($A464,命格属性表,15,0)+VLOOKUP($A464,命格属性表,22,0)*($D464-1))*IF(R464&gt;9,1,VLOOKUP(D464,命格辅助表!$S$3:$U$10,3,0)),0)</f>
        <v>569</v>
      </c>
      <c r="T464">
        <f t="shared" si="71"/>
        <v>0</v>
      </c>
      <c r="U464">
        <f t="shared" si="74"/>
        <v>0</v>
      </c>
    </row>
    <row r="465" spans="1:21">
      <c r="A465">
        <v>9750</v>
      </c>
      <c r="B465" t="s">
        <v>334</v>
      </c>
      <c r="C465">
        <f t="shared" si="72"/>
        <v>17</v>
      </c>
      <c r="D465">
        <v>7</v>
      </c>
      <c r="E465">
        <v>4</v>
      </c>
      <c r="F465">
        <v>10</v>
      </c>
      <c r="G465" t="str">
        <f>VLOOKUP(P465,定义数据!$B$14:$C$29,2,0)&amp;"+"&amp;Q465&amp;IF(R465=0,"",","&amp;VLOOKUP(R465,定义数据!$B$14:$C$29,2,0)&amp;"+"&amp;S465)&amp;IF(T465=0,"",","&amp;VLOOKUP(T465,定义数据!$B$14:$C$29,2,0)&amp;"+"&amp;U465)</f>
        <v>攻击+4267,防御+853</v>
      </c>
      <c r="H465">
        <v>0</v>
      </c>
      <c r="I465">
        <f t="shared" si="70"/>
        <v>17</v>
      </c>
      <c r="J465">
        <f>IF(ISERROR(VLOOKUP(D465,命格辅助表!$I$76:$N$86,D_命格表!E465+2,0)),0,VLOOKUP(D465,命格辅助表!$I$76:$N$86,D_命格表!E465+2,0))</f>
        <v>40960</v>
      </c>
      <c r="K465">
        <f>IF(ISERROR(VLOOKUP(D465,命格辅助表!$P$76:$U$86,E465+2,0)),0,VLOOKUP(D465,命格辅助表!$P$76:$U$86,E465+2,0))</f>
        <v>40640</v>
      </c>
      <c r="L465">
        <v>0</v>
      </c>
      <c r="M465">
        <v>0</v>
      </c>
      <c r="N465">
        <v>8150</v>
      </c>
      <c r="O465">
        <f t="shared" si="73"/>
        <v>2</v>
      </c>
      <c r="P465">
        <f t="shared" si="68"/>
        <v>2</v>
      </c>
      <c r="Q465">
        <f>ROUND((VLOOKUP($A465,命格属性表,13,0)+VLOOKUP($A465,命格属性表,20,0)*($D465-1))*IF(P465&gt;9,1,VLOOKUP(D465,命格辅助表!$S$3:$U$10,3,0)),0)</f>
        <v>4267</v>
      </c>
      <c r="R465">
        <f t="shared" si="69"/>
        <v>3</v>
      </c>
      <c r="S465">
        <f>ROUND(IF(R465=0,0,VLOOKUP($A465,命格属性表,15,0)+VLOOKUP($A465,命格属性表,22,0)*($D465-1))*IF(R465&gt;9,1,VLOOKUP(D465,命格辅助表!$S$3:$U$10,3,0)),0)</f>
        <v>853</v>
      </c>
      <c r="T465">
        <f t="shared" si="71"/>
        <v>0</v>
      </c>
      <c r="U465">
        <f t="shared" si="74"/>
        <v>0</v>
      </c>
    </row>
    <row r="466" spans="1:21">
      <c r="A466">
        <v>9750</v>
      </c>
      <c r="B466" t="s">
        <v>334</v>
      </c>
      <c r="C466">
        <f t="shared" si="72"/>
        <v>17</v>
      </c>
      <c r="D466">
        <v>8</v>
      </c>
      <c r="E466">
        <v>4</v>
      </c>
      <c r="F466">
        <v>10</v>
      </c>
      <c r="G466" t="str">
        <f>VLOOKUP(P466,定义数据!$B$14:$C$29,2,0)&amp;"+"&amp;Q466&amp;IF(R466=0,"",","&amp;VLOOKUP(R466,定义数据!$B$14:$C$29,2,0)&amp;"+"&amp;S466)&amp;IF(T466=0,"",","&amp;VLOOKUP(T466,定义数据!$B$14:$C$29,2,0)&amp;"+"&amp;U466)</f>
        <v>攻击+6400,防御+1280</v>
      </c>
      <c r="H466">
        <v>0</v>
      </c>
      <c r="I466">
        <f t="shared" si="70"/>
        <v>17</v>
      </c>
      <c r="J466">
        <f>IF(ISERROR(VLOOKUP(D466,命格辅助表!$I$76:$N$86,D_命格表!E466+2,0)),0,VLOOKUP(D466,命格辅助表!$I$76:$N$86,D_命格表!E466+2,0))</f>
        <v>81920</v>
      </c>
      <c r="K466">
        <f>IF(ISERROR(VLOOKUP(D466,命格辅助表!$P$76:$U$86,E466+2,0)),0,VLOOKUP(D466,命格辅助表!$P$76:$U$86,E466+2,0))</f>
        <v>81600</v>
      </c>
      <c r="L466">
        <f>IF(ISERROR(VLOOKUP(D466,命格辅助表!$I$76:$N$86,D_命格表!E466+2,0)),0,VLOOKUP(D466,命格辅助表!$I$76:$N$86,D_命格表!E466+2,0))</f>
        <v>81920</v>
      </c>
      <c r="M466">
        <f>A466+10</f>
        <v>9760</v>
      </c>
      <c r="N466">
        <v>8150</v>
      </c>
      <c r="O466">
        <f t="shared" si="73"/>
        <v>2</v>
      </c>
      <c r="P466">
        <f t="shared" si="68"/>
        <v>2</v>
      </c>
      <c r="Q466">
        <f>ROUND((VLOOKUP($A466,命格属性表,13,0)+VLOOKUP($A466,命格属性表,20,0)*($D466-1))*IF(P466&gt;9,1,VLOOKUP(D466,命格辅助表!$S$3:$U$10,3,0)),0)</f>
        <v>6400</v>
      </c>
      <c r="R466">
        <f t="shared" si="69"/>
        <v>3</v>
      </c>
      <c r="S466">
        <f>ROUND(IF(R466=0,0,VLOOKUP($A466,命格属性表,15,0)+VLOOKUP($A466,命格属性表,22,0)*($D466-1))*IF(R466&gt;9,1,VLOOKUP(D466,命格辅助表!$S$3:$U$10,3,0)),0)</f>
        <v>1280</v>
      </c>
      <c r="T466">
        <f t="shared" si="71"/>
        <v>0</v>
      </c>
      <c r="U466">
        <f t="shared" si="74"/>
        <v>0</v>
      </c>
    </row>
    <row r="467" spans="1:21">
      <c r="A467">
        <v>9850</v>
      </c>
      <c r="B467" t="s">
        <v>335</v>
      </c>
      <c r="C467">
        <f t="shared" si="72"/>
        <v>18</v>
      </c>
      <c r="D467">
        <v>1</v>
      </c>
      <c r="E467">
        <v>4</v>
      </c>
      <c r="F467">
        <v>10</v>
      </c>
      <c r="G467" t="str">
        <f>VLOOKUP(P467,定义数据!$B$14:$C$29,2,0)&amp;"+"&amp;Q467&amp;IF(R467=0,"",","&amp;VLOOKUP(R467,定义数据!$B$14:$C$29,2,0)&amp;"+"&amp;S467)&amp;IF(T467=0,"",","&amp;VLOOKUP(T467,定义数据!$B$14:$C$29,2,0)&amp;"+"&amp;U467)</f>
        <v>暴击值+1040</v>
      </c>
      <c r="H467">
        <v>0</v>
      </c>
      <c r="I467">
        <f t="shared" si="70"/>
        <v>18</v>
      </c>
      <c r="J467">
        <f>IF(ISERROR(VLOOKUP(D467,命格辅助表!$I$76:$N$86,D_命格表!E467+2,0)),0,VLOOKUP(D467,命格辅助表!$I$76:$N$86,D_命格表!E467+2,0))</f>
        <v>640</v>
      </c>
      <c r="K467">
        <f>IF(ISERROR(VLOOKUP(D467,命格辅助表!$P$76:$U$86,E467+2,0)),0,VLOOKUP(D467,命格辅助表!$P$76:$U$86,E467+2,0))</f>
        <v>320</v>
      </c>
      <c r="L467">
        <v>0</v>
      </c>
      <c r="M467">
        <v>0</v>
      </c>
      <c r="N467">
        <v>8250</v>
      </c>
      <c r="O467">
        <f t="shared" si="73"/>
        <v>1</v>
      </c>
      <c r="P467">
        <f t="shared" ref="P467:P474" si="75">VLOOKUP($A467,命格属性表,12,0)</f>
        <v>8</v>
      </c>
      <c r="Q467">
        <f>ROUND((VLOOKUP($A467,命格属性表,13,0)+VLOOKUP($A467,命格属性表,20,0)*($D467-1))*IF(P467&gt;9,1,VLOOKUP(D467,命格辅助表!$S$3:$U$10,3,0)),0)</f>
        <v>1040</v>
      </c>
      <c r="R467">
        <f t="shared" ref="R467:R474" si="76">VLOOKUP($A467,命格属性表,14,0)</f>
        <v>0</v>
      </c>
      <c r="S467">
        <f>ROUND(IF(R467=0,0,VLOOKUP($A467,命格属性表,15,0)+VLOOKUP($A467,命格属性表,22,0)*($D467-1))*IF(R467&gt;9,1,VLOOKUP(D467,命格辅助表!$S$3:$U$10,3,0)),0)</f>
        <v>0</v>
      </c>
      <c r="T467">
        <f t="shared" si="71"/>
        <v>0</v>
      </c>
      <c r="U467">
        <f t="shared" si="74"/>
        <v>0</v>
      </c>
    </row>
    <row r="468" spans="1:21">
      <c r="A468">
        <v>9850</v>
      </c>
      <c r="B468" t="s">
        <v>335</v>
      </c>
      <c r="C468">
        <f t="shared" si="72"/>
        <v>18</v>
      </c>
      <c r="D468">
        <v>2</v>
      </c>
      <c r="E468">
        <v>4</v>
      </c>
      <c r="F468">
        <v>10</v>
      </c>
      <c r="G468" t="str">
        <f>VLOOKUP(P468,定义数据!$B$14:$C$29,2,0)&amp;"+"&amp;Q468&amp;IF(R468=0,"",","&amp;VLOOKUP(R468,定义数据!$B$14:$C$29,2,0)&amp;"+"&amp;S468)&amp;IF(T468=0,"",","&amp;VLOOKUP(T468,定义数据!$B$14:$C$29,2,0)&amp;"+"&amp;U468)</f>
        <v>暴击值+1561</v>
      </c>
      <c r="H468">
        <v>0</v>
      </c>
      <c r="I468">
        <f t="shared" ref="I468:I474" si="77">VLOOKUP($A468,命格属性表,26,0)</f>
        <v>18</v>
      </c>
      <c r="J468">
        <f>IF(ISERROR(VLOOKUP(D468,命格辅助表!$I$76:$N$86,D_命格表!E468+2,0)),0,VLOOKUP(D468,命格辅助表!$I$76:$N$86,D_命格表!E468+2,0))</f>
        <v>1280</v>
      </c>
      <c r="K468">
        <f>IF(ISERROR(VLOOKUP(D468,命格辅助表!$P$76:$U$86,E468+2,0)),0,VLOOKUP(D468,命格辅助表!$P$76:$U$86,E468+2,0))</f>
        <v>960</v>
      </c>
      <c r="L468">
        <v>0</v>
      </c>
      <c r="M468">
        <v>0</v>
      </c>
      <c r="N468">
        <v>8250</v>
      </c>
      <c r="O468">
        <f t="shared" si="73"/>
        <v>1</v>
      </c>
      <c r="P468">
        <f t="shared" si="75"/>
        <v>8</v>
      </c>
      <c r="Q468">
        <f>ROUND((VLOOKUP($A468,命格属性表,13,0)+VLOOKUP($A468,命格属性表,20,0)*($D468-1))*IF(P468&gt;9,1,VLOOKUP(D468,命格辅助表!$S$3:$U$10,3,0)),0)</f>
        <v>1561</v>
      </c>
      <c r="R468">
        <f t="shared" si="76"/>
        <v>0</v>
      </c>
      <c r="S468">
        <f>ROUND(IF(R468=0,0,VLOOKUP($A468,命格属性表,15,0)+VLOOKUP($A468,命格属性表,22,0)*($D468-1))*IF(R468&gt;9,1,VLOOKUP(D468,命格辅助表!$S$3:$U$10,3,0)),0)</f>
        <v>0</v>
      </c>
      <c r="T468">
        <f t="shared" ref="T468:T474" si="78">VLOOKUP($A468,命格属性表,16,0)</f>
        <v>0</v>
      </c>
      <c r="U468">
        <f t="shared" si="74"/>
        <v>0</v>
      </c>
    </row>
    <row r="469" spans="1:21">
      <c r="A469">
        <v>9850</v>
      </c>
      <c r="B469" t="s">
        <v>335</v>
      </c>
      <c r="C469">
        <f t="shared" ref="C469:C474" si="79">I469</f>
        <v>18</v>
      </c>
      <c r="D469">
        <v>3</v>
      </c>
      <c r="E469">
        <v>4</v>
      </c>
      <c r="F469">
        <v>10</v>
      </c>
      <c r="G469" t="str">
        <f>VLOOKUP(P469,定义数据!$B$14:$C$29,2,0)&amp;"+"&amp;Q469&amp;IF(R469=0,"",","&amp;VLOOKUP(R469,定义数据!$B$14:$C$29,2,0)&amp;"+"&amp;S469)&amp;IF(T469=0,"",","&amp;VLOOKUP(T469,定义数据!$B$14:$C$29,2,0)&amp;"+"&amp;U469)</f>
        <v>暴击值+2341</v>
      </c>
      <c r="H469">
        <v>0</v>
      </c>
      <c r="I469">
        <f t="shared" si="77"/>
        <v>18</v>
      </c>
      <c r="J469">
        <f>IF(ISERROR(VLOOKUP(D469,命格辅助表!$I$76:$N$86,D_命格表!E469+2,0)),0,VLOOKUP(D469,命格辅助表!$I$76:$N$86,D_命格表!E469+2,0))</f>
        <v>2560</v>
      </c>
      <c r="K469">
        <f>IF(ISERROR(VLOOKUP(D469,命格辅助表!$P$76:$U$86,E469+2,0)),0,VLOOKUP(D469,命格辅助表!$P$76:$U$86,E469+2,0))</f>
        <v>2240</v>
      </c>
      <c r="L469">
        <v>0</v>
      </c>
      <c r="M469">
        <v>0</v>
      </c>
      <c r="N469">
        <v>8250</v>
      </c>
      <c r="O469">
        <f t="shared" si="73"/>
        <v>1</v>
      </c>
      <c r="P469">
        <f t="shared" si="75"/>
        <v>8</v>
      </c>
      <c r="Q469">
        <f>ROUND((VLOOKUP($A469,命格属性表,13,0)+VLOOKUP($A469,命格属性表,20,0)*($D469-1))*IF(P469&gt;9,1,VLOOKUP(D469,命格辅助表!$S$3:$U$10,3,0)),0)</f>
        <v>2341</v>
      </c>
      <c r="R469">
        <f t="shared" si="76"/>
        <v>0</v>
      </c>
      <c r="S469">
        <f>ROUND(IF(R469=0,0,VLOOKUP($A469,命格属性表,15,0)+VLOOKUP($A469,命格属性表,22,0)*($D469-1))*IF(R469&gt;9,1,VLOOKUP(D469,命格辅助表!$S$3:$U$10,3,0)),0)</f>
        <v>0</v>
      </c>
      <c r="T469">
        <f t="shared" si="78"/>
        <v>0</v>
      </c>
      <c r="U469">
        <f t="shared" si="74"/>
        <v>0</v>
      </c>
    </row>
    <row r="470" spans="1:21">
      <c r="A470">
        <v>9850</v>
      </c>
      <c r="B470" t="s">
        <v>335</v>
      </c>
      <c r="C470">
        <f t="shared" si="79"/>
        <v>18</v>
      </c>
      <c r="D470">
        <v>4</v>
      </c>
      <c r="E470">
        <v>4</v>
      </c>
      <c r="F470">
        <v>10</v>
      </c>
      <c r="G470" t="str">
        <f>VLOOKUP(P470,定义数据!$B$14:$C$29,2,0)&amp;"+"&amp;Q470&amp;IF(R470=0,"",","&amp;VLOOKUP(R470,定义数据!$B$14:$C$29,2,0)&amp;"+"&amp;S470)&amp;IF(T470=0,"",","&amp;VLOOKUP(T470,定义数据!$B$14:$C$29,2,0)&amp;"+"&amp;U470)</f>
        <v>暴击值+3511</v>
      </c>
      <c r="H470">
        <v>0</v>
      </c>
      <c r="I470">
        <f t="shared" si="77"/>
        <v>18</v>
      </c>
      <c r="J470">
        <f>IF(ISERROR(VLOOKUP(D470,命格辅助表!$I$76:$N$86,D_命格表!E470+2,0)),0,VLOOKUP(D470,命格辅助表!$I$76:$N$86,D_命格表!E470+2,0))</f>
        <v>5120</v>
      </c>
      <c r="K470">
        <f>IF(ISERROR(VLOOKUP(D470,命格辅助表!$P$76:$U$86,E470+2,0)),0,VLOOKUP(D470,命格辅助表!$P$76:$U$86,E470+2,0))</f>
        <v>4800</v>
      </c>
      <c r="L470">
        <v>0</v>
      </c>
      <c r="M470">
        <v>0</v>
      </c>
      <c r="N470">
        <v>8250</v>
      </c>
      <c r="O470">
        <f t="shared" si="73"/>
        <v>1</v>
      </c>
      <c r="P470">
        <f t="shared" si="75"/>
        <v>8</v>
      </c>
      <c r="Q470">
        <f>ROUND((VLOOKUP($A470,命格属性表,13,0)+VLOOKUP($A470,命格属性表,20,0)*($D470-1))*IF(P470&gt;9,1,VLOOKUP(D470,命格辅助表!$S$3:$U$10,3,0)),0)</f>
        <v>3511</v>
      </c>
      <c r="R470">
        <f t="shared" si="76"/>
        <v>0</v>
      </c>
      <c r="S470">
        <f>ROUND(IF(R470=0,0,VLOOKUP($A470,命格属性表,15,0)+VLOOKUP($A470,命格属性表,22,0)*($D470-1))*IF(R470&gt;9,1,VLOOKUP(D470,命格辅助表!$S$3:$U$10,3,0)),0)</f>
        <v>0</v>
      </c>
      <c r="T470">
        <f t="shared" si="78"/>
        <v>0</v>
      </c>
      <c r="U470">
        <f t="shared" si="74"/>
        <v>0</v>
      </c>
    </row>
    <row r="471" spans="1:21">
      <c r="A471">
        <v>9850</v>
      </c>
      <c r="B471" t="s">
        <v>335</v>
      </c>
      <c r="C471">
        <f t="shared" si="79"/>
        <v>18</v>
      </c>
      <c r="D471">
        <v>5</v>
      </c>
      <c r="E471">
        <v>4</v>
      </c>
      <c r="F471">
        <v>10</v>
      </c>
      <c r="G471" t="str">
        <f>VLOOKUP(P471,定义数据!$B$14:$C$29,2,0)&amp;"+"&amp;Q471&amp;IF(R471=0,"",","&amp;VLOOKUP(R471,定义数据!$B$14:$C$29,2,0)&amp;"+"&amp;S471)&amp;IF(T471=0,"",","&amp;VLOOKUP(T471,定义数据!$B$14:$C$29,2,0)&amp;"+"&amp;U471)</f>
        <v>暴击值+5267</v>
      </c>
      <c r="H471">
        <v>0</v>
      </c>
      <c r="I471">
        <f t="shared" si="77"/>
        <v>18</v>
      </c>
      <c r="J471">
        <f>IF(ISERROR(VLOOKUP(D471,命格辅助表!$I$76:$N$86,D_命格表!E471+2,0)),0,VLOOKUP(D471,命格辅助表!$I$76:$N$86,D_命格表!E471+2,0))</f>
        <v>10240</v>
      </c>
      <c r="K471">
        <f>IF(ISERROR(VLOOKUP(D471,命格辅助表!$P$76:$U$86,E471+2,0)),0,VLOOKUP(D471,命格辅助表!$P$76:$U$86,E471+2,0))</f>
        <v>9920</v>
      </c>
      <c r="L471">
        <v>0</v>
      </c>
      <c r="M471">
        <v>0</v>
      </c>
      <c r="N471">
        <v>8250</v>
      </c>
      <c r="O471">
        <f t="shared" si="73"/>
        <v>1</v>
      </c>
      <c r="P471">
        <f t="shared" si="75"/>
        <v>8</v>
      </c>
      <c r="Q471">
        <f>ROUND((VLOOKUP($A471,命格属性表,13,0)+VLOOKUP($A471,命格属性表,20,0)*($D471-1))*IF(P471&gt;9,1,VLOOKUP(D471,命格辅助表!$S$3:$U$10,3,0)),0)</f>
        <v>5267</v>
      </c>
      <c r="R471">
        <f t="shared" si="76"/>
        <v>0</v>
      </c>
      <c r="S471">
        <f>ROUND(IF(R471=0,0,VLOOKUP($A471,命格属性表,15,0)+VLOOKUP($A471,命格属性表,22,0)*($D471-1))*IF(R471&gt;9,1,VLOOKUP(D471,命格辅助表!$S$3:$U$10,3,0)),0)</f>
        <v>0</v>
      </c>
      <c r="T471">
        <f t="shared" si="78"/>
        <v>0</v>
      </c>
      <c r="U471">
        <f t="shared" si="74"/>
        <v>0</v>
      </c>
    </row>
    <row r="472" spans="1:21">
      <c r="A472">
        <v>9850</v>
      </c>
      <c r="B472" t="s">
        <v>335</v>
      </c>
      <c r="C472">
        <f t="shared" si="79"/>
        <v>18</v>
      </c>
      <c r="D472">
        <v>6</v>
      </c>
      <c r="E472">
        <v>4</v>
      </c>
      <c r="F472">
        <v>10</v>
      </c>
      <c r="G472" t="str">
        <f>VLOOKUP(P472,定义数据!$B$14:$C$29,2,0)&amp;"+"&amp;Q472&amp;IF(R472=0,"",","&amp;VLOOKUP(R472,定义数据!$B$14:$C$29,2,0)&amp;"+"&amp;S472)&amp;IF(T472=0,"",","&amp;VLOOKUP(T472,定义数据!$B$14:$C$29,2,0)&amp;"+"&amp;U472)</f>
        <v>暴击值+7900</v>
      </c>
      <c r="H472">
        <v>0</v>
      </c>
      <c r="I472">
        <f t="shared" si="77"/>
        <v>18</v>
      </c>
      <c r="J472">
        <f>IF(ISERROR(VLOOKUP(D472,命格辅助表!$I$76:$N$86,D_命格表!E472+2,0)),0,VLOOKUP(D472,命格辅助表!$I$76:$N$86,D_命格表!E472+2,0))</f>
        <v>20480</v>
      </c>
      <c r="K472">
        <f>IF(ISERROR(VLOOKUP(D472,命格辅助表!$P$76:$U$86,E472+2,0)),0,VLOOKUP(D472,命格辅助表!$P$76:$U$86,E472+2,0))</f>
        <v>20160</v>
      </c>
      <c r="L472">
        <v>0</v>
      </c>
      <c r="M472">
        <v>0</v>
      </c>
      <c r="N472">
        <v>8250</v>
      </c>
      <c r="O472">
        <f t="shared" si="73"/>
        <v>1</v>
      </c>
      <c r="P472">
        <f t="shared" si="75"/>
        <v>8</v>
      </c>
      <c r="Q472">
        <f>ROUND((VLOOKUP($A472,命格属性表,13,0)+VLOOKUP($A472,命格属性表,20,0)*($D472-1))*IF(P472&gt;9,1,VLOOKUP(D472,命格辅助表!$S$3:$U$10,3,0)),0)</f>
        <v>7900</v>
      </c>
      <c r="R472">
        <f t="shared" si="76"/>
        <v>0</v>
      </c>
      <c r="S472">
        <f>ROUND(IF(R472=0,0,VLOOKUP($A472,命格属性表,15,0)+VLOOKUP($A472,命格属性表,22,0)*($D472-1))*IF(R472&gt;9,1,VLOOKUP(D472,命格辅助表!$S$3:$U$10,3,0)),0)</f>
        <v>0</v>
      </c>
      <c r="T472">
        <f t="shared" si="78"/>
        <v>0</v>
      </c>
      <c r="U472">
        <f t="shared" si="74"/>
        <v>0</v>
      </c>
    </row>
    <row r="473" spans="1:21">
      <c r="A473">
        <v>9850</v>
      </c>
      <c r="B473" t="s">
        <v>335</v>
      </c>
      <c r="C473">
        <f t="shared" si="79"/>
        <v>18</v>
      </c>
      <c r="D473">
        <v>7</v>
      </c>
      <c r="E473">
        <v>4</v>
      </c>
      <c r="F473">
        <v>10</v>
      </c>
      <c r="G473" t="str">
        <f>VLOOKUP(P473,定义数据!$B$14:$C$29,2,0)&amp;"+"&amp;Q473&amp;IF(R473=0,"",","&amp;VLOOKUP(R473,定义数据!$B$14:$C$29,2,0)&amp;"+"&amp;S473)&amp;IF(T473=0,"",","&amp;VLOOKUP(T473,定义数据!$B$14:$C$29,2,0)&amp;"+"&amp;U473)</f>
        <v>暴击值+11851</v>
      </c>
      <c r="H473">
        <v>0</v>
      </c>
      <c r="I473">
        <f t="shared" si="77"/>
        <v>18</v>
      </c>
      <c r="J473">
        <f>IF(ISERROR(VLOOKUP(D473,命格辅助表!$I$76:$N$86,D_命格表!E473+2,0)),0,VLOOKUP(D473,命格辅助表!$I$76:$N$86,D_命格表!E473+2,0))</f>
        <v>40960</v>
      </c>
      <c r="K473">
        <f>IF(ISERROR(VLOOKUP(D473,命格辅助表!$P$76:$U$86,E473+2,0)),0,VLOOKUP(D473,命格辅助表!$P$76:$U$86,E473+2,0))</f>
        <v>40640</v>
      </c>
      <c r="L473">
        <v>0</v>
      </c>
      <c r="M473">
        <v>0</v>
      </c>
      <c r="N473">
        <v>8250</v>
      </c>
      <c r="O473">
        <f t="shared" si="73"/>
        <v>1</v>
      </c>
      <c r="P473">
        <f t="shared" si="75"/>
        <v>8</v>
      </c>
      <c r="Q473">
        <f>ROUND((VLOOKUP($A473,命格属性表,13,0)+VLOOKUP($A473,命格属性表,20,0)*($D473-1))*IF(P473&gt;9,1,VLOOKUP(D473,命格辅助表!$S$3:$U$10,3,0)),0)</f>
        <v>11851</v>
      </c>
      <c r="R473">
        <f t="shared" si="76"/>
        <v>0</v>
      </c>
      <c r="S473">
        <f>ROUND(IF(R473=0,0,VLOOKUP($A473,命格属性表,15,0)+VLOOKUP($A473,命格属性表,22,0)*($D473-1))*IF(R473&gt;9,1,VLOOKUP(D473,命格辅助表!$S$3:$U$10,3,0)),0)</f>
        <v>0</v>
      </c>
      <c r="T473">
        <f t="shared" si="78"/>
        <v>0</v>
      </c>
      <c r="U473">
        <f t="shared" si="74"/>
        <v>0</v>
      </c>
    </row>
    <row r="474" spans="1:21">
      <c r="A474">
        <v>9850</v>
      </c>
      <c r="B474" t="s">
        <v>335</v>
      </c>
      <c r="C474">
        <f t="shared" si="79"/>
        <v>18</v>
      </c>
      <c r="D474">
        <v>8</v>
      </c>
      <c r="E474">
        <v>4</v>
      </c>
      <c r="F474">
        <v>10</v>
      </c>
      <c r="G474" t="str">
        <f>VLOOKUP(P474,定义数据!$B$14:$C$29,2,0)&amp;"+"&amp;Q474&amp;IF(R474=0,"",","&amp;VLOOKUP(R474,定义数据!$B$14:$C$29,2,0)&amp;"+"&amp;S474)&amp;IF(T474=0,"",","&amp;VLOOKUP(T474,定义数据!$B$14:$C$29,2,0)&amp;"+"&amp;U474)</f>
        <v>暴击值+17776</v>
      </c>
      <c r="H474">
        <v>0</v>
      </c>
      <c r="I474">
        <f t="shared" si="77"/>
        <v>18</v>
      </c>
      <c r="J474">
        <f>IF(ISERROR(VLOOKUP(D474,命格辅助表!$I$76:$N$86,D_命格表!E474+2,0)),0,VLOOKUP(D474,命格辅助表!$I$76:$N$86,D_命格表!E474+2,0))</f>
        <v>81920</v>
      </c>
      <c r="K474">
        <f>IF(ISERROR(VLOOKUP(D474,命格辅助表!$P$76:$U$86,E474+2,0)),0,VLOOKUP(D474,命格辅助表!$P$76:$U$86,E474+2,0))</f>
        <v>81600</v>
      </c>
      <c r="L474">
        <f>IF(ISERROR(VLOOKUP(D474,命格辅助表!$I$76:$N$86,D_命格表!E474+2,0)),0,VLOOKUP(D474,命格辅助表!$I$76:$N$86,D_命格表!E474+2,0))</f>
        <v>81920</v>
      </c>
      <c r="M474">
        <f>A474+10</f>
        <v>9860</v>
      </c>
      <c r="N474">
        <v>8250</v>
      </c>
      <c r="O474">
        <f t="shared" si="73"/>
        <v>1</v>
      </c>
      <c r="P474">
        <f t="shared" si="75"/>
        <v>8</v>
      </c>
      <c r="Q474">
        <f>ROUND((VLOOKUP($A474,命格属性表,13,0)+VLOOKUP($A474,命格属性表,20,0)*($D474-1))*IF(P474&gt;9,1,VLOOKUP(D474,命格辅助表!$S$3:$U$10,3,0)),0)</f>
        <v>17776</v>
      </c>
      <c r="R474">
        <f t="shared" si="76"/>
        <v>0</v>
      </c>
      <c r="S474">
        <f>ROUND(IF(R474=0,0,VLOOKUP($A474,命格属性表,15,0)+VLOOKUP($A474,命格属性表,22,0)*($D474-1))*IF(R474&gt;9,1,VLOOKUP(D474,命格辅助表!$S$3:$U$10,3,0)),0)</f>
        <v>0</v>
      </c>
      <c r="T474">
        <f t="shared" si="78"/>
        <v>0</v>
      </c>
      <c r="U474">
        <f t="shared" si="74"/>
        <v>0</v>
      </c>
    </row>
  </sheetData>
  <autoFilter ref="A1:U474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B9"/>
  <sheetViews>
    <sheetView workbookViewId="0">
      <selection activeCell="E6" sqref="E6"/>
    </sheetView>
  </sheetViews>
  <sheetFormatPr defaultRowHeight="14.4"/>
  <cols>
    <col min="1" max="1" width="17.21875" bestFit="1" customWidth="1"/>
  </cols>
  <sheetData>
    <row r="1" spans="1:2">
      <c r="A1" s="11" t="s">
        <v>72</v>
      </c>
      <c r="B1" s="11" t="s">
        <v>73</v>
      </c>
    </row>
    <row r="2" spans="1:2">
      <c r="A2" s="11">
        <v>1</v>
      </c>
      <c r="B2" s="11">
        <v>1</v>
      </c>
    </row>
    <row r="3" spans="1:2">
      <c r="A3" s="11">
        <v>2</v>
      </c>
      <c r="B3" s="11">
        <v>1</v>
      </c>
    </row>
    <row r="4" spans="1:2">
      <c r="A4" s="11">
        <v>3</v>
      </c>
      <c r="B4" s="11">
        <v>30</v>
      </c>
    </row>
    <row r="5" spans="1:2">
      <c r="A5" s="11">
        <v>4</v>
      </c>
      <c r="B5" s="11">
        <v>34</v>
      </c>
    </row>
    <row r="6" spans="1:2">
      <c r="A6" s="11">
        <v>5</v>
      </c>
      <c r="B6" s="11">
        <v>38</v>
      </c>
    </row>
    <row r="7" spans="1:2">
      <c r="A7" s="11">
        <v>6</v>
      </c>
      <c r="B7" s="11">
        <v>42</v>
      </c>
    </row>
    <row r="8" spans="1:2">
      <c r="A8" s="11">
        <v>7</v>
      </c>
      <c r="B8" s="11">
        <v>46</v>
      </c>
    </row>
    <row r="9" spans="1:2">
      <c r="A9" s="11">
        <v>8</v>
      </c>
      <c r="B9" s="11">
        <v>50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C93"/>
  <sheetViews>
    <sheetView topLeftCell="A7" workbookViewId="0">
      <selection activeCell="E29" sqref="E29"/>
    </sheetView>
  </sheetViews>
  <sheetFormatPr defaultRowHeight="14.4"/>
  <cols>
    <col min="1" max="1" width="17.21875" style="44" bestFit="1" customWidth="1"/>
    <col min="2" max="2" width="9" bestFit="1" customWidth="1"/>
    <col min="3" max="3" width="13" bestFit="1" customWidth="1"/>
    <col min="4" max="4" width="13.33203125" customWidth="1"/>
    <col min="5" max="5" width="13" bestFit="1" customWidth="1"/>
    <col min="6" max="6" width="11.109375" bestFit="1" customWidth="1"/>
    <col min="7" max="7" width="13.109375" customWidth="1"/>
    <col min="9" max="9" width="17.21875" bestFit="1" customWidth="1"/>
  </cols>
  <sheetData>
    <row r="1" spans="1:13">
      <c r="A1" s="44" t="s">
        <v>269</v>
      </c>
      <c r="I1" s="12" t="s">
        <v>273</v>
      </c>
      <c r="J1" s="10">
        <v>2</v>
      </c>
      <c r="L1" t="s">
        <v>392</v>
      </c>
      <c r="M1">
        <v>186</v>
      </c>
    </row>
    <row r="2" spans="1:13">
      <c r="A2" s="11" t="s">
        <v>23</v>
      </c>
      <c r="B2" s="3" t="s">
        <v>24</v>
      </c>
      <c r="C2" s="3" t="s">
        <v>25</v>
      </c>
      <c r="D2" s="3" t="s">
        <v>26</v>
      </c>
      <c r="E2" s="3" t="s">
        <v>27</v>
      </c>
      <c r="F2" s="3" t="s">
        <v>28</v>
      </c>
      <c r="G2" s="3" t="s">
        <v>29</v>
      </c>
      <c r="I2" s="11" t="s">
        <v>123</v>
      </c>
      <c r="J2" s="10">
        <v>1000</v>
      </c>
      <c r="K2">
        <f>M2/2</f>
        <v>1747.9569892473119</v>
      </c>
      <c r="L2" t="s">
        <v>393</v>
      </c>
      <c r="M2">
        <f>命格辅助表!B58/M1</f>
        <v>3495.9139784946237</v>
      </c>
    </row>
    <row r="3" spans="1:13">
      <c r="A3" s="11">
        <v>1</v>
      </c>
      <c r="B3" s="10">
        <v>1600</v>
      </c>
      <c r="C3" s="10">
        <v>0</v>
      </c>
      <c r="D3" s="10">
        <v>600</v>
      </c>
      <c r="E3" s="10">
        <v>0</v>
      </c>
      <c r="F3" s="10">
        <v>1</v>
      </c>
      <c r="G3" s="10">
        <v>0</v>
      </c>
      <c r="I3" s="11" t="s">
        <v>157</v>
      </c>
      <c r="J3" s="10">
        <f>B3*0.75</f>
        <v>1200</v>
      </c>
    </row>
    <row r="4" spans="1:13">
      <c r="A4" s="11">
        <v>2</v>
      </c>
      <c r="B4" s="10">
        <v>2400</v>
      </c>
      <c r="C4" s="10">
        <v>0</v>
      </c>
      <c r="D4" s="10">
        <v>450</v>
      </c>
      <c r="E4" s="10">
        <v>0</v>
      </c>
      <c r="F4" s="10">
        <v>2</v>
      </c>
      <c r="G4" s="10">
        <v>0</v>
      </c>
      <c r="I4" s="11" t="s">
        <v>126</v>
      </c>
      <c r="J4" s="3">
        <f>(B31*C11+B32*C12)/SUM(C11:C15)</f>
        <v>0.31452124286620164</v>
      </c>
    </row>
    <row r="5" spans="1:13">
      <c r="A5" s="11">
        <v>3</v>
      </c>
      <c r="B5" s="10">
        <v>4800</v>
      </c>
      <c r="C5" s="10">
        <v>20</v>
      </c>
      <c r="D5" s="10">
        <v>300</v>
      </c>
      <c r="E5" s="10">
        <v>300</v>
      </c>
      <c r="F5" s="10">
        <v>3</v>
      </c>
      <c r="G5" s="10">
        <v>6</v>
      </c>
      <c r="I5" s="11" t="s">
        <v>135</v>
      </c>
      <c r="J5" s="3">
        <f>SUMPRODUCT(B11:B15,E11:E15)-J3*J4</f>
        <v>2438.5542168674697</v>
      </c>
    </row>
    <row r="6" spans="1:13">
      <c r="A6" s="11">
        <v>4</v>
      </c>
      <c r="B6" s="10">
        <v>10000</v>
      </c>
      <c r="C6" s="10">
        <v>50</v>
      </c>
      <c r="D6" s="10">
        <v>250</v>
      </c>
      <c r="E6" s="10">
        <v>250</v>
      </c>
      <c r="F6" s="10">
        <v>4</v>
      </c>
      <c r="G6" s="10">
        <v>7</v>
      </c>
      <c r="I6" s="11" t="s">
        <v>139</v>
      </c>
      <c r="J6" s="3">
        <f>SUMPRODUCT(E11:E15,D11:D15)</f>
        <v>16.622143310082432</v>
      </c>
    </row>
    <row r="7" spans="1:13">
      <c r="A7" s="11">
        <v>5</v>
      </c>
      <c r="B7" s="10">
        <v>20000</v>
      </c>
      <c r="C7" s="10">
        <v>200</v>
      </c>
      <c r="D7" s="10">
        <v>300</v>
      </c>
      <c r="E7" s="10">
        <v>300</v>
      </c>
      <c r="F7" s="10">
        <v>5</v>
      </c>
      <c r="G7" s="10">
        <v>8</v>
      </c>
      <c r="I7" s="11" t="s">
        <v>124</v>
      </c>
      <c r="J7" s="15">
        <f>ROUND(K7/5,0)*5</f>
        <v>60</v>
      </c>
      <c r="K7" s="7">
        <f>J2/J6</f>
        <v>60.160713413740915</v>
      </c>
    </row>
    <row r="8" spans="1:13">
      <c r="I8" s="12" t="s">
        <v>261</v>
      </c>
      <c r="J8" s="15">
        <f>INT(K8/10000)*10000</f>
        <v>140000</v>
      </c>
      <c r="K8" s="3">
        <f>J5*K7</f>
        <v>146705.16138483325</v>
      </c>
    </row>
    <row r="9" spans="1:13">
      <c r="A9" s="44" t="s">
        <v>276</v>
      </c>
    </row>
    <row r="10" spans="1:13">
      <c r="A10" s="11" t="s">
        <v>23</v>
      </c>
      <c r="B10" s="3" t="s">
        <v>24</v>
      </c>
      <c r="C10" s="3" t="s">
        <v>138</v>
      </c>
      <c r="D10" s="3" t="s">
        <v>134</v>
      </c>
      <c r="E10" s="3" t="s">
        <v>137</v>
      </c>
      <c r="F10" s="7" t="s">
        <v>156</v>
      </c>
    </row>
    <row r="11" spans="1:13">
      <c r="A11" s="11">
        <v>1</v>
      </c>
      <c r="B11" s="7">
        <f>B3</f>
        <v>1600</v>
      </c>
      <c r="C11" s="3">
        <v>1</v>
      </c>
      <c r="D11" s="3">
        <f>C31*$C$21+D31*$C$22+E31*$C$23+F31*$C$24+G31*$C$25</f>
        <v>10</v>
      </c>
      <c r="E11" s="48">
        <f>C11/SUM($C$11:$C$15)</f>
        <v>0.507292327203551</v>
      </c>
      <c r="F11" s="3">
        <f>D11/B11</f>
        <v>6.2500000000000003E-3</v>
      </c>
    </row>
    <row r="12" spans="1:13">
      <c r="A12" s="11">
        <v>2</v>
      </c>
      <c r="B12" s="7">
        <f>B4</f>
        <v>2400</v>
      </c>
      <c r="C12" s="3">
        <f>C11*D3/1000</f>
        <v>0.6</v>
      </c>
      <c r="D12" s="3">
        <f>C32*$C$21+D32*$C$22+E32*$C$23+F32*$C$24+G32*$C$25</f>
        <v>18</v>
      </c>
      <c r="E12" s="48">
        <f>C12/SUM($C$11:$C$15)</f>
        <v>0.30437539632213056</v>
      </c>
      <c r="F12" s="3">
        <f>D12/B12</f>
        <v>7.4999999999999997E-3</v>
      </c>
    </row>
    <row r="13" spans="1:13">
      <c r="A13" s="11">
        <v>3</v>
      </c>
      <c r="B13" s="7">
        <f>B5</f>
        <v>4800</v>
      </c>
      <c r="C13" s="3">
        <f>C12*D4/1000</f>
        <v>0.27</v>
      </c>
      <c r="D13" s="3">
        <f>C33*$C$21+D33*$C$22+E33*$C$23+F33*$C$24+G33*$C$25</f>
        <v>26.799999999999997</v>
      </c>
      <c r="E13" s="48">
        <f>C13/SUM($C$11:$C$15)</f>
        <v>0.13696892834495877</v>
      </c>
      <c r="F13" s="3">
        <f>D13/B13</f>
        <v>5.5833333333333325E-3</v>
      </c>
    </row>
    <row r="14" spans="1:13">
      <c r="A14" s="11">
        <v>4</v>
      </c>
      <c r="B14" s="7">
        <f>B6</f>
        <v>10000</v>
      </c>
      <c r="C14" s="3">
        <f>C13*D5/1000</f>
        <v>8.1000000000000003E-2</v>
      </c>
      <c r="D14" s="3">
        <f>C34*$C$21+D34*$C$22+E34*$C$23+F34*$C$24+G34*$C$25</f>
        <v>42.4</v>
      </c>
      <c r="E14" s="48">
        <f>C14/SUM($C$11:$C$15)</f>
        <v>4.1090678503487632E-2</v>
      </c>
      <c r="F14" s="3">
        <f>D14/B14</f>
        <v>4.2399999999999998E-3</v>
      </c>
    </row>
    <row r="15" spans="1:13">
      <c r="A15" s="11">
        <v>5</v>
      </c>
      <c r="B15" s="7">
        <f>B7</f>
        <v>20000</v>
      </c>
      <c r="C15" s="3">
        <f>C14*D6/1000</f>
        <v>2.0250000000000001E-2</v>
      </c>
      <c r="D15" s="3">
        <f>C35*$C$21+D35*$C$22+E35*$C$23+F35*$C$24+G35*$C$25</f>
        <v>64</v>
      </c>
      <c r="E15" s="48">
        <f>C15/SUM($C$11:$C$15)</f>
        <v>1.0272669625871908E-2</v>
      </c>
      <c r="F15" s="3">
        <f>D15/B15</f>
        <v>3.2000000000000002E-3</v>
      </c>
    </row>
    <row r="18" spans="1:159">
      <c r="E18" s="22"/>
      <c r="F18" s="47" t="s">
        <v>290</v>
      </c>
      <c r="G18" s="47" t="s">
        <v>292</v>
      </c>
    </row>
    <row r="19" spans="1:159">
      <c r="A19" s="12" t="s">
        <v>92</v>
      </c>
      <c r="B19" s="12" t="s">
        <v>93</v>
      </c>
      <c r="C19" s="12" t="s">
        <v>133</v>
      </c>
      <c r="D19" s="12" t="s">
        <v>136</v>
      </c>
      <c r="E19" s="12" t="s">
        <v>140</v>
      </c>
      <c r="F19" s="12" t="s">
        <v>289</v>
      </c>
      <c r="G19" s="12" t="s">
        <v>291</v>
      </c>
      <c r="H19" s="22"/>
    </row>
    <row r="20" spans="1:159">
      <c r="A20" s="12">
        <v>0</v>
      </c>
      <c r="B20" s="12" t="s">
        <v>272</v>
      </c>
      <c r="C20" s="12">
        <v>0</v>
      </c>
      <c r="D20" s="56">
        <f>SUMPRODUCT($E$11:$E$15,B31:B35)</f>
        <v>0.31452124286620164</v>
      </c>
      <c r="E20" s="3">
        <f>D20*K$7</f>
        <v>18.921822354607162</v>
      </c>
      <c r="F20" s="3">
        <f t="shared" ref="F20:F25" si="0">E20*30</f>
        <v>567.65467063821484</v>
      </c>
      <c r="G20" s="3">
        <f>F20*6</f>
        <v>3405.928023829289</v>
      </c>
    </row>
    <row r="21" spans="1:159">
      <c r="A21" s="12">
        <f>定义数据!C3</f>
        <v>1</v>
      </c>
      <c r="B21" s="12" t="str">
        <f>定义数据!B3</f>
        <v>绿色</v>
      </c>
      <c r="C21" s="12">
        <f>命格辅助表!Q76</f>
        <v>20</v>
      </c>
      <c r="D21" s="56">
        <f>SUMPRODUCT($E$11:$E$15,C31:C35)</f>
        <v>0.57765377298668352</v>
      </c>
      <c r="E21" s="3">
        <f t="shared" ref="E21:E25" si="1">D21*K$7</f>
        <v>34.752063089018023</v>
      </c>
      <c r="F21" s="3">
        <f t="shared" si="0"/>
        <v>1042.5618926705406</v>
      </c>
      <c r="G21" s="3">
        <f t="shared" ref="G21:G25" si="2">F21*6</f>
        <v>6255.3713560232436</v>
      </c>
      <c r="H21">
        <f>D21/D22</f>
        <v>6.1818675352877301</v>
      </c>
    </row>
    <row r="22" spans="1:159">
      <c r="A22" s="12">
        <f>定义数据!C4</f>
        <v>2</v>
      </c>
      <c r="B22" s="12" t="str">
        <f>定义数据!B4</f>
        <v>蓝色</v>
      </c>
      <c r="C22" s="12">
        <f>命格辅助表!R76</f>
        <v>40</v>
      </c>
      <c r="D22" s="56">
        <f>SUMPRODUCT($E$11:$E$15,D31:D35)</f>
        <v>9.3443246670894098E-2</v>
      </c>
      <c r="E22" s="3">
        <f t="shared" si="1"/>
        <v>5.6216123834171592</v>
      </c>
      <c r="F22" s="3">
        <f t="shared" si="0"/>
        <v>168.64837150251478</v>
      </c>
      <c r="G22" s="3">
        <f t="shared" si="2"/>
        <v>1011.8902290150886</v>
      </c>
      <c r="H22">
        <f>D22/D23</f>
        <v>7.4559805707346696</v>
      </c>
    </row>
    <row r="23" spans="1:159">
      <c r="A23" s="12">
        <f>定义数据!C5</f>
        <v>3</v>
      </c>
      <c r="B23" s="12" t="str">
        <f>定义数据!B5</f>
        <v>紫色</v>
      </c>
      <c r="C23" s="12">
        <f>命格辅助表!S76</f>
        <v>80</v>
      </c>
      <c r="D23" s="56">
        <f>SUMPRODUCT($E$11:$E$15,E31:E35)</f>
        <v>1.2532656943563727E-2</v>
      </c>
      <c r="E23" s="3">
        <f>D23*K$7</f>
        <v>0.75397358269446746</v>
      </c>
      <c r="F23" s="3">
        <f t="shared" si="0"/>
        <v>22.619207480834024</v>
      </c>
      <c r="G23" s="3">
        <f t="shared" si="2"/>
        <v>135.71524488500415</v>
      </c>
      <c r="H23">
        <f>D23/D24</f>
        <v>7.6249999999999991</v>
      </c>
    </row>
    <row r="24" spans="1:159">
      <c r="A24" s="12">
        <f>定义数据!C6</f>
        <v>4</v>
      </c>
      <c r="B24" s="12" t="str">
        <f>定义数据!B6</f>
        <v>橙色</v>
      </c>
      <c r="C24" s="12">
        <f>命格辅助表!T76</f>
        <v>160</v>
      </c>
      <c r="D24" s="56">
        <f>SUMPRODUCT($E$11:$E$15,F31:F35)</f>
        <v>1.6436271401395054E-3</v>
      </c>
      <c r="E24" s="3">
        <f t="shared" si="1"/>
        <v>9.8881781336979363E-2</v>
      </c>
      <c r="F24" s="3">
        <f t="shared" si="0"/>
        <v>2.9664534401093809</v>
      </c>
      <c r="G24" s="3">
        <f t="shared" si="2"/>
        <v>17.798720640656285</v>
      </c>
      <c r="H24">
        <f>D24/D25</f>
        <v>8</v>
      </c>
    </row>
    <row r="25" spans="1:159">
      <c r="A25" s="12">
        <f>定义数据!C7</f>
        <v>5</v>
      </c>
      <c r="B25" s="12" t="str">
        <f>定义数据!B7</f>
        <v>红色</v>
      </c>
      <c r="C25" s="12">
        <f>命格辅助表!U76</f>
        <v>320</v>
      </c>
      <c r="D25" s="56">
        <f>SUMPRODUCT($E$11:$E$15,G31:G35)</f>
        <v>2.0545339251743818E-4</v>
      </c>
      <c r="E25" s="3">
        <f t="shared" si="1"/>
        <v>1.236022266712242E-2</v>
      </c>
      <c r="F25" s="3">
        <f t="shared" si="0"/>
        <v>0.37080668001367262</v>
      </c>
      <c r="G25" s="3">
        <f t="shared" si="2"/>
        <v>2.2248400800820356</v>
      </c>
    </row>
    <row r="29" spans="1:159">
      <c r="A29" s="44" t="s">
        <v>270</v>
      </c>
      <c r="Q29" t="s">
        <v>274</v>
      </c>
      <c r="Y29" t="s">
        <v>218</v>
      </c>
    </row>
    <row r="30" spans="1:159">
      <c r="A30" s="11" t="s">
        <v>125</v>
      </c>
      <c r="B30" s="3" t="s">
        <v>128</v>
      </c>
      <c r="C30" s="3" t="s">
        <v>127</v>
      </c>
      <c r="D30" s="3" t="s">
        <v>129</v>
      </c>
      <c r="E30" s="3" t="s">
        <v>130</v>
      </c>
      <c r="F30" s="3" t="s">
        <v>131</v>
      </c>
      <c r="G30" s="3" t="s">
        <v>132</v>
      </c>
      <c r="I30" s="11" t="s">
        <v>125</v>
      </c>
      <c r="J30" s="55" t="s">
        <v>128</v>
      </c>
      <c r="K30" s="55" t="s">
        <v>127</v>
      </c>
      <c r="L30" s="55" t="s">
        <v>129</v>
      </c>
      <c r="M30" s="55" t="s">
        <v>130</v>
      </c>
      <c r="N30" s="55" t="s">
        <v>131</v>
      </c>
      <c r="O30" s="55" t="s">
        <v>132</v>
      </c>
      <c r="Q30" s="3" t="s">
        <v>128</v>
      </c>
      <c r="R30" s="3" t="s">
        <v>127</v>
      </c>
      <c r="S30" s="3" t="s">
        <v>129</v>
      </c>
      <c r="T30" s="3" t="s">
        <v>130</v>
      </c>
      <c r="U30" s="3" t="s">
        <v>131</v>
      </c>
      <c r="V30" s="3" t="s">
        <v>132</v>
      </c>
      <c r="Y30" s="3" t="s">
        <v>128</v>
      </c>
      <c r="Z30" s="3" t="s">
        <v>127</v>
      </c>
      <c r="AA30" s="3" t="s">
        <v>129</v>
      </c>
      <c r="AB30" s="3" t="s">
        <v>130</v>
      </c>
      <c r="AC30" s="3" t="s">
        <v>131</v>
      </c>
      <c r="AD30" s="3" t="s">
        <v>132</v>
      </c>
      <c r="AF30" s="3" t="s">
        <v>30</v>
      </c>
      <c r="AG30" s="3" t="s">
        <v>31</v>
      </c>
      <c r="AH30" s="3" t="s">
        <v>32</v>
      </c>
      <c r="AI30" s="16" t="s">
        <v>74</v>
      </c>
      <c r="AJ30" s="3" t="s">
        <v>33</v>
      </c>
      <c r="AK30" s="3" t="s">
        <v>34</v>
      </c>
      <c r="AL30" s="16" t="s">
        <v>74</v>
      </c>
      <c r="AM30" s="3" t="s">
        <v>35</v>
      </c>
      <c r="AN30" s="3" t="s">
        <v>36</v>
      </c>
      <c r="AO30" s="16" t="s">
        <v>74</v>
      </c>
      <c r="AP30" s="3" t="s">
        <v>37</v>
      </c>
      <c r="AQ30" s="3" t="s">
        <v>38</v>
      </c>
      <c r="AR30" s="16" t="s">
        <v>74</v>
      </c>
      <c r="AS30" s="3" t="s">
        <v>39</v>
      </c>
      <c r="AT30" s="3" t="s">
        <v>40</v>
      </c>
      <c r="AU30" s="16" t="s">
        <v>74</v>
      </c>
      <c r="AV30" s="3" t="s">
        <v>41</v>
      </c>
      <c r="AW30" s="3" t="s">
        <v>42</v>
      </c>
      <c r="AX30" s="16" t="s">
        <v>74</v>
      </c>
      <c r="AY30" s="3" t="s">
        <v>43</v>
      </c>
      <c r="AZ30" s="3" t="s">
        <v>44</v>
      </c>
      <c r="BA30" s="16" t="s">
        <v>74</v>
      </c>
      <c r="BB30" s="3" t="s">
        <v>45</v>
      </c>
      <c r="BC30" s="3" t="s">
        <v>46</v>
      </c>
      <c r="BD30" s="16" t="s">
        <v>74</v>
      </c>
      <c r="BE30" s="3" t="s">
        <v>47</v>
      </c>
      <c r="BF30" s="3" t="s">
        <v>48</v>
      </c>
      <c r="BG30" s="16" t="s">
        <v>74</v>
      </c>
      <c r="BH30" s="3" t="s">
        <v>49</v>
      </c>
      <c r="BI30" s="3" t="s">
        <v>50</v>
      </c>
      <c r="BJ30" s="16" t="s">
        <v>74</v>
      </c>
      <c r="BK30" s="3" t="s">
        <v>51</v>
      </c>
      <c r="BL30" s="3" t="s">
        <v>52</v>
      </c>
      <c r="BM30" s="16" t="s">
        <v>74</v>
      </c>
      <c r="BN30" s="3" t="s">
        <v>53</v>
      </c>
      <c r="BO30" s="3" t="s">
        <v>54</v>
      </c>
      <c r="BP30" s="16" t="s">
        <v>74</v>
      </c>
      <c r="BQ30" s="3" t="s">
        <v>55</v>
      </c>
      <c r="BR30" s="3" t="s">
        <v>56</v>
      </c>
      <c r="BS30" s="16" t="s">
        <v>74</v>
      </c>
      <c r="BT30" s="3" t="s">
        <v>57</v>
      </c>
      <c r="BU30" s="3" t="s">
        <v>58</v>
      </c>
      <c r="BV30" s="16" t="s">
        <v>74</v>
      </c>
      <c r="BW30" s="3" t="s">
        <v>59</v>
      </c>
      <c r="BX30" s="3" t="s">
        <v>60</v>
      </c>
      <c r="BY30" s="16" t="s">
        <v>74</v>
      </c>
      <c r="BZ30" s="3" t="s">
        <v>61</v>
      </c>
      <c r="CA30" s="3" t="s">
        <v>62</v>
      </c>
      <c r="CB30" s="16" t="s">
        <v>74</v>
      </c>
      <c r="CC30" s="3" t="s">
        <v>63</v>
      </c>
      <c r="CD30" s="3" t="s">
        <v>64</v>
      </c>
      <c r="CE30" s="16" t="s">
        <v>74</v>
      </c>
      <c r="CF30" s="3" t="s">
        <v>65</v>
      </c>
      <c r="CG30" s="3" t="s">
        <v>66</v>
      </c>
      <c r="CH30" s="16" t="s">
        <v>74</v>
      </c>
      <c r="CI30" s="3" t="s">
        <v>67</v>
      </c>
      <c r="CJ30" s="3" t="s">
        <v>68</v>
      </c>
      <c r="CK30" s="16" t="s">
        <v>74</v>
      </c>
      <c r="CL30" s="3" t="s">
        <v>69</v>
      </c>
      <c r="CM30" s="3" t="s">
        <v>70</v>
      </c>
      <c r="CN30" s="16" t="s">
        <v>74</v>
      </c>
      <c r="CO30" s="3" t="s">
        <v>71</v>
      </c>
      <c r="CP30" s="3" t="s">
        <v>141</v>
      </c>
      <c r="CQ30" s="16" t="s">
        <v>74</v>
      </c>
      <c r="CR30" s="3" t="s">
        <v>142</v>
      </c>
      <c r="CS30" s="3" t="s">
        <v>143</v>
      </c>
      <c r="CT30" s="16" t="s">
        <v>74</v>
      </c>
      <c r="CU30" s="3" t="s">
        <v>144</v>
      </c>
      <c r="CV30" s="3" t="s">
        <v>145</v>
      </c>
      <c r="CW30" s="16" t="s">
        <v>74</v>
      </c>
      <c r="CX30" s="3" t="s">
        <v>146</v>
      </c>
      <c r="CY30" s="3" t="s">
        <v>147</v>
      </c>
      <c r="CZ30" s="16" t="s">
        <v>74</v>
      </c>
      <c r="DA30" s="3" t="s">
        <v>148</v>
      </c>
      <c r="DB30" s="3" t="s">
        <v>149</v>
      </c>
      <c r="DC30" s="16" t="s">
        <v>74</v>
      </c>
      <c r="DD30" s="3" t="s">
        <v>150</v>
      </c>
      <c r="DE30" s="3" t="s">
        <v>151</v>
      </c>
      <c r="DF30" s="16" t="s">
        <v>74</v>
      </c>
      <c r="DG30" s="3" t="s">
        <v>152</v>
      </c>
      <c r="DH30" s="3" t="s">
        <v>153</v>
      </c>
      <c r="DI30" s="16" t="s">
        <v>74</v>
      </c>
      <c r="DJ30" s="3" t="s">
        <v>154</v>
      </c>
      <c r="DK30" s="3" t="s">
        <v>158</v>
      </c>
      <c r="DL30" s="16" t="s">
        <v>74</v>
      </c>
      <c r="DM30" s="3" t="s">
        <v>159</v>
      </c>
      <c r="DN30" s="3" t="s">
        <v>160</v>
      </c>
      <c r="DO30" s="16" t="s">
        <v>74</v>
      </c>
      <c r="DP30" s="3" t="s">
        <v>161</v>
      </c>
      <c r="DQ30" s="3" t="s">
        <v>162</v>
      </c>
      <c r="DR30" s="16" t="s">
        <v>74</v>
      </c>
      <c r="DS30" s="3" t="s">
        <v>163</v>
      </c>
      <c r="DT30" s="3" t="s">
        <v>164</v>
      </c>
      <c r="DU30" s="16" t="s">
        <v>74</v>
      </c>
      <c r="DV30" s="3" t="s">
        <v>165</v>
      </c>
      <c r="DW30" s="3" t="s">
        <v>166</v>
      </c>
      <c r="DX30" s="16" t="s">
        <v>74</v>
      </c>
      <c r="DY30" s="3" t="s">
        <v>167</v>
      </c>
      <c r="DZ30" s="3" t="s">
        <v>168</v>
      </c>
      <c r="EA30" s="16" t="s">
        <v>74</v>
      </c>
      <c r="EB30" s="3" t="s">
        <v>169</v>
      </c>
      <c r="EC30" s="3" t="s">
        <v>170</v>
      </c>
      <c r="ED30" s="16" t="s">
        <v>74</v>
      </c>
      <c r="EE30" s="3" t="s">
        <v>171</v>
      </c>
      <c r="EF30" s="3" t="s">
        <v>172</v>
      </c>
      <c r="EG30" s="16" t="s">
        <v>74</v>
      </c>
      <c r="EH30" s="3" t="s">
        <v>173</v>
      </c>
      <c r="EI30" s="3" t="s">
        <v>174</v>
      </c>
      <c r="EJ30" s="16" t="s">
        <v>74</v>
      </c>
      <c r="EK30" s="3" t="s">
        <v>175</v>
      </c>
      <c r="EL30" s="3" t="s">
        <v>176</v>
      </c>
      <c r="EM30" s="16" t="s">
        <v>74</v>
      </c>
      <c r="EN30" s="3" t="s">
        <v>177</v>
      </c>
      <c r="EO30" s="3" t="s">
        <v>178</v>
      </c>
      <c r="EP30" s="16" t="s">
        <v>74</v>
      </c>
      <c r="EQ30" s="3" t="s">
        <v>179</v>
      </c>
      <c r="ER30" s="3" t="s">
        <v>180</v>
      </c>
      <c r="ES30" s="16" t="s">
        <v>74</v>
      </c>
      <c r="ET30" s="3" t="s">
        <v>181</v>
      </c>
      <c r="EU30" s="3" t="s">
        <v>182</v>
      </c>
      <c r="EV30" s="16" t="s">
        <v>74</v>
      </c>
      <c r="EW30" s="3" t="s">
        <v>183</v>
      </c>
      <c r="EX30" s="3" t="s">
        <v>184</v>
      </c>
      <c r="EY30" s="16" t="s">
        <v>74</v>
      </c>
      <c r="EZ30" s="3" t="s">
        <v>185</v>
      </c>
      <c r="FA30" s="3" t="s">
        <v>186</v>
      </c>
      <c r="FB30" s="16" t="s">
        <v>74</v>
      </c>
      <c r="FC30" s="3" t="s">
        <v>187</v>
      </c>
    </row>
    <row r="31" spans="1:159">
      <c r="A31" s="11">
        <v>1</v>
      </c>
      <c r="B31" s="10">
        <v>0.5</v>
      </c>
      <c r="C31" s="10">
        <v>0.5</v>
      </c>
      <c r="D31" s="10">
        <v>0</v>
      </c>
      <c r="E31" s="10">
        <v>0</v>
      </c>
      <c r="F31" s="10">
        <v>0</v>
      </c>
      <c r="G31" s="10">
        <v>0</v>
      </c>
      <c r="H31">
        <f>SUM(B31:G31)</f>
        <v>1</v>
      </c>
      <c r="I31" s="59">
        <v>1</v>
      </c>
      <c r="J31" s="10">
        <v>0.5</v>
      </c>
      <c r="K31" s="10">
        <v>0.5</v>
      </c>
      <c r="L31" s="10">
        <v>0</v>
      </c>
      <c r="M31" s="10">
        <v>0</v>
      </c>
      <c r="N31" s="10">
        <v>0</v>
      </c>
      <c r="O31" s="10">
        <v>0</v>
      </c>
      <c r="P31">
        <f>SUM(J31:O31)</f>
        <v>1</v>
      </c>
      <c r="Q31" s="14">
        <v>1</v>
      </c>
      <c r="R31" s="14">
        <v>3</v>
      </c>
      <c r="S31" s="14"/>
      <c r="T31" s="14"/>
      <c r="U31" s="14"/>
      <c r="V31" s="14"/>
      <c r="W31">
        <f>SUM(Q31:V31)</f>
        <v>4</v>
      </c>
      <c r="Y31" s="7">
        <f t="shared" ref="Y31:AD38" si="3">IF(Q31=0,"",ROUND(J31*10000/Q31,0))</f>
        <v>5000</v>
      </c>
      <c r="Z31" s="7">
        <f t="shared" si="3"/>
        <v>1667</v>
      </c>
      <c r="AA31" s="7" t="str">
        <f t="shared" si="3"/>
        <v/>
      </c>
      <c r="AB31" s="7" t="str">
        <f t="shared" si="3"/>
        <v/>
      </c>
      <c r="AC31" s="7" t="str">
        <f t="shared" si="3"/>
        <v/>
      </c>
      <c r="AD31" s="7" t="str">
        <f t="shared" si="3"/>
        <v/>
      </c>
      <c r="AF31" s="3">
        <v>1</v>
      </c>
      <c r="AG31" s="3">
        <f t="shared" ref="AG31:AG38" si="4">W31</f>
        <v>4</v>
      </c>
      <c r="AH31" s="10">
        <v>8001</v>
      </c>
      <c r="AI31" s="3" t="s">
        <v>302</v>
      </c>
      <c r="AJ31" s="3">
        <f>AM31-$Z31</f>
        <v>4999</v>
      </c>
      <c r="AK31" s="10">
        <v>8110</v>
      </c>
      <c r="AL31" s="3" t="s">
        <v>303</v>
      </c>
      <c r="AM31" s="3">
        <f>AP31-$Z31</f>
        <v>6666</v>
      </c>
      <c r="AN31" s="3">
        <f t="shared" ref="AN31:AN35" si="5">AK31+100</f>
        <v>8210</v>
      </c>
      <c r="AO31" s="3" t="s">
        <v>304</v>
      </c>
      <c r="AP31" s="3">
        <f>AS31-$Z31</f>
        <v>8333</v>
      </c>
      <c r="AQ31" s="3">
        <f>AN31+100</f>
        <v>8310</v>
      </c>
      <c r="AR31" s="3" t="s">
        <v>305</v>
      </c>
      <c r="AS31" s="3">
        <v>10000</v>
      </c>
      <c r="AT31" s="3"/>
      <c r="AU31" s="3" t="str">
        <f t="shared" ref="AU31" si="6">IFERROR(VLOOKUP(AT31,命格属性表,2,FALSE),"")</f>
        <v/>
      </c>
      <c r="AV31" s="3"/>
      <c r="AW31" s="3"/>
      <c r="AX31" s="3" t="str">
        <f t="shared" ref="AX31:AX35" si="7">IFERROR(VLOOKUP(AW31,命格属性表,2,FALSE),"")</f>
        <v/>
      </c>
      <c r="AY31" s="3"/>
      <c r="AZ31" s="3"/>
      <c r="BA31" s="3" t="str">
        <f t="shared" ref="BA31:BA35" si="8">IFERROR(VLOOKUP(AZ31,命格属性表,2,FALSE),"")</f>
        <v/>
      </c>
      <c r="BB31" s="3"/>
      <c r="BC31" s="3"/>
      <c r="BD31" s="3" t="str">
        <f t="shared" ref="BD31:BD35" si="9">IFERROR(VLOOKUP(BC31,命格属性表,2,FALSE),"")</f>
        <v/>
      </c>
      <c r="BE31" s="3"/>
      <c r="BF31" s="3"/>
      <c r="BG31" s="3" t="str">
        <f t="shared" ref="BG31:BG35" si="10">IFERROR(VLOOKUP(BF31,命格属性表,2,FALSE),"")</f>
        <v/>
      </c>
      <c r="BH31" s="3"/>
      <c r="BI31" s="3"/>
      <c r="BJ31" s="3" t="str">
        <f t="shared" ref="BJ31:BJ35" si="11">IFERROR(VLOOKUP(BI31,命格属性表,2,FALSE),"")</f>
        <v/>
      </c>
      <c r="BK31" s="3"/>
      <c r="BL31" s="3"/>
      <c r="BM31" s="3" t="str">
        <f t="shared" ref="BM31:BM35" si="12">IFERROR(VLOOKUP(BL31,命格属性表,2,FALSE),"")</f>
        <v/>
      </c>
      <c r="BN31" s="3"/>
      <c r="BO31" s="3"/>
      <c r="BP31" s="3" t="str">
        <f t="shared" ref="BP31:BP35" si="13">IFERROR(VLOOKUP(BO31,命格属性表,2,FALSE),"")</f>
        <v/>
      </c>
      <c r="BQ31" s="3"/>
      <c r="BR31" s="3"/>
      <c r="BS31" s="3" t="str">
        <f t="shared" ref="BS31:BS35" si="14">IFERROR(VLOOKUP(BR31,命格属性表,2,FALSE),"")</f>
        <v/>
      </c>
      <c r="BT31" s="3"/>
      <c r="BU31" s="3"/>
      <c r="BV31" s="3" t="str">
        <f t="shared" ref="BV31:BV33" si="15">IFERROR(VLOOKUP(BU31,命格属性表,2,FALSE),"")</f>
        <v/>
      </c>
      <c r="BW31" s="3"/>
      <c r="BX31" s="3"/>
      <c r="BY31" s="3" t="str">
        <f t="shared" ref="BY31:BY35" si="16">IFERROR(VLOOKUP(BX31,命格属性表,2,FALSE),"")</f>
        <v/>
      </c>
      <c r="BZ31" s="3"/>
      <c r="CA31" s="3"/>
      <c r="CB31" s="3" t="str">
        <f t="shared" ref="CB31:CB33" si="17">IFERROR(VLOOKUP(CA31,命格属性表,2,FALSE),"")</f>
        <v/>
      </c>
      <c r="CC31" s="3"/>
      <c r="CD31" s="3"/>
      <c r="CE31" s="3" t="str">
        <f t="shared" ref="CE31:CE34" si="18">IFERROR(VLOOKUP(CD31,命格属性表,2,FALSE),"")</f>
        <v/>
      </c>
      <c r="CF31" s="3"/>
      <c r="CG31" s="3"/>
      <c r="CH31" s="3" t="str">
        <f t="shared" ref="CH31:CH34" si="19">IFERROR(VLOOKUP(CG31,命格属性表,2,FALSE),"")</f>
        <v/>
      </c>
      <c r="CI31" s="3"/>
      <c r="CJ31" s="3"/>
      <c r="CK31" s="3" t="str">
        <f t="shared" ref="CK31:CK34" si="20">IFERROR(VLOOKUP(CJ31,命格属性表,2,FALSE),"")</f>
        <v/>
      </c>
      <c r="CL31" s="3"/>
      <c r="CM31" s="3"/>
      <c r="CN31" s="3" t="str">
        <f t="shared" ref="CN31:CN34" si="21">IFERROR(VLOOKUP(CM31,命格属性表,2,FALSE),"")</f>
        <v/>
      </c>
      <c r="CO31" s="3"/>
      <c r="CP31" s="3"/>
      <c r="CQ31" s="3" t="str">
        <f t="shared" ref="CQ31:CQ34" si="22">IFERROR(VLOOKUP(CP31,命格属性表,2,FALSE),"")</f>
        <v/>
      </c>
      <c r="CR31" s="3"/>
      <c r="CS31" s="3"/>
      <c r="CT31" s="3" t="str">
        <f t="shared" ref="CT31:CT32" si="23">IFERROR(VLOOKUP(CS31,命格属性表,2,FALSE),"")</f>
        <v/>
      </c>
      <c r="CU31" s="3"/>
      <c r="CV31" s="3"/>
      <c r="CW31" s="3" t="str">
        <f t="shared" ref="CW31:CW34" si="24">IFERROR(VLOOKUP(CV31,命格属性表,2,FALSE),"")</f>
        <v/>
      </c>
      <c r="CX31" s="3"/>
      <c r="CY31" s="3"/>
      <c r="CZ31" s="3" t="str">
        <f t="shared" ref="CZ31:CZ33" si="25">IFERROR(VLOOKUP(CY31,命格属性表,2,FALSE),"")</f>
        <v/>
      </c>
      <c r="DA31" s="3"/>
      <c r="DB31" s="3"/>
      <c r="DC31" s="3" t="str">
        <f t="shared" ref="DC31:DC34" si="26">IFERROR(VLOOKUP(DB31,命格属性表,2,FALSE),"")</f>
        <v/>
      </c>
      <c r="DD31" s="3"/>
      <c r="DE31" s="3"/>
      <c r="DF31" s="3" t="str">
        <f t="shared" ref="DF31:DF33" si="27">IFERROR(VLOOKUP(DE31,命格属性表,2,FALSE),"")</f>
        <v/>
      </c>
      <c r="DG31" s="3"/>
      <c r="DH31" s="3"/>
      <c r="DI31" s="3" t="str">
        <f t="shared" ref="DI31:DI33" si="28">IFERROR(VLOOKUP(DH31,命格属性表,2,FALSE),"")</f>
        <v/>
      </c>
      <c r="DJ31" s="3"/>
      <c r="DK31" s="3"/>
      <c r="DL31" s="3" t="str">
        <f t="shared" ref="DL31:DL33" si="29">IFERROR(VLOOKUP(DK31,命格属性表,2,FALSE),"")</f>
        <v/>
      </c>
      <c r="DM31" s="3"/>
      <c r="DN31" s="3"/>
      <c r="DO31" s="3" t="str">
        <f>IFERROR(VLOOKUP(DN31,命格属性表,2,FALSE),"")</f>
        <v/>
      </c>
      <c r="DP31" s="3"/>
      <c r="DQ31" s="3"/>
      <c r="DR31" s="3" t="str">
        <f>IFERROR(VLOOKUP(DQ31,命格属性表,2,FALSE),"")</f>
        <v/>
      </c>
      <c r="DS31" s="3"/>
      <c r="DT31" s="3"/>
      <c r="DU31" s="3" t="str">
        <f>IFERROR(VLOOKUP(DT31,命格属性表,2,FALSE),"")</f>
        <v/>
      </c>
      <c r="DV31" s="3"/>
      <c r="DW31" s="3"/>
      <c r="DX31" s="3" t="str">
        <f>IFERROR(VLOOKUP(DW31,命格属性表,2,FALSE),"")</f>
        <v/>
      </c>
      <c r="DY31" s="3"/>
      <c r="DZ31" s="3"/>
      <c r="EA31" s="3" t="str">
        <f t="shared" ref="EA31:EA33" si="30">IFERROR(VLOOKUP(DZ31,命格属性表,2,FALSE),"")</f>
        <v/>
      </c>
      <c r="EB31" s="3"/>
      <c r="EC31" s="3"/>
      <c r="ED31" s="3" t="str">
        <f t="shared" ref="ED31:ED34" si="31">IFERROR(VLOOKUP(EC31,命格属性表,2,FALSE),"")</f>
        <v/>
      </c>
      <c r="EE31" s="3"/>
      <c r="EF31" s="3"/>
      <c r="EG31" s="3" t="str">
        <f t="shared" ref="EG31:EG34" si="32">IFERROR(VLOOKUP(EF31,命格属性表,2,FALSE),"")</f>
        <v/>
      </c>
      <c r="EH31" s="3"/>
      <c r="EI31" s="3"/>
      <c r="EJ31" s="3" t="str">
        <f>IFERROR(VLOOKUP(EI31,命格属性表,2,FALSE),"")</f>
        <v/>
      </c>
      <c r="EK31" s="3"/>
      <c r="EL31" s="3"/>
      <c r="EM31" s="3" t="str">
        <f>IFERROR(VLOOKUP(EL31,命格属性表,2,FALSE),"")</f>
        <v/>
      </c>
      <c r="EN31" s="3"/>
      <c r="EO31" s="3"/>
      <c r="EP31" s="3" t="str">
        <f>IFERROR(VLOOKUP(EO31,命格属性表,2,FALSE),"")</f>
        <v/>
      </c>
      <c r="EQ31" s="3"/>
      <c r="ER31" s="3"/>
      <c r="ES31" s="3" t="str">
        <f>IFERROR(VLOOKUP(ER31,命格属性表,2,FALSE),"")</f>
        <v/>
      </c>
      <c r="ET31" s="3"/>
      <c r="EU31" s="3"/>
      <c r="EV31" s="3" t="str">
        <f>IFERROR(VLOOKUP(EU31,命格属性表,2,FALSE),"")</f>
        <v/>
      </c>
      <c r="EW31" s="3"/>
      <c r="EX31" s="3"/>
      <c r="EY31" s="3" t="str">
        <f>IFERROR(VLOOKUP(EX31,命格属性表,2,FALSE),"")</f>
        <v/>
      </c>
      <c r="EZ31" s="3"/>
      <c r="FA31" s="3"/>
      <c r="FB31" s="3" t="str">
        <f>IFERROR(VLOOKUP(FA31,命格属性表,2,FALSE),"")</f>
        <v/>
      </c>
      <c r="FC31" s="3"/>
    </row>
    <row r="32" spans="1:159">
      <c r="A32" s="11">
        <v>2</v>
      </c>
      <c r="B32" s="10">
        <v>0.2</v>
      </c>
      <c r="C32" s="10">
        <v>0.7</v>
      </c>
      <c r="D32" s="10">
        <v>0.1</v>
      </c>
      <c r="E32" s="10">
        <v>0</v>
      </c>
      <c r="F32" s="10">
        <v>0</v>
      </c>
      <c r="G32" s="10">
        <v>0</v>
      </c>
      <c r="H32">
        <f t="shared" ref="H32:H38" si="33">SUM(B32:G32)</f>
        <v>0.99999999999999989</v>
      </c>
      <c r="I32" s="59">
        <v>2</v>
      </c>
      <c r="J32" s="10">
        <v>0.2</v>
      </c>
      <c r="K32" s="10">
        <v>0.7</v>
      </c>
      <c r="L32" s="10">
        <v>0.1</v>
      </c>
      <c r="M32" s="10">
        <v>0</v>
      </c>
      <c r="N32" s="10">
        <v>0</v>
      </c>
      <c r="O32" s="10">
        <v>0</v>
      </c>
      <c r="P32">
        <f t="shared" ref="P32:P38" si="34">SUM(J32:O32)</f>
        <v>0.99999999999999989</v>
      </c>
      <c r="Q32" s="14">
        <v>1</v>
      </c>
      <c r="R32" s="14">
        <v>3</v>
      </c>
      <c r="S32" s="14">
        <v>8</v>
      </c>
      <c r="T32" s="14"/>
      <c r="U32" s="14"/>
      <c r="V32" s="14"/>
      <c r="W32">
        <f t="shared" ref="W32:W38" si="35">SUM(Q32:V32)</f>
        <v>12</v>
      </c>
      <c r="Y32" s="7">
        <f t="shared" si="3"/>
        <v>2000</v>
      </c>
      <c r="Z32" s="7">
        <f t="shared" si="3"/>
        <v>2333</v>
      </c>
      <c r="AA32" s="7">
        <f t="shared" si="3"/>
        <v>125</v>
      </c>
      <c r="AB32" s="7" t="str">
        <f t="shared" si="3"/>
        <v/>
      </c>
      <c r="AC32" s="7" t="str">
        <f t="shared" si="3"/>
        <v/>
      </c>
      <c r="AD32" s="7" t="str">
        <f t="shared" si="3"/>
        <v/>
      </c>
      <c r="AF32" s="3">
        <v>2</v>
      </c>
      <c r="AG32" s="3">
        <f t="shared" si="4"/>
        <v>12</v>
      </c>
      <c r="AH32" s="10">
        <v>8001</v>
      </c>
      <c r="AI32" s="3" t="s">
        <v>302</v>
      </c>
      <c r="AJ32" s="3">
        <f>AM32-$Z32</f>
        <v>2001</v>
      </c>
      <c r="AK32" s="10">
        <v>8110</v>
      </c>
      <c r="AL32" s="3" t="s">
        <v>303</v>
      </c>
      <c r="AM32" s="3">
        <f>AP32-$Z32</f>
        <v>4334</v>
      </c>
      <c r="AN32" s="3">
        <f t="shared" si="5"/>
        <v>8210</v>
      </c>
      <c r="AO32" s="3" t="s">
        <v>304</v>
      </c>
      <c r="AP32" s="3">
        <f>AS32-$Z32</f>
        <v>6667</v>
      </c>
      <c r="AQ32" s="3">
        <f>AN32+100</f>
        <v>8310</v>
      </c>
      <c r="AR32" s="3" t="s">
        <v>305</v>
      </c>
      <c r="AS32" s="3">
        <f>AV32-$AA32</f>
        <v>9000</v>
      </c>
      <c r="AT32" s="10">
        <v>8120</v>
      </c>
      <c r="AU32" s="3" t="s">
        <v>306</v>
      </c>
      <c r="AV32" s="3">
        <f>AY32-$AA32</f>
        <v>9125</v>
      </c>
      <c r="AW32" s="3">
        <f t="shared" ref="AW32:AW35" si="36">AT32+100</f>
        <v>8220</v>
      </c>
      <c r="AX32" s="3" t="s">
        <v>307</v>
      </c>
      <c r="AY32" s="3">
        <f>BB32-$AA32</f>
        <v>9250</v>
      </c>
      <c r="AZ32" s="3">
        <f>AW32+100</f>
        <v>8320</v>
      </c>
      <c r="BA32" s="3" t="str">
        <f t="shared" si="8"/>
        <v>真刚</v>
      </c>
      <c r="BB32" s="3">
        <f>BE32-$AA32</f>
        <v>9375</v>
      </c>
      <c r="BC32" s="3">
        <f t="shared" ref="BC32:BC35" si="37">AZ32+100</f>
        <v>8420</v>
      </c>
      <c r="BD32" s="3" t="s">
        <v>308</v>
      </c>
      <c r="BE32" s="3">
        <f>BH32-$AA32</f>
        <v>9500</v>
      </c>
      <c r="BF32" s="3">
        <f t="shared" ref="BF32:BF34" si="38">BC32+100</f>
        <v>8520</v>
      </c>
      <c r="BG32" s="3" t="s">
        <v>309</v>
      </c>
      <c r="BH32" s="3">
        <f>BK32-$AA32</f>
        <v>9625</v>
      </c>
      <c r="BI32" s="3">
        <f t="shared" ref="BI32:BI35" si="39">BF32+100</f>
        <v>8620</v>
      </c>
      <c r="BJ32" s="3" t="s">
        <v>310</v>
      </c>
      <c r="BK32" s="3">
        <f>BN32-$AA32</f>
        <v>9750</v>
      </c>
      <c r="BL32" s="3">
        <f t="shared" ref="BL32:BL35" si="40">BI32+100</f>
        <v>8720</v>
      </c>
      <c r="BM32" s="3" t="s">
        <v>311</v>
      </c>
      <c r="BN32" s="3">
        <f>BQ32-$AA32</f>
        <v>9875</v>
      </c>
      <c r="BO32" s="3">
        <f>BL32+100</f>
        <v>8820</v>
      </c>
      <c r="BP32" s="3" t="s">
        <v>312</v>
      </c>
      <c r="BQ32" s="3">
        <v>10000</v>
      </c>
      <c r="BR32" s="3"/>
      <c r="BS32" s="3" t="str">
        <f t="shared" si="14"/>
        <v/>
      </c>
      <c r="BT32" s="3"/>
      <c r="BU32" s="3"/>
      <c r="BV32" s="3" t="str">
        <f t="shared" si="15"/>
        <v/>
      </c>
      <c r="BW32" s="3"/>
      <c r="BX32" s="3"/>
      <c r="BY32" s="3" t="str">
        <f t="shared" si="16"/>
        <v/>
      </c>
      <c r="BZ32" s="3"/>
      <c r="CA32" s="3"/>
      <c r="CB32" s="3" t="str">
        <f t="shared" si="17"/>
        <v/>
      </c>
      <c r="CC32" s="3"/>
      <c r="CD32" s="3"/>
      <c r="CE32" s="3" t="str">
        <f t="shared" si="18"/>
        <v/>
      </c>
      <c r="CF32" s="3"/>
      <c r="CG32" s="3"/>
      <c r="CH32" s="3" t="str">
        <f t="shared" si="19"/>
        <v/>
      </c>
      <c r="CI32" s="3"/>
      <c r="CJ32" s="3"/>
      <c r="CK32" s="3" t="str">
        <f t="shared" si="20"/>
        <v/>
      </c>
      <c r="CL32" s="3"/>
      <c r="CM32" s="3"/>
      <c r="CN32" s="3" t="str">
        <f t="shared" si="21"/>
        <v/>
      </c>
      <c r="CO32" s="3"/>
      <c r="CP32" s="3"/>
      <c r="CQ32" s="3" t="str">
        <f t="shared" si="22"/>
        <v/>
      </c>
      <c r="CR32" s="3"/>
      <c r="CS32" s="3"/>
      <c r="CT32" s="3" t="str">
        <f t="shared" si="23"/>
        <v/>
      </c>
      <c r="CU32" s="3"/>
      <c r="CV32" s="3"/>
      <c r="CW32" s="3" t="str">
        <f t="shared" si="24"/>
        <v/>
      </c>
      <c r="CX32" s="3"/>
      <c r="CY32" s="3"/>
      <c r="CZ32" s="3" t="str">
        <f t="shared" si="25"/>
        <v/>
      </c>
      <c r="DA32" s="3"/>
      <c r="DB32" s="3"/>
      <c r="DC32" s="3" t="str">
        <f t="shared" si="26"/>
        <v/>
      </c>
      <c r="DD32" s="3"/>
      <c r="DE32" s="3"/>
      <c r="DF32" s="3" t="str">
        <f t="shared" si="27"/>
        <v/>
      </c>
      <c r="DG32" s="3"/>
      <c r="DH32" s="3"/>
      <c r="DI32" s="3" t="str">
        <f t="shared" si="28"/>
        <v/>
      </c>
      <c r="DJ32" s="3"/>
      <c r="DK32" s="3"/>
      <c r="DL32" s="3" t="str">
        <f t="shared" si="29"/>
        <v/>
      </c>
      <c r="DM32" s="3"/>
      <c r="DN32" s="3"/>
      <c r="DO32" s="3" t="str">
        <f>IFERROR(VLOOKUP(DN32,命格属性表,2,FALSE),"")</f>
        <v/>
      </c>
      <c r="DP32" s="3"/>
      <c r="DQ32" s="3"/>
      <c r="DR32" s="3" t="str">
        <f>IFERROR(VLOOKUP(DQ32,命格属性表,2,FALSE),"")</f>
        <v/>
      </c>
      <c r="DS32" s="3"/>
      <c r="DT32" s="3"/>
      <c r="DU32" s="3" t="str">
        <f>IFERROR(VLOOKUP(DT32,命格属性表,2,FALSE),"")</f>
        <v/>
      </c>
      <c r="DV32" s="3"/>
      <c r="DW32" s="3"/>
      <c r="DX32" s="3" t="str">
        <f>IFERROR(VLOOKUP(DW32,命格属性表,2,FALSE),"")</f>
        <v/>
      </c>
      <c r="DY32" s="3"/>
      <c r="DZ32" s="3"/>
      <c r="EA32" s="3" t="str">
        <f t="shared" si="30"/>
        <v/>
      </c>
      <c r="EB32" s="3"/>
      <c r="EC32" s="3"/>
      <c r="ED32" s="3" t="str">
        <f t="shared" si="31"/>
        <v/>
      </c>
      <c r="EE32" s="3"/>
      <c r="EF32" s="3"/>
      <c r="EG32" s="3" t="str">
        <f t="shared" si="32"/>
        <v/>
      </c>
      <c r="EH32" s="3"/>
      <c r="EI32" s="3"/>
      <c r="EJ32" s="3" t="str">
        <f>IFERROR(VLOOKUP(EI32,命格属性表,2,FALSE),"")</f>
        <v/>
      </c>
      <c r="EK32" s="3"/>
      <c r="EL32" s="3"/>
      <c r="EM32" s="3" t="str">
        <f>IFERROR(VLOOKUP(EL32,命格属性表,2,FALSE),"")</f>
        <v/>
      </c>
      <c r="EN32" s="3"/>
      <c r="EO32" s="3"/>
      <c r="EP32" s="3" t="str">
        <f>IFERROR(VLOOKUP(EO32,命格属性表,2,FALSE),"")</f>
        <v/>
      </c>
      <c r="EQ32" s="3"/>
      <c r="ER32" s="3"/>
      <c r="ES32" s="3" t="str">
        <f>IFERROR(VLOOKUP(ER32,命格属性表,2,FALSE),"")</f>
        <v/>
      </c>
      <c r="ET32" s="3"/>
      <c r="EU32" s="3"/>
      <c r="EV32" s="3" t="str">
        <f>IFERROR(VLOOKUP(EU32,命格属性表,2,FALSE),"")</f>
        <v/>
      </c>
      <c r="EW32" s="3"/>
      <c r="EX32" s="3"/>
      <c r="EY32" s="3" t="str">
        <f>IFERROR(VLOOKUP(EX32,命格属性表,2,FALSE),"")</f>
        <v/>
      </c>
      <c r="EZ32" s="3"/>
      <c r="FA32" s="3"/>
      <c r="FB32" s="3" t="str">
        <f>IFERROR(VLOOKUP(FA32,命格属性表,2,FALSE),"")</f>
        <v/>
      </c>
      <c r="FC32" s="3"/>
    </row>
    <row r="33" spans="1:159">
      <c r="A33" s="11">
        <v>3</v>
      </c>
      <c r="B33" s="10">
        <v>0</v>
      </c>
      <c r="C33" s="10">
        <v>0.72</v>
      </c>
      <c r="D33" s="10">
        <v>0.25</v>
      </c>
      <c r="E33" s="10">
        <v>0.03</v>
      </c>
      <c r="F33" s="10">
        <v>0</v>
      </c>
      <c r="G33" s="10">
        <v>0</v>
      </c>
      <c r="H33">
        <f t="shared" si="33"/>
        <v>1</v>
      </c>
      <c r="I33" s="59">
        <v>3</v>
      </c>
      <c r="J33" s="10">
        <v>0</v>
      </c>
      <c r="K33" s="10">
        <v>0.73</v>
      </c>
      <c r="L33" s="10">
        <v>0.25</v>
      </c>
      <c r="M33" s="10">
        <v>0.02</v>
      </c>
      <c r="N33" s="10">
        <v>0</v>
      </c>
      <c r="O33" s="10">
        <v>0</v>
      </c>
      <c r="P33">
        <f t="shared" si="34"/>
        <v>1</v>
      </c>
      <c r="Q33" s="14"/>
      <c r="R33" s="14">
        <v>3</v>
      </c>
      <c r="S33" s="14">
        <v>8</v>
      </c>
      <c r="T33" s="14">
        <v>12</v>
      </c>
      <c r="U33" s="14"/>
      <c r="V33" s="14"/>
      <c r="W33">
        <f t="shared" si="35"/>
        <v>23</v>
      </c>
      <c r="Y33" s="7" t="str">
        <f t="shared" si="3"/>
        <v/>
      </c>
      <c r="Z33" s="7">
        <f t="shared" si="3"/>
        <v>2433</v>
      </c>
      <c r="AA33" s="7">
        <f t="shared" si="3"/>
        <v>313</v>
      </c>
      <c r="AB33" s="7">
        <f t="shared" si="3"/>
        <v>17</v>
      </c>
      <c r="AC33" s="7" t="str">
        <f t="shared" si="3"/>
        <v/>
      </c>
      <c r="AD33" s="7" t="str">
        <f t="shared" si="3"/>
        <v/>
      </c>
      <c r="AF33" s="3">
        <v>3</v>
      </c>
      <c r="AG33" s="3">
        <f t="shared" si="4"/>
        <v>23</v>
      </c>
      <c r="AH33" s="10">
        <v>8110</v>
      </c>
      <c r="AI33" s="3" t="s">
        <v>303</v>
      </c>
      <c r="AJ33" s="3">
        <f>AM33-$Z33</f>
        <v>2426</v>
      </c>
      <c r="AK33" s="3">
        <f t="shared" ref="AK33:AK35" si="41">AH33+100</f>
        <v>8210</v>
      </c>
      <c r="AL33" s="3" t="s">
        <v>304</v>
      </c>
      <c r="AM33" s="3">
        <f>AP33-$Z33</f>
        <v>4859</v>
      </c>
      <c r="AN33" s="3">
        <f t="shared" si="5"/>
        <v>8310</v>
      </c>
      <c r="AO33" s="3" t="s">
        <v>305</v>
      </c>
      <c r="AP33" s="3">
        <f>AS33-$AA33</f>
        <v>7292</v>
      </c>
      <c r="AQ33" s="10">
        <v>8120</v>
      </c>
      <c r="AR33" s="3" t="s">
        <v>306</v>
      </c>
      <c r="AS33" s="3">
        <f>AV33-$AA33</f>
        <v>7605</v>
      </c>
      <c r="AT33" s="3">
        <f t="shared" ref="AT33:AT35" si="42">AQ33+100</f>
        <v>8220</v>
      </c>
      <c r="AU33" s="3" t="s">
        <v>307</v>
      </c>
      <c r="AV33" s="3">
        <f>AY33-$AA33</f>
        <v>7918</v>
      </c>
      <c r="AW33" s="3">
        <f t="shared" si="36"/>
        <v>8320</v>
      </c>
      <c r="AX33" s="3" t="str">
        <f t="shared" si="7"/>
        <v>真刚</v>
      </c>
      <c r="AY33" s="3">
        <f>BB33-$AA33</f>
        <v>8231</v>
      </c>
      <c r="AZ33" s="3">
        <f>AW33+100</f>
        <v>8420</v>
      </c>
      <c r="BA33" s="3" t="s">
        <v>308</v>
      </c>
      <c r="BB33" s="3">
        <f>BE33-$AA33</f>
        <v>8544</v>
      </c>
      <c r="BC33" s="3">
        <f t="shared" si="37"/>
        <v>8520</v>
      </c>
      <c r="BD33" s="3" t="s">
        <v>309</v>
      </c>
      <c r="BE33" s="3">
        <f>BH33-$AA33</f>
        <v>8857</v>
      </c>
      <c r="BF33" s="3">
        <f t="shared" si="38"/>
        <v>8620</v>
      </c>
      <c r="BG33" s="3" t="s">
        <v>310</v>
      </c>
      <c r="BH33" s="3">
        <f>BK33-$AA33</f>
        <v>9170</v>
      </c>
      <c r="BI33" s="3">
        <f t="shared" si="39"/>
        <v>8720</v>
      </c>
      <c r="BJ33" s="3" t="s">
        <v>311</v>
      </c>
      <c r="BK33" s="3">
        <f>BN33-$AA33</f>
        <v>9483</v>
      </c>
      <c r="BL33" s="3">
        <f t="shared" si="40"/>
        <v>8820</v>
      </c>
      <c r="BM33" s="3" t="s">
        <v>312</v>
      </c>
      <c r="BN33" s="3">
        <f t="shared" ref="BN33:BN38" si="43">BQ33-$AB33</f>
        <v>9796</v>
      </c>
      <c r="BO33" s="10">
        <v>8130</v>
      </c>
      <c r="BP33" s="3" t="str">
        <f t="shared" si="13"/>
        <v>霸主</v>
      </c>
      <c r="BQ33" s="3">
        <f t="shared" ref="BQ33:BQ38" si="44">BT33-$AB33</f>
        <v>9813</v>
      </c>
      <c r="BR33" s="3">
        <f t="shared" ref="BR33:BR34" si="45">BO33+100</f>
        <v>8230</v>
      </c>
      <c r="BS33" s="3" t="str">
        <f t="shared" si="14"/>
        <v>虎啸</v>
      </c>
      <c r="BT33" s="3">
        <f t="shared" ref="BT33:BT38" si="46">BW33-$AB33</f>
        <v>9830</v>
      </c>
      <c r="BU33" s="3">
        <f t="shared" ref="BU33:BU35" si="47">BR33+100</f>
        <v>8330</v>
      </c>
      <c r="BV33" s="3" t="str">
        <f t="shared" si="15"/>
        <v>豪魄</v>
      </c>
      <c r="BW33" s="3">
        <f t="shared" ref="BW33:BW38" si="48">BZ33-$AB33</f>
        <v>9847</v>
      </c>
      <c r="BX33" s="3">
        <f>BU33+100</f>
        <v>8430</v>
      </c>
      <c r="BY33" s="3" t="str">
        <f t="shared" si="16"/>
        <v>捉影</v>
      </c>
      <c r="BZ33" s="3">
        <f>CC33-$AB33</f>
        <v>9864</v>
      </c>
      <c r="CA33" s="3">
        <f t="shared" ref="CA33:CA34" si="49">BX33+100</f>
        <v>8530</v>
      </c>
      <c r="CB33" s="3" t="str">
        <f t="shared" si="17"/>
        <v>游刃</v>
      </c>
      <c r="CC33" s="3">
        <f>CF33-$AB33</f>
        <v>9881</v>
      </c>
      <c r="CD33" s="3">
        <f t="shared" ref="CD33" si="50">CA33+100</f>
        <v>8630</v>
      </c>
      <c r="CE33" s="3" t="str">
        <f t="shared" si="18"/>
        <v>傲骨</v>
      </c>
      <c r="CF33" s="3">
        <f>CI33-$AB33</f>
        <v>9898</v>
      </c>
      <c r="CG33" s="3">
        <f t="shared" ref="CG33:CG34" si="51">CD33+100</f>
        <v>8730</v>
      </c>
      <c r="CH33" s="3" t="str">
        <f t="shared" si="19"/>
        <v>心眼</v>
      </c>
      <c r="CI33" s="3">
        <f>CL33-$AB33</f>
        <v>9915</v>
      </c>
      <c r="CJ33" s="3">
        <f t="shared" ref="CJ33:CJ34" si="52">CG33+100</f>
        <v>8830</v>
      </c>
      <c r="CK33" s="3" t="str">
        <f t="shared" si="20"/>
        <v>噬生</v>
      </c>
      <c r="CL33" s="3">
        <f>CO33-$AB33</f>
        <v>9932</v>
      </c>
      <c r="CM33" s="3">
        <f t="shared" ref="CM33:CM34" si="53">CJ33+100</f>
        <v>8930</v>
      </c>
      <c r="CN33" s="3" t="str">
        <f t="shared" si="21"/>
        <v>痛击</v>
      </c>
      <c r="CO33" s="3">
        <f>CR33-$AB33</f>
        <v>9949</v>
      </c>
      <c r="CP33" s="3">
        <f t="shared" ref="CP33:CP38" si="54">CM33+100</f>
        <v>9030</v>
      </c>
      <c r="CQ33" s="3" t="str">
        <f t="shared" si="22"/>
        <v>不坏</v>
      </c>
      <c r="CR33" s="3">
        <f>CU33-$AB33</f>
        <v>9966</v>
      </c>
      <c r="CS33" s="3">
        <f t="shared" ref="CS33:CS34" si="55">CP33+100</f>
        <v>9130</v>
      </c>
      <c r="CT33" s="3" t="s">
        <v>313</v>
      </c>
      <c r="CU33" s="3">
        <f>CX33-$AB33</f>
        <v>9983</v>
      </c>
      <c r="CV33" s="3">
        <f t="shared" ref="CV33:CV34" si="56">CS33+100</f>
        <v>9230</v>
      </c>
      <c r="CW33" s="3" t="str">
        <f t="shared" si="24"/>
        <v>盘蛇</v>
      </c>
      <c r="CX33" s="3">
        <v>10000</v>
      </c>
      <c r="CY33" s="3"/>
      <c r="CZ33" s="3" t="str">
        <f t="shared" si="25"/>
        <v/>
      </c>
      <c r="DA33" s="3"/>
      <c r="DB33" s="3"/>
      <c r="DC33" s="3" t="str">
        <f t="shared" si="26"/>
        <v/>
      </c>
      <c r="DD33" s="3"/>
      <c r="DE33" s="3"/>
      <c r="DF33" s="3" t="str">
        <f t="shared" si="27"/>
        <v/>
      </c>
      <c r="DG33" s="3"/>
      <c r="DH33" s="3"/>
      <c r="DI33" s="3" t="str">
        <f t="shared" si="28"/>
        <v/>
      </c>
      <c r="DJ33" s="3"/>
      <c r="DK33" s="3"/>
      <c r="DL33" s="3" t="str">
        <f t="shared" si="29"/>
        <v/>
      </c>
      <c r="DM33" s="3"/>
      <c r="DN33" s="3"/>
      <c r="DO33" s="3" t="str">
        <f>IFERROR(VLOOKUP(DN33,命格属性表,2,FALSE),"")</f>
        <v/>
      </c>
      <c r="DP33" s="3"/>
      <c r="DQ33" s="3"/>
      <c r="DR33" s="3" t="str">
        <f>IFERROR(VLOOKUP(DQ33,命格属性表,2,FALSE),"")</f>
        <v/>
      </c>
      <c r="DS33" s="3"/>
      <c r="DT33" s="3"/>
      <c r="DU33" s="3" t="str">
        <f>IFERROR(VLOOKUP(DT33,命格属性表,2,FALSE),"")</f>
        <v/>
      </c>
      <c r="DV33" s="3"/>
      <c r="DW33" s="3"/>
      <c r="DX33" s="3" t="str">
        <f>IFERROR(VLOOKUP(DW33,命格属性表,2,FALSE),"")</f>
        <v/>
      </c>
      <c r="DY33" s="3"/>
      <c r="DZ33" s="3"/>
      <c r="EA33" s="3" t="str">
        <f t="shared" si="30"/>
        <v/>
      </c>
      <c r="EB33" s="3"/>
      <c r="EC33" s="3"/>
      <c r="ED33" s="3" t="str">
        <f t="shared" si="31"/>
        <v/>
      </c>
      <c r="EE33" s="3"/>
      <c r="EF33" s="3"/>
      <c r="EG33" s="3" t="str">
        <f t="shared" si="32"/>
        <v/>
      </c>
      <c r="EH33" s="3"/>
      <c r="EI33" s="3"/>
      <c r="EJ33" s="3" t="str">
        <f>IFERROR(VLOOKUP(EI33,命格属性表,2,FALSE),"")</f>
        <v/>
      </c>
      <c r="EK33" s="3"/>
      <c r="EL33" s="3"/>
      <c r="EM33" s="3" t="str">
        <f>IFERROR(VLOOKUP(EL33,命格属性表,2,FALSE),"")</f>
        <v/>
      </c>
      <c r="EN33" s="3"/>
      <c r="EO33" s="3"/>
      <c r="EP33" s="3" t="str">
        <f>IFERROR(VLOOKUP(EO33,命格属性表,2,FALSE),"")</f>
        <v/>
      </c>
      <c r="EQ33" s="3"/>
      <c r="ER33" s="3"/>
      <c r="ES33" s="3" t="str">
        <f>IFERROR(VLOOKUP(ER33,命格属性表,2,FALSE),"")</f>
        <v/>
      </c>
      <c r="ET33" s="3"/>
      <c r="EU33" s="3"/>
      <c r="EV33" s="3" t="str">
        <f>IFERROR(VLOOKUP(EU33,命格属性表,2,FALSE),"")</f>
        <v/>
      </c>
      <c r="EW33" s="3"/>
      <c r="EX33" s="3"/>
      <c r="EY33" s="3" t="str">
        <f>IFERROR(VLOOKUP(EX33,命格属性表,2,FALSE),"")</f>
        <v/>
      </c>
      <c r="EZ33" s="3"/>
      <c r="FA33" s="3"/>
      <c r="FB33" s="3" t="str">
        <f>IFERROR(VLOOKUP(FA33,命格属性表,2,FALSE),"")</f>
        <v/>
      </c>
      <c r="FC33" s="3"/>
    </row>
    <row r="34" spans="1:159">
      <c r="A34" s="11">
        <v>4</v>
      </c>
      <c r="B34" s="10">
        <v>0</v>
      </c>
      <c r="C34" s="10">
        <v>0.3</v>
      </c>
      <c r="D34" s="10">
        <v>0.55000000000000004</v>
      </c>
      <c r="E34" s="10">
        <v>0.12</v>
      </c>
      <c r="F34" s="10">
        <v>0.03</v>
      </c>
      <c r="G34" s="10">
        <v>0</v>
      </c>
      <c r="H34">
        <f t="shared" si="33"/>
        <v>1</v>
      </c>
      <c r="I34" s="59">
        <v>4</v>
      </c>
      <c r="J34" s="10">
        <v>0</v>
      </c>
      <c r="K34" s="10">
        <v>0.3</v>
      </c>
      <c r="L34" s="10">
        <v>0.63</v>
      </c>
      <c r="M34" s="10">
        <v>0.06</v>
      </c>
      <c r="N34" s="10">
        <v>0.01</v>
      </c>
      <c r="O34" s="10">
        <v>0</v>
      </c>
      <c r="P34">
        <f t="shared" si="34"/>
        <v>1</v>
      </c>
      <c r="Q34" s="14"/>
      <c r="R34" s="14">
        <v>3</v>
      </c>
      <c r="S34" s="14">
        <v>8</v>
      </c>
      <c r="T34" s="14">
        <v>12</v>
      </c>
      <c r="U34" s="14">
        <v>13</v>
      </c>
      <c r="V34" s="14"/>
      <c r="W34">
        <f t="shared" si="35"/>
        <v>36</v>
      </c>
      <c r="Y34" s="7" t="str">
        <f t="shared" si="3"/>
        <v/>
      </c>
      <c r="Z34" s="7">
        <f t="shared" si="3"/>
        <v>1000</v>
      </c>
      <c r="AA34" s="7">
        <f t="shared" si="3"/>
        <v>788</v>
      </c>
      <c r="AB34" s="7">
        <f t="shared" si="3"/>
        <v>50</v>
      </c>
      <c r="AC34" s="7">
        <f t="shared" si="3"/>
        <v>8</v>
      </c>
      <c r="AD34" s="7" t="str">
        <f t="shared" si="3"/>
        <v/>
      </c>
      <c r="AF34" s="3">
        <v>4</v>
      </c>
      <c r="AG34" s="3">
        <f t="shared" si="4"/>
        <v>36</v>
      </c>
      <c r="AH34" s="10">
        <v>8110</v>
      </c>
      <c r="AI34" s="3" t="s">
        <v>303</v>
      </c>
      <c r="AJ34" s="3">
        <f>AM34-$Z34</f>
        <v>992</v>
      </c>
      <c r="AK34" s="3">
        <f t="shared" si="41"/>
        <v>8210</v>
      </c>
      <c r="AL34" s="3" t="s">
        <v>304</v>
      </c>
      <c r="AM34" s="3">
        <f>AP34-$Z34</f>
        <v>1992</v>
      </c>
      <c r="AN34" s="3">
        <f t="shared" si="5"/>
        <v>8310</v>
      </c>
      <c r="AO34" s="3" t="s">
        <v>305</v>
      </c>
      <c r="AP34" s="3">
        <f>AS34-$AA34</f>
        <v>2992</v>
      </c>
      <c r="AQ34" s="10">
        <v>8120</v>
      </c>
      <c r="AR34" s="3" t="s">
        <v>306</v>
      </c>
      <c r="AS34" s="3">
        <f>AV34-$AA34</f>
        <v>3780</v>
      </c>
      <c r="AT34" s="3">
        <f t="shared" si="42"/>
        <v>8220</v>
      </c>
      <c r="AU34" s="3" t="s">
        <v>307</v>
      </c>
      <c r="AV34" s="55">
        <f>AY34-$AA34</f>
        <v>4568</v>
      </c>
      <c r="AW34" s="3">
        <f t="shared" si="36"/>
        <v>8320</v>
      </c>
      <c r="AX34" s="3" t="str">
        <f t="shared" si="7"/>
        <v>真刚</v>
      </c>
      <c r="AY34" s="55">
        <f>BB34-$AA34</f>
        <v>5356</v>
      </c>
      <c r="AZ34" s="55">
        <f>AW34+100</f>
        <v>8420</v>
      </c>
      <c r="BA34" s="3" t="str">
        <f t="shared" si="8"/>
        <v>飞仙</v>
      </c>
      <c r="BB34" s="55">
        <f>BE34-$AA34</f>
        <v>6144</v>
      </c>
      <c r="BC34" s="3">
        <f t="shared" si="37"/>
        <v>8520</v>
      </c>
      <c r="BD34" s="3" t="str">
        <f t="shared" si="9"/>
        <v>虚空</v>
      </c>
      <c r="BE34" s="55">
        <f>BH34-$AA34</f>
        <v>6932</v>
      </c>
      <c r="BF34" s="3">
        <f t="shared" si="38"/>
        <v>8620</v>
      </c>
      <c r="BG34" s="3" t="str">
        <f t="shared" si="10"/>
        <v>无惧</v>
      </c>
      <c r="BH34" s="55">
        <f>BK34-$AA34</f>
        <v>7720</v>
      </c>
      <c r="BI34" s="3">
        <f t="shared" si="39"/>
        <v>8720</v>
      </c>
      <c r="BJ34" s="3" t="str">
        <f t="shared" si="11"/>
        <v>天杀</v>
      </c>
      <c r="BK34" s="3">
        <f>BN34-$AA34</f>
        <v>8508</v>
      </c>
      <c r="BL34" s="3">
        <f t="shared" si="40"/>
        <v>8820</v>
      </c>
      <c r="BM34" s="3" t="str">
        <f t="shared" si="12"/>
        <v>诛魔</v>
      </c>
      <c r="BN34" s="3">
        <f t="shared" si="43"/>
        <v>9296</v>
      </c>
      <c r="BO34" s="10">
        <v>8130</v>
      </c>
      <c r="BP34" s="55" t="str">
        <f t="shared" si="13"/>
        <v>霸主</v>
      </c>
      <c r="BQ34" s="55">
        <f t="shared" si="44"/>
        <v>9346</v>
      </c>
      <c r="BR34" s="55">
        <f t="shared" si="45"/>
        <v>8230</v>
      </c>
      <c r="BS34" s="55" t="str">
        <f t="shared" si="14"/>
        <v>虎啸</v>
      </c>
      <c r="BT34" s="55">
        <f t="shared" si="46"/>
        <v>9396</v>
      </c>
      <c r="BU34" s="55">
        <f t="shared" si="47"/>
        <v>8330</v>
      </c>
      <c r="BV34" s="55" t="str">
        <f t="shared" ref="BV34" si="57">IFERROR(VLOOKUP(BU34,命格属性表,2,FALSE),"")</f>
        <v>豪魄</v>
      </c>
      <c r="BW34" s="55">
        <f t="shared" si="48"/>
        <v>9446</v>
      </c>
      <c r="BX34" s="55">
        <f t="shared" ref="BX34:BX35" si="58">BU34+100</f>
        <v>8430</v>
      </c>
      <c r="BY34" s="55" t="str">
        <f t="shared" si="16"/>
        <v>捉影</v>
      </c>
      <c r="BZ34" s="55">
        <f>CC34-$AB34</f>
        <v>9496</v>
      </c>
      <c r="CA34" s="55">
        <f t="shared" si="49"/>
        <v>8530</v>
      </c>
      <c r="CB34" s="55" t="str">
        <f t="shared" ref="CB34" si="59">IFERROR(VLOOKUP(CA34,命格属性表,2,FALSE),"")</f>
        <v>游刃</v>
      </c>
      <c r="CC34" s="55">
        <f>CF34-$AB34</f>
        <v>9546</v>
      </c>
      <c r="CD34" s="55">
        <f>CA34+100</f>
        <v>8630</v>
      </c>
      <c r="CE34" s="55" t="str">
        <f t="shared" si="18"/>
        <v>傲骨</v>
      </c>
      <c r="CF34" s="55">
        <f>CI34-$AB34</f>
        <v>9596</v>
      </c>
      <c r="CG34" s="55">
        <f t="shared" si="51"/>
        <v>8730</v>
      </c>
      <c r="CH34" s="55" t="str">
        <f t="shared" si="19"/>
        <v>心眼</v>
      </c>
      <c r="CI34" s="55">
        <f>CL34-$AB34</f>
        <v>9646</v>
      </c>
      <c r="CJ34" s="55">
        <f t="shared" si="52"/>
        <v>8830</v>
      </c>
      <c r="CK34" s="55" t="str">
        <f t="shared" si="20"/>
        <v>噬生</v>
      </c>
      <c r="CL34" s="55">
        <f>CO34-$AB34</f>
        <v>9696</v>
      </c>
      <c r="CM34" s="3">
        <f t="shared" si="53"/>
        <v>8930</v>
      </c>
      <c r="CN34" s="3" t="str">
        <f t="shared" si="21"/>
        <v>痛击</v>
      </c>
      <c r="CO34" s="55">
        <f>CR34-$AB34</f>
        <v>9746</v>
      </c>
      <c r="CP34" s="3">
        <f t="shared" si="54"/>
        <v>9030</v>
      </c>
      <c r="CQ34" s="3" t="str">
        <f t="shared" si="22"/>
        <v>不坏</v>
      </c>
      <c r="CR34" s="55">
        <f>CU34-$AB34</f>
        <v>9796</v>
      </c>
      <c r="CS34" s="3">
        <f t="shared" si="55"/>
        <v>9130</v>
      </c>
      <c r="CT34" s="3" t="s">
        <v>314</v>
      </c>
      <c r="CU34" s="3">
        <f>CX34-$AB34</f>
        <v>9846</v>
      </c>
      <c r="CV34" s="3">
        <f t="shared" si="56"/>
        <v>9230</v>
      </c>
      <c r="CW34" s="3" t="str">
        <f t="shared" si="24"/>
        <v>盘蛇</v>
      </c>
      <c r="CX34" s="3">
        <f>DA34-$AC34</f>
        <v>9896</v>
      </c>
      <c r="CY34" s="10">
        <v>8140</v>
      </c>
      <c r="CZ34" s="55" t="str">
        <f t="shared" ref="CZ34" si="60">IFERROR(VLOOKUP(CY34,命格属性表,2,FALSE),"")</f>
        <v>天命</v>
      </c>
      <c r="DA34" s="55">
        <f>DD34-$AC34</f>
        <v>9904</v>
      </c>
      <c r="DB34" s="55">
        <f>CY34+100</f>
        <v>8240</v>
      </c>
      <c r="DC34" s="55" t="str">
        <f t="shared" si="26"/>
        <v>龙吟</v>
      </c>
      <c r="DD34" s="55">
        <f>DG34-$AC34</f>
        <v>9912</v>
      </c>
      <c r="DE34" s="55">
        <f t="shared" ref="DE34" si="61">DB34+100</f>
        <v>8340</v>
      </c>
      <c r="DF34" s="55" t="str">
        <f t="shared" ref="DF34" si="62">IFERROR(VLOOKUP(DE34,命格属性表,2,FALSE),"")</f>
        <v>守御</v>
      </c>
      <c r="DG34" s="55">
        <f>DJ34-$AC34</f>
        <v>9920</v>
      </c>
      <c r="DH34" s="55">
        <f t="shared" ref="DH34" si="63">DE34+100</f>
        <v>8440</v>
      </c>
      <c r="DI34" s="55" t="str">
        <f t="shared" ref="DI34" si="64">IFERROR(VLOOKUP(DH34,命格属性表,2,FALSE),"")</f>
        <v>千眼</v>
      </c>
      <c r="DJ34" s="55">
        <f>DM34-$AC34</f>
        <v>9928</v>
      </c>
      <c r="DK34" s="55">
        <f t="shared" ref="DK34" si="65">DH34+100</f>
        <v>8540</v>
      </c>
      <c r="DL34" s="55" t="str">
        <f t="shared" ref="DL34" si="66">IFERROR(VLOOKUP(DK34,命格属性表,2,FALSE),"")</f>
        <v>逍遥</v>
      </c>
      <c r="DM34" s="55">
        <f>DP34-$AC34</f>
        <v>9936</v>
      </c>
      <c r="DN34" s="55">
        <f t="shared" ref="DN34" si="67">DK34+100</f>
        <v>8640</v>
      </c>
      <c r="DO34" s="55" t="str">
        <f t="shared" ref="DO34" si="68">IFERROR(VLOOKUP(DN34,命格属性表,2,FALSE),"")</f>
        <v>流离</v>
      </c>
      <c r="DP34" s="55">
        <f>DS34-$AC34</f>
        <v>9944</v>
      </c>
      <c r="DQ34" s="55">
        <f>DN34+100</f>
        <v>8740</v>
      </c>
      <c r="DR34" s="55" t="str">
        <f t="shared" ref="DR34" si="69">IFERROR(VLOOKUP(DQ34,命格属性表,2,FALSE),"")</f>
        <v>夺魄</v>
      </c>
      <c r="DS34" s="55">
        <f>DV34-$AC34</f>
        <v>9952</v>
      </c>
      <c r="DT34" s="55">
        <f t="shared" ref="DT34" si="70">DQ34+100</f>
        <v>8840</v>
      </c>
      <c r="DU34" s="55" t="s">
        <v>314</v>
      </c>
      <c r="DV34" s="55">
        <f>DY34-$AC34</f>
        <v>9960</v>
      </c>
      <c r="DW34" s="55">
        <f t="shared" ref="DW34" si="71">DT34+100</f>
        <v>8940</v>
      </c>
      <c r="DX34" s="55" t="str">
        <f t="shared" ref="DX34" si="72">IFERROR(VLOOKUP(DW34,命格属性表,2,FALSE),"")</f>
        <v>破天</v>
      </c>
      <c r="DY34" s="55">
        <f>EB34-$AC34</f>
        <v>9968</v>
      </c>
      <c r="DZ34" s="55">
        <f>DW34+100</f>
        <v>9040</v>
      </c>
      <c r="EA34" s="55" t="s">
        <v>315</v>
      </c>
      <c r="EB34" s="55">
        <f>EE34-$AC34</f>
        <v>9976</v>
      </c>
      <c r="EC34" s="55">
        <f>DZ34+100</f>
        <v>9140</v>
      </c>
      <c r="ED34" s="55" t="str">
        <f t="shared" si="31"/>
        <v>幽灵</v>
      </c>
      <c r="EE34" s="55">
        <f>EH34-$AC34</f>
        <v>9984</v>
      </c>
      <c r="EF34" s="55">
        <f>EC34+100</f>
        <v>9240</v>
      </c>
      <c r="EG34" s="55" t="str">
        <f t="shared" si="32"/>
        <v>困魔</v>
      </c>
      <c r="EH34" s="55">
        <f>EK34-$AC34</f>
        <v>9992</v>
      </c>
      <c r="EI34" s="55">
        <v>9340</v>
      </c>
      <c r="EJ34" s="55" t="str">
        <f t="shared" ref="EJ34" si="73">IFERROR(VLOOKUP(EI34,命格属性表,2,FALSE),"")</f>
        <v>无尽</v>
      </c>
      <c r="EK34" s="55">
        <v>10000</v>
      </c>
      <c r="EL34" s="3"/>
      <c r="EM34" s="3" t="str">
        <f>IFERROR(VLOOKUP(EL34,命格属性表,2,FALSE),"")</f>
        <v/>
      </c>
      <c r="EN34" s="3"/>
      <c r="EO34" s="3"/>
      <c r="EP34" s="3" t="str">
        <f>IFERROR(VLOOKUP(EO34,命格属性表,2,FALSE),"")</f>
        <v/>
      </c>
      <c r="EQ34" s="3"/>
      <c r="ER34" s="3"/>
      <c r="ES34" s="3" t="str">
        <f>IFERROR(VLOOKUP(ER34,命格属性表,2,FALSE),"")</f>
        <v/>
      </c>
      <c r="ET34" s="3"/>
      <c r="EU34" s="3"/>
      <c r="EV34" s="3" t="str">
        <f>IFERROR(VLOOKUP(EU34,命格属性表,2,FALSE),"")</f>
        <v/>
      </c>
      <c r="EW34" s="3"/>
      <c r="EX34" s="3"/>
      <c r="EY34" s="3" t="str">
        <f>IFERROR(VLOOKUP(EX34,命格属性表,2,FALSE),"")</f>
        <v/>
      </c>
      <c r="EZ34" s="3"/>
      <c r="FA34" s="3"/>
      <c r="FB34" s="3" t="str">
        <f>IFERROR(VLOOKUP(FA34,命格属性表,2,FALSE),"")</f>
        <v/>
      </c>
      <c r="FC34" s="3"/>
    </row>
    <row r="35" spans="1:159">
      <c r="A35" s="11">
        <v>5</v>
      </c>
      <c r="B35" s="10">
        <v>0</v>
      </c>
      <c r="C35" s="10">
        <v>0</v>
      </c>
      <c r="D35" s="10">
        <v>0.6</v>
      </c>
      <c r="E35" s="10">
        <v>0.34</v>
      </c>
      <c r="F35" s="10">
        <v>0.04</v>
      </c>
      <c r="G35" s="10">
        <v>0.02</v>
      </c>
      <c r="H35">
        <f t="shared" si="33"/>
        <v>1</v>
      </c>
      <c r="I35" s="59">
        <v>5</v>
      </c>
      <c r="J35" s="10">
        <v>0</v>
      </c>
      <c r="K35" s="10">
        <v>0</v>
      </c>
      <c r="L35" s="10">
        <v>0.88</v>
      </c>
      <c r="M35" s="10">
        <v>0.1</v>
      </c>
      <c r="N35" s="10">
        <v>0.02</v>
      </c>
      <c r="O35" s="10">
        <v>0</v>
      </c>
      <c r="P35">
        <f t="shared" si="34"/>
        <v>1</v>
      </c>
      <c r="Q35" s="14"/>
      <c r="R35" s="14"/>
      <c r="S35" s="14">
        <v>3</v>
      </c>
      <c r="T35" s="14">
        <v>12</v>
      </c>
      <c r="U35" s="14">
        <v>13</v>
      </c>
      <c r="V35" s="14">
        <v>13</v>
      </c>
      <c r="W35">
        <f t="shared" si="35"/>
        <v>41</v>
      </c>
      <c r="Y35" s="7" t="str">
        <f t="shared" si="3"/>
        <v/>
      </c>
      <c r="Z35" s="7" t="str">
        <f t="shared" si="3"/>
        <v/>
      </c>
      <c r="AA35" s="7">
        <f t="shared" si="3"/>
        <v>2933</v>
      </c>
      <c r="AB35" s="7">
        <f t="shared" si="3"/>
        <v>83</v>
      </c>
      <c r="AC35" s="7">
        <f t="shared" si="3"/>
        <v>15</v>
      </c>
      <c r="AD35" s="7">
        <f t="shared" si="3"/>
        <v>0</v>
      </c>
      <c r="AF35" s="3">
        <v>5</v>
      </c>
      <c r="AG35" s="3">
        <f t="shared" si="4"/>
        <v>41</v>
      </c>
      <c r="AH35" s="10">
        <v>8120</v>
      </c>
      <c r="AI35" s="3" t="s">
        <v>306</v>
      </c>
      <c r="AJ35" s="3">
        <f>AM35-$AA35</f>
        <v>2943</v>
      </c>
      <c r="AK35" s="3">
        <f t="shared" si="41"/>
        <v>8220</v>
      </c>
      <c r="AL35" s="3" t="s">
        <v>307</v>
      </c>
      <c r="AM35" s="3">
        <f>AP35-$AA35</f>
        <v>5876</v>
      </c>
      <c r="AN35" s="3">
        <f t="shared" si="5"/>
        <v>8320</v>
      </c>
      <c r="AO35" s="3" t="str">
        <f t="shared" ref="AO35" si="74">IFERROR(VLOOKUP(AN35,命格属性表,2,FALSE),"")</f>
        <v>真刚</v>
      </c>
      <c r="AP35" s="3">
        <f>AS35-$AB35</f>
        <v>8809</v>
      </c>
      <c r="AQ35" s="10">
        <v>8130</v>
      </c>
      <c r="AR35" s="55" t="str">
        <f t="shared" ref="AR35" si="75">IFERROR(VLOOKUP(AQ35,命格属性表,2,FALSE),"")</f>
        <v>霸主</v>
      </c>
      <c r="AS35" s="55">
        <f>AV35-$AB35</f>
        <v>8892</v>
      </c>
      <c r="AT35" s="55">
        <f t="shared" si="42"/>
        <v>8230</v>
      </c>
      <c r="AU35" s="55" t="str">
        <f t="shared" ref="AU35" si="76">IFERROR(VLOOKUP(AT35,命格属性表,2,FALSE),"")</f>
        <v>虎啸</v>
      </c>
      <c r="AV35" s="55">
        <f>AY35-$AB35</f>
        <v>8975</v>
      </c>
      <c r="AW35" s="55">
        <f t="shared" si="36"/>
        <v>8330</v>
      </c>
      <c r="AX35" s="55" t="str">
        <f t="shared" si="7"/>
        <v>豪魄</v>
      </c>
      <c r="AY35" s="55">
        <f>BB35-$AB35</f>
        <v>9058</v>
      </c>
      <c r="AZ35" s="55">
        <f t="shared" ref="AZ35" si="77">AW35+100</f>
        <v>8430</v>
      </c>
      <c r="BA35" s="55" t="str">
        <f t="shared" si="8"/>
        <v>捉影</v>
      </c>
      <c r="BB35" s="55">
        <f>BE35-$AB35</f>
        <v>9141</v>
      </c>
      <c r="BC35" s="55">
        <f t="shared" si="37"/>
        <v>8530</v>
      </c>
      <c r="BD35" s="55" t="str">
        <f t="shared" si="9"/>
        <v>游刃</v>
      </c>
      <c r="BE35" s="55">
        <f>BH35-$AB35</f>
        <v>9224</v>
      </c>
      <c r="BF35" s="55">
        <f>BC35+100</f>
        <v>8630</v>
      </c>
      <c r="BG35" s="55" t="str">
        <f t="shared" si="10"/>
        <v>傲骨</v>
      </c>
      <c r="BH35" s="55">
        <f>BK35-$AB35</f>
        <v>9307</v>
      </c>
      <c r="BI35" s="55">
        <f t="shared" si="39"/>
        <v>8730</v>
      </c>
      <c r="BJ35" s="55" t="str">
        <f t="shared" si="11"/>
        <v>心眼</v>
      </c>
      <c r="BK35" s="55">
        <f>BN35-$AB35</f>
        <v>9390</v>
      </c>
      <c r="BL35" s="55">
        <f t="shared" si="40"/>
        <v>8830</v>
      </c>
      <c r="BM35" s="55" t="str">
        <f t="shared" si="12"/>
        <v>噬生</v>
      </c>
      <c r="BN35" s="55">
        <f t="shared" si="43"/>
        <v>9473</v>
      </c>
      <c r="BO35" s="55">
        <f t="shared" ref="BO35" si="78">BL35+100</f>
        <v>8930</v>
      </c>
      <c r="BP35" s="55" t="str">
        <f t="shared" si="13"/>
        <v>痛击</v>
      </c>
      <c r="BQ35" s="55">
        <f t="shared" si="44"/>
        <v>9556</v>
      </c>
      <c r="BR35" s="55">
        <f>BO35+100</f>
        <v>9030</v>
      </c>
      <c r="BS35" s="55" t="str">
        <f t="shared" si="14"/>
        <v>不坏</v>
      </c>
      <c r="BT35" s="55">
        <f t="shared" si="46"/>
        <v>9639</v>
      </c>
      <c r="BU35" s="55">
        <f t="shared" si="47"/>
        <v>9130</v>
      </c>
      <c r="BV35" s="55" t="s">
        <v>314</v>
      </c>
      <c r="BW35" s="55">
        <f t="shared" si="48"/>
        <v>9722</v>
      </c>
      <c r="BX35" s="55">
        <f t="shared" si="58"/>
        <v>9230</v>
      </c>
      <c r="BY35" s="55" t="str">
        <f t="shared" si="16"/>
        <v>盘蛇</v>
      </c>
      <c r="BZ35" s="55">
        <f>CC35-$AC35</f>
        <v>9805</v>
      </c>
      <c r="CA35" s="10">
        <v>8140</v>
      </c>
      <c r="CB35" s="55" t="str">
        <f t="shared" ref="CB35:CB37" si="79">IFERROR(VLOOKUP(CA35,命格属性表,2,FALSE),"")</f>
        <v>天命</v>
      </c>
      <c r="CC35" s="55">
        <f>CF35-$AC35</f>
        <v>9820</v>
      </c>
      <c r="CD35" s="55">
        <f t="shared" ref="CD35:CD36" si="80">CA35+100</f>
        <v>8240</v>
      </c>
      <c r="CE35" s="55" t="str">
        <f t="shared" ref="CE35:CE37" si="81">IFERROR(VLOOKUP(CD35,命格属性表,2,FALSE),"")</f>
        <v>龙吟</v>
      </c>
      <c r="CF35" s="55">
        <f>CI35-$AC35</f>
        <v>9835</v>
      </c>
      <c r="CG35" s="55">
        <f t="shared" ref="CG35:CG37" si="82">CD35+100</f>
        <v>8340</v>
      </c>
      <c r="CH35" s="55" t="str">
        <f t="shared" ref="CH35:CH37" si="83">IFERROR(VLOOKUP(CG35,命格属性表,2,FALSE),"")</f>
        <v>守御</v>
      </c>
      <c r="CI35" s="55">
        <f>CL35-$AC35</f>
        <v>9850</v>
      </c>
      <c r="CJ35" s="55">
        <f t="shared" ref="CJ35:CJ37" si="84">CG35+100</f>
        <v>8440</v>
      </c>
      <c r="CK35" s="55" t="str">
        <f t="shared" ref="CK35:CK37" si="85">IFERROR(VLOOKUP(CJ35,命格属性表,2,FALSE),"")</f>
        <v>千眼</v>
      </c>
      <c r="CL35" s="55">
        <f>CO35-$AC35</f>
        <v>9865</v>
      </c>
      <c r="CM35" s="55">
        <f t="shared" ref="CM35:CM37" si="86">CJ35+100</f>
        <v>8540</v>
      </c>
      <c r="CN35" s="55" t="str">
        <f t="shared" ref="CN35:CN37" si="87">IFERROR(VLOOKUP(CM35,命格属性表,2,FALSE),"")</f>
        <v>逍遥</v>
      </c>
      <c r="CO35" s="55">
        <f>CR35-$AC35</f>
        <v>9880</v>
      </c>
      <c r="CP35" s="55">
        <f t="shared" si="54"/>
        <v>8640</v>
      </c>
      <c r="CQ35" s="55" t="str">
        <f t="shared" ref="CQ35:CQ37" si="88">IFERROR(VLOOKUP(CP35,命格属性表,2,FALSE),"")</f>
        <v>流离</v>
      </c>
      <c r="CR35" s="55">
        <f>CU35-$AC35</f>
        <v>9895</v>
      </c>
      <c r="CS35" s="55">
        <f t="shared" ref="CS35:CS37" si="89">CP35+100</f>
        <v>8740</v>
      </c>
      <c r="CT35" s="55" t="str">
        <f t="shared" ref="CT35" si="90">IFERROR(VLOOKUP(CS35,命格属性表,2,FALSE),"")</f>
        <v>夺魄</v>
      </c>
      <c r="CU35" s="55">
        <f>CX35-$AC35</f>
        <v>9910</v>
      </c>
      <c r="CV35" s="55">
        <f t="shared" ref="CV35:CV37" si="91">CS35+100</f>
        <v>8840</v>
      </c>
      <c r="CW35" s="55" t="s">
        <v>314</v>
      </c>
      <c r="CX35" s="55">
        <f>DA35-$AC35</f>
        <v>9925</v>
      </c>
      <c r="CY35" s="55">
        <f>CV35+100</f>
        <v>8940</v>
      </c>
      <c r="CZ35" s="55" t="str">
        <f t="shared" ref="CZ35:CZ37" si="92">IFERROR(VLOOKUP(CY35,命格属性表,2,FALSE),"")</f>
        <v>破天</v>
      </c>
      <c r="DA35" s="55">
        <f>DD35-$AC35</f>
        <v>9940</v>
      </c>
      <c r="DB35" s="55">
        <f t="shared" ref="DB35" si="93">CY35+100</f>
        <v>9040</v>
      </c>
      <c r="DC35" s="55" t="s">
        <v>315</v>
      </c>
      <c r="DD35" s="55">
        <f>DG35-$AC35</f>
        <v>9955</v>
      </c>
      <c r="DE35" s="55">
        <f t="shared" ref="DE35" si="94">DB35+100</f>
        <v>9140</v>
      </c>
      <c r="DF35" s="55" t="str">
        <f t="shared" ref="DF35:DF37" si="95">IFERROR(VLOOKUP(DE35,命格属性表,2,FALSE),"")</f>
        <v>幽灵</v>
      </c>
      <c r="DG35" s="55">
        <f>DJ35-$AC35</f>
        <v>9970</v>
      </c>
      <c r="DH35" s="55">
        <f t="shared" ref="DH35" si="96">DE35+100</f>
        <v>9240</v>
      </c>
      <c r="DI35" s="55" t="str">
        <f t="shared" ref="DI35:DI37" si="97">IFERROR(VLOOKUP(DH35,命格属性表,2,FALSE),"")</f>
        <v>困魔</v>
      </c>
      <c r="DJ35" s="55">
        <f>DM35-$AC35</f>
        <v>9985</v>
      </c>
      <c r="DK35" s="55">
        <f t="shared" ref="DK35" si="98">DH35+100</f>
        <v>9340</v>
      </c>
      <c r="DL35" s="55" t="str">
        <f t="shared" ref="DL35:DL37" si="99">IFERROR(VLOOKUP(DK35,命格属性表,2,FALSE),"")</f>
        <v>无尽</v>
      </c>
      <c r="DM35" s="55">
        <f>DP35-$AD35</f>
        <v>10000</v>
      </c>
      <c r="DN35" s="10">
        <v>8150</v>
      </c>
      <c r="DO35" s="55" t="s">
        <v>316</v>
      </c>
      <c r="DP35" s="55">
        <f>DS35-$AD35</f>
        <v>10000</v>
      </c>
      <c r="DQ35" s="55">
        <f t="shared" ref="DQ35" si="100">DN35+100</f>
        <v>8250</v>
      </c>
      <c r="DR35" s="55" t="s">
        <v>317</v>
      </c>
      <c r="DS35" s="55">
        <f>DV35-$AD35</f>
        <v>10000</v>
      </c>
      <c r="DT35" s="55">
        <f t="shared" ref="DT35" si="101">DQ35+100</f>
        <v>8350</v>
      </c>
      <c r="DU35" s="55" t="s">
        <v>318</v>
      </c>
      <c r="DV35" s="55">
        <f>DY35-$AD35</f>
        <v>10000</v>
      </c>
      <c r="DW35" s="55">
        <f>DT35+100</f>
        <v>8450</v>
      </c>
      <c r="DX35" s="55" t="s">
        <v>319</v>
      </c>
      <c r="DY35" s="55">
        <f>EB35-$AD35</f>
        <v>10000</v>
      </c>
      <c r="DZ35" s="55">
        <f>DW35+100</f>
        <v>8550</v>
      </c>
      <c r="EA35" s="55" t="s">
        <v>320</v>
      </c>
      <c r="EB35" s="55">
        <f>EE35-$AD35</f>
        <v>10000</v>
      </c>
      <c r="EC35" s="55">
        <f>DZ35+100</f>
        <v>8650</v>
      </c>
      <c r="ED35" s="55" t="str">
        <f t="shared" ref="ED35:ED37" si="102">IFERROR(VLOOKUP(EC35,命格属性表,2,FALSE),"")</f>
        <v>冰魄寒光</v>
      </c>
      <c r="EE35" s="55">
        <f>EH35-$AD35</f>
        <v>10000</v>
      </c>
      <c r="EF35" s="55">
        <f>EC35+100</f>
        <v>8750</v>
      </c>
      <c r="EG35" s="55" t="s">
        <v>321</v>
      </c>
      <c r="EH35" s="55">
        <f>EK35-$AD35</f>
        <v>10000</v>
      </c>
      <c r="EI35" s="55">
        <f>EF35+100</f>
        <v>8850</v>
      </c>
      <c r="EJ35" s="55" t="s">
        <v>322</v>
      </c>
      <c r="EK35" s="55">
        <f>EN35-$AD35</f>
        <v>10000</v>
      </c>
      <c r="EL35" s="55">
        <f>EI35+100</f>
        <v>8950</v>
      </c>
      <c r="EM35" s="55" t="s">
        <v>323</v>
      </c>
      <c r="EN35" s="55">
        <f>EQ35-$AD35</f>
        <v>10000</v>
      </c>
      <c r="EO35" s="55">
        <f>EL35+100</f>
        <v>9050</v>
      </c>
      <c r="EP35" s="55" t="s">
        <v>324</v>
      </c>
      <c r="EQ35" s="55">
        <f>ET35-$AD35</f>
        <v>10000</v>
      </c>
      <c r="ER35" s="55">
        <f>EO35+100</f>
        <v>9150</v>
      </c>
      <c r="ES35" s="55" t="s">
        <v>325</v>
      </c>
      <c r="ET35" s="55">
        <f>EW35-$AD35</f>
        <v>10000</v>
      </c>
      <c r="EU35" s="55">
        <f>ER35+100</f>
        <v>9250</v>
      </c>
      <c r="EV35" s="55" t="s">
        <v>326</v>
      </c>
      <c r="EW35" s="55">
        <f>EZ35-$AD35</f>
        <v>10000</v>
      </c>
      <c r="EX35" s="55">
        <f>EU35+100</f>
        <v>9350</v>
      </c>
      <c r="EY35" s="55" t="s">
        <v>327</v>
      </c>
      <c r="EZ35" s="55">
        <v>10000</v>
      </c>
      <c r="FA35" s="3"/>
      <c r="FB35" s="3"/>
      <c r="FC35" s="3"/>
    </row>
    <row r="36" spans="1:159">
      <c r="A36" s="11">
        <v>6</v>
      </c>
      <c r="B36" s="14">
        <v>0</v>
      </c>
      <c r="C36" s="14">
        <v>0.6</v>
      </c>
      <c r="D36" s="14">
        <v>0.35</v>
      </c>
      <c r="E36" s="14">
        <v>0.05</v>
      </c>
      <c r="F36" s="14">
        <v>0</v>
      </c>
      <c r="G36" s="14">
        <v>0</v>
      </c>
      <c r="H36">
        <f t="shared" si="33"/>
        <v>1</v>
      </c>
      <c r="I36" s="60">
        <v>6</v>
      </c>
      <c r="J36" s="14">
        <v>0</v>
      </c>
      <c r="K36" s="14">
        <v>0.6</v>
      </c>
      <c r="L36" s="14">
        <v>0.36</v>
      </c>
      <c r="M36" s="14">
        <v>0.04</v>
      </c>
      <c r="N36" s="14">
        <v>0</v>
      </c>
      <c r="O36" s="14">
        <v>0</v>
      </c>
      <c r="P36">
        <f t="shared" si="34"/>
        <v>1</v>
      </c>
      <c r="Q36" s="7"/>
      <c r="R36" s="7">
        <v>3</v>
      </c>
      <c r="S36" s="7">
        <v>8</v>
      </c>
      <c r="T36" s="7">
        <v>12</v>
      </c>
      <c r="U36" s="7"/>
      <c r="V36" s="7"/>
      <c r="W36">
        <f t="shared" si="35"/>
        <v>23</v>
      </c>
      <c r="Y36" s="7" t="str">
        <f t="shared" si="3"/>
        <v/>
      </c>
      <c r="Z36" s="7">
        <f t="shared" si="3"/>
        <v>2000</v>
      </c>
      <c r="AA36" s="7">
        <f t="shared" si="3"/>
        <v>450</v>
      </c>
      <c r="AB36" s="7">
        <f t="shared" si="3"/>
        <v>33</v>
      </c>
      <c r="AC36" s="7" t="str">
        <f t="shared" si="3"/>
        <v/>
      </c>
      <c r="AD36" s="7" t="str">
        <f t="shared" si="3"/>
        <v/>
      </c>
      <c r="AF36" s="3">
        <v>6</v>
      </c>
      <c r="AG36" s="3">
        <f t="shared" si="4"/>
        <v>23</v>
      </c>
      <c r="AH36" s="10">
        <v>8110</v>
      </c>
      <c r="AI36" s="3" t="s">
        <v>303</v>
      </c>
      <c r="AJ36" s="3">
        <f>AM36-$Z36</f>
        <v>2004</v>
      </c>
      <c r="AK36" s="3">
        <f t="shared" ref="AK36:AK38" si="103">AH36+100</f>
        <v>8210</v>
      </c>
      <c r="AL36" s="3" t="s">
        <v>304</v>
      </c>
      <c r="AM36" s="3">
        <f>AP36-$Z36</f>
        <v>4004</v>
      </c>
      <c r="AN36" s="3">
        <f t="shared" ref="AN36:AN38" si="104">AK36+100</f>
        <v>8310</v>
      </c>
      <c r="AO36" s="3" t="s">
        <v>305</v>
      </c>
      <c r="AP36" s="3">
        <f>AS36-$AA36</f>
        <v>6004</v>
      </c>
      <c r="AQ36" s="10">
        <v>8120</v>
      </c>
      <c r="AR36" s="3" t="s">
        <v>306</v>
      </c>
      <c r="AS36" s="3">
        <f>AV36-$AA36</f>
        <v>6454</v>
      </c>
      <c r="AT36" s="3">
        <f t="shared" ref="AT36:AT38" si="105">AQ36+100</f>
        <v>8220</v>
      </c>
      <c r="AU36" s="3" t="s">
        <v>307</v>
      </c>
      <c r="AV36" s="3">
        <f>AY36-$AA36</f>
        <v>6904</v>
      </c>
      <c r="AW36" s="3">
        <f t="shared" ref="AW36:AW38" si="106">AT36+100</f>
        <v>8320</v>
      </c>
      <c r="AX36" s="3" t="str">
        <f t="shared" ref="AX36:AX38" si="107">IFERROR(VLOOKUP(AW36,命格属性表,2,FALSE),"")</f>
        <v>真刚</v>
      </c>
      <c r="AY36" s="3">
        <f>BB36-$AA36</f>
        <v>7354</v>
      </c>
      <c r="AZ36" s="3">
        <f>AW36+100</f>
        <v>8420</v>
      </c>
      <c r="BA36" s="3" t="s">
        <v>308</v>
      </c>
      <c r="BB36" s="3">
        <f>BE36-$AA36</f>
        <v>7804</v>
      </c>
      <c r="BC36" s="3">
        <f t="shared" ref="BC36:BC38" si="108">AZ36+100</f>
        <v>8520</v>
      </c>
      <c r="BD36" s="3" t="s">
        <v>309</v>
      </c>
      <c r="BE36" s="3">
        <f>BH36-$AA36</f>
        <v>8254</v>
      </c>
      <c r="BF36" s="3">
        <f t="shared" ref="BF36:BF37" si="109">BC36+100</f>
        <v>8620</v>
      </c>
      <c r="BG36" s="3" t="s">
        <v>310</v>
      </c>
      <c r="BH36" s="3">
        <f>BK36-$AA36</f>
        <v>8704</v>
      </c>
      <c r="BI36" s="3">
        <f t="shared" ref="BI36:BI38" si="110">BF36+100</f>
        <v>8720</v>
      </c>
      <c r="BJ36" s="3" t="s">
        <v>311</v>
      </c>
      <c r="BK36" s="3">
        <f>BN36-$AA36</f>
        <v>9154</v>
      </c>
      <c r="BL36" s="3">
        <f t="shared" ref="BL36:BL38" si="111">BI36+100</f>
        <v>8820</v>
      </c>
      <c r="BM36" s="3" t="s">
        <v>312</v>
      </c>
      <c r="BN36" s="3">
        <f t="shared" si="43"/>
        <v>9604</v>
      </c>
      <c r="BO36" s="10">
        <v>8130</v>
      </c>
      <c r="BP36" s="3" t="str">
        <f t="shared" ref="BP36:BP38" si="112">IFERROR(VLOOKUP(BO36,命格属性表,2,FALSE),"")</f>
        <v>霸主</v>
      </c>
      <c r="BQ36" s="3">
        <f t="shared" si="44"/>
        <v>9637</v>
      </c>
      <c r="BR36" s="3">
        <f t="shared" ref="BR36:BR37" si="113">BO36+100</f>
        <v>8230</v>
      </c>
      <c r="BS36" s="3" t="str">
        <f t="shared" ref="BS36:BS38" si="114">IFERROR(VLOOKUP(BR36,命格属性表,2,FALSE),"")</f>
        <v>虎啸</v>
      </c>
      <c r="BT36" s="3">
        <f t="shared" si="46"/>
        <v>9670</v>
      </c>
      <c r="BU36" s="3">
        <f t="shared" ref="BU36:BU38" si="115">BR36+100</f>
        <v>8330</v>
      </c>
      <c r="BV36" s="3" t="str">
        <f t="shared" ref="BV36:BV37" si="116">IFERROR(VLOOKUP(BU36,命格属性表,2,FALSE),"")</f>
        <v>豪魄</v>
      </c>
      <c r="BW36" s="3">
        <f t="shared" si="48"/>
        <v>9703</v>
      </c>
      <c r="BX36" s="3">
        <f>BU36+100</f>
        <v>8430</v>
      </c>
      <c r="BY36" s="3" t="str">
        <f t="shared" ref="BY36:BY38" si="117">IFERROR(VLOOKUP(BX36,命格属性表,2,FALSE),"")</f>
        <v>捉影</v>
      </c>
      <c r="BZ36" s="3">
        <f>CC36-$AB36</f>
        <v>9736</v>
      </c>
      <c r="CA36" s="3">
        <f t="shared" ref="CA36:CA37" si="118">BX36+100</f>
        <v>8530</v>
      </c>
      <c r="CB36" s="3" t="str">
        <f t="shared" si="79"/>
        <v>游刃</v>
      </c>
      <c r="CC36" s="3">
        <f>CF36-$AB36</f>
        <v>9769</v>
      </c>
      <c r="CD36" s="3">
        <f t="shared" si="80"/>
        <v>8630</v>
      </c>
      <c r="CE36" s="3" t="str">
        <f t="shared" si="81"/>
        <v>傲骨</v>
      </c>
      <c r="CF36" s="3">
        <f>CI36-$AB36</f>
        <v>9802</v>
      </c>
      <c r="CG36" s="3">
        <f t="shared" si="82"/>
        <v>8730</v>
      </c>
      <c r="CH36" s="3" t="str">
        <f t="shared" si="83"/>
        <v>心眼</v>
      </c>
      <c r="CI36" s="3">
        <f>CL36-$AB36</f>
        <v>9835</v>
      </c>
      <c r="CJ36" s="3">
        <f t="shared" si="84"/>
        <v>8830</v>
      </c>
      <c r="CK36" s="3" t="str">
        <f t="shared" si="85"/>
        <v>噬生</v>
      </c>
      <c r="CL36" s="3">
        <f>CO36-$AB36</f>
        <v>9868</v>
      </c>
      <c r="CM36" s="3">
        <f t="shared" si="86"/>
        <v>8930</v>
      </c>
      <c r="CN36" s="3" t="str">
        <f t="shared" si="87"/>
        <v>痛击</v>
      </c>
      <c r="CO36" s="3">
        <f>CR36-$AB36</f>
        <v>9901</v>
      </c>
      <c r="CP36" s="3">
        <f t="shared" si="54"/>
        <v>9030</v>
      </c>
      <c r="CQ36" s="3" t="str">
        <f t="shared" si="88"/>
        <v>不坏</v>
      </c>
      <c r="CR36" s="3">
        <f>CU36-$AB36</f>
        <v>9934</v>
      </c>
      <c r="CS36" s="3">
        <f t="shared" si="89"/>
        <v>9130</v>
      </c>
      <c r="CT36" s="3" t="s">
        <v>313</v>
      </c>
      <c r="CU36" s="3">
        <f>CX36-$AB36</f>
        <v>9967</v>
      </c>
      <c r="CV36" s="3">
        <f t="shared" si="91"/>
        <v>9230</v>
      </c>
      <c r="CW36" s="3" t="str">
        <f t="shared" ref="CW36:CW37" si="119">IFERROR(VLOOKUP(CV36,命格属性表,2,FALSE),"")</f>
        <v>盘蛇</v>
      </c>
      <c r="CX36" s="3">
        <v>10000</v>
      </c>
      <c r="CY36" s="3"/>
      <c r="CZ36" s="3" t="str">
        <f t="shared" si="92"/>
        <v/>
      </c>
      <c r="DA36" s="3"/>
      <c r="DB36" s="3"/>
      <c r="DC36" s="3" t="str">
        <f t="shared" ref="DC36:DC37" si="120">IFERROR(VLOOKUP(DB36,命格属性表,2,FALSE),"")</f>
        <v/>
      </c>
      <c r="DD36" s="3"/>
      <c r="DE36" s="3"/>
      <c r="DF36" s="3" t="str">
        <f t="shared" si="95"/>
        <v/>
      </c>
      <c r="DG36" s="3"/>
      <c r="DH36" s="3"/>
      <c r="DI36" s="3" t="str">
        <f t="shared" si="97"/>
        <v/>
      </c>
      <c r="DJ36" s="3"/>
      <c r="DK36" s="3"/>
      <c r="DL36" s="3" t="str">
        <f t="shared" si="99"/>
        <v/>
      </c>
      <c r="DM36" s="3"/>
      <c r="DN36" s="3"/>
      <c r="DO36" s="3" t="str">
        <f>IFERROR(VLOOKUP(DN36,命格属性表,2,FALSE),"")</f>
        <v/>
      </c>
      <c r="DP36" s="3"/>
      <c r="DQ36" s="3"/>
      <c r="DR36" s="3" t="str">
        <f>IFERROR(VLOOKUP(DQ36,命格属性表,2,FALSE),"")</f>
        <v/>
      </c>
      <c r="DS36" s="3"/>
      <c r="DT36" s="3"/>
      <c r="DU36" s="3" t="str">
        <f>IFERROR(VLOOKUP(DT36,命格属性表,2,FALSE),"")</f>
        <v/>
      </c>
      <c r="DV36" s="3"/>
      <c r="DW36" s="3"/>
      <c r="DX36" s="3" t="str">
        <f>IFERROR(VLOOKUP(DW36,命格属性表,2,FALSE),"")</f>
        <v/>
      </c>
      <c r="DY36" s="3"/>
      <c r="DZ36" s="3"/>
      <c r="EA36" s="3" t="str">
        <f t="shared" ref="EA36" si="121">IFERROR(VLOOKUP(DZ36,命格属性表,2,FALSE),"")</f>
        <v/>
      </c>
      <c r="EB36" s="3"/>
      <c r="EC36" s="3"/>
      <c r="ED36" s="3" t="str">
        <f t="shared" si="102"/>
        <v/>
      </c>
      <c r="EE36" s="3"/>
      <c r="EF36" s="3"/>
      <c r="EG36" s="3" t="str">
        <f t="shared" ref="EG36:EG37" si="122">IFERROR(VLOOKUP(EF36,命格属性表,2,FALSE),"")</f>
        <v/>
      </c>
      <c r="EH36" s="3"/>
      <c r="EI36" s="3"/>
      <c r="EJ36" s="3" t="str">
        <f>IFERROR(VLOOKUP(EI36,命格属性表,2,FALSE),"")</f>
        <v/>
      </c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</row>
    <row r="37" spans="1:159">
      <c r="A37" s="11">
        <v>7</v>
      </c>
      <c r="B37" s="14">
        <v>0</v>
      </c>
      <c r="C37" s="14">
        <v>0.1</v>
      </c>
      <c r="D37" s="14">
        <v>0.74</v>
      </c>
      <c r="E37" s="14">
        <v>0.12</v>
      </c>
      <c r="F37" s="14">
        <v>0.04</v>
      </c>
      <c r="G37" s="14">
        <v>0</v>
      </c>
      <c r="H37">
        <f t="shared" si="33"/>
        <v>1</v>
      </c>
      <c r="I37" s="60">
        <v>7</v>
      </c>
      <c r="J37" s="14">
        <v>0</v>
      </c>
      <c r="K37" s="14">
        <v>0.1</v>
      </c>
      <c r="L37" s="14">
        <v>0.81</v>
      </c>
      <c r="M37" s="14">
        <v>0.08</v>
      </c>
      <c r="N37" s="14">
        <v>0.01</v>
      </c>
      <c r="O37" s="14">
        <v>0</v>
      </c>
      <c r="P37">
        <f t="shared" si="34"/>
        <v>1</v>
      </c>
      <c r="Q37" s="7"/>
      <c r="R37" s="7">
        <v>3</v>
      </c>
      <c r="S37" s="7">
        <v>8</v>
      </c>
      <c r="T37" s="7">
        <v>12</v>
      </c>
      <c r="U37" s="7">
        <v>13</v>
      </c>
      <c r="V37" s="7"/>
      <c r="W37">
        <f t="shared" si="35"/>
        <v>36</v>
      </c>
      <c r="Y37" s="7" t="str">
        <f t="shared" si="3"/>
        <v/>
      </c>
      <c r="Z37" s="7">
        <f t="shared" si="3"/>
        <v>333</v>
      </c>
      <c r="AA37" s="7">
        <f t="shared" si="3"/>
        <v>1013</v>
      </c>
      <c r="AB37" s="7">
        <f t="shared" si="3"/>
        <v>67</v>
      </c>
      <c r="AC37" s="7">
        <f t="shared" si="3"/>
        <v>8</v>
      </c>
      <c r="AD37" s="7" t="str">
        <f t="shared" si="3"/>
        <v/>
      </c>
      <c r="AF37" s="3">
        <v>7</v>
      </c>
      <c r="AG37" s="3">
        <f t="shared" si="4"/>
        <v>36</v>
      </c>
      <c r="AH37" s="10">
        <v>8110</v>
      </c>
      <c r="AI37" s="55" t="s">
        <v>303</v>
      </c>
      <c r="AJ37" s="55">
        <f>AM37-$Z37</f>
        <v>322</v>
      </c>
      <c r="AK37" s="55">
        <f t="shared" si="103"/>
        <v>8210</v>
      </c>
      <c r="AL37" s="55" t="s">
        <v>304</v>
      </c>
      <c r="AM37" s="55">
        <f>AP37-$Z37</f>
        <v>655</v>
      </c>
      <c r="AN37" s="55">
        <f t="shared" si="104"/>
        <v>8310</v>
      </c>
      <c r="AO37" s="55" t="s">
        <v>305</v>
      </c>
      <c r="AP37" s="55">
        <f>AS37-$AA37</f>
        <v>988</v>
      </c>
      <c r="AQ37" s="10">
        <v>8120</v>
      </c>
      <c r="AR37" s="55" t="s">
        <v>306</v>
      </c>
      <c r="AS37" s="55">
        <f>AV37-$AA37</f>
        <v>2001</v>
      </c>
      <c r="AT37" s="55">
        <f t="shared" si="105"/>
        <v>8220</v>
      </c>
      <c r="AU37" s="55" t="s">
        <v>307</v>
      </c>
      <c r="AV37" s="55">
        <f>AY37-$AA37</f>
        <v>3014</v>
      </c>
      <c r="AW37" s="55">
        <f t="shared" si="106"/>
        <v>8320</v>
      </c>
      <c r="AX37" s="55" t="str">
        <f t="shared" si="107"/>
        <v>真刚</v>
      </c>
      <c r="AY37" s="55">
        <f>BB37-$AA37</f>
        <v>4027</v>
      </c>
      <c r="AZ37" s="55">
        <f>AW37+100</f>
        <v>8420</v>
      </c>
      <c r="BA37" s="55" t="str">
        <f t="shared" ref="BA37:BA38" si="123">IFERROR(VLOOKUP(AZ37,命格属性表,2,FALSE),"")</f>
        <v>飞仙</v>
      </c>
      <c r="BB37" s="55">
        <f>BE37-$AA37</f>
        <v>5040</v>
      </c>
      <c r="BC37" s="55">
        <f t="shared" si="108"/>
        <v>8520</v>
      </c>
      <c r="BD37" s="55" t="str">
        <f t="shared" ref="BD37:BD38" si="124">IFERROR(VLOOKUP(BC37,命格属性表,2,FALSE),"")</f>
        <v>虚空</v>
      </c>
      <c r="BE37" s="55">
        <f>BH37-$AA37</f>
        <v>6053</v>
      </c>
      <c r="BF37" s="55">
        <f t="shared" si="109"/>
        <v>8620</v>
      </c>
      <c r="BG37" s="55" t="str">
        <f t="shared" ref="BG37:BG38" si="125">IFERROR(VLOOKUP(BF37,命格属性表,2,FALSE),"")</f>
        <v>无惧</v>
      </c>
      <c r="BH37" s="55">
        <f>BK37-$AA37</f>
        <v>7066</v>
      </c>
      <c r="BI37" s="55">
        <f t="shared" si="110"/>
        <v>8720</v>
      </c>
      <c r="BJ37" s="55" t="str">
        <f t="shared" ref="BJ37:BJ38" si="126">IFERROR(VLOOKUP(BI37,命格属性表,2,FALSE),"")</f>
        <v>天杀</v>
      </c>
      <c r="BK37" s="55">
        <f>BN37-$AA37</f>
        <v>8079</v>
      </c>
      <c r="BL37" s="55">
        <f t="shared" si="111"/>
        <v>8820</v>
      </c>
      <c r="BM37" s="55" t="str">
        <f t="shared" ref="BM37:BM38" si="127">IFERROR(VLOOKUP(BL37,命格属性表,2,FALSE),"")</f>
        <v>诛魔</v>
      </c>
      <c r="BN37" s="55">
        <f t="shared" si="43"/>
        <v>9092</v>
      </c>
      <c r="BO37" s="10">
        <v>8130</v>
      </c>
      <c r="BP37" s="55" t="str">
        <f t="shared" si="112"/>
        <v>霸主</v>
      </c>
      <c r="BQ37" s="55">
        <f t="shared" si="44"/>
        <v>9159</v>
      </c>
      <c r="BR37" s="55">
        <f t="shared" si="113"/>
        <v>8230</v>
      </c>
      <c r="BS37" s="55" t="str">
        <f t="shared" si="114"/>
        <v>虎啸</v>
      </c>
      <c r="BT37" s="55">
        <f t="shared" si="46"/>
        <v>9226</v>
      </c>
      <c r="BU37" s="55">
        <f t="shared" si="115"/>
        <v>8330</v>
      </c>
      <c r="BV37" s="55" t="str">
        <f t="shared" si="116"/>
        <v>豪魄</v>
      </c>
      <c r="BW37" s="55">
        <f t="shared" si="48"/>
        <v>9293</v>
      </c>
      <c r="BX37" s="55">
        <f t="shared" ref="BX37:BX38" si="128">BU37+100</f>
        <v>8430</v>
      </c>
      <c r="BY37" s="55" t="str">
        <f t="shared" si="117"/>
        <v>捉影</v>
      </c>
      <c r="BZ37" s="55">
        <f>CC37-$AB37</f>
        <v>9360</v>
      </c>
      <c r="CA37" s="55">
        <f t="shared" si="118"/>
        <v>8530</v>
      </c>
      <c r="CB37" s="55" t="str">
        <f t="shared" si="79"/>
        <v>游刃</v>
      </c>
      <c r="CC37" s="55">
        <f>CF37-$AB37</f>
        <v>9427</v>
      </c>
      <c r="CD37" s="55">
        <f>CA37+100</f>
        <v>8630</v>
      </c>
      <c r="CE37" s="55" t="str">
        <f t="shared" si="81"/>
        <v>傲骨</v>
      </c>
      <c r="CF37" s="55">
        <f>CI37-$AB37</f>
        <v>9494</v>
      </c>
      <c r="CG37" s="55">
        <f t="shared" si="82"/>
        <v>8730</v>
      </c>
      <c r="CH37" s="55" t="str">
        <f t="shared" si="83"/>
        <v>心眼</v>
      </c>
      <c r="CI37" s="55">
        <f>CL37-$AB37</f>
        <v>9561</v>
      </c>
      <c r="CJ37" s="55">
        <f t="shared" si="84"/>
        <v>8830</v>
      </c>
      <c r="CK37" s="55" t="str">
        <f t="shared" si="85"/>
        <v>噬生</v>
      </c>
      <c r="CL37" s="55">
        <f>CO37-$AB37</f>
        <v>9628</v>
      </c>
      <c r="CM37" s="55">
        <f t="shared" si="86"/>
        <v>8930</v>
      </c>
      <c r="CN37" s="55" t="str">
        <f t="shared" si="87"/>
        <v>痛击</v>
      </c>
      <c r="CO37" s="55">
        <f>CR37-$AB37</f>
        <v>9695</v>
      </c>
      <c r="CP37" s="55">
        <f t="shared" si="54"/>
        <v>9030</v>
      </c>
      <c r="CQ37" s="55" t="str">
        <f t="shared" si="88"/>
        <v>不坏</v>
      </c>
      <c r="CR37" s="55">
        <f>CU37-$AB37</f>
        <v>9762</v>
      </c>
      <c r="CS37" s="55">
        <f t="shared" si="89"/>
        <v>9130</v>
      </c>
      <c r="CT37" s="55" t="s">
        <v>314</v>
      </c>
      <c r="CU37" s="55">
        <f>CX37-$AB37</f>
        <v>9829</v>
      </c>
      <c r="CV37" s="55">
        <f t="shared" si="91"/>
        <v>9230</v>
      </c>
      <c r="CW37" s="55" t="str">
        <f t="shared" si="119"/>
        <v>盘蛇</v>
      </c>
      <c r="CX37" s="55">
        <f>DA37-$AC37</f>
        <v>9896</v>
      </c>
      <c r="CY37" s="10">
        <v>8140</v>
      </c>
      <c r="CZ37" s="55" t="str">
        <f t="shared" si="92"/>
        <v>天命</v>
      </c>
      <c r="DA37" s="55">
        <f>DD37-$AC37</f>
        <v>9904</v>
      </c>
      <c r="DB37" s="55">
        <f>CY37+100</f>
        <v>8240</v>
      </c>
      <c r="DC37" s="55" t="str">
        <f t="shared" si="120"/>
        <v>龙吟</v>
      </c>
      <c r="DD37" s="55">
        <f>DG37-$AC37</f>
        <v>9912</v>
      </c>
      <c r="DE37" s="55">
        <f t="shared" ref="DE37:DE38" si="129">DB37+100</f>
        <v>8340</v>
      </c>
      <c r="DF37" s="55" t="str">
        <f t="shared" si="95"/>
        <v>守御</v>
      </c>
      <c r="DG37" s="55">
        <f>DJ37-$AC37</f>
        <v>9920</v>
      </c>
      <c r="DH37" s="55">
        <f t="shared" ref="DH37:DH38" si="130">DE37+100</f>
        <v>8440</v>
      </c>
      <c r="DI37" s="55" t="str">
        <f t="shared" si="97"/>
        <v>千眼</v>
      </c>
      <c r="DJ37" s="55">
        <f>DM37-$AC37</f>
        <v>9928</v>
      </c>
      <c r="DK37" s="55">
        <f t="shared" ref="DK37:DK38" si="131">DH37+100</f>
        <v>8540</v>
      </c>
      <c r="DL37" s="55" t="str">
        <f t="shared" si="99"/>
        <v>逍遥</v>
      </c>
      <c r="DM37" s="55">
        <f>DP37-$AC37</f>
        <v>9936</v>
      </c>
      <c r="DN37" s="55">
        <f t="shared" ref="DN37" si="132">DK37+100</f>
        <v>8640</v>
      </c>
      <c r="DO37" s="55" t="str">
        <f t="shared" ref="DO37" si="133">IFERROR(VLOOKUP(DN37,命格属性表,2,FALSE),"")</f>
        <v>流离</v>
      </c>
      <c r="DP37" s="55">
        <f>DS37-$AC37</f>
        <v>9944</v>
      </c>
      <c r="DQ37" s="55">
        <f>DN37+100</f>
        <v>8740</v>
      </c>
      <c r="DR37" s="55" t="str">
        <f t="shared" ref="DR37" si="134">IFERROR(VLOOKUP(DQ37,命格属性表,2,FALSE),"")</f>
        <v>夺魄</v>
      </c>
      <c r="DS37" s="55">
        <f>DV37-$AC37</f>
        <v>9952</v>
      </c>
      <c r="DT37" s="55">
        <f t="shared" ref="DT37:DT38" si="135">DQ37+100</f>
        <v>8840</v>
      </c>
      <c r="DU37" s="55" t="s">
        <v>314</v>
      </c>
      <c r="DV37" s="55">
        <f>DY37-$AC37</f>
        <v>9960</v>
      </c>
      <c r="DW37" s="55">
        <f t="shared" ref="DW37" si="136">DT37+100</f>
        <v>8940</v>
      </c>
      <c r="DX37" s="55" t="str">
        <f t="shared" ref="DX37" si="137">IFERROR(VLOOKUP(DW37,命格属性表,2,FALSE),"")</f>
        <v>破天</v>
      </c>
      <c r="DY37" s="55">
        <f>EB37-$AC37</f>
        <v>9968</v>
      </c>
      <c r="DZ37" s="55">
        <f>DW37+100</f>
        <v>9040</v>
      </c>
      <c r="EA37" s="55" t="s">
        <v>315</v>
      </c>
      <c r="EB37" s="55">
        <f>EE37-$AC37</f>
        <v>9976</v>
      </c>
      <c r="EC37" s="55">
        <f>DZ37+100</f>
        <v>9140</v>
      </c>
      <c r="ED37" s="55" t="str">
        <f t="shared" si="102"/>
        <v>幽灵</v>
      </c>
      <c r="EE37" s="55">
        <f>EH37-$AC37</f>
        <v>9984</v>
      </c>
      <c r="EF37" s="55">
        <f>EC37+100</f>
        <v>9240</v>
      </c>
      <c r="EG37" s="55" t="str">
        <f t="shared" si="122"/>
        <v>困魔</v>
      </c>
      <c r="EH37" s="55">
        <f>EK37-$AC37</f>
        <v>9992</v>
      </c>
      <c r="EI37" s="55">
        <v>9340</v>
      </c>
      <c r="EJ37" s="55" t="str">
        <f t="shared" ref="EJ37" si="138">IFERROR(VLOOKUP(EI37,命格属性表,2,FALSE),"")</f>
        <v>无尽</v>
      </c>
      <c r="EK37" s="55">
        <v>10000</v>
      </c>
      <c r="EL37" s="55"/>
      <c r="EM37" s="55" t="str">
        <f>IFERROR(VLOOKUP(EL37,命格属性表,2,FALSE),"")</f>
        <v/>
      </c>
      <c r="EN37" s="55"/>
      <c r="EO37" s="55"/>
      <c r="EP37" s="55" t="str">
        <f>IFERROR(VLOOKUP(EO37,命格属性表,2,FALSE),"")</f>
        <v/>
      </c>
      <c r="EQ37" s="55"/>
      <c r="ER37" s="55"/>
      <c r="ES37" s="55" t="str">
        <f>IFERROR(VLOOKUP(ER37,命格属性表,2,FALSE),"")</f>
        <v/>
      </c>
      <c r="ET37" s="55"/>
      <c r="EU37" s="55"/>
      <c r="EV37" s="55" t="str">
        <f>IFERROR(VLOOKUP(EU37,命格属性表,2,FALSE),"")</f>
        <v/>
      </c>
      <c r="EW37" s="55"/>
      <c r="EX37" s="55"/>
      <c r="EY37" s="55" t="str">
        <f>IFERROR(VLOOKUP(EX37,命格属性表,2,FALSE),"")</f>
        <v/>
      </c>
      <c r="EZ37" s="55"/>
      <c r="FA37" s="3"/>
      <c r="FB37" s="3" t="str">
        <f>IFERROR(VLOOKUP(FA37,命格属性表,2,FALSE),"")</f>
        <v/>
      </c>
      <c r="FC37" s="3"/>
    </row>
    <row r="38" spans="1:159">
      <c r="A38" s="11">
        <v>8</v>
      </c>
      <c r="B38" s="14">
        <v>0</v>
      </c>
      <c r="C38" s="14">
        <v>0</v>
      </c>
      <c r="D38" s="14">
        <v>0.5</v>
      </c>
      <c r="E38" s="14">
        <v>0.36</v>
      </c>
      <c r="F38" s="14">
        <v>0.1</v>
      </c>
      <c r="G38" s="14">
        <v>0.04</v>
      </c>
      <c r="H38">
        <f t="shared" si="33"/>
        <v>1</v>
      </c>
      <c r="I38" s="60">
        <v>8</v>
      </c>
      <c r="J38" s="14">
        <v>0</v>
      </c>
      <c r="K38" s="14">
        <v>0</v>
      </c>
      <c r="L38" s="14">
        <v>0.83</v>
      </c>
      <c r="M38" s="14">
        <v>0.15</v>
      </c>
      <c r="N38" s="14">
        <v>0.02</v>
      </c>
      <c r="O38" s="14">
        <v>0</v>
      </c>
      <c r="P38">
        <f t="shared" si="34"/>
        <v>1</v>
      </c>
      <c r="Q38" s="7"/>
      <c r="R38" s="7"/>
      <c r="S38" s="7">
        <v>3</v>
      </c>
      <c r="T38" s="7">
        <v>12</v>
      </c>
      <c r="U38" s="7">
        <v>13</v>
      </c>
      <c r="V38" s="7">
        <v>13</v>
      </c>
      <c r="W38">
        <f t="shared" si="35"/>
        <v>41</v>
      </c>
      <c r="Y38" s="7" t="str">
        <f t="shared" si="3"/>
        <v/>
      </c>
      <c r="Z38" s="7" t="str">
        <f t="shared" si="3"/>
        <v/>
      </c>
      <c r="AA38" s="7">
        <f>IF(S38=0,"",ROUND(L38*10000/S38,0))</f>
        <v>2767</v>
      </c>
      <c r="AB38" s="7">
        <f>IF(T38=0,"",ROUND(M38*10000/T38,0))</f>
        <v>125</v>
      </c>
      <c r="AC38" s="7">
        <f t="shared" si="3"/>
        <v>15</v>
      </c>
      <c r="AD38" s="7">
        <f t="shared" si="3"/>
        <v>0</v>
      </c>
      <c r="AF38" s="3">
        <v>8</v>
      </c>
      <c r="AG38" s="3">
        <f t="shared" si="4"/>
        <v>41</v>
      </c>
      <c r="AH38" s="10">
        <v>8120</v>
      </c>
      <c r="AI38" s="55" t="s">
        <v>306</v>
      </c>
      <c r="AJ38" s="55">
        <f>AM38-$AA38</f>
        <v>2771</v>
      </c>
      <c r="AK38" s="55">
        <f t="shared" si="103"/>
        <v>8220</v>
      </c>
      <c r="AL38" s="55" t="s">
        <v>307</v>
      </c>
      <c r="AM38" s="55">
        <f>AP38-$AA38</f>
        <v>5538</v>
      </c>
      <c r="AN38" s="55">
        <f t="shared" si="104"/>
        <v>8320</v>
      </c>
      <c r="AO38" s="55" t="str">
        <f t="shared" ref="AO38" si="139">IFERROR(VLOOKUP(AN38,命格属性表,2,FALSE),"")</f>
        <v>真刚</v>
      </c>
      <c r="AP38" s="55">
        <f>AS38-$AB38</f>
        <v>8305</v>
      </c>
      <c r="AQ38" s="10">
        <v>8130</v>
      </c>
      <c r="AR38" s="55" t="str">
        <f t="shared" ref="AR38" si="140">IFERROR(VLOOKUP(AQ38,命格属性表,2,FALSE),"")</f>
        <v>霸主</v>
      </c>
      <c r="AS38" s="55">
        <f>AV38-$AB38</f>
        <v>8430</v>
      </c>
      <c r="AT38" s="55">
        <f t="shared" si="105"/>
        <v>8230</v>
      </c>
      <c r="AU38" s="55" t="str">
        <f t="shared" ref="AU38" si="141">IFERROR(VLOOKUP(AT38,命格属性表,2,FALSE),"")</f>
        <v>虎啸</v>
      </c>
      <c r="AV38" s="55">
        <f>AY38-$AB38</f>
        <v>8555</v>
      </c>
      <c r="AW38" s="55">
        <f t="shared" si="106"/>
        <v>8330</v>
      </c>
      <c r="AX38" s="55" t="str">
        <f t="shared" si="107"/>
        <v>豪魄</v>
      </c>
      <c r="AY38" s="55">
        <f>BB38-$AB38</f>
        <v>8680</v>
      </c>
      <c r="AZ38" s="55">
        <f t="shared" ref="AZ38" si="142">AW38+100</f>
        <v>8430</v>
      </c>
      <c r="BA38" s="55" t="str">
        <f t="shared" si="123"/>
        <v>捉影</v>
      </c>
      <c r="BB38" s="55">
        <f>BE38-$AB38</f>
        <v>8805</v>
      </c>
      <c r="BC38" s="55">
        <f t="shared" si="108"/>
        <v>8530</v>
      </c>
      <c r="BD38" s="55" t="str">
        <f t="shared" si="124"/>
        <v>游刃</v>
      </c>
      <c r="BE38" s="55">
        <f>BH38-$AB38</f>
        <v>8930</v>
      </c>
      <c r="BF38" s="55">
        <f>BC38+100</f>
        <v>8630</v>
      </c>
      <c r="BG38" s="55" t="str">
        <f t="shared" si="125"/>
        <v>傲骨</v>
      </c>
      <c r="BH38" s="55">
        <f>BK38-$AB38</f>
        <v>9055</v>
      </c>
      <c r="BI38" s="55">
        <f t="shared" si="110"/>
        <v>8730</v>
      </c>
      <c r="BJ38" s="55" t="str">
        <f t="shared" si="126"/>
        <v>心眼</v>
      </c>
      <c r="BK38" s="55">
        <f>BN38-$AB38</f>
        <v>9180</v>
      </c>
      <c r="BL38" s="55">
        <f t="shared" si="111"/>
        <v>8830</v>
      </c>
      <c r="BM38" s="55" t="str">
        <f t="shared" si="127"/>
        <v>噬生</v>
      </c>
      <c r="BN38" s="55">
        <f t="shared" si="43"/>
        <v>9305</v>
      </c>
      <c r="BO38" s="55">
        <f t="shared" ref="BO38" si="143">BL38+100</f>
        <v>8930</v>
      </c>
      <c r="BP38" s="55" t="str">
        <f t="shared" si="112"/>
        <v>痛击</v>
      </c>
      <c r="BQ38" s="55">
        <f t="shared" si="44"/>
        <v>9430</v>
      </c>
      <c r="BR38" s="55">
        <f>BO38+100</f>
        <v>9030</v>
      </c>
      <c r="BS38" s="55" t="str">
        <f t="shared" si="114"/>
        <v>不坏</v>
      </c>
      <c r="BT38" s="55">
        <f t="shared" si="46"/>
        <v>9555</v>
      </c>
      <c r="BU38" s="55">
        <f t="shared" si="115"/>
        <v>9130</v>
      </c>
      <c r="BV38" s="55" t="s">
        <v>314</v>
      </c>
      <c r="BW38" s="55">
        <f t="shared" si="48"/>
        <v>9680</v>
      </c>
      <c r="BX38" s="55">
        <f t="shared" si="128"/>
        <v>9230</v>
      </c>
      <c r="BY38" s="55" t="str">
        <f t="shared" si="117"/>
        <v>盘蛇</v>
      </c>
      <c r="BZ38" s="55">
        <f>CC38-$AC38</f>
        <v>9805</v>
      </c>
      <c r="CA38" s="10">
        <v>8140</v>
      </c>
      <c r="CB38" s="55" t="str">
        <f t="shared" ref="CB38" si="144">IFERROR(VLOOKUP(CA38,命格属性表,2,FALSE),"")</f>
        <v>天命</v>
      </c>
      <c r="CC38" s="55">
        <f>CF38-$AC38</f>
        <v>9820</v>
      </c>
      <c r="CD38" s="55">
        <f t="shared" ref="CD38" si="145">CA38+100</f>
        <v>8240</v>
      </c>
      <c r="CE38" s="55" t="str">
        <f t="shared" ref="CE38" si="146">IFERROR(VLOOKUP(CD38,命格属性表,2,FALSE),"")</f>
        <v>龙吟</v>
      </c>
      <c r="CF38" s="55">
        <f>CI38-$AC38</f>
        <v>9835</v>
      </c>
      <c r="CG38" s="55">
        <f t="shared" ref="CG38" si="147">CD38+100</f>
        <v>8340</v>
      </c>
      <c r="CH38" s="55" t="str">
        <f t="shared" ref="CH38" si="148">IFERROR(VLOOKUP(CG38,命格属性表,2,FALSE),"")</f>
        <v>守御</v>
      </c>
      <c r="CI38" s="55">
        <f>CL38-$AC38</f>
        <v>9850</v>
      </c>
      <c r="CJ38" s="55">
        <f t="shared" ref="CJ38" si="149">CG38+100</f>
        <v>8440</v>
      </c>
      <c r="CK38" s="55" t="str">
        <f t="shared" ref="CK38" si="150">IFERROR(VLOOKUP(CJ38,命格属性表,2,FALSE),"")</f>
        <v>千眼</v>
      </c>
      <c r="CL38" s="55">
        <f>CO38-$AC38</f>
        <v>9865</v>
      </c>
      <c r="CM38" s="55">
        <f t="shared" ref="CM38" si="151">CJ38+100</f>
        <v>8540</v>
      </c>
      <c r="CN38" s="55" t="str">
        <f t="shared" ref="CN38" si="152">IFERROR(VLOOKUP(CM38,命格属性表,2,FALSE),"")</f>
        <v>逍遥</v>
      </c>
      <c r="CO38" s="55">
        <f>CR38-$AC38</f>
        <v>9880</v>
      </c>
      <c r="CP38" s="55">
        <f t="shared" si="54"/>
        <v>8640</v>
      </c>
      <c r="CQ38" s="55" t="str">
        <f t="shared" ref="CQ38" si="153">IFERROR(VLOOKUP(CP38,命格属性表,2,FALSE),"")</f>
        <v>流离</v>
      </c>
      <c r="CR38" s="55">
        <f>CU38-$AC38</f>
        <v>9895</v>
      </c>
      <c r="CS38" s="55">
        <f t="shared" ref="CS38" si="154">CP38+100</f>
        <v>8740</v>
      </c>
      <c r="CT38" s="55" t="str">
        <f t="shared" ref="CT38" si="155">IFERROR(VLOOKUP(CS38,命格属性表,2,FALSE),"")</f>
        <v>夺魄</v>
      </c>
      <c r="CU38" s="55">
        <f>CX38-$AC38</f>
        <v>9910</v>
      </c>
      <c r="CV38" s="55">
        <f t="shared" ref="CV38" si="156">CS38+100</f>
        <v>8840</v>
      </c>
      <c r="CW38" s="55" t="s">
        <v>314</v>
      </c>
      <c r="CX38" s="55">
        <f>DA38-$AC38</f>
        <v>9925</v>
      </c>
      <c r="CY38" s="55">
        <f>CV38+100</f>
        <v>8940</v>
      </c>
      <c r="CZ38" s="55" t="str">
        <f t="shared" ref="CZ38" si="157">IFERROR(VLOOKUP(CY38,命格属性表,2,FALSE),"")</f>
        <v>破天</v>
      </c>
      <c r="DA38" s="55">
        <f>DD38-$AC38</f>
        <v>9940</v>
      </c>
      <c r="DB38" s="55">
        <f t="shared" ref="DB38" si="158">CY38+100</f>
        <v>9040</v>
      </c>
      <c r="DC38" s="55" t="s">
        <v>315</v>
      </c>
      <c r="DD38" s="55">
        <f>DG38-$AC38</f>
        <v>9955</v>
      </c>
      <c r="DE38" s="55">
        <f t="shared" si="129"/>
        <v>9140</v>
      </c>
      <c r="DF38" s="55" t="str">
        <f t="shared" ref="DF38" si="159">IFERROR(VLOOKUP(DE38,命格属性表,2,FALSE),"")</f>
        <v>幽灵</v>
      </c>
      <c r="DG38" s="55">
        <f>DJ38-$AC38</f>
        <v>9970</v>
      </c>
      <c r="DH38" s="55">
        <f t="shared" si="130"/>
        <v>9240</v>
      </c>
      <c r="DI38" s="55" t="str">
        <f t="shared" ref="DI38" si="160">IFERROR(VLOOKUP(DH38,命格属性表,2,FALSE),"")</f>
        <v>困魔</v>
      </c>
      <c r="DJ38" s="55">
        <f>DM38-$AC38</f>
        <v>9985</v>
      </c>
      <c r="DK38" s="55">
        <f t="shared" si="131"/>
        <v>9340</v>
      </c>
      <c r="DL38" s="55" t="str">
        <f t="shared" ref="DL38" si="161">IFERROR(VLOOKUP(DK38,命格属性表,2,FALSE),"")</f>
        <v>无尽</v>
      </c>
      <c r="DM38" s="55">
        <f>DP38-$AD38</f>
        <v>10000</v>
      </c>
      <c r="DN38" s="10">
        <v>8150</v>
      </c>
      <c r="DO38" s="55" t="s">
        <v>316</v>
      </c>
      <c r="DP38" s="55">
        <f>DS38-$AD38</f>
        <v>10000</v>
      </c>
      <c r="DQ38" s="55">
        <f t="shared" ref="DQ38" si="162">DN38+100</f>
        <v>8250</v>
      </c>
      <c r="DR38" s="55" t="s">
        <v>317</v>
      </c>
      <c r="DS38" s="55">
        <f>DV38-$AD38</f>
        <v>10000</v>
      </c>
      <c r="DT38" s="55">
        <f t="shared" si="135"/>
        <v>8350</v>
      </c>
      <c r="DU38" s="55" t="s">
        <v>318</v>
      </c>
      <c r="DV38" s="55">
        <f>DY38-$AD38</f>
        <v>10000</v>
      </c>
      <c r="DW38" s="55">
        <f>DT38+100</f>
        <v>8450</v>
      </c>
      <c r="DX38" s="55" t="s">
        <v>319</v>
      </c>
      <c r="DY38" s="55">
        <f>EB38-$AD38</f>
        <v>10000</v>
      </c>
      <c r="DZ38" s="55">
        <f>DW38+100</f>
        <v>8550</v>
      </c>
      <c r="EA38" s="55" t="s">
        <v>320</v>
      </c>
      <c r="EB38" s="55">
        <f>EE38-$AD38</f>
        <v>10000</v>
      </c>
      <c r="EC38" s="55">
        <f>DZ38+100</f>
        <v>8650</v>
      </c>
      <c r="ED38" s="55" t="str">
        <f t="shared" ref="ED38" si="163">IFERROR(VLOOKUP(EC38,命格属性表,2,FALSE),"")</f>
        <v>冰魄寒光</v>
      </c>
      <c r="EE38" s="55">
        <f>EH38-$AD38</f>
        <v>10000</v>
      </c>
      <c r="EF38" s="55">
        <f>EC38+100</f>
        <v>8750</v>
      </c>
      <c r="EG38" s="55" t="s">
        <v>321</v>
      </c>
      <c r="EH38" s="55">
        <f>EK38-$AD38</f>
        <v>10000</v>
      </c>
      <c r="EI38" s="55">
        <f>EF38+100</f>
        <v>8850</v>
      </c>
      <c r="EJ38" s="55" t="s">
        <v>322</v>
      </c>
      <c r="EK38" s="55">
        <f>EN38-$AD38</f>
        <v>10000</v>
      </c>
      <c r="EL38" s="55">
        <f>EI38+100</f>
        <v>8950</v>
      </c>
      <c r="EM38" s="55" t="s">
        <v>323</v>
      </c>
      <c r="EN38" s="55">
        <f>EQ38-$AD38</f>
        <v>10000</v>
      </c>
      <c r="EO38" s="55">
        <f>EL38+100</f>
        <v>9050</v>
      </c>
      <c r="EP38" s="55" t="s">
        <v>324</v>
      </c>
      <c r="EQ38" s="55">
        <f>ET38-$AD38</f>
        <v>10000</v>
      </c>
      <c r="ER38" s="55">
        <f>EO38+100</f>
        <v>9150</v>
      </c>
      <c r="ES38" s="55" t="s">
        <v>325</v>
      </c>
      <c r="ET38" s="55">
        <f>EW38-$AD38</f>
        <v>10000</v>
      </c>
      <c r="EU38" s="55">
        <f>ER38+100</f>
        <v>9250</v>
      </c>
      <c r="EV38" s="55" t="s">
        <v>326</v>
      </c>
      <c r="EW38" s="55">
        <f>EZ38-$AD38</f>
        <v>10000</v>
      </c>
      <c r="EX38" s="55">
        <f>EU38+100</f>
        <v>9350</v>
      </c>
      <c r="EY38" s="55" t="s">
        <v>327</v>
      </c>
      <c r="EZ38" s="55">
        <v>10000</v>
      </c>
      <c r="FA38" s="3"/>
      <c r="FB38" s="3"/>
      <c r="FC38" s="3"/>
    </row>
    <row r="40" spans="1:159">
      <c r="A40" s="44" t="s">
        <v>155</v>
      </c>
    </row>
    <row r="41" spans="1:159">
      <c r="A41" s="11" t="s">
        <v>125</v>
      </c>
      <c r="B41" s="3" t="s">
        <v>128</v>
      </c>
      <c r="C41" s="3" t="s">
        <v>127</v>
      </c>
      <c r="D41" s="3" t="s">
        <v>129</v>
      </c>
      <c r="E41" s="3" t="s">
        <v>130</v>
      </c>
      <c r="F41" s="3" t="s">
        <v>131</v>
      </c>
      <c r="G41" s="3" t="s">
        <v>132</v>
      </c>
    </row>
    <row r="42" spans="1:159">
      <c r="A42" s="11">
        <v>1</v>
      </c>
      <c r="B42" s="7">
        <f t="shared" ref="B42:G46" si="164">B31*$E11</f>
        <v>0.2536461636017755</v>
      </c>
      <c r="C42" s="7">
        <f t="shared" si="164"/>
        <v>0.2536461636017755</v>
      </c>
      <c r="D42" s="7">
        <f t="shared" si="164"/>
        <v>0</v>
      </c>
      <c r="E42" s="7">
        <f t="shared" si="164"/>
        <v>0</v>
      </c>
      <c r="F42" s="7">
        <f t="shared" si="164"/>
        <v>0</v>
      </c>
      <c r="G42" s="7">
        <f t="shared" si="164"/>
        <v>0</v>
      </c>
    </row>
    <row r="43" spans="1:159">
      <c r="A43" s="11">
        <v>2</v>
      </c>
      <c r="B43" s="7">
        <f t="shared" si="164"/>
        <v>6.0875079264426118E-2</v>
      </c>
      <c r="C43" s="7">
        <f t="shared" si="164"/>
        <v>0.21306277742549137</v>
      </c>
      <c r="D43" s="7">
        <f t="shared" si="164"/>
        <v>3.0437539632213059E-2</v>
      </c>
      <c r="E43" s="7">
        <f t="shared" si="164"/>
        <v>0</v>
      </c>
      <c r="F43" s="7">
        <f t="shared" si="164"/>
        <v>0</v>
      </c>
      <c r="G43" s="7">
        <f t="shared" si="164"/>
        <v>0</v>
      </c>
    </row>
    <row r="44" spans="1:159">
      <c r="A44" s="11">
        <v>3</v>
      </c>
      <c r="B44" s="7">
        <f t="shared" si="164"/>
        <v>0</v>
      </c>
      <c r="C44" s="7">
        <f t="shared" si="164"/>
        <v>9.8617628408370309E-2</v>
      </c>
      <c r="D44" s="7">
        <f t="shared" si="164"/>
        <v>3.4242232086239693E-2</v>
      </c>
      <c r="E44" s="7">
        <f t="shared" si="164"/>
        <v>4.1090678503487629E-3</v>
      </c>
      <c r="F44" s="7">
        <f t="shared" si="164"/>
        <v>0</v>
      </c>
      <c r="G44" s="7">
        <f t="shared" si="164"/>
        <v>0</v>
      </c>
    </row>
    <row r="45" spans="1:159">
      <c r="A45" s="11">
        <v>4</v>
      </c>
      <c r="B45" s="7">
        <f t="shared" si="164"/>
        <v>0</v>
      </c>
      <c r="C45" s="7">
        <f t="shared" si="164"/>
        <v>1.2327203551046289E-2</v>
      </c>
      <c r="D45" s="7">
        <f t="shared" si="164"/>
        <v>2.2599873176918198E-2</v>
      </c>
      <c r="E45" s="7">
        <f t="shared" si="164"/>
        <v>4.9308814204185158E-3</v>
      </c>
      <c r="F45" s="7">
        <f t="shared" si="164"/>
        <v>1.2327203551046289E-3</v>
      </c>
      <c r="G45" s="7">
        <f t="shared" si="164"/>
        <v>0</v>
      </c>
    </row>
    <row r="46" spans="1:159">
      <c r="A46" s="11">
        <v>5</v>
      </c>
      <c r="B46" s="7">
        <f t="shared" si="164"/>
        <v>0</v>
      </c>
      <c r="C46" s="7">
        <f t="shared" si="164"/>
        <v>0</v>
      </c>
      <c r="D46" s="7">
        <f t="shared" si="164"/>
        <v>6.1636017755231443E-3</v>
      </c>
      <c r="E46" s="7">
        <f t="shared" si="164"/>
        <v>3.492707672796449E-3</v>
      </c>
      <c r="F46" s="7">
        <f t="shared" si="164"/>
        <v>4.1090678503487635E-4</v>
      </c>
      <c r="G46" s="7">
        <f t="shared" si="164"/>
        <v>2.0545339251743818E-4</v>
      </c>
    </row>
    <row r="47" spans="1:159">
      <c r="A47" s="11">
        <v>6</v>
      </c>
      <c r="B47" s="7"/>
      <c r="C47" s="7"/>
      <c r="D47" s="7"/>
      <c r="E47" s="7"/>
      <c r="F47" s="7"/>
      <c r="G47" s="7"/>
    </row>
    <row r="48" spans="1:159">
      <c r="A48" s="11">
        <v>7</v>
      </c>
      <c r="B48" s="7"/>
      <c r="C48" s="7"/>
      <c r="D48" s="7"/>
      <c r="E48" s="7"/>
      <c r="F48" s="7"/>
      <c r="G48" s="7"/>
    </row>
    <row r="49" spans="1:7">
      <c r="A49" s="11">
        <v>8</v>
      </c>
      <c r="B49" s="7"/>
      <c r="C49" s="7"/>
      <c r="D49" s="7"/>
      <c r="E49" s="7"/>
      <c r="F49" s="7"/>
      <c r="G49" s="7"/>
    </row>
    <row r="53" spans="1:7">
      <c r="A53" s="44" t="s">
        <v>275</v>
      </c>
    </row>
    <row r="54" spans="1:7">
      <c r="A54" s="44" t="s">
        <v>276</v>
      </c>
    </row>
    <row r="55" spans="1:7">
      <c r="A55" s="44">
        <f>C5</f>
        <v>20</v>
      </c>
    </row>
    <row r="56" spans="1:7">
      <c r="A56" s="11" t="s">
        <v>23</v>
      </c>
      <c r="B56" s="3" t="s">
        <v>24</v>
      </c>
      <c r="C56" s="3" t="s">
        <v>138</v>
      </c>
      <c r="D56" s="3" t="s">
        <v>134</v>
      </c>
      <c r="E56" s="3" t="s">
        <v>137</v>
      </c>
      <c r="F56" s="7" t="s">
        <v>156</v>
      </c>
    </row>
    <row r="57" spans="1:7">
      <c r="A57" s="11">
        <v>3</v>
      </c>
      <c r="B57" s="7">
        <f>B5</f>
        <v>4800</v>
      </c>
      <c r="C57" s="3">
        <v>1</v>
      </c>
      <c r="D57" s="3">
        <f>C36*$C$21+D36*$C$22+E36*$C$23+F36*$C$24+G36*$C$25</f>
        <v>30</v>
      </c>
      <c r="E57" s="3">
        <f>C57/SUM($C$57:$C$59)</f>
        <v>0.72727272727272729</v>
      </c>
      <c r="F57" s="3">
        <f>D57/B57</f>
        <v>6.2500000000000003E-3</v>
      </c>
    </row>
    <row r="58" spans="1:7">
      <c r="A58" s="11">
        <v>4</v>
      </c>
      <c r="B58" s="7">
        <f t="shared" ref="B58:B59" si="165">B6</f>
        <v>10000</v>
      </c>
      <c r="C58" s="3">
        <f>C57*E5/1000</f>
        <v>0.3</v>
      </c>
      <c r="D58" s="3">
        <f>C34*$C$21+D34*$C$22+E34*$C$23+F34*$C$24+G34*$C$25</f>
        <v>42.4</v>
      </c>
      <c r="E58" s="3">
        <f>C58/SUM($C$57:$C$59)</f>
        <v>0.21818181818181817</v>
      </c>
      <c r="F58" s="3">
        <f>D58/B58</f>
        <v>4.2399999999999998E-3</v>
      </c>
    </row>
    <row r="59" spans="1:7">
      <c r="A59" s="11">
        <v>5</v>
      </c>
      <c r="B59" s="7">
        <f t="shared" si="165"/>
        <v>20000</v>
      </c>
      <c r="C59" s="3">
        <f>C58*E6/1000</f>
        <v>7.4999999999999997E-2</v>
      </c>
      <c r="D59" s="3">
        <f>C35*$C$21+D35*$C$22+E35*$C$23+F35*$C$24+G35*$C$25</f>
        <v>64</v>
      </c>
      <c r="E59" s="3">
        <f t="shared" ref="E59" si="166">C59/SUM($C$57:$C$59)</f>
        <v>5.4545454545454543E-2</v>
      </c>
      <c r="F59" s="3">
        <f>D59/B59</f>
        <v>3.2000000000000002E-3</v>
      </c>
    </row>
    <row r="60" spans="1:7">
      <c r="A60" s="44">
        <f>C6</f>
        <v>50</v>
      </c>
    </row>
    <row r="61" spans="1:7">
      <c r="A61" s="11" t="s">
        <v>23</v>
      </c>
      <c r="B61" s="3" t="s">
        <v>24</v>
      </c>
      <c r="C61" s="3" t="s">
        <v>138</v>
      </c>
      <c r="D61" s="3" t="s">
        <v>134</v>
      </c>
      <c r="E61" s="3" t="s">
        <v>137</v>
      </c>
      <c r="F61" s="7" t="s">
        <v>156</v>
      </c>
    </row>
    <row r="62" spans="1:7">
      <c r="A62" s="11">
        <v>4</v>
      </c>
      <c r="B62" s="7">
        <f>B6</f>
        <v>10000</v>
      </c>
      <c r="C62" s="3">
        <v>1</v>
      </c>
      <c r="D62" s="3">
        <f>C37*$C$21+D37*$C$22+E37*$C$23+F37*$C$24+G37*$C$25</f>
        <v>47.6</v>
      </c>
      <c r="E62" s="3">
        <f>C62/SUM($C$62:$C$63)</f>
        <v>0.8</v>
      </c>
      <c r="F62" s="3">
        <f>D62/B62</f>
        <v>4.7600000000000003E-3</v>
      </c>
    </row>
    <row r="63" spans="1:7">
      <c r="A63" s="11">
        <v>5</v>
      </c>
      <c r="B63" s="7">
        <f>B7</f>
        <v>20000</v>
      </c>
      <c r="C63" s="3">
        <f>C62*E6/1000</f>
        <v>0.25</v>
      </c>
      <c r="D63" s="3">
        <f>C35*$C$21+D35*$C$22+E35*$C$23+F35*$C$24+G35*$C$25</f>
        <v>64</v>
      </c>
      <c r="E63" s="3">
        <f>C63/SUM($C$62:$C$63)</f>
        <v>0.2</v>
      </c>
      <c r="F63" s="3">
        <f>D63/B63</f>
        <v>3.2000000000000002E-3</v>
      </c>
    </row>
    <row r="64" spans="1:7">
      <c r="A64" s="44">
        <f>C7</f>
        <v>200</v>
      </c>
    </row>
    <row r="65" spans="1:7">
      <c r="A65" s="11" t="s">
        <v>23</v>
      </c>
      <c r="B65" s="3" t="s">
        <v>24</v>
      </c>
      <c r="C65" s="3" t="s">
        <v>138</v>
      </c>
      <c r="D65" s="3" t="s">
        <v>134</v>
      </c>
      <c r="E65" s="3" t="s">
        <v>137</v>
      </c>
      <c r="F65" s="7" t="s">
        <v>156</v>
      </c>
    </row>
    <row r="66" spans="1:7">
      <c r="A66" s="11">
        <v>5</v>
      </c>
      <c r="B66" s="7">
        <f>B7</f>
        <v>20000</v>
      </c>
      <c r="C66" s="3">
        <v>1</v>
      </c>
      <c r="D66" s="3">
        <f>C38*$C$21+D38*$C$22+E38*$C$23+F38*$C$24+G38*$C$25</f>
        <v>77.599999999999994</v>
      </c>
      <c r="E66" s="3">
        <f>C66</f>
        <v>1</v>
      </c>
      <c r="F66" s="3">
        <f>D66/B66</f>
        <v>3.8799999999999998E-3</v>
      </c>
    </row>
    <row r="69" spans="1:7">
      <c r="A69" s="11" t="s">
        <v>125</v>
      </c>
      <c r="B69" s="3" t="s">
        <v>128</v>
      </c>
      <c r="C69" s="3" t="s">
        <v>127</v>
      </c>
      <c r="D69" s="3" t="s">
        <v>129</v>
      </c>
      <c r="E69" s="3" t="s">
        <v>130</v>
      </c>
      <c r="F69" s="3" t="s">
        <v>131</v>
      </c>
      <c r="G69" s="3" t="s">
        <v>132</v>
      </c>
    </row>
    <row r="70" spans="1:7">
      <c r="A70" s="11">
        <v>3</v>
      </c>
      <c r="B70" s="3"/>
      <c r="C70" s="3"/>
      <c r="D70" s="3"/>
      <c r="E70" s="3"/>
      <c r="F70" s="3"/>
      <c r="G70" s="3"/>
    </row>
    <row r="71" spans="1:7">
      <c r="A71" s="11">
        <v>4</v>
      </c>
      <c r="B71" s="3"/>
      <c r="C71" s="3"/>
      <c r="D71" s="3"/>
      <c r="E71" s="3"/>
      <c r="F71" s="3"/>
      <c r="G71" s="3"/>
    </row>
    <row r="72" spans="1:7">
      <c r="A72" s="11">
        <v>5</v>
      </c>
      <c r="B72" s="3"/>
      <c r="C72" s="3"/>
      <c r="D72" s="3"/>
      <c r="E72" s="3"/>
      <c r="F72" s="3"/>
      <c r="G72" s="3"/>
    </row>
    <row r="75" spans="1:7">
      <c r="A75" s="44" t="s">
        <v>277</v>
      </c>
    </row>
    <row r="76" spans="1:7">
      <c r="A76" s="11" t="s">
        <v>284</v>
      </c>
      <c r="B76" s="11" t="s">
        <v>271</v>
      </c>
      <c r="C76" s="11" t="s">
        <v>278</v>
      </c>
      <c r="D76" s="11" t="s">
        <v>279</v>
      </c>
      <c r="E76" s="11" t="s">
        <v>280</v>
      </c>
      <c r="F76" s="11" t="s">
        <v>281</v>
      </c>
      <c r="G76" s="11" t="s">
        <v>282</v>
      </c>
    </row>
    <row r="77" spans="1:7">
      <c r="A77" s="11">
        <f>C5</f>
        <v>20</v>
      </c>
      <c r="B77" s="3">
        <f>$E$57*B36+$E$58*B34+$E$59*B35</f>
        <v>0</v>
      </c>
      <c r="C77" s="3">
        <f>$E$57*C36+$E$58*C34+$E$59*C35</f>
        <v>0.50181818181818183</v>
      </c>
      <c r="D77" s="3">
        <f t="shared" ref="D77:G77" si="167">$E$57*D36+$E$58*D34+$E$59*D35</f>
        <v>0.40727272727272723</v>
      </c>
      <c r="E77" s="3">
        <f>$E$57*E36+$E$58*E34+$E$59*E35</f>
        <v>8.1090909090909088E-2</v>
      </c>
      <c r="F77" s="3">
        <f t="shared" si="167"/>
        <v>8.7272727272727276E-3</v>
      </c>
      <c r="G77" s="3">
        <f t="shared" si="167"/>
        <v>1.090909090909091E-3</v>
      </c>
    </row>
    <row r="78" spans="1:7">
      <c r="A78" s="11">
        <f>C6</f>
        <v>50</v>
      </c>
      <c r="B78" s="3">
        <f>$E$62*B37+$E$63*B35</f>
        <v>0</v>
      </c>
      <c r="C78" s="3">
        <f t="shared" ref="C78:G78" si="168">$E$62*C37+$E$63*C35</f>
        <v>8.0000000000000016E-2</v>
      </c>
      <c r="D78" s="3">
        <f t="shared" si="168"/>
        <v>0.71199999999999997</v>
      </c>
      <c r="E78" s="3">
        <f t="shared" si="168"/>
        <v>0.16400000000000001</v>
      </c>
      <c r="F78" s="3">
        <f>$E$62*F37+$E$63*F35</f>
        <v>0.04</v>
      </c>
      <c r="G78" s="3">
        <f t="shared" si="168"/>
        <v>4.0000000000000001E-3</v>
      </c>
    </row>
    <row r="79" spans="1:7">
      <c r="A79" s="11">
        <f>C7</f>
        <v>200</v>
      </c>
      <c r="B79" s="3">
        <f>$E$66*B38</f>
        <v>0</v>
      </c>
      <c r="C79" s="3">
        <f t="shared" ref="C79:G79" si="169">$E$66*C38</f>
        <v>0</v>
      </c>
      <c r="D79" s="3">
        <f t="shared" si="169"/>
        <v>0.5</v>
      </c>
      <c r="E79" s="3">
        <f t="shared" si="169"/>
        <v>0.36</v>
      </c>
      <c r="F79" s="3">
        <f t="shared" si="169"/>
        <v>0.1</v>
      </c>
      <c r="G79" s="3">
        <f t="shared" si="169"/>
        <v>0.04</v>
      </c>
    </row>
    <row r="81" spans="1:8">
      <c r="A81" s="44" t="s">
        <v>283</v>
      </c>
      <c r="B81">
        <v>2</v>
      </c>
      <c r="C81">
        <v>3</v>
      </c>
      <c r="D81">
        <v>4</v>
      </c>
      <c r="E81">
        <v>5</v>
      </c>
      <c r="F81">
        <v>6</v>
      </c>
      <c r="G81">
        <v>7</v>
      </c>
    </row>
    <row r="82" spans="1:8">
      <c r="A82" s="11" t="s">
        <v>284</v>
      </c>
      <c r="B82" s="11" t="s">
        <v>271</v>
      </c>
      <c r="C82" s="11" t="s">
        <v>278</v>
      </c>
      <c r="D82" s="11" t="s">
        <v>279</v>
      </c>
      <c r="E82" s="11" t="s">
        <v>280</v>
      </c>
      <c r="F82" s="11" t="s">
        <v>281</v>
      </c>
      <c r="G82" s="11" t="s">
        <v>282</v>
      </c>
    </row>
    <row r="83" spans="1:8">
      <c r="A83" s="11">
        <f>A77</f>
        <v>20</v>
      </c>
      <c r="B83" s="3">
        <f>B77/$A77</f>
        <v>0</v>
      </c>
      <c r="C83" s="58">
        <f t="shared" ref="C83:G83" si="170">C77/$A77</f>
        <v>2.5090909090909091E-2</v>
      </c>
      <c r="D83" s="58">
        <f t="shared" si="170"/>
        <v>2.0363636363636362E-2</v>
      </c>
      <c r="E83" s="58">
        <f>E77/$A77</f>
        <v>4.0545454545454548E-3</v>
      </c>
      <c r="F83" s="58">
        <f t="shared" si="170"/>
        <v>4.3636363636363637E-4</v>
      </c>
      <c r="G83" s="58">
        <f t="shared" si="170"/>
        <v>5.4545454545454546E-5</v>
      </c>
    </row>
    <row r="84" spans="1:8">
      <c r="A84" s="11">
        <f t="shared" ref="A84:A85" si="171">A78</f>
        <v>50</v>
      </c>
      <c r="B84" s="3">
        <f t="shared" ref="B84:G84" si="172">B78/$A78</f>
        <v>0</v>
      </c>
      <c r="C84" s="58">
        <f t="shared" si="172"/>
        <v>1.6000000000000003E-3</v>
      </c>
      <c r="D84" s="58">
        <f t="shared" si="172"/>
        <v>1.4239999999999999E-2</v>
      </c>
      <c r="E84" s="58">
        <f t="shared" si="172"/>
        <v>3.2799999999999999E-3</v>
      </c>
      <c r="F84" s="58">
        <f>F78/$A78</f>
        <v>8.0000000000000004E-4</v>
      </c>
      <c r="G84" s="58">
        <f t="shared" si="172"/>
        <v>8.0000000000000007E-5</v>
      </c>
    </row>
    <row r="85" spans="1:8">
      <c r="A85" s="11">
        <f t="shared" si="171"/>
        <v>200</v>
      </c>
      <c r="B85" s="3">
        <f t="shared" ref="B85:G85" si="173">B79/$A79</f>
        <v>0</v>
      </c>
      <c r="C85" s="58">
        <f t="shared" si="173"/>
        <v>0</v>
      </c>
      <c r="D85" s="58">
        <f t="shared" si="173"/>
        <v>2.5000000000000001E-3</v>
      </c>
      <c r="E85" s="58">
        <f t="shared" si="173"/>
        <v>1.8E-3</v>
      </c>
      <c r="F85" s="58">
        <f t="shared" si="173"/>
        <v>5.0000000000000001E-4</v>
      </c>
      <c r="G85" s="58">
        <f t="shared" si="173"/>
        <v>2.0000000000000001E-4</v>
      </c>
    </row>
    <row r="86" spans="1:8">
      <c r="A86" s="44" t="s">
        <v>285</v>
      </c>
      <c r="C86">
        <f t="shared" ref="C86:F86" si="174">SUMIF(C83:C85,MAX(C83:C85),$A$83:$A$85)</f>
        <v>20</v>
      </c>
      <c r="D86">
        <f t="shared" si="174"/>
        <v>20</v>
      </c>
      <c r="E86">
        <f t="shared" si="174"/>
        <v>20</v>
      </c>
      <c r="F86">
        <f t="shared" si="174"/>
        <v>50</v>
      </c>
      <c r="G86">
        <f>SUMIF(G83:G85,MAX(G83:G85),$A$83:$A$85)</f>
        <v>200</v>
      </c>
    </row>
    <row r="87" spans="1:8">
      <c r="A87" s="44" t="s">
        <v>295</v>
      </c>
      <c r="B87">
        <v>0</v>
      </c>
      <c r="C87">
        <f>1/VLOOKUP(C86,$A$83:$G$85,C81,0)</f>
        <v>39.855072463768117</v>
      </c>
      <c r="D87">
        <f t="shared" ref="D87:G87" si="175">1/VLOOKUP(D86,$A$83:$G$85,D81,0)</f>
        <v>49.107142857142861</v>
      </c>
      <c r="E87">
        <f>1/VLOOKUP(E86,$A$83:$G$85,E81,0)</f>
        <v>246.63677130044843</v>
      </c>
      <c r="F87">
        <f>1/VLOOKUP(F86,$A$83:$G$85,F81,0)</f>
        <v>1250</v>
      </c>
      <c r="G87">
        <f t="shared" si="175"/>
        <v>5000</v>
      </c>
    </row>
    <row r="88" spans="1:8">
      <c r="A88" s="44" t="s">
        <v>286</v>
      </c>
      <c r="B88">
        <f>J3</f>
        <v>1200</v>
      </c>
      <c r="C88" s="3">
        <f>J5/D21</f>
        <v>4221.4806358127689</v>
      </c>
      <c r="D88" s="3">
        <f>J5/D22</f>
        <v>26096.634093376764</v>
      </c>
      <c r="E88" s="3">
        <f>J5/D23</f>
        <v>194575.99676178911</v>
      </c>
      <c r="F88" s="3">
        <f>J5/D24</f>
        <v>1483641.9753086418</v>
      </c>
      <c r="G88" s="3">
        <f>J5/D25</f>
        <v>11869135.802469134</v>
      </c>
    </row>
    <row r="89" spans="1:8">
      <c r="A89" s="44" t="s">
        <v>287</v>
      </c>
      <c r="C89">
        <f>C88/C87</f>
        <v>105.92078686221129</v>
      </c>
      <c r="D89">
        <f t="shared" ref="D89:F89" si="176">D88/D87</f>
        <v>531.42236699239947</v>
      </c>
      <c r="E89">
        <f t="shared" si="176"/>
        <v>788.91722323416309</v>
      </c>
      <c r="F89">
        <f t="shared" si="176"/>
        <v>1186.9135802469134</v>
      </c>
      <c r="G89">
        <f>G88/G87</f>
        <v>2373.8271604938268</v>
      </c>
      <c r="H89" s="46">
        <f>AVERAGE(C89:G89)</f>
        <v>997.40022356590271</v>
      </c>
    </row>
    <row r="90" spans="1:8">
      <c r="A90" s="44" t="s">
        <v>296</v>
      </c>
      <c r="C90">
        <f>C88/$H$89</f>
        <v>4.2324841483593643</v>
      </c>
      <c r="D90">
        <f t="shared" ref="D90:G90" si="177">D88/$H$89</f>
        <v>26.164656350362691</v>
      </c>
      <c r="E90">
        <f t="shared" si="177"/>
        <v>195.08316938825371</v>
      </c>
      <c r="F90">
        <f t="shared" si="177"/>
        <v>1487.5091665854343</v>
      </c>
      <c r="G90">
        <f t="shared" si="177"/>
        <v>11900.073332683474</v>
      </c>
    </row>
    <row r="91" spans="1:8">
      <c r="A91" s="44" t="s">
        <v>294</v>
      </c>
      <c r="C91">
        <f>ROUND(MIN(C87,C90),0)</f>
        <v>4</v>
      </c>
      <c r="D91">
        <f t="shared" ref="D91:G91" si="178">ROUND(MIN(D87,D90),0)</f>
        <v>26</v>
      </c>
      <c r="E91">
        <f>ROUND(MIN(E87,E90),0)</f>
        <v>195</v>
      </c>
      <c r="F91">
        <f>ROUND(MIN(F87,F90),0)</f>
        <v>1250</v>
      </c>
      <c r="G91">
        <f t="shared" si="178"/>
        <v>5000</v>
      </c>
    </row>
    <row r="92" spans="1:8">
      <c r="A92" s="44" t="s">
        <v>297</v>
      </c>
      <c r="C92" s="3">
        <f>ROUND(C91/5,0)*5</f>
        <v>5</v>
      </c>
      <c r="D92" s="3">
        <f>ROUND(D91/25,0)*25</f>
        <v>25</v>
      </c>
      <c r="E92" s="3">
        <f>ROUND(E91/50,0)*50</f>
        <v>200</v>
      </c>
      <c r="F92" s="3">
        <f>ROUND(F91/50,0)*50</f>
        <v>1250</v>
      </c>
      <c r="G92" s="3">
        <f>ROUND(G91/500,0)*500</f>
        <v>5000</v>
      </c>
    </row>
    <row r="93" spans="1:8">
      <c r="D93">
        <f t="shared" ref="D93:F93" si="179">D92/C92</f>
        <v>5</v>
      </c>
      <c r="E93">
        <f t="shared" si="179"/>
        <v>8</v>
      </c>
      <c r="F93">
        <f t="shared" si="179"/>
        <v>6.25</v>
      </c>
      <c r="G93">
        <f>G92/F92</f>
        <v>4</v>
      </c>
    </row>
  </sheetData>
  <phoneticPr fontId="1" type="noConversion"/>
  <conditionalFormatting sqref="G83:G85">
    <cfRule type="colorScale" priority="5">
      <colorScale>
        <cfvo type="min"/>
        <cfvo type="max"/>
        <color rgb="FFFCFCFF"/>
        <color rgb="FFF8696B"/>
      </colorScale>
    </cfRule>
  </conditionalFormatting>
  <conditionalFormatting sqref="F83:F85">
    <cfRule type="colorScale" priority="4">
      <colorScale>
        <cfvo type="min"/>
        <cfvo type="max"/>
        <color rgb="FFFCFCFF"/>
        <color rgb="FFF8696B"/>
      </colorScale>
    </cfRule>
  </conditionalFormatting>
  <conditionalFormatting sqref="E83:E85">
    <cfRule type="colorScale" priority="3">
      <colorScale>
        <cfvo type="min"/>
        <cfvo type="max"/>
        <color rgb="FFFCFCFF"/>
        <color rgb="FFF8696B"/>
      </colorScale>
    </cfRule>
  </conditionalFormatting>
  <conditionalFormatting sqref="D83:D85">
    <cfRule type="colorScale" priority="2">
      <colorScale>
        <cfvo type="min"/>
        <cfvo type="max"/>
        <color rgb="FFFCFCFF"/>
        <color rgb="FFF8696B"/>
      </colorScale>
    </cfRule>
  </conditionalFormatting>
  <conditionalFormatting sqref="C83:C85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220"/>
  <sheetViews>
    <sheetView topLeftCell="A91" workbookViewId="0">
      <pane xSplit="2" topLeftCell="C1" activePane="topRight" state="frozen"/>
      <selection activeCell="A37" sqref="A37"/>
      <selection pane="topRight" activeCell="E105" sqref="E105"/>
    </sheetView>
  </sheetViews>
  <sheetFormatPr defaultRowHeight="14.4"/>
  <cols>
    <col min="5" max="5" width="10" customWidth="1"/>
    <col min="6" max="6" width="9.21875" customWidth="1"/>
    <col min="7" max="7" width="9.44140625" bestFit="1" customWidth="1"/>
    <col min="8" max="8" width="10" customWidth="1"/>
    <col min="9" max="9" width="9.6640625" customWidth="1"/>
    <col min="10" max="10" width="8.77734375" customWidth="1"/>
    <col min="11" max="11" width="9.44140625" customWidth="1"/>
    <col min="12" max="12" width="10" bestFit="1" customWidth="1"/>
    <col min="13" max="14" width="9.44140625" bestFit="1" customWidth="1"/>
    <col min="15" max="15" width="9.109375" bestFit="1" customWidth="1"/>
    <col min="16" max="17" width="9.44140625" bestFit="1" customWidth="1"/>
  </cols>
  <sheetData>
    <row r="1" spans="1:22">
      <c r="S1" t="s">
        <v>389</v>
      </c>
    </row>
    <row r="2" spans="1:22">
      <c r="A2" s="7"/>
      <c r="B2" s="7" t="s">
        <v>110</v>
      </c>
      <c r="C2" s="7" t="s">
        <v>247</v>
      </c>
      <c r="D2" s="7" t="s">
        <v>248</v>
      </c>
      <c r="E2" s="7" t="s">
        <v>249</v>
      </c>
      <c r="S2" s="44"/>
      <c r="T2" s="57">
        <v>1.5</v>
      </c>
      <c r="U2" s="44"/>
      <c r="V2" s="44">
        <v>2</v>
      </c>
    </row>
    <row r="3" spans="1:22">
      <c r="A3" s="7" t="s">
        <v>250</v>
      </c>
      <c r="B3" s="7">
        <f>[1]命格规划!D6</f>
        <v>1</v>
      </c>
      <c r="C3" s="7">
        <f>[1]命格规划!E6</f>
        <v>0.125</v>
      </c>
      <c r="D3" s="7">
        <f>[1]命格规划!F6</f>
        <v>0.125</v>
      </c>
      <c r="E3" s="7">
        <f>[1]命格规划!G6</f>
        <v>0</v>
      </c>
      <c r="S3" s="55">
        <v>1</v>
      </c>
      <c r="T3" s="55">
        <v>1</v>
      </c>
      <c r="U3" s="55">
        <f t="shared" ref="U3:U9" si="0">T3/$T$10/(S3/$S$10)</f>
        <v>0.46822130772748055</v>
      </c>
      <c r="V3">
        <v>1</v>
      </c>
    </row>
    <row r="4" spans="1:22">
      <c r="A4" s="7" t="s">
        <v>251</v>
      </c>
      <c r="B4" s="7">
        <f>[1]命格规划!D7</f>
        <v>7</v>
      </c>
      <c r="C4" s="7">
        <f>[1]命格规划!E7</f>
        <v>0.875</v>
      </c>
      <c r="D4" s="7">
        <f>[1]命格规划!F7</f>
        <v>0.875</v>
      </c>
      <c r="E4" s="7">
        <f>[1]命格规划!G7</f>
        <v>0</v>
      </c>
      <c r="S4" s="55">
        <v>2</v>
      </c>
      <c r="T4" s="55">
        <f t="shared" ref="T4:T10" si="1">T3*$T$2</f>
        <v>1.5</v>
      </c>
      <c r="U4" s="55">
        <f t="shared" si="0"/>
        <v>0.3511659807956104</v>
      </c>
      <c r="V4">
        <f t="shared" ref="V4:V10" si="2">V3*$V$2</f>
        <v>2</v>
      </c>
    </row>
    <row r="5" spans="1:22">
      <c r="A5" s="7" t="s">
        <v>252</v>
      </c>
      <c r="B5" s="7">
        <f>[1]命格规划!D8</f>
        <v>1</v>
      </c>
      <c r="C5" s="7">
        <f>[1]命格规划!E8</f>
        <v>0</v>
      </c>
      <c r="D5" s="7">
        <f>[1]命格规划!F8</f>
        <v>0.125</v>
      </c>
      <c r="E5" s="7">
        <f>[1]命格规划!G8</f>
        <v>1</v>
      </c>
      <c r="S5" s="55">
        <v>3</v>
      </c>
      <c r="T5" s="55">
        <f t="shared" si="1"/>
        <v>2.25</v>
      </c>
      <c r="U5" s="55">
        <f t="shared" si="0"/>
        <v>0.35116598079561046</v>
      </c>
      <c r="V5">
        <f t="shared" si="2"/>
        <v>4</v>
      </c>
    </row>
    <row r="6" spans="1:22">
      <c r="A6" s="21"/>
      <c r="B6" s="21"/>
      <c r="C6" s="21"/>
      <c r="D6" s="21"/>
      <c r="E6" s="21"/>
      <c r="S6" s="55">
        <v>4</v>
      </c>
      <c r="T6" s="55">
        <f t="shared" si="1"/>
        <v>3.375</v>
      </c>
      <c r="U6" s="55">
        <f t="shared" si="0"/>
        <v>0.39506172839506171</v>
      </c>
      <c r="V6">
        <f t="shared" si="2"/>
        <v>8</v>
      </c>
    </row>
    <row r="7" spans="1:22">
      <c r="S7" s="55">
        <v>5</v>
      </c>
      <c r="T7" s="55">
        <f t="shared" si="1"/>
        <v>5.0625</v>
      </c>
      <c r="U7" s="55">
        <f t="shared" si="0"/>
        <v>0.47407407407407404</v>
      </c>
      <c r="V7">
        <f t="shared" si="2"/>
        <v>16</v>
      </c>
    </row>
    <row r="8" spans="1:22">
      <c r="A8" t="s">
        <v>254</v>
      </c>
      <c r="E8">
        <v>2</v>
      </c>
      <c r="F8">
        <v>3</v>
      </c>
      <c r="G8">
        <v>4</v>
      </c>
      <c r="H8">
        <v>5</v>
      </c>
      <c r="I8">
        <v>6</v>
      </c>
      <c r="J8">
        <v>7</v>
      </c>
      <c r="K8">
        <v>8</v>
      </c>
      <c r="L8">
        <v>9</v>
      </c>
      <c r="M8">
        <v>10</v>
      </c>
      <c r="N8">
        <v>11</v>
      </c>
      <c r="O8">
        <v>12</v>
      </c>
      <c r="P8">
        <v>13</v>
      </c>
      <c r="Q8">
        <v>14</v>
      </c>
      <c r="S8" s="55">
        <v>6</v>
      </c>
      <c r="T8" s="55">
        <f t="shared" si="1"/>
        <v>7.59375</v>
      </c>
      <c r="U8" s="55">
        <f t="shared" si="0"/>
        <v>0.59259259259259256</v>
      </c>
      <c r="V8">
        <f t="shared" si="2"/>
        <v>32</v>
      </c>
    </row>
    <row r="9" spans="1:22">
      <c r="A9" s="3" t="s">
        <v>77</v>
      </c>
      <c r="B9" s="3" t="s">
        <v>78</v>
      </c>
      <c r="C9" s="3" t="s">
        <v>88</v>
      </c>
      <c r="D9" s="3" t="s">
        <v>253</v>
      </c>
      <c r="E9" s="3" t="str">
        <f>B18</f>
        <v>生命</v>
      </c>
      <c r="F9" s="3" t="str">
        <f t="shared" ref="F9:Q9" si="3">C18</f>
        <v>攻击</v>
      </c>
      <c r="G9" s="3" t="str">
        <f t="shared" si="3"/>
        <v>防御</v>
      </c>
      <c r="H9" s="3" t="str">
        <f t="shared" si="3"/>
        <v>闪避值</v>
      </c>
      <c r="I9" s="3" t="str">
        <f t="shared" si="3"/>
        <v>命中值</v>
      </c>
      <c r="J9" s="3" t="str">
        <f t="shared" si="3"/>
        <v>暴击值</v>
      </c>
      <c r="K9" s="3" t="str">
        <f t="shared" si="3"/>
        <v>暴击倍数</v>
      </c>
      <c r="L9" s="3" t="str">
        <f t="shared" si="3"/>
        <v>韧性值</v>
      </c>
      <c r="M9" s="3" t="str">
        <f t="shared" si="3"/>
        <v>伤害减免</v>
      </c>
      <c r="N9" s="3" t="str">
        <f t="shared" si="3"/>
        <v>伤害加深</v>
      </c>
      <c r="O9" s="3" t="str">
        <f t="shared" si="3"/>
        <v>生命加成</v>
      </c>
      <c r="P9" s="3" t="str">
        <f t="shared" si="3"/>
        <v>攻击加成</v>
      </c>
      <c r="Q9" s="3" t="str">
        <f t="shared" si="3"/>
        <v>防御加成</v>
      </c>
      <c r="S9" s="55">
        <v>7</v>
      </c>
      <c r="T9" s="55">
        <f t="shared" si="1"/>
        <v>11.390625</v>
      </c>
      <c r="U9" s="55">
        <f t="shared" si="0"/>
        <v>0.76190476190476186</v>
      </c>
      <c r="V9">
        <f t="shared" si="2"/>
        <v>64</v>
      </c>
    </row>
    <row r="10" spans="1:22">
      <c r="A10" s="3">
        <v>1</v>
      </c>
      <c r="B10" s="3" t="s">
        <v>79</v>
      </c>
      <c r="C10" s="3">
        <v>80</v>
      </c>
      <c r="D10" s="3">
        <f>[1]命格规划!$F13</f>
        <v>9.5259868922420346E-2</v>
      </c>
      <c r="E10" s="25">
        <f>VLOOKUP($C10,[1]!总属性参考数组,E$8,FALSE)*VLOOKUP(定义数据!$F$4,[1]!属性权重数组,E$8,FALSE)*$D10</f>
        <v>37340.115664380952</v>
      </c>
      <c r="F10" s="25">
        <f>VLOOKUP($C10,[1]!总属性参考数组,F$8,FALSE)*VLOOKUP(定义数据!$F$4,[1]!属性权重数组,F$8,FALSE)*$D10</f>
        <v>1580.5109922756983</v>
      </c>
      <c r="G10" s="25">
        <f>VLOOKUP($C10,[1]!总属性参考数组,G$8,FALSE)*VLOOKUP(定义数据!$F$4,[1]!属性权重数组,G$8,FALSE)*$D10</f>
        <v>682.97066563964313</v>
      </c>
      <c r="H10" s="25">
        <f>VLOOKUP($C10,[1]!总属性参考数组,H$8,FALSE)*VLOOKUP(定义数据!$F$4,[1]!属性权重数组,H$8,FALSE)*$D10</f>
        <v>1786.1225422953814</v>
      </c>
      <c r="I10" s="25">
        <f>VLOOKUP($C10,[1]!总属性参考数组,I$8,FALSE)*VLOOKUP(定义数据!$F$4,[1]!属性权重数组,I$8,FALSE)*$D10</f>
        <v>1786.1225422953814</v>
      </c>
      <c r="J10" s="25">
        <f>VLOOKUP($C10,[1]!总属性参考数组,J$8,FALSE)*VLOOKUP(定义数据!$F$4,[1]!属性权重数组,J$8,FALSE)*$D10</f>
        <v>2646.1074700672316</v>
      </c>
      <c r="K10" s="25">
        <f>VLOOKUP($C10,[1]!总属性参考数组,K$8,FALSE)*VLOOKUP(定义数据!$F$4,[1]!属性权重数组,K$8,FALSE)*$D10</f>
        <v>2381.4967230605084</v>
      </c>
      <c r="L10" s="25">
        <f>VLOOKUP($C10,[1]!总属性参考数组,L$8,FALSE)*VLOOKUP(定义数据!$F$4,[1]!属性权重数组,L$8,FALSE)*$D10</f>
        <v>2646.1074700672316</v>
      </c>
      <c r="M10" s="25">
        <f>VLOOKUP($C10,[1]!总属性参考数组,M$8,FALSE)*VLOOKUP(定义数据!$F$4,[1]!属性权重数组,M$8,FALSE)*$D10</f>
        <v>952.59868922420344</v>
      </c>
      <c r="N10" s="25">
        <f>VLOOKUP($C10,[1]!总属性参考数组,N$8,FALSE)*VLOOKUP(定义数据!$F$4,[1]!属性权重数组,N$8,FALSE)*$D10</f>
        <v>952.59868922420344</v>
      </c>
      <c r="O10" s="25">
        <f>VLOOKUP($C10,[1]!总属性参考数组,O$8,FALSE)*VLOOKUP(定义数据!$F$4,[1]!属性权重数组,O$8,FALSE)*$D10</f>
        <v>529.22149401344643</v>
      </c>
      <c r="P10" s="25">
        <f>VLOOKUP($C10,[1]!总属性参考数组,P$8,FALSE)*VLOOKUP(定义数据!$F$4,[1]!属性权重数组,P$8,FALSE)*$D10</f>
        <v>762.07895137936282</v>
      </c>
      <c r="Q10" s="25">
        <f>VLOOKUP($C10,[1]!总属性参考数组,Q$8,FALSE)*VLOOKUP(定义数据!$F$4,[1]!属性权重数组,Q$8,FALSE)*$D10</f>
        <v>1143.1184270690442</v>
      </c>
      <c r="S10" s="55">
        <v>8</v>
      </c>
      <c r="T10" s="55">
        <f t="shared" si="1"/>
        <v>17.0859375</v>
      </c>
      <c r="U10" s="55">
        <f>T10/$T$10</f>
        <v>1</v>
      </c>
      <c r="V10">
        <f t="shared" si="2"/>
        <v>128</v>
      </c>
    </row>
    <row r="11" spans="1:22">
      <c r="A11" s="3">
        <v>2</v>
      </c>
      <c r="B11" s="3" t="s">
        <v>80</v>
      </c>
      <c r="C11" s="3">
        <v>80</v>
      </c>
      <c r="D11" s="3">
        <f>[1]命格规划!$F14</f>
        <v>0.17146776406035663</v>
      </c>
      <c r="E11" s="25">
        <f>VLOOKUP($C11,[1]!总属性参考数组,E$8,FALSE)*VLOOKUP(定义数据!$F$4,[1]!属性权重数组,E$8,FALSE)*$D11</f>
        <v>67212.208195885716</v>
      </c>
      <c r="F11" s="25">
        <f>VLOOKUP($C11,[1]!总属性参考数组,F$8,FALSE)*VLOOKUP(定义数据!$F$4,[1]!属性权重数组,F$8,FALSE)*$D11</f>
        <v>2844.9197860962572</v>
      </c>
      <c r="G11" s="25">
        <f>VLOOKUP($C11,[1]!总属性参考数组,G$8,FALSE)*VLOOKUP(定义数据!$F$4,[1]!属性权重数组,G$8,FALSE)*$D11</f>
        <v>1229.3471981513576</v>
      </c>
      <c r="H11" s="25">
        <f>VLOOKUP($C11,[1]!总属性参考数组,H$8,FALSE)*VLOOKUP(定义数据!$F$4,[1]!属性权重数组,H$8,FALSE)*$D11</f>
        <v>3215.020576131687</v>
      </c>
      <c r="I11" s="25">
        <f>VLOOKUP($C11,[1]!总属性参考数组,I$8,FALSE)*VLOOKUP(定义数据!$F$4,[1]!属性权重数组,I$8,FALSE)*$D11</f>
        <v>3215.020576131687</v>
      </c>
      <c r="J11" s="25">
        <f>VLOOKUP($C11,[1]!总属性参考数组,J$8,FALSE)*VLOOKUP(定义数据!$F$4,[1]!属性权重数组,J$8,FALSE)*$D11</f>
        <v>4762.9934461210178</v>
      </c>
      <c r="K11" s="25">
        <f>VLOOKUP($C11,[1]!总属性参考数组,K$8,FALSE)*VLOOKUP(定义数据!$F$4,[1]!属性权重数组,K$8,FALSE)*$D11</f>
        <v>4286.694101508916</v>
      </c>
      <c r="L11" s="25">
        <f>VLOOKUP($C11,[1]!总属性参考数组,L$8,FALSE)*VLOOKUP(定义数据!$F$4,[1]!属性权重数组,L$8,FALSE)*$D11</f>
        <v>4762.9934461210178</v>
      </c>
      <c r="M11" s="25">
        <f>VLOOKUP($C11,[1]!总属性参考数组,M$8,FALSE)*VLOOKUP(定义数据!$F$4,[1]!属性权重数组,M$8,FALSE)*$D11</f>
        <v>1714.6776406035663</v>
      </c>
      <c r="N11" s="25">
        <f>VLOOKUP($C11,[1]!总属性参考数组,N$8,FALSE)*VLOOKUP(定义数据!$F$4,[1]!属性权重数组,N$8,FALSE)*$D11</f>
        <v>1714.6776406035663</v>
      </c>
      <c r="O11" s="25">
        <f>VLOOKUP($C11,[1]!总属性参考数组,O$8,FALSE)*VLOOKUP(定义数据!$F$4,[1]!属性权重数组,O$8,FALSE)*$D11</f>
        <v>952.59868922420355</v>
      </c>
      <c r="P11" s="25">
        <f>VLOOKUP($C11,[1]!总属性参考数组,P$8,FALSE)*VLOOKUP(定义数据!$F$4,[1]!属性权重数组,P$8,FALSE)*$D11</f>
        <v>1371.7421124828531</v>
      </c>
      <c r="Q11" s="25">
        <f>VLOOKUP($C11,[1]!总属性参考数组,Q$8,FALSE)*VLOOKUP(定义数据!$F$4,[1]!属性权重数组,Q$8,FALSE)*$D11</f>
        <v>2057.6131687242796</v>
      </c>
      <c r="S11" s="44" t="s">
        <v>385</v>
      </c>
      <c r="T11" s="44" t="s">
        <v>386</v>
      </c>
      <c r="U11" s="44" t="s">
        <v>388</v>
      </c>
      <c r="V11" s="44" t="s">
        <v>387</v>
      </c>
    </row>
    <row r="12" spans="1:22">
      <c r="A12" s="3">
        <v>3</v>
      </c>
      <c r="B12" s="3" t="s">
        <v>81</v>
      </c>
      <c r="C12" s="3">
        <v>80</v>
      </c>
      <c r="D12" s="3">
        <f>[1]命格规划!$F15</f>
        <v>0.30864197530864196</v>
      </c>
      <c r="E12" s="25">
        <f>VLOOKUP($C12,[1]!总属性参考数组,E$8,FALSE)*VLOOKUP(定义数据!$F$4,[1]!属性权重数组,E$8,FALSE)*$D12</f>
        <v>120981.97475259429</v>
      </c>
      <c r="F12" s="25">
        <f>VLOOKUP($C12,[1]!总属性参考数组,F$8,FALSE)*VLOOKUP(定义数据!$F$4,[1]!属性权重数组,F$8,FALSE)*$D12</f>
        <v>5120.8556149732631</v>
      </c>
      <c r="G12" s="25">
        <f>VLOOKUP($C12,[1]!总属性参考数组,G$8,FALSE)*VLOOKUP(定义数据!$F$4,[1]!属性权重数组,G$8,FALSE)*$D12</f>
        <v>2212.8249566724439</v>
      </c>
      <c r="H12" s="25">
        <f>VLOOKUP($C12,[1]!总属性参考数组,H$8,FALSE)*VLOOKUP(定义数据!$F$4,[1]!属性权重数组,H$8,FALSE)*$D12</f>
        <v>5787.0370370370365</v>
      </c>
      <c r="I12" s="25">
        <f>VLOOKUP($C12,[1]!总属性参考数组,I$8,FALSE)*VLOOKUP(定义数据!$F$4,[1]!属性权重数组,I$8,FALSE)*$D12</f>
        <v>5787.0370370370365</v>
      </c>
      <c r="J12" s="25">
        <f>VLOOKUP($C12,[1]!总属性参考数组,J$8,FALSE)*VLOOKUP(定义数据!$F$4,[1]!属性权重数组,J$8,FALSE)*$D12</f>
        <v>8573.388203017832</v>
      </c>
      <c r="K12" s="25">
        <f>VLOOKUP($C12,[1]!总属性参考数组,K$8,FALSE)*VLOOKUP(定义数据!$F$4,[1]!属性权重数组,K$8,FALSE)*$D12</f>
        <v>7716.049382716049</v>
      </c>
      <c r="L12" s="25">
        <f>VLOOKUP($C12,[1]!总属性参考数组,L$8,FALSE)*VLOOKUP(定义数据!$F$4,[1]!属性权重数组,L$8,FALSE)*$D12</f>
        <v>8573.388203017832</v>
      </c>
      <c r="M12" s="25">
        <f>VLOOKUP($C12,[1]!总属性参考数组,M$8,FALSE)*VLOOKUP(定义数据!$F$4,[1]!属性权重数组,M$8,FALSE)*$D12</f>
        <v>3086.4197530864194</v>
      </c>
      <c r="N12" s="25">
        <f>VLOOKUP($C12,[1]!总属性参考数组,N$8,FALSE)*VLOOKUP(定义数据!$F$4,[1]!属性权重数组,N$8,FALSE)*$D12</f>
        <v>3086.4197530864194</v>
      </c>
      <c r="O12" s="25">
        <f>VLOOKUP($C12,[1]!总属性参考数组,O$8,FALSE)*VLOOKUP(定义数据!$F$4,[1]!属性权重数组,O$8,FALSE)*$D12</f>
        <v>1714.6776406035665</v>
      </c>
      <c r="P12" s="25">
        <f>VLOOKUP($C12,[1]!总属性参考数组,P$8,FALSE)*VLOOKUP(定义数据!$F$4,[1]!属性权重数组,P$8,FALSE)*$D12</f>
        <v>2469.1358024691358</v>
      </c>
      <c r="Q12" s="25">
        <f>VLOOKUP($C12,[1]!总属性参考数组,Q$8,FALSE)*VLOOKUP(定义数据!$F$4,[1]!属性权重数组,Q$8,FALSE)*$D12</f>
        <v>3703.7037037037035</v>
      </c>
    </row>
    <row r="13" spans="1:22">
      <c r="A13" s="3">
        <v>4</v>
      </c>
      <c r="B13" s="3" t="s">
        <v>82</v>
      </c>
      <c r="C13" s="3">
        <v>80</v>
      </c>
      <c r="D13" s="3">
        <f>[1]命格规划!$F16</f>
        <v>0.55555555555555547</v>
      </c>
      <c r="E13" s="25">
        <f>VLOOKUP($C13,[1]!总属性参考数组,E$8,FALSE)*VLOOKUP(定义数据!$F$4,[1]!属性权重数组,E$8,FALSE)*$D13</f>
        <v>217767.55455466971</v>
      </c>
      <c r="F13" s="25">
        <f>VLOOKUP($C13,[1]!总属性参考数组,F$8,FALSE)*VLOOKUP(定义数据!$F$4,[1]!属性权重数组,F$8,FALSE)*$D13</f>
        <v>9217.5401069518721</v>
      </c>
      <c r="G13" s="25">
        <f>VLOOKUP($C13,[1]!总属性参考数组,G$8,FALSE)*VLOOKUP(定义数据!$F$4,[1]!属性权重数组,G$8,FALSE)*$D13</f>
        <v>3983.0849220103987</v>
      </c>
      <c r="H13" s="25">
        <f>VLOOKUP($C13,[1]!总属性参考数组,H$8,FALSE)*VLOOKUP(定义数据!$F$4,[1]!属性权重数组,H$8,FALSE)*$D13</f>
        <v>10416.666666666664</v>
      </c>
      <c r="I13" s="25">
        <f>VLOOKUP($C13,[1]!总属性参考数组,I$8,FALSE)*VLOOKUP(定义数据!$F$4,[1]!属性权重数组,I$8,FALSE)*$D13</f>
        <v>10416.666666666664</v>
      </c>
      <c r="J13" s="25">
        <f>VLOOKUP($C13,[1]!总属性参考数组,J$8,FALSE)*VLOOKUP(定义数据!$F$4,[1]!属性权重数组,J$8,FALSE)*$D13</f>
        <v>15432.098765432096</v>
      </c>
      <c r="K13" s="25">
        <f>VLOOKUP($C13,[1]!总属性参考数组,K$8,FALSE)*VLOOKUP(定义数据!$F$4,[1]!属性权重数组,K$8,FALSE)*$D13</f>
        <v>13888.888888888887</v>
      </c>
      <c r="L13" s="25">
        <f>VLOOKUP($C13,[1]!总属性参考数组,L$8,FALSE)*VLOOKUP(定义数据!$F$4,[1]!属性权重数组,L$8,FALSE)*$D13</f>
        <v>15432.098765432096</v>
      </c>
      <c r="M13" s="25">
        <f>VLOOKUP($C13,[1]!总属性参考数组,M$8,FALSE)*VLOOKUP(定义数据!$F$4,[1]!属性权重数组,M$8,FALSE)*$D13</f>
        <v>5555.5555555555547</v>
      </c>
      <c r="N13" s="25">
        <f>VLOOKUP($C13,[1]!总属性参考数组,N$8,FALSE)*VLOOKUP(定义数据!$F$4,[1]!属性权重数组,N$8,FALSE)*$D13</f>
        <v>5555.5555555555547</v>
      </c>
      <c r="O13" s="25">
        <f>VLOOKUP($C13,[1]!总属性参考数组,O$8,FALSE)*VLOOKUP(定义数据!$F$4,[1]!属性权重数组,O$8,FALSE)*$D13</f>
        <v>3086.4197530864194</v>
      </c>
      <c r="P13" s="25">
        <f>VLOOKUP($C13,[1]!总属性参考数组,P$8,FALSE)*VLOOKUP(定义数据!$F$4,[1]!属性权重数组,P$8,FALSE)*$D13</f>
        <v>4444.4444444444434</v>
      </c>
      <c r="Q13" s="25">
        <f>VLOOKUP($C13,[1]!总属性参考数组,Q$8,FALSE)*VLOOKUP(定义数据!$F$4,[1]!属性权重数组,Q$8,FALSE)*$D13</f>
        <v>6666.6666666666661</v>
      </c>
    </row>
    <row r="14" spans="1:22">
      <c r="A14" s="3">
        <v>5</v>
      </c>
      <c r="B14" s="3" t="s">
        <v>83</v>
      </c>
      <c r="C14" s="3">
        <v>80</v>
      </c>
      <c r="D14" s="3">
        <f>[1]命格规划!$F17</f>
        <v>1</v>
      </c>
      <c r="E14" s="25">
        <f>VLOOKUP($C14,[1]!总属性参考数组,E$8,FALSE)*VLOOKUP(定义数据!$F$4,[1]!属性权重数组,E$8,FALSE)*$D14</f>
        <v>391981.59819840553</v>
      </c>
      <c r="F14" s="25">
        <f>VLOOKUP($C14,[1]!总属性参考数组,F$8,FALSE)*VLOOKUP(定义数据!$F$4,[1]!属性权重数组,F$8,FALSE)*$D14</f>
        <v>16591.572192513373</v>
      </c>
      <c r="G14" s="25">
        <f>VLOOKUP($C14,[1]!总属性参考数组,G$8,FALSE)*VLOOKUP(定义数据!$F$4,[1]!属性权重数组,G$8,FALSE)*$D14</f>
        <v>7169.5528596187187</v>
      </c>
      <c r="H14" s="25">
        <f>VLOOKUP($C14,[1]!总属性参考数组,H$8,FALSE)*VLOOKUP(定义数据!$F$4,[1]!属性权重数组,H$8,FALSE)*$D14</f>
        <v>18750</v>
      </c>
      <c r="I14" s="25">
        <f>VLOOKUP($C14,[1]!总属性参考数组,I$8,FALSE)*VLOOKUP(定义数据!$F$4,[1]!属性权重数组,I$8,FALSE)*$D14</f>
        <v>18750</v>
      </c>
      <c r="J14" s="25">
        <f>VLOOKUP($C14,[1]!总属性参考数组,J$8,FALSE)*VLOOKUP(定义数据!$F$4,[1]!属性权重数组,J$8,FALSE)*$D14</f>
        <v>27777.777777777777</v>
      </c>
      <c r="K14" s="25">
        <f>VLOOKUP($C14,[1]!总属性参考数组,K$8,FALSE)*VLOOKUP(定义数据!$F$4,[1]!属性权重数组,K$8,FALSE)*$D14</f>
        <v>25000</v>
      </c>
      <c r="L14" s="25">
        <f>VLOOKUP($C14,[1]!总属性参考数组,L$8,FALSE)*VLOOKUP(定义数据!$F$4,[1]!属性权重数组,L$8,FALSE)*$D14</f>
        <v>27777.777777777777</v>
      </c>
      <c r="M14" s="25">
        <f>VLOOKUP($C14,[1]!总属性参考数组,M$8,FALSE)*VLOOKUP(定义数据!$F$4,[1]!属性权重数组,M$8,FALSE)*$D14</f>
        <v>10000</v>
      </c>
      <c r="N14" s="25">
        <f>VLOOKUP($C14,[1]!总属性参考数组,N$8,FALSE)*VLOOKUP(定义数据!$F$4,[1]!属性权重数组,N$8,FALSE)*$D14</f>
        <v>10000</v>
      </c>
      <c r="O14" s="25">
        <f>VLOOKUP($C14,[1]!总属性参考数组,O$8,FALSE)*VLOOKUP(定义数据!$F$4,[1]!属性权重数组,O$8,FALSE)*$D14</f>
        <v>5555.5555555555557</v>
      </c>
      <c r="P14" s="25">
        <f>VLOOKUP($C14,[1]!总属性参考数组,P$8,FALSE)*VLOOKUP(定义数据!$F$4,[1]!属性权重数组,P$8,FALSE)*$D14</f>
        <v>8000</v>
      </c>
      <c r="Q14" s="25">
        <f>VLOOKUP($C14,[1]!总属性参考数组,Q$8,FALSE)*VLOOKUP(定义数据!$F$4,[1]!属性权重数组,Q$8,FALSE)*$D14</f>
        <v>12000</v>
      </c>
    </row>
    <row r="15" spans="1:22">
      <c r="A15" s="22"/>
      <c r="B15" s="22"/>
      <c r="C15" s="22"/>
      <c r="D15" s="22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</row>
    <row r="16" spans="1:22">
      <c r="A16" s="22"/>
      <c r="B16" s="22"/>
      <c r="C16" s="22"/>
      <c r="D16" s="22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</row>
    <row r="17" spans="1:17">
      <c r="A17" t="s">
        <v>298</v>
      </c>
      <c r="B17">
        <v>2</v>
      </c>
      <c r="C17">
        <v>3</v>
      </c>
      <c r="D17">
        <v>4</v>
      </c>
      <c r="E17">
        <v>5</v>
      </c>
      <c r="F17">
        <v>6</v>
      </c>
      <c r="G17">
        <v>7</v>
      </c>
      <c r="H17">
        <v>8</v>
      </c>
      <c r="I17">
        <v>9</v>
      </c>
      <c r="J17">
        <v>10</v>
      </c>
      <c r="K17">
        <v>11</v>
      </c>
      <c r="L17">
        <v>12</v>
      </c>
      <c r="M17">
        <v>13</v>
      </c>
      <c r="N17">
        <v>14</v>
      </c>
    </row>
    <row r="18" spans="1:17">
      <c r="A18" s="3" t="s">
        <v>88</v>
      </c>
      <c r="B18" s="26" t="str">
        <f>定义数据!G13</f>
        <v>生命</v>
      </c>
      <c r="C18" s="26" t="str">
        <f>定义数据!H13</f>
        <v>攻击</v>
      </c>
      <c r="D18" s="26" t="str">
        <f>定义数据!I13</f>
        <v>防御</v>
      </c>
      <c r="E18" s="14" t="str">
        <f>定义数据!J13</f>
        <v>闪避值</v>
      </c>
      <c r="F18" s="14" t="str">
        <f>定义数据!K13</f>
        <v>命中值</v>
      </c>
      <c r="G18" s="14" t="str">
        <f>定义数据!L13</f>
        <v>暴击值</v>
      </c>
      <c r="H18" s="14" t="str">
        <f>定义数据!M13</f>
        <v>暴击倍数</v>
      </c>
      <c r="I18" s="14" t="str">
        <f>定义数据!N13</f>
        <v>韧性值</v>
      </c>
      <c r="J18" s="27" t="str">
        <f>定义数据!O13</f>
        <v>伤害减免</v>
      </c>
      <c r="K18" s="27" t="str">
        <f>定义数据!P13</f>
        <v>伤害加深</v>
      </c>
      <c r="L18" s="27" t="str">
        <f>定义数据!Q13</f>
        <v>生命加成</v>
      </c>
      <c r="M18" s="27" t="str">
        <f>定义数据!R13</f>
        <v>攻击加成</v>
      </c>
      <c r="N18" s="27" t="str">
        <f>定义数据!S13</f>
        <v>防御加成</v>
      </c>
    </row>
    <row r="19" spans="1:17">
      <c r="A19" s="3" t="s">
        <v>244</v>
      </c>
      <c r="B19" s="25">
        <f>E14</f>
        <v>391981.59819840553</v>
      </c>
      <c r="C19" s="25">
        <f t="shared" ref="C19:M19" si="4">F14</f>
        <v>16591.572192513373</v>
      </c>
      <c r="D19" s="25">
        <f t="shared" si="4"/>
        <v>7169.5528596187187</v>
      </c>
      <c r="E19" s="25">
        <f t="shared" si="4"/>
        <v>18750</v>
      </c>
      <c r="F19" s="25">
        <f>I14</f>
        <v>18750</v>
      </c>
      <c r="G19" s="25">
        <f t="shared" si="4"/>
        <v>27777.777777777777</v>
      </c>
      <c r="H19" s="25">
        <f t="shared" si="4"/>
        <v>25000</v>
      </c>
      <c r="I19" s="25">
        <f t="shared" si="4"/>
        <v>27777.777777777777</v>
      </c>
      <c r="J19" s="25">
        <f t="shared" si="4"/>
        <v>10000</v>
      </c>
      <c r="K19" s="25">
        <f t="shared" si="4"/>
        <v>10000</v>
      </c>
      <c r="L19" s="25">
        <f t="shared" si="4"/>
        <v>5555.5555555555557</v>
      </c>
      <c r="M19" s="25">
        <f t="shared" si="4"/>
        <v>8000</v>
      </c>
      <c r="N19" s="25">
        <f>Q14</f>
        <v>12000</v>
      </c>
    </row>
    <row r="20" spans="1:17">
      <c r="A20" s="3" t="s">
        <v>245</v>
      </c>
      <c r="B20" s="25">
        <f>B19*[1]各种公式!C$13</f>
        <v>15679.263927936221</v>
      </c>
      <c r="C20" s="25">
        <f>C19*[1]各种公式!D$13</f>
        <v>16591.572192513373</v>
      </c>
      <c r="D20" s="25">
        <f>D19*[1]各种公式!E$13</f>
        <v>7169.5528596187187</v>
      </c>
      <c r="E20" s="25">
        <f>E19*[1]各种公式!F$13</f>
        <v>6375.0000000000009</v>
      </c>
      <c r="F20" s="25">
        <f>F19*[1]各种公式!G$13</f>
        <v>6375.0000000000009</v>
      </c>
      <c r="G20" s="53">
        <f>G19*[1]各种公式!H$13</f>
        <v>5000</v>
      </c>
      <c r="H20" s="53">
        <f>H19*[1]各种公式!I$13</f>
        <v>3000</v>
      </c>
      <c r="I20" s="53">
        <f>I19*[1]各种公式!J$13</f>
        <v>5000</v>
      </c>
      <c r="J20" s="53">
        <f>J19*[1]各种公式!K$13</f>
        <v>3000</v>
      </c>
      <c r="K20" s="53">
        <f>K19*[1]各种公式!L$13</f>
        <v>3000</v>
      </c>
      <c r="L20" s="53">
        <f>L19*[1]各种公式!M$13</f>
        <v>2222.2222222222222</v>
      </c>
      <c r="M20" s="53">
        <f>M19*[1]各种公式!N$13</f>
        <v>2880</v>
      </c>
      <c r="N20" s="53">
        <f>N19*[1]各种公式!O$13</f>
        <v>2880</v>
      </c>
      <c r="O20" t="s">
        <v>260</v>
      </c>
    </row>
    <row r="21" spans="1:17">
      <c r="A21" s="7" t="s">
        <v>246</v>
      </c>
      <c r="B21" s="36">
        <f t="shared" ref="B21:C21" si="5">B23*8</f>
        <v>16000</v>
      </c>
      <c r="C21" s="36">
        <f t="shared" si="5"/>
        <v>16000</v>
      </c>
      <c r="D21" s="36">
        <f>D23*8</f>
        <v>6400</v>
      </c>
      <c r="E21" s="54">
        <v>6400</v>
      </c>
      <c r="F21" s="54">
        <v>6400</v>
      </c>
      <c r="G21" s="54">
        <v>6400</v>
      </c>
      <c r="H21" s="54">
        <f>J21</f>
        <v>2880</v>
      </c>
      <c r="I21" s="54">
        <v>6400</v>
      </c>
      <c r="J21" s="36">
        <f>J23+J25*7</f>
        <v>2880</v>
      </c>
      <c r="K21" s="36">
        <f t="shared" ref="K21:N21" si="6">K23+K25*7</f>
        <v>2880</v>
      </c>
      <c r="L21" s="36"/>
      <c r="M21" s="36">
        <f t="shared" si="6"/>
        <v>2880</v>
      </c>
      <c r="N21" s="36">
        <f t="shared" si="6"/>
        <v>2880</v>
      </c>
      <c r="O21" s="7">
        <f>SUM(B21:F21)</f>
        <v>51200</v>
      </c>
    </row>
    <row r="22" spans="1:17">
      <c r="A22" s="3"/>
      <c r="B22" s="3">
        <f>B20*$C$3</f>
        <v>1959.9079909920276</v>
      </c>
      <c r="C22" s="3">
        <f t="shared" ref="C22:N22" si="7">C20*$C$3</f>
        <v>2073.9465240641716</v>
      </c>
      <c r="D22" s="3">
        <f t="shared" si="7"/>
        <v>896.19410745233984</v>
      </c>
      <c r="E22" s="3">
        <f t="shared" si="7"/>
        <v>796.87500000000011</v>
      </c>
      <c r="F22" s="3">
        <f t="shared" si="7"/>
        <v>796.87500000000011</v>
      </c>
      <c r="G22" s="3">
        <f t="shared" si="7"/>
        <v>625</v>
      </c>
      <c r="H22" s="3">
        <f>H20*$C$3</f>
        <v>375</v>
      </c>
      <c r="I22" s="3">
        <f t="shared" si="7"/>
        <v>625</v>
      </c>
      <c r="J22" s="3">
        <f>J20*$C$3</f>
        <v>375</v>
      </c>
      <c r="K22" s="3">
        <f t="shared" si="7"/>
        <v>375</v>
      </c>
      <c r="L22" s="3">
        <f t="shared" si="7"/>
        <v>277.77777777777777</v>
      </c>
      <c r="M22" s="3">
        <f t="shared" si="7"/>
        <v>360</v>
      </c>
      <c r="N22" s="3">
        <f t="shared" si="7"/>
        <v>360</v>
      </c>
    </row>
    <row r="23" spans="1:17">
      <c r="A23" s="3" t="s">
        <v>265</v>
      </c>
      <c r="B23" s="10">
        <v>2000</v>
      </c>
      <c r="C23" s="10">
        <v>2000</v>
      </c>
      <c r="D23" s="10">
        <v>800</v>
      </c>
      <c r="E23" s="10">
        <f t="shared" ref="E23:I23" si="8">E21*$C$3</f>
        <v>800</v>
      </c>
      <c r="F23" s="10">
        <f t="shared" si="8"/>
        <v>800</v>
      </c>
      <c r="G23" s="10">
        <f t="shared" si="8"/>
        <v>800</v>
      </c>
      <c r="H23" s="10">
        <f>J23</f>
        <v>360</v>
      </c>
      <c r="I23" s="10">
        <f t="shared" si="8"/>
        <v>800</v>
      </c>
      <c r="J23" s="10">
        <f>0.018*[1]各种公式!$K$11*[1]各种公式!$K$13/[1]各种公式!$M$6</f>
        <v>360</v>
      </c>
      <c r="K23" s="10">
        <f>J23</f>
        <v>360</v>
      </c>
      <c r="L23" s="10"/>
      <c r="M23" s="10">
        <f>0.01*[1]各种公式!$N$11*[1]各种公式!$N$13/[1]各种公式!$M$9</f>
        <v>360</v>
      </c>
      <c r="N23" s="10">
        <f>0.0225*[1]各种公式!$O$11*[1]各种公式!$O$13/[1]各种公式!$M$10</f>
        <v>360</v>
      </c>
      <c r="P23">
        <f>M23*11</f>
        <v>3960</v>
      </c>
    </row>
    <row r="24" spans="1:17">
      <c r="A24" s="3"/>
      <c r="B24" s="3">
        <f>B20*$C$4/$B$4</f>
        <v>1959.9079909920276</v>
      </c>
      <c r="C24" s="3">
        <f t="shared" ref="C24:N24" si="9">C20*$C$4/$B$4</f>
        <v>2073.9465240641716</v>
      </c>
      <c r="D24" s="3">
        <f t="shared" si="9"/>
        <v>896.19410745233984</v>
      </c>
      <c r="E24" s="3">
        <f t="shared" si="9"/>
        <v>796.87500000000011</v>
      </c>
      <c r="F24" s="3">
        <f t="shared" si="9"/>
        <v>796.87500000000011</v>
      </c>
      <c r="G24" s="3">
        <f t="shared" si="9"/>
        <v>625</v>
      </c>
      <c r="H24" s="3">
        <f t="shared" si="9"/>
        <v>375</v>
      </c>
      <c r="I24" s="3">
        <f t="shared" si="9"/>
        <v>625</v>
      </c>
      <c r="J24" s="3">
        <f t="shared" si="9"/>
        <v>375</v>
      </c>
      <c r="K24" s="3">
        <f t="shared" si="9"/>
        <v>375</v>
      </c>
      <c r="L24" s="3">
        <f t="shared" si="9"/>
        <v>277.77777777777777</v>
      </c>
      <c r="M24" s="3">
        <f t="shared" si="9"/>
        <v>360</v>
      </c>
      <c r="N24" s="3">
        <f t="shared" si="9"/>
        <v>360</v>
      </c>
    </row>
    <row r="25" spans="1:17">
      <c r="A25" s="3" t="s">
        <v>266</v>
      </c>
      <c r="B25" s="10">
        <f>B21*$C$4/$B$4</f>
        <v>2000</v>
      </c>
      <c r="C25" s="10">
        <f t="shared" ref="C25:I25" si="10">C21*$C$4/$B$4</f>
        <v>2000</v>
      </c>
      <c r="D25" s="10">
        <f t="shared" si="10"/>
        <v>800</v>
      </c>
      <c r="E25" s="10">
        <f t="shared" si="10"/>
        <v>800</v>
      </c>
      <c r="F25" s="10">
        <f t="shared" si="10"/>
        <v>800</v>
      </c>
      <c r="G25" s="10">
        <f t="shared" si="10"/>
        <v>800</v>
      </c>
      <c r="H25" s="10">
        <f>H21*$C$4/$B$4</f>
        <v>360</v>
      </c>
      <c r="I25" s="10">
        <f t="shared" si="10"/>
        <v>800</v>
      </c>
      <c r="J25" s="10">
        <f>0.018*[1]各种公式!$K$11*[1]各种公式!$K$13/[1]各种公式!$M$6</f>
        <v>360</v>
      </c>
      <c r="K25" s="10">
        <f>J25</f>
        <v>360</v>
      </c>
      <c r="L25" s="10"/>
      <c r="M25" s="10">
        <f>0.01*[1]各种公式!$N$11*[1]各种公式!$N$13/[1]各种公式!$M$9</f>
        <v>360</v>
      </c>
      <c r="N25" s="10">
        <f>0.0225*[1]各种公式!$O$11*[1]各种公式!$O$13/[1]各种公式!$M$10</f>
        <v>360</v>
      </c>
    </row>
    <row r="26" spans="1:17">
      <c r="A26" s="3"/>
      <c r="B26" s="3">
        <f>B23+B25*10</f>
        <v>22000</v>
      </c>
      <c r="C26" s="3">
        <f t="shared" ref="C26:N26" si="11">C23+C25*10</f>
        <v>22000</v>
      </c>
      <c r="D26" s="3">
        <f t="shared" si="11"/>
        <v>8800</v>
      </c>
      <c r="E26" s="3">
        <f t="shared" si="11"/>
        <v>8800</v>
      </c>
      <c r="F26" s="3">
        <f t="shared" si="11"/>
        <v>8800</v>
      </c>
      <c r="G26" s="3">
        <f t="shared" si="11"/>
        <v>8800</v>
      </c>
      <c r="H26" s="3">
        <f t="shared" si="11"/>
        <v>3960</v>
      </c>
      <c r="I26" s="3">
        <f t="shared" si="11"/>
        <v>8800</v>
      </c>
      <c r="J26" s="3">
        <f t="shared" si="11"/>
        <v>3960</v>
      </c>
      <c r="K26" s="3">
        <f t="shared" si="11"/>
        <v>3960</v>
      </c>
      <c r="L26" s="3">
        <f t="shared" si="11"/>
        <v>0</v>
      </c>
      <c r="M26" s="3">
        <f t="shared" si="11"/>
        <v>3960</v>
      </c>
      <c r="N26" s="3">
        <f t="shared" si="11"/>
        <v>3960</v>
      </c>
    </row>
    <row r="27" spans="1:17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</row>
    <row r="28" spans="1:17">
      <c r="A28" s="21" t="s">
        <v>263</v>
      </c>
      <c r="B28" s="3">
        <v>400</v>
      </c>
      <c r="C28" s="3">
        <v>400</v>
      </c>
      <c r="D28" s="3">
        <v>400</v>
      </c>
      <c r="E28" s="3">
        <v>400</v>
      </c>
      <c r="F28" s="3">
        <v>400</v>
      </c>
      <c r="G28" s="3">
        <v>400</v>
      </c>
      <c r="H28" s="3">
        <v>200</v>
      </c>
      <c r="I28" s="3">
        <v>400</v>
      </c>
      <c r="J28" s="3">
        <v>200</v>
      </c>
      <c r="K28" s="3">
        <v>200</v>
      </c>
      <c r="L28" s="3"/>
      <c r="M28" s="3">
        <v>200</v>
      </c>
      <c r="N28" s="3">
        <v>200</v>
      </c>
      <c r="O28" s="7">
        <f>SUM(B28:H29)/D3</f>
        <v>25600</v>
      </c>
    </row>
    <row r="29" spans="1:17">
      <c r="A29" s="22"/>
      <c r="B29" s="7">
        <v>200</v>
      </c>
      <c r="C29" s="7">
        <v>200</v>
      </c>
      <c r="D29" s="3"/>
      <c r="E29" s="3"/>
      <c r="F29" s="7"/>
      <c r="G29" s="7"/>
      <c r="H29" s="7">
        <v>200</v>
      </c>
      <c r="I29" s="3"/>
      <c r="J29" s="3">
        <v>200</v>
      </c>
      <c r="K29" s="3">
        <v>200</v>
      </c>
      <c r="L29" s="3"/>
      <c r="M29" s="3">
        <v>200</v>
      </c>
      <c r="N29" s="3">
        <v>200</v>
      </c>
    </row>
    <row r="30" spans="1:17">
      <c r="B30" s="7"/>
      <c r="C30" s="7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7">
      <c r="B31" s="21"/>
      <c r="C31" s="21"/>
    </row>
    <row r="32" spans="1:17">
      <c r="A32" t="s">
        <v>267</v>
      </c>
      <c r="E32">
        <v>2</v>
      </c>
      <c r="F32">
        <v>3</v>
      </c>
      <c r="G32">
        <v>4</v>
      </c>
      <c r="H32">
        <v>5</v>
      </c>
      <c r="I32">
        <v>6</v>
      </c>
      <c r="J32">
        <v>7</v>
      </c>
      <c r="K32">
        <v>8</v>
      </c>
      <c r="L32">
        <v>9</v>
      </c>
      <c r="M32">
        <v>10</v>
      </c>
      <c r="N32">
        <v>11</v>
      </c>
      <c r="O32">
        <v>12</v>
      </c>
      <c r="P32">
        <v>13</v>
      </c>
      <c r="Q32">
        <v>14</v>
      </c>
    </row>
    <row r="33" spans="1:19">
      <c r="A33" s="3" t="s">
        <v>77</v>
      </c>
      <c r="B33" s="3" t="s">
        <v>78</v>
      </c>
      <c r="C33" s="3" t="s">
        <v>88</v>
      </c>
      <c r="D33" s="3" t="s">
        <v>253</v>
      </c>
      <c r="E33" s="3" t="str">
        <f>定义数据!G13</f>
        <v>生命</v>
      </c>
      <c r="F33" s="3" t="str">
        <f>定义数据!H13</f>
        <v>攻击</v>
      </c>
      <c r="G33" s="3" t="str">
        <f>定义数据!I13</f>
        <v>防御</v>
      </c>
      <c r="H33" s="3" t="str">
        <f>定义数据!J13</f>
        <v>闪避值</v>
      </c>
      <c r="I33" s="3" t="str">
        <f>定义数据!K13</f>
        <v>命中值</v>
      </c>
      <c r="J33" s="3" t="str">
        <f>定义数据!L13</f>
        <v>暴击值</v>
      </c>
      <c r="K33" s="3" t="str">
        <f>定义数据!M13</f>
        <v>暴击倍数</v>
      </c>
      <c r="L33" s="3" t="str">
        <f>定义数据!N13</f>
        <v>韧性值</v>
      </c>
      <c r="M33" s="3" t="str">
        <f>定义数据!O13</f>
        <v>伤害减免</v>
      </c>
      <c r="N33" s="3" t="str">
        <f>定义数据!P13</f>
        <v>伤害加深</v>
      </c>
      <c r="O33" s="3" t="str">
        <f>定义数据!Q13</f>
        <v>生命加成</v>
      </c>
      <c r="P33" s="3" t="str">
        <f>定义数据!R13</f>
        <v>攻击加成</v>
      </c>
      <c r="Q33" s="3" t="str">
        <f>定义数据!S13</f>
        <v>防御加成</v>
      </c>
    </row>
    <row r="34" spans="1:19">
      <c r="A34" s="3">
        <v>1</v>
      </c>
      <c r="B34" s="3" t="s">
        <v>79</v>
      </c>
      <c r="C34" s="3">
        <f t="shared" ref="C34:C37" si="12">C50</f>
        <v>80</v>
      </c>
      <c r="D34" s="3">
        <f>[1]命格规划!$F13</f>
        <v>9.5259868922420346E-2</v>
      </c>
      <c r="E34" s="8">
        <f>B$23/[1]各种公式!C$13*$D34</f>
        <v>4762.9934461210169</v>
      </c>
      <c r="F34" s="8">
        <f>C$23/[1]各种公式!D$13*$D34</f>
        <v>190.51973784484071</v>
      </c>
      <c r="G34" s="8">
        <f>D$23/[1]各种公式!E$13*$D34</f>
        <v>76.207895137936276</v>
      </c>
      <c r="H34" s="8">
        <f>E$23/[1]各种公式!F$13*$D34</f>
        <v>224.14086805275377</v>
      </c>
      <c r="I34" s="8">
        <f>F$23/[1]各种公式!G$13*$D34</f>
        <v>224.14086805275377</v>
      </c>
      <c r="J34" s="8">
        <f>G$23/[1]各种公式!H$13*$D34</f>
        <v>423.37719521075707</v>
      </c>
      <c r="K34" s="8">
        <f>H$23/[1]各种公式!I$13*$D34</f>
        <v>285.77960676726104</v>
      </c>
      <c r="L34" s="8">
        <f>I$23/[1]各种公式!J$13*$D34</f>
        <v>423.37719521075707</v>
      </c>
      <c r="M34" s="8">
        <f>J$23/[1]各种公式!K$13*$D34</f>
        <v>114.31184270690441</v>
      </c>
      <c r="N34" s="8">
        <f>K$23/[1]各种公式!L$13*$D34</f>
        <v>114.31184270690441</v>
      </c>
      <c r="O34" s="8">
        <f>L$23/[1]各种公式!M$13*$D34</f>
        <v>0</v>
      </c>
      <c r="P34" s="8">
        <f>M$23/[1]各种公式!N$13*$D34</f>
        <v>95.259868922420353</v>
      </c>
      <c r="Q34" s="8">
        <f>N$23/[1]各种公式!O$13*$D34</f>
        <v>142.88980338363052</v>
      </c>
    </row>
    <row r="35" spans="1:19">
      <c r="A35" s="3">
        <v>2</v>
      </c>
      <c r="B35" s="3" t="s">
        <v>80</v>
      </c>
      <c r="C35" s="3">
        <f t="shared" si="12"/>
        <v>80</v>
      </c>
      <c r="D35" s="3">
        <f>[1]命格规划!$F14</f>
        <v>0.17146776406035663</v>
      </c>
      <c r="E35" s="8">
        <f>B$23/[1]各种公式!C$13*$D35</f>
        <v>8573.388203017832</v>
      </c>
      <c r="F35" s="8">
        <f>C$23/[1]各种公式!D$13*$D35</f>
        <v>342.93552812071329</v>
      </c>
      <c r="G35" s="8">
        <f>D$23/[1]各种公式!E$13*$D35</f>
        <v>137.1742112482853</v>
      </c>
      <c r="H35" s="8">
        <f>E$23/[1]各种公式!F$13*$D35</f>
        <v>403.45356249495677</v>
      </c>
      <c r="I35" s="8">
        <f>F$23/[1]各种公式!G$13*$D35</f>
        <v>403.45356249495677</v>
      </c>
      <c r="J35" s="8">
        <f>G$23/[1]各种公式!H$13*$D35</f>
        <v>762.07895137936282</v>
      </c>
      <c r="K35" s="8">
        <f>H$23/[1]各种公式!I$13*$D35</f>
        <v>514.4032921810699</v>
      </c>
      <c r="L35" s="8">
        <f>I$23/[1]各种公式!J$13*$D35</f>
        <v>762.07895137936282</v>
      </c>
      <c r="M35" s="8">
        <f>J$23/[1]各种公式!K$13*$D35</f>
        <v>205.76131687242795</v>
      </c>
      <c r="N35" s="8">
        <f>K$23/[1]各种公式!L$13*$D35</f>
        <v>205.76131687242795</v>
      </c>
      <c r="O35" s="8">
        <f>L$23/[1]各种公式!M$13*$D35</f>
        <v>0</v>
      </c>
      <c r="P35" s="8">
        <f>M$23/[1]各种公式!N$13*$D35</f>
        <v>171.46776406035664</v>
      </c>
      <c r="Q35" s="8">
        <f>N$23/[1]各种公式!O$13*$D35</f>
        <v>257.20164609053495</v>
      </c>
    </row>
    <row r="36" spans="1:19">
      <c r="A36" s="3">
        <v>3</v>
      </c>
      <c r="B36" s="3" t="s">
        <v>81</v>
      </c>
      <c r="C36" s="3">
        <f t="shared" si="12"/>
        <v>80</v>
      </c>
      <c r="D36" s="3">
        <f>[1]命格规划!$F15</f>
        <v>0.30864197530864196</v>
      </c>
      <c r="E36" s="8">
        <f>B$23/[1]各种公式!C$13*$D36</f>
        <v>15432.098765432098</v>
      </c>
      <c r="F36" s="8">
        <f>C$23/[1]各种公式!D$13*$D36</f>
        <v>617.28395061728395</v>
      </c>
      <c r="G36" s="8">
        <f>D$23/[1]各种公式!E$13*$D36</f>
        <v>246.91358024691357</v>
      </c>
      <c r="H36" s="8">
        <f>E$23/[1]各种公式!F$13*$D36</f>
        <v>726.21641249092227</v>
      </c>
      <c r="I36" s="8">
        <f>F$23/[1]各种公式!G$13*$D36</f>
        <v>726.21641249092227</v>
      </c>
      <c r="J36" s="8">
        <f>G$23/[1]各种公式!H$13*$D36</f>
        <v>1371.7421124828531</v>
      </c>
      <c r="K36" s="8">
        <f>H$23/[1]各种公式!I$13*$D36</f>
        <v>925.92592592592587</v>
      </c>
      <c r="L36" s="8">
        <f>I$23/[1]各种公式!J$13*$D36</f>
        <v>1371.7421124828531</v>
      </c>
      <c r="M36" s="8">
        <f>J$23/[1]各种公式!K$13*$D36</f>
        <v>370.37037037037032</v>
      </c>
      <c r="N36" s="8">
        <f>K$23/[1]各种公式!L$13*$D36</f>
        <v>370.37037037037032</v>
      </c>
      <c r="O36" s="8">
        <f>L$23/[1]各种公式!M$13*$D36</f>
        <v>0</v>
      </c>
      <c r="P36" s="8">
        <f>M$23/[1]各种公式!N$13*$D36</f>
        <v>308.64197530864197</v>
      </c>
      <c r="Q36" s="8">
        <f>N$23/[1]各种公式!O$13*$D36</f>
        <v>462.96296296296293</v>
      </c>
      <c r="S36">
        <f>P36/20000*0.2</f>
        <v>3.0864197530864196E-3</v>
      </c>
    </row>
    <row r="37" spans="1:19">
      <c r="A37" s="3">
        <v>4</v>
      </c>
      <c r="B37" s="3" t="s">
        <v>82</v>
      </c>
      <c r="C37" s="3">
        <f t="shared" si="12"/>
        <v>80</v>
      </c>
      <c r="D37" s="3">
        <f>[1]命格规划!$F16</f>
        <v>0.55555555555555547</v>
      </c>
      <c r="E37" s="8">
        <f>B$23/[1]各种公式!C$13*$D37</f>
        <v>27777.777777777774</v>
      </c>
      <c r="F37" s="8">
        <f>C$23/[1]各种公式!D$13*$D37</f>
        <v>1111.1111111111109</v>
      </c>
      <c r="G37" s="8">
        <f>D$23/[1]各种公式!E$13*$D37</f>
        <v>444.4444444444444</v>
      </c>
      <c r="H37" s="8">
        <f>E$23/[1]各种公式!F$13*$D37</f>
        <v>1307.18954248366</v>
      </c>
      <c r="I37" s="8">
        <f>F$23/[1]各种公式!G$13*$D37</f>
        <v>1307.18954248366</v>
      </c>
      <c r="J37" s="8">
        <f>G$23/[1]各种公式!H$13*$D37</f>
        <v>2469.1358024691353</v>
      </c>
      <c r="K37" s="8">
        <f>H$23/[1]各种公式!I$13*$D37</f>
        <v>1666.6666666666665</v>
      </c>
      <c r="L37" s="8">
        <f>I$23/[1]各种公式!J$13*$D37</f>
        <v>2469.1358024691353</v>
      </c>
      <c r="M37" s="8">
        <f>J$23/[1]各种公式!K$13*$D37</f>
        <v>666.66666666666652</v>
      </c>
      <c r="N37" s="8">
        <f>K$23/[1]各种公式!L$13*$D37</f>
        <v>666.66666666666652</v>
      </c>
      <c r="O37" s="8">
        <f>L$23/[1]各种公式!M$13*$D37</f>
        <v>0</v>
      </c>
      <c r="P37" s="8">
        <f>M$23/[1]各种公式!N$13*$D37</f>
        <v>555.55555555555543</v>
      </c>
      <c r="Q37" s="8">
        <f>N$23/[1]各种公式!O$13*$D37</f>
        <v>833.33333333333326</v>
      </c>
      <c r="S37">
        <f t="shared" ref="S37:S38" si="13">P37/20000*0.2</f>
        <v>5.5555555555555549E-3</v>
      </c>
    </row>
    <row r="38" spans="1:19">
      <c r="A38" s="3">
        <v>5</v>
      </c>
      <c r="B38" s="3" t="s">
        <v>83</v>
      </c>
      <c r="C38" s="3">
        <f>C54</f>
        <v>80</v>
      </c>
      <c r="D38" s="3">
        <f>[1]命格规划!$F17</f>
        <v>1</v>
      </c>
      <c r="E38" s="8">
        <f>B$23/[1]各种公式!C$13*$D38</f>
        <v>50000</v>
      </c>
      <c r="F38" s="8">
        <f>C$23/[1]各种公式!D$13*$D38</f>
        <v>2000</v>
      </c>
      <c r="G38" s="8">
        <f>D$23/[1]各种公式!E$13*$D38</f>
        <v>800</v>
      </c>
      <c r="H38" s="8">
        <f>E$23/[1]各种公式!F$13*$D38</f>
        <v>2352.9411764705883</v>
      </c>
      <c r="I38" s="8">
        <f>F$23/[1]各种公式!G$13*$D38</f>
        <v>2352.9411764705883</v>
      </c>
      <c r="J38" s="8">
        <f>G$23/[1]各种公式!H$13*$D38</f>
        <v>4444.4444444444443</v>
      </c>
      <c r="K38" s="8">
        <f>H$23/[1]各种公式!I$13*$D38</f>
        <v>3000</v>
      </c>
      <c r="L38" s="8">
        <f>I$23/[1]各种公式!J$13*$D38</f>
        <v>4444.4444444444443</v>
      </c>
      <c r="M38" s="8">
        <f>J$23/[1]各种公式!K$13*$D38</f>
        <v>1200</v>
      </c>
      <c r="N38" s="8">
        <f>K$23/[1]各种公式!L$13*$D38</f>
        <v>1200</v>
      </c>
      <c r="O38" s="8">
        <f>L$23/[1]各种公式!M$13*$D38</f>
        <v>0</v>
      </c>
      <c r="P38" s="8">
        <f>M$23/[1]各种公式!N$13*$D38</f>
        <v>1000</v>
      </c>
      <c r="Q38" s="8">
        <f>N$23/[1]各种公式!O$13*$D38</f>
        <v>1500</v>
      </c>
      <c r="S38">
        <f t="shared" si="13"/>
        <v>1.0000000000000002E-2</v>
      </c>
    </row>
    <row r="39" spans="1:19">
      <c r="E39">
        <f>E38*定义数据!G14</f>
        <v>2000</v>
      </c>
      <c r="F39">
        <f>F38*定义数据!H14</f>
        <v>2000</v>
      </c>
      <c r="G39">
        <f>G38*定义数据!I14</f>
        <v>800</v>
      </c>
      <c r="H39">
        <f>H38*定义数据!J14</f>
        <v>800.00000000000011</v>
      </c>
      <c r="I39">
        <f>I38*定义数据!K14</f>
        <v>800.00000000000011</v>
      </c>
      <c r="J39">
        <f>J38*定义数据!L14</f>
        <v>800</v>
      </c>
      <c r="K39">
        <f>K38*定义数据!M14</f>
        <v>360</v>
      </c>
      <c r="L39">
        <f>L38*定义数据!N14</f>
        <v>800</v>
      </c>
      <c r="M39">
        <f>M38*定义数据!O14</f>
        <v>360</v>
      </c>
      <c r="N39">
        <f>N38*定义数据!P14</f>
        <v>360</v>
      </c>
      <c r="O39">
        <f>O38*定义数据!Q14</f>
        <v>0</v>
      </c>
      <c r="P39">
        <f>P38*定义数据!R14</f>
        <v>360</v>
      </c>
      <c r="Q39">
        <f>Q38*定义数据!S14</f>
        <v>360</v>
      </c>
    </row>
    <row r="40" spans="1:19">
      <c r="A40" t="s">
        <v>84</v>
      </c>
    </row>
    <row r="41" spans="1:19">
      <c r="A41" s="3" t="s">
        <v>77</v>
      </c>
      <c r="B41" s="3" t="s">
        <v>78</v>
      </c>
      <c r="C41" s="3" t="s">
        <v>88</v>
      </c>
      <c r="D41" s="3" t="s">
        <v>253</v>
      </c>
      <c r="E41" s="3" t="str">
        <f t="shared" ref="E41:Q41" si="14">E33</f>
        <v>生命</v>
      </c>
      <c r="F41" s="3" t="str">
        <f t="shared" si="14"/>
        <v>攻击</v>
      </c>
      <c r="G41" s="3" t="str">
        <f t="shared" si="14"/>
        <v>防御</v>
      </c>
      <c r="H41" s="3" t="str">
        <f t="shared" si="14"/>
        <v>闪避值</v>
      </c>
      <c r="I41" s="3" t="str">
        <f t="shared" si="14"/>
        <v>命中值</v>
      </c>
      <c r="J41" s="3" t="str">
        <f t="shared" si="14"/>
        <v>暴击值</v>
      </c>
      <c r="K41" s="3" t="str">
        <f t="shared" si="14"/>
        <v>暴击倍数</v>
      </c>
      <c r="L41" s="3" t="str">
        <f t="shared" si="14"/>
        <v>韧性值</v>
      </c>
      <c r="M41" s="3" t="str">
        <f t="shared" si="14"/>
        <v>伤害减免</v>
      </c>
      <c r="N41" s="3" t="str">
        <f t="shared" si="14"/>
        <v>伤害加深</v>
      </c>
      <c r="O41" s="3" t="str">
        <f t="shared" si="14"/>
        <v>生命加成</v>
      </c>
      <c r="P41" s="3" t="str">
        <f t="shared" si="14"/>
        <v>攻击加成</v>
      </c>
      <c r="Q41" s="3" t="str">
        <f t="shared" si="14"/>
        <v>防御加成</v>
      </c>
    </row>
    <row r="42" spans="1:19">
      <c r="A42" s="3">
        <v>1</v>
      </c>
      <c r="B42" s="3" t="s">
        <v>79</v>
      </c>
      <c r="C42" s="3">
        <f t="shared" ref="C42:C45" si="15">C50</f>
        <v>80</v>
      </c>
      <c r="D42" s="3">
        <f>[1]命格规划!$F13</f>
        <v>9.5259868922420346E-2</v>
      </c>
      <c r="E42" s="8">
        <f>B$23/[1]各种公式!C$13*$D34</f>
        <v>4762.9934461210169</v>
      </c>
      <c r="F42" s="8">
        <f>C$23/[1]各种公式!D$13*$D34</f>
        <v>190.51973784484071</v>
      </c>
      <c r="G42" s="8">
        <f>D$23/[1]各种公式!E$13*$D34</f>
        <v>76.207895137936276</v>
      </c>
      <c r="H42" s="8">
        <f>E$23/[1]各种公式!F$13*$D34</f>
        <v>224.14086805275377</v>
      </c>
      <c r="I42" s="8">
        <f>F$23/[1]各种公式!G$13*$D34</f>
        <v>224.14086805275377</v>
      </c>
      <c r="J42" s="8">
        <f>G$23/[1]各种公式!H$13*$D34</f>
        <v>423.37719521075707</v>
      </c>
      <c r="K42" s="8">
        <f>H$23/[1]各种公式!I$13*$D34</f>
        <v>285.77960676726104</v>
      </c>
      <c r="L42" s="8">
        <f>I$23/[1]各种公式!J$13*$D34</f>
        <v>423.37719521075707</v>
      </c>
      <c r="M42" s="8">
        <f>J$23/[1]各种公式!K$13*$D34</f>
        <v>114.31184270690441</v>
      </c>
      <c r="N42" s="8">
        <f>K$23/[1]各种公式!L$13*$D34</f>
        <v>114.31184270690441</v>
      </c>
      <c r="O42" s="8">
        <f>L$23/[1]各种公式!M$13*$D34</f>
        <v>0</v>
      </c>
      <c r="P42" s="8">
        <f>M$23/[1]各种公式!N$13*$D34</f>
        <v>95.259868922420353</v>
      </c>
      <c r="Q42" s="8">
        <f>N$23/[1]各种公式!O$13*$D34</f>
        <v>142.88980338363052</v>
      </c>
    </row>
    <row r="43" spans="1:19">
      <c r="A43" s="3">
        <v>2</v>
      </c>
      <c r="B43" s="3" t="s">
        <v>80</v>
      </c>
      <c r="C43" s="3">
        <f t="shared" si="15"/>
        <v>80</v>
      </c>
      <c r="D43" s="3">
        <f>[1]命格规划!$F14</f>
        <v>0.17146776406035663</v>
      </c>
      <c r="E43" s="8">
        <f>B$23/[1]各种公式!C$13*$D35</f>
        <v>8573.388203017832</v>
      </c>
      <c r="F43" s="8">
        <f>C$23/[1]各种公式!D$13*$D35</f>
        <v>342.93552812071329</v>
      </c>
      <c r="G43" s="8">
        <f>D$23/[1]各种公式!E$13*$D35</f>
        <v>137.1742112482853</v>
      </c>
      <c r="H43" s="8">
        <f>E$23/[1]各种公式!F$13*$D35</f>
        <v>403.45356249495677</v>
      </c>
      <c r="I43" s="8">
        <f>F$23/[1]各种公式!G$13*$D35</f>
        <v>403.45356249495677</v>
      </c>
      <c r="J43" s="8">
        <f>G$23/[1]各种公式!H$13*$D35</f>
        <v>762.07895137936282</v>
      </c>
      <c r="K43" s="8">
        <f>H$23/[1]各种公式!I$13*$D35</f>
        <v>514.4032921810699</v>
      </c>
      <c r="L43" s="8">
        <f>I$23/[1]各种公式!J$13*$D35</f>
        <v>762.07895137936282</v>
      </c>
      <c r="M43" s="8">
        <f>J$23/[1]各种公式!K$13*$D35</f>
        <v>205.76131687242795</v>
      </c>
      <c r="N43" s="8">
        <f>K$23/[1]各种公式!L$13*$D35</f>
        <v>205.76131687242795</v>
      </c>
      <c r="O43" s="8">
        <f>L$23/[1]各种公式!M$13*$D35</f>
        <v>0</v>
      </c>
      <c r="P43" s="8">
        <f>M$23/[1]各种公式!N$13*$D35</f>
        <v>171.46776406035664</v>
      </c>
      <c r="Q43" s="8">
        <f>N$23/[1]各种公式!O$13*$D35</f>
        <v>257.20164609053495</v>
      </c>
    </row>
    <row r="44" spans="1:19">
      <c r="A44" s="3">
        <v>3</v>
      </c>
      <c r="B44" s="3" t="s">
        <v>81</v>
      </c>
      <c r="C44" s="3">
        <f t="shared" si="15"/>
        <v>80</v>
      </c>
      <c r="D44" s="3">
        <f>[1]命格规划!$F15</f>
        <v>0.30864197530864196</v>
      </c>
      <c r="E44" s="8">
        <f>B$23/[1]各种公式!C$13*$D36</f>
        <v>15432.098765432098</v>
      </c>
      <c r="F44" s="8">
        <f>C$23/[1]各种公式!D$13*$D36</f>
        <v>617.28395061728395</v>
      </c>
      <c r="G44" s="8">
        <f>D$23/[1]各种公式!E$13*$D36</f>
        <v>246.91358024691357</v>
      </c>
      <c r="H44" s="8">
        <f>E$23/[1]各种公式!F$13*$D36</f>
        <v>726.21641249092227</v>
      </c>
      <c r="I44" s="8">
        <f>F$23/[1]各种公式!G$13*$D36</f>
        <v>726.21641249092227</v>
      </c>
      <c r="J44" s="8">
        <f>G$23/[1]各种公式!H$13*$D36</f>
        <v>1371.7421124828531</v>
      </c>
      <c r="K44" s="8">
        <f>H$23/[1]各种公式!I$13*$D36</f>
        <v>925.92592592592587</v>
      </c>
      <c r="L44" s="8">
        <f>I$23/[1]各种公式!J$13*$D36</f>
        <v>1371.7421124828531</v>
      </c>
      <c r="M44" s="8">
        <f>J$23/[1]各种公式!K$13*$D36</f>
        <v>370.37037037037032</v>
      </c>
      <c r="N44" s="8">
        <f>K$23/[1]各种公式!L$13*$D36</f>
        <v>370.37037037037032</v>
      </c>
      <c r="O44" s="8">
        <f>L$23/[1]各种公式!M$13*$D36</f>
        <v>0</v>
      </c>
      <c r="P44" s="8">
        <f>M$23/[1]各种公式!N$13*$D36</f>
        <v>308.64197530864197</v>
      </c>
      <c r="Q44" s="8">
        <f>N$23/[1]各种公式!O$13*$D36</f>
        <v>462.96296296296293</v>
      </c>
    </row>
    <row r="45" spans="1:19">
      <c r="A45" s="3">
        <v>4</v>
      </c>
      <c r="B45" s="3" t="s">
        <v>82</v>
      </c>
      <c r="C45" s="3">
        <f t="shared" si="15"/>
        <v>80</v>
      </c>
      <c r="D45" s="3">
        <f>[1]命格规划!$F16</f>
        <v>0.55555555555555547</v>
      </c>
      <c r="E45" s="8">
        <f>B$23/[1]各种公式!C$13*$D37</f>
        <v>27777.777777777774</v>
      </c>
      <c r="F45" s="8">
        <f>C$23/[1]各种公式!D$13*$D37</f>
        <v>1111.1111111111109</v>
      </c>
      <c r="G45" s="8">
        <f>D$23/[1]各种公式!E$13*$D37</f>
        <v>444.4444444444444</v>
      </c>
      <c r="H45" s="8">
        <f>E$23/[1]各种公式!F$13*$D37</f>
        <v>1307.18954248366</v>
      </c>
      <c r="I45" s="8">
        <f>F$23/[1]各种公式!G$13*$D37</f>
        <v>1307.18954248366</v>
      </c>
      <c r="J45" s="8">
        <f>G$23/[1]各种公式!H$13*$D37</f>
        <v>2469.1358024691353</v>
      </c>
      <c r="K45" s="8">
        <f>H$23/[1]各种公式!I$13*$D37</f>
        <v>1666.6666666666665</v>
      </c>
      <c r="L45" s="8">
        <f>I$23/[1]各种公式!J$13*$D37</f>
        <v>2469.1358024691353</v>
      </c>
      <c r="M45" s="8">
        <f>J$23/[1]各种公式!K$13*$D37</f>
        <v>666.66666666666652</v>
      </c>
      <c r="N45" s="8">
        <f>K$23/[1]各种公式!L$13*$D37</f>
        <v>666.66666666666652</v>
      </c>
      <c r="O45" s="8">
        <f>L$23/[1]各种公式!M$13*$D37</f>
        <v>0</v>
      </c>
      <c r="P45" s="8">
        <f>M$23/[1]各种公式!N$13*$D37</f>
        <v>555.55555555555543</v>
      </c>
      <c r="Q45" s="8">
        <f>N$23/[1]各种公式!O$13*$D37</f>
        <v>833.33333333333326</v>
      </c>
    </row>
    <row r="46" spans="1:19">
      <c r="A46" s="3">
        <v>5</v>
      </c>
      <c r="B46" s="3" t="s">
        <v>83</v>
      </c>
      <c r="C46" s="3">
        <f>C54</f>
        <v>80</v>
      </c>
      <c r="D46" s="3">
        <f>[1]命格规划!$F17</f>
        <v>1</v>
      </c>
      <c r="E46" s="8">
        <f>B$23/[1]各种公式!C$13*$D38</f>
        <v>50000</v>
      </c>
      <c r="F46" s="8">
        <f>C$23/[1]各种公式!D$13*$D38</f>
        <v>2000</v>
      </c>
      <c r="G46" s="8">
        <f>D$23/[1]各种公式!E$13*$D38</f>
        <v>800</v>
      </c>
      <c r="H46" s="8">
        <f>E$23/[1]各种公式!F$13*$D38</f>
        <v>2352.9411764705883</v>
      </c>
      <c r="I46" s="8">
        <f>F$23/[1]各种公式!G$13*$D38</f>
        <v>2352.9411764705883</v>
      </c>
      <c r="J46" s="8">
        <f>G$23/[1]各种公式!H$13*$D38</f>
        <v>4444.4444444444443</v>
      </c>
      <c r="K46" s="8">
        <f>H$23/[1]各种公式!I$13*$D38</f>
        <v>3000</v>
      </c>
      <c r="L46" s="8">
        <f>I$23/[1]各种公式!J$13*$D38</f>
        <v>4444.4444444444443</v>
      </c>
      <c r="M46" s="8">
        <f>J$23/[1]各种公式!K$13*$D38</f>
        <v>1200</v>
      </c>
      <c r="N46" s="8">
        <f>K$23/[1]各种公式!L$13*$D38</f>
        <v>1200</v>
      </c>
      <c r="O46" s="8">
        <f>L$23/[1]各种公式!M$13*$D38</f>
        <v>0</v>
      </c>
      <c r="P46" s="8">
        <f>M$23/[1]各种公式!N$13*$D38</f>
        <v>1000</v>
      </c>
      <c r="Q46" s="8">
        <f>N$23/[1]各种公式!O$13*$D38</f>
        <v>1500</v>
      </c>
    </row>
    <row r="48" spans="1:19">
      <c r="A48" t="s">
        <v>254</v>
      </c>
      <c r="E48">
        <v>2</v>
      </c>
      <c r="F48">
        <v>3</v>
      </c>
      <c r="G48">
        <v>4</v>
      </c>
      <c r="H48">
        <v>5</v>
      </c>
      <c r="I48">
        <v>6</v>
      </c>
      <c r="J48">
        <v>7</v>
      </c>
      <c r="K48">
        <v>8</v>
      </c>
      <c r="L48">
        <v>9</v>
      </c>
      <c r="M48">
        <v>10</v>
      </c>
      <c r="N48">
        <v>11</v>
      </c>
      <c r="O48">
        <v>12</v>
      </c>
      <c r="P48">
        <v>13</v>
      </c>
      <c r="Q48">
        <v>14</v>
      </c>
    </row>
    <row r="49" spans="1:20">
      <c r="A49" s="3" t="s">
        <v>77</v>
      </c>
      <c r="B49" s="3" t="s">
        <v>78</v>
      </c>
      <c r="C49" s="3" t="s">
        <v>88</v>
      </c>
      <c r="D49" s="3" t="s">
        <v>253</v>
      </c>
      <c r="E49" s="3" t="str">
        <f>E41</f>
        <v>生命</v>
      </c>
      <c r="F49" s="3" t="str">
        <f t="shared" ref="F49:Q49" si="16">F41</f>
        <v>攻击</v>
      </c>
      <c r="G49" s="3" t="str">
        <f t="shared" si="16"/>
        <v>防御</v>
      </c>
      <c r="H49" s="3" t="str">
        <f t="shared" si="16"/>
        <v>闪避值</v>
      </c>
      <c r="I49" s="3" t="str">
        <f t="shared" si="16"/>
        <v>命中值</v>
      </c>
      <c r="J49" s="3" t="str">
        <f t="shared" si="16"/>
        <v>暴击值</v>
      </c>
      <c r="K49" s="3" t="str">
        <f t="shared" si="16"/>
        <v>暴击倍数</v>
      </c>
      <c r="L49" s="3" t="str">
        <f t="shared" si="16"/>
        <v>韧性值</v>
      </c>
      <c r="M49" s="3" t="str">
        <f t="shared" si="16"/>
        <v>伤害减免</v>
      </c>
      <c r="N49" s="3" t="str">
        <f t="shared" si="16"/>
        <v>伤害加深</v>
      </c>
      <c r="O49" s="3" t="str">
        <f t="shared" si="16"/>
        <v>生命加成</v>
      </c>
      <c r="P49" s="3" t="str">
        <f t="shared" si="16"/>
        <v>攻击加成</v>
      </c>
      <c r="Q49" s="3" t="str">
        <f t="shared" si="16"/>
        <v>防御加成</v>
      </c>
    </row>
    <row r="50" spans="1:20">
      <c r="A50" s="3">
        <v>1</v>
      </c>
      <c r="B50" s="3" t="s">
        <v>79</v>
      </c>
      <c r="C50" s="3">
        <v>80</v>
      </c>
      <c r="D50" s="3">
        <f>D42</f>
        <v>9.5259868922420346E-2</v>
      </c>
      <c r="E50" s="25">
        <f>VLOOKUP($C50,[1]!总属性参考数组,E$48,FALSE)*VLOOKUP(定义数据!$F$4,[1]!属性权重数组,E$48,FALSE)*$D50</f>
        <v>37340.115664380952</v>
      </c>
      <c r="F50" s="25">
        <f>VLOOKUP($C50,[1]!总属性参考数组,F$48,FALSE)*VLOOKUP(定义数据!$F$4,[1]!属性权重数组,F$48,FALSE)*$D50</f>
        <v>1580.5109922756983</v>
      </c>
      <c r="G50" s="25">
        <f>VLOOKUP($C50,[1]!总属性参考数组,G$48,FALSE)*VLOOKUP(定义数据!$F$4,[1]!属性权重数组,G$48,FALSE)*$D50</f>
        <v>682.97066563964313</v>
      </c>
      <c r="H50" s="25">
        <f>VLOOKUP($C50,[1]!总属性参考数组,H$48,FALSE)*VLOOKUP(定义数据!$F$4,[1]!属性权重数组,H$48,FALSE)*$D50</f>
        <v>1786.1225422953814</v>
      </c>
      <c r="I50" s="25">
        <f>VLOOKUP($C50,[1]!总属性参考数组,I$48,FALSE)*VLOOKUP(定义数据!$F$4,[1]!属性权重数组,I$48,FALSE)*$D50</f>
        <v>1786.1225422953814</v>
      </c>
      <c r="J50" s="25">
        <f>VLOOKUP($C50,[1]!总属性参考数组,J$48,FALSE)*VLOOKUP(定义数据!$F$4,[1]!属性权重数组,J$48,FALSE)*$D50</f>
        <v>2646.1074700672316</v>
      </c>
      <c r="K50" s="25">
        <f>VLOOKUP($C50,[1]!总属性参考数组,K$48,FALSE)*VLOOKUP(定义数据!$F$4,[1]!属性权重数组,K$48,FALSE)*$D50</f>
        <v>2381.4967230605084</v>
      </c>
      <c r="L50" s="25">
        <f>VLOOKUP($C50,[1]!总属性参考数组,L$48,FALSE)*VLOOKUP(定义数据!$F$4,[1]!属性权重数组,L$48,FALSE)*$D50</f>
        <v>2646.1074700672316</v>
      </c>
      <c r="M50" s="25">
        <f>VLOOKUP($C50,[1]!总属性参考数组,M$48,FALSE)*VLOOKUP(定义数据!$F$4,[1]!属性权重数组,M$48,FALSE)*$D50</f>
        <v>952.59868922420344</v>
      </c>
      <c r="N50" s="25">
        <f>VLOOKUP($C50,[1]!总属性参考数组,N$48,FALSE)*VLOOKUP(定义数据!$F$4,[1]!属性权重数组,N$48,FALSE)*$D50</f>
        <v>952.59868922420344</v>
      </c>
      <c r="O50" s="25">
        <f>VLOOKUP($C50,[1]!总属性参考数组,O$48,FALSE)*VLOOKUP(定义数据!$F$4,[1]!属性权重数组,O$48,FALSE)*$D50</f>
        <v>529.22149401344643</v>
      </c>
      <c r="P50" s="25">
        <f>VLOOKUP($C50,[1]!总属性参考数组,P$48,FALSE)*VLOOKUP(定义数据!$F$4,[1]!属性权重数组,P$48,FALSE)*$D50</f>
        <v>762.07895137936282</v>
      </c>
      <c r="Q50" s="25">
        <f>VLOOKUP($C50,[1]!总属性参考数组,Q$48,FALSE)*VLOOKUP(定义数据!$F$4,[1]!属性权重数组,Q$48,FALSE)*$D50</f>
        <v>1143.1184270690442</v>
      </c>
      <c r="S50">
        <f t="shared" ref="S50:T51" si="17">P50/20000*0.2</f>
        <v>7.6207895137936285E-3</v>
      </c>
      <c r="T50">
        <f t="shared" si="17"/>
        <v>1.1431184270690443E-2</v>
      </c>
    </row>
    <row r="51" spans="1:20">
      <c r="A51" s="3">
        <v>2</v>
      </c>
      <c r="B51" s="3" t="s">
        <v>80</v>
      </c>
      <c r="C51" s="3">
        <v>80</v>
      </c>
      <c r="D51" s="3">
        <f>D43</f>
        <v>0.17146776406035663</v>
      </c>
      <c r="E51" s="25">
        <f>VLOOKUP($C51,[1]!总属性参考数组,E$48,FALSE)*VLOOKUP(定义数据!$F$4,[1]!属性权重数组,E$48,FALSE)*$D51</f>
        <v>67212.208195885716</v>
      </c>
      <c r="F51" s="25">
        <f>VLOOKUP($C51,[1]!总属性参考数组,F$48,FALSE)*VLOOKUP(定义数据!$F$4,[1]!属性权重数组,F$48,FALSE)*$D51</f>
        <v>2844.9197860962572</v>
      </c>
      <c r="G51" s="25">
        <f>VLOOKUP($C51,[1]!总属性参考数组,G$48,FALSE)*VLOOKUP(定义数据!$F$4,[1]!属性权重数组,G$48,FALSE)*$D51</f>
        <v>1229.3471981513576</v>
      </c>
      <c r="H51" s="25">
        <f>VLOOKUP($C51,[1]!总属性参考数组,H$48,FALSE)*VLOOKUP(定义数据!$F$4,[1]!属性权重数组,H$48,FALSE)*$D51</f>
        <v>3215.020576131687</v>
      </c>
      <c r="I51" s="25">
        <f>VLOOKUP($C51,[1]!总属性参考数组,I$48,FALSE)*VLOOKUP(定义数据!$F$4,[1]!属性权重数组,I$48,FALSE)*$D51</f>
        <v>3215.020576131687</v>
      </c>
      <c r="J51" s="25">
        <f>VLOOKUP($C51,[1]!总属性参考数组,J$48,FALSE)*VLOOKUP(定义数据!$F$4,[1]!属性权重数组,J$48,FALSE)*$D51</f>
        <v>4762.9934461210178</v>
      </c>
      <c r="K51" s="25">
        <f>VLOOKUP($C51,[1]!总属性参考数组,K$48,FALSE)*VLOOKUP(定义数据!$F$4,[1]!属性权重数组,K$48,FALSE)*$D51</f>
        <v>4286.694101508916</v>
      </c>
      <c r="L51" s="25">
        <f>VLOOKUP($C51,[1]!总属性参考数组,L$48,FALSE)*VLOOKUP(定义数据!$F$4,[1]!属性权重数组,L$48,FALSE)*$D51</f>
        <v>4762.9934461210178</v>
      </c>
      <c r="M51" s="25">
        <f>VLOOKUP($C51,[1]!总属性参考数组,M$48,FALSE)*VLOOKUP(定义数据!$F$4,[1]!属性权重数组,M$48,FALSE)*$D51</f>
        <v>1714.6776406035663</v>
      </c>
      <c r="N51" s="25">
        <f>VLOOKUP($C51,[1]!总属性参考数组,N$48,FALSE)*VLOOKUP(定义数据!$F$4,[1]!属性权重数组,N$48,FALSE)*$D51</f>
        <v>1714.6776406035663</v>
      </c>
      <c r="O51" s="25">
        <f>VLOOKUP($C51,[1]!总属性参考数组,O$48,FALSE)*VLOOKUP(定义数据!$F$4,[1]!属性权重数组,O$48,FALSE)*$D51</f>
        <v>952.59868922420355</v>
      </c>
      <c r="P51" s="25">
        <f>VLOOKUP($C51,[1]!总属性参考数组,P$48,FALSE)*VLOOKUP(定义数据!$F$4,[1]!属性权重数组,P$48,FALSE)*$D51</f>
        <v>1371.7421124828531</v>
      </c>
      <c r="Q51" s="25">
        <f>VLOOKUP($C51,[1]!总属性参考数组,Q$48,FALSE)*VLOOKUP(定义数据!$F$4,[1]!属性权重数组,Q$48,FALSE)*$D51</f>
        <v>2057.6131687242796</v>
      </c>
      <c r="S51">
        <f t="shared" si="17"/>
        <v>1.3717421124828533E-2</v>
      </c>
      <c r="T51">
        <f t="shared" si="17"/>
        <v>2.0576131687242798E-2</v>
      </c>
    </row>
    <row r="52" spans="1:20">
      <c r="A52" s="3">
        <v>3</v>
      </c>
      <c r="B52" s="3" t="s">
        <v>81</v>
      </c>
      <c r="C52" s="3">
        <v>80</v>
      </c>
      <c r="D52" s="3">
        <f>D44</f>
        <v>0.30864197530864196</v>
      </c>
      <c r="E52" s="25">
        <f>VLOOKUP($C52,[1]!总属性参考数组,E$48,FALSE)*VLOOKUP(定义数据!$F$4,[1]!属性权重数组,E$48,FALSE)*$D52</f>
        <v>120981.97475259429</v>
      </c>
      <c r="F52" s="25">
        <f>VLOOKUP($C52,[1]!总属性参考数组,F$48,FALSE)*VLOOKUP(定义数据!$F$4,[1]!属性权重数组,F$48,FALSE)*$D52</f>
        <v>5120.8556149732631</v>
      </c>
      <c r="G52" s="25">
        <f>VLOOKUP($C52,[1]!总属性参考数组,G$48,FALSE)*VLOOKUP(定义数据!$F$4,[1]!属性权重数组,G$48,FALSE)*$D52</f>
        <v>2212.8249566724439</v>
      </c>
      <c r="H52" s="25">
        <f>VLOOKUP($C52,[1]!总属性参考数组,H$48,FALSE)*VLOOKUP(定义数据!$F$4,[1]!属性权重数组,H$48,FALSE)*$D52</f>
        <v>5787.0370370370365</v>
      </c>
      <c r="I52" s="25">
        <f>VLOOKUP($C52,[1]!总属性参考数组,I$48,FALSE)*VLOOKUP(定义数据!$F$4,[1]!属性权重数组,I$48,FALSE)*$D52</f>
        <v>5787.0370370370365</v>
      </c>
      <c r="J52" s="25">
        <f>VLOOKUP($C52,[1]!总属性参考数组,J$48,FALSE)*VLOOKUP(定义数据!$F$4,[1]!属性权重数组,J$48,FALSE)*$D52</f>
        <v>8573.388203017832</v>
      </c>
      <c r="K52" s="25">
        <f>VLOOKUP($C52,[1]!总属性参考数组,K$48,FALSE)*VLOOKUP(定义数据!$F$4,[1]!属性权重数组,K$48,FALSE)*$D52</f>
        <v>7716.049382716049</v>
      </c>
      <c r="L52" s="25">
        <f>VLOOKUP($C52,[1]!总属性参考数组,L$48,FALSE)*VLOOKUP(定义数据!$F$4,[1]!属性权重数组,L$48,FALSE)*$D52</f>
        <v>8573.388203017832</v>
      </c>
      <c r="M52" s="25">
        <f>VLOOKUP($C52,[1]!总属性参考数组,M$48,FALSE)*VLOOKUP(定义数据!$F$4,[1]!属性权重数组,M$48,FALSE)*$D52</f>
        <v>3086.4197530864194</v>
      </c>
      <c r="N52" s="25">
        <f>VLOOKUP($C52,[1]!总属性参考数组,N$48,FALSE)*VLOOKUP(定义数据!$F$4,[1]!属性权重数组,N$48,FALSE)*$D52</f>
        <v>3086.4197530864194</v>
      </c>
      <c r="O52" s="25">
        <f>VLOOKUP($C52,[1]!总属性参考数组,O$48,FALSE)*VLOOKUP(定义数据!$F$4,[1]!属性权重数组,O$48,FALSE)*$D52</f>
        <v>1714.6776406035665</v>
      </c>
      <c r="P52" s="25">
        <f>VLOOKUP($C52,[1]!总属性参考数组,P$48,FALSE)*VLOOKUP(定义数据!$F$4,[1]!属性权重数组,P$48,FALSE)*$D52</f>
        <v>2469.1358024691358</v>
      </c>
      <c r="Q52" s="25">
        <f>VLOOKUP($C52,[1]!总属性参考数组,Q$48,FALSE)*VLOOKUP(定义数据!$F$4,[1]!属性权重数组,Q$48,FALSE)*$D52</f>
        <v>3703.7037037037035</v>
      </c>
      <c r="S52">
        <f>P52/20000*0.2</f>
        <v>2.4691358024691357E-2</v>
      </c>
      <c r="T52">
        <f>Q52/20000*0.2</f>
        <v>3.7037037037037035E-2</v>
      </c>
    </row>
    <row r="53" spans="1:20">
      <c r="A53" s="3">
        <v>4</v>
      </c>
      <c r="B53" s="3" t="s">
        <v>82</v>
      </c>
      <c r="C53" s="3">
        <v>80</v>
      </c>
      <c r="D53" s="3">
        <f>D45</f>
        <v>0.55555555555555547</v>
      </c>
      <c r="E53" s="25">
        <f>VLOOKUP($C53,[1]!总属性参考数组,E$48,FALSE)*VLOOKUP(定义数据!$F$4,[1]!属性权重数组,E$48,FALSE)*$D53</f>
        <v>217767.55455466971</v>
      </c>
      <c r="F53" s="25">
        <f>VLOOKUP($C53,[1]!总属性参考数组,F$48,FALSE)*VLOOKUP(定义数据!$F$4,[1]!属性权重数组,F$48,FALSE)*$D53</f>
        <v>9217.5401069518721</v>
      </c>
      <c r="G53" s="25">
        <f>VLOOKUP($C53,[1]!总属性参考数组,G$48,FALSE)*VLOOKUP(定义数据!$F$4,[1]!属性权重数组,G$48,FALSE)*$D53</f>
        <v>3983.0849220103987</v>
      </c>
      <c r="H53" s="25">
        <f>VLOOKUP($C53,[1]!总属性参考数组,H$48,FALSE)*VLOOKUP(定义数据!$F$4,[1]!属性权重数组,H$48,FALSE)*$D53</f>
        <v>10416.666666666664</v>
      </c>
      <c r="I53" s="25">
        <f>VLOOKUP($C53,[1]!总属性参考数组,I$48,FALSE)*VLOOKUP(定义数据!$F$4,[1]!属性权重数组,I$48,FALSE)*$D53</f>
        <v>10416.666666666664</v>
      </c>
      <c r="J53" s="25">
        <f>VLOOKUP($C53,[1]!总属性参考数组,J$48,FALSE)*VLOOKUP(定义数据!$F$4,[1]!属性权重数组,J$48,FALSE)*$D53</f>
        <v>15432.098765432096</v>
      </c>
      <c r="K53" s="25">
        <f>VLOOKUP($C53,[1]!总属性参考数组,K$48,FALSE)*VLOOKUP(定义数据!$F$4,[1]!属性权重数组,K$48,FALSE)*$D53</f>
        <v>13888.888888888887</v>
      </c>
      <c r="L53" s="25">
        <f>VLOOKUP($C53,[1]!总属性参考数组,L$48,FALSE)*VLOOKUP(定义数据!$F$4,[1]!属性权重数组,L$48,FALSE)*$D53</f>
        <v>15432.098765432096</v>
      </c>
      <c r="M53" s="25">
        <f>VLOOKUP($C53,[1]!总属性参考数组,M$48,FALSE)*VLOOKUP(定义数据!$F$4,[1]!属性权重数组,M$48,FALSE)*$D53</f>
        <v>5555.5555555555547</v>
      </c>
      <c r="N53" s="25">
        <f>VLOOKUP($C53,[1]!总属性参考数组,N$48,FALSE)*VLOOKUP(定义数据!$F$4,[1]!属性权重数组,N$48,FALSE)*$D53</f>
        <v>5555.5555555555547</v>
      </c>
      <c r="O53" s="25">
        <f>VLOOKUP($C53,[1]!总属性参考数组,O$48,FALSE)*VLOOKUP(定义数据!$F$4,[1]!属性权重数组,O$48,FALSE)*$D53</f>
        <v>3086.4197530864194</v>
      </c>
      <c r="P53" s="25">
        <f>VLOOKUP($C53,[1]!总属性参考数组,P$48,FALSE)*VLOOKUP(定义数据!$F$4,[1]!属性权重数组,P$48,FALSE)*$D53</f>
        <v>4444.4444444444434</v>
      </c>
      <c r="Q53" s="25">
        <f>VLOOKUP($C53,[1]!总属性参考数组,Q$48,FALSE)*VLOOKUP(定义数据!$F$4,[1]!属性权重数组,Q$48,FALSE)*$D53</f>
        <v>6666.6666666666661</v>
      </c>
      <c r="S53">
        <f t="shared" ref="S53:T53" si="18">P53/20000*0.2</f>
        <v>4.4444444444444439E-2</v>
      </c>
      <c r="T53">
        <f t="shared" si="18"/>
        <v>6.6666666666666666E-2</v>
      </c>
    </row>
    <row r="54" spans="1:20">
      <c r="A54" s="3">
        <v>5</v>
      </c>
      <c r="B54" s="3" t="s">
        <v>83</v>
      </c>
      <c r="C54" s="3">
        <v>80</v>
      </c>
      <c r="D54" s="3">
        <f>D46</f>
        <v>1</v>
      </c>
      <c r="E54" s="25">
        <f>VLOOKUP($C54,[1]!总属性参考数组,E$48,FALSE)*VLOOKUP(定义数据!$F$4,[1]!属性权重数组,E$48,FALSE)*$D54</f>
        <v>391981.59819840553</v>
      </c>
      <c r="F54" s="25">
        <f>VLOOKUP($C54,[1]!总属性参考数组,F$48,FALSE)*VLOOKUP(定义数据!$F$4,[1]!属性权重数组,F$48,FALSE)*$D54</f>
        <v>16591.572192513373</v>
      </c>
      <c r="G54" s="25">
        <f>VLOOKUP($C54,[1]!总属性参考数组,G$48,FALSE)*VLOOKUP(定义数据!$F$4,[1]!属性权重数组,G$48,FALSE)*$D54</f>
        <v>7169.5528596187187</v>
      </c>
      <c r="H54" s="25">
        <f>VLOOKUP($C54,[1]!总属性参考数组,H$48,FALSE)*VLOOKUP(定义数据!$F$4,[1]!属性权重数组,H$48,FALSE)*$D54</f>
        <v>18750</v>
      </c>
      <c r="I54" s="25">
        <f>VLOOKUP($C54,[1]!总属性参考数组,I$48,FALSE)*VLOOKUP(定义数据!$F$4,[1]!属性权重数组,I$48,FALSE)*$D54</f>
        <v>18750</v>
      </c>
      <c r="J54" s="25">
        <f>VLOOKUP($C54,[1]!总属性参考数组,J$48,FALSE)*VLOOKUP(定义数据!$F$4,[1]!属性权重数组,J$48,FALSE)*$D54</f>
        <v>27777.777777777777</v>
      </c>
      <c r="K54" s="25">
        <f>VLOOKUP($C54,[1]!总属性参考数组,K$48,FALSE)*VLOOKUP(定义数据!$F$4,[1]!属性权重数组,K$48,FALSE)*$D54</f>
        <v>25000</v>
      </c>
      <c r="L54" s="25">
        <f>VLOOKUP($C54,[1]!总属性参考数组,L$48,FALSE)*VLOOKUP(定义数据!$F$4,[1]!属性权重数组,L$48,FALSE)*$D54</f>
        <v>27777.777777777777</v>
      </c>
      <c r="M54" s="25">
        <f>VLOOKUP($C54,[1]!总属性参考数组,M$48,FALSE)*VLOOKUP(定义数据!$F$4,[1]!属性权重数组,M$48,FALSE)*$D54</f>
        <v>10000</v>
      </c>
      <c r="N54" s="25">
        <f>VLOOKUP($C54,[1]!总属性参考数组,N$48,FALSE)*VLOOKUP(定义数据!$F$4,[1]!属性权重数组,N$48,FALSE)*$D54</f>
        <v>10000</v>
      </c>
      <c r="O54" s="25">
        <f>VLOOKUP($C54,[1]!总属性参考数组,O$48,FALSE)*VLOOKUP(定义数据!$F$4,[1]!属性权重数组,O$48,FALSE)*$D54</f>
        <v>5555.5555555555557</v>
      </c>
      <c r="P54" s="25">
        <f>VLOOKUP($C54,[1]!总属性参考数组,P$48,FALSE)*VLOOKUP(定义数据!$F$4,[1]!属性权重数组,P$48,FALSE)*$D54</f>
        <v>8000</v>
      </c>
      <c r="Q54" s="25">
        <f>VLOOKUP($C54,[1]!总属性参考数组,Q$48,FALSE)*VLOOKUP(定义数据!$F$4,[1]!属性权重数组,Q$48,FALSE)*$D54</f>
        <v>12000</v>
      </c>
      <c r="S54">
        <f>P54/20000*0.2</f>
        <v>8.0000000000000016E-2</v>
      </c>
      <c r="T54">
        <f>Q54/20000*0.2</f>
        <v>0.12</v>
      </c>
    </row>
    <row r="55" spans="1:20">
      <c r="D55" s="2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22"/>
    </row>
    <row r="58" spans="1:20">
      <c r="A58" s="3" t="s">
        <v>391</v>
      </c>
      <c r="B58" s="10">
        <f>SUM(N76:N82)*8</f>
        <v>650240</v>
      </c>
    </row>
    <row r="60" spans="1:20">
      <c r="A60" s="6" t="s">
        <v>92</v>
      </c>
      <c r="B60" s="6" t="s">
        <v>93</v>
      </c>
      <c r="C60" s="6" t="s">
        <v>99</v>
      </c>
    </row>
    <row r="61" spans="1:20">
      <c r="A61" s="7">
        <v>1</v>
      </c>
      <c r="B61" s="7" t="s">
        <v>94</v>
      </c>
      <c r="C61" s="10">
        <v>1</v>
      </c>
      <c r="G61" s="22"/>
      <c r="H61" s="22"/>
      <c r="I61" s="22"/>
      <c r="J61" s="22"/>
      <c r="K61" s="22"/>
      <c r="L61" s="22"/>
      <c r="M61" s="22"/>
      <c r="N61" s="22"/>
    </row>
    <row r="62" spans="1:20">
      <c r="A62" s="7">
        <v>2</v>
      </c>
      <c r="B62" s="7" t="s">
        <v>95</v>
      </c>
      <c r="C62" s="10">
        <v>1</v>
      </c>
      <c r="G62" s="22"/>
      <c r="H62" s="22"/>
      <c r="I62" s="22"/>
      <c r="J62" s="22"/>
      <c r="K62" s="22"/>
      <c r="L62" s="22"/>
      <c r="M62" s="22"/>
      <c r="N62" s="22"/>
    </row>
    <row r="63" spans="1:20">
      <c r="A63" s="7">
        <v>3</v>
      </c>
      <c r="B63" s="7" t="s">
        <v>96</v>
      </c>
      <c r="C63" s="10">
        <v>1</v>
      </c>
      <c r="G63" s="22"/>
      <c r="H63" s="22"/>
      <c r="I63" s="22"/>
      <c r="J63" s="22"/>
      <c r="K63" s="22"/>
      <c r="L63" s="22"/>
      <c r="M63" s="22"/>
      <c r="N63" s="22"/>
    </row>
    <row r="64" spans="1:20">
      <c r="A64" s="7">
        <v>4</v>
      </c>
      <c r="B64" s="7" t="s">
        <v>97</v>
      </c>
      <c r="C64" s="10">
        <v>1</v>
      </c>
      <c r="G64" s="22"/>
      <c r="H64" s="21"/>
      <c r="I64" s="22"/>
      <c r="J64" s="22"/>
      <c r="K64" s="22"/>
      <c r="L64" s="22"/>
      <c r="M64" s="22"/>
      <c r="N64" s="22"/>
    </row>
    <row r="65" spans="1:28">
      <c r="A65" s="7">
        <v>5</v>
      </c>
      <c r="B65" s="7" t="s">
        <v>98</v>
      </c>
      <c r="C65" s="10">
        <v>1</v>
      </c>
      <c r="G65" s="22"/>
      <c r="H65" s="21"/>
      <c r="I65" s="22"/>
      <c r="J65" s="22"/>
      <c r="K65" s="22"/>
      <c r="L65" s="22"/>
      <c r="M65" s="22"/>
      <c r="N65" s="22"/>
    </row>
    <row r="66" spans="1:28">
      <c r="G66" s="22"/>
      <c r="H66" s="21"/>
      <c r="I66" s="22"/>
      <c r="J66" s="22"/>
      <c r="K66" s="22"/>
      <c r="L66" s="22"/>
      <c r="M66" s="22"/>
      <c r="N66" s="22"/>
    </row>
    <row r="67" spans="1:28">
      <c r="A67" s="3" t="s">
        <v>77</v>
      </c>
      <c r="B67" s="3" t="s">
        <v>78</v>
      </c>
      <c r="C67" s="3" t="s">
        <v>88</v>
      </c>
      <c r="D67" s="3" t="s">
        <v>90</v>
      </c>
      <c r="E67" s="12" t="s">
        <v>100</v>
      </c>
      <c r="G67" s="22"/>
      <c r="H67" s="21"/>
      <c r="I67" s="22"/>
      <c r="J67" s="22"/>
      <c r="K67" s="22"/>
      <c r="L67" s="22"/>
      <c r="M67" s="22"/>
      <c r="N67" s="22"/>
    </row>
    <row r="68" spans="1:28">
      <c r="A68" s="3">
        <v>1</v>
      </c>
      <c r="B68" s="3" t="s">
        <v>79</v>
      </c>
      <c r="C68" s="3">
        <v>80</v>
      </c>
      <c r="D68" s="3">
        <f>[1]命格规划!$H13</f>
        <v>1.1907483615302543E-2</v>
      </c>
      <c r="E68" s="3">
        <f>D68*$B$58*VLOOKUP($A68,$A$61:$C$65,3)</f>
        <v>7742.7221460143255</v>
      </c>
      <c r="G68" s="22"/>
      <c r="H68" s="21"/>
      <c r="I68" s="22"/>
      <c r="J68" s="22"/>
      <c r="K68" s="22"/>
      <c r="L68" s="22"/>
      <c r="M68" s="22"/>
      <c r="N68" s="22"/>
    </row>
    <row r="69" spans="1:28">
      <c r="A69" s="3">
        <v>2</v>
      </c>
      <c r="B69" s="3" t="s">
        <v>80</v>
      </c>
      <c r="C69" s="55">
        <v>80</v>
      </c>
      <c r="D69" s="3">
        <f>[1]命格规划!$H14</f>
        <v>2.1433470507544579E-2</v>
      </c>
      <c r="E69" s="3">
        <f>D69*$B$58*VLOOKUP($A69,$A$61:$C$65,3)</f>
        <v>13936.899862825787</v>
      </c>
      <c r="G69" s="22"/>
      <c r="H69" s="21"/>
      <c r="I69" s="22"/>
      <c r="J69" s="22"/>
      <c r="K69" s="22"/>
      <c r="L69" s="22"/>
      <c r="M69" s="22"/>
      <c r="N69" s="22"/>
    </row>
    <row r="70" spans="1:28">
      <c r="A70" s="3">
        <v>3</v>
      </c>
      <c r="B70" s="3" t="s">
        <v>81</v>
      </c>
      <c r="C70" s="55">
        <v>80</v>
      </c>
      <c r="D70" s="3">
        <f>[1]命格规划!$H15</f>
        <v>3.8580246913580245E-2</v>
      </c>
      <c r="E70" s="3">
        <f>D70*$B$58*VLOOKUP($A70,$A$61:$C$65,3)</f>
        <v>25086.419753086418</v>
      </c>
      <c r="G70" s="22"/>
      <c r="H70" s="21"/>
      <c r="I70" s="22"/>
      <c r="J70" s="22"/>
      <c r="K70" s="22"/>
      <c r="L70" s="22"/>
      <c r="M70" s="22"/>
      <c r="N70" s="22"/>
    </row>
    <row r="71" spans="1:28">
      <c r="A71" s="3">
        <v>4</v>
      </c>
      <c r="B71" s="3" t="s">
        <v>82</v>
      </c>
      <c r="C71" s="55">
        <v>80</v>
      </c>
      <c r="D71" s="3">
        <f>[1]命格规划!$H16</f>
        <v>6.9444444444444434E-2</v>
      </c>
      <c r="E71" s="3">
        <f>D71*$B$58*VLOOKUP($A71,$A$61:$C$65,3)</f>
        <v>45155.555555555547</v>
      </c>
      <c r="G71" s="22"/>
      <c r="H71" s="21"/>
      <c r="I71" s="22"/>
      <c r="J71" s="22"/>
      <c r="K71" s="22"/>
      <c r="L71" s="22"/>
      <c r="M71" s="22"/>
      <c r="N71" s="22"/>
    </row>
    <row r="72" spans="1:28">
      <c r="A72" s="3">
        <v>5</v>
      </c>
      <c r="B72" s="3" t="s">
        <v>83</v>
      </c>
      <c r="C72" s="55">
        <v>80</v>
      </c>
      <c r="D72" s="3">
        <f>[1]命格规划!$H17</f>
        <v>0.125</v>
      </c>
      <c r="E72" s="3">
        <f>D72*$B$58*VLOOKUP($A72,$A$61:$C$65,3)</f>
        <v>81280</v>
      </c>
      <c r="G72" s="22"/>
      <c r="H72" s="21"/>
      <c r="I72" s="22"/>
      <c r="J72" s="22"/>
      <c r="K72" s="22"/>
      <c r="L72" s="22"/>
      <c r="M72" s="22"/>
      <c r="N72" s="22"/>
    </row>
    <row r="74" spans="1:28">
      <c r="A74" t="s">
        <v>91</v>
      </c>
      <c r="C74">
        <v>2</v>
      </c>
      <c r="D74">
        <v>3</v>
      </c>
      <c r="E74">
        <v>4</v>
      </c>
      <c r="F74">
        <v>5</v>
      </c>
      <c r="G74">
        <v>6</v>
      </c>
      <c r="I74" t="s">
        <v>91</v>
      </c>
      <c r="J74">
        <v>2</v>
      </c>
      <c r="K74">
        <v>3</v>
      </c>
      <c r="L74">
        <v>4</v>
      </c>
      <c r="M74">
        <v>5</v>
      </c>
      <c r="N74">
        <v>6</v>
      </c>
      <c r="P74" t="s">
        <v>101</v>
      </c>
      <c r="Q74">
        <v>2</v>
      </c>
      <c r="R74">
        <v>3</v>
      </c>
      <c r="S74">
        <v>4</v>
      </c>
      <c r="T74">
        <v>5</v>
      </c>
      <c r="U74">
        <v>6</v>
      </c>
    </row>
    <row r="75" spans="1:28">
      <c r="B75" s="11" t="s">
        <v>89</v>
      </c>
      <c r="C75" s="11" t="s">
        <v>79</v>
      </c>
      <c r="D75" s="11" t="s">
        <v>80</v>
      </c>
      <c r="E75" s="11" t="s">
        <v>81</v>
      </c>
      <c r="F75" s="11" t="s">
        <v>82</v>
      </c>
      <c r="G75" s="11" t="s">
        <v>83</v>
      </c>
      <c r="I75" s="11" t="s">
        <v>89</v>
      </c>
      <c r="J75" s="11" t="s">
        <v>79</v>
      </c>
      <c r="K75" s="11" t="s">
        <v>80</v>
      </c>
      <c r="L75" s="11" t="s">
        <v>81</v>
      </c>
      <c r="M75" s="11" t="s">
        <v>82</v>
      </c>
      <c r="N75" s="11" t="s">
        <v>83</v>
      </c>
      <c r="P75" s="11" t="s">
        <v>89</v>
      </c>
      <c r="Q75" s="11" t="s">
        <v>79</v>
      </c>
      <c r="R75" s="11" t="s">
        <v>80</v>
      </c>
      <c r="S75" s="11" t="s">
        <v>81</v>
      </c>
      <c r="T75" s="11" t="s">
        <v>82</v>
      </c>
      <c r="U75" s="11" t="s">
        <v>83</v>
      </c>
      <c r="W75" t="s">
        <v>262</v>
      </c>
      <c r="X75">
        <v>2</v>
      </c>
      <c r="Y75">
        <v>3</v>
      </c>
      <c r="Z75">
        <v>4</v>
      </c>
      <c r="AA75">
        <v>5</v>
      </c>
      <c r="AB75">
        <v>6</v>
      </c>
    </row>
    <row r="76" spans="1:28">
      <c r="A76" s="10">
        <v>40</v>
      </c>
      <c r="B76" s="11">
        <v>1</v>
      </c>
      <c r="C76" s="3">
        <f>A76</f>
        <v>40</v>
      </c>
      <c r="D76" s="3">
        <f t="shared" ref="D76:D86" si="19">C76*2</f>
        <v>80</v>
      </c>
      <c r="E76" s="3">
        <f t="shared" ref="E76:E84" si="20">D76*2</f>
        <v>160</v>
      </c>
      <c r="F76" s="3">
        <f t="shared" ref="F76:F84" si="21">E76*2</f>
        <v>320</v>
      </c>
      <c r="G76" s="3">
        <f t="shared" ref="G76:G84" si="22">F76*2</f>
        <v>640</v>
      </c>
      <c r="I76" s="11">
        <v>1</v>
      </c>
      <c r="J76" s="3">
        <f t="shared" ref="J76:J86" si="23">INT(C76/$A$76*2)*$A$76/2</f>
        <v>40</v>
      </c>
      <c r="K76" s="3">
        <f>J76*2</f>
        <v>80</v>
      </c>
      <c r="L76" s="3">
        <f t="shared" ref="L76:N76" si="24">K76*2</f>
        <v>160</v>
      </c>
      <c r="M76" s="3">
        <f t="shared" si="24"/>
        <v>320</v>
      </c>
      <c r="N76" s="3">
        <f t="shared" si="24"/>
        <v>640</v>
      </c>
      <c r="O76">
        <v>20</v>
      </c>
      <c r="P76" s="11">
        <v>1</v>
      </c>
      <c r="Q76" s="3">
        <f>J76/2</f>
        <v>20</v>
      </c>
      <c r="R76" s="3">
        <f>K76/2</f>
        <v>40</v>
      </c>
      <c r="S76" s="3">
        <f>L76/2</f>
        <v>80</v>
      </c>
      <c r="T76" s="3">
        <f>M76/2</f>
        <v>160</v>
      </c>
      <c r="U76" s="3">
        <f>N76/2</f>
        <v>320</v>
      </c>
      <c r="W76" s="11" t="s">
        <v>89</v>
      </c>
      <c r="X76" s="11" t="s">
        <v>79</v>
      </c>
      <c r="Y76" s="11" t="s">
        <v>80</v>
      </c>
      <c r="Z76" s="11" t="s">
        <v>81</v>
      </c>
      <c r="AA76" s="11" t="s">
        <v>82</v>
      </c>
      <c r="AB76" s="11" t="s">
        <v>83</v>
      </c>
    </row>
    <row r="77" spans="1:28">
      <c r="A77" s="10">
        <v>2</v>
      </c>
      <c r="B77" s="11">
        <v>2</v>
      </c>
      <c r="C77" s="3">
        <f t="shared" ref="C77:C86" si="25">C76*A78</f>
        <v>80</v>
      </c>
      <c r="D77" s="3">
        <f t="shared" si="19"/>
        <v>160</v>
      </c>
      <c r="E77" s="3">
        <f t="shared" si="20"/>
        <v>320</v>
      </c>
      <c r="F77" s="3">
        <f t="shared" si="21"/>
        <v>640</v>
      </c>
      <c r="G77" s="3">
        <f t="shared" si="22"/>
        <v>1280</v>
      </c>
      <c r="I77" s="11">
        <v>2</v>
      </c>
      <c r="J77" s="3">
        <f t="shared" si="23"/>
        <v>80</v>
      </c>
      <c r="K77" s="3">
        <f t="shared" ref="K77:N77" si="26">J77*2</f>
        <v>160</v>
      </c>
      <c r="L77" s="3">
        <f t="shared" si="26"/>
        <v>320</v>
      </c>
      <c r="M77" s="3">
        <f t="shared" si="26"/>
        <v>640</v>
      </c>
      <c r="N77" s="3">
        <f t="shared" si="26"/>
        <v>1280</v>
      </c>
      <c r="O77" s="9">
        <f>J76+O76</f>
        <v>60</v>
      </c>
      <c r="P77" s="11">
        <v>2</v>
      </c>
      <c r="Q77" s="3">
        <f>Q76+J76</f>
        <v>60</v>
      </c>
      <c r="R77" s="3">
        <f t="shared" ref="R77:U86" si="27">R76+K76</f>
        <v>120</v>
      </c>
      <c r="S77" s="3">
        <f t="shared" si="27"/>
        <v>240</v>
      </c>
      <c r="T77" s="3">
        <f t="shared" si="27"/>
        <v>480</v>
      </c>
      <c r="U77" s="3">
        <f t="shared" si="27"/>
        <v>960</v>
      </c>
      <c r="W77" s="11">
        <v>1</v>
      </c>
      <c r="X77" s="3"/>
      <c r="Y77" s="3"/>
      <c r="Z77" s="3"/>
      <c r="AA77" s="3"/>
      <c r="AB77" s="3"/>
    </row>
    <row r="78" spans="1:28">
      <c r="A78" s="10">
        <v>2</v>
      </c>
      <c r="B78" s="11">
        <v>3</v>
      </c>
      <c r="C78" s="3">
        <f t="shared" si="25"/>
        <v>160</v>
      </c>
      <c r="D78" s="3">
        <f t="shared" si="19"/>
        <v>320</v>
      </c>
      <c r="E78" s="3">
        <f t="shared" si="20"/>
        <v>640</v>
      </c>
      <c r="F78" s="3">
        <f t="shared" si="21"/>
        <v>1280</v>
      </c>
      <c r="G78" s="3">
        <f t="shared" si="22"/>
        <v>2560</v>
      </c>
      <c r="I78" s="11">
        <v>3</v>
      </c>
      <c r="J78" s="3">
        <f t="shared" si="23"/>
        <v>160</v>
      </c>
      <c r="K78" s="3">
        <f t="shared" ref="K78:N78" si="28">J78*2</f>
        <v>320</v>
      </c>
      <c r="L78" s="3">
        <f t="shared" si="28"/>
        <v>640</v>
      </c>
      <c r="M78" s="3">
        <f t="shared" si="28"/>
        <v>1280</v>
      </c>
      <c r="N78" s="3">
        <f t="shared" si="28"/>
        <v>2560</v>
      </c>
      <c r="O78" s="9">
        <f>J77+O77</f>
        <v>140</v>
      </c>
      <c r="P78" s="11">
        <v>3</v>
      </c>
      <c r="Q78" s="3">
        <f t="shared" ref="Q78:Q86" si="29">Q77+J77</f>
        <v>140</v>
      </c>
      <c r="R78" s="3">
        <f t="shared" si="27"/>
        <v>280</v>
      </c>
      <c r="S78" s="3">
        <f t="shared" si="27"/>
        <v>560</v>
      </c>
      <c r="T78" s="3">
        <f t="shared" si="27"/>
        <v>1120</v>
      </c>
      <c r="U78" s="3">
        <f t="shared" si="27"/>
        <v>2240</v>
      </c>
      <c r="W78" s="11">
        <v>2</v>
      </c>
      <c r="X78" s="3">
        <f>J76</f>
        <v>40</v>
      </c>
      <c r="Y78" s="3">
        <f>K76</f>
        <v>80</v>
      </c>
      <c r="Z78" s="3">
        <f>L76</f>
        <v>160</v>
      </c>
      <c r="AA78" s="3">
        <f>M76</f>
        <v>320</v>
      </c>
      <c r="AB78" s="3">
        <f>N76</f>
        <v>640</v>
      </c>
    </row>
    <row r="79" spans="1:28">
      <c r="A79" s="10">
        <v>2</v>
      </c>
      <c r="B79" s="11">
        <v>4</v>
      </c>
      <c r="C79" s="3">
        <f t="shared" si="25"/>
        <v>320</v>
      </c>
      <c r="D79" s="3">
        <f t="shared" si="19"/>
        <v>640</v>
      </c>
      <c r="E79" s="3">
        <f t="shared" si="20"/>
        <v>1280</v>
      </c>
      <c r="F79" s="3">
        <f t="shared" si="21"/>
        <v>2560</v>
      </c>
      <c r="G79" s="3">
        <f t="shared" si="22"/>
        <v>5120</v>
      </c>
      <c r="I79" s="11">
        <v>4</v>
      </c>
      <c r="J79" s="3">
        <f t="shared" si="23"/>
        <v>320</v>
      </c>
      <c r="K79" s="3">
        <f t="shared" ref="K79:N79" si="30">J79*2</f>
        <v>640</v>
      </c>
      <c r="L79" s="3">
        <f t="shared" si="30"/>
        <v>1280</v>
      </c>
      <c r="M79" s="3">
        <f t="shared" si="30"/>
        <v>2560</v>
      </c>
      <c r="N79" s="3">
        <f t="shared" si="30"/>
        <v>5120</v>
      </c>
      <c r="O79" s="9">
        <f>J78+O78</f>
        <v>300</v>
      </c>
      <c r="P79" s="11">
        <v>4</v>
      </c>
      <c r="Q79" s="3">
        <f t="shared" si="29"/>
        <v>300</v>
      </c>
      <c r="R79" s="3">
        <f t="shared" si="27"/>
        <v>600</v>
      </c>
      <c r="S79" s="3">
        <f t="shared" si="27"/>
        <v>1200</v>
      </c>
      <c r="T79" s="3">
        <f t="shared" si="27"/>
        <v>2400</v>
      </c>
      <c r="U79" s="3">
        <f t="shared" si="27"/>
        <v>4800</v>
      </c>
      <c r="W79" s="11">
        <v>3</v>
      </c>
      <c r="X79" s="3">
        <f>X78+J77</f>
        <v>120</v>
      </c>
      <c r="Y79" s="3">
        <f>Y78+K77</f>
        <v>240</v>
      </c>
      <c r="Z79" s="3">
        <f>Z78+L77</f>
        <v>480</v>
      </c>
      <c r="AA79" s="3">
        <f>AA78+M77</f>
        <v>960</v>
      </c>
      <c r="AB79" s="3">
        <f>AB78+N77</f>
        <v>1920</v>
      </c>
    </row>
    <row r="80" spans="1:28">
      <c r="A80" s="10">
        <v>2</v>
      </c>
      <c r="B80" s="11">
        <v>5</v>
      </c>
      <c r="C80" s="3">
        <f t="shared" si="25"/>
        <v>640</v>
      </c>
      <c r="D80" s="3">
        <f t="shared" si="19"/>
        <v>1280</v>
      </c>
      <c r="E80" s="3">
        <f t="shared" si="20"/>
        <v>2560</v>
      </c>
      <c r="F80" s="3">
        <f t="shared" si="21"/>
        <v>5120</v>
      </c>
      <c r="G80" s="3">
        <f t="shared" si="22"/>
        <v>10240</v>
      </c>
      <c r="I80" s="11">
        <v>5</v>
      </c>
      <c r="J80" s="3">
        <f t="shared" si="23"/>
        <v>640</v>
      </c>
      <c r="K80" s="3">
        <f t="shared" ref="K80:N80" si="31">J80*2</f>
        <v>1280</v>
      </c>
      <c r="L80" s="3">
        <f t="shared" si="31"/>
        <v>2560</v>
      </c>
      <c r="M80" s="3">
        <f t="shared" si="31"/>
        <v>5120</v>
      </c>
      <c r="N80" s="3">
        <f t="shared" si="31"/>
        <v>10240</v>
      </c>
      <c r="O80" s="9">
        <f t="shared" ref="O80:O86" si="32">J79+O79</f>
        <v>620</v>
      </c>
      <c r="P80" s="11">
        <v>5</v>
      </c>
      <c r="Q80" s="3">
        <f t="shared" si="29"/>
        <v>620</v>
      </c>
      <c r="R80" s="3">
        <f t="shared" si="27"/>
        <v>1240</v>
      </c>
      <c r="S80" s="3">
        <f t="shared" si="27"/>
        <v>2480</v>
      </c>
      <c r="T80" s="3">
        <f t="shared" si="27"/>
        <v>4960</v>
      </c>
      <c r="U80" s="3">
        <f t="shared" si="27"/>
        <v>9920</v>
      </c>
      <c r="W80" s="11">
        <v>4</v>
      </c>
      <c r="X80" s="3">
        <f t="shared" ref="X80:X87" si="33">X79+J78</f>
        <v>280</v>
      </c>
      <c r="Y80" s="3">
        <f t="shared" ref="Y80:Y87" si="34">Y79+K78</f>
        <v>560</v>
      </c>
      <c r="Z80" s="3">
        <f t="shared" ref="Z80:Z87" si="35">Z79+L78</f>
        <v>1120</v>
      </c>
      <c r="AA80" s="3">
        <f t="shared" ref="AA80:AA87" si="36">AA79+M78</f>
        <v>2240</v>
      </c>
      <c r="AB80" s="3">
        <f t="shared" ref="AB80:AB87" si="37">AB79+N78</f>
        <v>4480</v>
      </c>
    </row>
    <row r="81" spans="1:28">
      <c r="A81" s="10">
        <v>2</v>
      </c>
      <c r="B81" s="11">
        <v>6</v>
      </c>
      <c r="C81" s="3">
        <f t="shared" si="25"/>
        <v>1280</v>
      </c>
      <c r="D81" s="3">
        <f t="shared" si="19"/>
        <v>2560</v>
      </c>
      <c r="E81" s="3">
        <f t="shared" si="20"/>
        <v>5120</v>
      </c>
      <c r="F81" s="3">
        <f t="shared" si="21"/>
        <v>10240</v>
      </c>
      <c r="G81" s="3">
        <f t="shared" si="22"/>
        <v>20480</v>
      </c>
      <c r="I81" s="11">
        <v>6</v>
      </c>
      <c r="J81" s="3">
        <f t="shared" si="23"/>
        <v>1280</v>
      </c>
      <c r="K81" s="3">
        <f t="shared" ref="K81:N81" si="38">J81*2</f>
        <v>2560</v>
      </c>
      <c r="L81" s="3">
        <f t="shared" si="38"/>
        <v>5120</v>
      </c>
      <c r="M81" s="3">
        <f t="shared" si="38"/>
        <v>10240</v>
      </c>
      <c r="N81" s="3">
        <f t="shared" si="38"/>
        <v>20480</v>
      </c>
      <c r="O81" s="9">
        <f t="shared" si="32"/>
        <v>1260</v>
      </c>
      <c r="P81" s="11">
        <v>6</v>
      </c>
      <c r="Q81" s="3">
        <f t="shared" si="29"/>
        <v>1260</v>
      </c>
      <c r="R81" s="3">
        <f t="shared" si="27"/>
        <v>2520</v>
      </c>
      <c r="S81" s="3">
        <f t="shared" si="27"/>
        <v>5040</v>
      </c>
      <c r="T81" s="3">
        <f t="shared" si="27"/>
        <v>10080</v>
      </c>
      <c r="U81" s="3">
        <f t="shared" si="27"/>
        <v>20160</v>
      </c>
      <c r="W81" s="11">
        <v>5</v>
      </c>
      <c r="X81" s="3">
        <f t="shared" si="33"/>
        <v>600</v>
      </c>
      <c r="Y81" s="3">
        <f t="shared" si="34"/>
        <v>1200</v>
      </c>
      <c r="Z81" s="3">
        <f t="shared" si="35"/>
        <v>2400</v>
      </c>
      <c r="AA81" s="3">
        <f t="shared" si="36"/>
        <v>4800</v>
      </c>
      <c r="AB81" s="3">
        <f t="shared" si="37"/>
        <v>9600</v>
      </c>
    </row>
    <row r="82" spans="1:28">
      <c r="A82" s="10">
        <v>2</v>
      </c>
      <c r="B82" s="11">
        <v>7</v>
      </c>
      <c r="C82" s="3">
        <f t="shared" si="25"/>
        <v>2560</v>
      </c>
      <c r="D82" s="3">
        <f t="shared" si="19"/>
        <v>5120</v>
      </c>
      <c r="E82" s="3">
        <f t="shared" si="20"/>
        <v>10240</v>
      </c>
      <c r="F82" s="3">
        <f t="shared" si="21"/>
        <v>20480</v>
      </c>
      <c r="G82" s="3">
        <f t="shared" si="22"/>
        <v>40960</v>
      </c>
      <c r="I82" s="11">
        <v>7</v>
      </c>
      <c r="J82" s="3">
        <f t="shared" si="23"/>
        <v>2560</v>
      </c>
      <c r="K82" s="3">
        <f t="shared" ref="K82:N82" si="39">J82*2</f>
        <v>5120</v>
      </c>
      <c r="L82" s="3">
        <f t="shared" si="39"/>
        <v>10240</v>
      </c>
      <c r="M82" s="3">
        <f t="shared" si="39"/>
        <v>20480</v>
      </c>
      <c r="N82" s="3">
        <f t="shared" si="39"/>
        <v>40960</v>
      </c>
      <c r="O82" s="9">
        <f t="shared" si="32"/>
        <v>2540</v>
      </c>
      <c r="P82" s="11">
        <v>7</v>
      </c>
      <c r="Q82" s="3">
        <f t="shared" si="29"/>
        <v>2540</v>
      </c>
      <c r="R82" s="3">
        <f t="shared" si="27"/>
        <v>5080</v>
      </c>
      <c r="S82" s="3">
        <f t="shared" si="27"/>
        <v>10160</v>
      </c>
      <c r="T82" s="3">
        <f t="shared" si="27"/>
        <v>20320</v>
      </c>
      <c r="U82" s="3">
        <f t="shared" si="27"/>
        <v>40640</v>
      </c>
      <c r="W82" s="11">
        <v>6</v>
      </c>
      <c r="X82" s="3">
        <f t="shared" si="33"/>
        <v>1240</v>
      </c>
      <c r="Y82" s="3">
        <f t="shared" si="34"/>
        <v>2480</v>
      </c>
      <c r="Z82" s="3">
        <f t="shared" si="35"/>
        <v>4960</v>
      </c>
      <c r="AA82" s="3">
        <f t="shared" si="36"/>
        <v>9920</v>
      </c>
      <c r="AB82" s="3">
        <f t="shared" si="37"/>
        <v>19840</v>
      </c>
    </row>
    <row r="83" spans="1:28">
      <c r="A83" s="10">
        <v>2</v>
      </c>
      <c r="B83" s="11">
        <v>8</v>
      </c>
      <c r="C83" s="3">
        <f t="shared" si="25"/>
        <v>5120</v>
      </c>
      <c r="D83" s="3">
        <f t="shared" si="19"/>
        <v>10240</v>
      </c>
      <c r="E83" s="3">
        <f t="shared" si="20"/>
        <v>20480</v>
      </c>
      <c r="F83" s="3">
        <f t="shared" si="21"/>
        <v>40960</v>
      </c>
      <c r="G83" s="3">
        <f t="shared" si="22"/>
        <v>81920</v>
      </c>
      <c r="I83" s="11">
        <v>8</v>
      </c>
      <c r="J83" s="3">
        <f t="shared" si="23"/>
        <v>5120</v>
      </c>
      <c r="K83" s="3">
        <f t="shared" ref="K83:N83" si="40">J83*2</f>
        <v>10240</v>
      </c>
      <c r="L83" s="3">
        <f t="shared" si="40"/>
        <v>20480</v>
      </c>
      <c r="M83" s="3">
        <f t="shared" si="40"/>
        <v>40960</v>
      </c>
      <c r="N83" s="3">
        <f t="shared" si="40"/>
        <v>81920</v>
      </c>
      <c r="O83" s="9">
        <f t="shared" si="32"/>
        <v>5100</v>
      </c>
      <c r="P83" s="11">
        <v>8</v>
      </c>
      <c r="Q83" s="3">
        <f t="shared" si="29"/>
        <v>5100</v>
      </c>
      <c r="R83" s="3">
        <f t="shared" si="27"/>
        <v>10200</v>
      </c>
      <c r="S83" s="3">
        <f t="shared" si="27"/>
        <v>20400</v>
      </c>
      <c r="T83" s="3">
        <f t="shared" si="27"/>
        <v>40800</v>
      </c>
      <c r="U83" s="3">
        <f t="shared" si="27"/>
        <v>81600</v>
      </c>
      <c r="W83" s="11">
        <v>7</v>
      </c>
      <c r="X83" s="3">
        <f t="shared" si="33"/>
        <v>2520</v>
      </c>
      <c r="Y83" s="3">
        <f t="shared" si="34"/>
        <v>5040</v>
      </c>
      <c r="Z83" s="3">
        <f t="shared" si="35"/>
        <v>10080</v>
      </c>
      <c r="AA83" s="3">
        <f t="shared" si="36"/>
        <v>20160</v>
      </c>
      <c r="AB83" s="3">
        <f t="shared" si="37"/>
        <v>40320</v>
      </c>
    </row>
    <row r="84" spans="1:28">
      <c r="A84" s="10">
        <v>2</v>
      </c>
      <c r="B84" s="11">
        <v>9</v>
      </c>
      <c r="C84" s="3">
        <f t="shared" si="25"/>
        <v>10240</v>
      </c>
      <c r="D84" s="3">
        <f t="shared" si="19"/>
        <v>20480</v>
      </c>
      <c r="E84" s="3">
        <f t="shared" si="20"/>
        <v>40960</v>
      </c>
      <c r="F84" s="3">
        <f t="shared" si="21"/>
        <v>81920</v>
      </c>
      <c r="G84" s="3">
        <f t="shared" si="22"/>
        <v>163840</v>
      </c>
      <c r="I84" s="11">
        <v>9</v>
      </c>
      <c r="J84" s="3">
        <f t="shared" si="23"/>
        <v>10240</v>
      </c>
      <c r="K84" s="3">
        <f t="shared" ref="K84:N84" si="41">J84*2</f>
        <v>20480</v>
      </c>
      <c r="L84" s="3">
        <f t="shared" si="41"/>
        <v>40960</v>
      </c>
      <c r="M84" s="3">
        <f t="shared" si="41"/>
        <v>81920</v>
      </c>
      <c r="N84" s="3">
        <f t="shared" si="41"/>
        <v>163840</v>
      </c>
      <c r="O84" s="9">
        <f t="shared" si="32"/>
        <v>10220</v>
      </c>
      <c r="P84" s="11">
        <v>9</v>
      </c>
      <c r="Q84" s="3">
        <f t="shared" si="29"/>
        <v>10220</v>
      </c>
      <c r="R84" s="3">
        <f t="shared" si="27"/>
        <v>20440</v>
      </c>
      <c r="S84" s="3">
        <f t="shared" si="27"/>
        <v>40880</v>
      </c>
      <c r="T84" s="3">
        <f t="shared" si="27"/>
        <v>81760</v>
      </c>
      <c r="U84" s="3">
        <f t="shared" si="27"/>
        <v>163520</v>
      </c>
      <c r="W84" s="11">
        <v>8</v>
      </c>
      <c r="X84" s="3">
        <f t="shared" si="33"/>
        <v>5080</v>
      </c>
      <c r="Y84" s="3">
        <f t="shared" si="34"/>
        <v>10160</v>
      </c>
      <c r="Z84" s="3">
        <f t="shared" si="35"/>
        <v>20320</v>
      </c>
      <c r="AA84" s="3">
        <f t="shared" si="36"/>
        <v>40640</v>
      </c>
      <c r="AB84" s="3">
        <f t="shared" si="37"/>
        <v>81280</v>
      </c>
    </row>
    <row r="85" spans="1:28">
      <c r="A85" s="10">
        <v>2</v>
      </c>
      <c r="B85" s="11">
        <v>10</v>
      </c>
      <c r="C85" s="3">
        <f t="shared" si="25"/>
        <v>20480</v>
      </c>
      <c r="D85" s="3">
        <f t="shared" si="19"/>
        <v>40960</v>
      </c>
      <c r="E85" s="3">
        <f t="shared" ref="E85:G86" si="42">D85*2</f>
        <v>81920</v>
      </c>
      <c r="F85" s="3">
        <f t="shared" si="42"/>
        <v>163840</v>
      </c>
      <c r="G85" s="3">
        <f t="shared" si="42"/>
        <v>327680</v>
      </c>
      <c r="I85" s="11">
        <v>10</v>
      </c>
      <c r="J85" s="3">
        <f t="shared" si="23"/>
        <v>20480</v>
      </c>
      <c r="K85" s="3">
        <f t="shared" ref="K85:N85" si="43">J85*2</f>
        <v>40960</v>
      </c>
      <c r="L85" s="3">
        <f t="shared" si="43"/>
        <v>81920</v>
      </c>
      <c r="M85" s="3">
        <f t="shared" si="43"/>
        <v>163840</v>
      </c>
      <c r="N85" s="3">
        <f t="shared" si="43"/>
        <v>327680</v>
      </c>
      <c r="O85" s="9">
        <f t="shared" si="32"/>
        <v>20460</v>
      </c>
      <c r="P85" s="11">
        <v>10</v>
      </c>
      <c r="Q85" s="3">
        <f t="shared" si="29"/>
        <v>20460</v>
      </c>
      <c r="R85" s="3">
        <f t="shared" si="27"/>
        <v>40920</v>
      </c>
      <c r="S85" s="3">
        <f t="shared" si="27"/>
        <v>81840</v>
      </c>
      <c r="T85" s="3">
        <f t="shared" si="27"/>
        <v>163680</v>
      </c>
      <c r="U85" s="3">
        <f t="shared" si="27"/>
        <v>327360</v>
      </c>
      <c r="W85" s="11">
        <v>9</v>
      </c>
      <c r="X85" s="3">
        <f t="shared" si="33"/>
        <v>10200</v>
      </c>
      <c r="Y85" s="3">
        <f t="shared" si="34"/>
        <v>20400</v>
      </c>
      <c r="Z85" s="3">
        <f t="shared" si="35"/>
        <v>40800</v>
      </c>
      <c r="AA85" s="3">
        <f t="shared" si="36"/>
        <v>81600</v>
      </c>
      <c r="AB85" s="3">
        <f t="shared" si="37"/>
        <v>163200</v>
      </c>
    </row>
    <row r="86" spans="1:28">
      <c r="A86" s="10">
        <v>2</v>
      </c>
      <c r="B86" s="12">
        <v>11</v>
      </c>
      <c r="C86" s="3">
        <f t="shared" si="25"/>
        <v>40960</v>
      </c>
      <c r="D86" s="3">
        <f t="shared" si="19"/>
        <v>81920</v>
      </c>
      <c r="E86" s="3">
        <f t="shared" si="42"/>
        <v>163840</v>
      </c>
      <c r="F86" s="3">
        <f t="shared" si="42"/>
        <v>327680</v>
      </c>
      <c r="G86" s="3">
        <f t="shared" si="42"/>
        <v>655360</v>
      </c>
      <c r="I86" s="12">
        <v>11</v>
      </c>
      <c r="J86" s="3">
        <f t="shared" si="23"/>
        <v>40960</v>
      </c>
      <c r="K86" s="3">
        <f t="shared" ref="K86:N86" si="44">J86*2</f>
        <v>81920</v>
      </c>
      <c r="L86" s="3">
        <f t="shared" si="44"/>
        <v>163840</v>
      </c>
      <c r="M86" s="3">
        <f t="shared" si="44"/>
        <v>327680</v>
      </c>
      <c r="N86" s="3">
        <f t="shared" si="44"/>
        <v>655360</v>
      </c>
      <c r="O86" s="9">
        <f t="shared" si="32"/>
        <v>40940</v>
      </c>
      <c r="P86" s="12">
        <v>11</v>
      </c>
      <c r="Q86" s="3">
        <f t="shared" si="29"/>
        <v>40940</v>
      </c>
      <c r="R86" s="3">
        <f t="shared" si="27"/>
        <v>81880</v>
      </c>
      <c r="S86" s="3">
        <f t="shared" si="27"/>
        <v>163760</v>
      </c>
      <c r="T86" s="3">
        <f t="shared" si="27"/>
        <v>327520</v>
      </c>
      <c r="U86" s="3">
        <f t="shared" si="27"/>
        <v>655040</v>
      </c>
      <c r="W86" s="11">
        <v>10</v>
      </c>
      <c r="X86" s="3">
        <f t="shared" si="33"/>
        <v>20440</v>
      </c>
      <c r="Y86" s="3">
        <f t="shared" si="34"/>
        <v>40880</v>
      </c>
      <c r="Z86" s="3">
        <f t="shared" si="35"/>
        <v>81760</v>
      </c>
      <c r="AA86" s="3">
        <f t="shared" si="36"/>
        <v>163520</v>
      </c>
      <c r="AB86" s="3">
        <f t="shared" si="37"/>
        <v>327040</v>
      </c>
    </row>
    <row r="87" spans="1:28">
      <c r="A87" s="10">
        <v>2</v>
      </c>
      <c r="B87" s="23">
        <v>12</v>
      </c>
      <c r="J87" s="9">
        <f>SUM(J76:J86)</f>
        <v>81880</v>
      </c>
      <c r="K87" s="9">
        <f>SUM(K76:K86)</f>
        <v>163760</v>
      </c>
      <c r="L87" s="9">
        <f>SUM(L76:L86)</f>
        <v>327520</v>
      </c>
      <c r="M87" s="9">
        <f>SUM(M76:M86)</f>
        <v>655040</v>
      </c>
      <c r="N87" s="9">
        <f>SUM(N76:N86)</f>
        <v>1310080</v>
      </c>
      <c r="W87" s="12">
        <v>11</v>
      </c>
      <c r="X87" s="3">
        <f t="shared" si="33"/>
        <v>40920</v>
      </c>
      <c r="Y87" s="3">
        <f t="shared" si="34"/>
        <v>81840</v>
      </c>
      <c r="Z87" s="3">
        <f t="shared" si="35"/>
        <v>163680</v>
      </c>
      <c r="AA87" s="3">
        <f t="shared" si="36"/>
        <v>327360</v>
      </c>
      <c r="AB87" s="3">
        <f t="shared" si="37"/>
        <v>654720</v>
      </c>
    </row>
    <row r="88" spans="1:28">
      <c r="J88">
        <f>J85/Q76</f>
        <v>1024</v>
      </c>
    </row>
    <row r="90" spans="1:28">
      <c r="A90">
        <v>1</v>
      </c>
      <c r="B90">
        <v>2</v>
      </c>
      <c r="C90">
        <v>3</v>
      </c>
      <c r="D90">
        <v>4</v>
      </c>
      <c r="E90">
        <v>5</v>
      </c>
      <c r="F90">
        <v>6</v>
      </c>
      <c r="G90">
        <v>7</v>
      </c>
      <c r="H90">
        <v>8</v>
      </c>
      <c r="I90">
        <v>9</v>
      </c>
      <c r="J90">
        <v>10</v>
      </c>
      <c r="K90">
        <v>11</v>
      </c>
      <c r="L90">
        <v>12</v>
      </c>
      <c r="M90">
        <v>13</v>
      </c>
      <c r="N90">
        <v>14</v>
      </c>
      <c r="O90">
        <v>15</v>
      </c>
      <c r="P90">
        <v>16</v>
      </c>
      <c r="Q90">
        <v>17</v>
      </c>
      <c r="R90">
        <v>18</v>
      </c>
      <c r="S90">
        <v>19</v>
      </c>
      <c r="T90">
        <v>20</v>
      </c>
      <c r="U90">
        <v>21</v>
      </c>
      <c r="V90">
        <v>22</v>
      </c>
      <c r="W90">
        <v>23</v>
      </c>
      <c r="X90">
        <v>24</v>
      </c>
      <c r="Y90">
        <v>25</v>
      </c>
      <c r="Z90">
        <v>26</v>
      </c>
      <c r="AA90">
        <v>27</v>
      </c>
      <c r="AB90">
        <v>28</v>
      </c>
    </row>
    <row r="91" spans="1:28">
      <c r="L91" t="s">
        <v>190</v>
      </c>
      <c r="S91" t="s">
        <v>118</v>
      </c>
    </row>
    <row r="92" spans="1:28">
      <c r="A92" s="14" t="s">
        <v>191</v>
      </c>
      <c r="B92" s="14" t="s">
        <v>195</v>
      </c>
      <c r="C92" s="14" t="s">
        <v>78</v>
      </c>
      <c r="D92" s="14" t="s">
        <v>117</v>
      </c>
      <c r="E92" s="14" t="s">
        <v>106</v>
      </c>
      <c r="F92" s="14" t="s">
        <v>264</v>
      </c>
      <c r="G92" s="14" t="s">
        <v>107</v>
      </c>
      <c r="H92" s="14" t="s">
        <v>264</v>
      </c>
      <c r="I92" s="14" t="s">
        <v>108</v>
      </c>
      <c r="J92" s="14" t="s">
        <v>264</v>
      </c>
      <c r="K92" s="7" t="s">
        <v>194</v>
      </c>
      <c r="L92" s="3" t="s">
        <v>112</v>
      </c>
      <c r="M92" s="3" t="s">
        <v>114</v>
      </c>
      <c r="N92" s="3" t="s">
        <v>113</v>
      </c>
      <c r="O92" s="3" t="s">
        <v>115</v>
      </c>
      <c r="P92" s="3" t="s">
        <v>16</v>
      </c>
      <c r="Q92" s="3" t="s">
        <v>116</v>
      </c>
      <c r="R92" s="3" t="s">
        <v>223</v>
      </c>
      <c r="S92" s="3" t="s">
        <v>112</v>
      </c>
      <c r="T92" s="3" t="s">
        <v>114</v>
      </c>
      <c r="U92" s="3" t="s">
        <v>113</v>
      </c>
      <c r="V92" s="3" t="s">
        <v>115</v>
      </c>
      <c r="W92" s="3" t="s">
        <v>16</v>
      </c>
      <c r="X92" s="3" t="s">
        <v>116</v>
      </c>
      <c r="Y92" s="7" t="s">
        <v>197</v>
      </c>
      <c r="Z92" s="7" t="s">
        <v>198</v>
      </c>
      <c r="AA92" s="7" t="s">
        <v>224</v>
      </c>
      <c r="AB92" s="7" t="s">
        <v>288</v>
      </c>
    </row>
    <row r="93" spans="1:28" s="5" customFormat="1">
      <c r="A93" s="7">
        <v>8001</v>
      </c>
      <c r="B93" s="3" t="s">
        <v>336</v>
      </c>
      <c r="C93" s="7" t="s">
        <v>196</v>
      </c>
      <c r="D93" s="7">
        <v>-2</v>
      </c>
      <c r="E93" s="7"/>
      <c r="F93" s="7"/>
      <c r="G93" s="7"/>
      <c r="H93" s="7"/>
      <c r="I93" s="7"/>
      <c r="J93" s="7"/>
      <c r="K93" s="7">
        <v>0</v>
      </c>
      <c r="L93" s="7">
        <v>0</v>
      </c>
      <c r="M93" s="7">
        <v>0</v>
      </c>
      <c r="N93" s="7"/>
      <c r="O93" s="7"/>
      <c r="P93" s="7"/>
      <c r="Q93" s="7"/>
      <c r="R93" s="7">
        <v>0</v>
      </c>
      <c r="S93" s="7"/>
      <c r="T93" s="7"/>
      <c r="U93" s="7"/>
      <c r="V93" s="7"/>
      <c r="W93" s="7"/>
      <c r="X93" s="7"/>
      <c r="Y93" s="7"/>
      <c r="Z93" s="45"/>
      <c r="AA93" s="45">
        <v>0</v>
      </c>
    </row>
    <row r="94" spans="1:28">
      <c r="A94" s="3">
        <v>8110</v>
      </c>
      <c r="B94" s="17" t="s">
        <v>337</v>
      </c>
      <c r="C94" s="7" t="s">
        <v>234</v>
      </c>
      <c r="D94" s="3">
        <f>VLOOKUP(C94,定义数据!$B$2:$C$7,2,0)</f>
        <v>1</v>
      </c>
      <c r="E94" s="7" t="s">
        <v>109</v>
      </c>
      <c r="F94" s="3">
        <v>0.4</v>
      </c>
      <c r="G94" s="3"/>
      <c r="H94" s="3"/>
      <c r="I94" s="3"/>
      <c r="J94" s="3"/>
      <c r="K94" s="3">
        <f>IF(F94&gt;0,IF(H94&gt;0,IF(J94&gt;0,3,2),1))</f>
        <v>1</v>
      </c>
      <c r="L94" s="3">
        <f>SUMIF(定义数据!$C$14:$C$29,E94,定义数据!$B$14:$B$29)</f>
        <v>1</v>
      </c>
      <c r="M94" s="3">
        <f>IF(E94="","",ROUND(VLOOKUP($D94,命格辅助表!$A$34:$Q$38,SUMIF(定义数据!$C$14:$C$29,E94,定义数据!$A$14:$A$29)+4,0)*F94,0))</f>
        <v>1905</v>
      </c>
      <c r="N94" s="3">
        <f>SUMIF(定义数据!$C$14:$C$29,G94,定义数据!$B$14:$B$29)</f>
        <v>0</v>
      </c>
      <c r="O94" s="3" t="str">
        <f>IF(G94="","",INT(VLOOKUP($D94,命格辅助表!$A$34:$Q$38,SUMIF(定义数据!$C$14:$C$29,G94,定义数据!$A$14:$A$29)+4,0)*H94))</f>
        <v/>
      </c>
      <c r="P94" s="3">
        <f>SUMIF(定义数据!$C$14:$C$29,I94,定义数据!$B$14:$B$29)</f>
        <v>0</v>
      </c>
      <c r="Q94" s="3" t="str">
        <f>IF(I94="","",INT(VLOOKUP($D94,命格辅助表!$A$34:$Q$38,SUMIF(定义数据!$C$14:$C$29,I94,定义数据!$A$14:$A$29)+4,0)*J94))</f>
        <v/>
      </c>
      <c r="R94" s="25">
        <f>IF(L94=0,0,INDEX(定义数据!$G$14:$S$14,1,SUMIF(定义数据!$B$14:$B$29,$L94,定义数据!$A$14:$A$29))*M94)+IF(N94=0,0,INDEX(定义数据!$G$14:$S$14,1,SUMIF(定义数据!$B$14:$B$29,$N94,定义数据!$A$14:$A$29))*$O94)+IF(P94=0,0,INDEX(定义数据!$G$14:$S$14,1,SUMIF(定义数据!$B$14:$B$29,$P94,定义数据!$A$14:$A$29))*$Q94)</f>
        <v>76.2</v>
      </c>
      <c r="S94" s="3">
        <f>SUMIF(定义数据!$C$14:$C$29,E94,定义数据!$B$14:$B$29)</f>
        <v>1</v>
      </c>
      <c r="T94" s="3">
        <f>IF(E94="","",ROUND(VLOOKUP($D94,命格辅助表!$A$42:$Q$46,SUMIF(定义数据!$C$14:$C$29,E94,定义数据!$A$14:$A$29)+4,0)*F94,0))</f>
        <v>1905</v>
      </c>
      <c r="U94" s="3">
        <f>SUMIF(定义数据!$C$14:$C$29,G94,定义数据!$B$14:$B$29)</f>
        <v>0</v>
      </c>
      <c r="V94" s="3" t="str">
        <f>IF(G94="","",INT(VLOOKUP($D94,命格辅助表!$A$42:$Q$46,SUMIF(定义数据!$C$14:$C$29,G94,定义数据!$A$14:$A$29)+4,0)*H94))</f>
        <v/>
      </c>
      <c r="W94" s="3">
        <f>SUMIF(定义数据!$C$14:$C$29,I94,定义数据!$B$14:$B$29)</f>
        <v>0</v>
      </c>
      <c r="X94" s="3" t="str">
        <f>IF(I94="","",INT(VLOOKUP($D94,命格辅助表!$A$42:$Q$46,SUMIF(定义数据!$C$14:$C$29,I94,定义数据!$A$14:$A$29)+4,0)*J94))</f>
        <v/>
      </c>
      <c r="Y94" s="3">
        <v>8110</v>
      </c>
      <c r="Z94" s="3">
        <v>1</v>
      </c>
      <c r="AA94" s="3">
        <f>1/SUMIF(猎命辅助表!$A$20:$A$25,D94,猎命辅助表!$D$20:$D$25)</f>
        <v>1.7311407745674894</v>
      </c>
      <c r="AB94">
        <f>INDEX(猎命辅助表!$C$92:$G$92,D94)</f>
        <v>5</v>
      </c>
    </row>
    <row r="95" spans="1:28">
      <c r="A95" s="3">
        <v>8210</v>
      </c>
      <c r="B95" s="18" t="s">
        <v>338</v>
      </c>
      <c r="C95" s="7" t="s">
        <v>234</v>
      </c>
      <c r="D95" s="3">
        <f>VLOOKUP(C95,定义数据!$B$2:$C$7,2,0)</f>
        <v>1</v>
      </c>
      <c r="E95" s="7" t="s">
        <v>225</v>
      </c>
      <c r="F95" s="3">
        <v>0.4</v>
      </c>
      <c r="G95" s="3"/>
      <c r="H95" s="3"/>
      <c r="I95" s="3"/>
      <c r="J95" s="3"/>
      <c r="K95" s="3">
        <f t="shared" ref="K95:K152" si="45">IF(F95&gt;0,IF(H95&gt;0,IF(J95&gt;0,3,2),1))</f>
        <v>1</v>
      </c>
      <c r="L95" s="3">
        <f>SUMIF(定义数据!$C$14:$C$29,E95,定义数据!$B$14:$B$29)</f>
        <v>2</v>
      </c>
      <c r="M95" s="3">
        <f>IF(E95="","",ROUND(VLOOKUP($D95,命格辅助表!$A$34:$Q$38,SUMIF(定义数据!$C$14:$C$29,E95,定义数据!$A$14:$A$29)+4,0)*F95,0))</f>
        <v>76</v>
      </c>
      <c r="N95" s="3">
        <f>SUMIF(定义数据!$C$14:$C$29,G95,定义数据!$B$14:$B$29)</f>
        <v>0</v>
      </c>
      <c r="O95" s="3" t="str">
        <f>IF(G95="","",INT(VLOOKUP($D95,命格辅助表!$A$34:$Q$38,SUMIF(定义数据!$C$14:$C$29,G95,定义数据!$A$14:$A$29)+4,0)*H95))</f>
        <v/>
      </c>
      <c r="P95" s="3">
        <f>SUMIF(定义数据!$C$14:$C$29,I95,定义数据!$B$14:$B$29)</f>
        <v>0</v>
      </c>
      <c r="Q95" s="3" t="str">
        <f>IF(I95="","",INT(VLOOKUP($D95,命格辅助表!$A$34:$Q$38,SUMIF(定义数据!$C$14:$C$29,I95,定义数据!$A$14:$A$29)+4,0)*J95))</f>
        <v/>
      </c>
      <c r="R95" s="25">
        <f>IF(L95=0,0,INDEX(定义数据!$G$14:$S$14,1,SUMIF(定义数据!$B$14:$B$29,$L95,定义数据!$A$14:$A$29))*M95)+IF(N95=0,0,INDEX(定义数据!$G$14:$S$14,1,SUMIF(定义数据!$B$14:$B$29,$N95,定义数据!$A$14:$A$29))*$O95)+IF(P95=0,0,INDEX(定义数据!$G$14:$S$14,1,SUMIF(定义数据!$B$14:$B$29,$P95,定义数据!$A$14:$A$29))*$Q95)</f>
        <v>76</v>
      </c>
      <c r="S95" s="3">
        <f>SUMIF(定义数据!$C$14:$C$29,E95,定义数据!$B$14:$B$29)</f>
        <v>2</v>
      </c>
      <c r="T95" s="3">
        <f>IF(E95="","",ROUND(VLOOKUP($D95,命格辅助表!$A$42:$Q$46,SUMIF(定义数据!$C$14:$C$29,E95,定义数据!$A$14:$A$29)+4,0)*F95,0))</f>
        <v>76</v>
      </c>
      <c r="U95" s="3">
        <f>SUMIF(定义数据!$C$14:$C$29,G95,定义数据!$B$14:$B$29)</f>
        <v>0</v>
      </c>
      <c r="V95" s="3" t="str">
        <f>IF(G95="","",INT(VLOOKUP($D95,命格辅助表!$A$42:$Q$46,SUMIF(定义数据!$C$14:$C$29,G95,定义数据!$A$14:$A$29)+4,0)*H95))</f>
        <v/>
      </c>
      <c r="W95" s="3">
        <f>SUMIF(定义数据!$C$14:$C$29,I95,定义数据!$B$14:$B$29)</f>
        <v>0</v>
      </c>
      <c r="X95" s="3" t="str">
        <f>IF(I95="","",INT(VLOOKUP($D95,命格辅助表!$A$42:$Q$46,SUMIF(定义数据!$C$14:$C$29,I95,定义数据!$A$14:$A$29)+4,0)*J95))</f>
        <v/>
      </c>
      <c r="Y95" s="3">
        <v>8210</v>
      </c>
      <c r="Z95" s="3">
        <v>2</v>
      </c>
      <c r="AA95" s="3">
        <f>1/SUMIF(猎命辅助表!$A$20:$A$25,D95,猎命辅助表!$D$20:$D$25)</f>
        <v>1.7311407745674894</v>
      </c>
      <c r="AB95">
        <f>INDEX(猎命辅助表!$C$92:$G$92,D95)</f>
        <v>5</v>
      </c>
    </row>
    <row r="96" spans="1:28">
      <c r="A96" s="3">
        <v>8310</v>
      </c>
      <c r="B96" s="18" t="s">
        <v>339</v>
      </c>
      <c r="C96" s="7" t="s">
        <v>234</v>
      </c>
      <c r="D96" s="3">
        <f>VLOOKUP(C96,定义数据!$B$2:$C$7,2,0)</f>
        <v>1</v>
      </c>
      <c r="E96" s="7" t="s">
        <v>226</v>
      </c>
      <c r="F96" s="3">
        <v>1</v>
      </c>
      <c r="G96" s="3"/>
      <c r="H96" s="3"/>
      <c r="I96" s="3"/>
      <c r="J96" s="3"/>
      <c r="K96" s="3">
        <f t="shared" si="45"/>
        <v>1</v>
      </c>
      <c r="L96" s="3">
        <f>SUMIF(定义数据!$C$14:$C$29,E96,定义数据!$B$14:$B$29)</f>
        <v>3</v>
      </c>
      <c r="M96" s="3">
        <f>IF(E96="","",ROUND(VLOOKUP($D96,命格辅助表!$A$34:$Q$38,SUMIF(定义数据!$C$14:$C$29,E96,定义数据!$A$14:$A$29)+4,0)*F96,0))</f>
        <v>76</v>
      </c>
      <c r="N96" s="3">
        <f>SUMIF(定义数据!$C$14:$C$29,G96,定义数据!$B$14:$B$29)</f>
        <v>0</v>
      </c>
      <c r="O96" s="3" t="str">
        <f>IF(G96="","",INT(VLOOKUP($D96,命格辅助表!$A$34:$Q$38,SUMIF(定义数据!$C$14:$C$29,G96,定义数据!$A$14:$A$29)+4,0)*H96))</f>
        <v/>
      </c>
      <c r="P96" s="3">
        <f>SUMIF(定义数据!$C$14:$C$29,I96,定义数据!$B$14:$B$29)</f>
        <v>0</v>
      </c>
      <c r="Q96" s="3" t="str">
        <f>IF(I96="","",INT(VLOOKUP($D96,命格辅助表!$A$34:$Q$38,SUMIF(定义数据!$C$14:$C$29,I96,定义数据!$A$14:$A$29)+4,0)*J96))</f>
        <v/>
      </c>
      <c r="R96" s="25">
        <f>IF(L96=0,0,INDEX(定义数据!$G$14:$S$14,1,SUMIF(定义数据!$B$14:$B$29,$L96,定义数据!$A$14:$A$29))*M96)+IF(N96=0,0,INDEX(定义数据!$G$14:$S$14,1,SUMIF(定义数据!$B$14:$B$29,$N96,定义数据!$A$14:$A$29))*$O96)+IF(P96=0,0,INDEX(定义数据!$G$14:$S$14,1,SUMIF(定义数据!$B$14:$B$29,$P96,定义数据!$A$14:$A$29))*$Q96)</f>
        <v>76</v>
      </c>
      <c r="S96" s="3">
        <f>SUMIF(定义数据!$C$14:$C$29,E96,定义数据!$B$14:$B$29)</f>
        <v>3</v>
      </c>
      <c r="T96" s="3">
        <f>IF(E96="","",ROUND(VLOOKUP($D96,命格辅助表!$A$42:$Q$46,SUMIF(定义数据!$C$14:$C$29,E96,定义数据!$A$14:$A$29)+4,0)*F96,0))</f>
        <v>76</v>
      </c>
      <c r="U96" s="3">
        <f>SUMIF(定义数据!$C$14:$C$29,G96,定义数据!$B$14:$B$29)</f>
        <v>0</v>
      </c>
      <c r="V96" s="3" t="str">
        <f>IF(G96="","",INT(VLOOKUP($D96,命格辅助表!$A$42:$Q$46,SUMIF(定义数据!$C$14:$C$29,G96,定义数据!$A$14:$A$29)+4,0)*H96))</f>
        <v/>
      </c>
      <c r="W96" s="3">
        <f>SUMIF(定义数据!$C$14:$C$29,I96,定义数据!$B$14:$B$29)</f>
        <v>0</v>
      </c>
      <c r="X96" s="3" t="str">
        <f>IF(I96="","",INT(VLOOKUP($D96,命格辅助表!$A$42:$Q$46,SUMIF(定义数据!$C$14:$C$29,I96,定义数据!$A$14:$A$29)+4,0)*J96))</f>
        <v/>
      </c>
      <c r="Y96" s="3">
        <v>8310</v>
      </c>
      <c r="Z96" s="3">
        <v>3</v>
      </c>
      <c r="AA96" s="3">
        <f>1/SUMIF(猎命辅助表!$A$20:$A$25,D96,猎命辅助表!$D$20:$D$25)</f>
        <v>1.7311407745674894</v>
      </c>
      <c r="AB96">
        <f>INDEX(猎命辅助表!$C$92:$G$92,D96)</f>
        <v>5</v>
      </c>
    </row>
    <row r="97" spans="1:28">
      <c r="A97" s="3">
        <v>8120</v>
      </c>
      <c r="B97" s="18" t="s">
        <v>340</v>
      </c>
      <c r="C97" s="7" t="s">
        <v>237</v>
      </c>
      <c r="D97" s="3">
        <f>VLOOKUP(C97,定义数据!$B$2:$C$7,2,0)</f>
        <v>2</v>
      </c>
      <c r="E97" s="7" t="s">
        <v>109</v>
      </c>
      <c r="F97" s="3">
        <v>0.4</v>
      </c>
      <c r="G97" s="3"/>
      <c r="H97" s="3"/>
      <c r="I97" s="3"/>
      <c r="J97" s="3"/>
      <c r="K97" s="3">
        <f t="shared" si="45"/>
        <v>1</v>
      </c>
      <c r="L97" s="3">
        <f>SUMIF(定义数据!$C$14:$C$29,E97,定义数据!$B$14:$B$29)</f>
        <v>1</v>
      </c>
      <c r="M97" s="3">
        <f>IF(E97="","",ROUND(VLOOKUP($D97,命格辅助表!$A$34:$Q$38,SUMIF(定义数据!$C$14:$C$29,E97,定义数据!$A$14:$A$29)+4,0)*F97,0))</f>
        <v>3429</v>
      </c>
      <c r="N97" s="3">
        <f>SUMIF(定义数据!$C$14:$C$29,G97,定义数据!$B$14:$B$29)</f>
        <v>0</v>
      </c>
      <c r="O97" s="3" t="str">
        <f>IF(G97="","",INT(VLOOKUP($D97,命格辅助表!$A$34:$Q$38,SUMIF(定义数据!$C$14:$C$29,G97,定义数据!$A$14:$A$29)+4,0)*H97))</f>
        <v/>
      </c>
      <c r="P97" s="3">
        <f>SUMIF(定义数据!$C$14:$C$29,I97,定义数据!$B$14:$B$29)</f>
        <v>0</v>
      </c>
      <c r="Q97" s="3" t="str">
        <f>IF(I97="","",INT(VLOOKUP($D97,命格辅助表!$A$34:$Q$38,SUMIF(定义数据!$C$14:$C$29,I97,定义数据!$A$14:$A$29)+4,0)*J97))</f>
        <v/>
      </c>
      <c r="R97" s="25">
        <f>IF(L97=0,0,INDEX(定义数据!$G$14:$S$14,1,SUMIF(定义数据!$B$14:$B$29,$L97,定义数据!$A$14:$A$29))*M97)+IF(N97=0,0,INDEX(定义数据!$G$14:$S$14,1,SUMIF(定义数据!$B$14:$B$29,$N97,定义数据!$A$14:$A$29))*$O97)+IF(P97=0,0,INDEX(定义数据!$G$14:$S$14,1,SUMIF(定义数据!$B$14:$B$29,$P97,定义数据!$A$14:$A$29))*$Q97)</f>
        <v>137.16</v>
      </c>
      <c r="S97" s="3">
        <f>SUMIF(定义数据!$C$14:$C$29,E97,定义数据!$B$14:$B$29)</f>
        <v>1</v>
      </c>
      <c r="T97" s="3">
        <f>IF(E97="","",ROUND(VLOOKUP($D97,命格辅助表!$A$42:$Q$46,SUMIF(定义数据!$C$14:$C$29,E97,定义数据!$A$14:$A$29)+4,0)*F97,0))</f>
        <v>3429</v>
      </c>
      <c r="U97" s="3">
        <f>SUMIF(定义数据!$C$14:$C$29,G97,定义数据!$B$14:$B$29)</f>
        <v>0</v>
      </c>
      <c r="V97" s="3" t="str">
        <f>IF(G97="","",INT(VLOOKUP($D97,命格辅助表!$A$42:$Q$46,SUMIF(定义数据!$C$14:$C$29,G97,定义数据!$A$14:$A$29)+4,0)*H97))</f>
        <v/>
      </c>
      <c r="W97" s="3">
        <f>SUMIF(定义数据!$C$14:$C$29,I97,定义数据!$B$14:$B$29)</f>
        <v>0</v>
      </c>
      <c r="X97" s="3" t="str">
        <f>IF(I97="","",INT(VLOOKUP($D97,命格辅助表!$A$42:$Q$46,SUMIF(定义数据!$C$14:$C$29,I97,定义数据!$A$14:$A$29)+4,0)*J97))</f>
        <v/>
      </c>
      <c r="Y97" s="7">
        <v>8120</v>
      </c>
      <c r="Z97" s="3">
        <v>1</v>
      </c>
      <c r="AA97" s="3">
        <f>1/SUMIF(猎命辅助表!$A$20:$A$25,D97,猎命辅助表!$D$20:$D$25)</f>
        <v>10.701682953311618</v>
      </c>
      <c r="AB97">
        <f>INDEX(猎命辅助表!$C$92:$G$92,D97)</f>
        <v>25</v>
      </c>
    </row>
    <row r="98" spans="1:28">
      <c r="A98" s="3">
        <v>8220</v>
      </c>
      <c r="B98" s="18" t="s">
        <v>341</v>
      </c>
      <c r="C98" s="7" t="s">
        <v>237</v>
      </c>
      <c r="D98" s="3">
        <f>VLOOKUP(C98,定义数据!$B$2:$C$7,2,0)</f>
        <v>2</v>
      </c>
      <c r="E98" s="7" t="s">
        <v>225</v>
      </c>
      <c r="F98" s="3">
        <v>0.4</v>
      </c>
      <c r="G98" s="3"/>
      <c r="H98" s="3"/>
      <c r="I98" s="3"/>
      <c r="J98" s="3"/>
      <c r="K98" s="3">
        <f t="shared" si="45"/>
        <v>1</v>
      </c>
      <c r="L98" s="3">
        <f>SUMIF(定义数据!$C$14:$C$29,E98,定义数据!$B$14:$B$29)</f>
        <v>2</v>
      </c>
      <c r="M98" s="3">
        <f>IF(E98="","",ROUND(VLOOKUP($D98,命格辅助表!$A$34:$Q$38,SUMIF(定义数据!$C$14:$C$29,E98,定义数据!$A$14:$A$29)+4,0)*F98,0))</f>
        <v>137</v>
      </c>
      <c r="N98" s="3">
        <f>SUMIF(定义数据!$C$14:$C$29,G98,定义数据!$B$14:$B$29)</f>
        <v>0</v>
      </c>
      <c r="O98" s="3" t="str">
        <f>IF(G98="","",INT(VLOOKUP($D98,命格辅助表!$A$34:$Q$38,SUMIF(定义数据!$C$14:$C$29,G98,定义数据!$A$14:$A$29)+4,0)*H98))</f>
        <v/>
      </c>
      <c r="P98" s="3">
        <f>SUMIF(定义数据!$C$14:$C$29,I98,定义数据!$B$14:$B$29)</f>
        <v>0</v>
      </c>
      <c r="Q98" s="3" t="str">
        <f>IF(I98="","",INT(VLOOKUP($D98,命格辅助表!$A$34:$Q$38,SUMIF(定义数据!$C$14:$C$29,I98,定义数据!$A$14:$A$29)+4,0)*J98))</f>
        <v/>
      </c>
      <c r="R98" s="25">
        <f>IF(L98=0,0,INDEX(定义数据!$G$14:$S$14,1,SUMIF(定义数据!$B$14:$B$29,$L98,定义数据!$A$14:$A$29))*M98)+IF(N98=0,0,INDEX(定义数据!$G$14:$S$14,1,SUMIF(定义数据!$B$14:$B$29,$N98,定义数据!$A$14:$A$29))*$O98)+IF(P98=0,0,INDEX(定义数据!$G$14:$S$14,1,SUMIF(定义数据!$B$14:$B$29,$P98,定义数据!$A$14:$A$29))*$Q98)</f>
        <v>137</v>
      </c>
      <c r="S98" s="3">
        <f>SUMIF(定义数据!$C$14:$C$29,E98,定义数据!$B$14:$B$29)</f>
        <v>2</v>
      </c>
      <c r="T98" s="3">
        <f>IF(E98="","",ROUND(VLOOKUP($D98,命格辅助表!$A$42:$Q$46,SUMIF(定义数据!$C$14:$C$29,E98,定义数据!$A$14:$A$29)+4,0)*F98,0))</f>
        <v>137</v>
      </c>
      <c r="U98" s="3">
        <f>SUMIF(定义数据!$C$14:$C$29,G98,定义数据!$B$14:$B$29)</f>
        <v>0</v>
      </c>
      <c r="V98" s="3" t="str">
        <f>IF(G98="","",INT(VLOOKUP($D98,命格辅助表!$A$42:$Q$46,SUMIF(定义数据!$C$14:$C$29,G98,定义数据!$A$14:$A$29)+4,0)*H98))</f>
        <v/>
      </c>
      <c r="W98" s="3">
        <f>SUMIF(定义数据!$C$14:$C$29,I98,定义数据!$B$14:$B$29)</f>
        <v>0</v>
      </c>
      <c r="X98" s="3" t="str">
        <f>IF(I98="","",INT(VLOOKUP($D98,命格辅助表!$A$42:$Q$46,SUMIF(定义数据!$C$14:$C$29,I98,定义数据!$A$14:$A$29)+4,0)*J98))</f>
        <v/>
      </c>
      <c r="Y98" s="7">
        <v>8220</v>
      </c>
      <c r="Z98" s="3">
        <v>2</v>
      </c>
      <c r="AA98" s="3">
        <f>1/SUMIF(猎命辅助表!$A$20:$A$25,D98,猎命辅助表!$D$20:$D$25)</f>
        <v>10.701682953311618</v>
      </c>
      <c r="AB98">
        <f>INDEX(猎命辅助表!$C$92:$G$92,D98)</f>
        <v>25</v>
      </c>
    </row>
    <row r="99" spans="1:28">
      <c r="A99" s="3">
        <v>8320</v>
      </c>
      <c r="B99" s="18" t="s">
        <v>208</v>
      </c>
      <c r="C99" s="7" t="s">
        <v>237</v>
      </c>
      <c r="D99" s="3">
        <f>VLOOKUP(C99,定义数据!$B$2:$C$7,2,0)</f>
        <v>2</v>
      </c>
      <c r="E99" s="7" t="s">
        <v>226</v>
      </c>
      <c r="F99" s="3">
        <v>1</v>
      </c>
      <c r="G99" s="3"/>
      <c r="H99" s="3"/>
      <c r="I99" s="3"/>
      <c r="J99" s="3"/>
      <c r="K99" s="3">
        <f t="shared" si="45"/>
        <v>1</v>
      </c>
      <c r="L99" s="3">
        <f>SUMIF(定义数据!$C$14:$C$29,E99,定义数据!$B$14:$B$29)</f>
        <v>3</v>
      </c>
      <c r="M99" s="3">
        <f>IF(E99="","",ROUND(VLOOKUP($D99,命格辅助表!$A$34:$Q$38,SUMIF(定义数据!$C$14:$C$29,E99,定义数据!$A$14:$A$29)+4,0)*F99,0))</f>
        <v>137</v>
      </c>
      <c r="N99" s="3">
        <f>SUMIF(定义数据!$C$14:$C$29,G99,定义数据!$B$14:$B$29)</f>
        <v>0</v>
      </c>
      <c r="O99" s="3" t="str">
        <f>IF(G99="","",INT(VLOOKUP($D99,命格辅助表!$A$34:$Q$38,SUMIF(定义数据!$C$14:$C$29,G99,定义数据!$A$14:$A$29)+4,0)*H99))</f>
        <v/>
      </c>
      <c r="P99" s="3">
        <f>SUMIF(定义数据!$C$14:$C$29,I99,定义数据!$B$14:$B$29)</f>
        <v>0</v>
      </c>
      <c r="Q99" s="3" t="str">
        <f>IF(I99="","",INT(VLOOKUP($D99,命格辅助表!$A$34:$Q$38,SUMIF(定义数据!$C$14:$C$29,I99,定义数据!$A$14:$A$29)+4,0)*J99))</f>
        <v/>
      </c>
      <c r="R99" s="25">
        <f>IF(L99=0,0,INDEX(定义数据!$G$14:$S$14,1,SUMIF(定义数据!$B$14:$B$29,$L99,定义数据!$A$14:$A$29))*M99)+IF(N99=0,0,INDEX(定义数据!$G$14:$S$14,1,SUMIF(定义数据!$B$14:$B$29,$N99,定义数据!$A$14:$A$29))*$O99)+IF(P99=0,0,INDEX(定义数据!$G$14:$S$14,1,SUMIF(定义数据!$B$14:$B$29,$P99,定义数据!$A$14:$A$29))*$Q99)</f>
        <v>137</v>
      </c>
      <c r="S99" s="3">
        <f>SUMIF(定义数据!$C$14:$C$29,E99,定义数据!$B$14:$B$29)</f>
        <v>3</v>
      </c>
      <c r="T99" s="3">
        <f>IF(E99="","",ROUND(VLOOKUP($D99,命格辅助表!$A$42:$Q$46,SUMIF(定义数据!$C$14:$C$29,E99,定义数据!$A$14:$A$29)+4,0)*F99,0))</f>
        <v>137</v>
      </c>
      <c r="U99" s="3">
        <f>SUMIF(定义数据!$C$14:$C$29,G99,定义数据!$B$14:$B$29)</f>
        <v>0</v>
      </c>
      <c r="V99" s="3" t="str">
        <f>IF(G99="","",INT(VLOOKUP($D99,命格辅助表!$A$42:$Q$46,SUMIF(定义数据!$C$14:$C$29,G99,定义数据!$A$14:$A$29)+4,0)*H99))</f>
        <v/>
      </c>
      <c r="W99" s="3">
        <f>SUMIF(定义数据!$C$14:$C$29,I99,定义数据!$B$14:$B$29)</f>
        <v>0</v>
      </c>
      <c r="X99" s="3" t="str">
        <f>IF(I99="","",INT(VLOOKUP($D99,命格辅助表!$A$42:$Q$46,SUMIF(定义数据!$C$14:$C$29,I99,定义数据!$A$14:$A$29)+4,0)*J99))</f>
        <v/>
      </c>
      <c r="Y99" s="7">
        <v>8320</v>
      </c>
      <c r="Z99" s="3">
        <v>3</v>
      </c>
      <c r="AA99" s="3">
        <f>1/SUMIF(猎命辅助表!$A$20:$A$25,D99,猎命辅助表!$D$20:$D$25)</f>
        <v>10.701682953311618</v>
      </c>
      <c r="AB99">
        <f>INDEX(猎命辅助表!$C$92:$G$92,D99)</f>
        <v>25</v>
      </c>
    </row>
    <row r="100" spans="1:28">
      <c r="A100" s="3">
        <v>8420</v>
      </c>
      <c r="B100" s="18" t="s">
        <v>342</v>
      </c>
      <c r="C100" s="7" t="s">
        <v>237</v>
      </c>
      <c r="D100" s="3">
        <f>VLOOKUP(C100,定义数据!$B$2:$C$7,2,0)</f>
        <v>2</v>
      </c>
      <c r="E100" s="7" t="s">
        <v>111</v>
      </c>
      <c r="F100" s="3">
        <v>1</v>
      </c>
      <c r="G100" s="3"/>
      <c r="H100" s="3"/>
      <c r="I100" s="3"/>
      <c r="J100" s="3"/>
      <c r="K100" s="3">
        <f t="shared" si="45"/>
        <v>1</v>
      </c>
      <c r="L100" s="3">
        <f>SUMIF(定义数据!$C$14:$C$29,E100,定义数据!$B$14:$B$29)</f>
        <v>6</v>
      </c>
      <c r="M100" s="3">
        <f>IF(E100="","",ROUND(VLOOKUP($D100,命格辅助表!$A$34:$Q$38,SUMIF(定义数据!$C$14:$C$29,E100,定义数据!$A$14:$A$29)+4,0)*F100,0))</f>
        <v>403</v>
      </c>
      <c r="N100" s="3">
        <f>SUMIF(定义数据!$C$14:$C$29,G100,定义数据!$B$14:$B$29)</f>
        <v>0</v>
      </c>
      <c r="O100" s="3" t="str">
        <f>IF(G100="","",INT(VLOOKUP($D100,命格辅助表!$A$34:$Q$38,SUMIF(定义数据!$C$14:$C$29,G100,定义数据!$A$14:$A$29)+4,0)*H100))</f>
        <v/>
      </c>
      <c r="P100" s="3">
        <f>SUMIF(定义数据!$C$14:$C$29,I100,定义数据!$B$14:$B$29)</f>
        <v>0</v>
      </c>
      <c r="Q100" s="3" t="str">
        <f>IF(I100="","",INT(VLOOKUP($D100,命格辅助表!$A$34:$Q$38,SUMIF(定义数据!$C$14:$C$29,I100,定义数据!$A$14:$A$29)+4,0)*J100))</f>
        <v/>
      </c>
      <c r="R100" s="25">
        <f>IF(L100=0,0,INDEX(定义数据!$G$14:$S$14,1,SUMIF(定义数据!$B$14:$B$29,$L100,定义数据!$A$14:$A$29))*M100)+IF(N100=0,0,INDEX(定义数据!$G$14:$S$14,1,SUMIF(定义数据!$B$14:$B$29,$N100,定义数据!$A$14:$A$29))*$O100)+IF(P100=0,0,INDEX(定义数据!$G$14:$S$14,1,SUMIF(定义数据!$B$14:$B$29,$P100,定义数据!$A$14:$A$29))*$Q100)</f>
        <v>137.02000000000001</v>
      </c>
      <c r="S100" s="3">
        <f>SUMIF(定义数据!$C$14:$C$29,E100,定义数据!$B$14:$B$29)</f>
        <v>6</v>
      </c>
      <c r="T100" s="3">
        <f>IF(E100="","",ROUND(VLOOKUP($D100,命格辅助表!$A$42:$Q$46,SUMIF(定义数据!$C$14:$C$29,E100,定义数据!$A$14:$A$29)+4,0)*F100,0))</f>
        <v>403</v>
      </c>
      <c r="U100" s="3">
        <f>SUMIF(定义数据!$C$14:$C$29,G100,定义数据!$B$14:$B$29)</f>
        <v>0</v>
      </c>
      <c r="V100" s="3" t="str">
        <f>IF(G100="","",INT(VLOOKUP($D100,命格辅助表!$A$42:$Q$46,SUMIF(定义数据!$C$14:$C$29,G100,定义数据!$A$14:$A$29)+4,0)*H100))</f>
        <v/>
      </c>
      <c r="W100" s="3">
        <f>SUMIF(定义数据!$C$14:$C$29,I100,定义数据!$B$14:$B$29)</f>
        <v>0</v>
      </c>
      <c r="X100" s="3" t="str">
        <f>IF(I100="","",INT(VLOOKUP($D100,命格辅助表!$A$42:$Q$46,SUMIF(定义数据!$C$14:$C$29,I100,定义数据!$A$14:$A$29)+4,0)*J100))</f>
        <v/>
      </c>
      <c r="Y100" s="7">
        <v>8420</v>
      </c>
      <c r="Z100" s="3">
        <v>4</v>
      </c>
      <c r="AA100" s="3">
        <f>1/SUMIF(猎命辅助表!$A$20:$A$25,D100,猎命辅助表!$D$20:$D$25)</f>
        <v>10.701682953311618</v>
      </c>
      <c r="AB100">
        <f>INDEX(猎命辅助表!$C$92:$G$92,D100)</f>
        <v>25</v>
      </c>
    </row>
    <row r="101" spans="1:28">
      <c r="A101" s="3">
        <v>8520</v>
      </c>
      <c r="B101" s="18" t="s">
        <v>343</v>
      </c>
      <c r="C101" s="7" t="s">
        <v>237</v>
      </c>
      <c r="D101" s="3">
        <f>VLOOKUP(C101,定义数据!$B$2:$C$7,2,0)</f>
        <v>2</v>
      </c>
      <c r="E101" s="7" t="s">
        <v>227</v>
      </c>
      <c r="F101" s="3">
        <v>1</v>
      </c>
      <c r="G101" s="3"/>
      <c r="H101" s="3"/>
      <c r="I101" s="3"/>
      <c r="J101" s="3"/>
      <c r="K101" s="3">
        <f t="shared" si="45"/>
        <v>1</v>
      </c>
      <c r="L101" s="3">
        <f>SUMIF(定义数据!$C$14:$C$29,E101,定义数据!$B$14:$B$29)</f>
        <v>7</v>
      </c>
      <c r="M101" s="3">
        <f>IF(E101="","",ROUND(VLOOKUP($D101,命格辅助表!$A$34:$Q$38,SUMIF(定义数据!$C$14:$C$29,E101,定义数据!$A$14:$A$29)+4,0)*F101,0))</f>
        <v>403</v>
      </c>
      <c r="N101" s="3">
        <f>SUMIF(定义数据!$C$14:$C$29,G101,定义数据!$B$14:$B$29)</f>
        <v>0</v>
      </c>
      <c r="O101" s="3" t="str">
        <f>IF(G101="","",INT(VLOOKUP($D101,命格辅助表!$A$34:$Q$38,SUMIF(定义数据!$C$14:$C$29,G101,定义数据!$A$14:$A$29)+4,0)*H101))</f>
        <v/>
      </c>
      <c r="P101" s="3">
        <f>SUMIF(定义数据!$C$14:$C$29,I101,定义数据!$B$14:$B$29)</f>
        <v>0</v>
      </c>
      <c r="Q101" s="3" t="str">
        <f>IF(I101="","",INT(VLOOKUP($D101,命格辅助表!$A$34:$Q$38,SUMIF(定义数据!$C$14:$C$29,I101,定义数据!$A$14:$A$29)+4,0)*J101))</f>
        <v/>
      </c>
      <c r="R101" s="25">
        <f>IF(L101=0,0,INDEX(定义数据!$G$14:$S$14,1,SUMIF(定义数据!$B$14:$B$29,$L101,定义数据!$A$14:$A$29))*M101)+IF(N101=0,0,INDEX(定义数据!$G$14:$S$14,1,SUMIF(定义数据!$B$14:$B$29,$N101,定义数据!$A$14:$A$29))*$O101)+IF(P101=0,0,INDEX(定义数据!$G$14:$S$14,1,SUMIF(定义数据!$B$14:$B$29,$P101,定义数据!$A$14:$A$29))*$Q101)</f>
        <v>137.02000000000001</v>
      </c>
      <c r="S101" s="3">
        <f>SUMIF(定义数据!$C$14:$C$29,E101,定义数据!$B$14:$B$29)</f>
        <v>7</v>
      </c>
      <c r="T101" s="3">
        <f>IF(E101="","",ROUND(VLOOKUP($D101,命格辅助表!$A$42:$Q$46,SUMIF(定义数据!$C$14:$C$29,E101,定义数据!$A$14:$A$29)+4,0)*F101,0))</f>
        <v>403</v>
      </c>
      <c r="U101" s="3">
        <f>SUMIF(定义数据!$C$14:$C$29,G101,定义数据!$B$14:$B$29)</f>
        <v>0</v>
      </c>
      <c r="V101" s="3" t="str">
        <f>IF(G101="","",INT(VLOOKUP($D101,命格辅助表!$A$42:$Q$46,SUMIF(定义数据!$C$14:$C$29,G101,定义数据!$A$14:$A$29)+4,0)*H101))</f>
        <v/>
      </c>
      <c r="W101" s="3">
        <f>SUMIF(定义数据!$C$14:$C$29,I101,定义数据!$B$14:$B$29)</f>
        <v>0</v>
      </c>
      <c r="X101" s="3" t="str">
        <f>IF(I101="","",INT(VLOOKUP($D101,命格辅助表!$A$42:$Q$46,SUMIF(定义数据!$C$14:$C$29,I101,定义数据!$A$14:$A$29)+4,0)*J101))</f>
        <v/>
      </c>
      <c r="Y101" s="7">
        <v>8120</v>
      </c>
      <c r="Z101" s="3">
        <v>5</v>
      </c>
      <c r="AA101" s="3">
        <f>1/SUMIF(猎命辅助表!$A$20:$A$25,D101,猎命辅助表!$D$20:$D$25)</f>
        <v>10.701682953311618</v>
      </c>
      <c r="AB101">
        <f>INDEX(猎命辅助表!$C$92:$G$92,D101)</f>
        <v>25</v>
      </c>
    </row>
    <row r="102" spans="1:28">
      <c r="A102" s="3">
        <v>8620</v>
      </c>
      <c r="B102" s="18" t="s">
        <v>344</v>
      </c>
      <c r="C102" s="7" t="s">
        <v>237</v>
      </c>
      <c r="D102" s="3">
        <f>VLOOKUP(C102,定义数据!$B$2:$C$7,2,0)</f>
        <v>2</v>
      </c>
      <c r="E102" s="7" t="s">
        <v>228</v>
      </c>
      <c r="F102" s="3">
        <v>1</v>
      </c>
      <c r="G102" s="3"/>
      <c r="H102" s="3"/>
      <c r="I102" s="3"/>
      <c r="J102" s="3"/>
      <c r="K102" s="3">
        <f t="shared" si="45"/>
        <v>1</v>
      </c>
      <c r="L102" s="3">
        <f>SUMIF(定义数据!$C$14:$C$29,E102,定义数据!$B$14:$B$29)</f>
        <v>9</v>
      </c>
      <c r="M102" s="3">
        <f>IF(E102="","",ROUND(VLOOKUP($D102,命格辅助表!$A$34:$Q$38,SUMIF(定义数据!$C$14:$C$29,E102,定义数据!$A$14:$A$29)+4,0)*F102,0))</f>
        <v>762</v>
      </c>
      <c r="N102" s="3">
        <f>SUMIF(定义数据!$C$14:$C$29,G102,定义数据!$B$14:$B$29)</f>
        <v>0</v>
      </c>
      <c r="O102" s="3" t="str">
        <f>IF(G102="","",INT(VLOOKUP($D102,命格辅助表!$A$34:$Q$38,SUMIF(定义数据!$C$14:$C$29,G102,定义数据!$A$14:$A$29)+4,0)*H102))</f>
        <v/>
      </c>
      <c r="P102" s="3">
        <f>SUMIF(定义数据!$C$14:$C$29,I102,定义数据!$B$14:$B$29)</f>
        <v>0</v>
      </c>
      <c r="Q102" s="3" t="str">
        <f>IF(I102="","",INT(VLOOKUP($D102,命格辅助表!$A$34:$Q$38,SUMIF(定义数据!$C$14:$C$29,I102,定义数据!$A$14:$A$29)+4,0)*J102))</f>
        <v/>
      </c>
      <c r="R102" s="25">
        <f>IF(L102=0,0,INDEX(定义数据!$G$14:$S$14,1,SUMIF(定义数据!$B$14:$B$29,$L102,定义数据!$A$14:$A$29))*M102)+IF(N102=0,0,INDEX(定义数据!$G$14:$S$14,1,SUMIF(定义数据!$B$14:$B$29,$N102,定义数据!$A$14:$A$29))*$O102)+IF(P102=0,0,INDEX(定义数据!$G$14:$S$14,1,SUMIF(定义数据!$B$14:$B$29,$P102,定义数据!$A$14:$A$29))*$Q102)</f>
        <v>137.16</v>
      </c>
      <c r="S102" s="3">
        <f>SUMIF(定义数据!$C$14:$C$29,E102,定义数据!$B$14:$B$29)</f>
        <v>9</v>
      </c>
      <c r="T102" s="3">
        <f>IF(E102="","",ROUND(VLOOKUP($D102,命格辅助表!$A$42:$Q$46,SUMIF(定义数据!$C$14:$C$29,E102,定义数据!$A$14:$A$29)+4,0)*F102,0))</f>
        <v>762</v>
      </c>
      <c r="U102" s="3">
        <f>SUMIF(定义数据!$C$14:$C$29,G102,定义数据!$B$14:$B$29)</f>
        <v>0</v>
      </c>
      <c r="V102" s="3" t="str">
        <f>IF(G102="","",INT(VLOOKUP($D102,命格辅助表!$A$42:$Q$46,SUMIF(定义数据!$C$14:$C$29,G102,定义数据!$A$14:$A$29)+4,0)*H102))</f>
        <v/>
      </c>
      <c r="W102" s="3">
        <f>SUMIF(定义数据!$C$14:$C$29,I102,定义数据!$B$14:$B$29)</f>
        <v>0</v>
      </c>
      <c r="X102" s="3" t="str">
        <f>IF(I102="","",INT(VLOOKUP($D102,命格辅助表!$A$42:$Q$46,SUMIF(定义数据!$C$14:$C$29,I102,定义数据!$A$14:$A$29)+4,0)*J102))</f>
        <v/>
      </c>
      <c r="Y102" s="7">
        <v>8220</v>
      </c>
      <c r="Z102" s="3">
        <v>6</v>
      </c>
      <c r="AA102" s="3">
        <f>1/SUMIF(猎命辅助表!$A$20:$A$25,D102,猎命辅助表!$D$20:$D$25)</f>
        <v>10.701682953311618</v>
      </c>
      <c r="AB102">
        <f>INDEX(猎命辅助表!$C$92:$G$92,D102)</f>
        <v>25</v>
      </c>
    </row>
    <row r="103" spans="1:28">
      <c r="A103" s="3">
        <v>8720</v>
      </c>
      <c r="B103" s="18" t="s">
        <v>345</v>
      </c>
      <c r="C103" s="7" t="s">
        <v>237</v>
      </c>
      <c r="D103" s="3">
        <f>VLOOKUP(C103,定义数据!$B$2:$C$7,2,0)</f>
        <v>2</v>
      </c>
      <c r="E103" s="7" t="s">
        <v>229</v>
      </c>
      <c r="F103" s="3">
        <v>1</v>
      </c>
      <c r="G103" s="3"/>
      <c r="H103" s="3"/>
      <c r="I103" s="3"/>
      <c r="J103" s="3"/>
      <c r="K103" s="3">
        <f t="shared" si="45"/>
        <v>1</v>
      </c>
      <c r="L103" s="3">
        <f>SUMIF(定义数据!$C$14:$C$29,E103,定义数据!$B$14:$B$29)</f>
        <v>8</v>
      </c>
      <c r="M103" s="3">
        <f>IF(E103="","",ROUND(VLOOKUP($D103,命格辅助表!$A$34:$Q$38,SUMIF(定义数据!$C$14:$C$29,E103,定义数据!$A$14:$A$29)+4,0)*F103,0))</f>
        <v>762</v>
      </c>
      <c r="N103" s="3">
        <f>SUMIF(定义数据!$C$14:$C$29,G103,定义数据!$B$14:$B$29)</f>
        <v>0</v>
      </c>
      <c r="O103" s="3" t="str">
        <f>IF(G103="","",INT(VLOOKUP($D103,命格辅助表!$A$34:$Q$38,SUMIF(定义数据!$C$14:$C$29,G103,定义数据!$A$14:$A$29)+4,0)*H103))</f>
        <v/>
      </c>
      <c r="P103" s="3">
        <f>SUMIF(定义数据!$C$14:$C$29,I103,定义数据!$B$14:$B$29)</f>
        <v>0</v>
      </c>
      <c r="Q103" s="3" t="str">
        <f>IF(I103="","",INT(VLOOKUP($D103,命格辅助表!$A$34:$Q$38,SUMIF(定义数据!$C$14:$C$29,I103,定义数据!$A$14:$A$29)+4,0)*J103))</f>
        <v/>
      </c>
      <c r="R103" s="25">
        <f>IF(L103=0,0,INDEX(定义数据!$G$14:$S$14,1,SUMIF(定义数据!$B$14:$B$29,$L103,定义数据!$A$14:$A$29))*M103)+IF(N103=0,0,INDEX(定义数据!$G$14:$S$14,1,SUMIF(定义数据!$B$14:$B$29,$N103,定义数据!$A$14:$A$29))*$O103)+IF(P103=0,0,INDEX(定义数据!$G$14:$S$14,1,SUMIF(定义数据!$B$14:$B$29,$P103,定义数据!$A$14:$A$29))*$Q103)</f>
        <v>137.16</v>
      </c>
      <c r="S103" s="3">
        <f>SUMIF(定义数据!$C$14:$C$29,E103,定义数据!$B$14:$B$29)</f>
        <v>8</v>
      </c>
      <c r="T103" s="3">
        <f>IF(E103="","",ROUND(VLOOKUP($D103,命格辅助表!$A$42:$Q$46,SUMIF(定义数据!$C$14:$C$29,E103,定义数据!$A$14:$A$29)+4,0)*F103,0))</f>
        <v>762</v>
      </c>
      <c r="U103" s="3">
        <f>SUMIF(定义数据!$C$14:$C$29,G103,定义数据!$B$14:$B$29)</f>
        <v>0</v>
      </c>
      <c r="V103" s="3" t="str">
        <f>IF(G103="","",INT(VLOOKUP($D103,命格辅助表!$A$42:$Q$46,SUMIF(定义数据!$C$14:$C$29,G103,定义数据!$A$14:$A$29)+4,0)*H103))</f>
        <v/>
      </c>
      <c r="W103" s="3">
        <f>SUMIF(定义数据!$C$14:$C$29,I103,定义数据!$B$14:$B$29)</f>
        <v>0</v>
      </c>
      <c r="X103" s="3" t="str">
        <f>IF(I103="","",INT(VLOOKUP($D103,命格辅助表!$A$42:$Q$46,SUMIF(定义数据!$C$14:$C$29,I103,定义数据!$A$14:$A$29)+4,0)*J103))</f>
        <v/>
      </c>
      <c r="Y103" s="7">
        <v>8320</v>
      </c>
      <c r="Z103" s="3">
        <v>7</v>
      </c>
      <c r="AA103" s="3">
        <f>1/SUMIF(猎命辅助表!$A$20:$A$25,D103,猎命辅助表!$D$20:$D$25)</f>
        <v>10.701682953311618</v>
      </c>
      <c r="AB103">
        <f>INDEX(猎命辅助表!$C$92:$G$92,D103)</f>
        <v>25</v>
      </c>
    </row>
    <row r="104" spans="1:28">
      <c r="A104" s="3">
        <v>8820</v>
      </c>
      <c r="B104" s="18" t="s">
        <v>346</v>
      </c>
      <c r="C104" s="7" t="s">
        <v>237</v>
      </c>
      <c r="D104" s="3">
        <f>VLOOKUP(C104,定义数据!$B$2:$C$7,2,0)</f>
        <v>2</v>
      </c>
      <c r="E104" s="7" t="s">
        <v>293</v>
      </c>
      <c r="F104" s="3">
        <v>1</v>
      </c>
      <c r="G104" s="3" t="s">
        <v>225</v>
      </c>
      <c r="H104" s="3">
        <v>0.2</v>
      </c>
      <c r="I104" s="3"/>
      <c r="J104" s="3"/>
      <c r="K104" s="3">
        <f t="shared" si="45"/>
        <v>2</v>
      </c>
      <c r="L104" s="3">
        <f>SUMIF(定义数据!$C$14:$C$29,E104,定义数据!$B$14:$B$29)</f>
        <v>10</v>
      </c>
      <c r="M104" s="3">
        <f>IF(E104="","",ROUND(VLOOKUP($D104,命格辅助表!$A$34:$Q$38,SUMIF(定义数据!$C$14:$C$29,E104,定义数据!$A$14:$A$29)+4,0)*F104,0))</f>
        <v>514</v>
      </c>
      <c r="N104" s="3">
        <f>SUMIF(定义数据!$C$14:$C$29,G104,定义数据!$B$14:$B$29)</f>
        <v>2</v>
      </c>
      <c r="O104" s="3">
        <f>IF(G104="","",INT(VLOOKUP($D104,命格辅助表!$A$34:$Q$38,SUMIF(定义数据!$C$14:$C$29,G104,定义数据!$A$14:$A$29)+4,0)*H104))</f>
        <v>68</v>
      </c>
      <c r="P104" s="3">
        <f>SUMIF(定义数据!$C$14:$C$29,I104,定义数据!$B$14:$B$29)</f>
        <v>0</v>
      </c>
      <c r="Q104" s="3" t="str">
        <f>IF(I104="","",INT(VLOOKUP($D104,命格辅助表!$A$34:$Q$38,SUMIF(定义数据!$C$14:$C$29,I104,定义数据!$A$14:$A$29)+4,0)*J104))</f>
        <v/>
      </c>
      <c r="R104" s="25">
        <f>IF(L104=0,0,INDEX(定义数据!$G$14:$S$14,1,SUMIF(定义数据!$B$14:$B$29,$L104,定义数据!$A$14:$A$29))*M104)+IF(N104=0,0,INDEX(定义数据!$G$14:$S$14,1,SUMIF(定义数据!$B$14:$B$29,$N104,定义数据!$A$14:$A$29))*$O104)+IF(P104=0,0,INDEX(定义数据!$G$14:$S$14,1,SUMIF(定义数据!$B$14:$B$29,$P104,定义数据!$A$14:$A$29))*$Q104)</f>
        <v>129.68</v>
      </c>
      <c r="S104" s="3">
        <f>SUMIF(定义数据!$C$14:$C$29,E104,定义数据!$B$14:$B$29)</f>
        <v>10</v>
      </c>
      <c r="T104" s="55">
        <f>IF(E104="","",ROUND(VLOOKUP($D104,命格辅助表!$A$42:$Q$46,SUMIF(定义数据!$C$14:$C$29,E104,定义数据!$A$14:$A$29)+4,0)*F104,0))</f>
        <v>514</v>
      </c>
      <c r="U104" s="3">
        <f>SUMIF(定义数据!$C$14:$C$29,G104,定义数据!$B$14:$B$29)</f>
        <v>2</v>
      </c>
      <c r="V104" s="3">
        <f>IF(G104="","",INT(VLOOKUP($D104,命格辅助表!$A$42:$Q$46,SUMIF(定义数据!$C$14:$C$29,G104,定义数据!$A$14:$A$29)+4,0)*H104))</f>
        <v>68</v>
      </c>
      <c r="W104" s="3">
        <f>SUMIF(定义数据!$C$14:$C$29,I104,定义数据!$B$14:$B$29)</f>
        <v>0</v>
      </c>
      <c r="X104" s="3" t="str">
        <f>IF(I104="","",INT(VLOOKUP($D104,命格辅助表!$A$42:$Q$46,SUMIF(定义数据!$C$14:$C$29,I104,定义数据!$A$14:$A$29)+4,0)*J104))</f>
        <v/>
      </c>
      <c r="Y104" s="7">
        <v>8420</v>
      </c>
      <c r="Z104" s="3">
        <v>8</v>
      </c>
      <c r="AA104" s="3">
        <f>1/SUMIF(猎命辅助表!$A$20:$A$25,D104,猎命辅助表!$D$20:$D$25)</f>
        <v>10.701682953311618</v>
      </c>
      <c r="AB104">
        <f>INDEX(猎命辅助表!$C$92:$G$92,D104)</f>
        <v>25</v>
      </c>
    </row>
    <row r="105" spans="1:28">
      <c r="A105" s="3">
        <v>8130</v>
      </c>
      <c r="B105" s="19" t="s">
        <v>394</v>
      </c>
      <c r="C105" s="7" t="s">
        <v>192</v>
      </c>
      <c r="D105" s="3">
        <f>VLOOKUP(C105,定义数据!$B$2:$C$7,2,0)</f>
        <v>3</v>
      </c>
      <c r="E105" s="7" t="s">
        <v>109</v>
      </c>
      <c r="F105" s="3">
        <v>0.4</v>
      </c>
      <c r="G105" s="3"/>
      <c r="H105" s="3"/>
      <c r="I105" s="3"/>
      <c r="J105" s="3"/>
      <c r="K105" s="3">
        <f t="shared" si="45"/>
        <v>1</v>
      </c>
      <c r="L105" s="3">
        <f>SUMIF(定义数据!$C$14:$C$29,E105,定义数据!$B$14:$B$29)</f>
        <v>1</v>
      </c>
      <c r="M105" s="3">
        <f>IF(E105="","",ROUND(VLOOKUP($D105,命格辅助表!$A$34:$Q$38,SUMIF(定义数据!$C$14:$C$29,E105,定义数据!$A$14:$A$29)+4,0)*F105,0))</f>
        <v>6173</v>
      </c>
      <c r="N105" s="3">
        <f>SUMIF(定义数据!$C$14:$C$29,G105,定义数据!$B$14:$B$29)</f>
        <v>0</v>
      </c>
      <c r="O105" s="3" t="str">
        <f>IF(G105="","",INT(VLOOKUP($D105,命格辅助表!$A$34:$Q$38,SUMIF(定义数据!$C$14:$C$29,G105,定义数据!$A$14:$A$29)+4,0)*H105))</f>
        <v/>
      </c>
      <c r="P105" s="3">
        <f>SUMIF(定义数据!$C$14:$C$29,I105,定义数据!$B$14:$B$29)</f>
        <v>0</v>
      </c>
      <c r="Q105" s="3" t="str">
        <f>IF(I105="","",INT(VLOOKUP($D105,命格辅助表!$A$34:$Q$38,SUMIF(定义数据!$C$14:$C$29,I105,定义数据!$A$14:$A$29)+4,0)*J105))</f>
        <v/>
      </c>
      <c r="R105" s="25">
        <f>IF(L105=0,0,INDEX(定义数据!$G$14:$S$14,1,SUMIF(定义数据!$B$14:$B$29,$L105,定义数据!$A$14:$A$29))*M105)+IF(N105=0,0,INDEX(定义数据!$G$14:$S$14,1,SUMIF(定义数据!$B$14:$B$29,$N105,定义数据!$A$14:$A$29))*$O105)+IF(P105=0,0,INDEX(定义数据!$G$14:$S$14,1,SUMIF(定义数据!$B$14:$B$29,$P105,定义数据!$A$14:$A$29))*$Q105)</f>
        <v>246.92000000000002</v>
      </c>
      <c r="S105" s="3">
        <f>SUMIF(定义数据!$C$14:$C$29,E105,定义数据!$B$14:$B$29)</f>
        <v>1</v>
      </c>
      <c r="T105" s="3">
        <f>IF(E105="","",ROUND(VLOOKUP($D105,命格辅助表!$A$42:$Q$46,SUMIF(定义数据!$C$14:$C$29,E105,定义数据!$A$14:$A$29)+4,0)*F105,0))</f>
        <v>6173</v>
      </c>
      <c r="U105" s="3">
        <f>SUMIF(定义数据!$C$14:$C$29,G105,定义数据!$B$14:$B$29)</f>
        <v>0</v>
      </c>
      <c r="V105" s="3" t="str">
        <f>IF(G105="","",INT(VLOOKUP($D105,命格辅助表!$A$42:$Q$46,SUMIF(定义数据!$C$14:$C$29,G105,定义数据!$A$14:$A$29)+4,0)*H105))</f>
        <v/>
      </c>
      <c r="W105" s="3">
        <f>SUMIF(定义数据!$C$14:$C$29,I105,定义数据!$B$14:$B$29)</f>
        <v>0</v>
      </c>
      <c r="X105" s="3" t="str">
        <f>IF(I105="","",INT(VLOOKUP($D105,命格辅助表!$A$42:$Q$46,SUMIF(定义数据!$C$14:$C$29,I105,定义数据!$A$14:$A$29)+4,0)*J105))</f>
        <v/>
      </c>
      <c r="Y105" s="7">
        <v>8130</v>
      </c>
      <c r="Z105" s="3">
        <v>1</v>
      </c>
      <c r="AA105" s="3">
        <f>1/SUMIF(猎命辅助表!$A$20:$A$25,D105,猎命辅助表!$D$20:$D$25)</f>
        <v>79.79154017405385</v>
      </c>
      <c r="AB105">
        <f>INDEX(猎命辅助表!$C$92:$G$92,D105)</f>
        <v>200</v>
      </c>
    </row>
    <row r="106" spans="1:28">
      <c r="A106" s="3">
        <v>8230</v>
      </c>
      <c r="B106" s="20" t="s">
        <v>200</v>
      </c>
      <c r="C106" s="7" t="s">
        <v>192</v>
      </c>
      <c r="D106" s="3">
        <f>VLOOKUP(C106,定义数据!$B$2:$C$7,2,0)</f>
        <v>3</v>
      </c>
      <c r="E106" s="7" t="s">
        <v>225</v>
      </c>
      <c r="F106" s="3">
        <v>0.4</v>
      </c>
      <c r="G106" s="3"/>
      <c r="H106" s="3"/>
      <c r="I106" s="3"/>
      <c r="J106" s="3"/>
      <c r="K106" s="3">
        <f t="shared" si="45"/>
        <v>1</v>
      </c>
      <c r="L106" s="3">
        <f>SUMIF(定义数据!$C$14:$C$29,E106,定义数据!$B$14:$B$29)</f>
        <v>2</v>
      </c>
      <c r="M106" s="3">
        <f>IF(E106="","",ROUND(VLOOKUP($D106,命格辅助表!$A$34:$Q$38,SUMIF(定义数据!$C$14:$C$29,E106,定义数据!$A$14:$A$29)+4,0)*F106,0))</f>
        <v>247</v>
      </c>
      <c r="N106" s="3">
        <f>SUMIF(定义数据!$C$14:$C$29,G106,定义数据!$B$14:$B$29)</f>
        <v>0</v>
      </c>
      <c r="O106" s="3" t="str">
        <f>IF(G106="","",INT(VLOOKUP($D106,命格辅助表!$A$34:$Q$38,SUMIF(定义数据!$C$14:$C$29,G106,定义数据!$A$14:$A$29)+4,0)*H106))</f>
        <v/>
      </c>
      <c r="P106" s="3">
        <f>SUMIF(定义数据!$C$14:$C$29,I106,定义数据!$B$14:$B$29)</f>
        <v>0</v>
      </c>
      <c r="Q106" s="3" t="str">
        <f>IF(I106="","",INT(VLOOKUP($D106,命格辅助表!$A$34:$Q$38,SUMIF(定义数据!$C$14:$C$29,I106,定义数据!$A$14:$A$29)+4,0)*J106))</f>
        <v/>
      </c>
      <c r="R106" s="25">
        <f>IF(L106=0,0,INDEX(定义数据!$G$14:$S$14,1,SUMIF(定义数据!$B$14:$B$29,$L106,定义数据!$A$14:$A$29))*M106)+IF(N106=0,0,INDEX(定义数据!$G$14:$S$14,1,SUMIF(定义数据!$B$14:$B$29,$N106,定义数据!$A$14:$A$29))*$O106)+IF(P106=0,0,INDEX(定义数据!$G$14:$S$14,1,SUMIF(定义数据!$B$14:$B$29,$P106,定义数据!$A$14:$A$29))*$Q106)</f>
        <v>247</v>
      </c>
      <c r="S106" s="3">
        <f>SUMIF(定义数据!$C$14:$C$29,E106,定义数据!$B$14:$B$29)</f>
        <v>2</v>
      </c>
      <c r="T106" s="3">
        <f>IF(E106="","",ROUND(VLOOKUP($D106,命格辅助表!$A$42:$Q$46,SUMIF(定义数据!$C$14:$C$29,E106,定义数据!$A$14:$A$29)+4,0)*F106,0))</f>
        <v>247</v>
      </c>
      <c r="U106" s="3">
        <f>SUMIF(定义数据!$C$14:$C$29,G106,定义数据!$B$14:$B$29)</f>
        <v>0</v>
      </c>
      <c r="V106" s="3" t="str">
        <f>IF(G106="","",INT(VLOOKUP($D106,命格辅助表!$A$42:$Q$46,SUMIF(定义数据!$C$14:$C$29,G106,定义数据!$A$14:$A$29)+4,0)*H106))</f>
        <v/>
      </c>
      <c r="W106" s="3">
        <f>SUMIF(定义数据!$C$14:$C$29,I106,定义数据!$B$14:$B$29)</f>
        <v>0</v>
      </c>
      <c r="X106" s="3" t="str">
        <f>IF(I106="","",INT(VLOOKUP($D106,命格辅助表!$A$42:$Q$46,SUMIF(定义数据!$C$14:$C$29,I106,定义数据!$A$14:$A$29)+4,0)*J106))</f>
        <v/>
      </c>
      <c r="Y106" s="7">
        <v>8230</v>
      </c>
      <c r="Z106" s="3">
        <v>2</v>
      </c>
      <c r="AA106" s="3">
        <f>1/SUMIF(猎命辅助表!$A$20:$A$25,D106,猎命辅助表!$D$20:$D$25)</f>
        <v>79.79154017405385</v>
      </c>
      <c r="AB106">
        <f>INDEX(猎命辅助表!$C$92:$G$92,D106)</f>
        <v>200</v>
      </c>
    </row>
    <row r="107" spans="1:28">
      <c r="A107" s="3">
        <v>8330</v>
      </c>
      <c r="B107" s="18" t="s">
        <v>202</v>
      </c>
      <c r="C107" s="7" t="s">
        <v>192</v>
      </c>
      <c r="D107" s="3">
        <f>VLOOKUP(C107,定义数据!$B$2:$C$7,2,0)</f>
        <v>3</v>
      </c>
      <c r="E107" s="7" t="s">
        <v>226</v>
      </c>
      <c r="F107" s="3">
        <v>1</v>
      </c>
      <c r="G107" s="3"/>
      <c r="H107" s="3"/>
      <c r="I107" s="3"/>
      <c r="J107" s="3"/>
      <c r="K107" s="3">
        <f t="shared" si="45"/>
        <v>1</v>
      </c>
      <c r="L107" s="3">
        <f>SUMIF(定义数据!$C$14:$C$29,E107,定义数据!$B$14:$B$29)</f>
        <v>3</v>
      </c>
      <c r="M107" s="3">
        <f>IF(E107="","",ROUND(VLOOKUP($D107,命格辅助表!$A$34:$Q$38,SUMIF(定义数据!$C$14:$C$29,E107,定义数据!$A$14:$A$29)+4,0)*F107,0))</f>
        <v>247</v>
      </c>
      <c r="N107" s="3">
        <f>SUMIF(定义数据!$C$14:$C$29,G107,定义数据!$B$14:$B$29)</f>
        <v>0</v>
      </c>
      <c r="O107" s="3" t="str">
        <f>IF(G107="","",INT(VLOOKUP($D107,命格辅助表!$A$34:$Q$38,SUMIF(定义数据!$C$14:$C$29,G107,定义数据!$A$14:$A$29)+4,0)*H107))</f>
        <v/>
      </c>
      <c r="P107" s="3">
        <f>SUMIF(定义数据!$C$14:$C$29,I107,定义数据!$B$14:$B$29)</f>
        <v>0</v>
      </c>
      <c r="Q107" s="3" t="str">
        <f>IF(I107="","",INT(VLOOKUP($D107,命格辅助表!$A$34:$Q$38,SUMIF(定义数据!$C$14:$C$29,I107,定义数据!$A$14:$A$29)+4,0)*J107))</f>
        <v/>
      </c>
      <c r="R107" s="25">
        <f>IF(L107=0,0,INDEX(定义数据!$G$14:$S$14,1,SUMIF(定义数据!$B$14:$B$29,$L107,定义数据!$A$14:$A$29))*M107)+IF(N107=0,0,INDEX(定义数据!$G$14:$S$14,1,SUMIF(定义数据!$B$14:$B$29,$N107,定义数据!$A$14:$A$29))*$O107)+IF(P107=0,0,INDEX(定义数据!$G$14:$S$14,1,SUMIF(定义数据!$B$14:$B$29,$P107,定义数据!$A$14:$A$29))*$Q107)</f>
        <v>247</v>
      </c>
      <c r="S107" s="3">
        <f>SUMIF(定义数据!$C$14:$C$29,E107,定义数据!$B$14:$B$29)</f>
        <v>3</v>
      </c>
      <c r="T107" s="3">
        <f>IF(E107="","",ROUND(VLOOKUP($D107,命格辅助表!$A$42:$Q$46,SUMIF(定义数据!$C$14:$C$29,E107,定义数据!$A$14:$A$29)+4,0)*F107,0))</f>
        <v>247</v>
      </c>
      <c r="U107" s="3">
        <f>SUMIF(定义数据!$C$14:$C$29,G107,定义数据!$B$14:$B$29)</f>
        <v>0</v>
      </c>
      <c r="V107" s="3" t="str">
        <f>IF(G107="","",INT(VLOOKUP($D107,命格辅助表!$A$42:$Q$46,SUMIF(定义数据!$C$14:$C$29,G107,定义数据!$A$14:$A$29)+4,0)*H107))</f>
        <v/>
      </c>
      <c r="W107" s="3">
        <f>SUMIF(定义数据!$C$14:$C$29,I107,定义数据!$B$14:$B$29)</f>
        <v>0</v>
      </c>
      <c r="X107" s="3" t="str">
        <f>IF(I107="","",INT(VLOOKUP($D107,命格辅助表!$A$42:$Q$46,SUMIF(定义数据!$C$14:$C$29,I107,定义数据!$A$14:$A$29)+4,0)*J107))</f>
        <v/>
      </c>
      <c r="Y107" s="7">
        <v>8330</v>
      </c>
      <c r="Z107" s="3">
        <v>3</v>
      </c>
      <c r="AA107" s="3">
        <f>1/SUMIF(猎命辅助表!$A$20:$A$25,D107,猎命辅助表!$D$20:$D$25)</f>
        <v>79.79154017405385</v>
      </c>
      <c r="AB107">
        <f>INDEX(猎命辅助表!$C$92:$G$92,D107)</f>
        <v>200</v>
      </c>
    </row>
    <row r="108" spans="1:28">
      <c r="A108" s="3">
        <v>8430</v>
      </c>
      <c r="B108" s="18" t="s">
        <v>203</v>
      </c>
      <c r="C108" s="7" t="s">
        <v>192</v>
      </c>
      <c r="D108" s="3">
        <f>VLOOKUP(C108,定义数据!$B$2:$C$7,2,0)</f>
        <v>3</v>
      </c>
      <c r="E108" s="7" t="s">
        <v>111</v>
      </c>
      <c r="F108" s="3">
        <v>1</v>
      </c>
      <c r="G108" s="3"/>
      <c r="H108" s="3"/>
      <c r="I108" s="3"/>
      <c r="J108" s="3"/>
      <c r="K108" s="3">
        <f t="shared" si="45"/>
        <v>1</v>
      </c>
      <c r="L108" s="3">
        <f>SUMIF(定义数据!$C$14:$C$29,E108,定义数据!$B$14:$B$29)</f>
        <v>6</v>
      </c>
      <c r="M108" s="3">
        <f>IF(E108="","",ROUND(VLOOKUP($D108,命格辅助表!$A$34:$Q$38,SUMIF(定义数据!$C$14:$C$29,E108,定义数据!$A$14:$A$29)+4,0)*F108,0))</f>
        <v>726</v>
      </c>
      <c r="N108" s="3">
        <f>SUMIF(定义数据!$C$14:$C$29,G108,定义数据!$B$14:$B$29)</f>
        <v>0</v>
      </c>
      <c r="O108" s="3" t="str">
        <f>IF(G108="","",INT(VLOOKUP($D108,命格辅助表!$A$34:$Q$38,SUMIF(定义数据!$C$14:$C$29,G108,定义数据!$A$14:$A$29)+4,0)*H108))</f>
        <v/>
      </c>
      <c r="P108" s="3">
        <f>SUMIF(定义数据!$C$14:$C$29,I108,定义数据!$B$14:$B$29)</f>
        <v>0</v>
      </c>
      <c r="Q108" s="3" t="str">
        <f>IF(I108="","",INT(VLOOKUP($D108,命格辅助表!$A$34:$Q$38,SUMIF(定义数据!$C$14:$C$29,I108,定义数据!$A$14:$A$29)+4,0)*J108))</f>
        <v/>
      </c>
      <c r="R108" s="25">
        <f>IF(L108=0,0,INDEX(定义数据!$G$14:$S$14,1,SUMIF(定义数据!$B$14:$B$29,$L108,定义数据!$A$14:$A$29))*M108)+IF(N108=0,0,INDEX(定义数据!$G$14:$S$14,1,SUMIF(定义数据!$B$14:$B$29,$N108,定义数据!$A$14:$A$29))*$O108)+IF(P108=0,0,INDEX(定义数据!$G$14:$S$14,1,SUMIF(定义数据!$B$14:$B$29,$P108,定义数据!$A$14:$A$29))*$Q108)</f>
        <v>246.84000000000003</v>
      </c>
      <c r="S108" s="3">
        <f>SUMIF(定义数据!$C$14:$C$29,E108,定义数据!$B$14:$B$29)</f>
        <v>6</v>
      </c>
      <c r="T108" s="3">
        <f>IF(E108="","",ROUND(VLOOKUP($D108,命格辅助表!$A$42:$Q$46,SUMIF(定义数据!$C$14:$C$29,E108,定义数据!$A$14:$A$29)+4,0)*F108,0))</f>
        <v>726</v>
      </c>
      <c r="U108" s="3">
        <f>SUMIF(定义数据!$C$14:$C$29,G108,定义数据!$B$14:$B$29)</f>
        <v>0</v>
      </c>
      <c r="V108" s="3" t="str">
        <f>IF(G108="","",INT(VLOOKUP($D108,命格辅助表!$A$42:$Q$46,SUMIF(定义数据!$C$14:$C$29,G108,定义数据!$A$14:$A$29)+4,0)*H108))</f>
        <v/>
      </c>
      <c r="W108" s="3">
        <f>SUMIF(定义数据!$C$14:$C$29,I108,定义数据!$B$14:$B$29)</f>
        <v>0</v>
      </c>
      <c r="X108" s="3" t="str">
        <f>IF(I108="","",INT(VLOOKUP($D108,命格辅助表!$A$42:$Q$46,SUMIF(定义数据!$C$14:$C$29,I108,定义数据!$A$14:$A$29)+4,0)*J108))</f>
        <v/>
      </c>
      <c r="Y108" s="7">
        <v>8430</v>
      </c>
      <c r="Z108" s="3">
        <v>4</v>
      </c>
      <c r="AA108" s="3">
        <f>1/SUMIF(猎命辅助表!$A$20:$A$25,D108,猎命辅助表!$D$20:$D$25)</f>
        <v>79.79154017405385</v>
      </c>
      <c r="AB108">
        <f>INDEX(猎命辅助表!$C$92:$G$92,D108)</f>
        <v>200</v>
      </c>
    </row>
    <row r="109" spans="1:28">
      <c r="A109" s="3">
        <v>8530</v>
      </c>
      <c r="B109" s="19" t="s">
        <v>199</v>
      </c>
      <c r="C109" s="7" t="s">
        <v>192</v>
      </c>
      <c r="D109" s="3">
        <f>VLOOKUP(C109,定义数据!$B$2:$C$7,2,0)</f>
        <v>3</v>
      </c>
      <c r="E109" s="7" t="s">
        <v>227</v>
      </c>
      <c r="F109" s="3">
        <v>1</v>
      </c>
      <c r="G109" s="3"/>
      <c r="H109" s="3"/>
      <c r="I109" s="3"/>
      <c r="J109" s="3"/>
      <c r="K109" s="3">
        <f t="shared" si="45"/>
        <v>1</v>
      </c>
      <c r="L109" s="3">
        <f>SUMIF(定义数据!$C$14:$C$29,E109,定义数据!$B$14:$B$29)</f>
        <v>7</v>
      </c>
      <c r="M109" s="3">
        <f>IF(E109="","",ROUND(VLOOKUP($D109,命格辅助表!$A$34:$Q$38,SUMIF(定义数据!$C$14:$C$29,E109,定义数据!$A$14:$A$29)+4,0)*F109,0))</f>
        <v>726</v>
      </c>
      <c r="N109" s="3">
        <f>SUMIF(定义数据!$C$14:$C$29,G109,定义数据!$B$14:$B$29)</f>
        <v>0</v>
      </c>
      <c r="O109" s="3" t="str">
        <f>IF(G109="","",INT(VLOOKUP($D109,命格辅助表!$A$34:$Q$38,SUMIF(定义数据!$C$14:$C$29,G109,定义数据!$A$14:$A$29)+4,0)*H109))</f>
        <v/>
      </c>
      <c r="P109" s="3">
        <f>SUMIF(定义数据!$C$14:$C$29,I109,定义数据!$B$14:$B$29)</f>
        <v>0</v>
      </c>
      <c r="Q109" s="3" t="str">
        <f>IF(I109="","",INT(VLOOKUP($D109,命格辅助表!$A$34:$Q$38,SUMIF(定义数据!$C$14:$C$29,I109,定义数据!$A$14:$A$29)+4,0)*J109))</f>
        <v/>
      </c>
      <c r="R109" s="25">
        <f>IF(L109=0,0,INDEX(定义数据!$G$14:$S$14,1,SUMIF(定义数据!$B$14:$B$29,$L109,定义数据!$A$14:$A$29))*M109)+IF(N109=0,0,INDEX(定义数据!$G$14:$S$14,1,SUMIF(定义数据!$B$14:$B$29,$N109,定义数据!$A$14:$A$29))*$O109)+IF(P109=0,0,INDEX(定义数据!$G$14:$S$14,1,SUMIF(定义数据!$B$14:$B$29,$P109,定义数据!$A$14:$A$29))*$Q109)</f>
        <v>246.84000000000003</v>
      </c>
      <c r="S109" s="3">
        <f>SUMIF(定义数据!$C$14:$C$29,E109,定义数据!$B$14:$B$29)</f>
        <v>7</v>
      </c>
      <c r="T109" s="3">
        <f>IF(E109="","",ROUND(VLOOKUP($D109,命格辅助表!$A$42:$Q$46,SUMIF(定义数据!$C$14:$C$29,E109,定义数据!$A$14:$A$29)+4,0)*F109,0))</f>
        <v>726</v>
      </c>
      <c r="U109" s="3">
        <f>SUMIF(定义数据!$C$14:$C$29,G109,定义数据!$B$14:$B$29)</f>
        <v>0</v>
      </c>
      <c r="V109" s="3" t="str">
        <f>IF(G109="","",INT(VLOOKUP($D109,命格辅助表!$A$42:$Q$46,SUMIF(定义数据!$C$14:$C$29,G109,定义数据!$A$14:$A$29)+4,0)*H109))</f>
        <v/>
      </c>
      <c r="W109" s="3">
        <f>SUMIF(定义数据!$C$14:$C$29,I109,定义数据!$B$14:$B$29)</f>
        <v>0</v>
      </c>
      <c r="X109" s="3" t="str">
        <f>IF(I109="","",INT(VLOOKUP($D109,命格辅助表!$A$42:$Q$46,SUMIF(定义数据!$C$14:$C$29,I109,定义数据!$A$14:$A$29)+4,0)*J109))</f>
        <v/>
      </c>
      <c r="Y109" s="7">
        <v>8130</v>
      </c>
      <c r="Z109" s="3">
        <v>5</v>
      </c>
      <c r="AA109" s="3">
        <f>1/SUMIF(猎命辅助表!$A$20:$A$25,D109,猎命辅助表!$D$20:$D$25)</f>
        <v>79.79154017405385</v>
      </c>
      <c r="AB109">
        <f>INDEX(猎命辅助表!$C$92:$G$92,D109)</f>
        <v>200</v>
      </c>
    </row>
    <row r="110" spans="1:28">
      <c r="A110" s="3">
        <v>8630</v>
      </c>
      <c r="B110" s="18" t="s">
        <v>204</v>
      </c>
      <c r="C110" s="7" t="s">
        <v>192</v>
      </c>
      <c r="D110" s="3">
        <f>VLOOKUP(C110,定义数据!$B$2:$C$7,2,0)</f>
        <v>3</v>
      </c>
      <c r="E110" s="7" t="s">
        <v>228</v>
      </c>
      <c r="F110" s="3">
        <v>1</v>
      </c>
      <c r="G110" s="3"/>
      <c r="H110" s="3"/>
      <c r="I110" s="3"/>
      <c r="J110" s="3"/>
      <c r="K110" s="3">
        <f t="shared" si="45"/>
        <v>1</v>
      </c>
      <c r="L110" s="3">
        <f>SUMIF(定义数据!$C$14:$C$29,E110,定义数据!$B$14:$B$29)</f>
        <v>9</v>
      </c>
      <c r="M110" s="3">
        <f>IF(E110="","",ROUND(VLOOKUP($D110,命格辅助表!$A$34:$Q$38,SUMIF(定义数据!$C$14:$C$29,E110,定义数据!$A$14:$A$29)+4,0)*F110,0))</f>
        <v>1372</v>
      </c>
      <c r="N110" s="3">
        <f>SUMIF(定义数据!$C$14:$C$29,G110,定义数据!$B$14:$B$29)</f>
        <v>0</v>
      </c>
      <c r="O110" s="3" t="str">
        <f>IF(G110="","",INT(VLOOKUP($D110,命格辅助表!$A$34:$Q$38,SUMIF(定义数据!$C$14:$C$29,G110,定义数据!$A$14:$A$29)+4,0)*H110))</f>
        <v/>
      </c>
      <c r="P110" s="3">
        <f>SUMIF(定义数据!$C$14:$C$29,I110,定义数据!$B$14:$B$29)</f>
        <v>0</v>
      </c>
      <c r="Q110" s="3" t="str">
        <f>IF(I110="","",INT(VLOOKUP($D110,命格辅助表!$A$34:$Q$38,SUMIF(定义数据!$C$14:$C$29,I110,定义数据!$A$14:$A$29)+4,0)*J110))</f>
        <v/>
      </c>
      <c r="R110" s="25">
        <f>IF(L110=0,0,INDEX(定义数据!$G$14:$S$14,1,SUMIF(定义数据!$B$14:$B$29,$L110,定义数据!$A$14:$A$29))*M110)+IF(N110=0,0,INDEX(定义数据!$G$14:$S$14,1,SUMIF(定义数据!$B$14:$B$29,$N110,定义数据!$A$14:$A$29))*$O110)+IF(P110=0,0,INDEX(定义数据!$G$14:$S$14,1,SUMIF(定义数据!$B$14:$B$29,$P110,定义数据!$A$14:$A$29))*$Q110)</f>
        <v>246.95999999999998</v>
      </c>
      <c r="S110" s="3">
        <f>SUMIF(定义数据!$C$14:$C$29,E110,定义数据!$B$14:$B$29)</f>
        <v>9</v>
      </c>
      <c r="T110" s="3">
        <f>IF(E110="","",ROUND(VLOOKUP($D110,命格辅助表!$A$42:$Q$46,SUMIF(定义数据!$C$14:$C$29,E110,定义数据!$A$14:$A$29)+4,0)*F110,0))</f>
        <v>1372</v>
      </c>
      <c r="U110" s="3">
        <f>SUMIF(定义数据!$C$14:$C$29,G110,定义数据!$B$14:$B$29)</f>
        <v>0</v>
      </c>
      <c r="V110" s="3" t="str">
        <f>IF(G110="","",INT(VLOOKUP($D110,命格辅助表!$A$42:$Q$46,SUMIF(定义数据!$C$14:$C$29,G110,定义数据!$A$14:$A$29)+4,0)*H110))</f>
        <v/>
      </c>
      <c r="W110" s="3">
        <f>SUMIF(定义数据!$C$14:$C$29,I110,定义数据!$B$14:$B$29)</f>
        <v>0</v>
      </c>
      <c r="X110" s="3" t="str">
        <f>IF(I110="","",INT(VLOOKUP($D110,命格辅助表!$A$42:$Q$46,SUMIF(定义数据!$C$14:$C$29,I110,定义数据!$A$14:$A$29)+4,0)*J110))</f>
        <v/>
      </c>
      <c r="Y110" s="7">
        <v>8230</v>
      </c>
      <c r="Z110" s="3">
        <v>6</v>
      </c>
      <c r="AA110" s="3">
        <f>1/SUMIF(猎命辅助表!$A$20:$A$25,D110,猎命辅助表!$D$20:$D$25)</f>
        <v>79.79154017405385</v>
      </c>
      <c r="AB110">
        <f>INDEX(猎命辅助表!$C$92:$G$92,D110)</f>
        <v>200</v>
      </c>
    </row>
    <row r="111" spans="1:28">
      <c r="A111" s="3">
        <v>8730</v>
      </c>
      <c r="B111" s="18" t="s">
        <v>205</v>
      </c>
      <c r="C111" s="7" t="s">
        <v>192</v>
      </c>
      <c r="D111" s="3">
        <f>VLOOKUP(C111,定义数据!$B$2:$C$7,2,0)</f>
        <v>3</v>
      </c>
      <c r="E111" s="7" t="s">
        <v>229</v>
      </c>
      <c r="F111" s="3">
        <v>1</v>
      </c>
      <c r="G111" s="3"/>
      <c r="H111" s="3"/>
      <c r="I111" s="3"/>
      <c r="J111" s="3"/>
      <c r="K111" s="3">
        <f t="shared" si="45"/>
        <v>1</v>
      </c>
      <c r="L111" s="3">
        <f>SUMIF(定义数据!$C$14:$C$29,E111,定义数据!$B$14:$B$29)</f>
        <v>8</v>
      </c>
      <c r="M111" s="3">
        <f>IF(E111="","",ROUND(VLOOKUP($D111,命格辅助表!$A$34:$Q$38,SUMIF(定义数据!$C$14:$C$29,E111,定义数据!$A$14:$A$29)+4,0)*F111,0))</f>
        <v>1372</v>
      </c>
      <c r="N111" s="3">
        <f>SUMIF(定义数据!$C$14:$C$29,G111,定义数据!$B$14:$B$29)</f>
        <v>0</v>
      </c>
      <c r="O111" s="3" t="str">
        <f>IF(G111="","",INT(VLOOKUP($D111,命格辅助表!$A$34:$Q$38,SUMIF(定义数据!$C$14:$C$29,G111,定义数据!$A$14:$A$29)+4,0)*H111))</f>
        <v/>
      </c>
      <c r="P111" s="3">
        <f>SUMIF(定义数据!$C$14:$C$29,I111,定义数据!$B$14:$B$29)</f>
        <v>0</v>
      </c>
      <c r="Q111" s="3" t="str">
        <f>IF(I111="","",INT(VLOOKUP($D111,命格辅助表!$A$34:$Q$38,SUMIF(定义数据!$C$14:$C$29,I111,定义数据!$A$14:$A$29)+4,0)*J111))</f>
        <v/>
      </c>
      <c r="R111" s="25">
        <f>IF(L111=0,0,INDEX(定义数据!$G$14:$S$14,1,SUMIF(定义数据!$B$14:$B$29,$L111,定义数据!$A$14:$A$29))*M111)+IF(N111=0,0,INDEX(定义数据!$G$14:$S$14,1,SUMIF(定义数据!$B$14:$B$29,$N111,定义数据!$A$14:$A$29))*$O111)+IF(P111=0,0,INDEX(定义数据!$G$14:$S$14,1,SUMIF(定义数据!$B$14:$B$29,$P111,定义数据!$A$14:$A$29))*$Q111)</f>
        <v>246.95999999999998</v>
      </c>
      <c r="S111" s="3">
        <f>SUMIF(定义数据!$C$14:$C$29,E111,定义数据!$B$14:$B$29)</f>
        <v>8</v>
      </c>
      <c r="T111" s="3">
        <f>IF(E111="","",ROUND(VLOOKUP($D111,命格辅助表!$A$42:$Q$46,SUMIF(定义数据!$C$14:$C$29,E111,定义数据!$A$14:$A$29)+4,0)*F111,0))</f>
        <v>1372</v>
      </c>
      <c r="U111" s="3">
        <f>SUMIF(定义数据!$C$14:$C$29,G111,定义数据!$B$14:$B$29)</f>
        <v>0</v>
      </c>
      <c r="V111" s="3" t="str">
        <f>IF(G111="","",INT(VLOOKUP($D111,命格辅助表!$A$42:$Q$46,SUMIF(定义数据!$C$14:$C$29,G111,定义数据!$A$14:$A$29)+4,0)*H111))</f>
        <v/>
      </c>
      <c r="W111" s="3">
        <f>SUMIF(定义数据!$C$14:$C$29,I111,定义数据!$B$14:$B$29)</f>
        <v>0</v>
      </c>
      <c r="X111" s="3" t="str">
        <f>IF(I111="","",INT(VLOOKUP($D111,命格辅助表!$A$42:$Q$46,SUMIF(定义数据!$C$14:$C$29,I111,定义数据!$A$14:$A$29)+4,0)*J111))</f>
        <v/>
      </c>
      <c r="Y111" s="7">
        <v>8330</v>
      </c>
      <c r="Z111" s="3">
        <v>7</v>
      </c>
      <c r="AA111" s="3">
        <f>1/SUMIF(猎命辅助表!$A$20:$A$25,D111,猎命辅助表!$D$20:$D$25)</f>
        <v>79.79154017405385</v>
      </c>
      <c r="AB111">
        <f>INDEX(猎命辅助表!$C$92:$G$92,D111)</f>
        <v>200</v>
      </c>
    </row>
    <row r="112" spans="1:28">
      <c r="A112" s="3">
        <v>8830</v>
      </c>
      <c r="B112" s="18" t="s">
        <v>76</v>
      </c>
      <c r="C112" s="7" t="s">
        <v>192</v>
      </c>
      <c r="D112" s="3">
        <f>VLOOKUP(C112,定义数据!$B$2:$C$7,2,0)</f>
        <v>3</v>
      </c>
      <c r="E112" s="7" t="s">
        <v>293</v>
      </c>
      <c r="F112" s="3">
        <v>1</v>
      </c>
      <c r="G112" s="3" t="s">
        <v>225</v>
      </c>
      <c r="H112" s="3">
        <v>0.2</v>
      </c>
      <c r="I112" s="3"/>
      <c r="J112" s="3"/>
      <c r="K112" s="3">
        <f t="shared" si="45"/>
        <v>2</v>
      </c>
      <c r="L112" s="3">
        <f>SUMIF(定义数据!$C$14:$C$29,E112,定义数据!$B$14:$B$29)</f>
        <v>10</v>
      </c>
      <c r="M112" s="3">
        <f>IF(E112="","",ROUND(VLOOKUP($D112,命格辅助表!$A$34:$Q$38,SUMIF(定义数据!$C$14:$C$29,E112,定义数据!$A$14:$A$29)+4,0)*F112,0))</f>
        <v>926</v>
      </c>
      <c r="N112" s="3">
        <f>SUMIF(定义数据!$C$14:$C$29,G112,定义数据!$B$14:$B$29)</f>
        <v>2</v>
      </c>
      <c r="O112" s="3">
        <f>IF(G112="","",INT(VLOOKUP($D112,命格辅助表!$A$34:$Q$38,SUMIF(定义数据!$C$14:$C$29,G112,定义数据!$A$14:$A$29)+4,0)*H112))</f>
        <v>123</v>
      </c>
      <c r="P112" s="3">
        <f>SUMIF(定义数据!$C$14:$C$29,I112,定义数据!$B$14:$B$29)</f>
        <v>0</v>
      </c>
      <c r="Q112" s="3" t="str">
        <f>IF(I112="","",INT(VLOOKUP($D112,命格辅助表!$A$34:$Q$38,SUMIF(定义数据!$C$14:$C$29,I112,定义数据!$A$14:$A$29)+4,0)*J112))</f>
        <v/>
      </c>
      <c r="R112" s="25">
        <f>IF(L112=0,0,INDEX(定义数据!$G$14:$S$14,1,SUMIF(定义数据!$B$14:$B$29,$L112,定义数据!$A$14:$A$29))*M112)+IF(N112=0,0,INDEX(定义数据!$G$14:$S$14,1,SUMIF(定义数据!$B$14:$B$29,$N112,定义数据!$A$14:$A$29))*$O112)+IF(P112=0,0,INDEX(定义数据!$G$14:$S$14,1,SUMIF(定义数据!$B$14:$B$29,$P112,定义数据!$A$14:$A$29))*$Q112)</f>
        <v>234.12</v>
      </c>
      <c r="S112" s="3">
        <f>SUMIF(定义数据!$C$14:$C$29,E112,定义数据!$B$14:$B$29)</f>
        <v>10</v>
      </c>
      <c r="T112" s="55">
        <f>IF(E112="","",ROUND(VLOOKUP($D112,命格辅助表!$A$42:$Q$46,SUMIF(定义数据!$C$14:$C$29,E112,定义数据!$A$14:$A$29)+4,0)*F112,0))</f>
        <v>926</v>
      </c>
      <c r="U112" s="3">
        <f>SUMIF(定义数据!$C$14:$C$29,G112,定义数据!$B$14:$B$29)</f>
        <v>2</v>
      </c>
      <c r="V112" s="3">
        <f>IF(G112="","",INT(VLOOKUP($D112,命格辅助表!$A$42:$Q$46,SUMIF(定义数据!$C$14:$C$29,G112,定义数据!$A$14:$A$29)+4,0)*H112))</f>
        <v>123</v>
      </c>
      <c r="W112" s="3">
        <f>SUMIF(定义数据!$C$14:$C$29,I112,定义数据!$B$14:$B$29)</f>
        <v>0</v>
      </c>
      <c r="X112" s="3" t="str">
        <f>IF(I112="","",INT(VLOOKUP($D112,命格辅助表!$A$42:$Q$46,SUMIF(定义数据!$C$14:$C$29,I112,定义数据!$A$14:$A$29)+4,0)*J112))</f>
        <v/>
      </c>
      <c r="Y112" s="7">
        <v>8430</v>
      </c>
      <c r="Z112" s="3">
        <v>8</v>
      </c>
      <c r="AA112" s="3">
        <f>1/SUMIF(猎命辅助表!$A$20:$A$25,D112,猎命辅助表!$D$20:$D$25)</f>
        <v>79.79154017405385</v>
      </c>
      <c r="AB112">
        <f>INDEX(猎命辅助表!$C$92:$G$92,D112)</f>
        <v>200</v>
      </c>
    </row>
    <row r="113" spans="1:28">
      <c r="A113" s="3">
        <v>8930</v>
      </c>
      <c r="B113" s="18" t="s">
        <v>206</v>
      </c>
      <c r="C113" s="7" t="s">
        <v>192</v>
      </c>
      <c r="D113" s="3">
        <f>VLOOKUP(C113,定义数据!$B$2:$C$7,2,0)</f>
        <v>3</v>
      </c>
      <c r="E113" s="7" t="s">
        <v>257</v>
      </c>
      <c r="F113" s="55">
        <v>1</v>
      </c>
      <c r="G113" s="3" t="s">
        <v>109</v>
      </c>
      <c r="H113" s="55">
        <v>0.2</v>
      </c>
      <c r="I113" s="3"/>
      <c r="J113" s="3"/>
      <c r="K113" s="3">
        <f t="shared" si="45"/>
        <v>2</v>
      </c>
      <c r="L113" s="3">
        <f>SUMIF(定义数据!$C$14:$C$29,E113,定义数据!$B$14:$B$29)</f>
        <v>22</v>
      </c>
      <c r="M113" s="3">
        <f>IF(E113="","",ROUND(VLOOKUP($D113,命格辅助表!$A$34:$Q$38,SUMIF(定义数据!$C$14:$C$29,E113,定义数据!$A$14:$A$29)+4,0)*F113,0))</f>
        <v>309</v>
      </c>
      <c r="N113" s="3">
        <f>SUMIF(定义数据!$C$14:$C$29,G113,定义数据!$B$14:$B$29)</f>
        <v>1</v>
      </c>
      <c r="O113" s="3">
        <f>IF(G113="","",INT(VLOOKUP($D113,命格辅助表!$A$34:$Q$38,SUMIF(定义数据!$C$14:$C$29,G113,定义数据!$A$14:$A$29)+4,0)*H113))</f>
        <v>3086</v>
      </c>
      <c r="P113" s="3">
        <f>SUMIF(定义数据!$C$14:$C$29,I113,定义数据!$B$14:$B$29)</f>
        <v>0</v>
      </c>
      <c r="Q113" s="3" t="str">
        <f>IF(I113="","",INT(VLOOKUP($D113,命格辅助表!$A$34:$Q$38,SUMIF(定义数据!$C$14:$C$29,I113,定义数据!$A$14:$A$29)+4,0)*J113))</f>
        <v/>
      </c>
      <c r="R113" s="25">
        <f>IF(L113=0,0,INDEX(定义数据!$G$14:$S$14,1,SUMIF(定义数据!$B$14:$B$29,$L113,定义数据!$A$14:$A$29))*M113)+IF(N113=0,0,INDEX(定义数据!$G$14:$S$14,1,SUMIF(定义数据!$B$14:$B$29,$N113,定义数据!$A$14:$A$29))*$O113)+IF(P113=0,0,INDEX(定义数据!$G$14:$S$14,1,SUMIF(定义数据!$B$14:$B$29,$P113,定义数据!$A$14:$A$29))*$Q113)</f>
        <v>234.68</v>
      </c>
      <c r="S113" s="3">
        <f>SUMIF(定义数据!$C$14:$C$29,E113,定义数据!$B$14:$B$29)</f>
        <v>22</v>
      </c>
      <c r="T113" s="55">
        <f>IF(E113="","",ROUND(VLOOKUP($D113,命格辅助表!$A$42:$Q$46,SUMIF(定义数据!$C$14:$C$29,E113,定义数据!$A$14:$A$29)+4,0)*1,0))</f>
        <v>309</v>
      </c>
      <c r="U113" s="3">
        <f>SUMIF(定义数据!$C$14:$C$29,G113,定义数据!$B$14:$B$29)</f>
        <v>1</v>
      </c>
      <c r="V113" s="3">
        <f>IF(G113="","",INT(VLOOKUP($D113,命格辅助表!$A$42:$Q$46,SUMIF(定义数据!$C$14:$C$29,G113,定义数据!$A$14:$A$29)+4,0)*H113))</f>
        <v>3086</v>
      </c>
      <c r="W113" s="3">
        <f>SUMIF(定义数据!$C$14:$C$29,I113,定义数据!$B$14:$B$29)</f>
        <v>0</v>
      </c>
      <c r="X113" s="3" t="str">
        <f>IF(I113="","",INT(VLOOKUP($D113,命格辅助表!$A$42:$Q$46,SUMIF(定义数据!$C$14:$C$29,I113,定义数据!$A$14:$A$29)+4,0)*J113))</f>
        <v/>
      </c>
      <c r="Y113" s="7">
        <v>8130</v>
      </c>
      <c r="Z113" s="3">
        <v>9</v>
      </c>
      <c r="AA113" s="3">
        <f>1/SUMIF(猎命辅助表!$A$20:$A$25,D113,猎命辅助表!$D$20:$D$25)</f>
        <v>79.79154017405385</v>
      </c>
      <c r="AB113">
        <f>INDEX(猎命辅助表!$C$92:$G$92,D113)</f>
        <v>200</v>
      </c>
    </row>
    <row r="114" spans="1:28">
      <c r="A114" s="3">
        <v>9030</v>
      </c>
      <c r="B114" s="18" t="s">
        <v>207</v>
      </c>
      <c r="C114" s="7" t="s">
        <v>192</v>
      </c>
      <c r="D114" s="3">
        <f>VLOOKUP(C114,定义数据!$B$2:$C$7,2,0)</f>
        <v>3</v>
      </c>
      <c r="E114" s="7" t="s">
        <v>258</v>
      </c>
      <c r="F114" s="55">
        <v>1</v>
      </c>
      <c r="G114" s="3" t="s">
        <v>225</v>
      </c>
      <c r="H114" s="55">
        <v>0.2</v>
      </c>
      <c r="I114" s="3"/>
      <c r="J114" s="3"/>
      <c r="K114" s="3">
        <f t="shared" si="45"/>
        <v>2</v>
      </c>
      <c r="L114" s="3">
        <f>SUMIF(定义数据!$C$14:$C$29,E114,定义数据!$B$14:$B$29)</f>
        <v>23</v>
      </c>
      <c r="M114" s="3">
        <f>IF(E114="","",ROUND(VLOOKUP($D114,命格辅助表!$A$34:$Q$38,SUMIF(定义数据!$C$14:$C$29,E114,定义数据!$A$14:$A$29)+4,0)*F114,0))</f>
        <v>463</v>
      </c>
      <c r="N114" s="3">
        <f>SUMIF(定义数据!$C$14:$C$29,G114,定义数据!$B$14:$B$29)</f>
        <v>2</v>
      </c>
      <c r="O114" s="3">
        <f>IF(G114="","",INT(VLOOKUP($D114,命格辅助表!$A$34:$Q$38,SUMIF(定义数据!$C$14:$C$29,G114,定义数据!$A$14:$A$29)+4,0)*H114))</f>
        <v>123</v>
      </c>
      <c r="P114" s="3">
        <f>SUMIF(定义数据!$C$14:$C$29,I114,定义数据!$B$14:$B$29)</f>
        <v>0</v>
      </c>
      <c r="Q114" s="3" t="str">
        <f>IF(I114="","",INT(VLOOKUP($D114,命格辅助表!$A$34:$Q$38,SUMIF(定义数据!$C$14:$C$29,I114,定义数据!$A$14:$A$29)+4,0)*J114))</f>
        <v/>
      </c>
      <c r="R114" s="25">
        <f>IF(L114=0,0,INDEX(定义数据!$G$14:$S$14,1,SUMIF(定义数据!$B$14:$B$29,$L114,定义数据!$A$14:$A$29))*M114)+IF(N114=0,0,INDEX(定义数据!$G$14:$S$14,1,SUMIF(定义数据!$B$14:$B$29,$N114,定义数据!$A$14:$A$29))*$O114)+IF(P114=0,0,INDEX(定义数据!$G$14:$S$14,1,SUMIF(定义数据!$B$14:$B$29,$P114,定义数据!$A$14:$A$29))*$Q114)</f>
        <v>234.12</v>
      </c>
      <c r="S114" s="3">
        <f>SUMIF(定义数据!$C$14:$C$29,E114,定义数据!$B$14:$B$29)</f>
        <v>23</v>
      </c>
      <c r="T114" s="55">
        <f>IF(E114="","",ROUND(VLOOKUP($D114,命格辅助表!$A$42:$Q$46,SUMIF(定义数据!$C$14:$C$29,E114,定义数据!$A$14:$A$29)+4,0)*1,0))</f>
        <v>463</v>
      </c>
      <c r="U114" s="3">
        <f>SUMIF(定义数据!$C$14:$C$29,G114,定义数据!$B$14:$B$29)</f>
        <v>2</v>
      </c>
      <c r="V114" s="3">
        <f>IF(G114="","",INT(VLOOKUP($D114,命格辅助表!$A$42:$Q$46,SUMIF(定义数据!$C$14:$C$29,G114,定义数据!$A$14:$A$29)+4,0)*H114))</f>
        <v>123</v>
      </c>
      <c r="W114" s="3">
        <f>SUMIF(定义数据!$C$14:$C$29,I114,定义数据!$B$14:$B$29)</f>
        <v>0</v>
      </c>
      <c r="X114" s="3" t="str">
        <f>IF(I114="","",INT(VLOOKUP($D114,命格辅助表!$A$42:$Q$46,SUMIF(定义数据!$C$14:$C$29,I114,定义数据!$A$14:$A$29)+4,0)*J114))</f>
        <v/>
      </c>
      <c r="Y114" s="7">
        <v>8230</v>
      </c>
      <c r="Z114" s="3">
        <v>10</v>
      </c>
      <c r="AA114" s="3">
        <f>1/SUMIF(猎命辅助表!$A$20:$A$25,D114,猎命辅助表!$D$20:$D$25)</f>
        <v>79.79154017405385</v>
      </c>
      <c r="AB114">
        <f>INDEX(猎命辅助表!$C$92:$G$92,D114)</f>
        <v>200</v>
      </c>
    </row>
    <row r="115" spans="1:28">
      <c r="A115" s="3">
        <v>9130</v>
      </c>
      <c r="B115" s="18" t="s">
        <v>347</v>
      </c>
      <c r="C115" s="7" t="s">
        <v>192</v>
      </c>
      <c r="D115" s="3">
        <f>VLOOKUP(C115,定义数据!$B$2:$C$7,2,0)</f>
        <v>3</v>
      </c>
      <c r="E115" s="7" t="s">
        <v>255</v>
      </c>
      <c r="F115" s="55">
        <v>1</v>
      </c>
      <c r="G115" s="3" t="s">
        <v>109</v>
      </c>
      <c r="H115" s="55">
        <v>0.2</v>
      </c>
      <c r="I115" s="3"/>
      <c r="J115" s="3"/>
      <c r="K115" s="3">
        <f t="shared" si="45"/>
        <v>2</v>
      </c>
      <c r="L115" s="3">
        <f>SUMIF(定义数据!$C$14:$C$29,E115,定义数据!$B$14:$B$29)</f>
        <v>24</v>
      </c>
      <c r="M115" s="3">
        <f>IF(E115="","",ROUND(VLOOKUP($D115,命格辅助表!$A$34:$Q$38,SUMIF(定义数据!$C$14:$C$29,E115,定义数据!$A$14:$A$29)+4,0)*F115,0))</f>
        <v>370</v>
      </c>
      <c r="N115" s="3">
        <f>SUMIF(定义数据!$C$14:$C$29,G115,定义数据!$B$14:$B$29)</f>
        <v>1</v>
      </c>
      <c r="O115" s="3">
        <f>IF(G115="","",INT(VLOOKUP($D115,命格辅助表!$A$34:$Q$38,SUMIF(定义数据!$C$14:$C$29,G115,定义数据!$A$14:$A$29)+4,0)*H115))</f>
        <v>3086</v>
      </c>
      <c r="P115" s="3">
        <f>SUMIF(定义数据!$C$14:$C$29,I115,定义数据!$B$14:$B$29)</f>
        <v>0</v>
      </c>
      <c r="Q115" s="3" t="str">
        <f>IF(I115="","",INT(VLOOKUP($D115,命格辅助表!$A$34:$Q$38,SUMIF(定义数据!$C$14:$C$29,I115,定义数据!$A$14:$A$29)+4,0)*J115))</f>
        <v/>
      </c>
      <c r="R115" s="25">
        <f>IF(L115=0,0,INDEX(定义数据!$G$14:$S$14,1,SUMIF(定义数据!$B$14:$B$29,$L115,定义数据!$A$14:$A$29))*M115)+IF(N115=0,0,INDEX(定义数据!$G$14:$S$14,1,SUMIF(定义数据!$B$14:$B$29,$N115,定义数据!$A$14:$A$29))*$O115)+IF(P115=0,0,INDEX(定义数据!$G$14:$S$14,1,SUMIF(定义数据!$B$14:$B$29,$P115,定义数据!$A$14:$A$29))*$Q115)</f>
        <v>234.44</v>
      </c>
      <c r="S115" s="3">
        <f>SUMIF(定义数据!$C$14:$C$29,E115,定义数据!$B$14:$B$29)</f>
        <v>24</v>
      </c>
      <c r="T115" s="55">
        <f>IF(E115="","",ROUND(VLOOKUP($D115,命格辅助表!$A$42:$Q$46,SUMIF(定义数据!$C$14:$C$29,E115,定义数据!$A$14:$A$29)+4,0)*1,0))</f>
        <v>370</v>
      </c>
      <c r="U115" s="3">
        <f>SUMIF(定义数据!$C$14:$C$29,G115,定义数据!$B$14:$B$29)</f>
        <v>1</v>
      </c>
      <c r="V115" s="3">
        <f>IF(G115="","",INT(VLOOKUP($D115,命格辅助表!$A$42:$Q$46,SUMIF(定义数据!$C$14:$C$29,G115,定义数据!$A$14:$A$29)+4,0)*H115))</f>
        <v>3086</v>
      </c>
      <c r="W115" s="3">
        <f>SUMIF(定义数据!$C$14:$C$29,I115,定义数据!$B$14:$B$29)</f>
        <v>0</v>
      </c>
      <c r="X115" s="3" t="str">
        <f>IF(I115="","",INT(VLOOKUP($D115,命格辅助表!$A$42:$Q$46,SUMIF(定义数据!$C$14:$C$29,I115,定义数据!$A$14:$A$29)+4,0)*J115))</f>
        <v/>
      </c>
      <c r="Y115" s="7">
        <v>8330</v>
      </c>
      <c r="Z115" s="3">
        <v>11</v>
      </c>
      <c r="AA115" s="3">
        <f>1/SUMIF(猎命辅助表!$A$20:$A$25,D115,猎命辅助表!$D$20:$D$25)</f>
        <v>79.79154017405385</v>
      </c>
      <c r="AB115">
        <f>INDEX(猎命辅助表!$C$92:$G$92,D115)</f>
        <v>200</v>
      </c>
    </row>
    <row r="116" spans="1:28">
      <c r="A116" s="3">
        <v>9230</v>
      </c>
      <c r="B116" s="18" t="s">
        <v>209</v>
      </c>
      <c r="C116" s="7" t="s">
        <v>192</v>
      </c>
      <c r="D116" s="3">
        <f>VLOOKUP(C116,定义数据!$B$2:$C$7,2,0)</f>
        <v>3</v>
      </c>
      <c r="E116" s="7" t="s">
        <v>256</v>
      </c>
      <c r="F116" s="55">
        <v>1</v>
      </c>
      <c r="G116" s="7" t="s">
        <v>225</v>
      </c>
      <c r="H116" s="55">
        <v>0.2</v>
      </c>
      <c r="I116" s="3"/>
      <c r="J116" s="3"/>
      <c r="K116" s="3">
        <f t="shared" si="45"/>
        <v>2</v>
      </c>
      <c r="L116" s="3">
        <f>SUMIF(定义数据!$C$14:$C$29,E116,定义数据!$B$14:$B$29)</f>
        <v>25</v>
      </c>
      <c r="M116" s="3">
        <f>IF(E116="","",ROUND(VLOOKUP($D116,命格辅助表!$A$34:$Q$38,SUMIF(定义数据!$C$14:$C$29,E116,定义数据!$A$14:$A$29)+4,0)*F116,0))</f>
        <v>370</v>
      </c>
      <c r="N116" s="3">
        <f>SUMIF(定义数据!$C$14:$C$29,G116,定义数据!$B$14:$B$29)</f>
        <v>2</v>
      </c>
      <c r="O116" s="3">
        <f>IF(G116="","",INT(VLOOKUP($D116,命格辅助表!$A$34:$Q$38,SUMIF(定义数据!$C$14:$C$29,G116,定义数据!$A$14:$A$29)+4,0)*H116))</f>
        <v>123</v>
      </c>
      <c r="P116" s="3">
        <f>SUMIF(定义数据!$C$14:$C$29,I116,定义数据!$B$14:$B$29)</f>
        <v>0</v>
      </c>
      <c r="Q116" s="3" t="str">
        <f>IF(I116="","",INT(VLOOKUP($D116,命格辅助表!$A$34:$Q$38,SUMIF(定义数据!$C$14:$C$29,I116,定义数据!$A$14:$A$29)+4,0)*J116))</f>
        <v/>
      </c>
      <c r="R116" s="25">
        <f>IF(L116=0,0,INDEX(定义数据!$G$14:$S$14,1,SUMIF(定义数据!$B$14:$B$29,$L116,定义数据!$A$14:$A$29))*M116)+IF(N116=0,0,INDEX(定义数据!$G$14:$S$14,1,SUMIF(定义数据!$B$14:$B$29,$N116,定义数据!$A$14:$A$29))*$O116)+IF(P116=0,0,INDEX(定义数据!$G$14:$S$14,1,SUMIF(定义数据!$B$14:$B$29,$P116,定义数据!$A$14:$A$29))*$Q116)</f>
        <v>234</v>
      </c>
      <c r="S116" s="3">
        <f>SUMIF(定义数据!$C$14:$C$29,E116,定义数据!$B$14:$B$29)</f>
        <v>25</v>
      </c>
      <c r="T116" s="55">
        <f>IF(E116="","",ROUND(VLOOKUP($D116,命格辅助表!$A$42:$Q$46,SUMIF(定义数据!$C$14:$C$29,E116,定义数据!$A$14:$A$29)+4,0)*1,0))</f>
        <v>370</v>
      </c>
      <c r="U116" s="3">
        <f>SUMIF(定义数据!$C$14:$C$29,G116,定义数据!$B$14:$B$29)</f>
        <v>2</v>
      </c>
      <c r="V116" s="3">
        <f>IF(G116="","",INT(VLOOKUP($D116,命格辅助表!$A$42:$Q$46,SUMIF(定义数据!$C$14:$C$29,G116,定义数据!$A$14:$A$29)+4,0)*H116))</f>
        <v>123</v>
      </c>
      <c r="W116" s="3">
        <f>SUMIF(定义数据!$C$14:$C$29,I116,定义数据!$B$14:$B$29)</f>
        <v>0</v>
      </c>
      <c r="X116" s="3" t="str">
        <f>IF(I116="","",INT(VLOOKUP($D116,命格辅助表!$A$42:$Q$46,SUMIF(定义数据!$C$14:$C$29,I116,定义数据!$A$14:$A$29)+4,0)*J116))</f>
        <v/>
      </c>
      <c r="Y116" s="7">
        <v>8430</v>
      </c>
      <c r="Z116" s="3">
        <v>12</v>
      </c>
      <c r="AA116" s="3">
        <f>1/SUMIF(猎命辅助表!$A$20:$A$25,D116,猎命辅助表!$D$20:$D$25)</f>
        <v>79.79154017405385</v>
      </c>
      <c r="AB116">
        <f>INDEX(猎命辅助表!$C$92:$G$92,D116)</f>
        <v>200</v>
      </c>
    </row>
    <row r="117" spans="1:28">
      <c r="A117" s="3">
        <v>8140</v>
      </c>
      <c r="B117" s="18" t="s">
        <v>19</v>
      </c>
      <c r="C117" s="7" t="s">
        <v>193</v>
      </c>
      <c r="D117" s="3">
        <f>VLOOKUP(C117,定义数据!$B$2:$C$7,2,0)</f>
        <v>4</v>
      </c>
      <c r="E117" s="7" t="s">
        <v>109</v>
      </c>
      <c r="F117" s="3">
        <v>0.4</v>
      </c>
      <c r="G117" s="3"/>
      <c r="H117" s="3"/>
      <c r="I117" s="3"/>
      <c r="J117" s="3"/>
      <c r="K117" s="3">
        <f t="shared" si="45"/>
        <v>1</v>
      </c>
      <c r="L117" s="3">
        <f>SUMIF(定义数据!$C$14:$C$29,E117,定义数据!$B$14:$B$29)</f>
        <v>1</v>
      </c>
      <c r="M117" s="3">
        <f>IF(E117="","",ROUND(VLOOKUP($D117,命格辅助表!$A$34:$Q$38,SUMIF(定义数据!$C$14:$C$29,E117,定义数据!$A$14:$A$29)+4,0)*F117,0))</f>
        <v>11111</v>
      </c>
      <c r="N117" s="3">
        <f>SUMIF(定义数据!$C$14:$C$29,G117,定义数据!$B$14:$B$29)</f>
        <v>0</v>
      </c>
      <c r="O117" s="3" t="str">
        <f>IF(G117="","",INT(VLOOKUP($D117,命格辅助表!$A$34:$Q$38,SUMIF(定义数据!$C$14:$C$29,G117,定义数据!$A$14:$A$29)+4,0)*H117))</f>
        <v/>
      </c>
      <c r="P117" s="3">
        <f>SUMIF(定义数据!$C$14:$C$29,I117,定义数据!$B$14:$B$29)</f>
        <v>0</v>
      </c>
      <c r="Q117" s="3" t="str">
        <f>IF(I117="","",INT(VLOOKUP($D117,命格辅助表!$A$34:$Q$38,SUMIF(定义数据!$C$14:$C$29,I117,定义数据!$A$14:$A$29)+4,0)*J117))</f>
        <v/>
      </c>
      <c r="R117" s="25">
        <f>IF(L117=0,0,INDEX(定义数据!$G$14:$S$14,1,SUMIF(定义数据!$B$14:$B$29,$L117,定义数据!$A$14:$A$29))*M117)+IF(N117=0,0,INDEX(定义数据!$G$14:$S$14,1,SUMIF(定义数据!$B$14:$B$29,$N117,定义数据!$A$14:$A$29))*$O117)+IF(P117=0,0,INDEX(定义数据!$G$14:$S$14,1,SUMIF(定义数据!$B$14:$B$29,$P117,定义数据!$A$14:$A$29))*$Q117)</f>
        <v>444.44</v>
      </c>
      <c r="S117" s="3">
        <f>SUMIF(定义数据!$C$14:$C$29,E117,定义数据!$B$14:$B$29)</f>
        <v>1</v>
      </c>
      <c r="T117" s="3">
        <f>IF(E117="","",ROUND(VLOOKUP($D117,命格辅助表!$A$42:$Q$46,SUMIF(定义数据!$C$14:$C$29,E117,定义数据!$A$14:$A$29)+4,0)*F117,0))</f>
        <v>11111</v>
      </c>
      <c r="U117" s="3">
        <f>SUMIF(定义数据!$C$14:$C$29,G117,定义数据!$B$14:$B$29)</f>
        <v>0</v>
      </c>
      <c r="V117" s="3" t="str">
        <f>IF(G117="","",INT(VLOOKUP($D117,命格辅助表!$A$42:$Q$46,SUMIF(定义数据!$C$14:$C$29,G117,定义数据!$A$14:$A$29)+4,0)*H117))</f>
        <v/>
      </c>
      <c r="W117" s="3">
        <f>SUMIF(定义数据!$C$14:$C$29,I117,定义数据!$B$14:$B$29)</f>
        <v>0</v>
      </c>
      <c r="X117" s="3" t="str">
        <f>IF(I117="","",INT(VLOOKUP($D117,命格辅助表!$A$42:$Q$46,SUMIF(定义数据!$C$14:$C$29,I117,定义数据!$A$14:$A$29)+4,0)*J117))</f>
        <v/>
      </c>
      <c r="Y117" s="7">
        <v>8140</v>
      </c>
      <c r="Z117" s="3">
        <v>1</v>
      </c>
      <c r="AA117" s="3">
        <f>1/SUMIF(猎命辅助表!$A$20:$A$25,D117,猎命辅助表!$D$20:$D$25)</f>
        <v>608.41049382716051</v>
      </c>
      <c r="AB117">
        <f>INDEX(猎命辅助表!$C$92:$G$92,D117)</f>
        <v>1250</v>
      </c>
    </row>
    <row r="118" spans="1:28">
      <c r="A118" s="3">
        <v>8240</v>
      </c>
      <c r="B118" s="18" t="s">
        <v>210</v>
      </c>
      <c r="C118" s="7" t="s">
        <v>193</v>
      </c>
      <c r="D118" s="3">
        <f>VLOOKUP(C118,定义数据!$B$2:$C$7,2,0)</f>
        <v>4</v>
      </c>
      <c r="E118" s="7" t="s">
        <v>225</v>
      </c>
      <c r="F118" s="3">
        <v>0.4</v>
      </c>
      <c r="G118" s="3"/>
      <c r="H118" s="3"/>
      <c r="I118" s="3"/>
      <c r="J118" s="3"/>
      <c r="K118" s="3">
        <f t="shared" si="45"/>
        <v>1</v>
      </c>
      <c r="L118" s="3">
        <f>SUMIF(定义数据!$C$14:$C$29,E118,定义数据!$B$14:$B$29)</f>
        <v>2</v>
      </c>
      <c r="M118" s="3">
        <f>IF(E118="","",ROUND(VLOOKUP($D118,命格辅助表!$A$34:$Q$38,SUMIF(定义数据!$C$14:$C$29,E118,定义数据!$A$14:$A$29)+4,0)*F118,0))</f>
        <v>444</v>
      </c>
      <c r="N118" s="3">
        <f>SUMIF(定义数据!$C$14:$C$29,G118,定义数据!$B$14:$B$29)</f>
        <v>0</v>
      </c>
      <c r="O118" s="3" t="str">
        <f>IF(G118="","",INT(VLOOKUP($D118,命格辅助表!$A$34:$Q$38,SUMIF(定义数据!$C$14:$C$29,G118,定义数据!$A$14:$A$29)+4,0)*H118))</f>
        <v/>
      </c>
      <c r="P118" s="3">
        <f>SUMIF(定义数据!$C$14:$C$29,I118,定义数据!$B$14:$B$29)</f>
        <v>0</v>
      </c>
      <c r="Q118" s="3" t="str">
        <f>IF(I118="","",INT(VLOOKUP($D118,命格辅助表!$A$34:$Q$38,SUMIF(定义数据!$C$14:$C$29,I118,定义数据!$A$14:$A$29)+4,0)*J118))</f>
        <v/>
      </c>
      <c r="R118" s="25">
        <f>IF(L118=0,0,INDEX(定义数据!$G$14:$S$14,1,SUMIF(定义数据!$B$14:$B$29,$L118,定义数据!$A$14:$A$29))*M118)+IF(N118=0,0,INDEX(定义数据!$G$14:$S$14,1,SUMIF(定义数据!$B$14:$B$29,$N118,定义数据!$A$14:$A$29))*$O118)+IF(P118=0,0,INDEX(定义数据!$G$14:$S$14,1,SUMIF(定义数据!$B$14:$B$29,$P118,定义数据!$A$14:$A$29))*$Q118)</f>
        <v>444</v>
      </c>
      <c r="S118" s="3">
        <f>SUMIF(定义数据!$C$14:$C$29,E118,定义数据!$B$14:$B$29)</f>
        <v>2</v>
      </c>
      <c r="T118" s="3">
        <f>IF(E118="","",ROUND(VLOOKUP($D118,命格辅助表!$A$42:$Q$46,SUMIF(定义数据!$C$14:$C$29,E118,定义数据!$A$14:$A$29)+4,0)*F118,0))</f>
        <v>444</v>
      </c>
      <c r="U118" s="3">
        <f>SUMIF(定义数据!$C$14:$C$29,G118,定义数据!$B$14:$B$29)</f>
        <v>0</v>
      </c>
      <c r="V118" s="3" t="str">
        <f>IF(G118="","",INT(VLOOKUP($D118,命格辅助表!$A$42:$Q$46,SUMIF(定义数据!$C$14:$C$29,G118,定义数据!$A$14:$A$29)+4,0)*H118))</f>
        <v/>
      </c>
      <c r="W118" s="3">
        <f>SUMIF(定义数据!$C$14:$C$29,I118,定义数据!$B$14:$B$29)</f>
        <v>0</v>
      </c>
      <c r="X118" s="3" t="str">
        <f>IF(I118="","",INT(VLOOKUP($D118,命格辅助表!$A$42:$Q$46,SUMIF(定义数据!$C$14:$C$29,I118,定义数据!$A$14:$A$29)+4,0)*J118))</f>
        <v/>
      </c>
      <c r="Y118" s="7">
        <v>8240</v>
      </c>
      <c r="Z118" s="3">
        <v>2</v>
      </c>
      <c r="AA118" s="3">
        <f>1/SUMIF(猎命辅助表!$A$20:$A$25,D118,猎命辅助表!$D$20:$D$25)</f>
        <v>608.41049382716051</v>
      </c>
      <c r="AB118">
        <f>INDEX(猎命辅助表!$C$92:$G$92,D118)</f>
        <v>1250</v>
      </c>
    </row>
    <row r="119" spans="1:28">
      <c r="A119" s="3">
        <v>8340</v>
      </c>
      <c r="B119" s="18" t="s">
        <v>211</v>
      </c>
      <c r="C119" s="7" t="s">
        <v>193</v>
      </c>
      <c r="D119" s="3">
        <f>VLOOKUP(C119,定义数据!$B$2:$C$7,2,0)</f>
        <v>4</v>
      </c>
      <c r="E119" s="7" t="s">
        <v>226</v>
      </c>
      <c r="F119" s="3">
        <v>1</v>
      </c>
      <c r="G119" s="3"/>
      <c r="H119" s="3"/>
      <c r="I119" s="3"/>
      <c r="J119" s="3"/>
      <c r="K119" s="3">
        <f t="shared" si="45"/>
        <v>1</v>
      </c>
      <c r="L119" s="3">
        <f>SUMIF(定义数据!$C$14:$C$29,E119,定义数据!$B$14:$B$29)</f>
        <v>3</v>
      </c>
      <c r="M119" s="3">
        <f>IF(E119="","",ROUND(VLOOKUP($D119,命格辅助表!$A$34:$Q$38,SUMIF(定义数据!$C$14:$C$29,E119,定义数据!$A$14:$A$29)+4,0)*F119,0))</f>
        <v>444</v>
      </c>
      <c r="N119" s="3">
        <f>SUMIF(定义数据!$C$14:$C$29,G119,定义数据!$B$14:$B$29)</f>
        <v>0</v>
      </c>
      <c r="O119" s="3" t="str">
        <f>IF(G119="","",INT(VLOOKUP($D119,命格辅助表!$A$34:$Q$38,SUMIF(定义数据!$C$14:$C$29,G119,定义数据!$A$14:$A$29)+4,0)*H119))</f>
        <v/>
      </c>
      <c r="P119" s="3">
        <f>SUMIF(定义数据!$C$14:$C$29,I119,定义数据!$B$14:$B$29)</f>
        <v>0</v>
      </c>
      <c r="Q119" s="3" t="str">
        <f>IF(I119="","",INT(VLOOKUP($D119,命格辅助表!$A$34:$Q$38,SUMIF(定义数据!$C$14:$C$29,I119,定义数据!$A$14:$A$29)+4,0)*J119))</f>
        <v/>
      </c>
      <c r="R119" s="25">
        <f>IF(L119=0,0,INDEX(定义数据!$G$14:$S$14,1,SUMIF(定义数据!$B$14:$B$29,$L119,定义数据!$A$14:$A$29))*M119)+IF(N119=0,0,INDEX(定义数据!$G$14:$S$14,1,SUMIF(定义数据!$B$14:$B$29,$N119,定义数据!$A$14:$A$29))*$O119)+IF(P119=0,0,INDEX(定义数据!$G$14:$S$14,1,SUMIF(定义数据!$B$14:$B$29,$P119,定义数据!$A$14:$A$29))*$Q119)</f>
        <v>444</v>
      </c>
      <c r="S119" s="3">
        <f>SUMIF(定义数据!$C$14:$C$29,E119,定义数据!$B$14:$B$29)</f>
        <v>3</v>
      </c>
      <c r="T119" s="3">
        <f>IF(E119="","",ROUND(VLOOKUP($D119,命格辅助表!$A$42:$Q$46,SUMIF(定义数据!$C$14:$C$29,E119,定义数据!$A$14:$A$29)+4,0)*F119,0))</f>
        <v>444</v>
      </c>
      <c r="U119" s="3">
        <f>SUMIF(定义数据!$C$14:$C$29,G119,定义数据!$B$14:$B$29)</f>
        <v>0</v>
      </c>
      <c r="V119" s="3" t="str">
        <f>IF(G119="","",INT(VLOOKUP($D119,命格辅助表!$A$42:$Q$46,SUMIF(定义数据!$C$14:$C$29,G119,定义数据!$A$14:$A$29)+4,0)*H119))</f>
        <v/>
      </c>
      <c r="W119" s="3">
        <f>SUMIF(定义数据!$C$14:$C$29,I119,定义数据!$B$14:$B$29)</f>
        <v>0</v>
      </c>
      <c r="X119" s="3" t="str">
        <f>IF(I119="","",INT(VLOOKUP($D119,命格辅助表!$A$42:$Q$46,SUMIF(定义数据!$C$14:$C$29,I119,定义数据!$A$14:$A$29)+4,0)*J119))</f>
        <v/>
      </c>
      <c r="Y119" s="7">
        <v>8340</v>
      </c>
      <c r="Z119" s="3">
        <v>3</v>
      </c>
      <c r="AA119" s="3">
        <f>1/SUMIF(猎命辅助表!$A$20:$A$25,D119,猎命辅助表!$D$20:$D$25)</f>
        <v>608.41049382716051</v>
      </c>
      <c r="AB119">
        <f>INDEX(猎命辅助表!$C$92:$G$92,D119)</f>
        <v>1250</v>
      </c>
    </row>
    <row r="120" spans="1:28">
      <c r="A120" s="3">
        <v>8440</v>
      </c>
      <c r="B120" s="18" t="s">
        <v>212</v>
      </c>
      <c r="C120" s="7" t="s">
        <v>193</v>
      </c>
      <c r="D120" s="3">
        <f>VLOOKUP(C120,定义数据!$B$2:$C$7,2,0)</f>
        <v>4</v>
      </c>
      <c r="E120" s="7" t="s">
        <v>111</v>
      </c>
      <c r="F120" s="3">
        <v>1</v>
      </c>
      <c r="G120" s="3"/>
      <c r="H120" s="3"/>
      <c r="I120" s="3"/>
      <c r="J120" s="3"/>
      <c r="K120" s="3">
        <f t="shared" si="45"/>
        <v>1</v>
      </c>
      <c r="L120" s="3">
        <f>SUMIF(定义数据!$C$14:$C$29,E120,定义数据!$B$14:$B$29)</f>
        <v>6</v>
      </c>
      <c r="M120" s="3">
        <f>IF(E120="","",ROUND(VLOOKUP($D120,命格辅助表!$A$34:$Q$38,SUMIF(定义数据!$C$14:$C$29,E120,定义数据!$A$14:$A$29)+4,0)*F120,0))</f>
        <v>1307</v>
      </c>
      <c r="N120" s="3">
        <f>SUMIF(定义数据!$C$14:$C$29,G120,定义数据!$B$14:$B$29)</f>
        <v>0</v>
      </c>
      <c r="O120" s="3" t="str">
        <f>IF(G120="","",INT(VLOOKUP($D120,命格辅助表!$A$34:$Q$38,SUMIF(定义数据!$C$14:$C$29,G120,定义数据!$A$14:$A$29)+4,0)*H120))</f>
        <v/>
      </c>
      <c r="P120" s="3">
        <f>SUMIF(定义数据!$C$14:$C$29,I120,定义数据!$B$14:$B$29)</f>
        <v>0</v>
      </c>
      <c r="Q120" s="3" t="str">
        <f>IF(I120="","",INT(VLOOKUP($D120,命格辅助表!$A$34:$Q$38,SUMIF(定义数据!$C$14:$C$29,I120,定义数据!$A$14:$A$29)+4,0)*J120))</f>
        <v/>
      </c>
      <c r="R120" s="25">
        <f>IF(L120=0,0,INDEX(定义数据!$G$14:$S$14,1,SUMIF(定义数据!$B$14:$B$29,$L120,定义数据!$A$14:$A$29))*M120)+IF(N120=0,0,INDEX(定义数据!$G$14:$S$14,1,SUMIF(定义数据!$B$14:$B$29,$N120,定义数据!$A$14:$A$29))*$O120)+IF(P120=0,0,INDEX(定义数据!$G$14:$S$14,1,SUMIF(定义数据!$B$14:$B$29,$P120,定义数据!$A$14:$A$29))*$Q120)</f>
        <v>444.38000000000005</v>
      </c>
      <c r="S120" s="3">
        <f>SUMIF(定义数据!$C$14:$C$29,E120,定义数据!$B$14:$B$29)</f>
        <v>6</v>
      </c>
      <c r="T120" s="3">
        <f>IF(E120="","",ROUND(VLOOKUP($D120,命格辅助表!$A$42:$Q$46,SUMIF(定义数据!$C$14:$C$29,E120,定义数据!$A$14:$A$29)+4,0)*F120,0))</f>
        <v>1307</v>
      </c>
      <c r="U120" s="3">
        <f>SUMIF(定义数据!$C$14:$C$29,G120,定义数据!$B$14:$B$29)</f>
        <v>0</v>
      </c>
      <c r="V120" s="3" t="str">
        <f>IF(G120="","",INT(VLOOKUP($D120,命格辅助表!$A$42:$Q$46,SUMIF(定义数据!$C$14:$C$29,G120,定义数据!$A$14:$A$29)+4,0)*H120))</f>
        <v/>
      </c>
      <c r="W120" s="3">
        <f>SUMIF(定义数据!$C$14:$C$29,I120,定义数据!$B$14:$B$29)</f>
        <v>0</v>
      </c>
      <c r="X120" s="3" t="str">
        <f>IF(I120="","",INT(VLOOKUP($D120,命格辅助表!$A$42:$Q$46,SUMIF(定义数据!$C$14:$C$29,I120,定义数据!$A$14:$A$29)+4,0)*J120))</f>
        <v/>
      </c>
      <c r="Y120" s="7">
        <v>8440</v>
      </c>
      <c r="Z120" s="3">
        <v>4</v>
      </c>
      <c r="AA120" s="3">
        <f>1/SUMIF(猎命辅助表!$A$20:$A$25,D120,猎命辅助表!$D$20:$D$25)</f>
        <v>608.41049382716051</v>
      </c>
      <c r="AB120">
        <f>INDEX(猎命辅助表!$C$92:$G$92,D120)</f>
        <v>1250</v>
      </c>
    </row>
    <row r="121" spans="1:28">
      <c r="A121" s="3">
        <v>8540</v>
      </c>
      <c r="B121" s="18" t="s">
        <v>213</v>
      </c>
      <c r="C121" s="7" t="s">
        <v>193</v>
      </c>
      <c r="D121" s="3">
        <f>VLOOKUP(C121,定义数据!$B$2:$C$7,2,0)</f>
        <v>4</v>
      </c>
      <c r="E121" s="7" t="s">
        <v>227</v>
      </c>
      <c r="F121" s="3">
        <v>1</v>
      </c>
      <c r="G121" s="3"/>
      <c r="H121" s="3"/>
      <c r="I121" s="3"/>
      <c r="J121" s="3"/>
      <c r="K121" s="3">
        <f t="shared" si="45"/>
        <v>1</v>
      </c>
      <c r="L121" s="3">
        <f>SUMIF(定义数据!$C$14:$C$29,E121,定义数据!$B$14:$B$29)</f>
        <v>7</v>
      </c>
      <c r="M121" s="3">
        <f>IF(E121="","",ROUND(VLOOKUP($D121,命格辅助表!$A$34:$Q$38,SUMIF(定义数据!$C$14:$C$29,E121,定义数据!$A$14:$A$29)+4,0)*F121,0))</f>
        <v>1307</v>
      </c>
      <c r="N121" s="3">
        <f>SUMIF(定义数据!$C$14:$C$29,G121,定义数据!$B$14:$B$29)</f>
        <v>0</v>
      </c>
      <c r="O121" s="3" t="str">
        <f>IF(G121="","",INT(VLOOKUP($D121,命格辅助表!$A$34:$Q$38,SUMIF(定义数据!$C$14:$C$29,G121,定义数据!$A$14:$A$29)+4,0)*H121))</f>
        <v/>
      </c>
      <c r="P121" s="3">
        <f>SUMIF(定义数据!$C$14:$C$29,I121,定义数据!$B$14:$B$29)</f>
        <v>0</v>
      </c>
      <c r="Q121" s="3" t="str">
        <f>IF(I121="","",INT(VLOOKUP($D121,命格辅助表!$A$34:$Q$38,SUMIF(定义数据!$C$14:$C$29,I121,定义数据!$A$14:$A$29)+4,0)*J121))</f>
        <v/>
      </c>
      <c r="R121" s="25">
        <f>IF(L121=0,0,INDEX(定义数据!$G$14:$S$14,1,SUMIF(定义数据!$B$14:$B$29,$L121,定义数据!$A$14:$A$29))*M121)+IF(N121=0,0,INDEX(定义数据!$G$14:$S$14,1,SUMIF(定义数据!$B$14:$B$29,$N121,定义数据!$A$14:$A$29))*$O121)+IF(P121=0,0,INDEX(定义数据!$G$14:$S$14,1,SUMIF(定义数据!$B$14:$B$29,$P121,定义数据!$A$14:$A$29))*$Q121)</f>
        <v>444.38000000000005</v>
      </c>
      <c r="S121" s="3">
        <f>SUMIF(定义数据!$C$14:$C$29,E121,定义数据!$B$14:$B$29)</f>
        <v>7</v>
      </c>
      <c r="T121" s="3">
        <f>IF(E121="","",ROUND(VLOOKUP($D121,命格辅助表!$A$42:$Q$46,SUMIF(定义数据!$C$14:$C$29,E121,定义数据!$A$14:$A$29)+4,0)*F121,0))</f>
        <v>1307</v>
      </c>
      <c r="U121" s="3">
        <f>SUMIF(定义数据!$C$14:$C$29,G121,定义数据!$B$14:$B$29)</f>
        <v>0</v>
      </c>
      <c r="V121" s="3" t="str">
        <f>IF(G121="","",INT(VLOOKUP($D121,命格辅助表!$A$42:$Q$46,SUMIF(定义数据!$C$14:$C$29,G121,定义数据!$A$14:$A$29)+4,0)*H121))</f>
        <v/>
      </c>
      <c r="W121" s="3">
        <f>SUMIF(定义数据!$C$14:$C$29,I121,定义数据!$B$14:$B$29)</f>
        <v>0</v>
      </c>
      <c r="X121" s="3" t="str">
        <f>IF(I121="","",INT(VLOOKUP($D121,命格辅助表!$A$42:$Q$46,SUMIF(定义数据!$C$14:$C$29,I121,定义数据!$A$14:$A$29)+4,0)*J121))</f>
        <v/>
      </c>
      <c r="Y121" s="7">
        <v>8140</v>
      </c>
      <c r="Z121" s="3">
        <v>5</v>
      </c>
      <c r="AA121" s="3">
        <f>1/SUMIF(猎命辅助表!$A$20:$A$25,D121,猎命辅助表!$D$20:$D$25)</f>
        <v>608.41049382716051</v>
      </c>
      <c r="AB121">
        <f>INDEX(猎命辅助表!$C$92:$G$92,D121)</f>
        <v>1250</v>
      </c>
    </row>
    <row r="122" spans="1:28">
      <c r="A122" s="3">
        <v>8640</v>
      </c>
      <c r="B122" s="18" t="s">
        <v>214</v>
      </c>
      <c r="C122" s="7" t="s">
        <v>193</v>
      </c>
      <c r="D122" s="3">
        <f>VLOOKUP(C122,定义数据!$B$2:$C$7,2,0)</f>
        <v>4</v>
      </c>
      <c r="E122" s="7" t="s">
        <v>228</v>
      </c>
      <c r="F122" s="3">
        <v>1</v>
      </c>
      <c r="G122" s="3"/>
      <c r="H122" s="3"/>
      <c r="I122" s="3"/>
      <c r="J122" s="3"/>
      <c r="K122" s="3">
        <f t="shared" si="45"/>
        <v>1</v>
      </c>
      <c r="L122" s="3">
        <f>SUMIF(定义数据!$C$14:$C$29,E122,定义数据!$B$14:$B$29)</f>
        <v>9</v>
      </c>
      <c r="M122" s="3">
        <f>IF(E122="","",ROUND(VLOOKUP($D122,命格辅助表!$A$34:$Q$38,SUMIF(定义数据!$C$14:$C$29,E122,定义数据!$A$14:$A$29)+4,0)*F122,0))</f>
        <v>2469</v>
      </c>
      <c r="N122" s="3">
        <f>SUMIF(定义数据!$C$14:$C$29,G122,定义数据!$B$14:$B$29)</f>
        <v>0</v>
      </c>
      <c r="O122" s="3" t="str">
        <f>IF(G122="","",INT(VLOOKUP($D122,命格辅助表!$A$34:$Q$38,SUMIF(定义数据!$C$14:$C$29,G122,定义数据!$A$14:$A$29)+4,0)*H122))</f>
        <v/>
      </c>
      <c r="P122" s="3">
        <f>SUMIF(定义数据!$C$14:$C$29,I122,定义数据!$B$14:$B$29)</f>
        <v>0</v>
      </c>
      <c r="Q122" s="3" t="str">
        <f>IF(I122="","",INT(VLOOKUP($D122,命格辅助表!$A$34:$Q$38,SUMIF(定义数据!$C$14:$C$29,I122,定义数据!$A$14:$A$29)+4,0)*J122))</f>
        <v/>
      </c>
      <c r="R122" s="25">
        <f>IF(L122=0,0,INDEX(定义数据!$G$14:$S$14,1,SUMIF(定义数据!$B$14:$B$29,$L122,定义数据!$A$14:$A$29))*M122)+IF(N122=0,0,INDEX(定义数据!$G$14:$S$14,1,SUMIF(定义数据!$B$14:$B$29,$N122,定义数据!$A$14:$A$29))*$O122)+IF(P122=0,0,INDEX(定义数据!$G$14:$S$14,1,SUMIF(定义数据!$B$14:$B$29,$P122,定义数据!$A$14:$A$29))*$Q122)</f>
        <v>444.41999999999996</v>
      </c>
      <c r="S122" s="3">
        <f>SUMIF(定义数据!$C$14:$C$29,E122,定义数据!$B$14:$B$29)</f>
        <v>9</v>
      </c>
      <c r="T122" s="3">
        <f>IF(E122="","",ROUND(VLOOKUP($D122,命格辅助表!$A$42:$Q$46,SUMIF(定义数据!$C$14:$C$29,E122,定义数据!$A$14:$A$29)+4,0)*F122,0))</f>
        <v>2469</v>
      </c>
      <c r="U122" s="3">
        <f>SUMIF(定义数据!$C$14:$C$29,G122,定义数据!$B$14:$B$29)</f>
        <v>0</v>
      </c>
      <c r="V122" s="3" t="str">
        <f>IF(G122="","",INT(VLOOKUP($D122,命格辅助表!$A$42:$Q$46,SUMIF(定义数据!$C$14:$C$29,G122,定义数据!$A$14:$A$29)+4,0)*H122))</f>
        <v/>
      </c>
      <c r="W122" s="3">
        <f>SUMIF(定义数据!$C$14:$C$29,I122,定义数据!$B$14:$B$29)</f>
        <v>0</v>
      </c>
      <c r="X122" s="3" t="str">
        <f>IF(I122="","",INT(VLOOKUP($D122,命格辅助表!$A$42:$Q$46,SUMIF(定义数据!$C$14:$C$29,I122,定义数据!$A$14:$A$29)+4,0)*J122))</f>
        <v/>
      </c>
      <c r="Y122" s="7">
        <v>8240</v>
      </c>
      <c r="Z122" s="3">
        <v>6</v>
      </c>
      <c r="AA122" s="3">
        <f>1/SUMIF(猎命辅助表!$A$20:$A$25,D122,猎命辅助表!$D$20:$D$25)</f>
        <v>608.41049382716051</v>
      </c>
      <c r="AB122">
        <f>INDEX(猎命辅助表!$C$92:$G$92,D122)</f>
        <v>1250</v>
      </c>
    </row>
    <row r="123" spans="1:28">
      <c r="A123" s="3">
        <v>8740</v>
      </c>
      <c r="B123" s="18" t="s">
        <v>215</v>
      </c>
      <c r="C123" s="7" t="s">
        <v>193</v>
      </c>
      <c r="D123" s="3">
        <f>VLOOKUP(C123,定义数据!$B$2:$C$7,2,0)</f>
        <v>4</v>
      </c>
      <c r="E123" s="7" t="s">
        <v>229</v>
      </c>
      <c r="F123" s="3">
        <v>1</v>
      </c>
      <c r="G123" s="3"/>
      <c r="H123" s="3"/>
      <c r="I123" s="3"/>
      <c r="J123" s="3"/>
      <c r="K123" s="3">
        <f t="shared" si="45"/>
        <v>1</v>
      </c>
      <c r="L123" s="3">
        <f>SUMIF(定义数据!$C$14:$C$29,E123,定义数据!$B$14:$B$29)</f>
        <v>8</v>
      </c>
      <c r="M123" s="3">
        <f>IF(E123="","",ROUND(VLOOKUP($D123,命格辅助表!$A$34:$Q$38,SUMIF(定义数据!$C$14:$C$29,E123,定义数据!$A$14:$A$29)+4,0)*F123,0))</f>
        <v>2469</v>
      </c>
      <c r="N123" s="3">
        <f>SUMIF(定义数据!$C$14:$C$29,G123,定义数据!$B$14:$B$29)</f>
        <v>0</v>
      </c>
      <c r="O123" s="3" t="str">
        <f>IF(G123="","",INT(VLOOKUP($D123,命格辅助表!$A$34:$Q$38,SUMIF(定义数据!$C$14:$C$29,G123,定义数据!$A$14:$A$29)+4,0)*H123))</f>
        <v/>
      </c>
      <c r="P123" s="3">
        <f>SUMIF(定义数据!$C$14:$C$29,I123,定义数据!$B$14:$B$29)</f>
        <v>0</v>
      </c>
      <c r="Q123" s="3" t="str">
        <f>IF(I123="","",INT(VLOOKUP($D123,命格辅助表!$A$34:$Q$38,SUMIF(定义数据!$C$14:$C$29,I123,定义数据!$A$14:$A$29)+4,0)*J123))</f>
        <v/>
      </c>
      <c r="R123" s="25">
        <f>IF(L123=0,0,INDEX(定义数据!$G$14:$S$14,1,SUMIF(定义数据!$B$14:$B$29,$L123,定义数据!$A$14:$A$29))*M123)+IF(N123=0,0,INDEX(定义数据!$G$14:$S$14,1,SUMIF(定义数据!$B$14:$B$29,$N123,定义数据!$A$14:$A$29))*$O123)+IF(P123=0,0,INDEX(定义数据!$G$14:$S$14,1,SUMIF(定义数据!$B$14:$B$29,$P123,定义数据!$A$14:$A$29))*$Q123)</f>
        <v>444.41999999999996</v>
      </c>
      <c r="S123" s="3">
        <f>SUMIF(定义数据!$C$14:$C$29,E123,定义数据!$B$14:$B$29)</f>
        <v>8</v>
      </c>
      <c r="T123" s="3">
        <f>IF(E123="","",ROUND(VLOOKUP($D123,命格辅助表!$A$42:$Q$46,SUMIF(定义数据!$C$14:$C$29,E123,定义数据!$A$14:$A$29)+4,0)*F123,0))</f>
        <v>2469</v>
      </c>
      <c r="U123" s="3">
        <f>SUMIF(定义数据!$C$14:$C$29,G123,定义数据!$B$14:$B$29)</f>
        <v>0</v>
      </c>
      <c r="V123" s="3" t="str">
        <f>IF(G123="","",INT(VLOOKUP($D123,命格辅助表!$A$42:$Q$46,SUMIF(定义数据!$C$14:$C$29,G123,定义数据!$A$14:$A$29)+4,0)*H123))</f>
        <v/>
      </c>
      <c r="W123" s="3">
        <f>SUMIF(定义数据!$C$14:$C$29,I123,定义数据!$B$14:$B$29)</f>
        <v>0</v>
      </c>
      <c r="X123" s="3" t="str">
        <f>IF(I123="","",INT(VLOOKUP($D123,命格辅助表!$A$42:$Q$46,SUMIF(定义数据!$C$14:$C$29,I123,定义数据!$A$14:$A$29)+4,0)*J123))</f>
        <v/>
      </c>
      <c r="Y123" s="7">
        <v>8340</v>
      </c>
      <c r="Z123" s="3">
        <v>7</v>
      </c>
      <c r="AA123" s="3">
        <f>1/SUMIF(猎命辅助表!$A$20:$A$25,D123,猎命辅助表!$D$20:$D$25)</f>
        <v>608.41049382716051</v>
      </c>
      <c r="AB123">
        <f>INDEX(猎命辅助表!$C$92:$G$92,D123)</f>
        <v>1250</v>
      </c>
    </row>
    <row r="124" spans="1:28">
      <c r="A124" s="3">
        <v>8840</v>
      </c>
      <c r="B124" s="18" t="s">
        <v>348</v>
      </c>
      <c r="C124" s="7" t="s">
        <v>193</v>
      </c>
      <c r="D124" s="3">
        <f>VLOOKUP(C124,定义数据!$B$2:$C$7,2,0)</f>
        <v>4</v>
      </c>
      <c r="E124" s="7" t="s">
        <v>293</v>
      </c>
      <c r="F124" s="3">
        <v>1</v>
      </c>
      <c r="G124" s="3" t="s">
        <v>225</v>
      </c>
      <c r="H124" s="3">
        <v>0.2</v>
      </c>
      <c r="I124" s="3"/>
      <c r="J124" s="3"/>
      <c r="K124" s="3">
        <f t="shared" ref="K124:K134" si="46">IF(F124&gt;0,IF(H124&gt;0,IF(J124&gt;0,3,2),1))</f>
        <v>2</v>
      </c>
      <c r="L124" s="3">
        <f>SUMIF(定义数据!$C$14:$C$29,E124,定义数据!$B$14:$B$29)</f>
        <v>10</v>
      </c>
      <c r="M124" s="3">
        <f>IF(E124="","",ROUND(VLOOKUP($D124,命格辅助表!$A$34:$Q$38,SUMIF(定义数据!$C$14:$C$29,E124,定义数据!$A$14:$A$29)+4,0)*F124,0))</f>
        <v>1667</v>
      </c>
      <c r="N124" s="3">
        <f>SUMIF(定义数据!$C$14:$C$29,G124,定义数据!$B$14:$B$29)</f>
        <v>2</v>
      </c>
      <c r="O124" s="3">
        <f>IF(G124="","",INT(VLOOKUP($D124,命格辅助表!$A$34:$Q$38,SUMIF(定义数据!$C$14:$C$29,G124,定义数据!$A$14:$A$29)+4,0)*H124))</f>
        <v>222</v>
      </c>
      <c r="P124" s="3">
        <f>SUMIF(定义数据!$C$14:$C$29,I124,定义数据!$B$14:$B$29)</f>
        <v>0</v>
      </c>
      <c r="Q124" s="3" t="str">
        <f>IF(I124="","",INT(VLOOKUP($D124,命格辅助表!$A$34:$Q$38,SUMIF(定义数据!$C$14:$C$29,I124,定义数据!$A$14:$A$29)+4,0)*J124))</f>
        <v/>
      </c>
      <c r="R124" s="25">
        <f>IF(L124=0,0,INDEX(定义数据!$G$14:$S$14,1,SUMIF(定义数据!$B$14:$B$29,$L124,定义数据!$A$14:$A$29))*M124)+IF(N124=0,0,INDEX(定义数据!$G$14:$S$14,1,SUMIF(定义数据!$B$14:$B$29,$N124,定义数据!$A$14:$A$29))*$O124)+IF(P124=0,0,INDEX(定义数据!$G$14:$S$14,1,SUMIF(定义数据!$B$14:$B$29,$P124,定义数据!$A$14:$A$29))*$Q124)</f>
        <v>422.03999999999996</v>
      </c>
      <c r="S124" s="3">
        <f>SUMIF(定义数据!$C$14:$C$29,E124,定义数据!$B$14:$B$29)</f>
        <v>10</v>
      </c>
      <c r="T124" s="55">
        <f>IF(E124="","",ROUND(VLOOKUP($D124,命格辅助表!$A$42:$Q$46,SUMIF(定义数据!$C$14:$C$29,E124,定义数据!$A$14:$A$29)+4,0)*F124,0))</f>
        <v>1667</v>
      </c>
      <c r="U124" s="3">
        <f>SUMIF(定义数据!$C$14:$C$29,G124,定义数据!$B$14:$B$29)</f>
        <v>2</v>
      </c>
      <c r="V124" s="3">
        <f>IF(G124="","",INT(VLOOKUP($D124,命格辅助表!$A$42:$Q$46,SUMIF(定义数据!$C$14:$C$29,G124,定义数据!$A$14:$A$29)+4,0)*H124))</f>
        <v>222</v>
      </c>
      <c r="W124" s="3">
        <f>SUMIF(定义数据!$C$14:$C$29,I124,定义数据!$B$14:$B$29)</f>
        <v>0</v>
      </c>
      <c r="X124" s="3" t="str">
        <f>IF(I124="","",INT(VLOOKUP($D124,命格辅助表!$A$42:$Q$46,SUMIF(定义数据!$C$14:$C$29,I124,定义数据!$A$14:$A$29)+4,0)*J124))</f>
        <v/>
      </c>
      <c r="Y124" s="7">
        <v>8440</v>
      </c>
      <c r="Z124" s="3">
        <v>8</v>
      </c>
      <c r="AA124" s="3">
        <f>1/SUMIF(猎命辅助表!$A$20:$A$25,D124,猎命辅助表!$D$20:$D$25)</f>
        <v>608.41049382716051</v>
      </c>
      <c r="AB124">
        <f>INDEX(猎命辅助表!$C$92:$G$92,D124)</f>
        <v>1250</v>
      </c>
    </row>
    <row r="125" spans="1:28">
      <c r="A125" s="3">
        <v>8940</v>
      </c>
      <c r="B125" s="18" t="s">
        <v>216</v>
      </c>
      <c r="C125" s="7" t="s">
        <v>193</v>
      </c>
      <c r="D125" s="3">
        <f>VLOOKUP(C125,定义数据!$B$2:$C$7,2,0)</f>
        <v>4</v>
      </c>
      <c r="E125" s="7" t="s">
        <v>257</v>
      </c>
      <c r="F125" s="3">
        <v>1.2</v>
      </c>
      <c r="G125" s="3" t="s">
        <v>109</v>
      </c>
      <c r="H125" s="55">
        <v>0.2</v>
      </c>
      <c r="I125" s="3"/>
      <c r="J125" s="3"/>
      <c r="K125" s="3">
        <f t="shared" si="46"/>
        <v>2</v>
      </c>
      <c r="L125" s="3">
        <f>SUMIF(定义数据!$C$14:$C$29,E125,定义数据!$B$14:$B$29)</f>
        <v>22</v>
      </c>
      <c r="M125" s="3">
        <f>IF(E125="","",ROUND(VLOOKUP($D125,命格辅助表!$A$34:$Q$38,SUMIF(定义数据!$C$14:$C$29,E125,定义数据!$A$14:$A$29)+4,0)*F125,0))</f>
        <v>667</v>
      </c>
      <c r="N125" s="3">
        <f>SUMIF(定义数据!$C$14:$C$29,G125,定义数据!$B$14:$B$29)</f>
        <v>1</v>
      </c>
      <c r="O125" s="3">
        <f>IF(G125="","",INT(VLOOKUP($D125,命格辅助表!$A$34:$Q$38,SUMIF(定义数据!$C$14:$C$29,G125,定义数据!$A$14:$A$29)+4,0)*H125))</f>
        <v>5555</v>
      </c>
      <c r="P125" s="3">
        <f>SUMIF(定义数据!$C$14:$C$29,I125,定义数据!$B$14:$B$29)</f>
        <v>0</v>
      </c>
      <c r="Q125" s="3" t="str">
        <f>IF(I125="","",INT(VLOOKUP($D125,命格辅助表!$A$34:$Q$38,SUMIF(定义数据!$C$14:$C$29,I125,定义数据!$A$14:$A$29)+4,0)*J125))</f>
        <v/>
      </c>
      <c r="R125" s="25">
        <f>IF(L125=0,0,INDEX(定义数据!$G$14:$S$14,1,SUMIF(定义数据!$B$14:$B$29,$L125,定义数据!$A$14:$A$29))*M125)+IF(N125=0,0,INDEX(定义数据!$G$14:$S$14,1,SUMIF(定义数据!$B$14:$B$29,$N125,定义数据!$A$14:$A$29))*$O125)+IF(P125=0,0,INDEX(定义数据!$G$14:$S$14,1,SUMIF(定义数据!$B$14:$B$29,$P125,定义数据!$A$14:$A$29))*$Q125)</f>
        <v>462.32000000000005</v>
      </c>
      <c r="S125" s="3">
        <f>SUMIF(定义数据!$C$14:$C$29,E125,定义数据!$B$14:$B$29)</f>
        <v>22</v>
      </c>
      <c r="T125" s="55">
        <f>IF(E125="","",ROUND(VLOOKUP($D125,命格辅助表!$A$42:$Q$46,SUMIF(定义数据!$C$14:$C$29,E125,定义数据!$A$14:$A$29)+4,0)*1,0))</f>
        <v>556</v>
      </c>
      <c r="U125" s="3">
        <f>SUMIF(定义数据!$C$14:$C$29,G125,定义数据!$B$14:$B$29)</f>
        <v>1</v>
      </c>
      <c r="V125" s="3">
        <f>IF(G125="","",INT(VLOOKUP($D125,命格辅助表!$A$42:$Q$46,SUMIF(定义数据!$C$14:$C$29,G125,定义数据!$A$14:$A$29)+4,0)*H125))</f>
        <v>5555</v>
      </c>
      <c r="W125" s="3">
        <f>SUMIF(定义数据!$C$14:$C$29,I125,定义数据!$B$14:$B$29)</f>
        <v>0</v>
      </c>
      <c r="X125" s="3" t="str">
        <f>IF(I125="","",INT(VLOOKUP($D125,命格辅助表!$A$42:$Q$46,SUMIF(定义数据!$C$14:$C$29,I125,定义数据!$A$14:$A$29)+4,0)*J125))</f>
        <v/>
      </c>
      <c r="Y125" s="7">
        <v>8140</v>
      </c>
      <c r="Z125" s="3">
        <v>9</v>
      </c>
      <c r="AA125" s="3">
        <f>1/SUMIF(猎命辅助表!$A$20:$A$25,D125,猎命辅助表!$D$20:$D$25)</f>
        <v>608.41049382716051</v>
      </c>
      <c r="AB125">
        <f>INDEX(猎命辅助表!$C$92:$G$92,D125)</f>
        <v>1250</v>
      </c>
    </row>
    <row r="126" spans="1:28">
      <c r="A126" s="3">
        <v>9040</v>
      </c>
      <c r="B126" s="18" t="s">
        <v>349</v>
      </c>
      <c r="C126" s="7" t="s">
        <v>193</v>
      </c>
      <c r="D126" s="3">
        <f>VLOOKUP(C126,定义数据!$B$2:$C$7,2,0)</f>
        <v>4</v>
      </c>
      <c r="E126" s="7" t="s">
        <v>258</v>
      </c>
      <c r="F126" s="3">
        <v>1</v>
      </c>
      <c r="G126" s="3" t="s">
        <v>225</v>
      </c>
      <c r="H126" s="55">
        <v>0.2</v>
      </c>
      <c r="I126" s="3"/>
      <c r="J126" s="3"/>
      <c r="K126" s="3">
        <f t="shared" si="46"/>
        <v>2</v>
      </c>
      <c r="L126" s="3">
        <f>SUMIF(定义数据!$C$14:$C$29,E126,定义数据!$B$14:$B$29)</f>
        <v>23</v>
      </c>
      <c r="M126" s="3">
        <f>IF(E126="","",ROUND(VLOOKUP($D126,命格辅助表!$A$34:$Q$38,SUMIF(定义数据!$C$14:$C$29,E126,定义数据!$A$14:$A$29)+4,0)*F126,0))</f>
        <v>833</v>
      </c>
      <c r="N126" s="3">
        <f>SUMIF(定义数据!$C$14:$C$29,G126,定义数据!$B$14:$B$29)</f>
        <v>2</v>
      </c>
      <c r="O126" s="3">
        <f>IF(G126="","",INT(VLOOKUP($D126,命格辅助表!$A$34:$Q$38,SUMIF(定义数据!$C$14:$C$29,G126,定义数据!$A$14:$A$29)+4,0)*H126))</f>
        <v>222</v>
      </c>
      <c r="P126" s="3">
        <f>SUMIF(定义数据!$C$14:$C$29,I126,定义数据!$B$14:$B$29)</f>
        <v>0</v>
      </c>
      <c r="Q126" s="3" t="str">
        <f>IF(I126="","",INT(VLOOKUP($D126,命格辅助表!$A$34:$Q$38,SUMIF(定义数据!$C$14:$C$29,I126,定义数据!$A$14:$A$29)+4,0)*J126))</f>
        <v/>
      </c>
      <c r="R126" s="25">
        <f>IF(L126=0,0,INDEX(定义数据!$G$14:$S$14,1,SUMIF(定义数据!$B$14:$B$29,$L126,定义数据!$A$14:$A$29))*M126)+IF(N126=0,0,INDEX(定义数据!$G$14:$S$14,1,SUMIF(定义数据!$B$14:$B$29,$N126,定义数据!$A$14:$A$29))*$O126)+IF(P126=0,0,INDEX(定义数据!$G$14:$S$14,1,SUMIF(定义数据!$B$14:$B$29,$P126,定义数据!$A$14:$A$29))*$Q126)</f>
        <v>421.91999999999996</v>
      </c>
      <c r="S126" s="3">
        <f>SUMIF(定义数据!$C$14:$C$29,E126,定义数据!$B$14:$B$29)</f>
        <v>23</v>
      </c>
      <c r="T126" s="55">
        <f>IF(E126="","",ROUND(VLOOKUP($D126,命格辅助表!$A$42:$Q$46,SUMIF(定义数据!$C$14:$C$29,E126,定义数据!$A$14:$A$29)+4,0)*1,0))</f>
        <v>833</v>
      </c>
      <c r="U126" s="3">
        <f>SUMIF(定义数据!$C$14:$C$29,G126,定义数据!$B$14:$B$29)</f>
        <v>2</v>
      </c>
      <c r="V126" s="3">
        <f>IF(G126="","",INT(VLOOKUP($D126,命格辅助表!$A$42:$Q$46,SUMIF(定义数据!$C$14:$C$29,G126,定义数据!$A$14:$A$29)+4,0)*H126))</f>
        <v>222</v>
      </c>
      <c r="W126" s="3">
        <f>SUMIF(定义数据!$C$14:$C$29,I126,定义数据!$B$14:$B$29)</f>
        <v>0</v>
      </c>
      <c r="X126" s="3" t="str">
        <f>IF(I126="","",INT(VLOOKUP($D126,命格辅助表!$A$42:$Q$46,SUMIF(定义数据!$C$14:$C$29,I126,定义数据!$A$14:$A$29)+4,0)*J126))</f>
        <v/>
      </c>
      <c r="Y126" s="7">
        <v>8240</v>
      </c>
      <c r="Z126" s="3">
        <v>10</v>
      </c>
      <c r="AA126" s="3">
        <f>1/SUMIF(猎命辅助表!$A$20:$A$25,D126,猎命辅助表!$D$20:$D$25)</f>
        <v>608.41049382716051</v>
      </c>
      <c r="AB126">
        <f>INDEX(猎命辅助表!$C$92:$G$92,D126)</f>
        <v>1250</v>
      </c>
    </row>
    <row r="127" spans="1:28">
      <c r="A127" s="3">
        <v>9140</v>
      </c>
      <c r="B127" s="18" t="s">
        <v>217</v>
      </c>
      <c r="C127" s="7" t="s">
        <v>193</v>
      </c>
      <c r="D127" s="3">
        <f>VLOOKUP(C127,定义数据!$B$2:$C$7,2,0)</f>
        <v>4</v>
      </c>
      <c r="E127" s="7" t="s">
        <v>255</v>
      </c>
      <c r="F127" s="3">
        <v>1</v>
      </c>
      <c r="G127" s="3" t="s">
        <v>109</v>
      </c>
      <c r="H127" s="55">
        <v>0.2</v>
      </c>
      <c r="I127" s="3"/>
      <c r="J127" s="3"/>
      <c r="K127" s="3">
        <f t="shared" si="46"/>
        <v>2</v>
      </c>
      <c r="L127" s="3">
        <f>SUMIF(定义数据!$C$14:$C$29,E127,定义数据!$B$14:$B$29)</f>
        <v>24</v>
      </c>
      <c r="M127" s="3">
        <f>IF(E127="","",ROUND(VLOOKUP($D127,命格辅助表!$A$34:$Q$38,SUMIF(定义数据!$C$14:$C$29,E127,定义数据!$A$14:$A$29)+4,0)*F127,0))</f>
        <v>667</v>
      </c>
      <c r="N127" s="3">
        <f>SUMIF(定义数据!$C$14:$C$29,G127,定义数据!$B$14:$B$29)</f>
        <v>1</v>
      </c>
      <c r="O127" s="3">
        <f>IF(G127="","",INT(VLOOKUP($D127,命格辅助表!$A$34:$Q$38,SUMIF(定义数据!$C$14:$C$29,G127,定义数据!$A$14:$A$29)+4,0)*H127))</f>
        <v>5555</v>
      </c>
      <c r="P127" s="3">
        <f>SUMIF(定义数据!$C$14:$C$29,I127,定义数据!$B$14:$B$29)</f>
        <v>0</v>
      </c>
      <c r="Q127" s="3" t="str">
        <f>IF(I127="","",INT(VLOOKUP($D127,命格辅助表!$A$34:$Q$38,SUMIF(定义数据!$C$14:$C$29,I127,定义数据!$A$14:$A$29)+4,0)*J127))</f>
        <v/>
      </c>
      <c r="R127" s="25">
        <f>IF(L127=0,0,INDEX(定义数据!$G$14:$S$14,1,SUMIF(定义数据!$B$14:$B$29,$L127,定义数据!$A$14:$A$29))*M127)+IF(N127=0,0,INDEX(定义数据!$G$14:$S$14,1,SUMIF(定义数据!$B$14:$B$29,$N127,定义数据!$A$14:$A$29))*$O127)+IF(P127=0,0,INDEX(定义数据!$G$14:$S$14,1,SUMIF(定义数据!$B$14:$B$29,$P127,定义数据!$A$14:$A$29))*$Q127)</f>
        <v>422.3</v>
      </c>
      <c r="S127" s="3">
        <f>SUMIF(定义数据!$C$14:$C$29,E127,定义数据!$B$14:$B$29)</f>
        <v>24</v>
      </c>
      <c r="T127" s="55">
        <f>IF(E127="","",ROUND(VLOOKUP($D127,命格辅助表!$A$42:$Q$46,SUMIF(定义数据!$C$14:$C$29,E127,定义数据!$A$14:$A$29)+4,0)*1,0))</f>
        <v>667</v>
      </c>
      <c r="U127" s="3">
        <f>SUMIF(定义数据!$C$14:$C$29,G127,定义数据!$B$14:$B$29)</f>
        <v>1</v>
      </c>
      <c r="V127" s="3">
        <f>IF(G127="","",INT(VLOOKUP($D127,命格辅助表!$A$42:$Q$46,SUMIF(定义数据!$C$14:$C$29,G127,定义数据!$A$14:$A$29)+4,0)*H127))</f>
        <v>5555</v>
      </c>
      <c r="W127" s="3">
        <f>SUMIF(定义数据!$C$14:$C$29,I127,定义数据!$B$14:$B$29)</f>
        <v>0</v>
      </c>
      <c r="X127" s="3" t="str">
        <f>IF(I127="","",INT(VLOOKUP($D127,命格辅助表!$A$42:$Q$46,SUMIF(定义数据!$C$14:$C$29,I127,定义数据!$A$14:$A$29)+4,0)*J127))</f>
        <v/>
      </c>
      <c r="Y127" s="7">
        <v>8340</v>
      </c>
      <c r="Z127" s="3">
        <v>11</v>
      </c>
      <c r="AA127" s="3">
        <f>1/SUMIF(猎命辅助表!$A$20:$A$25,D127,猎命辅助表!$D$20:$D$25)</f>
        <v>608.41049382716051</v>
      </c>
      <c r="AB127">
        <f>INDEX(猎命辅助表!$C$92:$G$92,D127)</f>
        <v>1250</v>
      </c>
    </row>
    <row r="128" spans="1:28">
      <c r="A128" s="3">
        <v>9240</v>
      </c>
      <c r="B128" s="18" t="s">
        <v>21</v>
      </c>
      <c r="C128" s="7" t="s">
        <v>193</v>
      </c>
      <c r="D128" s="3">
        <f>VLOOKUP(C128,定义数据!$B$2:$C$7,2,0)</f>
        <v>4</v>
      </c>
      <c r="E128" s="7" t="s">
        <v>256</v>
      </c>
      <c r="F128" s="3">
        <v>1</v>
      </c>
      <c r="G128" s="7" t="s">
        <v>225</v>
      </c>
      <c r="H128" s="55">
        <v>0.2</v>
      </c>
      <c r="I128" s="3"/>
      <c r="J128" s="3"/>
      <c r="K128" s="3">
        <f t="shared" si="46"/>
        <v>2</v>
      </c>
      <c r="L128" s="3">
        <f>SUMIF(定义数据!$C$14:$C$29,E128,定义数据!$B$14:$B$29)</f>
        <v>25</v>
      </c>
      <c r="M128" s="3">
        <f>IF(E128="","",ROUND(VLOOKUP($D128,命格辅助表!$A$34:$Q$38,SUMIF(定义数据!$C$14:$C$29,E128,定义数据!$A$14:$A$29)+4,0)*F128,0))</f>
        <v>667</v>
      </c>
      <c r="N128" s="3">
        <f>SUMIF(定义数据!$C$14:$C$29,G128,定义数据!$B$14:$B$29)</f>
        <v>2</v>
      </c>
      <c r="O128" s="3">
        <f>IF(G128="","",INT(VLOOKUP($D128,命格辅助表!$A$34:$Q$38,SUMIF(定义数据!$C$14:$C$29,G128,定义数据!$A$14:$A$29)+4,0)*H128))</f>
        <v>222</v>
      </c>
      <c r="P128" s="3">
        <f>SUMIF(定义数据!$C$14:$C$29,I128,定义数据!$B$14:$B$29)</f>
        <v>0</v>
      </c>
      <c r="Q128" s="3" t="str">
        <f>IF(I128="","",INT(VLOOKUP($D128,命格辅助表!$A$34:$Q$38,SUMIF(定义数据!$C$14:$C$29,I128,定义数据!$A$14:$A$29)+4,0)*J128))</f>
        <v/>
      </c>
      <c r="R128" s="25">
        <f>IF(L128=0,0,INDEX(定义数据!$G$14:$S$14,1,SUMIF(定义数据!$B$14:$B$29,$L128,定义数据!$A$14:$A$29))*M128)+IF(N128=0,0,INDEX(定义数据!$G$14:$S$14,1,SUMIF(定义数据!$B$14:$B$29,$N128,定义数据!$A$14:$A$29))*$O128)+IF(P128=0,0,INDEX(定义数据!$G$14:$S$14,1,SUMIF(定义数据!$B$14:$B$29,$P128,定义数据!$A$14:$A$29))*$Q128)</f>
        <v>422.1</v>
      </c>
      <c r="S128" s="3">
        <f>SUMIF(定义数据!$C$14:$C$29,E128,定义数据!$B$14:$B$29)</f>
        <v>25</v>
      </c>
      <c r="T128" s="55">
        <f>IF(E128="","",ROUND(VLOOKUP($D128,命格辅助表!$A$42:$Q$46,SUMIF(定义数据!$C$14:$C$29,E128,定义数据!$A$14:$A$29)+4,0)*1,0))</f>
        <v>667</v>
      </c>
      <c r="U128" s="3">
        <f>SUMIF(定义数据!$C$14:$C$29,G128,定义数据!$B$14:$B$29)</f>
        <v>2</v>
      </c>
      <c r="V128" s="3">
        <f>IF(G128="","",INT(VLOOKUP($D128,命格辅助表!$A$42:$Q$46,SUMIF(定义数据!$C$14:$C$29,G128,定义数据!$A$14:$A$29)+4,0)*H128))</f>
        <v>222</v>
      </c>
      <c r="W128" s="3">
        <f>SUMIF(定义数据!$C$14:$C$29,I128,定义数据!$B$14:$B$29)</f>
        <v>0</v>
      </c>
      <c r="X128" s="3" t="str">
        <f>IF(I128="","",INT(VLOOKUP($D128,命格辅助表!$A$42:$Q$46,SUMIF(定义数据!$C$14:$C$29,I128,定义数据!$A$14:$A$29)+4,0)*J128))</f>
        <v/>
      </c>
      <c r="Y128" s="7">
        <v>8440</v>
      </c>
      <c r="Z128" s="3">
        <v>12</v>
      </c>
      <c r="AA128" s="3">
        <f>1/SUMIF(猎命辅助表!$A$20:$A$25,D128,猎命辅助表!$D$20:$D$25)</f>
        <v>608.41049382716051</v>
      </c>
      <c r="AB128">
        <f>INDEX(猎命辅助表!$C$92:$G$92,D128)</f>
        <v>1250</v>
      </c>
    </row>
    <row r="129" spans="1:28" s="33" customFormat="1">
      <c r="A129" s="35">
        <v>9340</v>
      </c>
      <c r="B129" s="37" t="s">
        <v>396</v>
      </c>
      <c r="C129" s="38" t="s">
        <v>193</v>
      </c>
      <c r="D129" s="39">
        <f>VLOOKUP(C129,定义数据!$B$2:$C$7,2,0)</f>
        <v>4</v>
      </c>
      <c r="E129" s="7" t="s">
        <v>109</v>
      </c>
      <c r="F129" s="3">
        <v>0.2</v>
      </c>
      <c r="G129" s="3" t="s">
        <v>225</v>
      </c>
      <c r="H129" s="3">
        <v>0.2</v>
      </c>
      <c r="I129" s="3"/>
      <c r="J129" s="3"/>
      <c r="K129" s="3">
        <f t="shared" si="46"/>
        <v>2</v>
      </c>
      <c r="L129" s="3">
        <f>SUMIF(定义数据!$C$14:$C$29,E129,定义数据!$B$14:$B$29)</f>
        <v>1</v>
      </c>
      <c r="M129" s="3">
        <f>IF(E129="","",ROUND(VLOOKUP($D129,命格辅助表!$A$34:$Q$38,SUMIF(定义数据!$C$14:$C$29,E129,定义数据!$A$14:$A$29)+4,0)*F129,0))</f>
        <v>5556</v>
      </c>
      <c r="N129" s="3">
        <f>SUMIF(定义数据!$C$14:$C$29,G129,定义数据!$B$14:$B$29)</f>
        <v>2</v>
      </c>
      <c r="O129" s="3">
        <f>IF(G129="","",INT(VLOOKUP($D129,命格辅助表!$A$34:$Q$38,SUMIF(定义数据!$C$14:$C$29,G129,定义数据!$A$14:$A$29)+4,0)*H129))</f>
        <v>222</v>
      </c>
      <c r="P129" s="3">
        <f>SUMIF(定义数据!$C$14:$C$29,I129,定义数据!$B$14:$B$29)</f>
        <v>0</v>
      </c>
      <c r="Q129" s="3" t="str">
        <f>IF(I129="","",INT(VLOOKUP($D129,命格辅助表!$A$34:$Q$38,SUMIF(定义数据!$C$14:$C$29,I129,定义数据!$A$14:$A$29)+4,0)*J129))</f>
        <v/>
      </c>
      <c r="R129" s="25">
        <f>IF(L129=0,0,INDEX(定义数据!$G$14:$S$14,1,SUMIF(定义数据!$B$14:$B$29,$L129,定义数据!$A$14:$A$29))*M129)+IF(N129=0,0,INDEX(定义数据!$G$14:$S$14,1,SUMIF(定义数据!$B$14:$B$29,$N129,定义数据!$A$14:$A$29))*$O129)+IF(P129=0,0,INDEX(定义数据!$G$14:$S$14,1,SUMIF(定义数据!$B$14:$B$29,$P129,定义数据!$A$14:$A$29))*$Q129)</f>
        <v>444.24</v>
      </c>
      <c r="S129" s="35">
        <f>SUMIF(定义数据!$C$14:$C$29,E129,定义数据!$B$14:$B$29)</f>
        <v>1</v>
      </c>
      <c r="T129" s="3">
        <f>IF(E129="","",ROUND(VLOOKUP($D129,命格辅助表!$A$42:$Q$46,SUMIF(定义数据!$C$14:$C$29,E129,定义数据!$A$14:$A$29)+4,0)*F129,0))</f>
        <v>5556</v>
      </c>
      <c r="U129" s="35">
        <f>SUMIF(定义数据!$C$14:$C$29,G129,定义数据!$B$14:$B$29)</f>
        <v>2</v>
      </c>
      <c r="V129" s="35">
        <f>IF(G129="","",INT(VLOOKUP($D129,命格辅助表!$A$42:$Q$46,SUMIF(定义数据!$C$14:$C$29,G129,定义数据!$A$14:$A$29)+4,0)*H129))</f>
        <v>222</v>
      </c>
      <c r="W129" s="35">
        <f>SUMIF(定义数据!$C$14:$C$29,I129,定义数据!$B$14:$B$29)</f>
        <v>0</v>
      </c>
      <c r="X129" s="35" t="str">
        <f>IF(I129="","",INT(VLOOKUP($D129,命格辅助表!$A$42:$Q$46,SUMIF(定义数据!$C$14:$C$29,I129,定义数据!$A$14:$A$29)+4,0)*J129))</f>
        <v/>
      </c>
      <c r="Y129" s="41">
        <v>8140</v>
      </c>
      <c r="Z129" s="3">
        <v>13</v>
      </c>
      <c r="AA129" s="3">
        <f>1/SUMIF(猎命辅助表!$A$20:$A$25,D129,猎命辅助表!$D$20:$D$25)</f>
        <v>608.41049382716051</v>
      </c>
      <c r="AB129">
        <f>INDEX(猎命辅助表!$C$92:$G$92,D129)</f>
        <v>1250</v>
      </c>
    </row>
    <row r="130" spans="1:28" s="33" customFormat="1">
      <c r="A130" s="39">
        <v>9440</v>
      </c>
      <c r="B130" s="40" t="s">
        <v>395</v>
      </c>
      <c r="C130" s="38" t="s">
        <v>193</v>
      </c>
      <c r="D130" s="39">
        <f>VLOOKUP(C130,定义数据!$B$2:$C$7,2,0)</f>
        <v>4</v>
      </c>
      <c r="E130" s="7" t="s">
        <v>225</v>
      </c>
      <c r="F130" s="3">
        <v>0.2</v>
      </c>
      <c r="G130" s="3"/>
      <c r="H130" s="3"/>
      <c r="I130" s="3"/>
      <c r="J130" s="3"/>
      <c r="K130" s="3">
        <f t="shared" si="46"/>
        <v>1</v>
      </c>
      <c r="L130" s="3">
        <f>SUMIF(定义数据!$C$14:$C$29,E130,定义数据!$B$14:$B$29)</f>
        <v>2</v>
      </c>
      <c r="M130" s="3">
        <f>IF(E130="","",ROUND(VLOOKUP($D130,命格辅助表!$A$34:$Q$38,SUMIF(定义数据!$C$14:$C$29,E130,定义数据!$A$14:$A$29)+4,0)*F130,0))</f>
        <v>222</v>
      </c>
      <c r="N130" s="3">
        <f>SUMIF(定义数据!$C$14:$C$29,G130,定义数据!$B$14:$B$29)</f>
        <v>0</v>
      </c>
      <c r="O130" s="3" t="str">
        <f>IF(G130="","",INT(VLOOKUP($D130,命格辅助表!$A$34:$Q$38,SUMIF(定义数据!$C$14:$C$29,G130,定义数据!$A$14:$A$29)+4,0)*H130))</f>
        <v/>
      </c>
      <c r="P130" s="3">
        <f>SUMIF(定义数据!$C$14:$C$29,I130,定义数据!$B$14:$B$29)</f>
        <v>0</v>
      </c>
      <c r="Q130" s="3" t="str">
        <f>IF(I130="","",INT(VLOOKUP($D130,命格辅助表!$A$34:$Q$38,SUMIF(定义数据!$C$14:$C$29,I130,定义数据!$A$14:$A$29)+4,0)*J130))</f>
        <v/>
      </c>
      <c r="R130" s="25">
        <f>IF(L130=0,0,INDEX(定义数据!$G$14:$S$14,1,SUMIF(定义数据!$B$14:$B$29,$L130,定义数据!$A$14:$A$29))*M130)+IF(N130=0,0,INDEX(定义数据!$G$14:$S$14,1,SUMIF(定义数据!$B$14:$B$29,$N130,定义数据!$A$14:$A$29))*$O130)+IF(P130=0,0,INDEX(定义数据!$G$14:$S$14,1,SUMIF(定义数据!$B$14:$B$29,$P130,定义数据!$A$14:$A$29))*$Q130)</f>
        <v>222</v>
      </c>
      <c r="S130" s="35">
        <f>SUMIF(定义数据!$C$14:$C$29,E130,定义数据!$B$14:$B$29)</f>
        <v>2</v>
      </c>
      <c r="T130" s="3">
        <f>IF(E130="","",ROUND(VLOOKUP($D130,命格辅助表!$A$42:$Q$46,SUMIF(定义数据!$C$14:$C$29,E130,定义数据!$A$14:$A$29)+4,0)*F130,0))</f>
        <v>222</v>
      </c>
      <c r="U130" s="35">
        <f>SUMIF(定义数据!$C$14:$C$29,G130,定义数据!$B$14:$B$29)</f>
        <v>0</v>
      </c>
      <c r="V130" s="35" t="str">
        <f>IF(G130="","",INT(VLOOKUP($D130,命格辅助表!$A$42:$Q$46,SUMIF(定义数据!$C$14:$C$29,G130,定义数据!$A$14:$A$29)+4,0)*H130))</f>
        <v/>
      </c>
      <c r="W130" s="35">
        <f>SUMIF(定义数据!$C$14:$C$29,I130,定义数据!$B$14:$B$29)</f>
        <v>0</v>
      </c>
      <c r="X130" s="35" t="str">
        <f>IF(I130="","",INT(VLOOKUP($D130,命格辅助表!$A$42:$Q$46,SUMIF(定义数据!$C$14:$C$29,I130,定义数据!$A$14:$A$29)+4,0)*J130))</f>
        <v/>
      </c>
      <c r="Y130" s="41">
        <v>8240</v>
      </c>
      <c r="Z130" s="3">
        <v>14</v>
      </c>
      <c r="AA130" s="3">
        <f>1/SUMIF(猎命辅助表!$A$20:$A$25,D130,猎命辅助表!$D$20:$D$25)</f>
        <v>608.41049382716051</v>
      </c>
      <c r="AB130">
        <f>INDEX(猎命辅助表!$C$92:$G$92,D130)</f>
        <v>1250</v>
      </c>
    </row>
    <row r="131" spans="1:28" s="32" customFormat="1">
      <c r="A131" s="28">
        <v>9540</v>
      </c>
      <c r="B131" s="29" t="s">
        <v>20</v>
      </c>
      <c r="C131" s="30" t="s">
        <v>193</v>
      </c>
      <c r="D131" s="43">
        <f>VLOOKUP(C131,定义数据!$B$2:$C$7,2,0)</f>
        <v>4</v>
      </c>
      <c r="E131" s="30" t="s">
        <v>109</v>
      </c>
      <c r="F131" s="43">
        <v>0.1</v>
      </c>
      <c r="G131" s="43" t="s">
        <v>225</v>
      </c>
      <c r="H131" s="43">
        <f>C30/C23</f>
        <v>0</v>
      </c>
      <c r="I131" s="43"/>
      <c r="J131" s="43"/>
      <c r="K131" s="43">
        <f t="shared" si="46"/>
        <v>1</v>
      </c>
      <c r="L131" s="43">
        <f>SUMIF(定义数据!$C$14:$C$29,E131,定义数据!$B$14:$B$29)</f>
        <v>1</v>
      </c>
      <c r="M131" s="3">
        <f>IF(E131="","",ROUND(VLOOKUP($D131,命格辅助表!$A$34:$Q$38,SUMIF(定义数据!$C$14:$C$29,E131,定义数据!$A$14:$A$29)+4,0)*F131,0))</f>
        <v>2778</v>
      </c>
      <c r="N131" s="43">
        <f>SUMIF(定义数据!$C$14:$C$29,G131,定义数据!$B$14:$B$29)</f>
        <v>2</v>
      </c>
      <c r="O131" s="43">
        <f>IF(G131="","",INT(VLOOKUP($D131,命格辅助表!$A$34:$Q$38,SUMIF(定义数据!$C$14:$C$29,G131,定义数据!$A$14:$A$29)+4,0)*H131))</f>
        <v>0</v>
      </c>
      <c r="P131" s="43">
        <f>SUMIF(定义数据!$C$14:$C$29,I131,定义数据!$B$14:$B$29)</f>
        <v>0</v>
      </c>
      <c r="Q131" s="43" t="str">
        <f>IF(I131="","",INT(VLOOKUP($D131,命格辅助表!$A$34:$Q$38,SUMIF(定义数据!$C$14:$C$29,I131,定义数据!$A$14:$A$29)+4,0)*J131))</f>
        <v/>
      </c>
      <c r="R131" s="31">
        <f>IF(L131=0,0,INDEX(定义数据!$G$14:$S$14,1,SUMIF(定义数据!$B$14:$B$29,$L131,定义数据!$A$14:$A$29))*M131)+IF(N131=0,0,INDEX(定义数据!$G$14:$S$14,1,SUMIF(定义数据!$B$14:$B$29,$N131,定义数据!$A$14:$A$29))*$O131)+IF(P131=0,0,INDEX(定义数据!$G$14:$S$14,1,SUMIF(定义数据!$B$14:$B$29,$P131,定义数据!$A$14:$A$29))*$Q131)</f>
        <v>111.12</v>
      </c>
      <c r="S131" s="28">
        <f>SUMIF(定义数据!$C$14:$C$29,E131,定义数据!$B$14:$B$29)</f>
        <v>1</v>
      </c>
      <c r="T131" s="3">
        <f>IF(E131="","",ROUND(VLOOKUP($D131,命格辅助表!$A$42:$Q$46,SUMIF(定义数据!$C$14:$C$29,E131,定义数据!$A$14:$A$29)+4,0)*F131,0))</f>
        <v>2778</v>
      </c>
      <c r="U131" s="28">
        <f>SUMIF(定义数据!$C$14:$C$29,G131,定义数据!$B$14:$B$29)</f>
        <v>2</v>
      </c>
      <c r="V131" s="28">
        <f>IF(G131="","",INT(VLOOKUP($D131,命格辅助表!$A$42:$Q$46,SUMIF(定义数据!$C$14:$C$29,G131,定义数据!$A$14:$A$29)+4,0)*H131))</f>
        <v>0</v>
      </c>
      <c r="W131" s="28">
        <f>SUMIF(定义数据!$C$14:$C$29,I131,定义数据!$B$14:$B$29)</f>
        <v>0</v>
      </c>
      <c r="X131" s="28" t="str">
        <f>IF(I131="","",INT(VLOOKUP($D131,命格辅助表!$A$42:$Q$46,SUMIF(定义数据!$C$14:$C$29,I131,定义数据!$A$14:$A$29)+4,0)*J131))</f>
        <v/>
      </c>
      <c r="Y131" s="30">
        <v>8340</v>
      </c>
      <c r="Z131" s="3">
        <v>15</v>
      </c>
      <c r="AA131" s="3">
        <f>1/SUMIF(猎命辅助表!$A$20:$A$25,D131,猎命辅助表!$D$20:$D$25)</f>
        <v>608.41049382716051</v>
      </c>
      <c r="AB131">
        <f>INDEX(猎命辅助表!$C$92:$G$92,D131)</f>
        <v>1250</v>
      </c>
    </row>
    <row r="132" spans="1:28" s="32" customFormat="1">
      <c r="A132" s="28">
        <v>9640</v>
      </c>
      <c r="B132" s="29" t="s">
        <v>75</v>
      </c>
      <c r="C132" s="30" t="s">
        <v>193</v>
      </c>
      <c r="D132" s="28">
        <f>VLOOKUP(C132,定义数据!$B$2:$C$7,2,0)</f>
        <v>4</v>
      </c>
      <c r="E132" s="30" t="s">
        <v>109</v>
      </c>
      <c r="F132" s="43">
        <v>0.4</v>
      </c>
      <c r="G132" s="43" t="s">
        <v>226</v>
      </c>
      <c r="H132" s="43">
        <v>0.2</v>
      </c>
      <c r="I132" s="43"/>
      <c r="J132" s="43"/>
      <c r="K132" s="43">
        <f t="shared" si="46"/>
        <v>2</v>
      </c>
      <c r="L132" s="43">
        <f>SUMIF(定义数据!$C$14:$C$29,E132,定义数据!$B$14:$B$29)</f>
        <v>1</v>
      </c>
      <c r="M132" s="3">
        <f>IF(E132="","",ROUND(VLOOKUP($D132,命格辅助表!$A$34:$Q$38,SUMIF(定义数据!$C$14:$C$29,E132,定义数据!$A$14:$A$29)+4,0)*F132,0))</f>
        <v>11111</v>
      </c>
      <c r="N132" s="43">
        <f>SUMIF(定义数据!$C$14:$C$29,G132,定义数据!$B$14:$B$29)</f>
        <v>3</v>
      </c>
      <c r="O132" s="43">
        <f>IF(G132="","",INT(VLOOKUP($D132,命格辅助表!$A$34:$Q$38,SUMIF(定义数据!$C$14:$C$29,G132,定义数据!$A$14:$A$29)+4,0)*H132))</f>
        <v>88</v>
      </c>
      <c r="P132" s="43">
        <f>SUMIF(定义数据!$C$14:$C$29,I132,定义数据!$B$14:$B$29)</f>
        <v>0</v>
      </c>
      <c r="Q132" s="43" t="str">
        <f>IF(I132="","",INT(VLOOKUP($D132,命格辅助表!$A$34:$Q$38,SUMIF(定义数据!$C$14:$C$29,I132,定义数据!$A$14:$A$29)+4,0)*J132))</f>
        <v/>
      </c>
      <c r="R132" s="31">
        <f>IF(L132=0,0,INDEX(定义数据!$G$14:$S$14,1,SUMIF(定义数据!$B$14:$B$29,$L132,定义数据!$A$14:$A$29))*M132)+IF(N132=0,0,INDEX(定义数据!$G$14:$S$14,1,SUMIF(定义数据!$B$14:$B$29,$N132,定义数据!$A$14:$A$29))*$O132)+IF(P132=0,0,INDEX(定义数据!$G$14:$S$14,1,SUMIF(定义数据!$B$14:$B$29,$P132,定义数据!$A$14:$A$29))*$Q132)</f>
        <v>532.44000000000005</v>
      </c>
      <c r="S132" s="28">
        <f>SUMIF(定义数据!$C$14:$C$29,E132,定义数据!$B$14:$B$29)</f>
        <v>1</v>
      </c>
      <c r="T132" s="3">
        <f>IF(E132="","",ROUND(VLOOKUP($D132,命格辅助表!$A$42:$Q$46,SUMIF(定义数据!$C$14:$C$29,E132,定义数据!$A$14:$A$29)+4,0)*F132,0))</f>
        <v>11111</v>
      </c>
      <c r="U132" s="28">
        <f>SUMIF(定义数据!$C$14:$C$29,G132,定义数据!$B$14:$B$29)</f>
        <v>3</v>
      </c>
      <c r="V132" s="28">
        <f>IF(G132="","",INT(VLOOKUP($D132,命格辅助表!$A$42:$Q$46,SUMIF(定义数据!$C$14:$C$29,G132,定义数据!$A$14:$A$29)+4,0)*H132))</f>
        <v>88</v>
      </c>
      <c r="W132" s="28">
        <f>SUMIF(定义数据!$C$14:$C$29,I132,定义数据!$B$14:$B$29)</f>
        <v>0</v>
      </c>
      <c r="X132" s="28" t="str">
        <f>IF(I132="","",INT(VLOOKUP($D132,命格辅助表!$A$42:$Q$46,SUMIF(定义数据!$C$14:$C$29,I132,定义数据!$A$14:$A$29)+4,0)*J132))</f>
        <v/>
      </c>
      <c r="Y132" s="30">
        <v>8440</v>
      </c>
      <c r="Z132" s="3">
        <v>16</v>
      </c>
      <c r="AA132" s="3">
        <f>1/SUMIF(猎命辅助表!$A$20:$A$25,D132,猎命辅助表!$D$20:$D$25)</f>
        <v>608.41049382716051</v>
      </c>
      <c r="AB132">
        <f>INDEX(猎命辅助表!$C$92:$G$92,D132)</f>
        <v>1250</v>
      </c>
    </row>
    <row r="133" spans="1:28" s="32" customFormat="1">
      <c r="A133" s="28">
        <v>9740</v>
      </c>
      <c r="B133" s="29" t="s">
        <v>22</v>
      </c>
      <c r="C133" s="30" t="s">
        <v>193</v>
      </c>
      <c r="D133" s="28">
        <f>VLOOKUP(C133,定义数据!$B$2:$C$7,2,0)</f>
        <v>4</v>
      </c>
      <c r="E133" s="30" t="s">
        <v>225</v>
      </c>
      <c r="F133" s="43">
        <v>0.4</v>
      </c>
      <c r="G133" s="43" t="s">
        <v>226</v>
      </c>
      <c r="H133" s="43">
        <v>0.2</v>
      </c>
      <c r="I133" s="43"/>
      <c r="J133" s="43"/>
      <c r="K133" s="43">
        <f t="shared" si="46"/>
        <v>2</v>
      </c>
      <c r="L133" s="43">
        <f>SUMIF(定义数据!$C$14:$C$29,E133,定义数据!$B$14:$B$29)</f>
        <v>2</v>
      </c>
      <c r="M133" s="3">
        <f>IF(E133="","",ROUND(VLOOKUP($D133,命格辅助表!$A$34:$Q$38,SUMIF(定义数据!$C$14:$C$29,E133,定义数据!$A$14:$A$29)+4,0)*F133,0))</f>
        <v>444</v>
      </c>
      <c r="N133" s="43">
        <f>SUMIF(定义数据!$C$14:$C$29,G133,定义数据!$B$14:$B$29)</f>
        <v>3</v>
      </c>
      <c r="O133" s="43">
        <f>IF(G133="","",INT(VLOOKUP($D133,命格辅助表!$A$34:$Q$38,SUMIF(定义数据!$C$14:$C$29,G133,定义数据!$A$14:$A$29)+4,0)*H133))</f>
        <v>88</v>
      </c>
      <c r="P133" s="43">
        <f>SUMIF(定义数据!$C$14:$C$29,I133,定义数据!$B$14:$B$29)</f>
        <v>0</v>
      </c>
      <c r="Q133" s="43" t="str">
        <f>IF(I133="","",INT(VLOOKUP($D133,命格辅助表!$A$34:$Q$38,SUMIF(定义数据!$C$14:$C$29,I133,定义数据!$A$14:$A$29)+4,0)*J133))</f>
        <v/>
      </c>
      <c r="R133" s="31">
        <f>IF(L133=0,0,INDEX(定义数据!$G$14:$S$14,1,SUMIF(定义数据!$B$14:$B$29,$L133,定义数据!$A$14:$A$29))*M133)+IF(N133=0,0,INDEX(定义数据!$G$14:$S$14,1,SUMIF(定义数据!$B$14:$B$29,$N133,定义数据!$A$14:$A$29))*$O133)+IF(P133=0,0,INDEX(定义数据!$G$14:$S$14,1,SUMIF(定义数据!$B$14:$B$29,$P133,定义数据!$A$14:$A$29))*$Q133)</f>
        <v>532</v>
      </c>
      <c r="S133" s="28">
        <f>SUMIF(定义数据!$C$14:$C$29,E133,定义数据!$B$14:$B$29)</f>
        <v>2</v>
      </c>
      <c r="T133" s="3">
        <f>IF(E133="","",ROUND(VLOOKUP($D133,命格辅助表!$A$42:$Q$46,SUMIF(定义数据!$C$14:$C$29,E133,定义数据!$A$14:$A$29)+4,0)*F133,0))</f>
        <v>444</v>
      </c>
      <c r="U133" s="28">
        <f>SUMIF(定义数据!$C$14:$C$29,G133,定义数据!$B$14:$B$29)</f>
        <v>3</v>
      </c>
      <c r="V133" s="28">
        <f>IF(G133="","",INT(VLOOKUP($D133,命格辅助表!$A$42:$Q$46,SUMIF(定义数据!$C$14:$C$29,G133,定义数据!$A$14:$A$29)+4,0)*H133))</f>
        <v>88</v>
      </c>
      <c r="W133" s="28">
        <f>SUMIF(定义数据!$C$14:$C$29,I133,定义数据!$B$14:$B$29)</f>
        <v>0</v>
      </c>
      <c r="X133" s="28" t="str">
        <f>IF(I133="","",INT(VLOOKUP($D133,命格辅助表!$A$42:$Q$46,SUMIF(定义数据!$C$14:$C$29,I133,定义数据!$A$14:$A$29)+4,0)*J133))</f>
        <v/>
      </c>
      <c r="Y133" s="30">
        <v>8140</v>
      </c>
      <c r="Z133" s="3">
        <v>17</v>
      </c>
      <c r="AA133" s="3">
        <f>1/SUMIF(猎命辅助表!$A$20:$A$25,D133,猎命辅助表!$D$20:$D$25)</f>
        <v>608.41049382716051</v>
      </c>
      <c r="AB133">
        <f>INDEX(猎命辅助表!$C$92:$G$92,D133)</f>
        <v>1250</v>
      </c>
    </row>
    <row r="134" spans="1:28" s="32" customFormat="1">
      <c r="A134" s="28">
        <v>9840</v>
      </c>
      <c r="B134" s="29" t="s">
        <v>351</v>
      </c>
      <c r="C134" s="30" t="s">
        <v>193</v>
      </c>
      <c r="D134" s="28">
        <f>VLOOKUP(C134,定义数据!$B$2:$C$7,2,0)</f>
        <v>4</v>
      </c>
      <c r="E134" s="30" t="s">
        <v>229</v>
      </c>
      <c r="F134" s="43">
        <v>0.5</v>
      </c>
      <c r="G134" s="43" t="s">
        <v>259</v>
      </c>
      <c r="H134" s="43">
        <v>0.5</v>
      </c>
      <c r="I134" s="43"/>
      <c r="J134" s="43"/>
      <c r="K134" s="43">
        <f t="shared" si="46"/>
        <v>2</v>
      </c>
      <c r="L134" s="43">
        <f>SUMIF(定义数据!$C$14:$C$29,E134,定义数据!$B$14:$B$29)</f>
        <v>8</v>
      </c>
      <c r="M134" s="3">
        <f>IF(E134="","",ROUND(VLOOKUP($D134,命格辅助表!$A$34:$Q$38,SUMIF(定义数据!$C$14:$C$29,E134,定义数据!$A$14:$A$29)+4,0)*F134,0))</f>
        <v>1235</v>
      </c>
      <c r="N134" s="43">
        <f>SUMIF(定义数据!$C$14:$C$29,G134,定义数据!$B$14:$B$29)</f>
        <v>0</v>
      </c>
      <c r="O134" s="43">
        <f>IF(G134="","",INT(VLOOKUP($D134,命格辅助表!$A$34:$Q$38,SUMIF(定义数据!$C$14:$C$29,G134,定义数据!$A$14:$A$29)+4,0)*H134))</f>
        <v>0</v>
      </c>
      <c r="P134" s="43">
        <f>SUMIF(定义数据!$C$14:$C$29,I134,定义数据!$B$14:$B$29)</f>
        <v>0</v>
      </c>
      <c r="Q134" s="43" t="str">
        <f>IF(I134="","",INT(VLOOKUP($D134,命格辅助表!$A$34:$Q$38,SUMIF(定义数据!$C$14:$C$29,I134,定义数据!$A$14:$A$29)+4,0)*J134))</f>
        <v/>
      </c>
      <c r="R134" s="31">
        <f>IF(L134=0,0,INDEX(定义数据!$G$14:$S$14,1,SUMIF(定义数据!$B$14:$B$29,$L134,定义数据!$A$14:$A$29))*M134)+IF(N134=0,0,INDEX(定义数据!$G$14:$S$14,1,SUMIF(定义数据!$B$14:$B$29,$N134,定义数据!$A$14:$A$29))*$O134)+IF(P134=0,0,INDEX(定义数据!$G$14:$S$14,1,SUMIF(定义数据!$B$14:$B$29,$P134,定义数据!$A$14:$A$29))*$Q134)</f>
        <v>222.29999999999998</v>
      </c>
      <c r="S134" s="28">
        <f>SUMIF(定义数据!$C$14:$C$29,E134,定义数据!$B$14:$B$29)</f>
        <v>8</v>
      </c>
      <c r="T134" s="3">
        <f>IF(E134="","",ROUND(VLOOKUP($D134,命格辅助表!$A$42:$Q$46,SUMIF(定义数据!$C$14:$C$29,E134,定义数据!$A$14:$A$29)+4,0)*F134,0))</f>
        <v>1235</v>
      </c>
      <c r="U134" s="28">
        <f>SUMIF(定义数据!$C$14:$C$29,G134,定义数据!$B$14:$B$29)</f>
        <v>0</v>
      </c>
      <c r="V134" s="28">
        <f>IF(G134="","",INT(VLOOKUP($D134,命格辅助表!$A$42:$Q$46,SUMIF(定义数据!$C$14:$C$29,G134,定义数据!$A$14:$A$29)+4,0)*H134))</f>
        <v>0</v>
      </c>
      <c r="W134" s="28">
        <f>SUMIF(定义数据!$C$14:$C$29,I134,定义数据!$B$14:$B$29)</f>
        <v>0</v>
      </c>
      <c r="X134" s="28" t="str">
        <f>IF(I134="","",INT(VLOOKUP($D134,命格辅助表!$A$42:$Q$46,SUMIF(定义数据!$C$14:$C$29,I134,定义数据!$A$14:$A$29)+4,0)*J134))</f>
        <v/>
      </c>
      <c r="Y134" s="30">
        <v>8240</v>
      </c>
      <c r="Z134" s="3">
        <v>18</v>
      </c>
      <c r="AA134" s="3">
        <f>1/SUMIF(猎命辅助表!$A$20:$A$25,D134,猎命辅助表!$D$20:$D$25)</f>
        <v>608.41049382716051</v>
      </c>
      <c r="AB134">
        <f>INDEX(猎命辅助表!$C$92:$G$92,D134)</f>
        <v>1250</v>
      </c>
    </row>
    <row r="135" spans="1:28">
      <c r="A135" s="3">
        <v>8150</v>
      </c>
      <c r="B135" s="17" t="s">
        <v>352</v>
      </c>
      <c r="C135" s="7" t="s">
        <v>240</v>
      </c>
      <c r="D135" s="3">
        <f>VLOOKUP(C135,定义数据!$B$2:$C$7,2,0)</f>
        <v>5</v>
      </c>
      <c r="E135" s="7" t="s">
        <v>109</v>
      </c>
      <c r="F135" s="7">
        <v>0.4</v>
      </c>
      <c r="G135" s="3"/>
      <c r="H135" s="3"/>
      <c r="I135" s="3"/>
      <c r="J135" s="3"/>
      <c r="K135" s="3">
        <f t="shared" si="45"/>
        <v>1</v>
      </c>
      <c r="L135" s="3">
        <f>SUMIF(定义数据!$C$14:$C$29,E135,定义数据!$B$14:$B$29)</f>
        <v>1</v>
      </c>
      <c r="M135" s="3">
        <f>IF(E135="","",ROUND(VLOOKUP($D135,命格辅助表!$A$34:$Q$38,SUMIF(定义数据!$C$14:$C$29,E135,定义数据!$A$14:$A$29)+4,0)*F135,0))</f>
        <v>20000</v>
      </c>
      <c r="N135" s="3">
        <f>SUMIF(定义数据!$C$14:$C$29,G135,定义数据!$B$14:$B$29)</f>
        <v>0</v>
      </c>
      <c r="O135" s="3" t="str">
        <f>IF(G135="","",INT(VLOOKUP($D135,命格辅助表!$A$34:$Q$38,SUMIF(定义数据!$C$14:$C$29,G135,定义数据!$A$14:$A$29)+4,0)*H135))</f>
        <v/>
      </c>
      <c r="P135" s="3">
        <f>SUMIF(定义数据!$C$14:$C$29,I135,定义数据!$B$14:$B$29)</f>
        <v>0</v>
      </c>
      <c r="Q135" s="3" t="str">
        <f>IF(I135="","",INT(VLOOKUP($D135,命格辅助表!$A$34:$Q$38,SUMIF(定义数据!$C$14:$C$29,I135,定义数据!$A$14:$A$29)+4,0)*J135))</f>
        <v/>
      </c>
      <c r="R135" s="25">
        <f>IF(L135=0,0,INDEX(定义数据!$G$14:$S$14,1,SUMIF(定义数据!$B$14:$B$29,$L135,定义数据!$A$14:$A$29))*M135)+IF(N135=0,0,INDEX(定义数据!$G$14:$S$14,1,SUMIF(定义数据!$B$14:$B$29,$N135,定义数据!$A$14:$A$29))*$O135)+IF(P135=0,0,INDEX(定义数据!$G$14:$S$14,1,SUMIF(定义数据!$B$14:$B$29,$P135,定义数据!$A$14:$A$29))*$Q135)</f>
        <v>800</v>
      </c>
      <c r="S135" s="3">
        <f>SUMIF(定义数据!$C$14:$C$29,E135,定义数据!$B$14:$B$29)</f>
        <v>1</v>
      </c>
      <c r="T135" s="3">
        <f>IF(E135="","",ROUND(VLOOKUP($D135,命格辅助表!$A$42:$Q$46,SUMIF(定义数据!$C$14:$C$29,E135,定义数据!$A$14:$A$29)+4,0)*F135,0))</f>
        <v>20000</v>
      </c>
      <c r="U135" s="3">
        <f>SUMIF(定义数据!$C$14:$C$29,G135,定义数据!$B$14:$B$29)</f>
        <v>0</v>
      </c>
      <c r="V135" s="3" t="str">
        <f>IF(G135="","",INT(VLOOKUP($D135,命格辅助表!$A$42:$Q$46,SUMIF(定义数据!$C$14:$C$29,G135,定义数据!$A$14:$A$29)+4,0)*H135))</f>
        <v/>
      </c>
      <c r="W135" s="3">
        <f>SUMIF(定义数据!$C$14:$C$29,I135,定义数据!$B$14:$B$29)</f>
        <v>0</v>
      </c>
      <c r="X135" s="3" t="str">
        <f>IF(I135="","",INT(VLOOKUP($D135,命格辅助表!$A$42:$Q$46,SUMIF(定义数据!$C$14:$C$29,I135,定义数据!$A$14:$A$29)+4,0)*J135))</f>
        <v/>
      </c>
      <c r="Y135" s="7">
        <v>8150</v>
      </c>
      <c r="Z135" s="3">
        <v>1</v>
      </c>
      <c r="AA135" s="3">
        <f>1/SUMIF(猎命辅助表!$A$20:$A$25,D135,猎命辅助表!$D$20:$D$25)</f>
        <v>4867.2839506172841</v>
      </c>
      <c r="AB135">
        <f>INDEX(猎命辅助表!$C$92:$G$92,D135)</f>
        <v>5000</v>
      </c>
    </row>
    <row r="136" spans="1:28">
      <c r="A136" s="3">
        <v>8250</v>
      </c>
      <c r="B136" s="17" t="s">
        <v>353</v>
      </c>
      <c r="C136" s="7" t="s">
        <v>240</v>
      </c>
      <c r="D136" s="3">
        <f>VLOOKUP(C136,定义数据!$B$2:$C$7,2,0)</f>
        <v>5</v>
      </c>
      <c r="E136" s="7" t="s">
        <v>225</v>
      </c>
      <c r="F136" s="7">
        <v>0.4</v>
      </c>
      <c r="G136" s="3"/>
      <c r="H136" s="3"/>
      <c r="I136" s="3"/>
      <c r="J136" s="3"/>
      <c r="K136" s="3">
        <f t="shared" si="45"/>
        <v>1</v>
      </c>
      <c r="L136" s="3">
        <f>SUMIF(定义数据!$C$14:$C$29,E136,定义数据!$B$14:$B$29)</f>
        <v>2</v>
      </c>
      <c r="M136" s="3">
        <f>IF(E136="","",ROUND(VLOOKUP($D136,命格辅助表!$A$34:$Q$38,SUMIF(定义数据!$C$14:$C$29,E136,定义数据!$A$14:$A$29)+4,0)*F136,0))</f>
        <v>800</v>
      </c>
      <c r="N136" s="3">
        <f>SUMIF(定义数据!$C$14:$C$29,G136,定义数据!$B$14:$B$29)</f>
        <v>0</v>
      </c>
      <c r="O136" s="3" t="str">
        <f>IF(G136="","",INT(VLOOKUP($D136,命格辅助表!$A$34:$Q$38,SUMIF(定义数据!$C$14:$C$29,G136,定义数据!$A$14:$A$29)+4,0)*H136))</f>
        <v/>
      </c>
      <c r="P136" s="3">
        <f>SUMIF(定义数据!$C$14:$C$29,I136,定义数据!$B$14:$B$29)</f>
        <v>0</v>
      </c>
      <c r="Q136" s="3" t="str">
        <f>IF(I136="","",INT(VLOOKUP($D136,命格辅助表!$A$34:$Q$38,SUMIF(定义数据!$C$14:$C$29,I136,定义数据!$A$14:$A$29)+4,0)*J136))</f>
        <v/>
      </c>
      <c r="R136" s="25">
        <f>IF(L136=0,0,INDEX(定义数据!$G$14:$S$14,1,SUMIF(定义数据!$B$14:$B$29,$L136,定义数据!$A$14:$A$29))*M136)+IF(N136=0,0,INDEX(定义数据!$G$14:$S$14,1,SUMIF(定义数据!$B$14:$B$29,$N136,定义数据!$A$14:$A$29))*$O136)+IF(P136=0,0,INDEX(定义数据!$G$14:$S$14,1,SUMIF(定义数据!$B$14:$B$29,$P136,定义数据!$A$14:$A$29))*$Q136)</f>
        <v>800</v>
      </c>
      <c r="S136" s="3">
        <f>SUMIF(定义数据!$C$14:$C$29,E136,定义数据!$B$14:$B$29)</f>
        <v>2</v>
      </c>
      <c r="T136" s="3">
        <f>IF(E136="","",ROUND(VLOOKUP($D136,命格辅助表!$A$42:$Q$46,SUMIF(定义数据!$C$14:$C$29,E136,定义数据!$A$14:$A$29)+4,0)*F136,0))</f>
        <v>800</v>
      </c>
      <c r="U136" s="3">
        <f>SUMIF(定义数据!$C$14:$C$29,G136,定义数据!$B$14:$B$29)</f>
        <v>0</v>
      </c>
      <c r="V136" s="3" t="str">
        <f>IF(G136="","",INT(VLOOKUP($D136,命格辅助表!$A$42:$Q$46,SUMIF(定义数据!$C$14:$C$29,G136,定义数据!$A$14:$A$29)+4,0)*H136))</f>
        <v/>
      </c>
      <c r="W136" s="3">
        <f>SUMIF(定义数据!$C$14:$C$29,I136,定义数据!$B$14:$B$29)</f>
        <v>0</v>
      </c>
      <c r="X136" s="3" t="str">
        <f>IF(I136="","",INT(VLOOKUP($D136,命格辅助表!$A$42:$Q$46,SUMIF(定义数据!$C$14:$C$29,I136,定义数据!$A$14:$A$29)+4,0)*J136))</f>
        <v/>
      </c>
      <c r="Y136" s="7">
        <v>8250</v>
      </c>
      <c r="Z136" s="3">
        <v>2</v>
      </c>
      <c r="AA136" s="3">
        <f>1/SUMIF(猎命辅助表!$A$20:$A$25,D136,猎命辅助表!$D$20:$D$25)</f>
        <v>4867.2839506172841</v>
      </c>
      <c r="AB136">
        <f>INDEX(猎命辅助表!$C$92:$G$92,D136)</f>
        <v>5000</v>
      </c>
    </row>
    <row r="137" spans="1:28">
      <c r="A137" s="3">
        <v>8350</v>
      </c>
      <c r="B137" s="17" t="s">
        <v>354</v>
      </c>
      <c r="C137" s="7" t="s">
        <v>240</v>
      </c>
      <c r="D137" s="3">
        <f>VLOOKUP(C137,定义数据!$B$2:$C$7,2,0)</f>
        <v>5</v>
      </c>
      <c r="E137" s="7" t="s">
        <v>226</v>
      </c>
      <c r="F137" s="7">
        <v>1</v>
      </c>
      <c r="G137" s="3"/>
      <c r="H137" s="3"/>
      <c r="I137" s="3"/>
      <c r="J137" s="3"/>
      <c r="K137" s="3">
        <f t="shared" si="45"/>
        <v>1</v>
      </c>
      <c r="L137" s="3">
        <f>SUMIF(定义数据!$C$14:$C$29,E137,定义数据!$B$14:$B$29)</f>
        <v>3</v>
      </c>
      <c r="M137" s="3">
        <f>IF(E137="","",ROUND(VLOOKUP($D137,命格辅助表!$A$34:$Q$38,SUMIF(定义数据!$C$14:$C$29,E137,定义数据!$A$14:$A$29)+4,0)*F137,0))</f>
        <v>800</v>
      </c>
      <c r="N137" s="3">
        <f>SUMIF(定义数据!$C$14:$C$29,G137,定义数据!$B$14:$B$29)</f>
        <v>0</v>
      </c>
      <c r="O137" s="3" t="str">
        <f>IF(G137="","",INT(VLOOKUP($D137,命格辅助表!$A$34:$Q$38,SUMIF(定义数据!$C$14:$C$29,G137,定义数据!$A$14:$A$29)+4,0)*H137))</f>
        <v/>
      </c>
      <c r="P137" s="3">
        <f>SUMIF(定义数据!$C$14:$C$29,I137,定义数据!$B$14:$B$29)</f>
        <v>0</v>
      </c>
      <c r="Q137" s="3" t="str">
        <f>IF(I137="","",INT(VLOOKUP($D137,命格辅助表!$A$34:$Q$38,SUMIF(定义数据!$C$14:$C$29,I137,定义数据!$A$14:$A$29)+4,0)*J137))</f>
        <v/>
      </c>
      <c r="R137" s="25">
        <f>IF(L137=0,0,INDEX(定义数据!$G$14:$S$14,1,SUMIF(定义数据!$B$14:$B$29,$L137,定义数据!$A$14:$A$29))*M137)+IF(N137=0,0,INDEX(定义数据!$G$14:$S$14,1,SUMIF(定义数据!$B$14:$B$29,$N137,定义数据!$A$14:$A$29))*$O137)+IF(P137=0,0,INDEX(定义数据!$G$14:$S$14,1,SUMIF(定义数据!$B$14:$B$29,$P137,定义数据!$A$14:$A$29))*$Q137)</f>
        <v>800</v>
      </c>
      <c r="S137" s="3">
        <f>SUMIF(定义数据!$C$14:$C$29,E137,定义数据!$B$14:$B$29)</f>
        <v>3</v>
      </c>
      <c r="T137" s="3">
        <f>IF(E137="","",ROUND(VLOOKUP($D137,命格辅助表!$A$42:$Q$46,SUMIF(定义数据!$C$14:$C$29,E137,定义数据!$A$14:$A$29)+4,0)*F137,0))</f>
        <v>800</v>
      </c>
      <c r="U137" s="3">
        <f>SUMIF(定义数据!$C$14:$C$29,G137,定义数据!$B$14:$B$29)</f>
        <v>0</v>
      </c>
      <c r="V137" s="3" t="str">
        <f>IF(G137="","",INT(VLOOKUP($D137,命格辅助表!$A$42:$Q$46,SUMIF(定义数据!$C$14:$C$29,G137,定义数据!$A$14:$A$29)+4,0)*H137))</f>
        <v/>
      </c>
      <c r="W137" s="3">
        <f>SUMIF(定义数据!$C$14:$C$29,I137,定义数据!$B$14:$B$29)</f>
        <v>0</v>
      </c>
      <c r="X137" s="3" t="str">
        <f>IF(I137="","",INT(VLOOKUP($D137,命格辅助表!$A$42:$Q$46,SUMIF(定义数据!$C$14:$C$29,I137,定义数据!$A$14:$A$29)+4,0)*J137))</f>
        <v/>
      </c>
      <c r="Y137" s="7">
        <v>8350</v>
      </c>
      <c r="Z137" s="3">
        <v>3</v>
      </c>
      <c r="AA137" s="3">
        <f>1/SUMIF(猎命辅助表!$A$20:$A$25,D137,猎命辅助表!$D$20:$D$25)</f>
        <v>4867.2839506172841</v>
      </c>
      <c r="AB137">
        <f>INDEX(猎命辅助表!$C$92:$G$92,D137)</f>
        <v>5000</v>
      </c>
    </row>
    <row r="138" spans="1:28">
      <c r="A138" s="3">
        <v>8450</v>
      </c>
      <c r="B138" s="17" t="s">
        <v>355</v>
      </c>
      <c r="C138" s="7" t="s">
        <v>240</v>
      </c>
      <c r="D138" s="3">
        <f>VLOOKUP(C138,定义数据!$B$2:$C$7,2,0)</f>
        <v>5</v>
      </c>
      <c r="E138" s="7" t="s">
        <v>111</v>
      </c>
      <c r="F138" s="7">
        <v>1</v>
      </c>
      <c r="G138" s="3"/>
      <c r="H138" s="3"/>
      <c r="I138" s="3"/>
      <c r="J138" s="3"/>
      <c r="K138" s="3">
        <f t="shared" si="45"/>
        <v>1</v>
      </c>
      <c r="L138" s="3">
        <f>SUMIF(定义数据!$C$14:$C$29,E138,定义数据!$B$14:$B$29)</f>
        <v>6</v>
      </c>
      <c r="M138" s="3">
        <f>IF(E138="","",ROUND(VLOOKUP($D138,命格辅助表!$A$34:$Q$38,SUMIF(定义数据!$C$14:$C$29,E138,定义数据!$A$14:$A$29)+4,0)*F138,0))</f>
        <v>2353</v>
      </c>
      <c r="N138" s="3">
        <f>SUMIF(定义数据!$C$14:$C$29,G138,定义数据!$B$14:$B$29)</f>
        <v>0</v>
      </c>
      <c r="O138" s="3" t="str">
        <f>IF(G138="","",INT(VLOOKUP($D138,命格辅助表!$A$34:$Q$38,SUMIF(定义数据!$C$14:$C$29,G138,定义数据!$A$14:$A$29)+4,0)*H138))</f>
        <v/>
      </c>
      <c r="P138" s="3">
        <f>SUMIF(定义数据!$C$14:$C$29,I138,定义数据!$B$14:$B$29)</f>
        <v>0</v>
      </c>
      <c r="Q138" s="3" t="str">
        <f>IF(I138="","",INT(VLOOKUP($D138,命格辅助表!$A$34:$Q$38,SUMIF(定义数据!$C$14:$C$29,I138,定义数据!$A$14:$A$29)+4,0)*J138))</f>
        <v/>
      </c>
      <c r="R138" s="25">
        <f>IF(L138=0,0,INDEX(定义数据!$G$14:$S$14,1,SUMIF(定义数据!$B$14:$B$29,$L138,定义数据!$A$14:$A$29))*M138)+IF(N138=0,0,INDEX(定义数据!$G$14:$S$14,1,SUMIF(定义数据!$B$14:$B$29,$N138,定义数据!$A$14:$A$29))*$O138)+IF(P138=0,0,INDEX(定义数据!$G$14:$S$14,1,SUMIF(定义数据!$B$14:$B$29,$P138,定义数据!$A$14:$A$29))*$Q138)</f>
        <v>800.0200000000001</v>
      </c>
      <c r="S138" s="3">
        <f>SUMIF(定义数据!$C$14:$C$29,E138,定义数据!$B$14:$B$29)</f>
        <v>6</v>
      </c>
      <c r="T138" s="3">
        <f>IF(E138="","",ROUND(VLOOKUP($D138,命格辅助表!$A$42:$Q$46,SUMIF(定义数据!$C$14:$C$29,E138,定义数据!$A$14:$A$29)+4,0)*F138,0))</f>
        <v>2353</v>
      </c>
      <c r="U138" s="3">
        <f>SUMIF(定义数据!$C$14:$C$29,G138,定义数据!$B$14:$B$29)</f>
        <v>0</v>
      </c>
      <c r="V138" s="3" t="str">
        <f>IF(G138="","",INT(VLOOKUP($D138,命格辅助表!$A$42:$Q$46,SUMIF(定义数据!$C$14:$C$29,G138,定义数据!$A$14:$A$29)+4,0)*H138))</f>
        <v/>
      </c>
      <c r="W138" s="3">
        <f>SUMIF(定义数据!$C$14:$C$29,I138,定义数据!$B$14:$B$29)</f>
        <v>0</v>
      </c>
      <c r="X138" s="3" t="str">
        <f>IF(I138="","",INT(VLOOKUP($D138,命格辅助表!$A$42:$Q$46,SUMIF(定义数据!$C$14:$C$29,I138,定义数据!$A$14:$A$29)+4,0)*J138))</f>
        <v/>
      </c>
      <c r="Y138" s="7">
        <v>8450</v>
      </c>
      <c r="Z138" s="3">
        <v>4</v>
      </c>
      <c r="AA138" s="3">
        <f>1/SUMIF(猎命辅助表!$A$20:$A$25,D138,猎命辅助表!$D$20:$D$25)</f>
        <v>4867.2839506172841</v>
      </c>
      <c r="AB138">
        <f>INDEX(猎命辅助表!$C$92:$G$92,D138)</f>
        <v>5000</v>
      </c>
    </row>
    <row r="139" spans="1:28">
      <c r="A139" s="3">
        <v>8550</v>
      </c>
      <c r="B139" s="17" t="s">
        <v>356</v>
      </c>
      <c r="C139" s="7" t="s">
        <v>240</v>
      </c>
      <c r="D139" s="3">
        <f>VLOOKUP(C139,定义数据!$B$2:$C$7,2,0)</f>
        <v>5</v>
      </c>
      <c r="E139" s="7" t="s">
        <v>227</v>
      </c>
      <c r="F139" s="7">
        <v>1</v>
      </c>
      <c r="G139" s="3"/>
      <c r="H139" s="3"/>
      <c r="I139" s="3"/>
      <c r="J139" s="3"/>
      <c r="K139" s="3">
        <f t="shared" si="45"/>
        <v>1</v>
      </c>
      <c r="L139" s="3">
        <f>SUMIF(定义数据!$C$14:$C$29,E139,定义数据!$B$14:$B$29)</f>
        <v>7</v>
      </c>
      <c r="M139" s="3">
        <f>IF(E139="","",ROUND(VLOOKUP($D139,命格辅助表!$A$34:$Q$38,SUMIF(定义数据!$C$14:$C$29,E139,定义数据!$A$14:$A$29)+4,0)*F139,0))</f>
        <v>2353</v>
      </c>
      <c r="N139" s="3">
        <f>SUMIF(定义数据!$C$14:$C$29,G139,定义数据!$B$14:$B$29)</f>
        <v>0</v>
      </c>
      <c r="O139" s="3" t="str">
        <f>IF(G139="","",INT(VLOOKUP($D139,命格辅助表!$A$34:$Q$38,SUMIF(定义数据!$C$14:$C$29,G139,定义数据!$A$14:$A$29)+4,0)*H139))</f>
        <v/>
      </c>
      <c r="P139" s="3">
        <f>SUMIF(定义数据!$C$14:$C$29,I139,定义数据!$B$14:$B$29)</f>
        <v>0</v>
      </c>
      <c r="Q139" s="3" t="str">
        <f>IF(I139="","",INT(VLOOKUP($D139,命格辅助表!$A$34:$Q$38,SUMIF(定义数据!$C$14:$C$29,I139,定义数据!$A$14:$A$29)+4,0)*J139))</f>
        <v/>
      </c>
      <c r="R139" s="25">
        <f>IF(L139=0,0,INDEX(定义数据!$G$14:$S$14,1,SUMIF(定义数据!$B$14:$B$29,$L139,定义数据!$A$14:$A$29))*M139)+IF(N139=0,0,INDEX(定义数据!$G$14:$S$14,1,SUMIF(定义数据!$B$14:$B$29,$N139,定义数据!$A$14:$A$29))*$O139)+IF(P139=0,0,INDEX(定义数据!$G$14:$S$14,1,SUMIF(定义数据!$B$14:$B$29,$P139,定义数据!$A$14:$A$29))*$Q139)</f>
        <v>800.0200000000001</v>
      </c>
      <c r="S139" s="3">
        <f>SUMIF(定义数据!$C$14:$C$29,E139,定义数据!$B$14:$B$29)</f>
        <v>7</v>
      </c>
      <c r="T139" s="3">
        <f>IF(E139="","",ROUND(VLOOKUP($D139,命格辅助表!$A$42:$Q$46,SUMIF(定义数据!$C$14:$C$29,E139,定义数据!$A$14:$A$29)+4,0)*F139,0))</f>
        <v>2353</v>
      </c>
      <c r="U139" s="3">
        <f>SUMIF(定义数据!$C$14:$C$29,G139,定义数据!$B$14:$B$29)</f>
        <v>0</v>
      </c>
      <c r="V139" s="3" t="str">
        <f>IF(G139="","",INT(VLOOKUP($D139,命格辅助表!$A$42:$Q$46,SUMIF(定义数据!$C$14:$C$29,G139,定义数据!$A$14:$A$29)+4,0)*H139))</f>
        <v/>
      </c>
      <c r="W139" s="3">
        <f>SUMIF(定义数据!$C$14:$C$29,I139,定义数据!$B$14:$B$29)</f>
        <v>0</v>
      </c>
      <c r="X139" s="3" t="str">
        <f>IF(I139="","",INT(VLOOKUP($D139,命格辅助表!$A$42:$Q$46,SUMIF(定义数据!$C$14:$C$29,I139,定义数据!$A$14:$A$29)+4,0)*J139))</f>
        <v/>
      </c>
      <c r="Y139" s="7">
        <v>8150</v>
      </c>
      <c r="Z139" s="3">
        <v>5</v>
      </c>
      <c r="AA139" s="3">
        <f>1/SUMIF(猎命辅助表!$A$20:$A$25,D139,猎命辅助表!$D$20:$D$25)</f>
        <v>4867.2839506172841</v>
      </c>
      <c r="AB139">
        <f>INDEX(猎命辅助表!$C$92:$G$92,D139)</f>
        <v>5000</v>
      </c>
    </row>
    <row r="140" spans="1:28">
      <c r="A140" s="3">
        <v>8650</v>
      </c>
      <c r="B140" s="17" t="s">
        <v>18</v>
      </c>
      <c r="C140" s="7" t="s">
        <v>240</v>
      </c>
      <c r="D140" s="3">
        <f>VLOOKUP(C140,定义数据!$B$2:$C$7,2,0)</f>
        <v>5</v>
      </c>
      <c r="E140" s="7" t="s">
        <v>228</v>
      </c>
      <c r="F140" s="7">
        <v>1</v>
      </c>
      <c r="G140" s="3"/>
      <c r="H140" s="3"/>
      <c r="I140" s="3"/>
      <c r="J140" s="3"/>
      <c r="K140" s="3">
        <f t="shared" si="45"/>
        <v>1</v>
      </c>
      <c r="L140" s="3">
        <f>SUMIF(定义数据!$C$14:$C$29,E140,定义数据!$B$14:$B$29)</f>
        <v>9</v>
      </c>
      <c r="M140" s="3">
        <f>IF(E140="","",ROUND(VLOOKUP($D140,命格辅助表!$A$34:$Q$38,SUMIF(定义数据!$C$14:$C$29,E140,定义数据!$A$14:$A$29)+4,0)*F140,0))</f>
        <v>4444</v>
      </c>
      <c r="N140" s="3">
        <f>SUMIF(定义数据!$C$14:$C$29,G140,定义数据!$B$14:$B$29)</f>
        <v>0</v>
      </c>
      <c r="O140" s="3" t="str">
        <f>IF(G140="","",INT(VLOOKUP($D140,命格辅助表!$A$34:$Q$38,SUMIF(定义数据!$C$14:$C$29,G140,定义数据!$A$14:$A$29)+4,0)*H140))</f>
        <v/>
      </c>
      <c r="P140" s="3">
        <f>SUMIF(定义数据!$C$14:$C$29,I140,定义数据!$B$14:$B$29)</f>
        <v>0</v>
      </c>
      <c r="Q140" s="3" t="str">
        <f>IF(I140="","",INT(VLOOKUP($D140,命格辅助表!$A$34:$Q$38,SUMIF(定义数据!$C$14:$C$29,I140,定义数据!$A$14:$A$29)+4,0)*J140))</f>
        <v/>
      </c>
      <c r="R140" s="25">
        <f>IF(L140=0,0,INDEX(定义数据!$G$14:$S$14,1,SUMIF(定义数据!$B$14:$B$29,$L140,定义数据!$A$14:$A$29))*M140)+IF(N140=0,0,INDEX(定义数据!$G$14:$S$14,1,SUMIF(定义数据!$B$14:$B$29,$N140,定义数据!$A$14:$A$29))*$O140)+IF(P140=0,0,INDEX(定义数据!$G$14:$S$14,1,SUMIF(定义数据!$B$14:$B$29,$P140,定义数据!$A$14:$A$29))*$Q140)</f>
        <v>799.92</v>
      </c>
      <c r="S140" s="3">
        <f>SUMIF(定义数据!$C$14:$C$29,E140,定义数据!$B$14:$B$29)</f>
        <v>9</v>
      </c>
      <c r="T140" s="3">
        <f>IF(E140="","",ROUND(VLOOKUP($D140,命格辅助表!$A$42:$Q$46,SUMIF(定义数据!$C$14:$C$29,E140,定义数据!$A$14:$A$29)+4,0)*F140,0))</f>
        <v>4444</v>
      </c>
      <c r="U140" s="3">
        <f>SUMIF(定义数据!$C$14:$C$29,G140,定义数据!$B$14:$B$29)</f>
        <v>0</v>
      </c>
      <c r="V140" s="3" t="str">
        <f>IF(G140="","",INT(VLOOKUP($D140,命格辅助表!$A$42:$Q$46,SUMIF(定义数据!$C$14:$C$29,G140,定义数据!$A$14:$A$29)+4,0)*H140))</f>
        <v/>
      </c>
      <c r="W140" s="3">
        <f>SUMIF(定义数据!$C$14:$C$29,I140,定义数据!$B$14:$B$29)</f>
        <v>0</v>
      </c>
      <c r="X140" s="3" t="str">
        <f>IF(I140="","",INT(VLOOKUP($D140,命格辅助表!$A$42:$Q$46,SUMIF(定义数据!$C$14:$C$29,I140,定义数据!$A$14:$A$29)+4,0)*J140))</f>
        <v/>
      </c>
      <c r="Y140" s="7">
        <v>8250</v>
      </c>
      <c r="Z140" s="3">
        <v>6</v>
      </c>
      <c r="AA140" s="3">
        <f>1/SUMIF(猎命辅助表!$A$20:$A$25,D140,猎命辅助表!$D$20:$D$25)</f>
        <v>4867.2839506172841</v>
      </c>
      <c r="AB140">
        <f>INDEX(猎命辅助表!$C$92:$G$92,D140)</f>
        <v>5000</v>
      </c>
    </row>
    <row r="141" spans="1:28">
      <c r="A141" s="3">
        <v>8750</v>
      </c>
      <c r="B141" s="17" t="s">
        <v>357</v>
      </c>
      <c r="C141" s="7" t="s">
        <v>240</v>
      </c>
      <c r="D141" s="3">
        <f>VLOOKUP(C141,定义数据!$B$2:$C$7,2,0)</f>
        <v>5</v>
      </c>
      <c r="E141" s="7" t="s">
        <v>229</v>
      </c>
      <c r="F141" s="7">
        <v>1</v>
      </c>
      <c r="G141" s="3"/>
      <c r="H141" s="3"/>
      <c r="I141" s="3"/>
      <c r="J141" s="3"/>
      <c r="K141" s="3">
        <f t="shared" si="45"/>
        <v>1</v>
      </c>
      <c r="L141" s="3">
        <f>SUMIF(定义数据!$C$14:$C$29,E141,定义数据!$B$14:$B$29)</f>
        <v>8</v>
      </c>
      <c r="M141" s="3">
        <f>IF(E141="","",ROUND(VLOOKUP($D141,命格辅助表!$A$34:$Q$38,SUMIF(定义数据!$C$14:$C$29,E141,定义数据!$A$14:$A$29)+4,0)*F141,0))</f>
        <v>4444</v>
      </c>
      <c r="N141" s="3">
        <f>SUMIF(定义数据!$C$14:$C$29,G141,定义数据!$B$14:$B$29)</f>
        <v>0</v>
      </c>
      <c r="O141" s="3" t="str">
        <f>IF(G141="","",INT(VLOOKUP($D141,命格辅助表!$A$34:$Q$38,SUMIF(定义数据!$C$14:$C$29,G141,定义数据!$A$14:$A$29)+4,0)*H141))</f>
        <v/>
      </c>
      <c r="P141" s="3">
        <f>SUMIF(定义数据!$C$14:$C$29,I141,定义数据!$B$14:$B$29)</f>
        <v>0</v>
      </c>
      <c r="Q141" s="3" t="str">
        <f>IF(I141="","",INT(VLOOKUP($D141,命格辅助表!$A$34:$Q$38,SUMIF(定义数据!$C$14:$C$29,I141,定义数据!$A$14:$A$29)+4,0)*J141))</f>
        <v/>
      </c>
      <c r="R141" s="25">
        <f>IF(L141=0,0,INDEX(定义数据!$G$14:$S$14,1,SUMIF(定义数据!$B$14:$B$29,$L141,定义数据!$A$14:$A$29))*M141)+IF(N141=0,0,INDEX(定义数据!$G$14:$S$14,1,SUMIF(定义数据!$B$14:$B$29,$N141,定义数据!$A$14:$A$29))*$O141)+IF(P141=0,0,INDEX(定义数据!$G$14:$S$14,1,SUMIF(定义数据!$B$14:$B$29,$P141,定义数据!$A$14:$A$29))*$Q141)</f>
        <v>799.92</v>
      </c>
      <c r="S141" s="3">
        <f>SUMIF(定义数据!$C$14:$C$29,E141,定义数据!$B$14:$B$29)</f>
        <v>8</v>
      </c>
      <c r="T141" s="3">
        <f>IF(E141="","",ROUND(VLOOKUP($D141,命格辅助表!$A$42:$Q$46,SUMIF(定义数据!$C$14:$C$29,E141,定义数据!$A$14:$A$29)+4,0)*F141,0))</f>
        <v>4444</v>
      </c>
      <c r="U141" s="3">
        <f>SUMIF(定义数据!$C$14:$C$29,G141,定义数据!$B$14:$B$29)</f>
        <v>0</v>
      </c>
      <c r="V141" s="3" t="str">
        <f>IF(G141="","",INT(VLOOKUP($D141,命格辅助表!$A$42:$Q$46,SUMIF(定义数据!$C$14:$C$29,G141,定义数据!$A$14:$A$29)+4,0)*H141))</f>
        <v/>
      </c>
      <c r="W141" s="3">
        <f>SUMIF(定义数据!$C$14:$C$29,I141,定义数据!$B$14:$B$29)</f>
        <v>0</v>
      </c>
      <c r="X141" s="3" t="str">
        <f>IF(I141="","",INT(VLOOKUP($D141,命格辅助表!$A$42:$Q$46,SUMIF(定义数据!$C$14:$C$29,I141,定义数据!$A$14:$A$29)+4,0)*J141))</f>
        <v/>
      </c>
      <c r="Y141" s="7">
        <v>8350</v>
      </c>
      <c r="Z141" s="3">
        <v>7</v>
      </c>
      <c r="AA141" s="3">
        <f>1/SUMIF(猎命辅助表!$A$20:$A$25,D141,猎命辅助表!$D$20:$D$25)</f>
        <v>4867.2839506172841</v>
      </c>
      <c r="AB141">
        <f>INDEX(猎命辅助表!$C$92:$G$92,D141)</f>
        <v>5000</v>
      </c>
    </row>
    <row r="142" spans="1:28">
      <c r="A142" s="3">
        <v>8850</v>
      </c>
      <c r="B142" s="17" t="s">
        <v>358</v>
      </c>
      <c r="C142" s="7" t="s">
        <v>240</v>
      </c>
      <c r="D142" s="3">
        <f>VLOOKUP(C142,定义数据!$B$2:$C$7,2,0)</f>
        <v>5</v>
      </c>
      <c r="E142" s="7" t="s">
        <v>293</v>
      </c>
      <c r="F142" s="7">
        <v>1</v>
      </c>
      <c r="G142" s="3" t="s">
        <v>225</v>
      </c>
      <c r="H142" s="3">
        <v>0.2</v>
      </c>
      <c r="I142" s="3"/>
      <c r="J142" s="3"/>
      <c r="K142" s="3">
        <f t="shared" si="45"/>
        <v>2</v>
      </c>
      <c r="L142" s="3">
        <f>SUMIF(定义数据!$C$14:$C$29,E142,定义数据!$B$14:$B$29)</f>
        <v>10</v>
      </c>
      <c r="M142" s="3">
        <f>IF(E142="","",ROUND(VLOOKUP($D142,命格辅助表!$A$34:$Q$38,SUMIF(定义数据!$C$14:$C$29,E142,定义数据!$A$14:$A$29)+4,0)*F142,0))</f>
        <v>3000</v>
      </c>
      <c r="N142" s="3">
        <f>SUMIF(定义数据!$C$14:$C$29,G142,定义数据!$B$14:$B$29)</f>
        <v>2</v>
      </c>
      <c r="O142" s="3">
        <f>IF(G142="","",INT(VLOOKUP($D142,命格辅助表!$A$34:$Q$38,SUMIF(定义数据!$C$14:$C$29,G142,定义数据!$A$14:$A$29)+4,0)*H142))</f>
        <v>400</v>
      </c>
      <c r="P142" s="3">
        <f>SUMIF(定义数据!$C$14:$C$29,I142,定义数据!$B$14:$B$29)</f>
        <v>0</v>
      </c>
      <c r="Q142" s="3" t="str">
        <f>IF(I142="","",INT(VLOOKUP($D142,命格辅助表!$A$34:$Q$38,SUMIF(定义数据!$C$14:$C$29,I142,定义数据!$A$14:$A$29)+4,0)*J142))</f>
        <v/>
      </c>
      <c r="R142" s="25">
        <f>IF(L142=0,0,INDEX(定义数据!$G$14:$S$14,1,SUMIF(定义数据!$B$14:$B$29,$L142,定义数据!$A$14:$A$29))*M142)+IF(N142=0,0,INDEX(定义数据!$G$14:$S$14,1,SUMIF(定义数据!$B$14:$B$29,$N142,定义数据!$A$14:$A$29))*$O142)+IF(P142=0,0,INDEX(定义数据!$G$14:$S$14,1,SUMIF(定义数据!$B$14:$B$29,$P142,定义数据!$A$14:$A$29))*$Q142)</f>
        <v>760</v>
      </c>
      <c r="S142" s="3">
        <f>SUMIF(定义数据!$C$14:$C$29,E142,定义数据!$B$14:$B$29)</f>
        <v>10</v>
      </c>
      <c r="T142" s="55">
        <f>IF(E142="","",ROUND(VLOOKUP($D142,命格辅助表!$A$42:$Q$46,SUMIF(定义数据!$C$14:$C$29,E142,定义数据!$A$14:$A$29)+4,0)*1,0))</f>
        <v>3000</v>
      </c>
      <c r="U142" s="3">
        <f>SUMIF(定义数据!$C$14:$C$29,G142,定义数据!$B$14:$B$29)</f>
        <v>2</v>
      </c>
      <c r="V142" s="3">
        <f>IF(G142="","",INT(VLOOKUP($D142,命格辅助表!$A$42:$Q$46,SUMIF(定义数据!$C$14:$C$29,G142,定义数据!$A$14:$A$29)+4,0)*H142))</f>
        <v>400</v>
      </c>
      <c r="W142" s="3">
        <f>SUMIF(定义数据!$C$14:$C$29,I142,定义数据!$B$14:$B$29)</f>
        <v>0</v>
      </c>
      <c r="X142" s="3" t="str">
        <f>IF(I142="","",INT(VLOOKUP($D142,命格辅助表!$A$42:$Q$46,SUMIF(定义数据!$C$14:$C$29,I142,定义数据!$A$14:$A$29)+4,0)*J142))</f>
        <v/>
      </c>
      <c r="Y142" s="7">
        <v>8450</v>
      </c>
      <c r="Z142" s="3">
        <v>8</v>
      </c>
      <c r="AA142" s="3">
        <f>1/SUMIF(猎命辅助表!$A$20:$A$25,D142,猎命辅助表!$D$20:$D$25)</f>
        <v>4867.2839506172841</v>
      </c>
      <c r="AB142">
        <f>INDEX(猎命辅助表!$C$92:$G$92,D142)</f>
        <v>5000</v>
      </c>
    </row>
    <row r="143" spans="1:28">
      <c r="A143" s="3">
        <v>8950</v>
      </c>
      <c r="B143" s="17" t="s">
        <v>359</v>
      </c>
      <c r="C143" s="7" t="s">
        <v>240</v>
      </c>
      <c r="D143" s="3">
        <f>VLOOKUP(C143,定义数据!$B$2:$C$7,2,0)</f>
        <v>5</v>
      </c>
      <c r="E143" s="7" t="s">
        <v>257</v>
      </c>
      <c r="F143" s="3">
        <v>1</v>
      </c>
      <c r="G143" s="3" t="s">
        <v>109</v>
      </c>
      <c r="H143" s="55">
        <v>0.2</v>
      </c>
      <c r="I143" s="3"/>
      <c r="J143" s="3"/>
      <c r="K143" s="3">
        <f t="shared" si="45"/>
        <v>2</v>
      </c>
      <c r="L143" s="3">
        <f>SUMIF(定义数据!$C$14:$C$29,E143,定义数据!$B$14:$B$29)</f>
        <v>22</v>
      </c>
      <c r="M143" s="3">
        <f>IF(E143="","",ROUND(VLOOKUP($D143,命格辅助表!$A$34:$Q$38,SUMIF(定义数据!$C$14:$C$29,E143,定义数据!$A$14:$A$29)+4,0)*F143,0))</f>
        <v>1000</v>
      </c>
      <c r="N143" s="3">
        <f>SUMIF(定义数据!$C$14:$C$29,G143,定义数据!$B$14:$B$29)</f>
        <v>1</v>
      </c>
      <c r="O143" s="3">
        <f>IF(G143="","",INT(VLOOKUP($D143,命格辅助表!$A$34:$Q$38,SUMIF(定义数据!$C$14:$C$29,G143,定义数据!$A$14:$A$29)+4,0)*H143))</f>
        <v>10000</v>
      </c>
      <c r="P143" s="3">
        <f>SUMIF(定义数据!$C$14:$C$29,I143,定义数据!$B$14:$B$29)</f>
        <v>0</v>
      </c>
      <c r="Q143" s="3" t="str">
        <f>IF(I143="","",INT(VLOOKUP($D143,命格辅助表!$A$34:$Q$38,SUMIF(定义数据!$C$14:$C$29,I143,定义数据!$A$14:$A$29)+4,0)*J143))</f>
        <v/>
      </c>
      <c r="R143" s="25">
        <f>IF(L143=0,0,INDEX(定义数据!$G$14:$S$14,1,SUMIF(定义数据!$B$14:$B$29,$L143,定义数据!$A$14:$A$29))*M143)+IF(N143=0,0,INDEX(定义数据!$G$14:$S$14,1,SUMIF(定义数据!$B$14:$B$29,$N143,定义数据!$A$14:$A$29))*$O143)+IF(P143=0,0,INDEX(定义数据!$G$14:$S$14,1,SUMIF(定义数据!$B$14:$B$29,$P143,定义数据!$A$14:$A$29))*$Q143)</f>
        <v>760</v>
      </c>
      <c r="S143" s="3">
        <f>SUMIF(定义数据!$C$14:$C$29,E143,定义数据!$B$14:$B$29)</f>
        <v>22</v>
      </c>
      <c r="T143" s="55">
        <f>IF(E143="","",ROUND(VLOOKUP($D143,命格辅助表!$A$42:$Q$46,SUMIF(定义数据!$C$14:$C$29,E143,定义数据!$A$14:$A$29)+4,0)*1,0))</f>
        <v>1000</v>
      </c>
      <c r="U143" s="3">
        <f>SUMIF(定义数据!$C$14:$C$29,G143,定义数据!$B$14:$B$29)</f>
        <v>1</v>
      </c>
      <c r="V143" s="3">
        <f>IF(G143="","",INT(VLOOKUP($D143,命格辅助表!$A$42:$Q$46,SUMIF(定义数据!$C$14:$C$29,G143,定义数据!$A$14:$A$29)+4,0)*H143))</f>
        <v>10000</v>
      </c>
      <c r="W143" s="3">
        <f>SUMIF(定义数据!$C$14:$C$29,I143,定义数据!$B$14:$B$29)</f>
        <v>0</v>
      </c>
      <c r="X143" s="3" t="str">
        <f>IF(I143="","",INT(VLOOKUP($D143,命格辅助表!$A$42:$Q$46,SUMIF(定义数据!$C$14:$C$29,I143,定义数据!$A$14:$A$29)+4,0)*J143))</f>
        <v/>
      </c>
      <c r="Y143" s="7">
        <v>8150</v>
      </c>
      <c r="Z143" s="3">
        <v>9</v>
      </c>
      <c r="AA143" s="3">
        <f>1/SUMIF(猎命辅助表!$A$20:$A$25,D143,猎命辅助表!$D$20:$D$25)</f>
        <v>4867.2839506172841</v>
      </c>
      <c r="AB143">
        <f>INDEX(猎命辅助表!$C$92:$G$92,D143)</f>
        <v>5000</v>
      </c>
    </row>
    <row r="144" spans="1:28">
      <c r="A144" s="3">
        <v>9050</v>
      </c>
      <c r="B144" s="17" t="s">
        <v>360</v>
      </c>
      <c r="C144" s="7" t="s">
        <v>240</v>
      </c>
      <c r="D144" s="3">
        <f>VLOOKUP(C144,定义数据!$B$2:$C$7,2,0)</f>
        <v>5</v>
      </c>
      <c r="E144" s="7" t="s">
        <v>258</v>
      </c>
      <c r="F144" s="3">
        <v>1</v>
      </c>
      <c r="G144" s="3" t="s">
        <v>225</v>
      </c>
      <c r="H144" s="55">
        <v>0.2</v>
      </c>
      <c r="I144" s="3"/>
      <c r="J144" s="3"/>
      <c r="K144" s="3">
        <f t="shared" si="45"/>
        <v>2</v>
      </c>
      <c r="L144" s="3">
        <f>SUMIF(定义数据!$C$14:$C$29,E144,定义数据!$B$14:$B$29)</f>
        <v>23</v>
      </c>
      <c r="M144" s="3">
        <f>IF(E144="","",ROUND(VLOOKUP($D144,命格辅助表!$A$34:$Q$38,SUMIF(定义数据!$C$14:$C$29,E144,定义数据!$A$14:$A$29)+4,0)*F144,0))</f>
        <v>1500</v>
      </c>
      <c r="N144" s="3">
        <f>SUMIF(定义数据!$C$14:$C$29,G144,定义数据!$B$14:$B$29)</f>
        <v>2</v>
      </c>
      <c r="O144" s="3">
        <f>IF(G144="","",INT(VLOOKUP($D144,命格辅助表!$A$34:$Q$38,SUMIF(定义数据!$C$14:$C$29,G144,定义数据!$A$14:$A$29)+4,0)*H144))</f>
        <v>400</v>
      </c>
      <c r="P144" s="3">
        <f>SUMIF(定义数据!$C$14:$C$29,I144,定义数据!$B$14:$B$29)</f>
        <v>0</v>
      </c>
      <c r="Q144" s="3" t="str">
        <f>IF(I144="","",INT(VLOOKUP($D144,命格辅助表!$A$34:$Q$38,SUMIF(定义数据!$C$14:$C$29,I144,定义数据!$A$14:$A$29)+4,0)*J144))</f>
        <v/>
      </c>
      <c r="R144" s="25">
        <f>IF(L144=0,0,INDEX(定义数据!$G$14:$S$14,1,SUMIF(定义数据!$B$14:$B$29,$L144,定义数据!$A$14:$A$29))*M144)+IF(N144=0,0,INDEX(定义数据!$G$14:$S$14,1,SUMIF(定义数据!$B$14:$B$29,$N144,定义数据!$A$14:$A$29))*$O144)+IF(P144=0,0,INDEX(定义数据!$G$14:$S$14,1,SUMIF(定义数据!$B$14:$B$29,$P144,定义数据!$A$14:$A$29))*$Q144)</f>
        <v>760</v>
      </c>
      <c r="S144" s="3">
        <f>SUMIF(定义数据!$C$14:$C$29,E144,定义数据!$B$14:$B$29)</f>
        <v>23</v>
      </c>
      <c r="T144" s="55">
        <f>IF(E144="","",ROUND(VLOOKUP($D144,命格辅助表!$A$42:$Q$46,SUMIF(定义数据!$C$14:$C$29,E144,定义数据!$A$14:$A$29)+4,0)*1,0))</f>
        <v>1500</v>
      </c>
      <c r="U144" s="3">
        <f>SUMIF(定义数据!$C$14:$C$29,G144,定义数据!$B$14:$B$29)</f>
        <v>2</v>
      </c>
      <c r="V144" s="3">
        <f>IF(G144="","",INT(VLOOKUP($D144,命格辅助表!$A$42:$Q$46,SUMIF(定义数据!$C$14:$C$29,G144,定义数据!$A$14:$A$29)+4,0)*H144))</f>
        <v>400</v>
      </c>
      <c r="W144" s="3">
        <f>SUMIF(定义数据!$C$14:$C$29,I144,定义数据!$B$14:$B$29)</f>
        <v>0</v>
      </c>
      <c r="X144" s="3" t="str">
        <f>IF(I144="","",INT(VLOOKUP($D144,命格辅助表!$A$42:$Q$46,SUMIF(定义数据!$C$14:$C$29,I144,定义数据!$A$14:$A$29)+4,0)*J144))</f>
        <v/>
      </c>
      <c r="Y144" s="7">
        <v>8250</v>
      </c>
      <c r="Z144" s="3">
        <v>10</v>
      </c>
      <c r="AA144" s="3">
        <f>1/SUMIF(猎命辅助表!$A$20:$A$25,D144,猎命辅助表!$D$20:$D$25)</f>
        <v>4867.2839506172841</v>
      </c>
      <c r="AB144">
        <f>INDEX(猎命辅助表!$C$92:$G$92,D144)</f>
        <v>5000</v>
      </c>
    </row>
    <row r="145" spans="1:53">
      <c r="A145" s="3">
        <v>9150</v>
      </c>
      <c r="B145" s="17" t="s">
        <v>361</v>
      </c>
      <c r="C145" s="7" t="s">
        <v>240</v>
      </c>
      <c r="D145" s="3">
        <f>VLOOKUP(C145,定义数据!$B$2:$C$7,2,0)</f>
        <v>5</v>
      </c>
      <c r="E145" s="7" t="s">
        <v>255</v>
      </c>
      <c r="F145" s="3">
        <v>1</v>
      </c>
      <c r="G145" s="3" t="s">
        <v>109</v>
      </c>
      <c r="H145" s="55">
        <v>0.2</v>
      </c>
      <c r="I145" s="3"/>
      <c r="J145" s="3"/>
      <c r="K145" s="3">
        <f t="shared" si="45"/>
        <v>2</v>
      </c>
      <c r="L145" s="3">
        <f>SUMIF(定义数据!$C$14:$C$29,E145,定义数据!$B$14:$B$29)</f>
        <v>24</v>
      </c>
      <c r="M145" s="3">
        <f>IF(E145="","",ROUND(VLOOKUP($D145,命格辅助表!$A$34:$Q$38,SUMIF(定义数据!$C$14:$C$29,E145,定义数据!$A$14:$A$29)+4,0)*F145,0))</f>
        <v>1200</v>
      </c>
      <c r="N145" s="3">
        <f>SUMIF(定义数据!$C$14:$C$29,G145,定义数据!$B$14:$B$29)</f>
        <v>1</v>
      </c>
      <c r="O145" s="3">
        <f>IF(G145="","",INT(VLOOKUP($D145,命格辅助表!$A$34:$Q$38,SUMIF(定义数据!$C$14:$C$29,G145,定义数据!$A$14:$A$29)+4,0)*H145))</f>
        <v>10000</v>
      </c>
      <c r="P145" s="3">
        <f>SUMIF(定义数据!$C$14:$C$29,I145,定义数据!$B$14:$B$29)</f>
        <v>0</v>
      </c>
      <c r="Q145" s="3" t="str">
        <f>IF(I145="","",INT(VLOOKUP($D145,命格辅助表!$A$34:$Q$38,SUMIF(定义数据!$C$14:$C$29,I145,定义数据!$A$14:$A$29)+4,0)*J145))</f>
        <v/>
      </c>
      <c r="R145" s="25">
        <f>IF(L145=0,0,INDEX(定义数据!$G$14:$S$14,1,SUMIF(定义数据!$B$14:$B$29,$L145,定义数据!$A$14:$A$29))*M145)+IF(N145=0,0,INDEX(定义数据!$G$14:$S$14,1,SUMIF(定义数据!$B$14:$B$29,$N145,定义数据!$A$14:$A$29))*$O145)+IF(P145=0,0,INDEX(定义数据!$G$14:$S$14,1,SUMIF(定义数据!$B$14:$B$29,$P145,定义数据!$A$14:$A$29))*$Q145)</f>
        <v>760</v>
      </c>
      <c r="S145" s="3">
        <f>SUMIF(定义数据!$C$14:$C$29,E145,定义数据!$B$14:$B$29)</f>
        <v>24</v>
      </c>
      <c r="T145" s="55">
        <f>IF(E145="","",ROUND(VLOOKUP($D145,命格辅助表!$A$42:$Q$46,SUMIF(定义数据!$C$14:$C$29,E145,定义数据!$A$14:$A$29)+4,0)*1,0))</f>
        <v>1200</v>
      </c>
      <c r="U145" s="3">
        <f>SUMIF(定义数据!$C$14:$C$29,G145,定义数据!$B$14:$B$29)</f>
        <v>1</v>
      </c>
      <c r="V145" s="3">
        <f>IF(G145="","",INT(VLOOKUP($D145,命格辅助表!$A$42:$Q$46,SUMIF(定义数据!$C$14:$C$29,G145,定义数据!$A$14:$A$29)+4,0)*H145))</f>
        <v>10000</v>
      </c>
      <c r="W145" s="3">
        <f>SUMIF(定义数据!$C$14:$C$29,I145,定义数据!$B$14:$B$29)</f>
        <v>0</v>
      </c>
      <c r="X145" s="3" t="str">
        <f>IF(I145="","",INT(VLOOKUP($D145,命格辅助表!$A$42:$Q$46,SUMIF(定义数据!$C$14:$C$29,I145,定义数据!$A$14:$A$29)+4,0)*J145))</f>
        <v/>
      </c>
      <c r="Y145" s="7">
        <v>8350</v>
      </c>
      <c r="Z145" s="3">
        <v>11</v>
      </c>
      <c r="AA145" s="3">
        <f>1/SUMIF(猎命辅助表!$A$20:$A$25,D145,猎命辅助表!$D$20:$D$25)</f>
        <v>4867.2839506172841</v>
      </c>
      <c r="AB145">
        <f>INDEX(猎命辅助表!$C$92:$G$92,D145)</f>
        <v>5000</v>
      </c>
    </row>
    <row r="146" spans="1:53">
      <c r="A146" s="3">
        <v>9250</v>
      </c>
      <c r="B146" s="17" t="s">
        <v>362</v>
      </c>
      <c r="C146" s="7" t="s">
        <v>240</v>
      </c>
      <c r="D146" s="3">
        <f>VLOOKUP(C146,定义数据!$B$2:$C$7,2,0)</f>
        <v>5</v>
      </c>
      <c r="E146" s="7" t="s">
        <v>256</v>
      </c>
      <c r="F146" s="3">
        <v>1</v>
      </c>
      <c r="G146" s="7" t="s">
        <v>225</v>
      </c>
      <c r="H146" s="55">
        <v>0.2</v>
      </c>
      <c r="I146" s="3"/>
      <c r="J146" s="3"/>
      <c r="K146" s="3">
        <f t="shared" si="45"/>
        <v>2</v>
      </c>
      <c r="L146" s="3">
        <f>SUMIF(定义数据!$C$14:$C$29,E146,定义数据!$B$14:$B$29)</f>
        <v>25</v>
      </c>
      <c r="M146" s="3">
        <f>IF(E146="","",ROUND(VLOOKUP($D146,命格辅助表!$A$34:$Q$38,SUMIF(定义数据!$C$14:$C$29,E146,定义数据!$A$14:$A$29)+4,0)*F146,0))</f>
        <v>1200</v>
      </c>
      <c r="N146" s="3">
        <f>SUMIF(定义数据!$C$14:$C$29,G146,定义数据!$B$14:$B$29)</f>
        <v>2</v>
      </c>
      <c r="O146" s="3">
        <f>IF(G146="","",INT(VLOOKUP($D146,命格辅助表!$A$34:$Q$38,SUMIF(定义数据!$C$14:$C$29,G146,定义数据!$A$14:$A$29)+4,0)*H146))</f>
        <v>400</v>
      </c>
      <c r="P146" s="3">
        <f>SUMIF(定义数据!$C$14:$C$29,I146,定义数据!$B$14:$B$29)</f>
        <v>0</v>
      </c>
      <c r="Q146" s="3" t="str">
        <f>IF(I146="","",INT(VLOOKUP($D146,命格辅助表!$A$34:$Q$38,SUMIF(定义数据!$C$14:$C$29,I146,定义数据!$A$14:$A$29)+4,0)*J146))</f>
        <v/>
      </c>
      <c r="R146" s="25">
        <f>IF(L146=0,0,INDEX(定义数据!$G$14:$S$14,1,SUMIF(定义数据!$B$14:$B$29,$L146,定义数据!$A$14:$A$29))*M146)+IF(N146=0,0,INDEX(定义数据!$G$14:$S$14,1,SUMIF(定义数据!$B$14:$B$29,$N146,定义数据!$A$14:$A$29))*$O146)+IF(P146=0,0,INDEX(定义数据!$G$14:$S$14,1,SUMIF(定义数据!$B$14:$B$29,$P146,定义数据!$A$14:$A$29))*$Q146)</f>
        <v>760</v>
      </c>
      <c r="S146" s="3">
        <f>SUMIF(定义数据!$C$14:$C$29,E146,定义数据!$B$14:$B$29)</f>
        <v>25</v>
      </c>
      <c r="T146" s="55">
        <f>IF(E146="","",ROUND(VLOOKUP($D146,命格辅助表!$A$42:$Q$46,SUMIF(定义数据!$C$14:$C$29,E146,定义数据!$A$14:$A$29)+4,0)*1,0))</f>
        <v>1200</v>
      </c>
      <c r="U146" s="3">
        <f>SUMIF(定义数据!$C$14:$C$29,G146,定义数据!$B$14:$B$29)</f>
        <v>2</v>
      </c>
      <c r="V146" s="3">
        <f>IF(G146="","",INT(VLOOKUP($D146,命格辅助表!$A$42:$Q$46,SUMIF(定义数据!$C$14:$C$29,G146,定义数据!$A$14:$A$29)+4,0)*H146))</f>
        <v>400</v>
      </c>
      <c r="W146" s="3">
        <f>SUMIF(定义数据!$C$14:$C$29,I146,定义数据!$B$14:$B$29)</f>
        <v>0</v>
      </c>
      <c r="X146" s="3" t="str">
        <f>IF(I146="","",INT(VLOOKUP($D146,命格辅助表!$A$42:$Q$46,SUMIF(定义数据!$C$14:$C$29,I146,定义数据!$A$14:$A$29)+4,0)*J146))</f>
        <v/>
      </c>
      <c r="Y146" s="7">
        <v>8450</v>
      </c>
      <c r="Z146" s="3">
        <v>12</v>
      </c>
      <c r="AA146" s="3">
        <f>1/SUMIF(猎命辅助表!$A$20:$A$25,D146,猎命辅助表!$D$20:$D$25)</f>
        <v>4867.2839506172841</v>
      </c>
      <c r="AB146">
        <f>INDEX(猎命辅助表!$C$92:$G$92,D146)</f>
        <v>5000</v>
      </c>
    </row>
    <row r="147" spans="1:53" s="32" customFormat="1">
      <c r="A147" s="35">
        <v>9350</v>
      </c>
      <c r="B147" s="37" t="s">
        <v>363</v>
      </c>
      <c r="C147" s="38" t="s">
        <v>240</v>
      </c>
      <c r="D147" s="39">
        <f>VLOOKUP(C147,定义数据!$B$2:$C$7,2,0)</f>
        <v>5</v>
      </c>
      <c r="E147" s="7" t="s">
        <v>109</v>
      </c>
      <c r="F147" s="3">
        <v>0.2</v>
      </c>
      <c r="G147" s="3" t="s">
        <v>225</v>
      </c>
      <c r="H147" s="55">
        <v>0.2</v>
      </c>
      <c r="I147" s="28"/>
      <c r="J147" s="28"/>
      <c r="K147" s="35">
        <f t="shared" si="45"/>
        <v>2</v>
      </c>
      <c r="L147" s="35">
        <f>SUMIF(定义数据!$C$14:$C$29,E147,定义数据!$B$14:$B$29)</f>
        <v>1</v>
      </c>
      <c r="M147" s="3">
        <f>IF(E147="","",ROUND(VLOOKUP($D147,命格辅助表!$A$34:$Q$38,SUMIF(定义数据!$C$14:$C$29,E147,定义数据!$A$14:$A$29)+4,0)*F147,0))</f>
        <v>10000</v>
      </c>
      <c r="N147" s="35">
        <f>SUMIF(定义数据!$C$14:$C$29,G147,定义数据!$B$14:$B$29)</f>
        <v>2</v>
      </c>
      <c r="O147" s="35">
        <f>IF(G147="","",INT(VLOOKUP($D147,命格辅助表!$A$34:$Q$38,SUMIF(定义数据!$C$14:$C$29,G147,定义数据!$A$14:$A$29)+4,0)*H147))</f>
        <v>400</v>
      </c>
      <c r="P147" s="35">
        <f>SUMIF(定义数据!$C$14:$C$29,I147,定义数据!$B$14:$B$29)</f>
        <v>0</v>
      </c>
      <c r="Q147" s="35" t="str">
        <f>IF(I147="","",INT(VLOOKUP($D147,命格辅助表!$A$34:$Q$38,SUMIF(定义数据!$C$14:$C$29,I147,定义数据!$A$14:$A$29)+4,0)*J147))</f>
        <v/>
      </c>
      <c r="R147" s="42">
        <f>IF(L147=0,0,INDEX(定义数据!$G$14:$S$14,1,SUMIF(定义数据!$B$14:$B$29,$L147,定义数据!$A$14:$A$29))*M147)+IF(N147=0,0,INDEX(定义数据!$G$14:$S$14,1,SUMIF(定义数据!$B$14:$B$29,$N147,定义数据!$A$14:$A$29))*$O147)+IF(P147=0,0,INDEX(定义数据!$G$14:$S$14,1,SUMIF(定义数据!$B$14:$B$29,$P147,定义数据!$A$14:$A$29))*$Q147)</f>
        <v>800</v>
      </c>
      <c r="S147" s="35">
        <f>SUMIF(定义数据!$C$14:$C$29,E147,定义数据!$B$14:$B$29)</f>
        <v>1</v>
      </c>
      <c r="T147" s="3">
        <f>IF(E147="","",ROUND(VLOOKUP($D147,命格辅助表!$A$42:$Q$46,SUMIF(定义数据!$C$14:$C$29,E147,定义数据!$A$14:$A$29)+4,0)*F147,0))</f>
        <v>10000</v>
      </c>
      <c r="U147" s="35">
        <f>SUMIF(定义数据!$C$14:$C$29,G147,定义数据!$B$14:$B$29)</f>
        <v>2</v>
      </c>
      <c r="V147" s="35">
        <f>IF(G147="","",INT(VLOOKUP($D147,命格辅助表!$A$42:$Q$46,SUMIF(定义数据!$C$14:$C$29,G147,定义数据!$A$14:$A$29)+4,0)*H147))</f>
        <v>400</v>
      </c>
      <c r="W147" s="35">
        <f>SUMIF(定义数据!$C$14:$C$29,I147,定义数据!$B$14:$B$29)</f>
        <v>0</v>
      </c>
      <c r="X147" s="35" t="str">
        <f>IF(I147="","",INT(VLOOKUP($D147,命格辅助表!$A$42:$Q$46,SUMIF(定义数据!$C$14:$C$29,I147,定义数据!$A$14:$A$29)+4,0)*J147))</f>
        <v/>
      </c>
      <c r="Y147" s="41">
        <v>8150</v>
      </c>
      <c r="Z147" s="3">
        <v>13</v>
      </c>
      <c r="AA147" s="3">
        <f>1/SUMIF(猎命辅助表!$A$20:$A$25,D147,猎命辅助表!$D$20:$D$25)</f>
        <v>4867.2839506172841</v>
      </c>
      <c r="AB147">
        <f>INDEX(猎命辅助表!$C$92:$G$92,D147)</f>
        <v>5000</v>
      </c>
    </row>
    <row r="148" spans="1:53" s="32" customFormat="1">
      <c r="A148" s="39">
        <v>9450</v>
      </c>
      <c r="B148" s="40" t="s">
        <v>364</v>
      </c>
      <c r="C148" s="38" t="s">
        <v>240</v>
      </c>
      <c r="D148" s="39">
        <f>VLOOKUP(C148,定义数据!$B$2:$C$7,2,0)</f>
        <v>5</v>
      </c>
      <c r="E148" s="7" t="s">
        <v>225</v>
      </c>
      <c r="F148" s="3">
        <v>0.2</v>
      </c>
      <c r="G148" s="3"/>
      <c r="H148" s="3"/>
      <c r="I148" s="28"/>
      <c r="J148" s="28"/>
      <c r="K148" s="35">
        <f t="shared" si="45"/>
        <v>1</v>
      </c>
      <c r="L148" s="35">
        <f>SUMIF(定义数据!$C$14:$C$29,E148,定义数据!$B$14:$B$29)</f>
        <v>2</v>
      </c>
      <c r="M148" s="3">
        <f>IF(E148="","",ROUND(VLOOKUP($D148,命格辅助表!$A$34:$Q$38,SUMIF(定义数据!$C$14:$C$29,E148,定义数据!$A$14:$A$29)+4,0)*F148,0))</f>
        <v>400</v>
      </c>
      <c r="N148" s="35">
        <f>SUMIF(定义数据!$C$14:$C$29,G148,定义数据!$B$14:$B$29)</f>
        <v>0</v>
      </c>
      <c r="O148" s="35" t="str">
        <f>IF(G148="","",INT(VLOOKUP($D148,命格辅助表!$A$34:$Q$38,SUMIF(定义数据!$C$14:$C$29,G148,定义数据!$A$14:$A$29)+4,0)*H148))</f>
        <v/>
      </c>
      <c r="P148" s="35">
        <f>SUMIF(定义数据!$C$14:$C$29,I148,定义数据!$B$14:$B$29)</f>
        <v>0</v>
      </c>
      <c r="Q148" s="35" t="str">
        <f>IF(I148="","",INT(VLOOKUP($D148,命格辅助表!$A$34:$Q$38,SUMIF(定义数据!$C$14:$C$29,I148,定义数据!$A$14:$A$29)+4,0)*J148))</f>
        <v/>
      </c>
      <c r="R148" s="42">
        <f>IF(L148=0,0,INDEX(定义数据!$G$14:$S$14,1,SUMIF(定义数据!$B$14:$B$29,$L148,定义数据!$A$14:$A$29))*M148)+IF(N148=0,0,INDEX(定义数据!$G$14:$S$14,1,SUMIF(定义数据!$B$14:$B$29,$N148,定义数据!$A$14:$A$29))*$O148)+IF(P148=0,0,INDEX(定义数据!$G$14:$S$14,1,SUMIF(定义数据!$B$14:$B$29,$P148,定义数据!$A$14:$A$29))*$Q148)</f>
        <v>400</v>
      </c>
      <c r="S148" s="35">
        <f>SUMIF(定义数据!$C$14:$C$29,E148,定义数据!$B$14:$B$29)</f>
        <v>2</v>
      </c>
      <c r="T148" s="3">
        <f>IF(E148="","",ROUND(VLOOKUP($D148,命格辅助表!$A$42:$Q$46,SUMIF(定义数据!$C$14:$C$29,E148,定义数据!$A$14:$A$29)+4,0)*F148,0))</f>
        <v>400</v>
      </c>
      <c r="U148" s="35">
        <f>SUMIF(定义数据!$C$14:$C$29,G148,定义数据!$B$14:$B$29)</f>
        <v>0</v>
      </c>
      <c r="V148" s="35" t="str">
        <f>IF(G148="","",INT(VLOOKUP($D148,命格辅助表!$A$42:$Q$46,SUMIF(定义数据!$C$14:$C$29,G148,定义数据!$A$14:$A$29)+4,0)*H148))</f>
        <v/>
      </c>
      <c r="W148" s="35">
        <f>SUMIF(定义数据!$C$14:$C$29,I148,定义数据!$B$14:$B$29)</f>
        <v>0</v>
      </c>
      <c r="X148" s="35" t="str">
        <f>IF(I148="","",INT(VLOOKUP($D148,命格辅助表!$A$42:$Q$46,SUMIF(定义数据!$C$14:$C$29,I148,定义数据!$A$14:$A$29)+4,0)*J148))</f>
        <v/>
      </c>
      <c r="Y148" s="41">
        <v>8250</v>
      </c>
      <c r="Z148" s="3">
        <v>14</v>
      </c>
      <c r="AA148" s="3">
        <f>1/SUMIF(猎命辅助表!$A$20:$A$25,D148,猎命辅助表!$D$20:$D$25)</f>
        <v>4867.2839506172841</v>
      </c>
      <c r="AB148">
        <f>INDEX(猎命辅助表!$C$92:$G$92,D148)</f>
        <v>5000</v>
      </c>
    </row>
    <row r="149" spans="1:53" s="32" customFormat="1">
      <c r="A149" s="39">
        <v>9550</v>
      </c>
      <c r="B149" s="40" t="s">
        <v>365</v>
      </c>
      <c r="C149" s="38" t="s">
        <v>240</v>
      </c>
      <c r="D149" s="39">
        <f>VLOOKUP(C149,定义数据!$B$2:$C$7,2,0)</f>
        <v>5</v>
      </c>
      <c r="E149" s="7" t="s">
        <v>109</v>
      </c>
      <c r="F149" s="3">
        <v>0.1</v>
      </c>
      <c r="G149" s="3" t="s">
        <v>225</v>
      </c>
      <c r="H149" s="3">
        <f>H131</f>
        <v>0</v>
      </c>
      <c r="I149" s="28"/>
      <c r="J149" s="28"/>
      <c r="K149" s="35">
        <f t="shared" si="45"/>
        <v>1</v>
      </c>
      <c r="L149" s="35">
        <f>SUMIF(定义数据!$C$14:$C$29,E149,定义数据!$B$14:$B$29)</f>
        <v>1</v>
      </c>
      <c r="M149" s="3">
        <f>IF(E149="","",ROUND(VLOOKUP($D149,命格辅助表!$A$34:$Q$38,SUMIF(定义数据!$C$14:$C$29,E149,定义数据!$A$14:$A$29)+4,0)*F149,0))</f>
        <v>5000</v>
      </c>
      <c r="N149" s="35">
        <f>SUMIF(定义数据!$C$14:$C$29,G149,定义数据!$B$14:$B$29)</f>
        <v>2</v>
      </c>
      <c r="O149" s="35">
        <f>IF(G149="","",INT(VLOOKUP($D149,命格辅助表!$A$34:$Q$38,SUMIF(定义数据!$C$14:$C$29,G149,定义数据!$A$14:$A$29)+4,0)*H149))</f>
        <v>0</v>
      </c>
      <c r="P149" s="35">
        <f>SUMIF(定义数据!$C$14:$C$29,I149,定义数据!$B$14:$B$29)</f>
        <v>0</v>
      </c>
      <c r="Q149" s="35" t="str">
        <f>IF(I149="","",INT(VLOOKUP($D149,命格辅助表!$A$34:$Q$38,SUMIF(定义数据!$C$14:$C$29,I149,定义数据!$A$14:$A$29)+4,0)*J149))</f>
        <v/>
      </c>
      <c r="R149" s="42">
        <f>IF(L149=0,0,INDEX(定义数据!$G$14:$S$14,1,SUMIF(定义数据!$B$14:$B$29,$L149,定义数据!$A$14:$A$29))*M149)+IF(N149=0,0,INDEX(定义数据!$G$14:$S$14,1,SUMIF(定义数据!$B$14:$B$29,$N149,定义数据!$A$14:$A$29))*$O149)+IF(P149=0,0,INDEX(定义数据!$G$14:$S$14,1,SUMIF(定义数据!$B$14:$B$29,$P149,定义数据!$A$14:$A$29))*$Q149)</f>
        <v>200</v>
      </c>
      <c r="S149" s="35">
        <f>SUMIF(定义数据!$C$14:$C$29,E149,定义数据!$B$14:$B$29)</f>
        <v>1</v>
      </c>
      <c r="T149" s="3">
        <f>IF(E149="","",ROUND(VLOOKUP($D149,命格辅助表!$A$42:$Q$46,SUMIF(定义数据!$C$14:$C$29,E149,定义数据!$A$14:$A$29)+4,0)*F149,0))</f>
        <v>5000</v>
      </c>
      <c r="U149" s="35">
        <f>SUMIF(定义数据!$C$14:$C$29,G149,定义数据!$B$14:$B$29)</f>
        <v>2</v>
      </c>
      <c r="V149" s="35">
        <f>IF(G149="","",INT(VLOOKUP($D149,命格辅助表!$A$42:$Q$46,SUMIF(定义数据!$C$14:$C$29,G149,定义数据!$A$14:$A$29)+4,0)*H149))</f>
        <v>0</v>
      </c>
      <c r="W149" s="35">
        <f>SUMIF(定义数据!$C$14:$C$29,I149,定义数据!$B$14:$B$29)</f>
        <v>0</v>
      </c>
      <c r="X149" s="35" t="str">
        <f>IF(I149="","",INT(VLOOKUP($D149,命格辅助表!$A$42:$Q$46,SUMIF(定义数据!$C$14:$C$29,I149,定义数据!$A$14:$A$29)+4,0)*J149))</f>
        <v/>
      </c>
      <c r="Y149" s="41">
        <v>8350</v>
      </c>
      <c r="Z149" s="3">
        <v>15</v>
      </c>
      <c r="AA149" s="3">
        <f>1/SUMIF(猎命辅助表!$A$20:$A$25,D149,猎命辅助表!$D$20:$D$25)</f>
        <v>4867.2839506172841</v>
      </c>
      <c r="AB149">
        <f>INDEX(猎命辅助表!$C$92:$G$92,D149)</f>
        <v>5000</v>
      </c>
    </row>
    <row r="150" spans="1:53" s="32" customFormat="1">
      <c r="A150" s="28">
        <v>9650</v>
      </c>
      <c r="B150" s="29" t="s">
        <v>366</v>
      </c>
      <c r="C150" s="30" t="s">
        <v>240</v>
      </c>
      <c r="D150" s="28">
        <f>VLOOKUP(C150,定义数据!$B$2:$C$7,2,0)</f>
        <v>5</v>
      </c>
      <c r="E150" s="30" t="s">
        <v>109</v>
      </c>
      <c r="F150" s="43">
        <v>0.4</v>
      </c>
      <c r="G150" s="43" t="s">
        <v>226</v>
      </c>
      <c r="H150" s="43">
        <v>0.2</v>
      </c>
      <c r="I150" s="28"/>
      <c r="J150" s="28"/>
      <c r="K150" s="28">
        <f t="shared" si="45"/>
        <v>2</v>
      </c>
      <c r="L150" s="28">
        <f>SUMIF(定义数据!$C$14:$C$29,E150,定义数据!$B$14:$B$29)</f>
        <v>1</v>
      </c>
      <c r="M150" s="3">
        <f>IF(E150="","",ROUND(VLOOKUP($D150,命格辅助表!$A$34:$Q$38,SUMIF(定义数据!$C$14:$C$29,E150,定义数据!$A$14:$A$29)+4,0)*F150,0))</f>
        <v>20000</v>
      </c>
      <c r="N150" s="28">
        <f>SUMIF(定义数据!$C$14:$C$29,G150,定义数据!$B$14:$B$29)</f>
        <v>3</v>
      </c>
      <c r="O150" s="28">
        <f>IF(G150="","",INT(VLOOKUP($D150,命格辅助表!$A$34:$Q$38,SUMIF(定义数据!$C$14:$C$29,G150,定义数据!$A$14:$A$29)+4,0)*H150))</f>
        <v>160</v>
      </c>
      <c r="P150" s="28">
        <f>SUMIF(定义数据!$C$14:$C$29,I150,定义数据!$B$14:$B$29)</f>
        <v>0</v>
      </c>
      <c r="Q150" s="28" t="str">
        <f>IF(I150="","",INT(VLOOKUP($D150,命格辅助表!$A$34:$Q$38,SUMIF(定义数据!$C$14:$C$29,I150,定义数据!$A$14:$A$29)+4,0)*J150))</f>
        <v/>
      </c>
      <c r="R150" s="31">
        <f>IF(L150=0,0,INDEX(定义数据!$G$14:$S$14,1,SUMIF(定义数据!$B$14:$B$29,$L150,定义数据!$A$14:$A$29))*M150)+IF(N150=0,0,INDEX(定义数据!$G$14:$S$14,1,SUMIF(定义数据!$B$14:$B$29,$N150,定义数据!$A$14:$A$29))*$O150)+IF(P150=0,0,INDEX(定义数据!$G$14:$S$14,1,SUMIF(定义数据!$B$14:$B$29,$P150,定义数据!$A$14:$A$29))*$Q150)</f>
        <v>960</v>
      </c>
      <c r="S150" s="28">
        <f>SUMIF(定义数据!$C$14:$C$29,E150,定义数据!$B$14:$B$29)</f>
        <v>1</v>
      </c>
      <c r="T150" s="3">
        <f>IF(E150="","",ROUND(VLOOKUP($D150,命格辅助表!$A$42:$Q$46,SUMIF(定义数据!$C$14:$C$29,E150,定义数据!$A$14:$A$29)+4,0)*F150,0))</f>
        <v>20000</v>
      </c>
      <c r="U150" s="28">
        <f>SUMIF(定义数据!$C$14:$C$29,G150,定义数据!$B$14:$B$29)</f>
        <v>3</v>
      </c>
      <c r="V150" s="28">
        <f>IF(G150="","",INT(VLOOKUP($D150,命格辅助表!$A$42:$Q$46,SUMIF(定义数据!$C$14:$C$29,G150,定义数据!$A$14:$A$29)+4,0)*H150))</f>
        <v>160</v>
      </c>
      <c r="W150" s="28">
        <f>SUMIF(定义数据!$C$14:$C$29,I150,定义数据!$B$14:$B$29)</f>
        <v>0</v>
      </c>
      <c r="X150" s="28" t="str">
        <f>IF(I150="","",INT(VLOOKUP($D150,命格辅助表!$A$42:$Q$46,SUMIF(定义数据!$C$14:$C$29,I150,定义数据!$A$14:$A$29)+4,0)*J150))</f>
        <v/>
      </c>
      <c r="Y150" s="30">
        <v>8450</v>
      </c>
      <c r="Z150" s="3">
        <v>16</v>
      </c>
      <c r="AA150" s="3">
        <f>1/SUMIF(猎命辅助表!$A$20:$A$25,D150,猎命辅助表!$D$20:$D$25)</f>
        <v>4867.2839506172841</v>
      </c>
      <c r="AB150">
        <f>INDEX(猎命辅助表!$C$92:$G$92,D150)</f>
        <v>5000</v>
      </c>
    </row>
    <row r="151" spans="1:53" s="32" customFormat="1">
      <c r="A151" s="28">
        <v>9750</v>
      </c>
      <c r="B151" s="29" t="s">
        <v>367</v>
      </c>
      <c r="C151" s="30" t="s">
        <v>240</v>
      </c>
      <c r="D151" s="28">
        <f>VLOOKUP(C151,定义数据!$B$2:$C$7,2,0)</f>
        <v>5</v>
      </c>
      <c r="E151" s="30" t="s">
        <v>225</v>
      </c>
      <c r="F151" s="43">
        <v>0.4</v>
      </c>
      <c r="G151" s="43" t="s">
        <v>226</v>
      </c>
      <c r="H151" s="43">
        <v>0.2</v>
      </c>
      <c r="I151" s="28"/>
      <c r="J151" s="28"/>
      <c r="K151" s="28">
        <f t="shared" si="45"/>
        <v>2</v>
      </c>
      <c r="L151" s="28">
        <f>SUMIF(定义数据!$C$14:$C$29,E151,定义数据!$B$14:$B$29)</f>
        <v>2</v>
      </c>
      <c r="M151" s="3">
        <f>IF(E151="","",ROUND(VLOOKUP($D151,命格辅助表!$A$34:$Q$38,SUMIF(定义数据!$C$14:$C$29,E151,定义数据!$A$14:$A$29)+4,0)*F151,0))</f>
        <v>800</v>
      </c>
      <c r="N151" s="28">
        <f>SUMIF(定义数据!$C$14:$C$29,G151,定义数据!$B$14:$B$29)</f>
        <v>3</v>
      </c>
      <c r="O151" s="28">
        <f>IF(G151="","",INT(VLOOKUP($D151,命格辅助表!$A$34:$Q$38,SUMIF(定义数据!$C$14:$C$29,G151,定义数据!$A$14:$A$29)+4,0)*H151))</f>
        <v>160</v>
      </c>
      <c r="P151" s="28">
        <f>SUMIF(定义数据!$C$14:$C$29,I151,定义数据!$B$14:$B$29)</f>
        <v>0</v>
      </c>
      <c r="Q151" s="28" t="str">
        <f>IF(I151="","",INT(VLOOKUP($D151,命格辅助表!$A$34:$Q$38,SUMIF(定义数据!$C$14:$C$29,I151,定义数据!$A$14:$A$29)+4,0)*J151))</f>
        <v/>
      </c>
      <c r="R151" s="31">
        <f>IF(L151=0,0,INDEX(定义数据!$G$14:$S$14,1,SUMIF(定义数据!$B$14:$B$29,$L151,定义数据!$A$14:$A$29))*M151)+IF(N151=0,0,INDEX(定义数据!$G$14:$S$14,1,SUMIF(定义数据!$B$14:$B$29,$N151,定义数据!$A$14:$A$29))*$O151)+IF(P151=0,0,INDEX(定义数据!$G$14:$S$14,1,SUMIF(定义数据!$B$14:$B$29,$P151,定义数据!$A$14:$A$29))*$Q151)</f>
        <v>960</v>
      </c>
      <c r="S151" s="28">
        <f>SUMIF(定义数据!$C$14:$C$29,E151,定义数据!$B$14:$B$29)</f>
        <v>2</v>
      </c>
      <c r="T151" s="3">
        <f>IF(E151="","",ROUND(VLOOKUP($D151,命格辅助表!$A$42:$Q$46,SUMIF(定义数据!$C$14:$C$29,E151,定义数据!$A$14:$A$29)+4,0)*F151,0))</f>
        <v>800</v>
      </c>
      <c r="U151" s="28">
        <f>SUMIF(定义数据!$C$14:$C$29,G151,定义数据!$B$14:$B$29)</f>
        <v>3</v>
      </c>
      <c r="V151" s="28">
        <f>IF(G151="","",INT(VLOOKUP($D151,命格辅助表!$A$42:$Q$46,SUMIF(定义数据!$C$14:$C$29,G151,定义数据!$A$14:$A$29)+4,0)*H151))</f>
        <v>160</v>
      </c>
      <c r="W151" s="28">
        <f>SUMIF(定义数据!$C$14:$C$29,I151,定义数据!$B$14:$B$29)</f>
        <v>0</v>
      </c>
      <c r="X151" s="28" t="str">
        <f>IF(I151="","",INT(VLOOKUP($D151,命格辅助表!$A$42:$Q$46,SUMIF(定义数据!$C$14:$C$29,I151,定义数据!$A$14:$A$29)+4,0)*J151))</f>
        <v/>
      </c>
      <c r="Y151" s="30">
        <v>8150</v>
      </c>
      <c r="Z151" s="3">
        <v>17</v>
      </c>
      <c r="AA151" s="3">
        <f>1/SUMIF(猎命辅助表!$A$20:$A$25,D151,猎命辅助表!$D$20:$D$25)</f>
        <v>4867.2839506172841</v>
      </c>
      <c r="AB151">
        <f>INDEX(猎命辅助表!$C$92:$G$92,D151)</f>
        <v>5000</v>
      </c>
    </row>
    <row r="152" spans="1:53" s="32" customFormat="1">
      <c r="A152" s="28">
        <v>9850</v>
      </c>
      <c r="B152" s="29" t="s">
        <v>368</v>
      </c>
      <c r="C152" s="30" t="s">
        <v>240</v>
      </c>
      <c r="D152" s="28">
        <f>VLOOKUP(C152,定义数据!$B$2:$C$7,2,0)</f>
        <v>5</v>
      </c>
      <c r="E152" s="30" t="s">
        <v>229</v>
      </c>
      <c r="F152" s="43">
        <v>0.5</v>
      </c>
      <c r="G152" s="43" t="s">
        <v>259</v>
      </c>
      <c r="H152" s="43">
        <v>0.5</v>
      </c>
      <c r="I152" s="28"/>
      <c r="J152" s="28"/>
      <c r="K152" s="28">
        <f t="shared" si="45"/>
        <v>2</v>
      </c>
      <c r="L152" s="28">
        <f>SUMIF(定义数据!$C$14:$C$29,E152,定义数据!$B$14:$B$29)</f>
        <v>8</v>
      </c>
      <c r="M152" s="3">
        <f>IF(E152="","",ROUND(VLOOKUP($D152,命格辅助表!$A$34:$Q$38,SUMIF(定义数据!$C$14:$C$29,E152,定义数据!$A$14:$A$29)+4,0)*F152,0))</f>
        <v>2222</v>
      </c>
      <c r="N152" s="28">
        <f>SUMIF(定义数据!$C$14:$C$29,G152,定义数据!$B$14:$B$29)</f>
        <v>0</v>
      </c>
      <c r="O152" s="28">
        <f>IF(G152="","",INT(VLOOKUP($D152,命格辅助表!$A$34:$Q$38,SUMIF(定义数据!$C$14:$C$29,G152,定义数据!$A$14:$A$29)+4,0)*H152))</f>
        <v>0</v>
      </c>
      <c r="P152" s="28">
        <f>SUMIF(定义数据!$C$14:$C$29,I152,定义数据!$B$14:$B$29)</f>
        <v>0</v>
      </c>
      <c r="Q152" s="28" t="str">
        <f>IF(I152="","",INT(VLOOKUP($D152,命格辅助表!$A$34:$Q$38,SUMIF(定义数据!$C$14:$C$29,I152,定义数据!$A$14:$A$29)+4,0)*J152))</f>
        <v/>
      </c>
      <c r="R152" s="31">
        <f>IF(L152=0,0,INDEX(定义数据!$G$14:$S$14,1,SUMIF(定义数据!$B$14:$B$29,$L152,定义数据!$A$14:$A$29))*M152)+IF(N152=0,0,INDEX(定义数据!$G$14:$S$14,1,SUMIF(定义数据!$B$14:$B$29,$N152,定义数据!$A$14:$A$29))*$O152)+IF(P152=0,0,INDEX(定义数据!$G$14:$S$14,1,SUMIF(定义数据!$B$14:$B$29,$P152,定义数据!$A$14:$A$29))*$Q152)</f>
        <v>399.96</v>
      </c>
      <c r="S152" s="28">
        <f>SUMIF(定义数据!$C$14:$C$29,E152,定义数据!$B$14:$B$29)</f>
        <v>8</v>
      </c>
      <c r="T152" s="3">
        <f>IF(E152="","",ROUND(VLOOKUP($D152,命格辅助表!$A$42:$Q$46,SUMIF(定义数据!$C$14:$C$29,E152,定义数据!$A$14:$A$29)+4,0)*F152,0))</f>
        <v>2222</v>
      </c>
      <c r="U152" s="28">
        <f>SUMIF(定义数据!$C$14:$C$29,G152,定义数据!$B$14:$B$29)</f>
        <v>0</v>
      </c>
      <c r="V152" s="28">
        <f>IF(G152="","",INT(VLOOKUP($D152,命格辅助表!$A$42:$Q$46,SUMIF(定义数据!$C$14:$C$29,G152,定义数据!$A$14:$A$29)+4,0)*H152))</f>
        <v>0</v>
      </c>
      <c r="W152" s="28">
        <f>SUMIF(定义数据!$C$14:$C$29,I152,定义数据!$B$14:$B$29)</f>
        <v>0</v>
      </c>
      <c r="X152" s="28" t="str">
        <f>IF(I152="","",INT(VLOOKUP($D152,命格辅助表!$A$42:$Q$46,SUMIF(定义数据!$C$14:$C$29,I152,定义数据!$A$14:$A$29)+4,0)*J152))</f>
        <v/>
      </c>
      <c r="Y152" s="30">
        <v>8250</v>
      </c>
      <c r="Z152" s="3">
        <v>18</v>
      </c>
      <c r="AA152" s="3">
        <f>1/SUMIF(猎命辅助表!$A$20:$A$25,D152,猎命辅助表!$D$20:$D$25)</f>
        <v>4867.2839506172841</v>
      </c>
      <c r="AB152">
        <f>INDEX(猎命辅助表!$C$92:$G$92,D152)</f>
        <v>5000</v>
      </c>
    </row>
    <row r="153" spans="1:53">
      <c r="B153" s="3" t="s">
        <v>369</v>
      </c>
    </row>
    <row r="154" spans="1:53">
      <c r="B154" s="3" t="s">
        <v>370</v>
      </c>
    </row>
    <row r="157" spans="1:53">
      <c r="T157" t="s">
        <v>300</v>
      </c>
      <c r="AH157" t="s">
        <v>301</v>
      </c>
    </row>
    <row r="158" spans="1:53">
      <c r="A158">
        <v>1</v>
      </c>
      <c r="B158">
        <v>2</v>
      </c>
      <c r="C158">
        <v>3</v>
      </c>
      <c r="D158">
        <v>4</v>
      </c>
      <c r="E158">
        <v>5</v>
      </c>
      <c r="F158">
        <v>6</v>
      </c>
      <c r="G158">
        <v>7</v>
      </c>
      <c r="H158">
        <v>8</v>
      </c>
      <c r="I158">
        <v>9</v>
      </c>
      <c r="J158">
        <v>10</v>
      </c>
      <c r="K158">
        <v>11</v>
      </c>
      <c r="L158">
        <v>12</v>
      </c>
      <c r="M158">
        <v>13</v>
      </c>
      <c r="N158">
        <v>14</v>
      </c>
      <c r="O158">
        <v>15</v>
      </c>
      <c r="P158">
        <v>16</v>
      </c>
      <c r="Q158">
        <v>17</v>
      </c>
      <c r="R158">
        <v>18</v>
      </c>
      <c r="S158">
        <v>19</v>
      </c>
      <c r="T158">
        <v>20</v>
      </c>
      <c r="U158">
        <v>21</v>
      </c>
      <c r="V158">
        <v>22</v>
      </c>
      <c r="W158">
        <v>23</v>
      </c>
      <c r="X158">
        <v>24</v>
      </c>
      <c r="Y158">
        <v>25</v>
      </c>
      <c r="Z158">
        <v>26</v>
      </c>
      <c r="AA158">
        <v>27</v>
      </c>
      <c r="AB158">
        <v>28</v>
      </c>
      <c r="AC158">
        <v>29</v>
      </c>
      <c r="AD158">
        <v>30</v>
      </c>
      <c r="AE158">
        <v>31</v>
      </c>
      <c r="AF158">
        <v>32</v>
      </c>
      <c r="AG158">
        <v>33</v>
      </c>
      <c r="AH158">
        <v>34</v>
      </c>
      <c r="AI158">
        <v>35</v>
      </c>
      <c r="AJ158">
        <v>36</v>
      </c>
      <c r="AK158">
        <v>37</v>
      </c>
      <c r="AL158">
        <v>38</v>
      </c>
      <c r="AM158">
        <v>39</v>
      </c>
      <c r="AN158">
        <v>40</v>
      </c>
      <c r="AO158">
        <v>41</v>
      </c>
      <c r="AP158">
        <v>42</v>
      </c>
      <c r="AQ158">
        <v>43</v>
      </c>
      <c r="AR158">
        <v>44</v>
      </c>
      <c r="AS158">
        <v>45</v>
      </c>
      <c r="AT158">
        <v>46</v>
      </c>
      <c r="AU158">
        <v>47</v>
      </c>
      <c r="AV158">
        <v>48</v>
      </c>
      <c r="AW158">
        <v>49</v>
      </c>
      <c r="AX158">
        <v>50</v>
      </c>
      <c r="AY158">
        <v>51</v>
      </c>
      <c r="AZ158">
        <v>52</v>
      </c>
      <c r="BA158">
        <v>53</v>
      </c>
    </row>
    <row r="159" spans="1:53">
      <c r="T159">
        <v>5</v>
      </c>
      <c r="U159">
        <v>6</v>
      </c>
      <c r="V159">
        <v>7</v>
      </c>
      <c r="W159">
        <v>8</v>
      </c>
      <c r="X159">
        <v>9</v>
      </c>
      <c r="Y159">
        <v>10</v>
      </c>
      <c r="Z159">
        <v>11</v>
      </c>
      <c r="AA159">
        <v>12</v>
      </c>
      <c r="AB159">
        <v>13</v>
      </c>
      <c r="AC159">
        <v>14</v>
      </c>
      <c r="AD159">
        <v>15</v>
      </c>
      <c r="AE159">
        <v>16</v>
      </c>
      <c r="AF159">
        <v>17</v>
      </c>
      <c r="AH159">
        <v>5</v>
      </c>
      <c r="AI159">
        <v>6</v>
      </c>
      <c r="AJ159">
        <v>7</v>
      </c>
      <c r="AK159">
        <v>8</v>
      </c>
      <c r="AL159">
        <v>9</v>
      </c>
      <c r="AM159">
        <v>10</v>
      </c>
      <c r="AN159">
        <v>11</v>
      </c>
      <c r="AO159">
        <v>12</v>
      </c>
      <c r="AP159">
        <v>13</v>
      </c>
      <c r="AQ159">
        <v>14</v>
      </c>
      <c r="AR159">
        <v>15</v>
      </c>
      <c r="AS159">
        <v>16</v>
      </c>
      <c r="AT159">
        <v>17</v>
      </c>
    </row>
    <row r="160" spans="1:53">
      <c r="A160" s="14" t="s">
        <v>191</v>
      </c>
      <c r="B160" s="14" t="s">
        <v>195</v>
      </c>
      <c r="C160" s="14" t="s">
        <v>78</v>
      </c>
      <c r="D160" s="14" t="s">
        <v>117</v>
      </c>
      <c r="E160" s="7" t="s">
        <v>197</v>
      </c>
      <c r="F160" s="50" t="str">
        <f>定义数据!G13</f>
        <v>生命</v>
      </c>
      <c r="G160" s="50" t="str">
        <f>定义数据!H13</f>
        <v>攻击</v>
      </c>
      <c r="H160" s="50" t="str">
        <f>定义数据!I13</f>
        <v>防御</v>
      </c>
      <c r="I160" s="50" t="str">
        <f>定义数据!J13</f>
        <v>闪避值</v>
      </c>
      <c r="J160" s="50" t="str">
        <f>定义数据!K13</f>
        <v>命中值</v>
      </c>
      <c r="K160" s="50" t="str">
        <f>定义数据!L13</f>
        <v>暴击值</v>
      </c>
      <c r="L160" s="50" t="str">
        <f>定义数据!M13</f>
        <v>暴击倍数</v>
      </c>
      <c r="M160" s="50" t="str">
        <f>定义数据!N13</f>
        <v>韧性值</v>
      </c>
      <c r="N160" s="50" t="str">
        <f>定义数据!O13</f>
        <v>伤害减免</v>
      </c>
      <c r="O160" s="50" t="str">
        <f>定义数据!P13</f>
        <v>伤害加深</v>
      </c>
      <c r="P160" s="50" t="str">
        <f>定义数据!Q13</f>
        <v>生命加成</v>
      </c>
      <c r="Q160" s="50" t="str">
        <f>定义数据!R13</f>
        <v>攻击加成</v>
      </c>
      <c r="R160" s="50" t="str">
        <f>定义数据!S13</f>
        <v>防御加成</v>
      </c>
      <c r="S160" s="50"/>
      <c r="T160" s="49" t="str">
        <f>定义数据!G13</f>
        <v>生命</v>
      </c>
      <c r="U160" s="49" t="str">
        <f>定义数据!H13</f>
        <v>攻击</v>
      </c>
      <c r="V160" s="49" t="str">
        <f>定义数据!I13</f>
        <v>防御</v>
      </c>
      <c r="W160" s="49" t="str">
        <f>定义数据!J13</f>
        <v>闪避值</v>
      </c>
      <c r="X160" s="49" t="str">
        <f>定义数据!K13</f>
        <v>命中值</v>
      </c>
      <c r="Y160" s="49" t="str">
        <f>定义数据!L13</f>
        <v>暴击值</v>
      </c>
      <c r="Z160" s="49" t="str">
        <f>定义数据!M13</f>
        <v>暴击倍数</v>
      </c>
      <c r="AA160" s="49" t="str">
        <f>定义数据!N13</f>
        <v>韧性值</v>
      </c>
      <c r="AB160" s="49" t="str">
        <f>定义数据!O13</f>
        <v>伤害减免</v>
      </c>
      <c r="AC160" s="49" t="str">
        <f>定义数据!P13</f>
        <v>伤害加深</v>
      </c>
      <c r="AD160" s="49" t="str">
        <f>定义数据!Q13</f>
        <v>生命加成</v>
      </c>
      <c r="AE160" s="49" t="str">
        <f>定义数据!R13</f>
        <v>攻击加成</v>
      </c>
      <c r="AF160" s="49" t="str">
        <f>定义数据!S13</f>
        <v>防御加成</v>
      </c>
      <c r="AH160" s="50" t="str">
        <f>定义数据!G13</f>
        <v>生命</v>
      </c>
      <c r="AI160" s="50" t="str">
        <f>定义数据!H13</f>
        <v>攻击</v>
      </c>
      <c r="AJ160" s="50" t="str">
        <f>定义数据!I13</f>
        <v>防御</v>
      </c>
      <c r="AK160" s="50" t="str">
        <f>定义数据!J13</f>
        <v>闪避值</v>
      </c>
      <c r="AL160" s="50" t="str">
        <f>定义数据!K13</f>
        <v>命中值</v>
      </c>
      <c r="AM160" s="50" t="str">
        <f>定义数据!L13</f>
        <v>暴击值</v>
      </c>
      <c r="AN160" s="50" t="str">
        <f>定义数据!M13</f>
        <v>暴击倍数</v>
      </c>
      <c r="AO160" s="50" t="str">
        <f>定义数据!N13</f>
        <v>韧性值</v>
      </c>
      <c r="AP160" s="50" t="str">
        <f>定义数据!O13</f>
        <v>伤害减免</v>
      </c>
      <c r="AQ160" s="50" t="str">
        <f>定义数据!P13</f>
        <v>伤害加深</v>
      </c>
      <c r="AR160" s="50" t="str">
        <f>定义数据!Q13</f>
        <v>生命加成</v>
      </c>
      <c r="AS160" s="50" t="str">
        <f>定义数据!R13</f>
        <v>攻击加成</v>
      </c>
      <c r="AT160" s="50" t="str">
        <f>定义数据!S13</f>
        <v>防御加成</v>
      </c>
    </row>
    <row r="161" spans="1:46">
      <c r="A161" s="7">
        <v>8001</v>
      </c>
      <c r="B161" s="3" t="s">
        <v>336</v>
      </c>
      <c r="C161" s="7" t="s">
        <v>196</v>
      </c>
      <c r="D161" s="7">
        <v>-2</v>
      </c>
      <c r="E161" s="7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22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</row>
    <row r="162" spans="1:46">
      <c r="A162" s="3">
        <v>8110</v>
      </c>
      <c r="B162" s="17" t="s">
        <v>337</v>
      </c>
      <c r="C162" s="7" t="s">
        <v>234</v>
      </c>
      <c r="D162" s="3">
        <f>VLOOKUP(C162,定义数据!$B$2:$C$7,2,0)</f>
        <v>1</v>
      </c>
      <c r="E162" s="3">
        <v>8110</v>
      </c>
      <c r="F162" s="3">
        <v>0.5</v>
      </c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22"/>
      <c r="T162">
        <f t="shared" ref="T162:T193" si="47">VLOOKUP($D162,$A$34:$Q$38,T$159,0)*F162</f>
        <v>2381.4967230605084</v>
      </c>
      <c r="U162">
        <f t="shared" ref="U162:U193" si="48">VLOOKUP($D162,$A$34:$Q$38,U$159,0)*G162</f>
        <v>0</v>
      </c>
      <c r="V162">
        <f t="shared" ref="V162:V193" si="49">VLOOKUP($D162,$A$34:$Q$38,V$159,0)*H162</f>
        <v>0</v>
      </c>
      <c r="W162">
        <f t="shared" ref="W162:W193" si="50">VLOOKUP($D162,$A$34:$Q$38,W$159,0)*I162</f>
        <v>0</v>
      </c>
      <c r="X162">
        <f t="shared" ref="X162:X193" si="51">VLOOKUP($D162,$A$34:$Q$38,X$159,0)*J162</f>
        <v>0</v>
      </c>
      <c r="Y162">
        <f t="shared" ref="Y162:Y193" si="52">VLOOKUP($D162,$A$34:$Q$38,Y$159,0)*K162</f>
        <v>0</v>
      </c>
      <c r="Z162">
        <f t="shared" ref="Z162:Z193" si="53">VLOOKUP($D162,$A$34:$Q$38,Z$159,0)*L162</f>
        <v>0</v>
      </c>
      <c r="AA162">
        <f t="shared" ref="AA162:AA193" si="54">VLOOKUP($D162,$A$34:$Q$38,AA$159,0)*M162</f>
        <v>0</v>
      </c>
      <c r="AB162">
        <f t="shared" ref="AB162:AB193" si="55">VLOOKUP($D162,$A$34:$Q$38,AB$159,0)*N162</f>
        <v>0</v>
      </c>
      <c r="AC162">
        <f t="shared" ref="AC162:AC193" si="56">VLOOKUP($D162,$A$34:$Q$38,AC$159,0)*O162</f>
        <v>0</v>
      </c>
      <c r="AD162">
        <f t="shared" ref="AD162:AD193" si="57">VLOOKUP($D162,$A$34:$Q$38,AD$159,0)*P162</f>
        <v>0</v>
      </c>
      <c r="AE162">
        <f t="shared" ref="AE162:AE193" si="58">VLOOKUP($D162,$A$34:$Q$38,AE$159,0)*Q162</f>
        <v>0</v>
      </c>
      <c r="AF162">
        <f t="shared" ref="AF162:AF193" si="59">VLOOKUP($D162,$A$34:$Q$38,AF$159,0)*R162</f>
        <v>0</v>
      </c>
      <c r="AH162" s="3">
        <f t="shared" ref="AH162:AH193" si="60">VLOOKUP($D162,$A$42:$Q$46,AH$159,0)*F162</f>
        <v>2381.4967230605084</v>
      </c>
      <c r="AI162" s="3">
        <f t="shared" ref="AI162:AI193" si="61">VLOOKUP($D162,$A$42:$Q$46,AI$159,0)*G162</f>
        <v>0</v>
      </c>
      <c r="AJ162" s="3">
        <f t="shared" ref="AJ162:AJ193" si="62">VLOOKUP($D162,$A$42:$Q$46,AJ$159,0)*H162</f>
        <v>0</v>
      </c>
      <c r="AK162" s="3">
        <f t="shared" ref="AK162:AK193" si="63">VLOOKUP($D162,$A$42:$Q$46,AK$159,0)*I162</f>
        <v>0</v>
      </c>
      <c r="AL162" s="3">
        <f t="shared" ref="AL162:AL193" si="64">VLOOKUP($D162,$A$42:$Q$46,AL$159,0)*J162</f>
        <v>0</v>
      </c>
      <c r="AM162" s="3">
        <f t="shared" ref="AM162:AM193" si="65">VLOOKUP($D162,$A$42:$Q$46,AM$159,0)*K162</f>
        <v>0</v>
      </c>
      <c r="AN162" s="3">
        <f t="shared" ref="AN162:AN193" si="66">VLOOKUP($D162,$A$42:$Q$46,AN$159,0)*L162</f>
        <v>0</v>
      </c>
      <c r="AO162" s="3">
        <f t="shared" ref="AO162:AO193" si="67">VLOOKUP($D162,$A$42:$Q$46,AO$159,0)*M162</f>
        <v>0</v>
      </c>
      <c r="AP162" s="3">
        <f t="shared" ref="AP162:AP193" si="68">VLOOKUP($D162,$A$42:$Q$46,AP$159,0)*N162</f>
        <v>0</v>
      </c>
      <c r="AQ162" s="3">
        <f t="shared" ref="AQ162:AQ193" si="69">VLOOKUP($D162,$A$42:$Q$46,AQ$159,0)*O162</f>
        <v>0</v>
      </c>
      <c r="AR162" s="3">
        <f t="shared" ref="AR162:AR193" si="70">VLOOKUP($D162,$A$42:$Q$46,AR$159,0)*P162</f>
        <v>0</v>
      </c>
      <c r="AS162" s="3">
        <f t="shared" ref="AS162:AS193" si="71">VLOOKUP($D162,$A$42:$Q$46,AS$159,0)*Q162</f>
        <v>0</v>
      </c>
      <c r="AT162" s="3">
        <f t="shared" ref="AT162:AT193" si="72">VLOOKUP($D162,$A$42:$Q$46,AT$159,0)*R162</f>
        <v>0</v>
      </c>
    </row>
    <row r="163" spans="1:46">
      <c r="A163" s="3">
        <v>8210</v>
      </c>
      <c r="B163" s="18" t="s">
        <v>338</v>
      </c>
      <c r="C163" s="7" t="s">
        <v>234</v>
      </c>
      <c r="D163" s="3">
        <f>VLOOKUP(C163,定义数据!$B$2:$C$7,2,0)</f>
        <v>1</v>
      </c>
      <c r="E163" s="3">
        <v>8210</v>
      </c>
      <c r="F163" s="3"/>
      <c r="G163" s="3">
        <v>0.5</v>
      </c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22"/>
      <c r="T163">
        <f t="shared" si="47"/>
        <v>0</v>
      </c>
      <c r="U163">
        <f t="shared" si="48"/>
        <v>95.259868922420353</v>
      </c>
      <c r="V163">
        <f t="shared" si="49"/>
        <v>0</v>
      </c>
      <c r="W163">
        <f t="shared" si="50"/>
        <v>0</v>
      </c>
      <c r="X163">
        <f t="shared" si="51"/>
        <v>0</v>
      </c>
      <c r="Y163">
        <f t="shared" si="52"/>
        <v>0</v>
      </c>
      <c r="Z163">
        <f t="shared" si="53"/>
        <v>0</v>
      </c>
      <c r="AA163">
        <f t="shared" si="54"/>
        <v>0</v>
      </c>
      <c r="AB163">
        <f t="shared" si="55"/>
        <v>0</v>
      </c>
      <c r="AC163">
        <f t="shared" si="56"/>
        <v>0</v>
      </c>
      <c r="AD163">
        <f t="shared" si="57"/>
        <v>0</v>
      </c>
      <c r="AE163">
        <f t="shared" si="58"/>
        <v>0</v>
      </c>
      <c r="AF163">
        <f t="shared" si="59"/>
        <v>0</v>
      </c>
      <c r="AH163" s="3">
        <f t="shared" si="60"/>
        <v>0</v>
      </c>
      <c r="AI163" s="3">
        <f t="shared" si="61"/>
        <v>95.259868922420353</v>
      </c>
      <c r="AJ163" s="3">
        <f t="shared" si="62"/>
        <v>0</v>
      </c>
      <c r="AK163" s="3">
        <f t="shared" si="63"/>
        <v>0</v>
      </c>
      <c r="AL163" s="3">
        <f t="shared" si="64"/>
        <v>0</v>
      </c>
      <c r="AM163" s="3">
        <f t="shared" si="65"/>
        <v>0</v>
      </c>
      <c r="AN163" s="3">
        <f t="shared" si="66"/>
        <v>0</v>
      </c>
      <c r="AO163" s="3">
        <f t="shared" si="67"/>
        <v>0</v>
      </c>
      <c r="AP163" s="3">
        <f t="shared" si="68"/>
        <v>0</v>
      </c>
      <c r="AQ163" s="3">
        <f t="shared" si="69"/>
        <v>0</v>
      </c>
      <c r="AR163" s="3">
        <f t="shared" si="70"/>
        <v>0</v>
      </c>
      <c r="AS163" s="3">
        <f t="shared" si="71"/>
        <v>0</v>
      </c>
      <c r="AT163" s="3">
        <f t="shared" si="72"/>
        <v>0</v>
      </c>
    </row>
    <row r="164" spans="1:46">
      <c r="A164" s="3">
        <v>8310</v>
      </c>
      <c r="B164" s="18" t="s">
        <v>339</v>
      </c>
      <c r="C164" s="7" t="s">
        <v>234</v>
      </c>
      <c r="D164" s="3">
        <f>VLOOKUP(C164,定义数据!$B$2:$C$7,2,0)</f>
        <v>1</v>
      </c>
      <c r="E164" s="3">
        <v>8310</v>
      </c>
      <c r="F164" s="3"/>
      <c r="G164" s="3"/>
      <c r="H164" s="3">
        <v>1</v>
      </c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22"/>
      <c r="T164">
        <f t="shared" si="47"/>
        <v>0</v>
      </c>
      <c r="U164">
        <f t="shared" si="48"/>
        <v>0</v>
      </c>
      <c r="V164">
        <f t="shared" si="49"/>
        <v>76.207895137936276</v>
      </c>
      <c r="W164">
        <f t="shared" si="50"/>
        <v>0</v>
      </c>
      <c r="X164">
        <f t="shared" si="51"/>
        <v>0</v>
      </c>
      <c r="Y164">
        <f t="shared" si="52"/>
        <v>0</v>
      </c>
      <c r="Z164">
        <f t="shared" si="53"/>
        <v>0</v>
      </c>
      <c r="AA164">
        <f t="shared" si="54"/>
        <v>0</v>
      </c>
      <c r="AB164">
        <f t="shared" si="55"/>
        <v>0</v>
      </c>
      <c r="AC164">
        <f t="shared" si="56"/>
        <v>0</v>
      </c>
      <c r="AD164">
        <f t="shared" si="57"/>
        <v>0</v>
      </c>
      <c r="AE164">
        <f t="shared" si="58"/>
        <v>0</v>
      </c>
      <c r="AF164">
        <f t="shared" si="59"/>
        <v>0</v>
      </c>
      <c r="AH164" s="3">
        <f t="shared" si="60"/>
        <v>0</v>
      </c>
      <c r="AI164" s="3">
        <f t="shared" si="61"/>
        <v>0</v>
      </c>
      <c r="AJ164" s="3">
        <f t="shared" si="62"/>
        <v>76.207895137936276</v>
      </c>
      <c r="AK164" s="3">
        <f t="shared" si="63"/>
        <v>0</v>
      </c>
      <c r="AL164" s="3">
        <f t="shared" si="64"/>
        <v>0</v>
      </c>
      <c r="AM164" s="3">
        <f t="shared" si="65"/>
        <v>0</v>
      </c>
      <c r="AN164" s="3">
        <f t="shared" si="66"/>
        <v>0</v>
      </c>
      <c r="AO164" s="3">
        <f t="shared" si="67"/>
        <v>0</v>
      </c>
      <c r="AP164" s="3">
        <f t="shared" si="68"/>
        <v>0</v>
      </c>
      <c r="AQ164" s="3">
        <f t="shared" si="69"/>
        <v>0</v>
      </c>
      <c r="AR164" s="3">
        <f t="shared" si="70"/>
        <v>0</v>
      </c>
      <c r="AS164" s="3">
        <f t="shared" si="71"/>
        <v>0</v>
      </c>
      <c r="AT164" s="3">
        <f t="shared" si="72"/>
        <v>0</v>
      </c>
    </row>
    <row r="165" spans="1:46">
      <c r="A165" s="3">
        <v>8120</v>
      </c>
      <c r="B165" s="18" t="s">
        <v>371</v>
      </c>
      <c r="C165" s="7" t="s">
        <v>237</v>
      </c>
      <c r="D165" s="3">
        <f>VLOOKUP(C165,定义数据!$B$2:$C$7,2,0)</f>
        <v>2</v>
      </c>
      <c r="E165" s="7">
        <v>8120</v>
      </c>
      <c r="F165" s="3">
        <v>0.5</v>
      </c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22"/>
      <c r="T165">
        <f t="shared" si="47"/>
        <v>4286.694101508916</v>
      </c>
      <c r="U165">
        <f t="shared" si="48"/>
        <v>0</v>
      </c>
      <c r="V165">
        <f t="shared" si="49"/>
        <v>0</v>
      </c>
      <c r="W165">
        <f t="shared" si="50"/>
        <v>0</v>
      </c>
      <c r="X165">
        <f t="shared" si="51"/>
        <v>0</v>
      </c>
      <c r="Y165">
        <f t="shared" si="52"/>
        <v>0</v>
      </c>
      <c r="Z165">
        <f t="shared" si="53"/>
        <v>0</v>
      </c>
      <c r="AA165">
        <f t="shared" si="54"/>
        <v>0</v>
      </c>
      <c r="AB165">
        <f t="shared" si="55"/>
        <v>0</v>
      </c>
      <c r="AC165">
        <f t="shared" si="56"/>
        <v>0</v>
      </c>
      <c r="AD165">
        <f t="shared" si="57"/>
        <v>0</v>
      </c>
      <c r="AE165">
        <f t="shared" si="58"/>
        <v>0</v>
      </c>
      <c r="AF165">
        <f t="shared" si="59"/>
        <v>0</v>
      </c>
      <c r="AH165" s="3">
        <f t="shared" si="60"/>
        <v>4286.694101508916</v>
      </c>
      <c r="AI165" s="3">
        <f t="shared" si="61"/>
        <v>0</v>
      </c>
      <c r="AJ165" s="3">
        <f t="shared" si="62"/>
        <v>0</v>
      </c>
      <c r="AK165" s="3">
        <f t="shared" si="63"/>
        <v>0</v>
      </c>
      <c r="AL165" s="3">
        <f t="shared" si="64"/>
        <v>0</v>
      </c>
      <c r="AM165" s="3">
        <f t="shared" si="65"/>
        <v>0</v>
      </c>
      <c r="AN165" s="3">
        <f t="shared" si="66"/>
        <v>0</v>
      </c>
      <c r="AO165" s="3">
        <f t="shared" si="67"/>
        <v>0</v>
      </c>
      <c r="AP165" s="3">
        <f t="shared" si="68"/>
        <v>0</v>
      </c>
      <c r="AQ165" s="3">
        <f t="shared" si="69"/>
        <v>0</v>
      </c>
      <c r="AR165" s="3">
        <f t="shared" si="70"/>
        <v>0</v>
      </c>
      <c r="AS165" s="3">
        <f t="shared" si="71"/>
        <v>0</v>
      </c>
      <c r="AT165" s="3">
        <f t="shared" si="72"/>
        <v>0</v>
      </c>
    </row>
    <row r="166" spans="1:46">
      <c r="A166" s="3">
        <v>8220</v>
      </c>
      <c r="B166" s="18" t="s">
        <v>372</v>
      </c>
      <c r="C166" s="7" t="s">
        <v>237</v>
      </c>
      <c r="D166" s="3">
        <f>VLOOKUP(C166,定义数据!$B$2:$C$7,2,0)</f>
        <v>2</v>
      </c>
      <c r="E166" s="7">
        <v>8220</v>
      </c>
      <c r="F166" s="3"/>
      <c r="G166" s="3">
        <v>0.5</v>
      </c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22"/>
      <c r="T166">
        <f t="shared" si="47"/>
        <v>0</v>
      </c>
      <c r="U166">
        <f t="shared" si="48"/>
        <v>171.46776406035664</v>
      </c>
      <c r="V166">
        <f t="shared" si="49"/>
        <v>0</v>
      </c>
      <c r="W166">
        <f t="shared" si="50"/>
        <v>0</v>
      </c>
      <c r="X166">
        <f t="shared" si="51"/>
        <v>0</v>
      </c>
      <c r="Y166">
        <f t="shared" si="52"/>
        <v>0</v>
      </c>
      <c r="Z166">
        <f t="shared" si="53"/>
        <v>0</v>
      </c>
      <c r="AA166">
        <f t="shared" si="54"/>
        <v>0</v>
      </c>
      <c r="AB166">
        <f t="shared" si="55"/>
        <v>0</v>
      </c>
      <c r="AC166">
        <f t="shared" si="56"/>
        <v>0</v>
      </c>
      <c r="AD166">
        <f t="shared" si="57"/>
        <v>0</v>
      </c>
      <c r="AE166">
        <f t="shared" si="58"/>
        <v>0</v>
      </c>
      <c r="AF166">
        <f t="shared" si="59"/>
        <v>0</v>
      </c>
      <c r="AH166" s="3">
        <f t="shared" si="60"/>
        <v>0</v>
      </c>
      <c r="AI166" s="3">
        <f t="shared" si="61"/>
        <v>171.46776406035664</v>
      </c>
      <c r="AJ166" s="3">
        <f t="shared" si="62"/>
        <v>0</v>
      </c>
      <c r="AK166" s="3">
        <f t="shared" si="63"/>
        <v>0</v>
      </c>
      <c r="AL166" s="3">
        <f t="shared" si="64"/>
        <v>0</v>
      </c>
      <c r="AM166" s="3">
        <f t="shared" si="65"/>
        <v>0</v>
      </c>
      <c r="AN166" s="3">
        <f t="shared" si="66"/>
        <v>0</v>
      </c>
      <c r="AO166" s="3">
        <f t="shared" si="67"/>
        <v>0</v>
      </c>
      <c r="AP166" s="3">
        <f t="shared" si="68"/>
        <v>0</v>
      </c>
      <c r="AQ166" s="3">
        <f t="shared" si="69"/>
        <v>0</v>
      </c>
      <c r="AR166" s="3">
        <f t="shared" si="70"/>
        <v>0</v>
      </c>
      <c r="AS166" s="3">
        <f t="shared" si="71"/>
        <v>0</v>
      </c>
      <c r="AT166" s="3">
        <f t="shared" si="72"/>
        <v>0</v>
      </c>
    </row>
    <row r="167" spans="1:46">
      <c r="A167" s="3">
        <v>8320</v>
      </c>
      <c r="B167" s="18" t="s">
        <v>208</v>
      </c>
      <c r="C167" s="7" t="s">
        <v>237</v>
      </c>
      <c r="D167" s="3">
        <f>VLOOKUP(C167,定义数据!$B$2:$C$7,2,0)</f>
        <v>2</v>
      </c>
      <c r="E167" s="7">
        <v>8320</v>
      </c>
      <c r="F167" s="3"/>
      <c r="G167" s="3"/>
      <c r="H167" s="3">
        <v>1</v>
      </c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22"/>
      <c r="T167">
        <f t="shared" si="47"/>
        <v>0</v>
      </c>
      <c r="U167">
        <f t="shared" si="48"/>
        <v>0</v>
      </c>
      <c r="V167">
        <f t="shared" si="49"/>
        <v>137.1742112482853</v>
      </c>
      <c r="W167">
        <f t="shared" si="50"/>
        <v>0</v>
      </c>
      <c r="X167">
        <f t="shared" si="51"/>
        <v>0</v>
      </c>
      <c r="Y167">
        <f t="shared" si="52"/>
        <v>0</v>
      </c>
      <c r="Z167">
        <f t="shared" si="53"/>
        <v>0</v>
      </c>
      <c r="AA167">
        <f t="shared" si="54"/>
        <v>0</v>
      </c>
      <c r="AB167">
        <f t="shared" si="55"/>
        <v>0</v>
      </c>
      <c r="AC167">
        <f t="shared" si="56"/>
        <v>0</v>
      </c>
      <c r="AD167">
        <f t="shared" si="57"/>
        <v>0</v>
      </c>
      <c r="AE167">
        <f t="shared" si="58"/>
        <v>0</v>
      </c>
      <c r="AF167">
        <f t="shared" si="59"/>
        <v>0</v>
      </c>
      <c r="AH167" s="3">
        <f t="shared" si="60"/>
        <v>0</v>
      </c>
      <c r="AI167" s="3">
        <f t="shared" si="61"/>
        <v>0</v>
      </c>
      <c r="AJ167" s="3">
        <f t="shared" si="62"/>
        <v>137.1742112482853</v>
      </c>
      <c r="AK167" s="3">
        <f t="shared" si="63"/>
        <v>0</v>
      </c>
      <c r="AL167" s="3">
        <f t="shared" si="64"/>
        <v>0</v>
      </c>
      <c r="AM167" s="3">
        <f t="shared" si="65"/>
        <v>0</v>
      </c>
      <c r="AN167" s="3">
        <f t="shared" si="66"/>
        <v>0</v>
      </c>
      <c r="AO167" s="3">
        <f t="shared" si="67"/>
        <v>0</v>
      </c>
      <c r="AP167" s="3">
        <f t="shared" si="68"/>
        <v>0</v>
      </c>
      <c r="AQ167" s="3">
        <f t="shared" si="69"/>
        <v>0</v>
      </c>
      <c r="AR167" s="3">
        <f t="shared" si="70"/>
        <v>0</v>
      </c>
      <c r="AS167" s="3">
        <f t="shared" si="71"/>
        <v>0</v>
      </c>
      <c r="AT167" s="3">
        <f t="shared" si="72"/>
        <v>0</v>
      </c>
    </row>
    <row r="168" spans="1:46">
      <c r="A168" s="3">
        <v>8420</v>
      </c>
      <c r="B168" s="18" t="s">
        <v>342</v>
      </c>
      <c r="C168" s="7" t="s">
        <v>237</v>
      </c>
      <c r="D168" s="3">
        <f>VLOOKUP(C168,定义数据!$B$2:$C$7,2,0)</f>
        <v>2</v>
      </c>
      <c r="E168" s="7">
        <v>8420</v>
      </c>
      <c r="F168" s="3"/>
      <c r="G168" s="3"/>
      <c r="H168" s="3"/>
      <c r="I168" s="3">
        <v>1</v>
      </c>
      <c r="J168" s="3"/>
      <c r="K168" s="3"/>
      <c r="L168" s="3"/>
      <c r="M168" s="3"/>
      <c r="N168" s="3"/>
      <c r="O168" s="3"/>
      <c r="P168" s="3"/>
      <c r="Q168" s="3"/>
      <c r="R168" s="3"/>
      <c r="S168" s="22"/>
      <c r="T168">
        <f t="shared" si="47"/>
        <v>0</v>
      </c>
      <c r="U168">
        <f t="shared" si="48"/>
        <v>0</v>
      </c>
      <c r="V168">
        <f t="shared" si="49"/>
        <v>0</v>
      </c>
      <c r="W168">
        <f t="shared" si="50"/>
        <v>403.45356249495677</v>
      </c>
      <c r="X168">
        <f t="shared" si="51"/>
        <v>0</v>
      </c>
      <c r="Y168">
        <f t="shared" si="52"/>
        <v>0</v>
      </c>
      <c r="Z168">
        <f t="shared" si="53"/>
        <v>0</v>
      </c>
      <c r="AA168">
        <f t="shared" si="54"/>
        <v>0</v>
      </c>
      <c r="AB168">
        <f t="shared" si="55"/>
        <v>0</v>
      </c>
      <c r="AC168">
        <f t="shared" si="56"/>
        <v>0</v>
      </c>
      <c r="AD168">
        <f t="shared" si="57"/>
        <v>0</v>
      </c>
      <c r="AE168">
        <f t="shared" si="58"/>
        <v>0</v>
      </c>
      <c r="AF168">
        <f t="shared" si="59"/>
        <v>0</v>
      </c>
      <c r="AH168" s="3">
        <f t="shared" si="60"/>
        <v>0</v>
      </c>
      <c r="AI168" s="3">
        <f t="shared" si="61"/>
        <v>0</v>
      </c>
      <c r="AJ168" s="3">
        <f t="shared" si="62"/>
        <v>0</v>
      </c>
      <c r="AK168" s="3">
        <f t="shared" si="63"/>
        <v>403.45356249495677</v>
      </c>
      <c r="AL168" s="3">
        <f t="shared" si="64"/>
        <v>0</v>
      </c>
      <c r="AM168" s="3">
        <f t="shared" si="65"/>
        <v>0</v>
      </c>
      <c r="AN168" s="3">
        <f t="shared" si="66"/>
        <v>0</v>
      </c>
      <c r="AO168" s="3">
        <f t="shared" si="67"/>
        <v>0</v>
      </c>
      <c r="AP168" s="3">
        <f t="shared" si="68"/>
        <v>0</v>
      </c>
      <c r="AQ168" s="3">
        <f t="shared" si="69"/>
        <v>0</v>
      </c>
      <c r="AR168" s="3">
        <f t="shared" si="70"/>
        <v>0</v>
      </c>
      <c r="AS168" s="3">
        <f t="shared" si="71"/>
        <v>0</v>
      </c>
      <c r="AT168" s="3">
        <f t="shared" si="72"/>
        <v>0</v>
      </c>
    </row>
    <row r="169" spans="1:46">
      <c r="A169" s="3">
        <v>8520</v>
      </c>
      <c r="B169" s="18" t="s">
        <v>343</v>
      </c>
      <c r="C169" s="7" t="s">
        <v>237</v>
      </c>
      <c r="D169" s="3">
        <f>VLOOKUP(C169,定义数据!$B$2:$C$7,2,0)</f>
        <v>2</v>
      </c>
      <c r="E169" s="7">
        <v>8120</v>
      </c>
      <c r="F169" s="3"/>
      <c r="G169" s="3"/>
      <c r="H169" s="3"/>
      <c r="I169" s="3"/>
      <c r="J169" s="3">
        <v>1</v>
      </c>
      <c r="K169" s="3"/>
      <c r="L169" s="3"/>
      <c r="M169" s="3"/>
      <c r="N169" s="3"/>
      <c r="O169" s="3"/>
      <c r="P169" s="3"/>
      <c r="Q169" s="3"/>
      <c r="R169" s="3"/>
      <c r="S169" s="22"/>
      <c r="T169">
        <f t="shared" si="47"/>
        <v>0</v>
      </c>
      <c r="U169">
        <f t="shared" si="48"/>
        <v>0</v>
      </c>
      <c r="V169">
        <f t="shared" si="49"/>
        <v>0</v>
      </c>
      <c r="W169">
        <f t="shared" si="50"/>
        <v>0</v>
      </c>
      <c r="X169">
        <f t="shared" si="51"/>
        <v>403.45356249495677</v>
      </c>
      <c r="Y169">
        <f t="shared" si="52"/>
        <v>0</v>
      </c>
      <c r="Z169">
        <f t="shared" si="53"/>
        <v>0</v>
      </c>
      <c r="AA169">
        <f t="shared" si="54"/>
        <v>0</v>
      </c>
      <c r="AB169">
        <f t="shared" si="55"/>
        <v>0</v>
      </c>
      <c r="AC169">
        <f t="shared" si="56"/>
        <v>0</v>
      </c>
      <c r="AD169">
        <f t="shared" si="57"/>
        <v>0</v>
      </c>
      <c r="AE169">
        <f t="shared" si="58"/>
        <v>0</v>
      </c>
      <c r="AF169">
        <f t="shared" si="59"/>
        <v>0</v>
      </c>
      <c r="AH169" s="3">
        <f t="shared" si="60"/>
        <v>0</v>
      </c>
      <c r="AI169" s="3">
        <f t="shared" si="61"/>
        <v>0</v>
      </c>
      <c r="AJ169" s="3">
        <f t="shared" si="62"/>
        <v>0</v>
      </c>
      <c r="AK169" s="3">
        <f t="shared" si="63"/>
        <v>0</v>
      </c>
      <c r="AL169" s="3">
        <f t="shared" si="64"/>
        <v>403.45356249495677</v>
      </c>
      <c r="AM169" s="3">
        <f t="shared" si="65"/>
        <v>0</v>
      </c>
      <c r="AN169" s="3">
        <f t="shared" si="66"/>
        <v>0</v>
      </c>
      <c r="AO169" s="3">
        <f t="shared" si="67"/>
        <v>0</v>
      </c>
      <c r="AP169" s="3">
        <f t="shared" si="68"/>
        <v>0</v>
      </c>
      <c r="AQ169" s="3">
        <f t="shared" si="69"/>
        <v>0</v>
      </c>
      <c r="AR169" s="3">
        <f t="shared" si="70"/>
        <v>0</v>
      </c>
      <c r="AS169" s="3">
        <f t="shared" si="71"/>
        <v>0</v>
      </c>
      <c r="AT169" s="3">
        <f t="shared" si="72"/>
        <v>0</v>
      </c>
    </row>
    <row r="170" spans="1:46">
      <c r="A170" s="3">
        <v>8620</v>
      </c>
      <c r="B170" s="18" t="s">
        <v>373</v>
      </c>
      <c r="C170" s="7" t="s">
        <v>237</v>
      </c>
      <c r="D170" s="3">
        <f>VLOOKUP(C170,定义数据!$B$2:$C$7,2,0)</f>
        <v>2</v>
      </c>
      <c r="E170" s="7">
        <v>8220</v>
      </c>
      <c r="F170" s="3"/>
      <c r="G170" s="3"/>
      <c r="H170" s="3"/>
      <c r="I170" s="3"/>
      <c r="J170" s="3"/>
      <c r="K170" s="3">
        <v>1</v>
      </c>
      <c r="L170" s="3"/>
      <c r="M170" s="3"/>
      <c r="N170" s="3"/>
      <c r="O170" s="3"/>
      <c r="P170" s="3"/>
      <c r="Q170" s="3"/>
      <c r="R170" s="3"/>
      <c r="S170" s="22"/>
      <c r="T170">
        <f t="shared" si="47"/>
        <v>0</v>
      </c>
      <c r="U170">
        <f t="shared" si="48"/>
        <v>0</v>
      </c>
      <c r="V170">
        <f t="shared" si="49"/>
        <v>0</v>
      </c>
      <c r="W170">
        <f t="shared" si="50"/>
        <v>0</v>
      </c>
      <c r="X170">
        <f t="shared" si="51"/>
        <v>0</v>
      </c>
      <c r="Y170">
        <f t="shared" si="52"/>
        <v>762.07895137936282</v>
      </c>
      <c r="Z170">
        <f t="shared" si="53"/>
        <v>0</v>
      </c>
      <c r="AA170">
        <f t="shared" si="54"/>
        <v>0</v>
      </c>
      <c r="AB170">
        <f t="shared" si="55"/>
        <v>0</v>
      </c>
      <c r="AC170">
        <f t="shared" si="56"/>
        <v>0</v>
      </c>
      <c r="AD170">
        <f t="shared" si="57"/>
        <v>0</v>
      </c>
      <c r="AE170">
        <f t="shared" si="58"/>
        <v>0</v>
      </c>
      <c r="AF170">
        <f t="shared" si="59"/>
        <v>0</v>
      </c>
      <c r="AH170" s="3">
        <f t="shared" si="60"/>
        <v>0</v>
      </c>
      <c r="AI170" s="3">
        <f t="shared" si="61"/>
        <v>0</v>
      </c>
      <c r="AJ170" s="3">
        <f t="shared" si="62"/>
        <v>0</v>
      </c>
      <c r="AK170" s="3">
        <f t="shared" si="63"/>
        <v>0</v>
      </c>
      <c r="AL170" s="3">
        <f t="shared" si="64"/>
        <v>0</v>
      </c>
      <c r="AM170" s="3">
        <f t="shared" si="65"/>
        <v>762.07895137936282</v>
      </c>
      <c r="AN170" s="3">
        <f t="shared" si="66"/>
        <v>0</v>
      </c>
      <c r="AO170" s="3">
        <f t="shared" si="67"/>
        <v>0</v>
      </c>
      <c r="AP170" s="3">
        <f t="shared" si="68"/>
        <v>0</v>
      </c>
      <c r="AQ170" s="3">
        <f t="shared" si="69"/>
        <v>0</v>
      </c>
      <c r="AR170" s="3">
        <f t="shared" si="70"/>
        <v>0</v>
      </c>
      <c r="AS170" s="3">
        <f t="shared" si="71"/>
        <v>0</v>
      </c>
      <c r="AT170" s="3">
        <f t="shared" si="72"/>
        <v>0</v>
      </c>
    </row>
    <row r="171" spans="1:46">
      <c r="A171" s="3">
        <v>8720</v>
      </c>
      <c r="B171" s="18" t="s">
        <v>374</v>
      </c>
      <c r="C171" s="7" t="s">
        <v>237</v>
      </c>
      <c r="D171" s="3">
        <f>VLOOKUP(C171,定义数据!$B$2:$C$7,2,0)</f>
        <v>2</v>
      </c>
      <c r="E171" s="7">
        <v>8320</v>
      </c>
      <c r="F171" s="3"/>
      <c r="G171" s="3"/>
      <c r="H171" s="3"/>
      <c r="I171" s="3"/>
      <c r="J171" s="3"/>
      <c r="K171" s="3"/>
      <c r="L171" s="3">
        <v>1</v>
      </c>
      <c r="M171" s="3"/>
      <c r="N171" s="3"/>
      <c r="O171" s="3"/>
      <c r="P171" s="3"/>
      <c r="Q171" s="3"/>
      <c r="R171" s="3"/>
      <c r="S171" s="22"/>
      <c r="T171">
        <f t="shared" si="47"/>
        <v>0</v>
      </c>
      <c r="U171">
        <f t="shared" si="48"/>
        <v>0</v>
      </c>
      <c r="V171">
        <f t="shared" si="49"/>
        <v>0</v>
      </c>
      <c r="W171">
        <f t="shared" si="50"/>
        <v>0</v>
      </c>
      <c r="X171">
        <f t="shared" si="51"/>
        <v>0</v>
      </c>
      <c r="Y171">
        <f t="shared" si="52"/>
        <v>0</v>
      </c>
      <c r="Z171">
        <f t="shared" si="53"/>
        <v>514.4032921810699</v>
      </c>
      <c r="AA171">
        <f t="shared" si="54"/>
        <v>0</v>
      </c>
      <c r="AB171">
        <f t="shared" si="55"/>
        <v>0</v>
      </c>
      <c r="AC171">
        <f t="shared" si="56"/>
        <v>0</v>
      </c>
      <c r="AD171">
        <f t="shared" si="57"/>
        <v>0</v>
      </c>
      <c r="AE171">
        <f t="shared" si="58"/>
        <v>0</v>
      </c>
      <c r="AF171">
        <f t="shared" si="59"/>
        <v>0</v>
      </c>
      <c r="AH171" s="3">
        <f t="shared" si="60"/>
        <v>0</v>
      </c>
      <c r="AI171" s="3">
        <f t="shared" si="61"/>
        <v>0</v>
      </c>
      <c r="AJ171" s="3">
        <f t="shared" si="62"/>
        <v>0</v>
      </c>
      <c r="AK171" s="3">
        <f t="shared" si="63"/>
        <v>0</v>
      </c>
      <c r="AL171" s="3">
        <f t="shared" si="64"/>
        <v>0</v>
      </c>
      <c r="AM171" s="3">
        <f t="shared" si="65"/>
        <v>0</v>
      </c>
      <c r="AN171" s="3">
        <f t="shared" si="66"/>
        <v>514.4032921810699</v>
      </c>
      <c r="AO171" s="3">
        <f t="shared" si="67"/>
        <v>0</v>
      </c>
      <c r="AP171" s="3">
        <f t="shared" si="68"/>
        <v>0</v>
      </c>
      <c r="AQ171" s="3">
        <f t="shared" si="69"/>
        <v>0</v>
      </c>
      <c r="AR171" s="3">
        <f t="shared" si="70"/>
        <v>0</v>
      </c>
      <c r="AS171" s="3">
        <f t="shared" si="71"/>
        <v>0</v>
      </c>
      <c r="AT171" s="3">
        <f t="shared" si="72"/>
        <v>0</v>
      </c>
    </row>
    <row r="172" spans="1:46">
      <c r="A172" s="3">
        <v>8820</v>
      </c>
      <c r="B172" s="18" t="s">
        <v>346</v>
      </c>
      <c r="C172" s="7" t="s">
        <v>237</v>
      </c>
      <c r="D172" s="3">
        <f>VLOOKUP(C172,定义数据!$B$2:$C$7,2,0)</f>
        <v>2</v>
      </c>
      <c r="E172" s="7">
        <v>8420</v>
      </c>
      <c r="F172" s="3"/>
      <c r="G172" s="3"/>
      <c r="H172" s="3"/>
      <c r="I172" s="3"/>
      <c r="J172" s="3"/>
      <c r="K172" s="3"/>
      <c r="L172" s="3"/>
      <c r="M172" s="3">
        <v>1</v>
      </c>
      <c r="N172" s="3"/>
      <c r="O172" s="3"/>
      <c r="P172" s="3"/>
      <c r="Q172" s="3"/>
      <c r="R172" s="3"/>
      <c r="S172" s="22"/>
      <c r="T172">
        <f t="shared" si="47"/>
        <v>0</v>
      </c>
      <c r="U172">
        <f t="shared" si="48"/>
        <v>0</v>
      </c>
      <c r="V172">
        <f t="shared" si="49"/>
        <v>0</v>
      </c>
      <c r="W172">
        <f t="shared" si="50"/>
        <v>0</v>
      </c>
      <c r="X172">
        <f t="shared" si="51"/>
        <v>0</v>
      </c>
      <c r="Y172">
        <f t="shared" si="52"/>
        <v>0</v>
      </c>
      <c r="Z172">
        <f t="shared" si="53"/>
        <v>0</v>
      </c>
      <c r="AA172">
        <f t="shared" si="54"/>
        <v>762.07895137936282</v>
      </c>
      <c r="AB172">
        <f t="shared" si="55"/>
        <v>0</v>
      </c>
      <c r="AC172">
        <f t="shared" si="56"/>
        <v>0</v>
      </c>
      <c r="AD172">
        <f t="shared" si="57"/>
        <v>0</v>
      </c>
      <c r="AE172">
        <f t="shared" si="58"/>
        <v>0</v>
      </c>
      <c r="AF172">
        <f t="shared" si="59"/>
        <v>0</v>
      </c>
      <c r="AH172" s="3">
        <f t="shared" si="60"/>
        <v>0</v>
      </c>
      <c r="AI172" s="3">
        <f t="shared" si="61"/>
        <v>0</v>
      </c>
      <c r="AJ172" s="3">
        <f t="shared" si="62"/>
        <v>0</v>
      </c>
      <c r="AK172" s="3">
        <f t="shared" si="63"/>
        <v>0</v>
      </c>
      <c r="AL172" s="3">
        <f t="shared" si="64"/>
        <v>0</v>
      </c>
      <c r="AM172" s="3">
        <f t="shared" si="65"/>
        <v>0</v>
      </c>
      <c r="AN172" s="3">
        <f t="shared" si="66"/>
        <v>0</v>
      </c>
      <c r="AO172" s="3">
        <f t="shared" si="67"/>
        <v>762.07895137936282</v>
      </c>
      <c r="AP172" s="3">
        <f t="shared" si="68"/>
        <v>0</v>
      </c>
      <c r="AQ172" s="3">
        <f t="shared" si="69"/>
        <v>0</v>
      </c>
      <c r="AR172" s="3">
        <f t="shared" si="70"/>
        <v>0</v>
      </c>
      <c r="AS172" s="3">
        <f t="shared" si="71"/>
        <v>0</v>
      </c>
      <c r="AT172" s="3">
        <f t="shared" si="72"/>
        <v>0</v>
      </c>
    </row>
    <row r="173" spans="1:46">
      <c r="A173" s="3">
        <v>8130</v>
      </c>
      <c r="B173" s="19" t="s">
        <v>201</v>
      </c>
      <c r="C173" s="7" t="s">
        <v>192</v>
      </c>
      <c r="D173" s="3">
        <f>VLOOKUP(C173,定义数据!$B$2:$C$7,2,0)</f>
        <v>3</v>
      </c>
      <c r="E173" s="7">
        <v>8130</v>
      </c>
      <c r="F173" s="3">
        <v>0.5</v>
      </c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22"/>
      <c r="T173">
        <f t="shared" si="47"/>
        <v>7716.049382716049</v>
      </c>
      <c r="U173">
        <f t="shared" si="48"/>
        <v>0</v>
      </c>
      <c r="V173">
        <f t="shared" si="49"/>
        <v>0</v>
      </c>
      <c r="W173">
        <f t="shared" si="50"/>
        <v>0</v>
      </c>
      <c r="X173">
        <f t="shared" si="51"/>
        <v>0</v>
      </c>
      <c r="Y173">
        <f t="shared" si="52"/>
        <v>0</v>
      </c>
      <c r="Z173">
        <f t="shared" si="53"/>
        <v>0</v>
      </c>
      <c r="AA173">
        <f t="shared" si="54"/>
        <v>0</v>
      </c>
      <c r="AB173">
        <f t="shared" si="55"/>
        <v>0</v>
      </c>
      <c r="AC173">
        <f t="shared" si="56"/>
        <v>0</v>
      </c>
      <c r="AD173">
        <f t="shared" si="57"/>
        <v>0</v>
      </c>
      <c r="AE173">
        <f t="shared" si="58"/>
        <v>0</v>
      </c>
      <c r="AF173">
        <f t="shared" si="59"/>
        <v>0</v>
      </c>
      <c r="AH173" s="3">
        <f t="shared" si="60"/>
        <v>7716.049382716049</v>
      </c>
      <c r="AI173" s="3">
        <f t="shared" si="61"/>
        <v>0</v>
      </c>
      <c r="AJ173" s="3">
        <f t="shared" si="62"/>
        <v>0</v>
      </c>
      <c r="AK173" s="3">
        <f t="shared" si="63"/>
        <v>0</v>
      </c>
      <c r="AL173" s="3">
        <f t="shared" si="64"/>
        <v>0</v>
      </c>
      <c r="AM173" s="3">
        <f t="shared" si="65"/>
        <v>0</v>
      </c>
      <c r="AN173" s="3">
        <f t="shared" si="66"/>
        <v>0</v>
      </c>
      <c r="AO173" s="3">
        <f t="shared" si="67"/>
        <v>0</v>
      </c>
      <c r="AP173" s="3">
        <f t="shared" si="68"/>
        <v>0</v>
      </c>
      <c r="AQ173" s="3">
        <f t="shared" si="69"/>
        <v>0</v>
      </c>
      <c r="AR173" s="3">
        <f t="shared" si="70"/>
        <v>0</v>
      </c>
      <c r="AS173" s="3">
        <f t="shared" si="71"/>
        <v>0</v>
      </c>
      <c r="AT173" s="3">
        <f t="shared" si="72"/>
        <v>0</v>
      </c>
    </row>
    <row r="174" spans="1:46">
      <c r="A174" s="3">
        <v>8230</v>
      </c>
      <c r="B174" s="20" t="s">
        <v>200</v>
      </c>
      <c r="C174" s="7" t="s">
        <v>192</v>
      </c>
      <c r="D174" s="3">
        <f>VLOOKUP(C174,定义数据!$B$2:$C$7,2,0)</f>
        <v>3</v>
      </c>
      <c r="E174" s="7">
        <v>8230</v>
      </c>
      <c r="F174" s="3"/>
      <c r="G174" s="3">
        <v>0.5</v>
      </c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22"/>
      <c r="T174">
        <f t="shared" si="47"/>
        <v>0</v>
      </c>
      <c r="U174">
        <f t="shared" si="48"/>
        <v>308.64197530864197</v>
      </c>
      <c r="V174">
        <f t="shared" si="49"/>
        <v>0</v>
      </c>
      <c r="W174">
        <f t="shared" si="50"/>
        <v>0</v>
      </c>
      <c r="X174">
        <f t="shared" si="51"/>
        <v>0</v>
      </c>
      <c r="Y174">
        <f t="shared" si="52"/>
        <v>0</v>
      </c>
      <c r="Z174">
        <f t="shared" si="53"/>
        <v>0</v>
      </c>
      <c r="AA174">
        <f t="shared" si="54"/>
        <v>0</v>
      </c>
      <c r="AB174">
        <f t="shared" si="55"/>
        <v>0</v>
      </c>
      <c r="AC174">
        <f t="shared" si="56"/>
        <v>0</v>
      </c>
      <c r="AD174">
        <f t="shared" si="57"/>
        <v>0</v>
      </c>
      <c r="AE174">
        <f t="shared" si="58"/>
        <v>0</v>
      </c>
      <c r="AF174">
        <f t="shared" si="59"/>
        <v>0</v>
      </c>
      <c r="AH174" s="3">
        <f t="shared" si="60"/>
        <v>0</v>
      </c>
      <c r="AI174" s="3">
        <f t="shared" si="61"/>
        <v>308.64197530864197</v>
      </c>
      <c r="AJ174" s="3">
        <f t="shared" si="62"/>
        <v>0</v>
      </c>
      <c r="AK174" s="3">
        <f t="shared" si="63"/>
        <v>0</v>
      </c>
      <c r="AL174" s="3">
        <f t="shared" si="64"/>
        <v>0</v>
      </c>
      <c r="AM174" s="3">
        <f t="shared" si="65"/>
        <v>0</v>
      </c>
      <c r="AN174" s="3">
        <f t="shared" si="66"/>
        <v>0</v>
      </c>
      <c r="AO174" s="3">
        <f t="shared" si="67"/>
        <v>0</v>
      </c>
      <c r="AP174" s="3">
        <f t="shared" si="68"/>
        <v>0</v>
      </c>
      <c r="AQ174" s="3">
        <f t="shared" si="69"/>
        <v>0</v>
      </c>
      <c r="AR174" s="3">
        <f t="shared" si="70"/>
        <v>0</v>
      </c>
      <c r="AS174" s="3">
        <f t="shared" si="71"/>
        <v>0</v>
      </c>
      <c r="AT174" s="3">
        <f t="shared" si="72"/>
        <v>0</v>
      </c>
    </row>
    <row r="175" spans="1:46">
      <c r="A175" s="3">
        <v>8330</v>
      </c>
      <c r="B175" s="18" t="s">
        <v>202</v>
      </c>
      <c r="C175" s="7" t="s">
        <v>192</v>
      </c>
      <c r="D175" s="3">
        <f>VLOOKUP(C175,定义数据!$B$2:$C$7,2,0)</f>
        <v>3</v>
      </c>
      <c r="E175" s="7">
        <v>8330</v>
      </c>
      <c r="F175" s="3"/>
      <c r="G175" s="3"/>
      <c r="H175" s="3">
        <v>1</v>
      </c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22"/>
      <c r="T175">
        <f t="shared" si="47"/>
        <v>0</v>
      </c>
      <c r="U175">
        <f t="shared" si="48"/>
        <v>0</v>
      </c>
      <c r="V175">
        <f t="shared" si="49"/>
        <v>246.91358024691357</v>
      </c>
      <c r="W175">
        <f t="shared" si="50"/>
        <v>0</v>
      </c>
      <c r="X175">
        <f t="shared" si="51"/>
        <v>0</v>
      </c>
      <c r="Y175">
        <f t="shared" si="52"/>
        <v>0</v>
      </c>
      <c r="Z175">
        <f t="shared" si="53"/>
        <v>0</v>
      </c>
      <c r="AA175">
        <f t="shared" si="54"/>
        <v>0</v>
      </c>
      <c r="AB175">
        <f t="shared" si="55"/>
        <v>0</v>
      </c>
      <c r="AC175">
        <f t="shared" si="56"/>
        <v>0</v>
      </c>
      <c r="AD175">
        <f t="shared" si="57"/>
        <v>0</v>
      </c>
      <c r="AE175">
        <f t="shared" si="58"/>
        <v>0</v>
      </c>
      <c r="AF175">
        <f t="shared" si="59"/>
        <v>0</v>
      </c>
      <c r="AH175" s="3">
        <f t="shared" si="60"/>
        <v>0</v>
      </c>
      <c r="AI175" s="3">
        <f t="shared" si="61"/>
        <v>0</v>
      </c>
      <c r="AJ175" s="3">
        <f t="shared" si="62"/>
        <v>246.91358024691357</v>
      </c>
      <c r="AK175" s="3">
        <f t="shared" si="63"/>
        <v>0</v>
      </c>
      <c r="AL175" s="3">
        <f t="shared" si="64"/>
        <v>0</v>
      </c>
      <c r="AM175" s="3">
        <f t="shared" si="65"/>
        <v>0</v>
      </c>
      <c r="AN175" s="3">
        <f t="shared" si="66"/>
        <v>0</v>
      </c>
      <c r="AO175" s="3">
        <f t="shared" si="67"/>
        <v>0</v>
      </c>
      <c r="AP175" s="3">
        <f t="shared" si="68"/>
        <v>0</v>
      </c>
      <c r="AQ175" s="3">
        <f t="shared" si="69"/>
        <v>0</v>
      </c>
      <c r="AR175" s="3">
        <f t="shared" si="70"/>
        <v>0</v>
      </c>
      <c r="AS175" s="3">
        <f t="shared" si="71"/>
        <v>0</v>
      </c>
      <c r="AT175" s="3">
        <f t="shared" si="72"/>
        <v>0</v>
      </c>
    </row>
    <row r="176" spans="1:46">
      <c r="A176" s="3">
        <v>8430</v>
      </c>
      <c r="B176" s="18" t="s">
        <v>203</v>
      </c>
      <c r="C176" s="7" t="s">
        <v>192</v>
      </c>
      <c r="D176" s="3">
        <f>VLOOKUP(C176,定义数据!$B$2:$C$7,2,0)</f>
        <v>3</v>
      </c>
      <c r="E176" s="7">
        <v>8430</v>
      </c>
      <c r="F176" s="3"/>
      <c r="G176" s="3"/>
      <c r="H176" s="3"/>
      <c r="I176" s="3">
        <v>1</v>
      </c>
      <c r="J176" s="3"/>
      <c r="K176" s="3"/>
      <c r="L176" s="3"/>
      <c r="M176" s="3"/>
      <c r="N176" s="3"/>
      <c r="O176" s="3"/>
      <c r="P176" s="3"/>
      <c r="Q176" s="3"/>
      <c r="R176" s="3"/>
      <c r="S176" s="22"/>
      <c r="T176">
        <f t="shared" si="47"/>
        <v>0</v>
      </c>
      <c r="U176">
        <f t="shared" si="48"/>
        <v>0</v>
      </c>
      <c r="V176">
        <f t="shared" si="49"/>
        <v>0</v>
      </c>
      <c r="W176">
        <f t="shared" si="50"/>
        <v>726.21641249092227</v>
      </c>
      <c r="X176">
        <f t="shared" si="51"/>
        <v>0</v>
      </c>
      <c r="Y176">
        <f t="shared" si="52"/>
        <v>0</v>
      </c>
      <c r="Z176">
        <f t="shared" si="53"/>
        <v>0</v>
      </c>
      <c r="AA176">
        <f t="shared" si="54"/>
        <v>0</v>
      </c>
      <c r="AB176">
        <f t="shared" si="55"/>
        <v>0</v>
      </c>
      <c r="AC176">
        <f t="shared" si="56"/>
        <v>0</v>
      </c>
      <c r="AD176">
        <f t="shared" si="57"/>
        <v>0</v>
      </c>
      <c r="AE176">
        <f t="shared" si="58"/>
        <v>0</v>
      </c>
      <c r="AF176">
        <f t="shared" si="59"/>
        <v>0</v>
      </c>
      <c r="AH176" s="3">
        <f t="shared" si="60"/>
        <v>0</v>
      </c>
      <c r="AI176" s="3">
        <f t="shared" si="61"/>
        <v>0</v>
      </c>
      <c r="AJ176" s="3">
        <f t="shared" si="62"/>
        <v>0</v>
      </c>
      <c r="AK176" s="3">
        <f t="shared" si="63"/>
        <v>726.21641249092227</v>
      </c>
      <c r="AL176" s="3">
        <f t="shared" si="64"/>
        <v>0</v>
      </c>
      <c r="AM176" s="3">
        <f t="shared" si="65"/>
        <v>0</v>
      </c>
      <c r="AN176" s="3">
        <f t="shared" si="66"/>
        <v>0</v>
      </c>
      <c r="AO176" s="3">
        <f t="shared" si="67"/>
        <v>0</v>
      </c>
      <c r="AP176" s="3">
        <f t="shared" si="68"/>
        <v>0</v>
      </c>
      <c r="AQ176" s="3">
        <f t="shared" si="69"/>
        <v>0</v>
      </c>
      <c r="AR176" s="3">
        <f t="shared" si="70"/>
        <v>0</v>
      </c>
      <c r="AS176" s="3">
        <f t="shared" si="71"/>
        <v>0</v>
      </c>
      <c r="AT176" s="3">
        <f t="shared" si="72"/>
        <v>0</v>
      </c>
    </row>
    <row r="177" spans="1:46">
      <c r="A177" s="3">
        <v>8530</v>
      </c>
      <c r="B177" s="19" t="s">
        <v>199</v>
      </c>
      <c r="C177" s="7" t="s">
        <v>192</v>
      </c>
      <c r="D177" s="3">
        <f>VLOOKUP(C177,定义数据!$B$2:$C$7,2,0)</f>
        <v>3</v>
      </c>
      <c r="E177" s="7">
        <v>8130</v>
      </c>
      <c r="F177" s="3"/>
      <c r="G177" s="3"/>
      <c r="H177" s="3"/>
      <c r="I177" s="3"/>
      <c r="J177" s="3">
        <v>1</v>
      </c>
      <c r="K177" s="3"/>
      <c r="L177" s="3"/>
      <c r="M177" s="3"/>
      <c r="N177" s="3"/>
      <c r="O177" s="3"/>
      <c r="P177" s="3"/>
      <c r="Q177" s="3"/>
      <c r="R177" s="3"/>
      <c r="S177" s="22"/>
      <c r="T177">
        <f t="shared" si="47"/>
        <v>0</v>
      </c>
      <c r="U177">
        <f t="shared" si="48"/>
        <v>0</v>
      </c>
      <c r="V177">
        <f t="shared" si="49"/>
        <v>0</v>
      </c>
      <c r="W177">
        <f t="shared" si="50"/>
        <v>0</v>
      </c>
      <c r="X177">
        <f t="shared" si="51"/>
        <v>726.21641249092227</v>
      </c>
      <c r="Y177">
        <f t="shared" si="52"/>
        <v>0</v>
      </c>
      <c r="Z177">
        <f t="shared" si="53"/>
        <v>0</v>
      </c>
      <c r="AA177">
        <f t="shared" si="54"/>
        <v>0</v>
      </c>
      <c r="AB177">
        <f t="shared" si="55"/>
        <v>0</v>
      </c>
      <c r="AC177">
        <f t="shared" si="56"/>
        <v>0</v>
      </c>
      <c r="AD177">
        <f t="shared" si="57"/>
        <v>0</v>
      </c>
      <c r="AE177">
        <f t="shared" si="58"/>
        <v>0</v>
      </c>
      <c r="AF177">
        <f t="shared" si="59"/>
        <v>0</v>
      </c>
      <c r="AH177" s="3">
        <f t="shared" si="60"/>
        <v>0</v>
      </c>
      <c r="AI177" s="3">
        <f t="shared" si="61"/>
        <v>0</v>
      </c>
      <c r="AJ177" s="3">
        <f t="shared" si="62"/>
        <v>0</v>
      </c>
      <c r="AK177" s="3">
        <f t="shared" si="63"/>
        <v>0</v>
      </c>
      <c r="AL177" s="3">
        <f t="shared" si="64"/>
        <v>726.21641249092227</v>
      </c>
      <c r="AM177" s="3">
        <f t="shared" si="65"/>
        <v>0</v>
      </c>
      <c r="AN177" s="3">
        <f t="shared" si="66"/>
        <v>0</v>
      </c>
      <c r="AO177" s="3">
        <f t="shared" si="67"/>
        <v>0</v>
      </c>
      <c r="AP177" s="3">
        <f t="shared" si="68"/>
        <v>0</v>
      </c>
      <c r="AQ177" s="3">
        <f t="shared" si="69"/>
        <v>0</v>
      </c>
      <c r="AR177" s="3">
        <f t="shared" si="70"/>
        <v>0</v>
      </c>
      <c r="AS177" s="3">
        <f t="shared" si="71"/>
        <v>0</v>
      </c>
      <c r="AT177" s="3">
        <f t="shared" si="72"/>
        <v>0</v>
      </c>
    </row>
    <row r="178" spans="1:46">
      <c r="A178" s="3">
        <v>8630</v>
      </c>
      <c r="B178" s="18" t="s">
        <v>204</v>
      </c>
      <c r="C178" s="7" t="s">
        <v>192</v>
      </c>
      <c r="D178" s="3">
        <f>VLOOKUP(C178,定义数据!$B$2:$C$7,2,0)</f>
        <v>3</v>
      </c>
      <c r="E178" s="7">
        <v>8230</v>
      </c>
      <c r="F178" s="3"/>
      <c r="G178" s="3"/>
      <c r="H178" s="3"/>
      <c r="I178" s="3"/>
      <c r="J178" s="3"/>
      <c r="K178" s="3">
        <v>1</v>
      </c>
      <c r="L178" s="3"/>
      <c r="M178" s="3"/>
      <c r="N178" s="3"/>
      <c r="O178" s="3"/>
      <c r="P178" s="3"/>
      <c r="Q178" s="3"/>
      <c r="R178" s="3"/>
      <c r="S178" s="22"/>
      <c r="T178">
        <f t="shared" si="47"/>
        <v>0</v>
      </c>
      <c r="U178">
        <f t="shared" si="48"/>
        <v>0</v>
      </c>
      <c r="V178">
        <f t="shared" si="49"/>
        <v>0</v>
      </c>
      <c r="W178">
        <f t="shared" si="50"/>
        <v>0</v>
      </c>
      <c r="X178">
        <f t="shared" si="51"/>
        <v>0</v>
      </c>
      <c r="Y178">
        <f t="shared" si="52"/>
        <v>1371.7421124828531</v>
      </c>
      <c r="Z178">
        <f t="shared" si="53"/>
        <v>0</v>
      </c>
      <c r="AA178">
        <f t="shared" si="54"/>
        <v>0</v>
      </c>
      <c r="AB178">
        <f t="shared" si="55"/>
        <v>0</v>
      </c>
      <c r="AC178">
        <f t="shared" si="56"/>
        <v>0</v>
      </c>
      <c r="AD178">
        <f t="shared" si="57"/>
        <v>0</v>
      </c>
      <c r="AE178">
        <f t="shared" si="58"/>
        <v>0</v>
      </c>
      <c r="AF178">
        <f t="shared" si="59"/>
        <v>0</v>
      </c>
      <c r="AH178" s="3">
        <f t="shared" si="60"/>
        <v>0</v>
      </c>
      <c r="AI178" s="3">
        <f t="shared" si="61"/>
        <v>0</v>
      </c>
      <c r="AJ178" s="3">
        <f t="shared" si="62"/>
        <v>0</v>
      </c>
      <c r="AK178" s="3">
        <f t="shared" si="63"/>
        <v>0</v>
      </c>
      <c r="AL178" s="3">
        <f t="shared" si="64"/>
        <v>0</v>
      </c>
      <c r="AM178" s="3">
        <f t="shared" si="65"/>
        <v>1371.7421124828531</v>
      </c>
      <c r="AN178" s="3">
        <f t="shared" si="66"/>
        <v>0</v>
      </c>
      <c r="AO178" s="3">
        <f t="shared" si="67"/>
        <v>0</v>
      </c>
      <c r="AP178" s="3">
        <f t="shared" si="68"/>
        <v>0</v>
      </c>
      <c r="AQ178" s="3">
        <f t="shared" si="69"/>
        <v>0</v>
      </c>
      <c r="AR178" s="3">
        <f t="shared" si="70"/>
        <v>0</v>
      </c>
      <c r="AS178" s="3">
        <f t="shared" si="71"/>
        <v>0</v>
      </c>
      <c r="AT178" s="3">
        <f t="shared" si="72"/>
        <v>0</v>
      </c>
    </row>
    <row r="179" spans="1:46">
      <c r="A179" s="3">
        <v>8730</v>
      </c>
      <c r="B179" s="18" t="s">
        <v>205</v>
      </c>
      <c r="C179" s="7" t="s">
        <v>192</v>
      </c>
      <c r="D179" s="3">
        <f>VLOOKUP(C179,定义数据!$B$2:$C$7,2,0)</f>
        <v>3</v>
      </c>
      <c r="E179" s="7">
        <v>8330</v>
      </c>
      <c r="F179" s="3"/>
      <c r="G179" s="3"/>
      <c r="H179" s="3"/>
      <c r="I179" s="3"/>
      <c r="J179" s="3"/>
      <c r="K179" s="3"/>
      <c r="L179" s="3">
        <v>1</v>
      </c>
      <c r="M179" s="3"/>
      <c r="N179" s="3"/>
      <c r="O179" s="3"/>
      <c r="P179" s="3"/>
      <c r="Q179" s="3"/>
      <c r="R179" s="3"/>
      <c r="S179" s="22"/>
      <c r="T179">
        <f t="shared" si="47"/>
        <v>0</v>
      </c>
      <c r="U179">
        <f t="shared" si="48"/>
        <v>0</v>
      </c>
      <c r="V179">
        <f t="shared" si="49"/>
        <v>0</v>
      </c>
      <c r="W179">
        <f t="shared" si="50"/>
        <v>0</v>
      </c>
      <c r="X179">
        <f t="shared" si="51"/>
        <v>0</v>
      </c>
      <c r="Y179">
        <f t="shared" si="52"/>
        <v>0</v>
      </c>
      <c r="Z179">
        <f t="shared" si="53"/>
        <v>925.92592592592587</v>
      </c>
      <c r="AA179">
        <f t="shared" si="54"/>
        <v>0</v>
      </c>
      <c r="AB179">
        <f t="shared" si="55"/>
        <v>0</v>
      </c>
      <c r="AC179">
        <f t="shared" si="56"/>
        <v>0</v>
      </c>
      <c r="AD179">
        <f t="shared" si="57"/>
        <v>0</v>
      </c>
      <c r="AE179">
        <f t="shared" si="58"/>
        <v>0</v>
      </c>
      <c r="AF179">
        <f t="shared" si="59"/>
        <v>0</v>
      </c>
      <c r="AH179" s="3">
        <f t="shared" si="60"/>
        <v>0</v>
      </c>
      <c r="AI179" s="3">
        <f t="shared" si="61"/>
        <v>0</v>
      </c>
      <c r="AJ179" s="3">
        <f t="shared" si="62"/>
        <v>0</v>
      </c>
      <c r="AK179" s="3">
        <f t="shared" si="63"/>
        <v>0</v>
      </c>
      <c r="AL179" s="3">
        <f t="shared" si="64"/>
        <v>0</v>
      </c>
      <c r="AM179" s="3">
        <f t="shared" si="65"/>
        <v>0</v>
      </c>
      <c r="AN179" s="3">
        <f t="shared" si="66"/>
        <v>925.92592592592587</v>
      </c>
      <c r="AO179" s="3">
        <f t="shared" si="67"/>
        <v>0</v>
      </c>
      <c r="AP179" s="3">
        <f t="shared" si="68"/>
        <v>0</v>
      </c>
      <c r="AQ179" s="3">
        <f t="shared" si="69"/>
        <v>0</v>
      </c>
      <c r="AR179" s="3">
        <f t="shared" si="70"/>
        <v>0</v>
      </c>
      <c r="AS179" s="3">
        <f t="shared" si="71"/>
        <v>0</v>
      </c>
      <c r="AT179" s="3">
        <f t="shared" si="72"/>
        <v>0</v>
      </c>
    </row>
    <row r="180" spans="1:46">
      <c r="A180" s="3">
        <v>8830</v>
      </c>
      <c r="B180" s="18" t="s">
        <v>76</v>
      </c>
      <c r="C180" s="7" t="s">
        <v>192</v>
      </c>
      <c r="D180" s="3">
        <f>VLOOKUP(C180,定义数据!$B$2:$C$7,2,0)</f>
        <v>3</v>
      </c>
      <c r="E180" s="7">
        <v>8430</v>
      </c>
      <c r="F180" s="3"/>
      <c r="G180" s="3"/>
      <c r="H180" s="3"/>
      <c r="I180" s="3"/>
      <c r="J180" s="3"/>
      <c r="K180" s="3"/>
      <c r="L180" s="3"/>
      <c r="M180" s="3">
        <v>1</v>
      </c>
      <c r="N180" s="3"/>
      <c r="O180" s="3"/>
      <c r="P180" s="3"/>
      <c r="Q180" s="3"/>
      <c r="R180" s="3"/>
      <c r="S180" s="22"/>
      <c r="T180">
        <f t="shared" si="47"/>
        <v>0</v>
      </c>
      <c r="U180">
        <f t="shared" si="48"/>
        <v>0</v>
      </c>
      <c r="V180">
        <f t="shared" si="49"/>
        <v>0</v>
      </c>
      <c r="W180">
        <f t="shared" si="50"/>
        <v>0</v>
      </c>
      <c r="X180">
        <f t="shared" si="51"/>
        <v>0</v>
      </c>
      <c r="Y180">
        <f t="shared" si="52"/>
        <v>0</v>
      </c>
      <c r="Z180">
        <f t="shared" si="53"/>
        <v>0</v>
      </c>
      <c r="AA180">
        <f t="shared" si="54"/>
        <v>1371.7421124828531</v>
      </c>
      <c r="AB180">
        <f t="shared" si="55"/>
        <v>0</v>
      </c>
      <c r="AC180">
        <f t="shared" si="56"/>
        <v>0</v>
      </c>
      <c r="AD180">
        <f t="shared" si="57"/>
        <v>0</v>
      </c>
      <c r="AE180">
        <f t="shared" si="58"/>
        <v>0</v>
      </c>
      <c r="AF180">
        <f t="shared" si="59"/>
        <v>0</v>
      </c>
      <c r="AH180" s="3">
        <f t="shared" si="60"/>
        <v>0</v>
      </c>
      <c r="AI180" s="3">
        <f t="shared" si="61"/>
        <v>0</v>
      </c>
      <c r="AJ180" s="3">
        <f t="shared" si="62"/>
        <v>0</v>
      </c>
      <c r="AK180" s="3">
        <f t="shared" si="63"/>
        <v>0</v>
      </c>
      <c r="AL180" s="3">
        <f t="shared" si="64"/>
        <v>0</v>
      </c>
      <c r="AM180" s="3">
        <f t="shared" si="65"/>
        <v>0</v>
      </c>
      <c r="AN180" s="3">
        <f t="shared" si="66"/>
        <v>0</v>
      </c>
      <c r="AO180" s="3">
        <f t="shared" si="67"/>
        <v>1371.7421124828531</v>
      </c>
      <c r="AP180" s="3">
        <f t="shared" si="68"/>
        <v>0</v>
      </c>
      <c r="AQ180" s="3">
        <f t="shared" si="69"/>
        <v>0</v>
      </c>
      <c r="AR180" s="3">
        <f t="shared" si="70"/>
        <v>0</v>
      </c>
      <c r="AS180" s="3">
        <f t="shared" si="71"/>
        <v>0</v>
      </c>
      <c r="AT180" s="3">
        <f t="shared" si="72"/>
        <v>0</v>
      </c>
    </row>
    <row r="181" spans="1:46">
      <c r="A181" s="3">
        <v>8930</v>
      </c>
      <c r="B181" s="18" t="s">
        <v>206</v>
      </c>
      <c r="C181" s="7" t="s">
        <v>192</v>
      </c>
      <c r="D181" s="3">
        <f>VLOOKUP(C181,定义数据!$B$2:$C$7,2,0)</f>
        <v>3</v>
      </c>
      <c r="E181" s="7">
        <v>8130</v>
      </c>
      <c r="F181" s="3">
        <v>0.1</v>
      </c>
      <c r="G181" s="3"/>
      <c r="H181" s="3"/>
      <c r="I181" s="3"/>
      <c r="J181" s="3"/>
      <c r="K181" s="3"/>
      <c r="L181" s="3"/>
      <c r="M181" s="3"/>
      <c r="N181" s="3">
        <v>1</v>
      </c>
      <c r="O181" s="3"/>
      <c r="P181" s="3"/>
      <c r="Q181" s="3"/>
      <c r="R181" s="3"/>
      <c r="S181" s="22"/>
      <c r="T181">
        <f t="shared" si="47"/>
        <v>1543.2098765432099</v>
      </c>
      <c r="U181">
        <f t="shared" si="48"/>
        <v>0</v>
      </c>
      <c r="V181">
        <f t="shared" si="49"/>
        <v>0</v>
      </c>
      <c r="W181">
        <f t="shared" si="50"/>
        <v>0</v>
      </c>
      <c r="X181">
        <f t="shared" si="51"/>
        <v>0</v>
      </c>
      <c r="Y181">
        <f t="shared" si="52"/>
        <v>0</v>
      </c>
      <c r="Z181">
        <f t="shared" si="53"/>
        <v>0</v>
      </c>
      <c r="AA181">
        <f t="shared" si="54"/>
        <v>0</v>
      </c>
      <c r="AB181">
        <f t="shared" si="55"/>
        <v>370.37037037037032</v>
      </c>
      <c r="AC181">
        <f t="shared" si="56"/>
        <v>0</v>
      </c>
      <c r="AD181">
        <f t="shared" si="57"/>
        <v>0</v>
      </c>
      <c r="AE181">
        <f t="shared" si="58"/>
        <v>0</v>
      </c>
      <c r="AF181">
        <f t="shared" si="59"/>
        <v>0</v>
      </c>
      <c r="AH181" s="3">
        <f t="shared" si="60"/>
        <v>1543.2098765432099</v>
      </c>
      <c r="AI181" s="3">
        <f t="shared" si="61"/>
        <v>0</v>
      </c>
      <c r="AJ181" s="3">
        <f t="shared" si="62"/>
        <v>0</v>
      </c>
      <c r="AK181" s="3">
        <f t="shared" si="63"/>
        <v>0</v>
      </c>
      <c r="AL181" s="3">
        <f t="shared" si="64"/>
        <v>0</v>
      </c>
      <c r="AM181" s="3">
        <f t="shared" si="65"/>
        <v>0</v>
      </c>
      <c r="AN181" s="3">
        <f t="shared" si="66"/>
        <v>0</v>
      </c>
      <c r="AO181" s="3">
        <f t="shared" si="67"/>
        <v>0</v>
      </c>
      <c r="AP181" s="3">
        <f t="shared" si="68"/>
        <v>370.37037037037032</v>
      </c>
      <c r="AQ181" s="3">
        <f t="shared" si="69"/>
        <v>0</v>
      </c>
      <c r="AR181" s="3">
        <f t="shared" si="70"/>
        <v>0</v>
      </c>
      <c r="AS181" s="3">
        <f t="shared" si="71"/>
        <v>0</v>
      </c>
      <c r="AT181" s="3">
        <f t="shared" si="72"/>
        <v>0</v>
      </c>
    </row>
    <row r="182" spans="1:46">
      <c r="A182" s="3">
        <v>9030</v>
      </c>
      <c r="B182" s="18" t="s">
        <v>207</v>
      </c>
      <c r="C182" s="7" t="s">
        <v>192</v>
      </c>
      <c r="D182" s="3">
        <f>VLOOKUP(C182,定义数据!$B$2:$C$7,2,0)</f>
        <v>3</v>
      </c>
      <c r="E182" s="7">
        <v>8230</v>
      </c>
      <c r="F182" s="3"/>
      <c r="G182" s="3">
        <v>0.1</v>
      </c>
      <c r="H182" s="3"/>
      <c r="I182" s="3"/>
      <c r="J182" s="3"/>
      <c r="K182" s="3"/>
      <c r="L182" s="3"/>
      <c r="M182" s="3"/>
      <c r="N182" s="3"/>
      <c r="O182" s="3">
        <v>1</v>
      </c>
      <c r="P182" s="3"/>
      <c r="Q182" s="3"/>
      <c r="R182" s="3"/>
      <c r="S182" s="22"/>
      <c r="T182">
        <f t="shared" si="47"/>
        <v>0</v>
      </c>
      <c r="U182">
        <f t="shared" si="48"/>
        <v>61.728395061728399</v>
      </c>
      <c r="V182">
        <f t="shared" si="49"/>
        <v>0</v>
      </c>
      <c r="W182">
        <f t="shared" si="50"/>
        <v>0</v>
      </c>
      <c r="X182">
        <f t="shared" si="51"/>
        <v>0</v>
      </c>
      <c r="Y182">
        <f t="shared" si="52"/>
        <v>0</v>
      </c>
      <c r="Z182">
        <f t="shared" si="53"/>
        <v>0</v>
      </c>
      <c r="AA182">
        <f t="shared" si="54"/>
        <v>0</v>
      </c>
      <c r="AB182">
        <f t="shared" si="55"/>
        <v>0</v>
      </c>
      <c r="AC182">
        <f t="shared" si="56"/>
        <v>370.37037037037032</v>
      </c>
      <c r="AD182">
        <f t="shared" si="57"/>
        <v>0</v>
      </c>
      <c r="AE182">
        <f t="shared" si="58"/>
        <v>0</v>
      </c>
      <c r="AF182">
        <f t="shared" si="59"/>
        <v>0</v>
      </c>
      <c r="AH182" s="3">
        <f t="shared" si="60"/>
        <v>0</v>
      </c>
      <c r="AI182" s="3">
        <f t="shared" si="61"/>
        <v>61.728395061728399</v>
      </c>
      <c r="AJ182" s="3">
        <f t="shared" si="62"/>
        <v>0</v>
      </c>
      <c r="AK182" s="3">
        <f t="shared" si="63"/>
        <v>0</v>
      </c>
      <c r="AL182" s="3">
        <f t="shared" si="64"/>
        <v>0</v>
      </c>
      <c r="AM182" s="3">
        <f t="shared" si="65"/>
        <v>0</v>
      </c>
      <c r="AN182" s="3">
        <f t="shared" si="66"/>
        <v>0</v>
      </c>
      <c r="AO182" s="3">
        <f t="shared" si="67"/>
        <v>0</v>
      </c>
      <c r="AP182" s="3">
        <f t="shared" si="68"/>
        <v>0</v>
      </c>
      <c r="AQ182" s="3">
        <f t="shared" si="69"/>
        <v>370.37037037037032</v>
      </c>
      <c r="AR182" s="3">
        <f t="shared" si="70"/>
        <v>0</v>
      </c>
      <c r="AS182" s="3">
        <f t="shared" si="71"/>
        <v>0</v>
      </c>
      <c r="AT182" s="3">
        <f t="shared" si="72"/>
        <v>0</v>
      </c>
    </row>
    <row r="183" spans="1:46">
      <c r="A183" s="3">
        <v>9130</v>
      </c>
      <c r="B183" s="18" t="s">
        <v>347</v>
      </c>
      <c r="C183" s="7" t="s">
        <v>192</v>
      </c>
      <c r="D183" s="3">
        <f>VLOOKUP(C183,定义数据!$B$2:$C$7,2,0)</f>
        <v>3</v>
      </c>
      <c r="E183" s="7">
        <v>8330</v>
      </c>
      <c r="F183" s="3"/>
      <c r="G183" s="3">
        <v>0.1</v>
      </c>
      <c r="H183" s="3"/>
      <c r="I183" s="3"/>
      <c r="J183" s="3"/>
      <c r="K183" s="3"/>
      <c r="L183" s="3"/>
      <c r="M183" s="3"/>
      <c r="N183" s="3"/>
      <c r="O183" s="3"/>
      <c r="P183" s="3"/>
      <c r="Q183" s="3">
        <v>1</v>
      </c>
      <c r="R183" s="3"/>
      <c r="S183" s="22"/>
      <c r="T183">
        <f t="shared" si="47"/>
        <v>0</v>
      </c>
      <c r="U183">
        <f t="shared" si="48"/>
        <v>61.728395061728399</v>
      </c>
      <c r="V183">
        <f t="shared" si="49"/>
        <v>0</v>
      </c>
      <c r="W183">
        <f t="shared" si="50"/>
        <v>0</v>
      </c>
      <c r="X183">
        <f t="shared" si="51"/>
        <v>0</v>
      </c>
      <c r="Y183">
        <f t="shared" si="52"/>
        <v>0</v>
      </c>
      <c r="Z183">
        <f t="shared" si="53"/>
        <v>0</v>
      </c>
      <c r="AA183">
        <f t="shared" si="54"/>
        <v>0</v>
      </c>
      <c r="AB183">
        <f t="shared" si="55"/>
        <v>0</v>
      </c>
      <c r="AC183">
        <f t="shared" si="56"/>
        <v>0</v>
      </c>
      <c r="AD183">
        <f t="shared" si="57"/>
        <v>0</v>
      </c>
      <c r="AE183">
        <f t="shared" si="58"/>
        <v>308.64197530864197</v>
      </c>
      <c r="AF183">
        <f t="shared" si="59"/>
        <v>0</v>
      </c>
      <c r="AH183" s="3">
        <f t="shared" si="60"/>
        <v>0</v>
      </c>
      <c r="AI183" s="3">
        <f t="shared" si="61"/>
        <v>61.728395061728399</v>
      </c>
      <c r="AJ183" s="3">
        <f t="shared" si="62"/>
        <v>0</v>
      </c>
      <c r="AK183" s="3">
        <f t="shared" si="63"/>
        <v>0</v>
      </c>
      <c r="AL183" s="3">
        <f t="shared" si="64"/>
        <v>0</v>
      </c>
      <c r="AM183" s="3">
        <f t="shared" si="65"/>
        <v>0</v>
      </c>
      <c r="AN183" s="3">
        <f t="shared" si="66"/>
        <v>0</v>
      </c>
      <c r="AO183" s="3">
        <f t="shared" si="67"/>
        <v>0</v>
      </c>
      <c r="AP183" s="3">
        <f t="shared" si="68"/>
        <v>0</v>
      </c>
      <c r="AQ183" s="3">
        <f t="shared" si="69"/>
        <v>0</v>
      </c>
      <c r="AR183" s="3">
        <f t="shared" si="70"/>
        <v>0</v>
      </c>
      <c r="AS183" s="3">
        <f t="shared" si="71"/>
        <v>308.64197530864197</v>
      </c>
      <c r="AT183" s="3">
        <f t="shared" si="72"/>
        <v>0</v>
      </c>
    </row>
    <row r="184" spans="1:46">
      <c r="A184" s="3">
        <v>9230</v>
      </c>
      <c r="B184" s="18" t="s">
        <v>209</v>
      </c>
      <c r="C184" s="7" t="s">
        <v>192</v>
      </c>
      <c r="D184" s="3">
        <f>VLOOKUP(C184,定义数据!$B$2:$C$7,2,0)</f>
        <v>3</v>
      </c>
      <c r="E184" s="7">
        <v>8430</v>
      </c>
      <c r="F184" s="3">
        <v>0.1</v>
      </c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>
        <v>1</v>
      </c>
      <c r="S184" s="22"/>
      <c r="T184">
        <f t="shared" si="47"/>
        <v>1543.2098765432099</v>
      </c>
      <c r="U184">
        <f t="shared" si="48"/>
        <v>0</v>
      </c>
      <c r="V184">
        <f t="shared" si="49"/>
        <v>0</v>
      </c>
      <c r="W184">
        <f t="shared" si="50"/>
        <v>0</v>
      </c>
      <c r="X184">
        <f t="shared" si="51"/>
        <v>0</v>
      </c>
      <c r="Y184">
        <f t="shared" si="52"/>
        <v>0</v>
      </c>
      <c r="Z184">
        <f t="shared" si="53"/>
        <v>0</v>
      </c>
      <c r="AA184">
        <f t="shared" si="54"/>
        <v>0</v>
      </c>
      <c r="AB184">
        <f t="shared" si="55"/>
        <v>0</v>
      </c>
      <c r="AC184">
        <f t="shared" si="56"/>
        <v>0</v>
      </c>
      <c r="AD184">
        <f t="shared" si="57"/>
        <v>0</v>
      </c>
      <c r="AE184">
        <f t="shared" si="58"/>
        <v>0</v>
      </c>
      <c r="AF184">
        <f t="shared" si="59"/>
        <v>462.96296296296293</v>
      </c>
      <c r="AH184" s="3">
        <f t="shared" si="60"/>
        <v>1543.2098765432099</v>
      </c>
      <c r="AI184" s="3">
        <f t="shared" si="61"/>
        <v>0</v>
      </c>
      <c r="AJ184" s="3">
        <f t="shared" si="62"/>
        <v>0</v>
      </c>
      <c r="AK184" s="3">
        <f t="shared" si="63"/>
        <v>0</v>
      </c>
      <c r="AL184" s="3">
        <f t="shared" si="64"/>
        <v>0</v>
      </c>
      <c r="AM184" s="3">
        <f t="shared" si="65"/>
        <v>0</v>
      </c>
      <c r="AN184" s="3">
        <f t="shared" si="66"/>
        <v>0</v>
      </c>
      <c r="AO184" s="3">
        <f t="shared" si="67"/>
        <v>0</v>
      </c>
      <c r="AP184" s="3">
        <f t="shared" si="68"/>
        <v>0</v>
      </c>
      <c r="AQ184" s="3">
        <f t="shared" si="69"/>
        <v>0</v>
      </c>
      <c r="AR184" s="3">
        <f t="shared" si="70"/>
        <v>0</v>
      </c>
      <c r="AS184" s="3">
        <f t="shared" si="71"/>
        <v>0</v>
      </c>
      <c r="AT184" s="3">
        <f t="shared" si="72"/>
        <v>462.96296296296293</v>
      </c>
    </row>
    <row r="185" spans="1:46">
      <c r="A185" s="3">
        <v>8140</v>
      </c>
      <c r="B185" s="18" t="s">
        <v>19</v>
      </c>
      <c r="C185" s="7" t="s">
        <v>193</v>
      </c>
      <c r="D185" s="3">
        <f>VLOOKUP(C185,定义数据!$B$2:$C$7,2,0)</f>
        <v>4</v>
      </c>
      <c r="E185" s="7">
        <v>8140</v>
      </c>
      <c r="F185" s="3">
        <v>0.5</v>
      </c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22"/>
      <c r="T185">
        <f t="shared" si="47"/>
        <v>13888.888888888887</v>
      </c>
      <c r="U185">
        <f t="shared" si="48"/>
        <v>0</v>
      </c>
      <c r="V185">
        <f t="shared" si="49"/>
        <v>0</v>
      </c>
      <c r="W185">
        <f t="shared" si="50"/>
        <v>0</v>
      </c>
      <c r="X185">
        <f t="shared" si="51"/>
        <v>0</v>
      </c>
      <c r="Y185">
        <f t="shared" si="52"/>
        <v>0</v>
      </c>
      <c r="Z185">
        <f t="shared" si="53"/>
        <v>0</v>
      </c>
      <c r="AA185">
        <f t="shared" si="54"/>
        <v>0</v>
      </c>
      <c r="AB185">
        <f t="shared" si="55"/>
        <v>0</v>
      </c>
      <c r="AC185">
        <f t="shared" si="56"/>
        <v>0</v>
      </c>
      <c r="AD185">
        <f t="shared" si="57"/>
        <v>0</v>
      </c>
      <c r="AE185">
        <f t="shared" si="58"/>
        <v>0</v>
      </c>
      <c r="AF185">
        <f t="shared" si="59"/>
        <v>0</v>
      </c>
      <c r="AH185" s="3">
        <f t="shared" si="60"/>
        <v>13888.888888888887</v>
      </c>
      <c r="AI185" s="3">
        <f t="shared" si="61"/>
        <v>0</v>
      </c>
      <c r="AJ185" s="3">
        <f t="shared" si="62"/>
        <v>0</v>
      </c>
      <c r="AK185" s="3">
        <f t="shared" si="63"/>
        <v>0</v>
      </c>
      <c r="AL185" s="3">
        <f t="shared" si="64"/>
        <v>0</v>
      </c>
      <c r="AM185" s="3">
        <f t="shared" si="65"/>
        <v>0</v>
      </c>
      <c r="AN185" s="3">
        <f t="shared" si="66"/>
        <v>0</v>
      </c>
      <c r="AO185" s="3">
        <f t="shared" si="67"/>
        <v>0</v>
      </c>
      <c r="AP185" s="3">
        <f t="shared" si="68"/>
        <v>0</v>
      </c>
      <c r="AQ185" s="3">
        <f t="shared" si="69"/>
        <v>0</v>
      </c>
      <c r="AR185" s="3">
        <f t="shared" si="70"/>
        <v>0</v>
      </c>
      <c r="AS185" s="3">
        <f t="shared" si="71"/>
        <v>0</v>
      </c>
      <c r="AT185" s="3">
        <f t="shared" si="72"/>
        <v>0</v>
      </c>
    </row>
    <row r="186" spans="1:46">
      <c r="A186" s="3">
        <v>8240</v>
      </c>
      <c r="B186" s="18" t="s">
        <v>210</v>
      </c>
      <c r="C186" s="7" t="s">
        <v>193</v>
      </c>
      <c r="D186" s="3">
        <f>VLOOKUP(C186,定义数据!$B$2:$C$7,2,0)</f>
        <v>4</v>
      </c>
      <c r="E186" s="7">
        <v>8240</v>
      </c>
      <c r="F186" s="3"/>
      <c r="G186" s="3">
        <v>0.5</v>
      </c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22"/>
      <c r="T186">
        <f t="shared" si="47"/>
        <v>0</v>
      </c>
      <c r="U186">
        <f t="shared" si="48"/>
        <v>555.55555555555543</v>
      </c>
      <c r="V186">
        <f t="shared" si="49"/>
        <v>0</v>
      </c>
      <c r="W186">
        <f t="shared" si="50"/>
        <v>0</v>
      </c>
      <c r="X186">
        <f t="shared" si="51"/>
        <v>0</v>
      </c>
      <c r="Y186">
        <f t="shared" si="52"/>
        <v>0</v>
      </c>
      <c r="Z186">
        <f t="shared" si="53"/>
        <v>0</v>
      </c>
      <c r="AA186">
        <f t="shared" si="54"/>
        <v>0</v>
      </c>
      <c r="AB186">
        <f t="shared" si="55"/>
        <v>0</v>
      </c>
      <c r="AC186">
        <f t="shared" si="56"/>
        <v>0</v>
      </c>
      <c r="AD186">
        <f t="shared" si="57"/>
        <v>0</v>
      </c>
      <c r="AE186">
        <f t="shared" si="58"/>
        <v>0</v>
      </c>
      <c r="AF186">
        <f t="shared" si="59"/>
        <v>0</v>
      </c>
      <c r="AH186" s="3">
        <f t="shared" si="60"/>
        <v>0</v>
      </c>
      <c r="AI186" s="3">
        <f t="shared" si="61"/>
        <v>555.55555555555543</v>
      </c>
      <c r="AJ186" s="3">
        <f t="shared" si="62"/>
        <v>0</v>
      </c>
      <c r="AK186" s="3">
        <f t="shared" si="63"/>
        <v>0</v>
      </c>
      <c r="AL186" s="3">
        <f t="shared" si="64"/>
        <v>0</v>
      </c>
      <c r="AM186" s="3">
        <f t="shared" si="65"/>
        <v>0</v>
      </c>
      <c r="AN186" s="3">
        <f t="shared" si="66"/>
        <v>0</v>
      </c>
      <c r="AO186" s="3">
        <f t="shared" si="67"/>
        <v>0</v>
      </c>
      <c r="AP186" s="3">
        <f t="shared" si="68"/>
        <v>0</v>
      </c>
      <c r="AQ186" s="3">
        <f t="shared" si="69"/>
        <v>0</v>
      </c>
      <c r="AR186" s="3">
        <f t="shared" si="70"/>
        <v>0</v>
      </c>
      <c r="AS186" s="3">
        <f t="shared" si="71"/>
        <v>0</v>
      </c>
      <c r="AT186" s="3">
        <f t="shared" si="72"/>
        <v>0</v>
      </c>
    </row>
    <row r="187" spans="1:46">
      <c r="A187" s="3">
        <v>8340</v>
      </c>
      <c r="B187" s="18" t="s">
        <v>211</v>
      </c>
      <c r="C187" s="7" t="s">
        <v>193</v>
      </c>
      <c r="D187" s="3">
        <f>VLOOKUP(C187,定义数据!$B$2:$C$7,2,0)</f>
        <v>4</v>
      </c>
      <c r="E187" s="7">
        <v>8340</v>
      </c>
      <c r="F187" s="3"/>
      <c r="G187" s="3"/>
      <c r="H187" s="3">
        <v>1</v>
      </c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22"/>
      <c r="T187">
        <f t="shared" si="47"/>
        <v>0</v>
      </c>
      <c r="U187">
        <f t="shared" si="48"/>
        <v>0</v>
      </c>
      <c r="V187">
        <f t="shared" si="49"/>
        <v>444.4444444444444</v>
      </c>
      <c r="W187">
        <f t="shared" si="50"/>
        <v>0</v>
      </c>
      <c r="X187">
        <f t="shared" si="51"/>
        <v>0</v>
      </c>
      <c r="Y187">
        <f t="shared" si="52"/>
        <v>0</v>
      </c>
      <c r="Z187">
        <f t="shared" si="53"/>
        <v>0</v>
      </c>
      <c r="AA187">
        <f t="shared" si="54"/>
        <v>0</v>
      </c>
      <c r="AB187">
        <f t="shared" si="55"/>
        <v>0</v>
      </c>
      <c r="AC187">
        <f t="shared" si="56"/>
        <v>0</v>
      </c>
      <c r="AD187">
        <f t="shared" si="57"/>
        <v>0</v>
      </c>
      <c r="AE187">
        <f t="shared" si="58"/>
        <v>0</v>
      </c>
      <c r="AF187">
        <f t="shared" si="59"/>
        <v>0</v>
      </c>
      <c r="AH187" s="3">
        <f t="shared" si="60"/>
        <v>0</v>
      </c>
      <c r="AI187" s="3">
        <f t="shared" si="61"/>
        <v>0</v>
      </c>
      <c r="AJ187" s="3">
        <f t="shared" si="62"/>
        <v>444.4444444444444</v>
      </c>
      <c r="AK187" s="3">
        <f t="shared" si="63"/>
        <v>0</v>
      </c>
      <c r="AL187" s="3">
        <f t="shared" si="64"/>
        <v>0</v>
      </c>
      <c r="AM187" s="3">
        <f t="shared" si="65"/>
        <v>0</v>
      </c>
      <c r="AN187" s="3">
        <f t="shared" si="66"/>
        <v>0</v>
      </c>
      <c r="AO187" s="3">
        <f t="shared" si="67"/>
        <v>0</v>
      </c>
      <c r="AP187" s="3">
        <f t="shared" si="68"/>
        <v>0</v>
      </c>
      <c r="AQ187" s="3">
        <f t="shared" si="69"/>
        <v>0</v>
      </c>
      <c r="AR187" s="3">
        <f t="shared" si="70"/>
        <v>0</v>
      </c>
      <c r="AS187" s="3">
        <f t="shared" si="71"/>
        <v>0</v>
      </c>
      <c r="AT187" s="3">
        <f t="shared" si="72"/>
        <v>0</v>
      </c>
    </row>
    <row r="188" spans="1:46">
      <c r="A188" s="3">
        <v>8440</v>
      </c>
      <c r="B188" s="18" t="s">
        <v>212</v>
      </c>
      <c r="C188" s="7" t="s">
        <v>193</v>
      </c>
      <c r="D188" s="3">
        <f>VLOOKUP(C188,定义数据!$B$2:$C$7,2,0)</f>
        <v>4</v>
      </c>
      <c r="E188" s="7">
        <v>8440</v>
      </c>
      <c r="F188" s="3"/>
      <c r="G188" s="3"/>
      <c r="H188" s="3"/>
      <c r="I188" s="3">
        <v>1</v>
      </c>
      <c r="J188" s="3"/>
      <c r="K188" s="3"/>
      <c r="L188" s="3"/>
      <c r="M188" s="3"/>
      <c r="N188" s="3"/>
      <c r="O188" s="3"/>
      <c r="P188" s="3"/>
      <c r="Q188" s="3"/>
      <c r="R188" s="3"/>
      <c r="S188" s="22"/>
      <c r="T188">
        <f t="shared" si="47"/>
        <v>0</v>
      </c>
      <c r="U188">
        <f t="shared" si="48"/>
        <v>0</v>
      </c>
      <c r="V188">
        <f t="shared" si="49"/>
        <v>0</v>
      </c>
      <c r="W188">
        <f t="shared" si="50"/>
        <v>1307.18954248366</v>
      </c>
      <c r="X188">
        <f t="shared" si="51"/>
        <v>0</v>
      </c>
      <c r="Y188">
        <f t="shared" si="52"/>
        <v>0</v>
      </c>
      <c r="Z188">
        <f t="shared" si="53"/>
        <v>0</v>
      </c>
      <c r="AA188">
        <f t="shared" si="54"/>
        <v>0</v>
      </c>
      <c r="AB188">
        <f t="shared" si="55"/>
        <v>0</v>
      </c>
      <c r="AC188">
        <f t="shared" si="56"/>
        <v>0</v>
      </c>
      <c r="AD188">
        <f t="shared" si="57"/>
        <v>0</v>
      </c>
      <c r="AE188">
        <f t="shared" si="58"/>
        <v>0</v>
      </c>
      <c r="AF188">
        <f t="shared" si="59"/>
        <v>0</v>
      </c>
      <c r="AH188" s="3">
        <f t="shared" si="60"/>
        <v>0</v>
      </c>
      <c r="AI188" s="3">
        <f t="shared" si="61"/>
        <v>0</v>
      </c>
      <c r="AJ188" s="3">
        <f t="shared" si="62"/>
        <v>0</v>
      </c>
      <c r="AK188" s="3">
        <f t="shared" si="63"/>
        <v>1307.18954248366</v>
      </c>
      <c r="AL188" s="3">
        <f t="shared" si="64"/>
        <v>0</v>
      </c>
      <c r="AM188" s="3">
        <f t="shared" si="65"/>
        <v>0</v>
      </c>
      <c r="AN188" s="3">
        <f t="shared" si="66"/>
        <v>0</v>
      </c>
      <c r="AO188" s="3">
        <f t="shared" si="67"/>
        <v>0</v>
      </c>
      <c r="AP188" s="3">
        <f t="shared" si="68"/>
        <v>0</v>
      </c>
      <c r="AQ188" s="3">
        <f t="shared" si="69"/>
        <v>0</v>
      </c>
      <c r="AR188" s="3">
        <f t="shared" si="70"/>
        <v>0</v>
      </c>
      <c r="AS188" s="3">
        <f t="shared" si="71"/>
        <v>0</v>
      </c>
      <c r="AT188" s="3">
        <f t="shared" si="72"/>
        <v>0</v>
      </c>
    </row>
    <row r="189" spans="1:46">
      <c r="A189" s="3">
        <v>8540</v>
      </c>
      <c r="B189" s="18" t="s">
        <v>213</v>
      </c>
      <c r="C189" s="7" t="s">
        <v>193</v>
      </c>
      <c r="D189" s="3">
        <f>VLOOKUP(C189,定义数据!$B$2:$C$7,2,0)</f>
        <v>4</v>
      </c>
      <c r="E189" s="7">
        <v>8140</v>
      </c>
      <c r="F189" s="3"/>
      <c r="G189" s="3"/>
      <c r="H189" s="3"/>
      <c r="I189" s="3"/>
      <c r="J189" s="3">
        <v>1</v>
      </c>
      <c r="K189" s="3"/>
      <c r="L189" s="3"/>
      <c r="M189" s="3"/>
      <c r="N189" s="3"/>
      <c r="O189" s="3"/>
      <c r="P189" s="3"/>
      <c r="Q189" s="3"/>
      <c r="R189" s="3"/>
      <c r="S189" s="22"/>
      <c r="T189">
        <f t="shared" si="47"/>
        <v>0</v>
      </c>
      <c r="U189">
        <f t="shared" si="48"/>
        <v>0</v>
      </c>
      <c r="V189">
        <f t="shared" si="49"/>
        <v>0</v>
      </c>
      <c r="W189">
        <f t="shared" si="50"/>
        <v>0</v>
      </c>
      <c r="X189">
        <f t="shared" si="51"/>
        <v>1307.18954248366</v>
      </c>
      <c r="Y189">
        <f t="shared" si="52"/>
        <v>0</v>
      </c>
      <c r="Z189">
        <f t="shared" si="53"/>
        <v>0</v>
      </c>
      <c r="AA189">
        <f t="shared" si="54"/>
        <v>0</v>
      </c>
      <c r="AB189">
        <f t="shared" si="55"/>
        <v>0</v>
      </c>
      <c r="AC189">
        <f t="shared" si="56"/>
        <v>0</v>
      </c>
      <c r="AD189">
        <f t="shared" si="57"/>
        <v>0</v>
      </c>
      <c r="AE189">
        <f t="shared" si="58"/>
        <v>0</v>
      </c>
      <c r="AF189">
        <f t="shared" si="59"/>
        <v>0</v>
      </c>
      <c r="AH189" s="3">
        <f t="shared" si="60"/>
        <v>0</v>
      </c>
      <c r="AI189" s="3">
        <f t="shared" si="61"/>
        <v>0</v>
      </c>
      <c r="AJ189" s="3">
        <f t="shared" si="62"/>
        <v>0</v>
      </c>
      <c r="AK189" s="3">
        <f t="shared" si="63"/>
        <v>0</v>
      </c>
      <c r="AL189" s="3">
        <f t="shared" si="64"/>
        <v>1307.18954248366</v>
      </c>
      <c r="AM189" s="3">
        <f t="shared" si="65"/>
        <v>0</v>
      </c>
      <c r="AN189" s="3">
        <f t="shared" si="66"/>
        <v>0</v>
      </c>
      <c r="AO189" s="3">
        <f t="shared" si="67"/>
        <v>0</v>
      </c>
      <c r="AP189" s="3">
        <f t="shared" si="68"/>
        <v>0</v>
      </c>
      <c r="AQ189" s="3">
        <f t="shared" si="69"/>
        <v>0</v>
      </c>
      <c r="AR189" s="3">
        <f t="shared" si="70"/>
        <v>0</v>
      </c>
      <c r="AS189" s="3">
        <f t="shared" si="71"/>
        <v>0</v>
      </c>
      <c r="AT189" s="3">
        <f t="shared" si="72"/>
        <v>0</v>
      </c>
    </row>
    <row r="190" spans="1:46">
      <c r="A190" s="3">
        <v>8640</v>
      </c>
      <c r="B190" s="18" t="s">
        <v>214</v>
      </c>
      <c r="C190" s="7" t="s">
        <v>193</v>
      </c>
      <c r="D190" s="3">
        <f>VLOOKUP(C190,定义数据!$B$2:$C$7,2,0)</f>
        <v>4</v>
      </c>
      <c r="E190" s="7">
        <v>8240</v>
      </c>
      <c r="F190" s="3"/>
      <c r="G190" s="3"/>
      <c r="H190" s="3"/>
      <c r="I190" s="3"/>
      <c r="J190" s="3"/>
      <c r="K190" s="3">
        <v>1</v>
      </c>
      <c r="L190" s="3"/>
      <c r="M190" s="3"/>
      <c r="N190" s="3"/>
      <c r="O190" s="3"/>
      <c r="P190" s="3"/>
      <c r="Q190" s="3"/>
      <c r="R190" s="3"/>
      <c r="S190" s="22"/>
      <c r="T190">
        <f t="shared" si="47"/>
        <v>0</v>
      </c>
      <c r="U190">
        <f t="shared" si="48"/>
        <v>0</v>
      </c>
      <c r="V190">
        <f t="shared" si="49"/>
        <v>0</v>
      </c>
      <c r="W190">
        <f t="shared" si="50"/>
        <v>0</v>
      </c>
      <c r="X190">
        <f t="shared" si="51"/>
        <v>0</v>
      </c>
      <c r="Y190">
        <f t="shared" si="52"/>
        <v>2469.1358024691353</v>
      </c>
      <c r="Z190">
        <f t="shared" si="53"/>
        <v>0</v>
      </c>
      <c r="AA190">
        <f t="shared" si="54"/>
        <v>0</v>
      </c>
      <c r="AB190">
        <f t="shared" si="55"/>
        <v>0</v>
      </c>
      <c r="AC190">
        <f t="shared" si="56"/>
        <v>0</v>
      </c>
      <c r="AD190">
        <f t="shared" si="57"/>
        <v>0</v>
      </c>
      <c r="AE190">
        <f t="shared" si="58"/>
        <v>0</v>
      </c>
      <c r="AF190">
        <f t="shared" si="59"/>
        <v>0</v>
      </c>
      <c r="AH190" s="3">
        <f t="shared" si="60"/>
        <v>0</v>
      </c>
      <c r="AI190" s="3">
        <f t="shared" si="61"/>
        <v>0</v>
      </c>
      <c r="AJ190" s="3">
        <f t="shared" si="62"/>
        <v>0</v>
      </c>
      <c r="AK190" s="3">
        <f t="shared" si="63"/>
        <v>0</v>
      </c>
      <c r="AL190" s="3">
        <f t="shared" si="64"/>
        <v>0</v>
      </c>
      <c r="AM190" s="3">
        <f t="shared" si="65"/>
        <v>2469.1358024691353</v>
      </c>
      <c r="AN190" s="3">
        <f t="shared" si="66"/>
        <v>0</v>
      </c>
      <c r="AO190" s="3">
        <f t="shared" si="67"/>
        <v>0</v>
      </c>
      <c r="AP190" s="3">
        <f t="shared" si="68"/>
        <v>0</v>
      </c>
      <c r="AQ190" s="3">
        <f t="shared" si="69"/>
        <v>0</v>
      </c>
      <c r="AR190" s="3">
        <f t="shared" si="70"/>
        <v>0</v>
      </c>
      <c r="AS190" s="3">
        <f t="shared" si="71"/>
        <v>0</v>
      </c>
      <c r="AT190" s="3">
        <f t="shared" si="72"/>
        <v>0</v>
      </c>
    </row>
    <row r="191" spans="1:46">
      <c r="A191" s="3">
        <v>8740</v>
      </c>
      <c r="B191" s="18" t="s">
        <v>215</v>
      </c>
      <c r="C191" s="7" t="s">
        <v>193</v>
      </c>
      <c r="D191" s="3">
        <f>VLOOKUP(C191,定义数据!$B$2:$C$7,2,0)</f>
        <v>4</v>
      </c>
      <c r="E191" s="7">
        <v>8340</v>
      </c>
      <c r="F191" s="3"/>
      <c r="G191" s="3"/>
      <c r="H191" s="3"/>
      <c r="I191" s="3"/>
      <c r="J191" s="3"/>
      <c r="K191" s="3"/>
      <c r="L191" s="3">
        <v>1</v>
      </c>
      <c r="M191" s="3"/>
      <c r="N191" s="3"/>
      <c r="O191" s="3"/>
      <c r="P191" s="3"/>
      <c r="Q191" s="3"/>
      <c r="R191" s="3"/>
      <c r="S191" s="22"/>
      <c r="T191">
        <f t="shared" si="47"/>
        <v>0</v>
      </c>
      <c r="U191">
        <f t="shared" si="48"/>
        <v>0</v>
      </c>
      <c r="V191">
        <f t="shared" si="49"/>
        <v>0</v>
      </c>
      <c r="W191">
        <f t="shared" si="50"/>
        <v>0</v>
      </c>
      <c r="X191">
        <f t="shared" si="51"/>
        <v>0</v>
      </c>
      <c r="Y191">
        <f t="shared" si="52"/>
        <v>0</v>
      </c>
      <c r="Z191">
        <f t="shared" si="53"/>
        <v>1666.6666666666665</v>
      </c>
      <c r="AA191">
        <f t="shared" si="54"/>
        <v>0</v>
      </c>
      <c r="AB191">
        <f t="shared" si="55"/>
        <v>0</v>
      </c>
      <c r="AC191">
        <f t="shared" si="56"/>
        <v>0</v>
      </c>
      <c r="AD191">
        <f t="shared" si="57"/>
        <v>0</v>
      </c>
      <c r="AE191">
        <f t="shared" si="58"/>
        <v>0</v>
      </c>
      <c r="AF191">
        <f t="shared" si="59"/>
        <v>0</v>
      </c>
      <c r="AH191" s="3">
        <f t="shared" si="60"/>
        <v>0</v>
      </c>
      <c r="AI191" s="3">
        <f t="shared" si="61"/>
        <v>0</v>
      </c>
      <c r="AJ191" s="3">
        <f t="shared" si="62"/>
        <v>0</v>
      </c>
      <c r="AK191" s="3">
        <f t="shared" si="63"/>
        <v>0</v>
      </c>
      <c r="AL191" s="3">
        <f t="shared" si="64"/>
        <v>0</v>
      </c>
      <c r="AM191" s="3">
        <f t="shared" si="65"/>
        <v>0</v>
      </c>
      <c r="AN191" s="3">
        <f t="shared" si="66"/>
        <v>1666.6666666666665</v>
      </c>
      <c r="AO191" s="3">
        <f t="shared" si="67"/>
        <v>0</v>
      </c>
      <c r="AP191" s="3">
        <f t="shared" si="68"/>
        <v>0</v>
      </c>
      <c r="AQ191" s="3">
        <f t="shared" si="69"/>
        <v>0</v>
      </c>
      <c r="AR191" s="3">
        <f t="shared" si="70"/>
        <v>0</v>
      </c>
      <c r="AS191" s="3">
        <f t="shared" si="71"/>
        <v>0</v>
      </c>
      <c r="AT191" s="3">
        <f t="shared" si="72"/>
        <v>0</v>
      </c>
    </row>
    <row r="192" spans="1:46">
      <c r="A192" s="3">
        <v>8840</v>
      </c>
      <c r="B192" s="18" t="s">
        <v>348</v>
      </c>
      <c r="C192" s="7" t="s">
        <v>193</v>
      </c>
      <c r="D192" s="3">
        <f>VLOOKUP(C192,定义数据!$B$2:$C$7,2,0)</f>
        <v>4</v>
      </c>
      <c r="E192" s="7">
        <v>8440</v>
      </c>
      <c r="F192" s="3"/>
      <c r="G192" s="3"/>
      <c r="H192" s="3"/>
      <c r="I192" s="3"/>
      <c r="J192" s="3"/>
      <c r="K192" s="3"/>
      <c r="L192" s="3"/>
      <c r="M192" s="3">
        <v>1</v>
      </c>
      <c r="N192" s="3"/>
      <c r="O192" s="3"/>
      <c r="P192" s="3"/>
      <c r="Q192" s="3"/>
      <c r="R192" s="3"/>
      <c r="S192" s="22"/>
      <c r="T192">
        <f t="shared" si="47"/>
        <v>0</v>
      </c>
      <c r="U192">
        <f t="shared" si="48"/>
        <v>0</v>
      </c>
      <c r="V192">
        <f t="shared" si="49"/>
        <v>0</v>
      </c>
      <c r="W192">
        <f t="shared" si="50"/>
        <v>0</v>
      </c>
      <c r="X192">
        <f t="shared" si="51"/>
        <v>0</v>
      </c>
      <c r="Y192">
        <f t="shared" si="52"/>
        <v>0</v>
      </c>
      <c r="Z192">
        <f t="shared" si="53"/>
        <v>0</v>
      </c>
      <c r="AA192">
        <f t="shared" si="54"/>
        <v>2469.1358024691353</v>
      </c>
      <c r="AB192">
        <f t="shared" si="55"/>
        <v>0</v>
      </c>
      <c r="AC192">
        <f t="shared" si="56"/>
        <v>0</v>
      </c>
      <c r="AD192">
        <f t="shared" si="57"/>
        <v>0</v>
      </c>
      <c r="AE192">
        <f t="shared" si="58"/>
        <v>0</v>
      </c>
      <c r="AF192">
        <f t="shared" si="59"/>
        <v>0</v>
      </c>
      <c r="AH192" s="3">
        <f t="shared" si="60"/>
        <v>0</v>
      </c>
      <c r="AI192" s="3">
        <f t="shared" si="61"/>
        <v>0</v>
      </c>
      <c r="AJ192" s="3">
        <f t="shared" si="62"/>
        <v>0</v>
      </c>
      <c r="AK192" s="3">
        <f t="shared" si="63"/>
        <v>0</v>
      </c>
      <c r="AL192" s="3">
        <f t="shared" si="64"/>
        <v>0</v>
      </c>
      <c r="AM192" s="3">
        <f t="shared" si="65"/>
        <v>0</v>
      </c>
      <c r="AN192" s="3">
        <f t="shared" si="66"/>
        <v>0</v>
      </c>
      <c r="AO192" s="3">
        <f t="shared" si="67"/>
        <v>2469.1358024691353</v>
      </c>
      <c r="AP192" s="3">
        <f t="shared" si="68"/>
        <v>0</v>
      </c>
      <c r="AQ192" s="3">
        <f t="shared" si="69"/>
        <v>0</v>
      </c>
      <c r="AR192" s="3">
        <f t="shared" si="70"/>
        <v>0</v>
      </c>
      <c r="AS192" s="3">
        <f t="shared" si="71"/>
        <v>0</v>
      </c>
      <c r="AT192" s="3">
        <f t="shared" si="72"/>
        <v>0</v>
      </c>
    </row>
    <row r="193" spans="1:46">
      <c r="A193" s="3">
        <v>8940</v>
      </c>
      <c r="B193" s="18" t="s">
        <v>216</v>
      </c>
      <c r="C193" s="7" t="s">
        <v>193</v>
      </c>
      <c r="D193" s="3">
        <f>VLOOKUP(C193,定义数据!$B$2:$C$7,2,0)</f>
        <v>4</v>
      </c>
      <c r="E193" s="7">
        <v>8140</v>
      </c>
      <c r="F193" s="3">
        <v>0.1</v>
      </c>
      <c r="G193" s="3"/>
      <c r="H193" s="3"/>
      <c r="I193" s="3"/>
      <c r="J193" s="3"/>
      <c r="K193" s="3"/>
      <c r="L193" s="3"/>
      <c r="M193" s="3"/>
      <c r="N193" s="3">
        <v>1</v>
      </c>
      <c r="O193" s="3"/>
      <c r="P193" s="3"/>
      <c r="Q193" s="3"/>
      <c r="R193" s="3"/>
      <c r="S193" s="22"/>
      <c r="T193">
        <f t="shared" si="47"/>
        <v>2777.7777777777774</v>
      </c>
      <c r="U193">
        <f t="shared" si="48"/>
        <v>0</v>
      </c>
      <c r="V193">
        <f t="shared" si="49"/>
        <v>0</v>
      </c>
      <c r="W193">
        <f t="shared" si="50"/>
        <v>0</v>
      </c>
      <c r="X193">
        <f t="shared" si="51"/>
        <v>0</v>
      </c>
      <c r="Y193">
        <f t="shared" si="52"/>
        <v>0</v>
      </c>
      <c r="Z193">
        <f t="shared" si="53"/>
        <v>0</v>
      </c>
      <c r="AA193">
        <f t="shared" si="54"/>
        <v>0</v>
      </c>
      <c r="AB193">
        <f t="shared" si="55"/>
        <v>666.66666666666652</v>
      </c>
      <c r="AC193">
        <f t="shared" si="56"/>
        <v>0</v>
      </c>
      <c r="AD193">
        <f t="shared" si="57"/>
        <v>0</v>
      </c>
      <c r="AE193">
        <f t="shared" si="58"/>
        <v>0</v>
      </c>
      <c r="AF193">
        <f t="shared" si="59"/>
        <v>0</v>
      </c>
      <c r="AH193" s="3">
        <f t="shared" si="60"/>
        <v>2777.7777777777774</v>
      </c>
      <c r="AI193" s="3">
        <f t="shared" si="61"/>
        <v>0</v>
      </c>
      <c r="AJ193" s="3">
        <f t="shared" si="62"/>
        <v>0</v>
      </c>
      <c r="AK193" s="3">
        <f t="shared" si="63"/>
        <v>0</v>
      </c>
      <c r="AL193" s="3">
        <f t="shared" si="64"/>
        <v>0</v>
      </c>
      <c r="AM193" s="3">
        <f t="shared" si="65"/>
        <v>0</v>
      </c>
      <c r="AN193" s="3">
        <f t="shared" si="66"/>
        <v>0</v>
      </c>
      <c r="AO193" s="3">
        <f t="shared" si="67"/>
        <v>0</v>
      </c>
      <c r="AP193" s="3">
        <f t="shared" si="68"/>
        <v>666.66666666666652</v>
      </c>
      <c r="AQ193" s="3">
        <f t="shared" si="69"/>
        <v>0</v>
      </c>
      <c r="AR193" s="3">
        <f t="shared" si="70"/>
        <v>0</v>
      </c>
      <c r="AS193" s="3">
        <f t="shared" si="71"/>
        <v>0</v>
      </c>
      <c r="AT193" s="3">
        <f t="shared" si="72"/>
        <v>0</v>
      </c>
    </row>
    <row r="194" spans="1:46">
      <c r="A194" s="3">
        <v>9040</v>
      </c>
      <c r="B194" s="18" t="s">
        <v>375</v>
      </c>
      <c r="C194" s="7" t="s">
        <v>193</v>
      </c>
      <c r="D194" s="3">
        <f>VLOOKUP(C194,定义数据!$B$2:$C$7,2,0)</f>
        <v>4</v>
      </c>
      <c r="E194" s="7">
        <v>8240</v>
      </c>
      <c r="F194" s="3"/>
      <c r="G194" s="3">
        <v>0.1</v>
      </c>
      <c r="H194" s="3"/>
      <c r="I194" s="3"/>
      <c r="J194" s="3"/>
      <c r="K194" s="3"/>
      <c r="L194" s="3"/>
      <c r="M194" s="3"/>
      <c r="N194" s="3"/>
      <c r="O194" s="3">
        <v>1</v>
      </c>
      <c r="P194" s="3"/>
      <c r="Q194" s="3"/>
      <c r="R194" s="3"/>
      <c r="S194" s="22"/>
      <c r="T194">
        <f t="shared" ref="T194:T220" si="73">VLOOKUP($D194,$A$34:$Q$38,T$159,0)*F194</f>
        <v>0</v>
      </c>
      <c r="U194">
        <f t="shared" ref="U194:U220" si="74">VLOOKUP($D194,$A$34:$Q$38,U$159,0)*G194</f>
        <v>111.11111111111109</v>
      </c>
      <c r="V194">
        <f t="shared" ref="V194:V220" si="75">VLOOKUP($D194,$A$34:$Q$38,V$159,0)*H194</f>
        <v>0</v>
      </c>
      <c r="W194">
        <f t="shared" ref="W194:W220" si="76">VLOOKUP($D194,$A$34:$Q$38,W$159,0)*I194</f>
        <v>0</v>
      </c>
      <c r="X194">
        <f t="shared" ref="X194:X220" si="77">VLOOKUP($D194,$A$34:$Q$38,X$159,0)*J194</f>
        <v>0</v>
      </c>
      <c r="Y194">
        <f t="shared" ref="Y194:Y220" si="78">VLOOKUP($D194,$A$34:$Q$38,Y$159,0)*K194</f>
        <v>0</v>
      </c>
      <c r="Z194">
        <f t="shared" ref="Z194:Z220" si="79">VLOOKUP($D194,$A$34:$Q$38,Z$159,0)*L194</f>
        <v>0</v>
      </c>
      <c r="AA194">
        <f t="shared" ref="AA194:AA220" si="80">VLOOKUP($D194,$A$34:$Q$38,AA$159,0)*M194</f>
        <v>0</v>
      </c>
      <c r="AB194">
        <f t="shared" ref="AB194:AB220" si="81">VLOOKUP($D194,$A$34:$Q$38,AB$159,0)*N194</f>
        <v>0</v>
      </c>
      <c r="AC194">
        <f t="shared" ref="AC194:AC220" si="82">VLOOKUP($D194,$A$34:$Q$38,AC$159,0)*O194</f>
        <v>666.66666666666652</v>
      </c>
      <c r="AD194">
        <f t="shared" ref="AD194:AD220" si="83">VLOOKUP($D194,$A$34:$Q$38,AD$159,0)*P194</f>
        <v>0</v>
      </c>
      <c r="AE194">
        <f t="shared" ref="AE194:AE220" si="84">VLOOKUP($D194,$A$34:$Q$38,AE$159,0)*Q194</f>
        <v>0</v>
      </c>
      <c r="AF194">
        <f t="shared" ref="AF194:AF220" si="85">VLOOKUP($D194,$A$34:$Q$38,AF$159,0)*R194</f>
        <v>0</v>
      </c>
      <c r="AH194" s="3">
        <f t="shared" ref="AH194:AH220" si="86">VLOOKUP($D194,$A$42:$Q$46,AH$159,0)*F194</f>
        <v>0</v>
      </c>
      <c r="AI194" s="3">
        <f t="shared" ref="AI194:AI220" si="87">VLOOKUP($D194,$A$42:$Q$46,AI$159,0)*G194</f>
        <v>111.11111111111109</v>
      </c>
      <c r="AJ194" s="3">
        <f t="shared" ref="AJ194:AJ220" si="88">VLOOKUP($D194,$A$42:$Q$46,AJ$159,0)*H194</f>
        <v>0</v>
      </c>
      <c r="AK194" s="3">
        <f t="shared" ref="AK194:AK220" si="89">VLOOKUP($D194,$A$42:$Q$46,AK$159,0)*I194</f>
        <v>0</v>
      </c>
      <c r="AL194" s="3">
        <f t="shared" ref="AL194:AL220" si="90">VLOOKUP($D194,$A$42:$Q$46,AL$159,0)*J194</f>
        <v>0</v>
      </c>
      <c r="AM194" s="3">
        <f t="shared" ref="AM194:AM220" si="91">VLOOKUP($D194,$A$42:$Q$46,AM$159,0)*K194</f>
        <v>0</v>
      </c>
      <c r="AN194" s="3">
        <f t="shared" ref="AN194:AN220" si="92">VLOOKUP($D194,$A$42:$Q$46,AN$159,0)*L194</f>
        <v>0</v>
      </c>
      <c r="AO194" s="3">
        <f t="shared" ref="AO194:AO220" si="93">VLOOKUP($D194,$A$42:$Q$46,AO$159,0)*M194</f>
        <v>0</v>
      </c>
      <c r="AP194" s="3">
        <f t="shared" ref="AP194:AP220" si="94">VLOOKUP($D194,$A$42:$Q$46,AP$159,0)*N194</f>
        <v>0</v>
      </c>
      <c r="AQ194" s="3">
        <f t="shared" ref="AQ194:AQ220" si="95">VLOOKUP($D194,$A$42:$Q$46,AQ$159,0)*O194</f>
        <v>666.66666666666652</v>
      </c>
      <c r="AR194" s="3">
        <f t="shared" ref="AR194:AR220" si="96">VLOOKUP($D194,$A$42:$Q$46,AR$159,0)*P194</f>
        <v>0</v>
      </c>
      <c r="AS194" s="3">
        <f t="shared" ref="AS194:AS220" si="97">VLOOKUP($D194,$A$42:$Q$46,AS$159,0)*Q194</f>
        <v>0</v>
      </c>
      <c r="AT194" s="3">
        <f t="shared" ref="AT194:AT220" si="98">VLOOKUP($D194,$A$42:$Q$46,AT$159,0)*R194</f>
        <v>0</v>
      </c>
    </row>
    <row r="195" spans="1:46">
      <c r="A195" s="3">
        <v>9140</v>
      </c>
      <c r="B195" s="18" t="s">
        <v>217</v>
      </c>
      <c r="C195" s="7" t="s">
        <v>193</v>
      </c>
      <c r="D195" s="3">
        <f>VLOOKUP(C195,定义数据!$B$2:$C$7,2,0)</f>
        <v>4</v>
      </c>
      <c r="E195" s="7">
        <v>8340</v>
      </c>
      <c r="F195" s="3"/>
      <c r="G195" s="3">
        <v>0.1</v>
      </c>
      <c r="H195" s="3"/>
      <c r="I195" s="3"/>
      <c r="J195" s="3"/>
      <c r="K195" s="3"/>
      <c r="L195" s="3"/>
      <c r="M195" s="3"/>
      <c r="N195" s="3"/>
      <c r="O195" s="3"/>
      <c r="P195" s="3"/>
      <c r="Q195" s="3">
        <v>1</v>
      </c>
      <c r="R195" s="3"/>
      <c r="S195" s="22"/>
      <c r="T195">
        <f t="shared" si="73"/>
        <v>0</v>
      </c>
      <c r="U195">
        <f t="shared" si="74"/>
        <v>111.11111111111109</v>
      </c>
      <c r="V195">
        <f t="shared" si="75"/>
        <v>0</v>
      </c>
      <c r="W195">
        <f t="shared" si="76"/>
        <v>0</v>
      </c>
      <c r="X195">
        <f t="shared" si="77"/>
        <v>0</v>
      </c>
      <c r="Y195">
        <f t="shared" si="78"/>
        <v>0</v>
      </c>
      <c r="Z195">
        <f t="shared" si="79"/>
        <v>0</v>
      </c>
      <c r="AA195">
        <f t="shared" si="80"/>
        <v>0</v>
      </c>
      <c r="AB195">
        <f t="shared" si="81"/>
        <v>0</v>
      </c>
      <c r="AC195">
        <f t="shared" si="82"/>
        <v>0</v>
      </c>
      <c r="AD195">
        <f t="shared" si="83"/>
        <v>0</v>
      </c>
      <c r="AE195">
        <f t="shared" si="84"/>
        <v>555.55555555555543</v>
      </c>
      <c r="AF195">
        <f t="shared" si="85"/>
        <v>0</v>
      </c>
      <c r="AH195" s="3">
        <f t="shared" si="86"/>
        <v>0</v>
      </c>
      <c r="AI195" s="3">
        <f t="shared" si="87"/>
        <v>111.11111111111109</v>
      </c>
      <c r="AJ195" s="3">
        <f t="shared" si="88"/>
        <v>0</v>
      </c>
      <c r="AK195" s="3">
        <f t="shared" si="89"/>
        <v>0</v>
      </c>
      <c r="AL195" s="3">
        <f t="shared" si="90"/>
        <v>0</v>
      </c>
      <c r="AM195" s="3">
        <f t="shared" si="91"/>
        <v>0</v>
      </c>
      <c r="AN195" s="3">
        <f t="shared" si="92"/>
        <v>0</v>
      </c>
      <c r="AO195" s="3">
        <f t="shared" si="93"/>
        <v>0</v>
      </c>
      <c r="AP195" s="3">
        <f t="shared" si="94"/>
        <v>0</v>
      </c>
      <c r="AQ195" s="3">
        <f t="shared" si="95"/>
        <v>0</v>
      </c>
      <c r="AR195" s="3">
        <f t="shared" si="96"/>
        <v>0</v>
      </c>
      <c r="AS195" s="3">
        <f t="shared" si="97"/>
        <v>555.55555555555543</v>
      </c>
      <c r="AT195" s="3">
        <f t="shared" si="98"/>
        <v>0</v>
      </c>
    </row>
    <row r="196" spans="1:46">
      <c r="A196" s="3">
        <v>9240</v>
      </c>
      <c r="B196" s="18" t="s">
        <v>21</v>
      </c>
      <c r="C196" s="7" t="s">
        <v>193</v>
      </c>
      <c r="D196" s="3">
        <f>VLOOKUP(C196,定义数据!$B$2:$C$7,2,0)</f>
        <v>4</v>
      </c>
      <c r="E196" s="7">
        <v>8440</v>
      </c>
      <c r="F196" s="3">
        <v>0.1</v>
      </c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>
        <v>1</v>
      </c>
      <c r="S196" s="22"/>
      <c r="T196">
        <f t="shared" si="73"/>
        <v>2777.7777777777774</v>
      </c>
      <c r="U196">
        <f t="shared" si="74"/>
        <v>0</v>
      </c>
      <c r="V196">
        <f t="shared" si="75"/>
        <v>0</v>
      </c>
      <c r="W196">
        <f t="shared" si="76"/>
        <v>0</v>
      </c>
      <c r="X196">
        <f t="shared" si="77"/>
        <v>0</v>
      </c>
      <c r="Y196">
        <f t="shared" si="78"/>
        <v>0</v>
      </c>
      <c r="Z196">
        <f t="shared" si="79"/>
        <v>0</v>
      </c>
      <c r="AA196">
        <f t="shared" si="80"/>
        <v>0</v>
      </c>
      <c r="AB196">
        <f t="shared" si="81"/>
        <v>0</v>
      </c>
      <c r="AC196">
        <f t="shared" si="82"/>
        <v>0</v>
      </c>
      <c r="AD196">
        <f t="shared" si="83"/>
        <v>0</v>
      </c>
      <c r="AE196">
        <f t="shared" si="84"/>
        <v>0</v>
      </c>
      <c r="AF196">
        <f t="shared" si="85"/>
        <v>833.33333333333326</v>
      </c>
      <c r="AH196" s="3">
        <f t="shared" si="86"/>
        <v>2777.7777777777774</v>
      </c>
      <c r="AI196" s="3">
        <f t="shared" si="87"/>
        <v>0</v>
      </c>
      <c r="AJ196" s="3">
        <f t="shared" si="88"/>
        <v>0</v>
      </c>
      <c r="AK196" s="3">
        <f t="shared" si="89"/>
        <v>0</v>
      </c>
      <c r="AL196" s="3">
        <f t="shared" si="90"/>
        <v>0</v>
      </c>
      <c r="AM196" s="3">
        <f t="shared" si="91"/>
        <v>0</v>
      </c>
      <c r="AN196" s="3">
        <f t="shared" si="92"/>
        <v>0</v>
      </c>
      <c r="AO196" s="3">
        <f t="shared" si="93"/>
        <v>0</v>
      </c>
      <c r="AP196" s="3">
        <f t="shared" si="94"/>
        <v>0</v>
      </c>
      <c r="AQ196" s="3">
        <f t="shared" si="95"/>
        <v>0</v>
      </c>
      <c r="AR196" s="3">
        <f t="shared" si="96"/>
        <v>0</v>
      </c>
      <c r="AS196" s="3">
        <f t="shared" si="97"/>
        <v>0</v>
      </c>
      <c r="AT196" s="3">
        <f t="shared" si="98"/>
        <v>833.33333333333326</v>
      </c>
    </row>
    <row r="197" spans="1:46">
      <c r="A197" s="35">
        <v>9340</v>
      </c>
      <c r="B197" s="40" t="s">
        <v>350</v>
      </c>
      <c r="C197" s="38" t="s">
        <v>193</v>
      </c>
      <c r="D197" s="39">
        <f>VLOOKUP(C197,定义数据!$B$2:$C$7,2,0)</f>
        <v>4</v>
      </c>
      <c r="E197" s="41">
        <v>8140</v>
      </c>
      <c r="F197" s="3">
        <v>0.3</v>
      </c>
      <c r="G197" s="3">
        <v>0.3</v>
      </c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22"/>
      <c r="T197">
        <f t="shared" si="73"/>
        <v>8333.3333333333321</v>
      </c>
      <c r="U197">
        <f t="shared" si="74"/>
        <v>333.33333333333326</v>
      </c>
      <c r="V197">
        <f t="shared" si="75"/>
        <v>0</v>
      </c>
      <c r="W197">
        <f t="shared" si="76"/>
        <v>0</v>
      </c>
      <c r="X197">
        <f t="shared" si="77"/>
        <v>0</v>
      </c>
      <c r="Y197">
        <f t="shared" si="78"/>
        <v>0</v>
      </c>
      <c r="Z197">
        <f t="shared" si="79"/>
        <v>0</v>
      </c>
      <c r="AA197">
        <f t="shared" si="80"/>
        <v>0</v>
      </c>
      <c r="AB197">
        <f t="shared" si="81"/>
        <v>0</v>
      </c>
      <c r="AC197">
        <f t="shared" si="82"/>
        <v>0</v>
      </c>
      <c r="AD197">
        <f t="shared" si="83"/>
        <v>0</v>
      </c>
      <c r="AE197">
        <f t="shared" si="84"/>
        <v>0</v>
      </c>
      <c r="AF197">
        <f t="shared" si="85"/>
        <v>0</v>
      </c>
      <c r="AH197" s="3">
        <f t="shared" si="86"/>
        <v>8333.3333333333321</v>
      </c>
      <c r="AI197" s="3">
        <f t="shared" si="87"/>
        <v>333.33333333333326</v>
      </c>
      <c r="AJ197" s="3">
        <f t="shared" si="88"/>
        <v>0</v>
      </c>
      <c r="AK197" s="3">
        <f t="shared" si="89"/>
        <v>0</v>
      </c>
      <c r="AL197" s="3">
        <f t="shared" si="90"/>
        <v>0</v>
      </c>
      <c r="AM197" s="3">
        <f t="shared" si="91"/>
        <v>0</v>
      </c>
      <c r="AN197" s="3">
        <f t="shared" si="92"/>
        <v>0</v>
      </c>
      <c r="AO197" s="3">
        <f t="shared" si="93"/>
        <v>0</v>
      </c>
      <c r="AP197" s="3">
        <f t="shared" si="94"/>
        <v>0</v>
      </c>
      <c r="AQ197" s="3">
        <f t="shared" si="95"/>
        <v>0</v>
      </c>
      <c r="AR197" s="3">
        <f t="shared" si="96"/>
        <v>0</v>
      </c>
      <c r="AS197" s="3">
        <f t="shared" si="97"/>
        <v>0</v>
      </c>
      <c r="AT197" s="3">
        <f t="shared" si="98"/>
        <v>0</v>
      </c>
    </row>
    <row r="198" spans="1:46">
      <c r="A198" s="39">
        <v>9440</v>
      </c>
      <c r="B198" s="40" t="s">
        <v>299</v>
      </c>
      <c r="C198" s="38" t="s">
        <v>193</v>
      </c>
      <c r="D198" s="39">
        <f>VLOOKUP(C198,定义数据!$B$2:$C$7,2,0)</f>
        <v>4</v>
      </c>
      <c r="E198" s="41">
        <v>8240</v>
      </c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22"/>
      <c r="T198">
        <f t="shared" si="73"/>
        <v>0</v>
      </c>
      <c r="U198">
        <f t="shared" si="74"/>
        <v>0</v>
      </c>
      <c r="V198">
        <f t="shared" si="75"/>
        <v>0</v>
      </c>
      <c r="W198">
        <f t="shared" si="76"/>
        <v>0</v>
      </c>
      <c r="X198">
        <f t="shared" si="77"/>
        <v>0</v>
      </c>
      <c r="Y198">
        <f t="shared" si="78"/>
        <v>0</v>
      </c>
      <c r="Z198">
        <f t="shared" si="79"/>
        <v>0</v>
      </c>
      <c r="AA198">
        <f t="shared" si="80"/>
        <v>0</v>
      </c>
      <c r="AB198">
        <f t="shared" si="81"/>
        <v>0</v>
      </c>
      <c r="AC198">
        <f t="shared" si="82"/>
        <v>0</v>
      </c>
      <c r="AD198">
        <f t="shared" si="83"/>
        <v>0</v>
      </c>
      <c r="AE198">
        <f t="shared" si="84"/>
        <v>0</v>
      </c>
      <c r="AF198">
        <f t="shared" si="85"/>
        <v>0</v>
      </c>
      <c r="AH198" s="3">
        <f t="shared" si="86"/>
        <v>0</v>
      </c>
      <c r="AI198" s="3">
        <f t="shared" si="87"/>
        <v>0</v>
      </c>
      <c r="AJ198" s="3">
        <f t="shared" si="88"/>
        <v>0</v>
      </c>
      <c r="AK198" s="3">
        <f t="shared" si="89"/>
        <v>0</v>
      </c>
      <c r="AL198" s="3">
        <f t="shared" si="90"/>
        <v>0</v>
      </c>
      <c r="AM198" s="3">
        <f t="shared" si="91"/>
        <v>0</v>
      </c>
      <c r="AN198" s="3">
        <f t="shared" si="92"/>
        <v>0</v>
      </c>
      <c r="AO198" s="3">
        <f t="shared" si="93"/>
        <v>0</v>
      </c>
      <c r="AP198" s="3">
        <f t="shared" si="94"/>
        <v>0</v>
      </c>
      <c r="AQ198" s="3">
        <f t="shared" si="95"/>
        <v>0</v>
      </c>
      <c r="AR198" s="3">
        <f t="shared" si="96"/>
        <v>0</v>
      </c>
      <c r="AS198" s="3">
        <f t="shared" si="97"/>
        <v>0</v>
      </c>
      <c r="AT198" s="3">
        <f t="shared" si="98"/>
        <v>0</v>
      </c>
    </row>
    <row r="199" spans="1:46">
      <c r="A199" s="28">
        <v>9540</v>
      </c>
      <c r="B199" s="29" t="s">
        <v>20</v>
      </c>
      <c r="C199" s="30" t="s">
        <v>193</v>
      </c>
      <c r="D199" s="43">
        <f>VLOOKUP(C199,定义数据!$B$2:$C$7,2,0)</f>
        <v>4</v>
      </c>
      <c r="E199" s="30">
        <v>8340</v>
      </c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22"/>
      <c r="T199">
        <f t="shared" si="73"/>
        <v>0</v>
      </c>
      <c r="U199">
        <f t="shared" si="74"/>
        <v>0</v>
      </c>
      <c r="V199">
        <f t="shared" si="75"/>
        <v>0</v>
      </c>
      <c r="W199">
        <f t="shared" si="76"/>
        <v>0</v>
      </c>
      <c r="X199">
        <f t="shared" si="77"/>
        <v>0</v>
      </c>
      <c r="Y199">
        <f t="shared" si="78"/>
        <v>0</v>
      </c>
      <c r="Z199">
        <f t="shared" si="79"/>
        <v>0</v>
      </c>
      <c r="AA199">
        <f t="shared" si="80"/>
        <v>0</v>
      </c>
      <c r="AB199">
        <f t="shared" si="81"/>
        <v>0</v>
      </c>
      <c r="AC199">
        <f t="shared" si="82"/>
        <v>0</v>
      </c>
      <c r="AD199">
        <f t="shared" si="83"/>
        <v>0</v>
      </c>
      <c r="AE199">
        <f t="shared" si="84"/>
        <v>0</v>
      </c>
      <c r="AF199">
        <f t="shared" si="85"/>
        <v>0</v>
      </c>
      <c r="AH199" s="3">
        <f t="shared" si="86"/>
        <v>0</v>
      </c>
      <c r="AI199" s="3">
        <f t="shared" si="87"/>
        <v>0</v>
      </c>
      <c r="AJ199" s="3">
        <f t="shared" si="88"/>
        <v>0</v>
      </c>
      <c r="AK199" s="3">
        <f t="shared" si="89"/>
        <v>0</v>
      </c>
      <c r="AL199" s="3">
        <f t="shared" si="90"/>
        <v>0</v>
      </c>
      <c r="AM199" s="3">
        <f t="shared" si="91"/>
        <v>0</v>
      </c>
      <c r="AN199" s="3">
        <f t="shared" si="92"/>
        <v>0</v>
      </c>
      <c r="AO199" s="3">
        <f t="shared" si="93"/>
        <v>0</v>
      </c>
      <c r="AP199" s="3">
        <f t="shared" si="94"/>
        <v>0</v>
      </c>
      <c r="AQ199" s="3">
        <f t="shared" si="95"/>
        <v>0</v>
      </c>
      <c r="AR199" s="3">
        <f t="shared" si="96"/>
        <v>0</v>
      </c>
      <c r="AS199" s="3">
        <f t="shared" si="97"/>
        <v>0</v>
      </c>
      <c r="AT199" s="3">
        <f t="shared" si="98"/>
        <v>0</v>
      </c>
    </row>
    <row r="200" spans="1:46">
      <c r="A200" s="28">
        <v>9640</v>
      </c>
      <c r="B200" s="29" t="s">
        <v>75</v>
      </c>
      <c r="C200" s="30" t="s">
        <v>193</v>
      </c>
      <c r="D200" s="28">
        <f>VLOOKUP(C200,定义数据!$B$2:$C$7,2,0)</f>
        <v>4</v>
      </c>
      <c r="E200" s="30">
        <v>8440</v>
      </c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22"/>
      <c r="T200">
        <f t="shared" si="73"/>
        <v>0</v>
      </c>
      <c r="U200">
        <f t="shared" si="74"/>
        <v>0</v>
      </c>
      <c r="V200">
        <f t="shared" si="75"/>
        <v>0</v>
      </c>
      <c r="W200">
        <f t="shared" si="76"/>
        <v>0</v>
      </c>
      <c r="X200">
        <f t="shared" si="77"/>
        <v>0</v>
      </c>
      <c r="Y200">
        <f t="shared" si="78"/>
        <v>0</v>
      </c>
      <c r="Z200">
        <f t="shared" si="79"/>
        <v>0</v>
      </c>
      <c r="AA200">
        <f t="shared" si="80"/>
        <v>0</v>
      </c>
      <c r="AB200">
        <f t="shared" si="81"/>
        <v>0</v>
      </c>
      <c r="AC200">
        <f t="shared" si="82"/>
        <v>0</v>
      </c>
      <c r="AD200">
        <f t="shared" si="83"/>
        <v>0</v>
      </c>
      <c r="AE200">
        <f t="shared" si="84"/>
        <v>0</v>
      </c>
      <c r="AF200">
        <f t="shared" si="85"/>
        <v>0</v>
      </c>
      <c r="AH200" s="3">
        <f t="shared" si="86"/>
        <v>0</v>
      </c>
      <c r="AI200" s="3">
        <f t="shared" si="87"/>
        <v>0</v>
      </c>
      <c r="AJ200" s="3">
        <f t="shared" si="88"/>
        <v>0</v>
      </c>
      <c r="AK200" s="3">
        <f t="shared" si="89"/>
        <v>0</v>
      </c>
      <c r="AL200" s="3">
        <f t="shared" si="90"/>
        <v>0</v>
      </c>
      <c r="AM200" s="3">
        <f t="shared" si="91"/>
        <v>0</v>
      </c>
      <c r="AN200" s="3">
        <f t="shared" si="92"/>
        <v>0</v>
      </c>
      <c r="AO200" s="3">
        <f t="shared" si="93"/>
        <v>0</v>
      </c>
      <c r="AP200" s="3">
        <f t="shared" si="94"/>
        <v>0</v>
      </c>
      <c r="AQ200" s="3">
        <f t="shared" si="95"/>
        <v>0</v>
      </c>
      <c r="AR200" s="3">
        <f t="shared" si="96"/>
        <v>0</v>
      </c>
      <c r="AS200" s="3">
        <f t="shared" si="97"/>
        <v>0</v>
      </c>
      <c r="AT200" s="3">
        <f t="shared" si="98"/>
        <v>0</v>
      </c>
    </row>
    <row r="201" spans="1:46">
      <c r="A201" s="28">
        <v>9740</v>
      </c>
      <c r="B201" s="29" t="s">
        <v>22</v>
      </c>
      <c r="C201" s="30" t="s">
        <v>193</v>
      </c>
      <c r="D201" s="28">
        <f>VLOOKUP(C201,定义数据!$B$2:$C$7,2,0)</f>
        <v>4</v>
      </c>
      <c r="E201" s="30">
        <v>8140</v>
      </c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22"/>
      <c r="T201">
        <f t="shared" si="73"/>
        <v>0</v>
      </c>
      <c r="U201">
        <f t="shared" si="74"/>
        <v>0</v>
      </c>
      <c r="V201">
        <f t="shared" si="75"/>
        <v>0</v>
      </c>
      <c r="W201">
        <f t="shared" si="76"/>
        <v>0</v>
      </c>
      <c r="X201">
        <f t="shared" si="77"/>
        <v>0</v>
      </c>
      <c r="Y201">
        <f t="shared" si="78"/>
        <v>0</v>
      </c>
      <c r="Z201">
        <f t="shared" si="79"/>
        <v>0</v>
      </c>
      <c r="AA201">
        <f t="shared" si="80"/>
        <v>0</v>
      </c>
      <c r="AB201">
        <f t="shared" si="81"/>
        <v>0</v>
      </c>
      <c r="AC201">
        <f t="shared" si="82"/>
        <v>0</v>
      </c>
      <c r="AD201">
        <f t="shared" si="83"/>
        <v>0</v>
      </c>
      <c r="AE201">
        <f t="shared" si="84"/>
        <v>0</v>
      </c>
      <c r="AF201">
        <f t="shared" si="85"/>
        <v>0</v>
      </c>
      <c r="AH201" s="3">
        <f t="shared" si="86"/>
        <v>0</v>
      </c>
      <c r="AI201" s="3">
        <f t="shared" si="87"/>
        <v>0</v>
      </c>
      <c r="AJ201" s="3">
        <f t="shared" si="88"/>
        <v>0</v>
      </c>
      <c r="AK201" s="3">
        <f t="shared" si="89"/>
        <v>0</v>
      </c>
      <c r="AL201" s="3">
        <f t="shared" si="90"/>
        <v>0</v>
      </c>
      <c r="AM201" s="3">
        <f t="shared" si="91"/>
        <v>0</v>
      </c>
      <c r="AN201" s="3">
        <f t="shared" si="92"/>
        <v>0</v>
      </c>
      <c r="AO201" s="3">
        <f t="shared" si="93"/>
        <v>0</v>
      </c>
      <c r="AP201" s="3">
        <f t="shared" si="94"/>
        <v>0</v>
      </c>
      <c r="AQ201" s="3">
        <f t="shared" si="95"/>
        <v>0</v>
      </c>
      <c r="AR201" s="3">
        <f t="shared" si="96"/>
        <v>0</v>
      </c>
      <c r="AS201" s="3">
        <f t="shared" si="97"/>
        <v>0</v>
      </c>
      <c r="AT201" s="3">
        <f t="shared" si="98"/>
        <v>0</v>
      </c>
    </row>
    <row r="202" spans="1:46">
      <c r="A202" s="28">
        <v>9840</v>
      </c>
      <c r="B202" s="29" t="s">
        <v>351</v>
      </c>
      <c r="C202" s="30" t="s">
        <v>193</v>
      </c>
      <c r="D202" s="28">
        <f>VLOOKUP(C202,定义数据!$B$2:$C$7,2,0)</f>
        <v>4</v>
      </c>
      <c r="E202" s="30">
        <v>8240</v>
      </c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22"/>
      <c r="T202">
        <f t="shared" si="73"/>
        <v>0</v>
      </c>
      <c r="U202">
        <f t="shared" si="74"/>
        <v>0</v>
      </c>
      <c r="V202">
        <f t="shared" si="75"/>
        <v>0</v>
      </c>
      <c r="W202">
        <f t="shared" si="76"/>
        <v>0</v>
      </c>
      <c r="X202">
        <f t="shared" si="77"/>
        <v>0</v>
      </c>
      <c r="Y202">
        <f t="shared" si="78"/>
        <v>0</v>
      </c>
      <c r="Z202">
        <f t="shared" si="79"/>
        <v>0</v>
      </c>
      <c r="AA202">
        <f t="shared" si="80"/>
        <v>0</v>
      </c>
      <c r="AB202">
        <f t="shared" si="81"/>
        <v>0</v>
      </c>
      <c r="AC202">
        <f t="shared" si="82"/>
        <v>0</v>
      </c>
      <c r="AD202">
        <f t="shared" si="83"/>
        <v>0</v>
      </c>
      <c r="AE202">
        <f t="shared" si="84"/>
        <v>0</v>
      </c>
      <c r="AF202">
        <f t="shared" si="85"/>
        <v>0</v>
      </c>
      <c r="AH202" s="3">
        <f t="shared" si="86"/>
        <v>0</v>
      </c>
      <c r="AI202" s="3">
        <f t="shared" si="87"/>
        <v>0</v>
      </c>
      <c r="AJ202" s="3">
        <f t="shared" si="88"/>
        <v>0</v>
      </c>
      <c r="AK202" s="3">
        <f t="shared" si="89"/>
        <v>0</v>
      </c>
      <c r="AL202" s="3">
        <f t="shared" si="90"/>
        <v>0</v>
      </c>
      <c r="AM202" s="3">
        <f t="shared" si="91"/>
        <v>0</v>
      </c>
      <c r="AN202" s="3">
        <f t="shared" si="92"/>
        <v>0</v>
      </c>
      <c r="AO202" s="3">
        <f t="shared" si="93"/>
        <v>0</v>
      </c>
      <c r="AP202" s="3">
        <f t="shared" si="94"/>
        <v>0</v>
      </c>
      <c r="AQ202" s="3">
        <f t="shared" si="95"/>
        <v>0</v>
      </c>
      <c r="AR202" s="3">
        <f t="shared" si="96"/>
        <v>0</v>
      </c>
      <c r="AS202" s="3">
        <f t="shared" si="97"/>
        <v>0</v>
      </c>
      <c r="AT202" s="3">
        <f t="shared" si="98"/>
        <v>0</v>
      </c>
    </row>
    <row r="203" spans="1:46">
      <c r="A203" s="3">
        <v>8150</v>
      </c>
      <c r="B203" s="17" t="s">
        <v>352</v>
      </c>
      <c r="C203" s="7" t="s">
        <v>240</v>
      </c>
      <c r="D203" s="3">
        <f>VLOOKUP(C203,定义数据!$B$2:$C$7,2,0)</f>
        <v>5</v>
      </c>
      <c r="E203" s="7">
        <v>8150</v>
      </c>
      <c r="F203" s="3">
        <v>0.5</v>
      </c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22"/>
      <c r="T203">
        <f t="shared" si="73"/>
        <v>25000</v>
      </c>
      <c r="U203">
        <f t="shared" si="74"/>
        <v>0</v>
      </c>
      <c r="V203">
        <f t="shared" si="75"/>
        <v>0</v>
      </c>
      <c r="W203">
        <f t="shared" si="76"/>
        <v>0</v>
      </c>
      <c r="X203">
        <f t="shared" si="77"/>
        <v>0</v>
      </c>
      <c r="Y203">
        <f t="shared" si="78"/>
        <v>0</v>
      </c>
      <c r="Z203">
        <f t="shared" si="79"/>
        <v>0</v>
      </c>
      <c r="AA203">
        <f t="shared" si="80"/>
        <v>0</v>
      </c>
      <c r="AB203">
        <f t="shared" si="81"/>
        <v>0</v>
      </c>
      <c r="AC203">
        <f t="shared" si="82"/>
        <v>0</v>
      </c>
      <c r="AD203">
        <f t="shared" si="83"/>
        <v>0</v>
      </c>
      <c r="AE203">
        <f t="shared" si="84"/>
        <v>0</v>
      </c>
      <c r="AF203">
        <f t="shared" si="85"/>
        <v>0</v>
      </c>
      <c r="AH203" s="3">
        <f t="shared" si="86"/>
        <v>25000</v>
      </c>
      <c r="AI203" s="3">
        <f t="shared" si="87"/>
        <v>0</v>
      </c>
      <c r="AJ203" s="3">
        <f t="shared" si="88"/>
        <v>0</v>
      </c>
      <c r="AK203" s="3">
        <f t="shared" si="89"/>
        <v>0</v>
      </c>
      <c r="AL203" s="3">
        <f t="shared" si="90"/>
        <v>0</v>
      </c>
      <c r="AM203" s="3">
        <f t="shared" si="91"/>
        <v>0</v>
      </c>
      <c r="AN203" s="3">
        <f t="shared" si="92"/>
        <v>0</v>
      </c>
      <c r="AO203" s="3">
        <f t="shared" si="93"/>
        <v>0</v>
      </c>
      <c r="AP203" s="3">
        <f t="shared" si="94"/>
        <v>0</v>
      </c>
      <c r="AQ203" s="3">
        <f t="shared" si="95"/>
        <v>0</v>
      </c>
      <c r="AR203" s="3">
        <f t="shared" si="96"/>
        <v>0</v>
      </c>
      <c r="AS203" s="3">
        <f t="shared" si="97"/>
        <v>0</v>
      </c>
      <c r="AT203" s="3">
        <f t="shared" si="98"/>
        <v>0</v>
      </c>
    </row>
    <row r="204" spans="1:46">
      <c r="A204" s="3">
        <v>8250</v>
      </c>
      <c r="B204" s="17" t="s">
        <v>376</v>
      </c>
      <c r="C204" s="7" t="s">
        <v>240</v>
      </c>
      <c r="D204" s="3">
        <f>VLOOKUP(C204,定义数据!$B$2:$C$7,2,0)</f>
        <v>5</v>
      </c>
      <c r="E204" s="7">
        <v>8250</v>
      </c>
      <c r="F204" s="3"/>
      <c r="G204" s="3">
        <v>0.5</v>
      </c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22"/>
      <c r="T204">
        <f t="shared" si="73"/>
        <v>0</v>
      </c>
      <c r="U204">
        <f t="shared" si="74"/>
        <v>1000</v>
      </c>
      <c r="V204">
        <f t="shared" si="75"/>
        <v>0</v>
      </c>
      <c r="W204">
        <f t="shared" si="76"/>
        <v>0</v>
      </c>
      <c r="X204">
        <f t="shared" si="77"/>
        <v>0</v>
      </c>
      <c r="Y204">
        <f t="shared" si="78"/>
        <v>0</v>
      </c>
      <c r="Z204">
        <f t="shared" si="79"/>
        <v>0</v>
      </c>
      <c r="AA204">
        <f t="shared" si="80"/>
        <v>0</v>
      </c>
      <c r="AB204">
        <f t="shared" si="81"/>
        <v>0</v>
      </c>
      <c r="AC204">
        <f t="shared" si="82"/>
        <v>0</v>
      </c>
      <c r="AD204">
        <f t="shared" si="83"/>
        <v>0</v>
      </c>
      <c r="AE204">
        <f t="shared" si="84"/>
        <v>0</v>
      </c>
      <c r="AF204">
        <f t="shared" si="85"/>
        <v>0</v>
      </c>
      <c r="AH204" s="3">
        <f t="shared" si="86"/>
        <v>0</v>
      </c>
      <c r="AI204" s="3">
        <f t="shared" si="87"/>
        <v>1000</v>
      </c>
      <c r="AJ204" s="3">
        <f t="shared" si="88"/>
        <v>0</v>
      </c>
      <c r="AK204" s="3">
        <f t="shared" si="89"/>
        <v>0</v>
      </c>
      <c r="AL204" s="3">
        <f t="shared" si="90"/>
        <v>0</v>
      </c>
      <c r="AM204" s="3">
        <f t="shared" si="91"/>
        <v>0</v>
      </c>
      <c r="AN204" s="3">
        <f t="shared" si="92"/>
        <v>0</v>
      </c>
      <c r="AO204" s="3">
        <f t="shared" si="93"/>
        <v>0</v>
      </c>
      <c r="AP204" s="3">
        <f t="shared" si="94"/>
        <v>0</v>
      </c>
      <c r="AQ204" s="3">
        <f t="shared" si="95"/>
        <v>0</v>
      </c>
      <c r="AR204" s="3">
        <f t="shared" si="96"/>
        <v>0</v>
      </c>
      <c r="AS204" s="3">
        <f t="shared" si="97"/>
        <v>0</v>
      </c>
      <c r="AT204" s="3">
        <f t="shared" si="98"/>
        <v>0</v>
      </c>
    </row>
    <row r="205" spans="1:46">
      <c r="A205" s="3">
        <v>8350</v>
      </c>
      <c r="B205" s="17" t="s">
        <v>354</v>
      </c>
      <c r="C205" s="7" t="s">
        <v>240</v>
      </c>
      <c r="D205" s="3">
        <f>VLOOKUP(C205,定义数据!$B$2:$C$7,2,0)</f>
        <v>5</v>
      </c>
      <c r="E205" s="7">
        <v>8350</v>
      </c>
      <c r="F205" s="3"/>
      <c r="G205" s="3"/>
      <c r="H205" s="3">
        <v>1</v>
      </c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22"/>
      <c r="T205">
        <f t="shared" si="73"/>
        <v>0</v>
      </c>
      <c r="U205">
        <f t="shared" si="74"/>
        <v>0</v>
      </c>
      <c r="V205">
        <f t="shared" si="75"/>
        <v>800</v>
      </c>
      <c r="W205">
        <f t="shared" si="76"/>
        <v>0</v>
      </c>
      <c r="X205">
        <f t="shared" si="77"/>
        <v>0</v>
      </c>
      <c r="Y205">
        <f t="shared" si="78"/>
        <v>0</v>
      </c>
      <c r="Z205">
        <f t="shared" si="79"/>
        <v>0</v>
      </c>
      <c r="AA205">
        <f t="shared" si="80"/>
        <v>0</v>
      </c>
      <c r="AB205">
        <f t="shared" si="81"/>
        <v>0</v>
      </c>
      <c r="AC205">
        <f t="shared" si="82"/>
        <v>0</v>
      </c>
      <c r="AD205">
        <f t="shared" si="83"/>
        <v>0</v>
      </c>
      <c r="AE205">
        <f t="shared" si="84"/>
        <v>0</v>
      </c>
      <c r="AF205">
        <f t="shared" si="85"/>
        <v>0</v>
      </c>
      <c r="AH205" s="3">
        <f t="shared" si="86"/>
        <v>0</v>
      </c>
      <c r="AI205" s="3">
        <f t="shared" si="87"/>
        <v>0</v>
      </c>
      <c r="AJ205" s="3">
        <f t="shared" si="88"/>
        <v>800</v>
      </c>
      <c r="AK205" s="3">
        <f t="shared" si="89"/>
        <v>0</v>
      </c>
      <c r="AL205" s="3">
        <f t="shared" si="90"/>
        <v>0</v>
      </c>
      <c r="AM205" s="3">
        <f t="shared" si="91"/>
        <v>0</v>
      </c>
      <c r="AN205" s="3">
        <f t="shared" si="92"/>
        <v>0</v>
      </c>
      <c r="AO205" s="3">
        <f t="shared" si="93"/>
        <v>0</v>
      </c>
      <c r="AP205" s="3">
        <f t="shared" si="94"/>
        <v>0</v>
      </c>
      <c r="AQ205" s="3">
        <f t="shared" si="95"/>
        <v>0</v>
      </c>
      <c r="AR205" s="3">
        <f t="shared" si="96"/>
        <v>0</v>
      </c>
      <c r="AS205" s="3">
        <f t="shared" si="97"/>
        <v>0</v>
      </c>
      <c r="AT205" s="3">
        <f t="shared" si="98"/>
        <v>0</v>
      </c>
    </row>
    <row r="206" spans="1:46">
      <c r="A206" s="3">
        <v>8450</v>
      </c>
      <c r="B206" s="17" t="s">
        <v>355</v>
      </c>
      <c r="C206" s="7" t="s">
        <v>240</v>
      </c>
      <c r="D206" s="3">
        <f>VLOOKUP(C206,定义数据!$B$2:$C$7,2,0)</f>
        <v>5</v>
      </c>
      <c r="E206" s="7">
        <v>8450</v>
      </c>
      <c r="F206" s="3"/>
      <c r="G206" s="3"/>
      <c r="H206" s="3"/>
      <c r="I206" s="3">
        <v>1</v>
      </c>
      <c r="J206" s="3"/>
      <c r="K206" s="3"/>
      <c r="L206" s="3"/>
      <c r="M206" s="3"/>
      <c r="N206" s="3"/>
      <c r="O206" s="3"/>
      <c r="P206" s="3"/>
      <c r="Q206" s="3"/>
      <c r="R206" s="3"/>
      <c r="S206" s="22"/>
      <c r="T206">
        <f t="shared" si="73"/>
        <v>0</v>
      </c>
      <c r="U206">
        <f t="shared" si="74"/>
        <v>0</v>
      </c>
      <c r="V206">
        <f t="shared" si="75"/>
        <v>0</v>
      </c>
      <c r="W206">
        <f t="shared" si="76"/>
        <v>2352.9411764705883</v>
      </c>
      <c r="X206">
        <f t="shared" si="77"/>
        <v>0</v>
      </c>
      <c r="Y206">
        <f t="shared" si="78"/>
        <v>0</v>
      </c>
      <c r="Z206">
        <f t="shared" si="79"/>
        <v>0</v>
      </c>
      <c r="AA206">
        <f t="shared" si="80"/>
        <v>0</v>
      </c>
      <c r="AB206">
        <f t="shared" si="81"/>
        <v>0</v>
      </c>
      <c r="AC206">
        <f t="shared" si="82"/>
        <v>0</v>
      </c>
      <c r="AD206">
        <f t="shared" si="83"/>
        <v>0</v>
      </c>
      <c r="AE206">
        <f t="shared" si="84"/>
        <v>0</v>
      </c>
      <c r="AF206">
        <f t="shared" si="85"/>
        <v>0</v>
      </c>
      <c r="AH206" s="3">
        <f t="shared" si="86"/>
        <v>0</v>
      </c>
      <c r="AI206" s="3">
        <f t="shared" si="87"/>
        <v>0</v>
      </c>
      <c r="AJ206" s="3">
        <f t="shared" si="88"/>
        <v>0</v>
      </c>
      <c r="AK206" s="3">
        <f t="shared" si="89"/>
        <v>2352.9411764705883</v>
      </c>
      <c r="AL206" s="3">
        <f t="shared" si="90"/>
        <v>0</v>
      </c>
      <c r="AM206" s="3">
        <f t="shared" si="91"/>
        <v>0</v>
      </c>
      <c r="AN206" s="3">
        <f t="shared" si="92"/>
        <v>0</v>
      </c>
      <c r="AO206" s="3">
        <f t="shared" si="93"/>
        <v>0</v>
      </c>
      <c r="AP206" s="3">
        <f t="shared" si="94"/>
        <v>0</v>
      </c>
      <c r="AQ206" s="3">
        <f t="shared" si="95"/>
        <v>0</v>
      </c>
      <c r="AR206" s="3">
        <f t="shared" si="96"/>
        <v>0</v>
      </c>
      <c r="AS206" s="3">
        <f t="shared" si="97"/>
        <v>0</v>
      </c>
      <c r="AT206" s="3">
        <f t="shared" si="98"/>
        <v>0</v>
      </c>
    </row>
    <row r="207" spans="1:46">
      <c r="A207" s="3">
        <v>8550</v>
      </c>
      <c r="B207" s="17" t="s">
        <v>356</v>
      </c>
      <c r="C207" s="7" t="s">
        <v>240</v>
      </c>
      <c r="D207" s="3">
        <f>VLOOKUP(C207,定义数据!$B$2:$C$7,2,0)</f>
        <v>5</v>
      </c>
      <c r="E207" s="7">
        <v>8150</v>
      </c>
      <c r="F207" s="3"/>
      <c r="G207" s="3"/>
      <c r="H207" s="3"/>
      <c r="I207" s="3"/>
      <c r="J207" s="3">
        <v>1</v>
      </c>
      <c r="K207" s="3"/>
      <c r="L207" s="3"/>
      <c r="M207" s="3"/>
      <c r="N207" s="3"/>
      <c r="O207" s="3"/>
      <c r="P207" s="3"/>
      <c r="Q207" s="3"/>
      <c r="R207" s="3"/>
      <c r="S207" s="22"/>
      <c r="T207">
        <f t="shared" si="73"/>
        <v>0</v>
      </c>
      <c r="U207">
        <f t="shared" si="74"/>
        <v>0</v>
      </c>
      <c r="V207">
        <f t="shared" si="75"/>
        <v>0</v>
      </c>
      <c r="W207">
        <f t="shared" si="76"/>
        <v>0</v>
      </c>
      <c r="X207">
        <f t="shared" si="77"/>
        <v>2352.9411764705883</v>
      </c>
      <c r="Y207">
        <f t="shared" si="78"/>
        <v>0</v>
      </c>
      <c r="Z207">
        <f t="shared" si="79"/>
        <v>0</v>
      </c>
      <c r="AA207">
        <f t="shared" si="80"/>
        <v>0</v>
      </c>
      <c r="AB207">
        <f t="shared" si="81"/>
        <v>0</v>
      </c>
      <c r="AC207">
        <f t="shared" si="82"/>
        <v>0</v>
      </c>
      <c r="AD207">
        <f t="shared" si="83"/>
        <v>0</v>
      </c>
      <c r="AE207">
        <f t="shared" si="84"/>
        <v>0</v>
      </c>
      <c r="AF207">
        <f t="shared" si="85"/>
        <v>0</v>
      </c>
      <c r="AH207" s="3">
        <f t="shared" si="86"/>
        <v>0</v>
      </c>
      <c r="AI207" s="3">
        <f t="shared" si="87"/>
        <v>0</v>
      </c>
      <c r="AJ207" s="3">
        <f t="shared" si="88"/>
        <v>0</v>
      </c>
      <c r="AK207" s="3">
        <f t="shared" si="89"/>
        <v>0</v>
      </c>
      <c r="AL207" s="3">
        <f t="shared" si="90"/>
        <v>2352.9411764705883</v>
      </c>
      <c r="AM207" s="3">
        <f t="shared" si="91"/>
        <v>0</v>
      </c>
      <c r="AN207" s="3">
        <f t="shared" si="92"/>
        <v>0</v>
      </c>
      <c r="AO207" s="3">
        <f t="shared" si="93"/>
        <v>0</v>
      </c>
      <c r="AP207" s="3">
        <f t="shared" si="94"/>
        <v>0</v>
      </c>
      <c r="AQ207" s="3">
        <f t="shared" si="95"/>
        <v>0</v>
      </c>
      <c r="AR207" s="3">
        <f t="shared" si="96"/>
        <v>0</v>
      </c>
      <c r="AS207" s="3">
        <f t="shared" si="97"/>
        <v>0</v>
      </c>
      <c r="AT207" s="3">
        <f t="shared" si="98"/>
        <v>0</v>
      </c>
    </row>
    <row r="208" spans="1:46">
      <c r="A208" s="3">
        <v>8650</v>
      </c>
      <c r="B208" s="17" t="s">
        <v>18</v>
      </c>
      <c r="C208" s="7" t="s">
        <v>240</v>
      </c>
      <c r="D208" s="3">
        <f>VLOOKUP(C208,定义数据!$B$2:$C$7,2,0)</f>
        <v>5</v>
      </c>
      <c r="E208" s="7">
        <v>8250</v>
      </c>
      <c r="F208" s="3"/>
      <c r="G208" s="3"/>
      <c r="H208" s="3"/>
      <c r="I208" s="3"/>
      <c r="J208" s="3"/>
      <c r="K208" s="3">
        <v>1</v>
      </c>
      <c r="L208" s="3"/>
      <c r="M208" s="3"/>
      <c r="N208" s="3"/>
      <c r="O208" s="3"/>
      <c r="P208" s="3"/>
      <c r="Q208" s="3"/>
      <c r="R208" s="3"/>
      <c r="S208" s="22"/>
      <c r="T208">
        <f t="shared" si="73"/>
        <v>0</v>
      </c>
      <c r="U208">
        <f t="shared" si="74"/>
        <v>0</v>
      </c>
      <c r="V208">
        <f t="shared" si="75"/>
        <v>0</v>
      </c>
      <c r="W208">
        <f t="shared" si="76"/>
        <v>0</v>
      </c>
      <c r="X208">
        <f t="shared" si="77"/>
        <v>0</v>
      </c>
      <c r="Y208">
        <f t="shared" si="78"/>
        <v>4444.4444444444443</v>
      </c>
      <c r="Z208">
        <f t="shared" si="79"/>
        <v>0</v>
      </c>
      <c r="AA208">
        <f t="shared" si="80"/>
        <v>0</v>
      </c>
      <c r="AB208">
        <f t="shared" si="81"/>
        <v>0</v>
      </c>
      <c r="AC208">
        <f t="shared" si="82"/>
        <v>0</v>
      </c>
      <c r="AD208">
        <f t="shared" si="83"/>
        <v>0</v>
      </c>
      <c r="AE208">
        <f t="shared" si="84"/>
        <v>0</v>
      </c>
      <c r="AF208">
        <f t="shared" si="85"/>
        <v>0</v>
      </c>
      <c r="AH208" s="3">
        <f t="shared" si="86"/>
        <v>0</v>
      </c>
      <c r="AI208" s="3">
        <f t="shared" si="87"/>
        <v>0</v>
      </c>
      <c r="AJ208" s="3">
        <f t="shared" si="88"/>
        <v>0</v>
      </c>
      <c r="AK208" s="3">
        <f t="shared" si="89"/>
        <v>0</v>
      </c>
      <c r="AL208" s="3">
        <f t="shared" si="90"/>
        <v>0</v>
      </c>
      <c r="AM208" s="3">
        <f t="shared" si="91"/>
        <v>4444.4444444444443</v>
      </c>
      <c r="AN208" s="3">
        <f t="shared" si="92"/>
        <v>0</v>
      </c>
      <c r="AO208" s="3">
        <f t="shared" si="93"/>
        <v>0</v>
      </c>
      <c r="AP208" s="3">
        <f t="shared" si="94"/>
        <v>0</v>
      </c>
      <c r="AQ208" s="3">
        <f t="shared" si="95"/>
        <v>0</v>
      </c>
      <c r="AR208" s="3">
        <f t="shared" si="96"/>
        <v>0</v>
      </c>
      <c r="AS208" s="3">
        <f t="shared" si="97"/>
        <v>0</v>
      </c>
      <c r="AT208" s="3">
        <f t="shared" si="98"/>
        <v>0</v>
      </c>
    </row>
    <row r="209" spans="1:46">
      <c r="A209" s="3">
        <v>8750</v>
      </c>
      <c r="B209" s="17" t="s">
        <v>377</v>
      </c>
      <c r="C209" s="7" t="s">
        <v>240</v>
      </c>
      <c r="D209" s="3">
        <f>VLOOKUP(C209,定义数据!$B$2:$C$7,2,0)</f>
        <v>5</v>
      </c>
      <c r="E209" s="7">
        <v>8350</v>
      </c>
      <c r="F209" s="3"/>
      <c r="G209" s="3"/>
      <c r="H209" s="3"/>
      <c r="I209" s="3"/>
      <c r="J209" s="3"/>
      <c r="K209" s="3"/>
      <c r="L209" s="3">
        <v>1</v>
      </c>
      <c r="M209" s="3"/>
      <c r="N209" s="3"/>
      <c r="O209" s="3"/>
      <c r="P209" s="3"/>
      <c r="Q209" s="3"/>
      <c r="R209" s="3"/>
      <c r="S209" s="22"/>
      <c r="T209">
        <f t="shared" si="73"/>
        <v>0</v>
      </c>
      <c r="U209">
        <f t="shared" si="74"/>
        <v>0</v>
      </c>
      <c r="V209">
        <f t="shared" si="75"/>
        <v>0</v>
      </c>
      <c r="W209">
        <f t="shared" si="76"/>
        <v>0</v>
      </c>
      <c r="X209">
        <f t="shared" si="77"/>
        <v>0</v>
      </c>
      <c r="Y209">
        <f t="shared" si="78"/>
        <v>0</v>
      </c>
      <c r="Z209">
        <f t="shared" si="79"/>
        <v>3000</v>
      </c>
      <c r="AA209">
        <f t="shared" si="80"/>
        <v>0</v>
      </c>
      <c r="AB209">
        <f t="shared" si="81"/>
        <v>0</v>
      </c>
      <c r="AC209">
        <f t="shared" si="82"/>
        <v>0</v>
      </c>
      <c r="AD209">
        <f t="shared" si="83"/>
        <v>0</v>
      </c>
      <c r="AE209">
        <f t="shared" si="84"/>
        <v>0</v>
      </c>
      <c r="AF209">
        <f t="shared" si="85"/>
        <v>0</v>
      </c>
      <c r="AH209" s="3">
        <f t="shared" si="86"/>
        <v>0</v>
      </c>
      <c r="AI209" s="3">
        <f t="shared" si="87"/>
        <v>0</v>
      </c>
      <c r="AJ209" s="3">
        <f t="shared" si="88"/>
        <v>0</v>
      </c>
      <c r="AK209" s="3">
        <f t="shared" si="89"/>
        <v>0</v>
      </c>
      <c r="AL209" s="3">
        <f t="shared" si="90"/>
        <v>0</v>
      </c>
      <c r="AM209" s="3">
        <f t="shared" si="91"/>
        <v>0</v>
      </c>
      <c r="AN209" s="3">
        <f t="shared" si="92"/>
        <v>3000</v>
      </c>
      <c r="AO209" s="3">
        <f t="shared" si="93"/>
        <v>0</v>
      </c>
      <c r="AP209" s="3">
        <f t="shared" si="94"/>
        <v>0</v>
      </c>
      <c r="AQ209" s="3">
        <f t="shared" si="95"/>
        <v>0</v>
      </c>
      <c r="AR209" s="3">
        <f t="shared" si="96"/>
        <v>0</v>
      </c>
      <c r="AS209" s="3">
        <f t="shared" si="97"/>
        <v>0</v>
      </c>
      <c r="AT209" s="3">
        <f t="shared" si="98"/>
        <v>0</v>
      </c>
    </row>
    <row r="210" spans="1:46">
      <c r="A210" s="3">
        <v>8850</v>
      </c>
      <c r="B210" s="17" t="s">
        <v>358</v>
      </c>
      <c r="C210" s="7" t="s">
        <v>240</v>
      </c>
      <c r="D210" s="3">
        <f>VLOOKUP(C210,定义数据!$B$2:$C$7,2,0)</f>
        <v>5</v>
      </c>
      <c r="E210" s="7">
        <v>8450</v>
      </c>
      <c r="F210" s="3"/>
      <c r="G210" s="3"/>
      <c r="H210" s="3"/>
      <c r="I210" s="3"/>
      <c r="J210" s="3"/>
      <c r="K210" s="3"/>
      <c r="L210" s="3"/>
      <c r="M210" s="3">
        <v>1</v>
      </c>
      <c r="N210" s="3"/>
      <c r="O210" s="3"/>
      <c r="P210" s="3"/>
      <c r="Q210" s="3"/>
      <c r="R210" s="3"/>
      <c r="S210" s="22"/>
      <c r="T210">
        <f t="shared" si="73"/>
        <v>0</v>
      </c>
      <c r="U210">
        <f t="shared" si="74"/>
        <v>0</v>
      </c>
      <c r="V210">
        <f t="shared" si="75"/>
        <v>0</v>
      </c>
      <c r="W210">
        <f t="shared" si="76"/>
        <v>0</v>
      </c>
      <c r="X210">
        <f t="shared" si="77"/>
        <v>0</v>
      </c>
      <c r="Y210">
        <f t="shared" si="78"/>
        <v>0</v>
      </c>
      <c r="Z210">
        <f t="shared" si="79"/>
        <v>0</v>
      </c>
      <c r="AA210">
        <f t="shared" si="80"/>
        <v>4444.4444444444443</v>
      </c>
      <c r="AB210">
        <f t="shared" si="81"/>
        <v>0</v>
      </c>
      <c r="AC210">
        <f t="shared" si="82"/>
        <v>0</v>
      </c>
      <c r="AD210">
        <f t="shared" si="83"/>
        <v>0</v>
      </c>
      <c r="AE210">
        <f t="shared" si="84"/>
        <v>0</v>
      </c>
      <c r="AF210">
        <f t="shared" si="85"/>
        <v>0</v>
      </c>
      <c r="AH210" s="3">
        <f t="shared" si="86"/>
        <v>0</v>
      </c>
      <c r="AI210" s="3">
        <f t="shared" si="87"/>
        <v>0</v>
      </c>
      <c r="AJ210" s="3">
        <f t="shared" si="88"/>
        <v>0</v>
      </c>
      <c r="AK210" s="3">
        <f t="shared" si="89"/>
        <v>0</v>
      </c>
      <c r="AL210" s="3">
        <f t="shared" si="90"/>
        <v>0</v>
      </c>
      <c r="AM210" s="3">
        <f t="shared" si="91"/>
        <v>0</v>
      </c>
      <c r="AN210" s="3">
        <f t="shared" si="92"/>
        <v>0</v>
      </c>
      <c r="AO210" s="3">
        <f t="shared" si="93"/>
        <v>4444.4444444444443</v>
      </c>
      <c r="AP210" s="3">
        <f t="shared" si="94"/>
        <v>0</v>
      </c>
      <c r="AQ210" s="3">
        <f t="shared" si="95"/>
        <v>0</v>
      </c>
      <c r="AR210" s="3">
        <f t="shared" si="96"/>
        <v>0</v>
      </c>
      <c r="AS210" s="3">
        <f t="shared" si="97"/>
        <v>0</v>
      </c>
      <c r="AT210" s="3">
        <f t="shared" si="98"/>
        <v>0</v>
      </c>
    </row>
    <row r="211" spans="1:46">
      <c r="A211" s="3">
        <v>8950</v>
      </c>
      <c r="B211" s="17" t="s">
        <v>378</v>
      </c>
      <c r="C211" s="7" t="s">
        <v>240</v>
      </c>
      <c r="D211" s="3">
        <f>VLOOKUP(C211,定义数据!$B$2:$C$7,2,0)</f>
        <v>5</v>
      </c>
      <c r="E211" s="7">
        <v>8150</v>
      </c>
      <c r="F211" s="3">
        <v>0.1</v>
      </c>
      <c r="G211" s="3"/>
      <c r="H211" s="3"/>
      <c r="I211" s="3"/>
      <c r="J211" s="3"/>
      <c r="K211" s="3"/>
      <c r="L211" s="3"/>
      <c r="M211" s="3"/>
      <c r="N211" s="3">
        <v>1</v>
      </c>
      <c r="O211" s="3"/>
      <c r="P211" s="3"/>
      <c r="Q211" s="3"/>
      <c r="R211" s="3"/>
      <c r="S211" s="22"/>
      <c r="T211">
        <f t="shared" si="73"/>
        <v>5000</v>
      </c>
      <c r="U211">
        <f t="shared" si="74"/>
        <v>0</v>
      </c>
      <c r="V211">
        <f t="shared" si="75"/>
        <v>0</v>
      </c>
      <c r="W211">
        <f t="shared" si="76"/>
        <v>0</v>
      </c>
      <c r="X211">
        <f t="shared" si="77"/>
        <v>0</v>
      </c>
      <c r="Y211">
        <f t="shared" si="78"/>
        <v>0</v>
      </c>
      <c r="Z211">
        <f t="shared" si="79"/>
        <v>0</v>
      </c>
      <c r="AA211">
        <f t="shared" si="80"/>
        <v>0</v>
      </c>
      <c r="AB211">
        <f t="shared" si="81"/>
        <v>1200</v>
      </c>
      <c r="AC211">
        <f t="shared" si="82"/>
        <v>0</v>
      </c>
      <c r="AD211">
        <f t="shared" si="83"/>
        <v>0</v>
      </c>
      <c r="AE211">
        <f t="shared" si="84"/>
        <v>0</v>
      </c>
      <c r="AF211">
        <f t="shared" si="85"/>
        <v>0</v>
      </c>
      <c r="AH211" s="3">
        <f t="shared" si="86"/>
        <v>5000</v>
      </c>
      <c r="AI211" s="3">
        <f t="shared" si="87"/>
        <v>0</v>
      </c>
      <c r="AJ211" s="3">
        <f t="shared" si="88"/>
        <v>0</v>
      </c>
      <c r="AK211" s="3">
        <f t="shared" si="89"/>
        <v>0</v>
      </c>
      <c r="AL211" s="3">
        <f t="shared" si="90"/>
        <v>0</v>
      </c>
      <c r="AM211" s="3">
        <f t="shared" si="91"/>
        <v>0</v>
      </c>
      <c r="AN211" s="3">
        <f t="shared" si="92"/>
        <v>0</v>
      </c>
      <c r="AO211" s="3">
        <f t="shared" si="93"/>
        <v>0</v>
      </c>
      <c r="AP211" s="3">
        <f t="shared" si="94"/>
        <v>1200</v>
      </c>
      <c r="AQ211" s="3">
        <f t="shared" si="95"/>
        <v>0</v>
      </c>
      <c r="AR211" s="3">
        <f t="shared" si="96"/>
        <v>0</v>
      </c>
      <c r="AS211" s="3">
        <f t="shared" si="97"/>
        <v>0</v>
      </c>
      <c r="AT211" s="3">
        <f t="shared" si="98"/>
        <v>0</v>
      </c>
    </row>
    <row r="212" spans="1:46">
      <c r="A212" s="3">
        <v>9050</v>
      </c>
      <c r="B212" s="17" t="s">
        <v>379</v>
      </c>
      <c r="C212" s="7" t="s">
        <v>240</v>
      </c>
      <c r="D212" s="3">
        <f>VLOOKUP(C212,定义数据!$B$2:$C$7,2,0)</f>
        <v>5</v>
      </c>
      <c r="E212" s="7">
        <v>8250</v>
      </c>
      <c r="F212" s="3"/>
      <c r="G212" s="3">
        <v>0.1</v>
      </c>
      <c r="H212" s="3"/>
      <c r="I212" s="3"/>
      <c r="J212" s="3"/>
      <c r="K212" s="3"/>
      <c r="L212" s="3"/>
      <c r="M212" s="3"/>
      <c r="N212" s="3"/>
      <c r="O212" s="3">
        <v>1</v>
      </c>
      <c r="P212" s="3"/>
      <c r="Q212" s="3"/>
      <c r="R212" s="3"/>
      <c r="S212" s="22"/>
      <c r="T212">
        <f t="shared" si="73"/>
        <v>0</v>
      </c>
      <c r="U212">
        <f t="shared" si="74"/>
        <v>200</v>
      </c>
      <c r="V212">
        <f t="shared" si="75"/>
        <v>0</v>
      </c>
      <c r="W212">
        <f t="shared" si="76"/>
        <v>0</v>
      </c>
      <c r="X212">
        <f t="shared" si="77"/>
        <v>0</v>
      </c>
      <c r="Y212">
        <f t="shared" si="78"/>
        <v>0</v>
      </c>
      <c r="Z212">
        <f t="shared" si="79"/>
        <v>0</v>
      </c>
      <c r="AA212">
        <f t="shared" si="80"/>
        <v>0</v>
      </c>
      <c r="AB212">
        <f t="shared" si="81"/>
        <v>0</v>
      </c>
      <c r="AC212">
        <f t="shared" si="82"/>
        <v>1200</v>
      </c>
      <c r="AD212">
        <f t="shared" si="83"/>
        <v>0</v>
      </c>
      <c r="AE212">
        <f t="shared" si="84"/>
        <v>0</v>
      </c>
      <c r="AF212">
        <f t="shared" si="85"/>
        <v>0</v>
      </c>
      <c r="AH212" s="3">
        <f t="shared" si="86"/>
        <v>0</v>
      </c>
      <c r="AI212" s="3">
        <f t="shared" si="87"/>
        <v>200</v>
      </c>
      <c r="AJ212" s="3">
        <f t="shared" si="88"/>
        <v>0</v>
      </c>
      <c r="AK212" s="3">
        <f t="shared" si="89"/>
        <v>0</v>
      </c>
      <c r="AL212" s="3">
        <f t="shared" si="90"/>
        <v>0</v>
      </c>
      <c r="AM212" s="3">
        <f t="shared" si="91"/>
        <v>0</v>
      </c>
      <c r="AN212" s="3">
        <f t="shared" si="92"/>
        <v>0</v>
      </c>
      <c r="AO212" s="3">
        <f t="shared" si="93"/>
        <v>0</v>
      </c>
      <c r="AP212" s="3">
        <f t="shared" si="94"/>
        <v>0</v>
      </c>
      <c r="AQ212" s="3">
        <f t="shared" si="95"/>
        <v>1200</v>
      </c>
      <c r="AR212" s="3">
        <f t="shared" si="96"/>
        <v>0</v>
      </c>
      <c r="AS212" s="3">
        <f t="shared" si="97"/>
        <v>0</v>
      </c>
      <c r="AT212" s="3">
        <f t="shared" si="98"/>
        <v>0</v>
      </c>
    </row>
    <row r="213" spans="1:46">
      <c r="A213" s="3">
        <v>9150</v>
      </c>
      <c r="B213" s="17" t="s">
        <v>380</v>
      </c>
      <c r="C213" s="7" t="s">
        <v>240</v>
      </c>
      <c r="D213" s="3">
        <f>VLOOKUP(C213,定义数据!$B$2:$C$7,2,0)</f>
        <v>5</v>
      </c>
      <c r="E213" s="7">
        <v>8350</v>
      </c>
      <c r="F213" s="3"/>
      <c r="G213" s="3">
        <v>0.1</v>
      </c>
      <c r="H213" s="3"/>
      <c r="I213" s="3"/>
      <c r="J213" s="3"/>
      <c r="K213" s="3"/>
      <c r="L213" s="3"/>
      <c r="M213" s="3"/>
      <c r="N213" s="3"/>
      <c r="O213" s="3"/>
      <c r="P213" s="3"/>
      <c r="Q213" s="3">
        <v>1</v>
      </c>
      <c r="R213" s="3"/>
      <c r="S213" s="22"/>
      <c r="T213">
        <f t="shared" si="73"/>
        <v>0</v>
      </c>
      <c r="U213">
        <f t="shared" si="74"/>
        <v>200</v>
      </c>
      <c r="V213">
        <f t="shared" si="75"/>
        <v>0</v>
      </c>
      <c r="W213">
        <f t="shared" si="76"/>
        <v>0</v>
      </c>
      <c r="X213">
        <f t="shared" si="77"/>
        <v>0</v>
      </c>
      <c r="Y213">
        <f t="shared" si="78"/>
        <v>0</v>
      </c>
      <c r="Z213">
        <f t="shared" si="79"/>
        <v>0</v>
      </c>
      <c r="AA213">
        <f t="shared" si="80"/>
        <v>0</v>
      </c>
      <c r="AB213">
        <f t="shared" si="81"/>
        <v>0</v>
      </c>
      <c r="AC213">
        <f t="shared" si="82"/>
        <v>0</v>
      </c>
      <c r="AD213">
        <f t="shared" si="83"/>
        <v>0</v>
      </c>
      <c r="AE213">
        <f t="shared" si="84"/>
        <v>1000</v>
      </c>
      <c r="AF213">
        <f t="shared" si="85"/>
        <v>0</v>
      </c>
      <c r="AH213" s="3">
        <f t="shared" si="86"/>
        <v>0</v>
      </c>
      <c r="AI213" s="3">
        <f t="shared" si="87"/>
        <v>200</v>
      </c>
      <c r="AJ213" s="3">
        <f t="shared" si="88"/>
        <v>0</v>
      </c>
      <c r="AK213" s="3">
        <f t="shared" si="89"/>
        <v>0</v>
      </c>
      <c r="AL213" s="3">
        <f t="shared" si="90"/>
        <v>0</v>
      </c>
      <c r="AM213" s="3">
        <f t="shared" si="91"/>
        <v>0</v>
      </c>
      <c r="AN213" s="3">
        <f t="shared" si="92"/>
        <v>0</v>
      </c>
      <c r="AO213" s="3">
        <f t="shared" si="93"/>
        <v>0</v>
      </c>
      <c r="AP213" s="3">
        <f t="shared" si="94"/>
        <v>0</v>
      </c>
      <c r="AQ213" s="3">
        <f t="shared" si="95"/>
        <v>0</v>
      </c>
      <c r="AR213" s="3">
        <f t="shared" si="96"/>
        <v>0</v>
      </c>
      <c r="AS213" s="3">
        <f t="shared" si="97"/>
        <v>1000</v>
      </c>
      <c r="AT213" s="3">
        <f t="shared" si="98"/>
        <v>0</v>
      </c>
    </row>
    <row r="214" spans="1:46">
      <c r="A214" s="3">
        <v>9250</v>
      </c>
      <c r="B214" s="17" t="s">
        <v>362</v>
      </c>
      <c r="C214" s="7" t="s">
        <v>240</v>
      </c>
      <c r="D214" s="3">
        <f>VLOOKUP(C214,定义数据!$B$2:$C$7,2,0)</f>
        <v>5</v>
      </c>
      <c r="E214" s="7">
        <v>8450</v>
      </c>
      <c r="F214" s="3">
        <v>0.1</v>
      </c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>
        <v>1</v>
      </c>
      <c r="S214" s="22"/>
      <c r="T214">
        <f t="shared" si="73"/>
        <v>5000</v>
      </c>
      <c r="U214">
        <f t="shared" si="74"/>
        <v>0</v>
      </c>
      <c r="V214">
        <f t="shared" si="75"/>
        <v>0</v>
      </c>
      <c r="W214">
        <f t="shared" si="76"/>
        <v>0</v>
      </c>
      <c r="X214">
        <f t="shared" si="77"/>
        <v>0</v>
      </c>
      <c r="Y214">
        <f t="shared" si="78"/>
        <v>0</v>
      </c>
      <c r="Z214">
        <f t="shared" si="79"/>
        <v>0</v>
      </c>
      <c r="AA214">
        <f t="shared" si="80"/>
        <v>0</v>
      </c>
      <c r="AB214">
        <f t="shared" si="81"/>
        <v>0</v>
      </c>
      <c r="AC214">
        <f t="shared" si="82"/>
        <v>0</v>
      </c>
      <c r="AD214">
        <f t="shared" si="83"/>
        <v>0</v>
      </c>
      <c r="AE214">
        <f t="shared" si="84"/>
        <v>0</v>
      </c>
      <c r="AF214">
        <f t="shared" si="85"/>
        <v>1500</v>
      </c>
      <c r="AH214" s="3">
        <f t="shared" si="86"/>
        <v>5000</v>
      </c>
      <c r="AI214" s="3">
        <f t="shared" si="87"/>
        <v>0</v>
      </c>
      <c r="AJ214" s="3">
        <f t="shared" si="88"/>
        <v>0</v>
      </c>
      <c r="AK214" s="3">
        <f t="shared" si="89"/>
        <v>0</v>
      </c>
      <c r="AL214" s="3">
        <f t="shared" si="90"/>
        <v>0</v>
      </c>
      <c r="AM214" s="3">
        <f t="shared" si="91"/>
        <v>0</v>
      </c>
      <c r="AN214" s="3">
        <f t="shared" si="92"/>
        <v>0</v>
      </c>
      <c r="AO214" s="3">
        <f t="shared" si="93"/>
        <v>0</v>
      </c>
      <c r="AP214" s="3">
        <f t="shared" si="94"/>
        <v>0</v>
      </c>
      <c r="AQ214" s="3">
        <f t="shared" si="95"/>
        <v>0</v>
      </c>
      <c r="AR214" s="3">
        <f t="shared" si="96"/>
        <v>0</v>
      </c>
      <c r="AS214" s="3">
        <f t="shared" si="97"/>
        <v>0</v>
      </c>
      <c r="AT214" s="3">
        <f t="shared" si="98"/>
        <v>1500</v>
      </c>
    </row>
    <row r="215" spans="1:46">
      <c r="A215" s="35">
        <v>9350</v>
      </c>
      <c r="B215" s="37" t="s">
        <v>381</v>
      </c>
      <c r="C215" s="38" t="s">
        <v>240</v>
      </c>
      <c r="D215" s="39">
        <f>VLOOKUP(C215,定义数据!$B$2:$C$7,2,0)</f>
        <v>5</v>
      </c>
      <c r="E215" s="41">
        <v>8150</v>
      </c>
      <c r="F215" s="3">
        <v>0.3</v>
      </c>
      <c r="G215" s="3">
        <v>0.3</v>
      </c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22"/>
      <c r="T215">
        <f t="shared" si="73"/>
        <v>15000</v>
      </c>
      <c r="U215">
        <f t="shared" si="74"/>
        <v>600</v>
      </c>
      <c r="V215">
        <f t="shared" si="75"/>
        <v>0</v>
      </c>
      <c r="W215">
        <f t="shared" si="76"/>
        <v>0</v>
      </c>
      <c r="X215">
        <f t="shared" si="77"/>
        <v>0</v>
      </c>
      <c r="Y215">
        <f t="shared" si="78"/>
        <v>0</v>
      </c>
      <c r="Z215">
        <f t="shared" si="79"/>
        <v>0</v>
      </c>
      <c r="AA215">
        <f t="shared" si="80"/>
        <v>0</v>
      </c>
      <c r="AB215">
        <f t="shared" si="81"/>
        <v>0</v>
      </c>
      <c r="AC215">
        <f t="shared" si="82"/>
        <v>0</v>
      </c>
      <c r="AD215">
        <f t="shared" si="83"/>
        <v>0</v>
      </c>
      <c r="AE215">
        <f t="shared" si="84"/>
        <v>0</v>
      </c>
      <c r="AF215">
        <f t="shared" si="85"/>
        <v>0</v>
      </c>
      <c r="AH215" s="3">
        <f t="shared" si="86"/>
        <v>15000</v>
      </c>
      <c r="AI215" s="3">
        <f t="shared" si="87"/>
        <v>600</v>
      </c>
      <c r="AJ215" s="3">
        <f t="shared" si="88"/>
        <v>0</v>
      </c>
      <c r="AK215" s="3">
        <f t="shared" si="89"/>
        <v>0</v>
      </c>
      <c r="AL215" s="3">
        <f t="shared" si="90"/>
        <v>0</v>
      </c>
      <c r="AM215" s="3">
        <f t="shared" si="91"/>
        <v>0</v>
      </c>
      <c r="AN215" s="3">
        <f t="shared" si="92"/>
        <v>0</v>
      </c>
      <c r="AO215" s="3">
        <f t="shared" si="93"/>
        <v>0</v>
      </c>
      <c r="AP215" s="3">
        <f t="shared" si="94"/>
        <v>0</v>
      </c>
      <c r="AQ215" s="3">
        <f t="shared" si="95"/>
        <v>0</v>
      </c>
      <c r="AR215" s="3">
        <f t="shared" si="96"/>
        <v>0</v>
      </c>
      <c r="AS215" s="3">
        <f t="shared" si="97"/>
        <v>0</v>
      </c>
      <c r="AT215" s="3">
        <f t="shared" si="98"/>
        <v>0</v>
      </c>
    </row>
    <row r="216" spans="1:46">
      <c r="A216" s="39">
        <v>9450</v>
      </c>
      <c r="B216" s="40" t="s">
        <v>364</v>
      </c>
      <c r="C216" s="38" t="s">
        <v>240</v>
      </c>
      <c r="D216" s="39">
        <f>VLOOKUP(C216,定义数据!$B$2:$C$7,2,0)</f>
        <v>5</v>
      </c>
      <c r="E216" s="41">
        <v>8250</v>
      </c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22"/>
      <c r="T216">
        <f t="shared" si="73"/>
        <v>0</v>
      </c>
      <c r="U216">
        <f t="shared" si="74"/>
        <v>0</v>
      </c>
      <c r="V216">
        <f t="shared" si="75"/>
        <v>0</v>
      </c>
      <c r="W216">
        <f t="shared" si="76"/>
        <v>0</v>
      </c>
      <c r="X216">
        <f t="shared" si="77"/>
        <v>0</v>
      </c>
      <c r="Y216">
        <f t="shared" si="78"/>
        <v>0</v>
      </c>
      <c r="Z216">
        <f t="shared" si="79"/>
        <v>0</v>
      </c>
      <c r="AA216">
        <f t="shared" si="80"/>
        <v>0</v>
      </c>
      <c r="AB216">
        <f t="shared" si="81"/>
        <v>0</v>
      </c>
      <c r="AC216">
        <f t="shared" si="82"/>
        <v>0</v>
      </c>
      <c r="AD216">
        <f t="shared" si="83"/>
        <v>0</v>
      </c>
      <c r="AE216">
        <f t="shared" si="84"/>
        <v>0</v>
      </c>
      <c r="AF216">
        <f t="shared" si="85"/>
        <v>0</v>
      </c>
      <c r="AH216" s="3">
        <f t="shared" si="86"/>
        <v>0</v>
      </c>
      <c r="AI216" s="3">
        <f t="shared" si="87"/>
        <v>0</v>
      </c>
      <c r="AJ216" s="3">
        <f t="shared" si="88"/>
        <v>0</v>
      </c>
      <c r="AK216" s="3">
        <f t="shared" si="89"/>
        <v>0</v>
      </c>
      <c r="AL216" s="3">
        <f t="shared" si="90"/>
        <v>0</v>
      </c>
      <c r="AM216" s="3">
        <f t="shared" si="91"/>
        <v>0</v>
      </c>
      <c r="AN216" s="3">
        <f t="shared" si="92"/>
        <v>0</v>
      </c>
      <c r="AO216" s="3">
        <f t="shared" si="93"/>
        <v>0</v>
      </c>
      <c r="AP216" s="3">
        <f t="shared" si="94"/>
        <v>0</v>
      </c>
      <c r="AQ216" s="3">
        <f t="shared" si="95"/>
        <v>0</v>
      </c>
      <c r="AR216" s="3">
        <f t="shared" si="96"/>
        <v>0</v>
      </c>
      <c r="AS216" s="3">
        <f t="shared" si="97"/>
        <v>0</v>
      </c>
      <c r="AT216" s="3">
        <f t="shared" si="98"/>
        <v>0</v>
      </c>
    </row>
    <row r="217" spans="1:46">
      <c r="A217" s="39">
        <v>9550</v>
      </c>
      <c r="B217" s="40" t="s">
        <v>365</v>
      </c>
      <c r="C217" s="38" t="s">
        <v>240</v>
      </c>
      <c r="D217" s="39">
        <f>VLOOKUP(C217,定义数据!$B$2:$C$7,2,0)</f>
        <v>5</v>
      </c>
      <c r="E217" s="41">
        <v>8350</v>
      </c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22"/>
      <c r="T217">
        <f t="shared" si="73"/>
        <v>0</v>
      </c>
      <c r="U217">
        <f t="shared" si="74"/>
        <v>0</v>
      </c>
      <c r="V217">
        <f t="shared" si="75"/>
        <v>0</v>
      </c>
      <c r="W217">
        <f t="shared" si="76"/>
        <v>0</v>
      </c>
      <c r="X217">
        <f t="shared" si="77"/>
        <v>0</v>
      </c>
      <c r="Y217">
        <f t="shared" si="78"/>
        <v>0</v>
      </c>
      <c r="Z217">
        <f t="shared" si="79"/>
        <v>0</v>
      </c>
      <c r="AA217">
        <f t="shared" si="80"/>
        <v>0</v>
      </c>
      <c r="AB217">
        <f t="shared" si="81"/>
        <v>0</v>
      </c>
      <c r="AC217">
        <f t="shared" si="82"/>
        <v>0</v>
      </c>
      <c r="AD217">
        <f t="shared" si="83"/>
        <v>0</v>
      </c>
      <c r="AE217">
        <f t="shared" si="84"/>
        <v>0</v>
      </c>
      <c r="AF217">
        <f t="shared" si="85"/>
        <v>0</v>
      </c>
      <c r="AH217" s="3">
        <f t="shared" si="86"/>
        <v>0</v>
      </c>
      <c r="AI217" s="3">
        <f t="shared" si="87"/>
        <v>0</v>
      </c>
      <c r="AJ217" s="3">
        <f t="shared" si="88"/>
        <v>0</v>
      </c>
      <c r="AK217" s="3">
        <f t="shared" si="89"/>
        <v>0</v>
      </c>
      <c r="AL217" s="3">
        <f t="shared" si="90"/>
        <v>0</v>
      </c>
      <c r="AM217" s="3">
        <f t="shared" si="91"/>
        <v>0</v>
      </c>
      <c r="AN217" s="3">
        <f t="shared" si="92"/>
        <v>0</v>
      </c>
      <c r="AO217" s="3">
        <f t="shared" si="93"/>
        <v>0</v>
      </c>
      <c r="AP217" s="3">
        <f t="shared" si="94"/>
        <v>0</v>
      </c>
      <c r="AQ217" s="3">
        <f t="shared" si="95"/>
        <v>0</v>
      </c>
      <c r="AR217" s="3">
        <f t="shared" si="96"/>
        <v>0</v>
      </c>
      <c r="AS217" s="3">
        <f t="shared" si="97"/>
        <v>0</v>
      </c>
      <c r="AT217" s="3">
        <f t="shared" si="98"/>
        <v>0</v>
      </c>
    </row>
    <row r="218" spans="1:46">
      <c r="A218" s="28">
        <v>9650</v>
      </c>
      <c r="B218" s="29" t="s">
        <v>382</v>
      </c>
      <c r="C218" s="30" t="s">
        <v>240</v>
      </c>
      <c r="D218" s="28">
        <f>VLOOKUP(C218,定义数据!$B$2:$C$7,2,0)</f>
        <v>5</v>
      </c>
      <c r="E218" s="30">
        <v>8450</v>
      </c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22"/>
      <c r="T218">
        <f t="shared" si="73"/>
        <v>0</v>
      </c>
      <c r="U218">
        <f t="shared" si="74"/>
        <v>0</v>
      </c>
      <c r="V218">
        <f t="shared" si="75"/>
        <v>0</v>
      </c>
      <c r="W218">
        <f t="shared" si="76"/>
        <v>0</v>
      </c>
      <c r="X218">
        <f t="shared" si="77"/>
        <v>0</v>
      </c>
      <c r="Y218">
        <f t="shared" si="78"/>
        <v>0</v>
      </c>
      <c r="Z218">
        <f t="shared" si="79"/>
        <v>0</v>
      </c>
      <c r="AA218">
        <f t="shared" si="80"/>
        <v>0</v>
      </c>
      <c r="AB218">
        <f t="shared" si="81"/>
        <v>0</v>
      </c>
      <c r="AC218">
        <f t="shared" si="82"/>
        <v>0</v>
      </c>
      <c r="AD218">
        <f t="shared" si="83"/>
        <v>0</v>
      </c>
      <c r="AE218">
        <f t="shared" si="84"/>
        <v>0</v>
      </c>
      <c r="AF218">
        <f t="shared" si="85"/>
        <v>0</v>
      </c>
      <c r="AH218" s="3">
        <f t="shared" si="86"/>
        <v>0</v>
      </c>
      <c r="AI218" s="3">
        <f t="shared" si="87"/>
        <v>0</v>
      </c>
      <c r="AJ218" s="3">
        <f t="shared" si="88"/>
        <v>0</v>
      </c>
      <c r="AK218" s="3">
        <f t="shared" si="89"/>
        <v>0</v>
      </c>
      <c r="AL218" s="3">
        <f t="shared" si="90"/>
        <v>0</v>
      </c>
      <c r="AM218" s="3">
        <f t="shared" si="91"/>
        <v>0</v>
      </c>
      <c r="AN218" s="3">
        <f t="shared" si="92"/>
        <v>0</v>
      </c>
      <c r="AO218" s="3">
        <f t="shared" si="93"/>
        <v>0</v>
      </c>
      <c r="AP218" s="3">
        <f t="shared" si="94"/>
        <v>0</v>
      </c>
      <c r="AQ218" s="3">
        <f t="shared" si="95"/>
        <v>0</v>
      </c>
      <c r="AR218" s="3">
        <f t="shared" si="96"/>
        <v>0</v>
      </c>
      <c r="AS218" s="3">
        <f t="shared" si="97"/>
        <v>0</v>
      </c>
      <c r="AT218" s="3">
        <f t="shared" si="98"/>
        <v>0</v>
      </c>
    </row>
    <row r="219" spans="1:46">
      <c r="A219" s="28">
        <v>9750</v>
      </c>
      <c r="B219" s="29" t="s">
        <v>383</v>
      </c>
      <c r="C219" s="30" t="s">
        <v>240</v>
      </c>
      <c r="D219" s="28">
        <f>VLOOKUP(C219,定义数据!$B$2:$C$7,2,0)</f>
        <v>5</v>
      </c>
      <c r="E219" s="30">
        <v>8150</v>
      </c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22"/>
      <c r="T219">
        <f t="shared" si="73"/>
        <v>0</v>
      </c>
      <c r="U219">
        <f t="shared" si="74"/>
        <v>0</v>
      </c>
      <c r="V219">
        <f t="shared" si="75"/>
        <v>0</v>
      </c>
      <c r="W219">
        <f t="shared" si="76"/>
        <v>0</v>
      </c>
      <c r="X219">
        <f t="shared" si="77"/>
        <v>0</v>
      </c>
      <c r="Y219">
        <f t="shared" si="78"/>
        <v>0</v>
      </c>
      <c r="Z219">
        <f t="shared" si="79"/>
        <v>0</v>
      </c>
      <c r="AA219">
        <f t="shared" si="80"/>
        <v>0</v>
      </c>
      <c r="AB219">
        <f t="shared" si="81"/>
        <v>0</v>
      </c>
      <c r="AC219">
        <f t="shared" si="82"/>
        <v>0</v>
      </c>
      <c r="AD219">
        <f t="shared" si="83"/>
        <v>0</v>
      </c>
      <c r="AE219">
        <f t="shared" si="84"/>
        <v>0</v>
      </c>
      <c r="AF219">
        <f t="shared" si="85"/>
        <v>0</v>
      </c>
      <c r="AH219" s="3">
        <f t="shared" si="86"/>
        <v>0</v>
      </c>
      <c r="AI219" s="3">
        <f t="shared" si="87"/>
        <v>0</v>
      </c>
      <c r="AJ219" s="3">
        <f t="shared" si="88"/>
        <v>0</v>
      </c>
      <c r="AK219" s="3">
        <f t="shared" si="89"/>
        <v>0</v>
      </c>
      <c r="AL219" s="3">
        <f t="shared" si="90"/>
        <v>0</v>
      </c>
      <c r="AM219" s="3">
        <f t="shared" si="91"/>
        <v>0</v>
      </c>
      <c r="AN219" s="3">
        <f t="shared" si="92"/>
        <v>0</v>
      </c>
      <c r="AO219" s="3">
        <f t="shared" si="93"/>
        <v>0</v>
      </c>
      <c r="AP219" s="3">
        <f t="shared" si="94"/>
        <v>0</v>
      </c>
      <c r="AQ219" s="3">
        <f t="shared" si="95"/>
        <v>0</v>
      </c>
      <c r="AR219" s="3">
        <f t="shared" si="96"/>
        <v>0</v>
      </c>
      <c r="AS219" s="3">
        <f t="shared" si="97"/>
        <v>0</v>
      </c>
      <c r="AT219" s="3">
        <f t="shared" si="98"/>
        <v>0</v>
      </c>
    </row>
    <row r="220" spans="1:46">
      <c r="A220" s="28">
        <v>9850</v>
      </c>
      <c r="B220" s="29" t="s">
        <v>384</v>
      </c>
      <c r="C220" s="30" t="s">
        <v>240</v>
      </c>
      <c r="D220" s="28">
        <f>VLOOKUP(C220,定义数据!$B$2:$C$7,2,0)</f>
        <v>5</v>
      </c>
      <c r="E220" s="30">
        <v>8250</v>
      </c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22"/>
      <c r="T220">
        <f t="shared" si="73"/>
        <v>0</v>
      </c>
      <c r="U220">
        <f t="shared" si="74"/>
        <v>0</v>
      </c>
      <c r="V220">
        <f t="shared" si="75"/>
        <v>0</v>
      </c>
      <c r="W220">
        <f t="shared" si="76"/>
        <v>0</v>
      </c>
      <c r="X220">
        <f t="shared" si="77"/>
        <v>0</v>
      </c>
      <c r="Y220">
        <f t="shared" si="78"/>
        <v>0</v>
      </c>
      <c r="Z220">
        <f t="shared" si="79"/>
        <v>0</v>
      </c>
      <c r="AA220">
        <f t="shared" si="80"/>
        <v>0</v>
      </c>
      <c r="AB220">
        <f t="shared" si="81"/>
        <v>0</v>
      </c>
      <c r="AC220">
        <f t="shared" si="82"/>
        <v>0</v>
      </c>
      <c r="AD220">
        <f t="shared" si="83"/>
        <v>0</v>
      </c>
      <c r="AE220">
        <f t="shared" si="84"/>
        <v>0</v>
      </c>
      <c r="AF220">
        <f t="shared" si="85"/>
        <v>0</v>
      </c>
      <c r="AH220" s="3">
        <f t="shared" si="86"/>
        <v>0</v>
      </c>
      <c r="AI220" s="3">
        <f t="shared" si="87"/>
        <v>0</v>
      </c>
      <c r="AJ220" s="3">
        <f t="shared" si="88"/>
        <v>0</v>
      </c>
      <c r="AK220" s="3">
        <f t="shared" si="89"/>
        <v>0</v>
      </c>
      <c r="AL220" s="3">
        <f t="shared" si="90"/>
        <v>0</v>
      </c>
      <c r="AM220" s="3">
        <f t="shared" si="91"/>
        <v>0</v>
      </c>
      <c r="AN220" s="3">
        <f t="shared" si="92"/>
        <v>0</v>
      </c>
      <c r="AO220" s="3">
        <f t="shared" si="93"/>
        <v>0</v>
      </c>
      <c r="AP220" s="3">
        <f t="shared" si="94"/>
        <v>0</v>
      </c>
      <c r="AQ220" s="3">
        <f t="shared" si="95"/>
        <v>0</v>
      </c>
      <c r="AR220" s="3">
        <f t="shared" si="96"/>
        <v>0</v>
      </c>
      <c r="AS220" s="3">
        <f t="shared" si="97"/>
        <v>0</v>
      </c>
      <c r="AT220" s="3">
        <f t="shared" si="98"/>
        <v>0</v>
      </c>
    </row>
  </sheetData>
  <phoneticPr fontId="1" type="noConversion"/>
  <conditionalFormatting sqref="T3:T10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{DA97DA17-EF43-4A6A-BC61-E42E9FD5CE41}</x14:id>
        </ext>
      </extLst>
    </cfRule>
  </conditionalFormatting>
  <conditionalFormatting sqref="S3:S10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{7437BD58-4751-4124-A8BA-984FFD539F98}</x14:id>
        </ext>
      </extLst>
    </cfRule>
  </conditionalFormatting>
  <conditionalFormatting sqref="V3:V10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{0356ACAC-07C7-4DA2-92AA-497631913D3C}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97DA17-EF43-4A6A-BC61-E42E9FD5CE4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T3:T10</xm:sqref>
        </x14:conditionalFormatting>
        <x14:conditionalFormatting xmlns:xm="http://schemas.microsoft.com/office/excel/2006/main">
          <x14:cfRule type="dataBar" id="{7437BD58-4751-4124-A8BA-984FFD539F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S3:S10</xm:sqref>
        </x14:conditionalFormatting>
        <x14:conditionalFormatting xmlns:xm="http://schemas.microsoft.com/office/excel/2006/main">
          <x14:cfRule type="dataBar" id="{0356ACAC-07C7-4DA2-92AA-497631913D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V3:V10</xm:sqref>
        </x14:conditionalFormatting>
        <x14:conditionalFormatting xmlns:xm="http://schemas.microsoft.com/office/excel/2006/main">
          <x14:cfRule type="expression" priority="332" id="{10C1F25E-C10A-4D39-8431-44D490BD1B76}">
            <xm:f>$C94=定义数据!$B$7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333" id="{B21ECEBE-FCEB-43B7-8DA7-C95567E9D15D}">
            <xm:f>$C94=定义数据!$B$6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334" id="{E5A0ECF4-BD4F-4852-85E4-2D454A2FF120}">
            <xm:f>$C94=定义数据!$B$5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335" id="{F16A83DD-D769-4A45-A406-8B82E024A1F1}">
            <xm:f>$C94=定义数据!$B$4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336" id="{966D84DB-7184-4F2C-A48B-4D90FE8810EF}">
            <xm:f>$C94=定义数据!$B$3</xm:f>
            <x14:dxf>
              <fill>
                <patternFill>
                  <bgColor rgb="FF00B050"/>
                </patternFill>
              </fill>
            </x14:dxf>
          </x14:cfRule>
          <xm:sqref>B153 B94:C130 I143:J152 B132:D152 D124:D130 S129:S130 F135:J141 K135:L152 D94:Y94 A94 D97:L111 N135:S152 M97:M152 D95:S96 A131 F124:L124 N97:S128 C131:E131 F129:L131 N129:R134 G148:H149 F142 H142:J142 D117:L123 T95:Y152 H112:L116 H125:H128 G147 H143:H147 D112:F116</xm:sqref>
        </x14:conditionalFormatting>
        <x14:conditionalFormatting xmlns:xm="http://schemas.microsoft.com/office/excel/2006/main">
          <x14:cfRule type="expression" priority="284" id="{0F4576C7-B56E-40B4-A0D8-912D9A878D5F}">
            <xm:f>$C131=定义数据!$B$7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285" id="{6C7E73CF-0290-47B6-AC11-C8C4DF64A896}">
            <xm:f>$C131=定义数据!$B$6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86" id="{C3FB26FD-9AFE-4C16-9652-F6C87F72C3D1}">
            <xm:f>$C131=定义数据!$B$5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287" id="{DD0D3846-9CA8-438B-99BE-0BDC452E22EA}">
            <xm:f>$C131=定义数据!$B$4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288" id="{3C8B0064-CA4A-472D-82C0-DA9761C745A0}">
            <xm:f>$C131=定义数据!$B$3</xm:f>
            <x14:dxf>
              <fill>
                <patternFill>
                  <bgColor rgb="FF00B050"/>
                </patternFill>
              </fill>
            </x14:dxf>
          </x14:cfRule>
          <xm:sqref>B131</xm:sqref>
        </x14:conditionalFormatting>
        <x14:conditionalFormatting xmlns:xm="http://schemas.microsoft.com/office/excel/2006/main">
          <x14:cfRule type="expression" priority="342" id="{E1B46C46-6BAA-4668-B5E0-AEF10B667484}">
            <xm:f>#REF!=定义数据!$B$7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343" id="{F607B469-7035-4083-9E19-742A162295F5}">
            <xm:f>#REF!=定义数据!$B$6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344" id="{3A59D10F-470E-47A8-A63B-63DD874AD87A}">
            <xm:f>#REF!=定义数据!$B$5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345" id="{F3ADC570-A209-4578-8BBA-F0238C173D6B}">
            <xm:f>#REF!=定义数据!$B$4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346" id="{2E8594C9-D6BB-4DF6-B902-F8B25CC13CFC}">
            <xm:f>#REF!=定义数据!$B$3</xm:f>
            <x14:dxf>
              <fill>
                <patternFill>
                  <bgColor rgb="FF00B050"/>
                </patternFill>
              </fill>
            </x14:dxf>
          </x14:cfRule>
          <xm:sqref>B154</xm:sqref>
        </x14:conditionalFormatting>
        <x14:conditionalFormatting xmlns:xm="http://schemas.microsoft.com/office/excel/2006/main">
          <x14:cfRule type="expression" priority="159" id="{4F7CC635-0712-4CD1-A6BD-F7616CF9075C}">
            <xm:f>$C95=定义数据!$B$7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160" id="{2DED9BC6-1656-44CD-8BD0-39F7CEF03A8D}">
            <xm:f>$C95=定义数据!$B$6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61" id="{37EA3856-B4EB-4A56-BC07-00598A569201}">
            <xm:f>$C95=定义数据!$B$5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162" id="{BDD07857-1046-480E-A373-82D29F062A64}">
            <xm:f>$C95=定义数据!$B$4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163" id="{787D12E7-6635-4306-8B08-09EB3DEB4928}">
            <xm:f>$C95=定义数据!$B$3</xm:f>
            <x14:dxf>
              <fill>
                <patternFill>
                  <bgColor rgb="FF00B050"/>
                </patternFill>
              </fill>
            </x14:dxf>
          </x14:cfRule>
          <xm:sqref>C94</xm:sqref>
        </x14:conditionalFormatting>
        <x14:conditionalFormatting xmlns:xm="http://schemas.microsoft.com/office/excel/2006/main">
          <x14:cfRule type="expression" priority="254" id="{DDF370C1-63B0-4163-AC8F-00C4C5003E9A}">
            <xm:f>$C135=定义数据!$B$7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255" id="{F8DCDA4C-EA2A-494B-954F-F805332F15D2}">
            <xm:f>$C135=定义数据!$B$6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56" id="{38CBAF88-095C-4736-9B8A-F2CAFA72831C}">
            <xm:f>$C135=定义数据!$B$5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257" id="{CFD91EE3-69A9-482E-A4E7-5D3F28D2CAE1}">
            <xm:f>$C135=定义数据!$B$4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258" id="{BCD61F09-7142-4786-836E-5DDF073C1142}">
            <xm:f>$C135=定义数据!$B$3</xm:f>
            <x14:dxf>
              <fill>
                <patternFill>
                  <bgColor rgb="FF00B050"/>
                </patternFill>
              </fill>
            </x14:dxf>
          </x14:cfRule>
          <xm:sqref>E135:E141</xm:sqref>
        </x14:conditionalFormatting>
        <x14:conditionalFormatting xmlns:xm="http://schemas.microsoft.com/office/excel/2006/main">
          <x14:cfRule type="expression" priority="199" id="{7758E8ED-05C6-47A9-9622-8D1E706D89B0}">
            <xm:f>$C129=定义数据!$B$7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200" id="{45C7E011-6BA4-4987-A2F6-FE832F1CCCF8}">
            <xm:f>$C129=定义数据!$B$6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01" id="{9B8A8775-1504-4C79-B519-6F8B1F44D0F0}">
            <xm:f>$C129=定义数据!$B$5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202" id="{A206174C-0867-4DE7-B265-702F0BE4DDE3}">
            <xm:f>$C129=定义数据!$B$4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203" id="{D0015EE9-CD70-4BA6-A7AA-3A1E0259F1A7}">
            <xm:f>$C129=定义数据!$B$3</xm:f>
            <x14:dxf>
              <fill>
                <patternFill>
                  <bgColor rgb="FF00B050"/>
                </patternFill>
              </fill>
            </x14:dxf>
          </x14:cfRule>
          <xm:sqref>E129:E130</xm:sqref>
        </x14:conditionalFormatting>
        <x14:conditionalFormatting xmlns:xm="http://schemas.microsoft.com/office/excel/2006/main">
          <x14:cfRule type="expression" priority="79" id="{C29989EA-A559-4CEB-89E8-8F1DF93FBD75}">
            <xm:f>$C147=定义数据!$B$7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80" id="{4C855B15-5783-4988-A621-5A526713F758}">
            <xm:f>$C147=定义数据!$B$6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81" id="{9A39FFAF-A256-4235-A6BF-4BD2F073BDDD}">
            <xm:f>$C147=定义数据!$B$5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82" id="{11C69AC3-8D0A-4422-843A-27349EE7E5A6}">
            <xm:f>$C147=定义数据!$B$4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83" id="{2FF2C45F-3896-4FE8-94E4-198A7C9B52E9}">
            <xm:f>$C147=定义数据!$B$3</xm:f>
            <x14:dxf>
              <fill>
                <patternFill>
                  <bgColor rgb="FF00B050"/>
                </patternFill>
              </fill>
            </x14:dxf>
          </x14:cfRule>
          <xm:sqref>F147:F149</xm:sqref>
        </x14:conditionalFormatting>
        <x14:conditionalFormatting xmlns:xm="http://schemas.microsoft.com/office/excel/2006/main">
          <x14:cfRule type="expression" priority="194" id="{00DB0BC8-3201-4FF2-9A59-028292C73EEF}">
            <xm:f>$C125=定义数据!$B$7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195" id="{B7E48CF8-AE9C-4090-AB9E-D72A65784E46}">
            <xm:f>$C125=定义数据!$B$6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96" id="{031B50F9-E7E9-4E48-A411-B5D67FE1A913}">
            <xm:f>$C125=定义数据!$B$5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197" id="{58BE0F12-B252-4286-A159-8B86459B15E7}">
            <xm:f>$C125=定义数据!$B$4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198" id="{1E88C376-94B0-416F-8E12-14743C9BDC0B}">
            <xm:f>$C125=定义数据!$B$3</xm:f>
            <x14:dxf>
              <fill>
                <patternFill>
                  <bgColor rgb="FF00B050"/>
                </patternFill>
              </fill>
            </x14:dxf>
          </x14:cfRule>
          <xm:sqref>E125:F128 I125:L128</xm:sqref>
        </x14:conditionalFormatting>
        <x14:conditionalFormatting xmlns:xm="http://schemas.microsoft.com/office/excel/2006/main">
          <x14:cfRule type="expression" priority="189" id="{B1375E1D-5454-469E-A44F-E900542727DD}">
            <xm:f>$C131=定义数据!$B$7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190" id="{00B50FDC-E925-4EDE-93CF-CCB858523B22}">
            <xm:f>$C131=定义数据!$B$6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91" id="{0ACC656C-CA64-40AD-B5A5-62AC17D2022A}">
            <xm:f>$C131=定义数据!$B$5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192" id="{3799B1A3-5A95-4E4E-AF0C-B851CCD965DF}">
            <xm:f>$C131=定义数据!$B$4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193" id="{21778EF1-9A94-4498-958A-1E5B61488DA1}">
            <xm:f>$C131=定义数据!$B$3</xm:f>
            <x14:dxf>
              <fill>
                <patternFill>
                  <bgColor rgb="FF00B050"/>
                </patternFill>
              </fill>
            </x14:dxf>
          </x14:cfRule>
          <xm:sqref>S131:S132</xm:sqref>
        </x14:conditionalFormatting>
        <x14:conditionalFormatting xmlns:xm="http://schemas.microsoft.com/office/excel/2006/main">
          <x14:cfRule type="expression" priority="184" id="{5D1E4FDB-00EC-4334-8C98-0DB3E791336B}">
            <xm:f>$C132=定义数据!$B$7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185" id="{3020DF83-4A7A-4820-93BE-4A88748712ED}">
            <xm:f>$C132=定义数据!$B$6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6" id="{FA148284-1367-41DA-8383-FC9B39446E83}">
            <xm:f>$C132=定义数据!$B$5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187" id="{427747D2-8436-4AA0-B9E8-1B1C29CE2E50}">
            <xm:f>$C132=定义数据!$B$4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188" id="{D8DACE8D-749E-4BB8-A2F5-A11A8824D81E}">
            <xm:f>$C132=定义数据!$B$3</xm:f>
            <x14:dxf>
              <fill>
                <patternFill>
                  <bgColor rgb="FF00B050"/>
                </patternFill>
              </fill>
            </x14:dxf>
          </x14:cfRule>
          <xm:sqref>E132:L132</xm:sqref>
        </x14:conditionalFormatting>
        <x14:conditionalFormatting xmlns:xm="http://schemas.microsoft.com/office/excel/2006/main">
          <x14:cfRule type="expression" priority="179" id="{B5277B49-B5C9-47A9-A0BA-A74D407ACA32}">
            <xm:f>$C133=定义数据!$B$7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180" id="{A7BEC4FF-944C-4008-93D4-CB631A6F7056}">
            <xm:f>$C133=定义数据!$B$6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1" id="{8111E5D3-DC12-486B-9A53-C0B447795C24}">
            <xm:f>$C133=定义数据!$B$5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182" id="{95E1DB4F-24C8-4194-AF13-7D128D2D5C91}">
            <xm:f>$C133=定义数据!$B$4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183" id="{AB557440-383C-4E14-814A-4138C81564FF}">
            <xm:f>$C133=定义数据!$B$3</xm:f>
            <x14:dxf>
              <fill>
                <patternFill>
                  <bgColor rgb="FF00B050"/>
                </patternFill>
              </fill>
            </x14:dxf>
          </x14:cfRule>
          <xm:sqref>S133:S134</xm:sqref>
        </x14:conditionalFormatting>
        <x14:conditionalFormatting xmlns:xm="http://schemas.microsoft.com/office/excel/2006/main">
          <x14:cfRule type="expression" priority="174" id="{4B01D29F-0AB6-4903-BA29-C20B4CEDD549}">
            <xm:f>$C133=定义数据!$B$7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175" id="{3E8E2E52-86EA-45A4-A305-E4EE455EC275}">
            <xm:f>$C133=定义数据!$B$6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76" id="{8769641C-D249-491F-811A-CE92FDAA74C8}">
            <xm:f>$C133=定义数据!$B$5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177" id="{3AE8CD0B-B8F0-4081-AF05-02FDDA7DFCF0}">
            <xm:f>$C133=定义数据!$B$4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178" id="{20D77D14-DBCA-4D0B-91B4-7029147F71A7}">
            <xm:f>$C133=定义数据!$B$3</xm:f>
            <x14:dxf>
              <fill>
                <patternFill>
                  <bgColor rgb="FF00B050"/>
                </patternFill>
              </fill>
            </x14:dxf>
          </x14:cfRule>
          <xm:sqref>E133:L134</xm:sqref>
        </x14:conditionalFormatting>
        <x14:conditionalFormatting xmlns:xm="http://schemas.microsoft.com/office/excel/2006/main">
          <x14:cfRule type="expression" priority="89" id="{92D9E081-283F-48B4-B4B1-04CB03C81C5A}">
            <xm:f>$C143=定义数据!$B$7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90" id="{12F5542A-D910-455E-9E17-B56AB1816A5E}">
            <xm:f>$C143=定义数据!$B$6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91" id="{CCAC64FE-6702-4F8F-BE2A-F4725B5B65DD}">
            <xm:f>$C143=定义数据!$B$5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92" id="{077F0F34-1B9A-484B-ABF3-664E8A35B7E9}">
            <xm:f>$C143=定义数据!$B$4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93" id="{9A1396D6-F1A2-4D7C-B354-3CED2ED89641}">
            <xm:f>$C143=定义数据!$B$3</xm:f>
            <x14:dxf>
              <fill>
                <patternFill>
                  <bgColor rgb="FF00B050"/>
                </patternFill>
              </fill>
            </x14:dxf>
          </x14:cfRule>
          <xm:sqref>E143:F146</xm:sqref>
        </x14:conditionalFormatting>
        <x14:conditionalFormatting xmlns:xm="http://schemas.microsoft.com/office/excel/2006/main">
          <x14:cfRule type="expression" priority="84" id="{3005D218-BCA7-4D0B-868D-7676988F846C}">
            <xm:f>$C147=定义数据!$B$7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85" id="{8271CF17-D699-4AB1-9E9F-199478B360CB}">
            <xm:f>$C147=定义数据!$B$6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86" id="{41FFA535-149E-4462-AFB8-28BD3470720E}">
            <xm:f>$C147=定义数据!$B$5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87" id="{DD1DBFE4-D3C8-46B7-B40D-621AD9F3C5D0}">
            <xm:f>$C147=定义数据!$B$4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88" id="{6267B700-6C64-476C-B01B-D8EC9EF1EDBA}">
            <xm:f>$C147=定义数据!$B$3</xm:f>
            <x14:dxf>
              <fill>
                <patternFill>
                  <bgColor rgb="FF00B050"/>
                </patternFill>
              </fill>
            </x14:dxf>
          </x14:cfRule>
          <xm:sqref>E147:E148</xm:sqref>
        </x14:conditionalFormatting>
        <x14:conditionalFormatting xmlns:xm="http://schemas.microsoft.com/office/excel/2006/main">
          <x14:cfRule type="expression" priority="74" id="{D5530760-FEA7-430E-BEC9-896729AC2175}">
            <xm:f>$C149=定义数据!$B$7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75" id="{F52FDDE5-7C89-4E46-A7A0-78522F90618D}">
            <xm:f>$C149=定义数据!$B$6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76" id="{92EBDF0A-F205-4481-BBF3-8B6107DD94D5}">
            <xm:f>$C149=定义数据!$B$5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77" id="{6F0688B0-8CC1-4DF8-9663-613F7C1614A2}">
            <xm:f>$C149=定义数据!$B$4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78" id="{4A7E3E73-5B47-4D92-9398-C0A04CD5A49C}">
            <xm:f>$C149=定义数据!$B$3</xm:f>
            <x14:dxf>
              <fill>
                <patternFill>
                  <bgColor rgb="FF00B050"/>
                </patternFill>
              </fill>
            </x14:dxf>
          </x14:cfRule>
          <xm:sqref>E149</xm:sqref>
        </x14:conditionalFormatting>
        <x14:conditionalFormatting xmlns:xm="http://schemas.microsoft.com/office/excel/2006/main">
          <x14:cfRule type="expression" priority="69" id="{75A06438-D252-4CD8-AC0F-4BB8AAB685F2}">
            <xm:f>$C150=定义数据!$B$7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70" id="{94BE8E94-B86D-40EE-A04A-32D28A0EE496}">
            <xm:f>$C150=定义数据!$B$6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71" id="{5E174618-F73E-461F-905C-E5764D029D00}">
            <xm:f>$C150=定义数据!$B$5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72" id="{6C9C12CA-1071-4532-AB32-DE2ACC7EDFD8}">
            <xm:f>$C150=定义数据!$B$4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73" id="{0AD30898-E876-4E79-B321-C6BA213F5BDF}">
            <xm:f>$C150=定义数据!$B$3</xm:f>
            <x14:dxf>
              <fill>
                <patternFill>
                  <bgColor rgb="FF00B050"/>
                </patternFill>
              </fill>
            </x14:dxf>
          </x14:cfRule>
          <xm:sqref>E150:H150</xm:sqref>
        </x14:conditionalFormatting>
        <x14:conditionalFormatting xmlns:xm="http://schemas.microsoft.com/office/excel/2006/main">
          <x14:cfRule type="expression" priority="64" id="{924ADFEA-6A74-49FD-9353-238163BFF168}">
            <xm:f>$C151=定义数据!$B$7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65" id="{DFF13080-8CB2-45EE-9B42-72065FCC6104}">
            <xm:f>$C151=定义数据!$B$6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66" id="{781692F0-62D5-4EEE-B644-0815A4C250CE}">
            <xm:f>$C151=定义数据!$B$5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67" id="{3314CA45-F8EC-4D8C-ABCD-22C271583837}">
            <xm:f>$C151=定义数据!$B$4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68" id="{B98C4867-B478-4F70-A051-0ED8F17884FD}">
            <xm:f>$C151=定义数据!$B$3</xm:f>
            <x14:dxf>
              <fill>
                <patternFill>
                  <bgColor rgb="FF00B050"/>
                </patternFill>
              </fill>
            </x14:dxf>
          </x14:cfRule>
          <xm:sqref>E151:H152</xm:sqref>
        </x14:conditionalFormatting>
        <x14:conditionalFormatting xmlns:xm="http://schemas.microsoft.com/office/excel/2006/main">
          <x14:cfRule type="expression" priority="59" id="{84080496-0450-4B85-8A6C-132E6C991EEF}">
            <xm:f>$C124=定义数据!$B$7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60" id="{41A59995-9C02-4A8C-9A56-0FBC4A892389}">
            <xm:f>$C124=定义数据!$B$6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61" id="{6CAF0F66-375E-485A-A885-91E74FEDFB28}">
            <xm:f>$C124=定义数据!$B$5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62" id="{5B29E363-2693-4550-AB75-A226849E0FC4}">
            <xm:f>$C124=定义数据!$B$4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63" id="{00903BD5-A424-42B3-8A3C-8B2BBC38E895}">
            <xm:f>$C124=定义数据!$B$3</xm:f>
            <x14:dxf>
              <fill>
                <patternFill>
                  <bgColor rgb="FF00B05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expression" priority="54" id="{B8D549C9-1C5D-4230-B8FB-2208209BEF63}">
            <xm:f>$C142=定义数据!$B$7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55" id="{794B3B14-AC72-476C-B082-45731690C92C}">
            <xm:f>$C142=定义数据!$B$6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56" id="{B38F9FEA-FC91-43EF-9846-E48975B699DE}">
            <xm:f>$C142=定义数据!$B$5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57" id="{C113C409-B9E7-4261-AEFD-AA3432740762}">
            <xm:f>$C142=定义数据!$B$4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58" id="{94A74A56-90EA-4639-9F4A-1CC026357B66}">
            <xm:f>$C142=定义数据!$B$3</xm:f>
            <x14:dxf>
              <fill>
                <patternFill>
                  <bgColor rgb="FF00B050"/>
                </patternFill>
              </fill>
            </x14:dxf>
          </x14:cfRule>
          <xm:sqref>E142</xm:sqref>
        </x14:conditionalFormatting>
        <x14:conditionalFormatting xmlns:xm="http://schemas.microsoft.com/office/excel/2006/main">
          <x14:cfRule type="expression" priority="49" id="{5A99FA15-9FB7-4362-B574-3669DC73B850}">
            <xm:f>$C162=定义数据!$B$7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50" id="{771304A2-7AE7-4817-A4A7-142C3ED75D62}">
            <xm:f>$C162=定义数据!$B$6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51" id="{67D4C92A-4AC4-4328-87B6-A46AFD39C470}">
            <xm:f>$C162=定义数据!$B$5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52" id="{E79219D0-3848-43A1-807F-B3EB42538025}">
            <xm:f>$C162=定义数据!$B$4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53" id="{57470F06-F69E-45A9-A32C-BB132A648FCB}">
            <xm:f>$C162=定义数据!$B$3</xm:f>
            <x14:dxf>
              <fill>
                <patternFill>
                  <bgColor rgb="FF00B050"/>
                </patternFill>
              </fill>
            </x14:dxf>
          </x14:cfRule>
          <xm:sqref>B200:D220 A162 A199 C199:D199 B162:D198</xm:sqref>
        </x14:conditionalFormatting>
        <x14:conditionalFormatting xmlns:xm="http://schemas.microsoft.com/office/excel/2006/main">
          <x14:cfRule type="expression" priority="44" id="{C892B64B-2018-4E85-891D-A77B33654099}">
            <xm:f>$C199=定义数据!$B$7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45" id="{A231F0CA-4BDE-46FF-BCCC-E54EC22A0C08}">
            <xm:f>$C199=定义数据!$B$6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46" id="{BE88C6B0-339D-4EFF-B499-4F1D6403CF70}">
            <xm:f>$C199=定义数据!$B$5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47" id="{2C5268A1-5487-44B3-8914-8764B5849F52}">
            <xm:f>$C199=定义数据!$B$4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48" id="{07FA050A-EEF7-4A21-B706-10AD2174E75F}">
            <xm:f>$C199=定义数据!$B$3</xm:f>
            <x14:dxf>
              <fill>
                <patternFill>
                  <bgColor rgb="FF00B050"/>
                </patternFill>
              </fill>
            </x14:dxf>
          </x14:cfRule>
          <xm:sqref>B199</xm:sqref>
        </x14:conditionalFormatting>
        <x14:conditionalFormatting xmlns:xm="http://schemas.microsoft.com/office/excel/2006/main">
          <x14:cfRule type="expression" priority="39" id="{12D35AC0-512D-40D3-B0C7-D18FB34CC73A}">
            <xm:f>$C163=定义数据!$B$7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40" id="{FA480B36-2CD9-4ADF-9174-36E91A27261E}">
            <xm:f>$C163=定义数据!$B$6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41" id="{A6392256-6BEA-4246-B523-08BA9FBA70F6}">
            <xm:f>$C163=定义数据!$B$5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42" id="{02120772-6511-4EA1-AD88-6AD823AD408D}">
            <xm:f>$C163=定义数据!$B$4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43" id="{1E8492C4-BC7E-4DDF-BA0A-A6DC4B76F975}">
            <xm:f>$C163=定义数据!$B$3</xm:f>
            <x14:dxf>
              <fill>
                <patternFill>
                  <bgColor rgb="FF00B050"/>
                </patternFill>
              </fill>
            </x14:dxf>
          </x14:cfRule>
          <xm:sqref>C162</xm:sqref>
        </x14:conditionalFormatting>
        <x14:conditionalFormatting xmlns:xm="http://schemas.microsoft.com/office/excel/2006/main">
          <x14:cfRule type="expression" priority="34" id="{8B2208EE-E359-4A61-AC9A-A10395CEB55E}">
            <xm:f>$C162=定义数据!$B$7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35" id="{BB2CC7AD-2D80-480B-8F29-104130951D01}">
            <xm:f>$C162=定义数据!$B$6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36" id="{F695F328-2F2F-40D5-B08B-C6973E2FAD6D}">
            <xm:f>$C162=定义数据!$B$5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37" id="{82978095-233A-4BF5-AC1A-B9F60050885A}">
            <xm:f>$C162=定义数据!$B$4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38" id="{D7C33ECB-B1B4-45FE-A54B-C8B91031E3D4}">
            <xm:f>$C162=定义数据!$B$3</xm:f>
            <x14:dxf>
              <fill>
                <patternFill>
                  <bgColor rgb="FF00B050"/>
                </patternFill>
              </fill>
            </x14:dxf>
          </x14:cfRule>
          <xm:sqref>E162:E220</xm:sqref>
        </x14:conditionalFormatting>
        <x14:conditionalFormatting xmlns:xm="http://schemas.microsoft.com/office/excel/2006/main">
          <x14:cfRule type="expression" priority="29" id="{E5104CBF-BB9B-4C10-9EAC-7394F0C7A838}">
            <xm:f>$C125=定义数据!$B$7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30" id="{C44AB0EB-33FF-435F-BC12-3CDE4F0F4B17}">
            <xm:f>$C125=定义数据!$B$6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31" id="{28033313-B9ED-4BC2-9F41-28CE3156E281}">
            <xm:f>$C125=定义数据!$B$5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32" id="{ADAC3F59-CC9C-430C-914C-F8326E148BFA}">
            <xm:f>$C125=定义数据!$B$4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33" id="{FEF4E4F6-2A27-40C1-A07D-7A8BA7402C6C}">
            <xm:f>$C125=定义数据!$B$3</xm:f>
            <x14:dxf>
              <fill>
                <patternFill>
                  <bgColor rgb="FF00B050"/>
                </patternFill>
              </fill>
            </x14:dxf>
          </x14:cfRule>
          <xm:sqref>G125:G128</xm:sqref>
        </x14:conditionalFormatting>
        <x14:conditionalFormatting xmlns:xm="http://schemas.microsoft.com/office/excel/2006/main">
          <x14:cfRule type="expression" priority="19" id="{2F19735D-E53F-484F-96C2-3E85CFE40CED}">
            <xm:f>$C142=定义数据!$B$7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20" id="{29C33E7D-57DA-48E2-940B-1B6AC31FB827}">
            <xm:f>$C142=定义数据!$B$6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1" id="{E67788C1-9C09-4773-ABDA-440E9F837AD4}">
            <xm:f>$C142=定义数据!$B$5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22" id="{E98F925F-A03C-42F3-B35E-6394543E70AD}">
            <xm:f>$C142=定义数据!$B$4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23" id="{4509B828-E0D8-4358-AE71-436EC1906F1F}">
            <xm:f>$C142=定义数据!$B$3</xm:f>
            <x14:dxf>
              <fill>
                <patternFill>
                  <bgColor rgb="FF00B050"/>
                </patternFill>
              </fill>
            </x14:dxf>
          </x14:cfRule>
          <xm:sqref>G142</xm:sqref>
        </x14:conditionalFormatting>
        <x14:conditionalFormatting xmlns:xm="http://schemas.microsoft.com/office/excel/2006/main">
          <x14:cfRule type="expression" priority="14" id="{89DA932C-F484-4BFE-8AE9-ADCE65FF8C35}">
            <xm:f>$C143=定义数据!$B$7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15" id="{2380EC5E-B4EA-43FB-BE23-7AB959E4F565}">
            <xm:f>$C143=定义数据!$B$6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6" id="{60A2B01D-0551-4DA4-8C13-A592919F4D54}">
            <xm:f>$C143=定义数据!$B$5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17" id="{91D4BB54-C28A-41BC-BD32-5D31B6EE4406}">
            <xm:f>$C143=定义数据!$B$4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18" id="{B5EBB5A2-7D32-429A-9BF0-CE40FC7DE78B}">
            <xm:f>$C143=定义数据!$B$3</xm:f>
            <x14:dxf>
              <fill>
                <patternFill>
                  <bgColor rgb="FF00B050"/>
                </patternFill>
              </fill>
            </x14:dxf>
          </x14:cfRule>
          <xm:sqref>G143:G146</xm:sqref>
        </x14:conditionalFormatting>
        <x14:conditionalFormatting xmlns:xm="http://schemas.microsoft.com/office/excel/2006/main">
          <x14:cfRule type="expression" priority="9" id="{59B131D9-5D03-413C-B7AE-411CD4282B55}">
            <xm:f>$C112=定义数据!$B$7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10" id="{08DE21B8-3931-4517-9E62-0B56A29217E3}">
            <xm:f>$C112=定义数据!$B$6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1" id="{180F4573-D010-45E1-8DAD-55623378A1A7}">
            <xm:f>$C112=定义数据!$B$5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12" id="{180DD1A9-9FE3-4779-942F-452ADA82886B}">
            <xm:f>$C112=定义数据!$B$4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13" id="{F1C68089-6B70-4955-8ED7-0E257FB6C92B}">
            <xm:f>$C112=定义数据!$B$3</xm:f>
            <x14:dxf>
              <fill>
                <patternFill>
                  <bgColor rgb="FF00B050"/>
                </patternFill>
              </fill>
            </x14:dxf>
          </x14:cfRule>
          <xm:sqref>G112</xm:sqref>
        </x14:conditionalFormatting>
        <x14:conditionalFormatting xmlns:xm="http://schemas.microsoft.com/office/excel/2006/main">
          <x14:cfRule type="expression" priority="4" id="{4BF18322-98CE-49F3-925E-17F5590EAD24}">
            <xm:f>$C113=定义数据!$B$7</xm:f>
            <x14:dxf>
              <fill>
                <patternFill>
                  <bgColor rgb="FFFF0000"/>
                </patternFill>
              </fill>
            </x14:dxf>
          </x14:cfRule>
          <x14:cfRule type="expression" priority="5" id="{2DC02247-A332-4FB0-BFA1-83263C505065}">
            <xm:f>$C113=定义数据!$B$6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6" id="{B1576E03-0ABB-48D8-BCC4-8E0F15681861}">
            <xm:f>$C113=定义数据!$B$5</xm:f>
            <x14:dxf>
              <fill>
                <patternFill>
                  <bgColor rgb="FF7030A0"/>
                </patternFill>
              </fill>
            </x14:dxf>
          </x14:cfRule>
          <x14:cfRule type="expression" priority="7" id="{0B3EBD7D-8A3D-4110-942C-0AEEC8CDA416}">
            <xm:f>$C113=定义数据!$B$4</xm:f>
            <x14:dxf>
              <fill>
                <patternFill>
                  <bgColor rgb="FF00B0F0"/>
                </patternFill>
              </fill>
            </x14:dxf>
          </x14:cfRule>
          <x14:cfRule type="expression" priority="8" id="{1E18F403-57AC-415C-81E2-FD66EC021FF1}">
            <xm:f>$C113=定义数据!$B$3</xm:f>
            <x14:dxf>
              <fill>
                <patternFill>
                  <bgColor rgb="FF00B050"/>
                </patternFill>
              </fill>
            </x14:dxf>
          </x14:cfRule>
          <xm:sqref>G113:G116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定义数据!$C$14:$C$29</xm:f>
          </x14:formula1>
          <xm:sqref>I94:I152 E94:E152 G94:G152</xm:sqref>
        </x14:dataValidation>
        <x14:dataValidation type="list" allowBlank="1" showInputMessage="1" showErrorMessage="1">
          <x14:formula1>
            <xm:f>定义数据!$B$2:$B$7</xm:f>
          </x14:formula1>
          <xm:sqref>C94:C152 C162:C220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J106"/>
  <sheetViews>
    <sheetView workbookViewId="0">
      <pane xSplit="1" ySplit="3" topLeftCell="F4" activePane="bottomRight" state="frozen"/>
      <selection pane="topRight" activeCell="B1" sqref="B1"/>
      <selection pane="bottomLeft" activeCell="A4" sqref="A4"/>
      <selection pane="bottomRight" activeCell="N16" sqref="N16"/>
    </sheetView>
  </sheetViews>
  <sheetFormatPr defaultRowHeight="14.4"/>
  <cols>
    <col min="2" max="2" width="12.77734375" bestFit="1" customWidth="1"/>
  </cols>
  <sheetData>
    <row r="1" spans="1:17">
      <c r="F1" t="s">
        <v>188</v>
      </c>
    </row>
    <row r="2" spans="1:17">
      <c r="A2" t="s">
        <v>102</v>
      </c>
      <c r="B2">
        <v>100</v>
      </c>
      <c r="F2">
        <v>1</v>
      </c>
      <c r="G2">
        <v>2</v>
      </c>
      <c r="H2">
        <v>3</v>
      </c>
      <c r="I2">
        <v>4</v>
      </c>
      <c r="J2">
        <v>5</v>
      </c>
      <c r="L2">
        <v>1</v>
      </c>
      <c r="M2">
        <v>2</v>
      </c>
      <c r="N2">
        <v>3</v>
      </c>
      <c r="O2">
        <v>4</v>
      </c>
      <c r="P2">
        <v>5</v>
      </c>
    </row>
    <row r="3" spans="1:17">
      <c r="A3" t="s">
        <v>89</v>
      </c>
      <c r="B3" t="s">
        <v>104</v>
      </c>
      <c r="C3" t="s">
        <v>103</v>
      </c>
      <c r="D3" t="s">
        <v>105</v>
      </c>
      <c r="F3" s="7" t="s">
        <v>94</v>
      </c>
      <c r="G3" s="7" t="s">
        <v>95</v>
      </c>
      <c r="H3" s="7" t="s">
        <v>96</v>
      </c>
      <c r="I3" s="7" t="s">
        <v>97</v>
      </c>
      <c r="J3" s="7" t="s">
        <v>98</v>
      </c>
      <c r="K3">
        <v>6</v>
      </c>
      <c r="L3" s="7" t="s">
        <v>94</v>
      </c>
      <c r="M3" s="7" t="s">
        <v>95</v>
      </c>
      <c r="N3" s="7" t="s">
        <v>96</v>
      </c>
      <c r="O3" s="7" t="s">
        <v>97</v>
      </c>
      <c r="P3" s="7" t="s">
        <v>98</v>
      </c>
      <c r="Q3" s="21"/>
    </row>
    <row r="4" spans="1:17">
      <c r="A4">
        <v>1</v>
      </c>
      <c r="B4">
        <f>'[2]1、经济推算'!$G3/'[2]1、经济推算'!$G$82</f>
        <v>4.6569672409650042E-5</v>
      </c>
      <c r="C4">
        <f>[1]人物总属性查询表!$C4/[1]人物总属性查询表!$C$83</f>
        <v>1.2261690514902104E-2</v>
      </c>
      <c r="D4">
        <f>C4/B4</f>
        <v>263.2977618361187</v>
      </c>
      <c r="F4">
        <f>INT($C4/定义数据!$K$2*定义数据!$F$3)</f>
        <v>0</v>
      </c>
      <c r="G4">
        <f>INT($C4/定义数据!$K$3*定义数据!$F$3)</f>
        <v>0</v>
      </c>
      <c r="H4">
        <f>INT($C4/定义数据!$K$4*定义数据!$F$3)</f>
        <v>0</v>
      </c>
      <c r="I4">
        <f>INT($C4/定义数据!$K$5*定义数据!$F$3)</f>
        <v>0</v>
      </c>
      <c r="J4">
        <f>INT($C4/定义数据!$K$6*定义数据!$F$3)</f>
        <v>0</v>
      </c>
      <c r="L4" t="str">
        <f>IF(OR(F4&lt;2,F4&gt;10),"",VLOOKUP(数值对比!F4,命格辅助表!$W$77:$AB$87,数值对比!L$2+1,0)*定义数据!$F$2)</f>
        <v/>
      </c>
      <c r="M4" t="str">
        <f>IF(OR(G4&lt;2,G4&gt;10),"",VLOOKUP(数值对比!G4,命格辅助表!$W$77:$AB$87,数值对比!M$2+1,0)*定义数据!$F$2)</f>
        <v/>
      </c>
      <c r="N4" t="str">
        <f>IF(OR(H4&lt;2,H4&gt;10),"",VLOOKUP(数值对比!H4,命格辅助表!$W$77:$AB$87,数值对比!N$2+1,0)*定义数据!$F$2)</f>
        <v/>
      </c>
      <c r="O4" t="str">
        <f>IF(OR(I4&lt;2,I4&gt;10),"",VLOOKUP(数值对比!I4,命格辅助表!$W$77:$AB$87,数值对比!O$2+1,0)*定义数据!$F$2)</f>
        <v/>
      </c>
      <c r="P4" t="str">
        <f>IF(OR(J4&lt;2,J4&gt;10),"",VLOOKUP(数值对比!J4,命格辅助表!$W$77:$AB$87,数值对比!P$2+1,0)*定义数据!$F$2)</f>
        <v/>
      </c>
    </row>
    <row r="5" spans="1:17">
      <c r="A5">
        <v>2</v>
      </c>
      <c r="B5">
        <f>'[2]1、经济推算'!$G4/'[2]1、经济推算'!$G$82</f>
        <v>9.7831661421802655E-5</v>
      </c>
      <c r="C5">
        <f>[1]人物总属性查询表!$C5/[1]人物总属性查询表!$C$83</f>
        <v>1.4283807708825874E-2</v>
      </c>
      <c r="D5">
        <f t="shared" ref="D5:D68" si="0">C5/B5</f>
        <v>146.00393677503877</v>
      </c>
      <c r="F5">
        <f>INT($C5/定义数据!$K$2*定义数据!$F$3)</f>
        <v>1</v>
      </c>
      <c r="G5">
        <f>INT($C5/定义数据!$K$3*定义数据!$F$3)</f>
        <v>0</v>
      </c>
      <c r="H5">
        <f>INT($C5/定义数据!$K$4*定义数据!$F$3)</f>
        <v>0</v>
      </c>
      <c r="I5">
        <f>INT($C5/定义数据!$K$5*定义数据!$F$3)</f>
        <v>0</v>
      </c>
      <c r="J5">
        <f>INT($C5/定义数据!$K$6*定义数据!$F$3)</f>
        <v>0</v>
      </c>
      <c r="L5" t="str">
        <f>IF(OR(F5&lt;2,F5&gt;10),"",VLOOKUP(数值对比!F5,命格辅助表!$W$77:$AB$87,数值对比!L$2+1,0)*定义数据!$F$2)</f>
        <v/>
      </c>
      <c r="M5" t="str">
        <f>IF(OR(G5&lt;2,G5&gt;10),"",VLOOKUP(数值对比!G5,命格辅助表!$W$77:$AB$87,数值对比!M$2+1,0)*定义数据!$F$2)</f>
        <v/>
      </c>
      <c r="N5" t="str">
        <f>IF(OR(H5&lt;2,H5&gt;10),"",VLOOKUP(数值对比!H5,命格辅助表!$W$77:$AB$87,数值对比!N$2+1,0)*定义数据!$F$2)</f>
        <v/>
      </c>
      <c r="O5" t="str">
        <f>IF(OR(I5&lt;2,I5&gt;10),"",VLOOKUP(数值对比!I5,命格辅助表!$W$77:$AB$87,数值对比!O$2+1,0)*定义数据!$F$2)</f>
        <v/>
      </c>
      <c r="P5" t="str">
        <f>IF(OR(J5&lt;2,J5&gt;10),"",VLOOKUP(数值对比!J5,命格辅助表!$W$77:$AB$87,数值对比!P$2+1,0)*定义数据!$F$2)</f>
        <v/>
      </c>
    </row>
    <row r="6" spans="1:17">
      <c r="A6">
        <v>3</v>
      </c>
      <c r="B6">
        <f>'[2]1、经济推算'!$G5/'[2]1、经济推算'!$G$82</f>
        <v>1.542587604652894E-4</v>
      </c>
      <c r="C6">
        <f>[1]人物总属性查询表!$C6/[1]人物总属性查询表!$C$83</f>
        <v>1.6457035470526921E-2</v>
      </c>
      <c r="D6">
        <f t="shared" si="0"/>
        <v>106.68460851680452</v>
      </c>
      <c r="F6">
        <f>INT($C6/定义数据!$K$2*定义数据!$F$3)</f>
        <v>1</v>
      </c>
      <c r="G6">
        <f>INT($C6/定义数据!$K$3*定义数据!$F$3)</f>
        <v>0</v>
      </c>
      <c r="H6">
        <f>INT($C6/定义数据!$K$4*定义数据!$F$3)</f>
        <v>0</v>
      </c>
      <c r="I6">
        <f>INT($C6/定义数据!$K$5*定义数据!$F$3)</f>
        <v>0</v>
      </c>
      <c r="J6">
        <f>INT($C6/定义数据!$K$6*定义数据!$F$3)</f>
        <v>0</v>
      </c>
      <c r="L6" t="str">
        <f>IF(OR(F6&lt;2,F6&gt;10),"",VLOOKUP(数值对比!F6,命格辅助表!$W$77:$AB$87,数值对比!L$2+1,0)*定义数据!$F$2)</f>
        <v/>
      </c>
      <c r="M6" t="str">
        <f>IF(OR(G6&lt;2,G6&gt;10),"",VLOOKUP(数值对比!G6,命格辅助表!$W$77:$AB$87,数值对比!M$2+1,0)*定义数据!$F$2)</f>
        <v/>
      </c>
      <c r="N6" t="str">
        <f>IF(OR(H6&lt;2,H6&gt;10),"",VLOOKUP(数值对比!H6,命格辅助表!$W$77:$AB$87,数值对比!N$2+1,0)*定义数据!$F$2)</f>
        <v/>
      </c>
      <c r="O6" t="str">
        <f>IF(OR(I6&lt;2,I6&gt;10),"",VLOOKUP(数值对比!I6,命格辅助表!$W$77:$AB$87,数值对比!O$2+1,0)*定义数据!$F$2)</f>
        <v/>
      </c>
      <c r="P6" t="str">
        <f>IF(OR(J6&lt;2,J6&gt;10),"",VLOOKUP(数值对比!J6,命格辅助表!$W$77:$AB$87,数值对比!P$2+1,0)*定义数据!$F$2)</f>
        <v/>
      </c>
    </row>
    <row r="7" spans="1:17">
      <c r="A7">
        <v>4</v>
      </c>
      <c r="B7">
        <f>'[2]1、经济推算'!$G6/'[2]1、经济推算'!$G$82</f>
        <v>2.1637140119229342E-4</v>
      </c>
      <c r="C7">
        <f>[1]人物总属性查询表!$C7/[1]人物总属性查询表!$C$83</f>
        <v>1.8781346169565772E-2</v>
      </c>
      <c r="D7">
        <f t="shared" si="0"/>
        <v>86.801426002110276</v>
      </c>
      <c r="F7">
        <f>INT($C7/定义数据!$K$2*定义数据!$F$3)</f>
        <v>1</v>
      </c>
      <c r="G7">
        <f>INT($C7/定义数据!$K$3*定义数据!$F$3)</f>
        <v>0</v>
      </c>
      <c r="H7">
        <f>INT($C7/定义数据!$K$4*定义数据!$F$3)</f>
        <v>0</v>
      </c>
      <c r="I7">
        <f>INT($C7/定义数据!$K$5*定义数据!$F$3)</f>
        <v>0</v>
      </c>
      <c r="J7">
        <f>INT($C7/定义数据!$K$6*定义数据!$F$3)</f>
        <v>0</v>
      </c>
      <c r="L7" t="str">
        <f>IF(OR(F7&lt;2,F7&gt;10),"",VLOOKUP(数值对比!F7,命格辅助表!$W$77:$AB$87,数值对比!L$2+1,0)*定义数据!$F$2)</f>
        <v/>
      </c>
      <c r="M7" t="str">
        <f>IF(OR(G7&lt;2,G7&gt;10),"",VLOOKUP(数值对比!G7,命格辅助表!$W$77:$AB$87,数值对比!M$2+1,0)*定义数据!$F$2)</f>
        <v/>
      </c>
      <c r="N7" t="str">
        <f>IF(OR(H7&lt;2,H7&gt;10),"",VLOOKUP(数值对比!H7,命格辅助表!$W$77:$AB$87,数值对比!N$2+1,0)*定义数据!$F$2)</f>
        <v/>
      </c>
      <c r="O7" t="str">
        <f>IF(OR(I7&lt;2,I7&gt;10),"",VLOOKUP(数值对比!I7,命格辅助表!$W$77:$AB$87,数值对比!O$2+1,0)*定义数据!$F$2)</f>
        <v/>
      </c>
      <c r="P7" t="str">
        <f>IF(OR(J7&lt;2,J7&gt;10),"",VLOOKUP(数值对比!J7,命格辅助表!$W$77:$AB$87,数值对比!P$2+1,0)*定义数据!$F$2)</f>
        <v/>
      </c>
    </row>
    <row r="8" spans="1:17">
      <c r="A8">
        <v>5</v>
      </c>
      <c r="B8">
        <f>'[2]1、经济推算'!$G7/'[2]1、经济推算'!$G$82</f>
        <v>2.8474245346114466E-4</v>
      </c>
      <c r="C8">
        <f>[1]人物总属性查询表!$C8/[1]人物总属性查询表!$C$83</f>
        <v>2.1256712573943817E-2</v>
      </c>
      <c r="D8">
        <f t="shared" si="0"/>
        <v>74.652417704353525</v>
      </c>
      <c r="F8">
        <f>INT($C8/定义数据!$K$2*定义数据!$F$3)</f>
        <v>1</v>
      </c>
      <c r="G8">
        <f>INT($C8/定义数据!$K$3*定义数据!$F$3)</f>
        <v>0</v>
      </c>
      <c r="H8">
        <f>INT($C8/定义数据!$K$4*定义数据!$F$3)</f>
        <v>0</v>
      </c>
      <c r="I8">
        <f>INT($C8/定义数据!$K$5*定义数据!$F$3)</f>
        <v>0</v>
      </c>
      <c r="J8">
        <f>INT($C8/定义数据!$K$6*定义数据!$F$3)</f>
        <v>0</v>
      </c>
      <c r="L8" t="str">
        <f>IF(OR(F8&lt;2,F8&gt;10),"",VLOOKUP(数值对比!F8,命格辅助表!$W$77:$AB$87,数值对比!L$2+1,0)*定义数据!$F$2)</f>
        <v/>
      </c>
      <c r="M8" t="str">
        <f>IF(OR(G8&lt;2,G8&gt;10),"",VLOOKUP(数值对比!G8,命格辅助表!$W$77:$AB$87,数值对比!M$2+1,0)*定义数据!$F$2)</f>
        <v/>
      </c>
      <c r="N8" t="str">
        <f>IF(OR(H8&lt;2,H8&gt;10),"",VLOOKUP(数值对比!H8,命格辅助表!$W$77:$AB$87,数值对比!N$2+1,0)*定义数据!$F$2)</f>
        <v/>
      </c>
      <c r="O8" t="str">
        <f>IF(OR(I8&lt;2,I8&gt;10),"",VLOOKUP(数值对比!I8,命格辅助表!$W$77:$AB$87,数值对比!O$2+1,0)*定义数据!$F$2)</f>
        <v/>
      </c>
      <c r="P8" t="str">
        <f>IF(OR(J8&lt;2,J8&gt;10),"",VLOOKUP(数值对比!J8,命格辅助表!$W$77:$AB$87,数值对比!P$2+1,0)*定义数据!$F$2)</f>
        <v/>
      </c>
    </row>
    <row r="9" spans="1:17">
      <c r="A9">
        <v>6</v>
      </c>
      <c r="B9">
        <f>'[2]1、经济推算'!$G8/'[2]1、经济推算'!$G$82</f>
        <v>3.6000250896088879E-4</v>
      </c>
      <c r="C9">
        <f>[1]人物总属性查询表!$C9/[1]人物总属性查询表!$C$83</f>
        <v>2.3877892194235036E-2</v>
      </c>
      <c r="D9">
        <f t="shared" si="0"/>
        <v>66.327016062071849</v>
      </c>
      <c r="F9">
        <f>INT($C9/定义数据!$K$2*定义数据!$F$3)</f>
        <v>1</v>
      </c>
      <c r="G9">
        <f>INT($C9/定义数据!$K$3*定义数据!$F$3)</f>
        <v>0</v>
      </c>
      <c r="H9">
        <f>INT($C9/定义数据!$K$4*定义数据!$F$3)</f>
        <v>0</v>
      </c>
      <c r="I9">
        <f>INT($C9/定义数据!$K$5*定义数据!$F$3)</f>
        <v>0</v>
      </c>
      <c r="J9">
        <f>INT($C9/定义数据!$K$6*定义数据!$F$3)</f>
        <v>0</v>
      </c>
      <c r="L9" t="str">
        <f>IF(OR(F9&lt;2,F9&gt;10),"",VLOOKUP(数值对比!F9,命格辅助表!$W$77:$AB$87,数值对比!L$2+1,0)*定义数据!$F$2)</f>
        <v/>
      </c>
      <c r="M9" t="str">
        <f>IF(OR(G9&lt;2,G9&gt;10),"",VLOOKUP(数值对比!G9,命格辅助表!$W$77:$AB$87,数值对比!M$2+1,0)*定义数据!$F$2)</f>
        <v/>
      </c>
      <c r="N9" t="str">
        <f>IF(OR(H9&lt;2,H9&gt;10),"",VLOOKUP(数值对比!H9,命格辅助表!$W$77:$AB$87,数值对比!N$2+1,0)*定义数据!$F$2)</f>
        <v/>
      </c>
      <c r="O9" t="str">
        <f>IF(OR(I9&lt;2,I9&gt;10),"",VLOOKUP(数值对比!I9,命格辅助表!$W$77:$AB$87,数值对比!O$2+1,0)*定义数据!$F$2)</f>
        <v/>
      </c>
      <c r="P9" t="str">
        <f>IF(OR(J9&lt;2,J9&gt;10),"",VLOOKUP(数值对比!J9,命格辅助表!$W$77:$AB$87,数值对比!P$2+1,0)*定义数据!$F$2)</f>
        <v/>
      </c>
    </row>
    <row r="10" spans="1:17">
      <c r="A10">
        <v>7</v>
      </c>
      <c r="B10">
        <f>'[2]1、经济推算'!$G9/'[2]1、经济推算'!$G$82</f>
        <v>4.4284569720892198E-4</v>
      </c>
      <c r="C10">
        <f>[1]人物总属性查询表!$C10/[1]人物总属性查询表!$C$83</f>
        <v>2.6652217247257644E-2</v>
      </c>
      <c r="D10">
        <f t="shared" si="0"/>
        <v>60.183981497925423</v>
      </c>
      <c r="F10">
        <f>INT($C10/定义数据!$K$2*定义数据!$F$3)</f>
        <v>1</v>
      </c>
      <c r="G10">
        <f>INT($C10/定义数据!$K$3*定义数据!$F$3)</f>
        <v>1</v>
      </c>
      <c r="H10">
        <f>INT($C10/定义数据!$K$4*定义数据!$F$3)</f>
        <v>0</v>
      </c>
      <c r="I10">
        <f>INT($C10/定义数据!$K$5*定义数据!$F$3)</f>
        <v>0</v>
      </c>
      <c r="J10">
        <f>INT($C10/定义数据!$K$6*定义数据!$F$3)</f>
        <v>0</v>
      </c>
      <c r="L10" t="str">
        <f>IF(OR(F10&lt;2,F10&gt;10),"",VLOOKUP(数值对比!F10,命格辅助表!$W$77:$AB$87,数值对比!L$2+1,0)*定义数据!$F$2)</f>
        <v/>
      </c>
      <c r="M10" t="str">
        <f>IF(OR(G10&lt;2,G10&gt;10),"",VLOOKUP(数值对比!G10,命格辅助表!$W$77:$AB$87,数值对比!M$2+1,0)*定义数据!$F$2)</f>
        <v/>
      </c>
      <c r="N10" t="str">
        <f>IF(OR(H10&lt;2,H10&gt;10),"",VLOOKUP(数值对比!H10,命格辅助表!$W$77:$AB$87,数值对比!N$2+1,0)*定义数据!$F$2)</f>
        <v/>
      </c>
      <c r="O10" t="str">
        <f>IF(OR(I10&lt;2,I10&gt;10),"",VLOOKUP(数值对比!I10,命格辅助表!$W$77:$AB$87,数值对比!O$2+1,0)*定义数据!$F$2)</f>
        <v/>
      </c>
      <c r="P10" t="str">
        <f>IF(OR(J10&lt;2,J10&gt;10),"",VLOOKUP(数值对比!J10,命格辅助表!$W$77:$AB$87,数值对比!P$2+1,0)*定义数据!$F$2)</f>
        <v/>
      </c>
    </row>
    <row r="11" spans="1:17">
      <c r="A11">
        <v>8</v>
      </c>
      <c r="B11">
        <f>'[2]1、经济推算'!$G10/'[2]1、经济推算'!$G$82</f>
        <v>5.3403608756310401E-4</v>
      </c>
      <c r="C11">
        <f>[1]人物总属性查询表!$C11/[1]人物总属性查询表!$C$83</f>
        <v>2.9576482090784263E-2</v>
      </c>
      <c r="D11">
        <f t="shared" si="0"/>
        <v>55.382927820003133</v>
      </c>
      <c r="F11">
        <f>INT($C11/定义数据!$K$2*定义数据!$F$3)</f>
        <v>2</v>
      </c>
      <c r="G11">
        <f>INT($C11/定义数据!$K$3*定义数据!$F$3)</f>
        <v>1</v>
      </c>
      <c r="H11">
        <f>INT($C11/定义数据!$K$4*定义数据!$F$3)</f>
        <v>0</v>
      </c>
      <c r="I11">
        <f>INT($C11/定义数据!$K$5*定义数据!$F$3)</f>
        <v>0</v>
      </c>
      <c r="J11">
        <f>INT($C11/定义数据!$K$6*定义数据!$F$3)</f>
        <v>0</v>
      </c>
      <c r="L11">
        <f>IF(OR(F11&lt;2,F11&gt;10),"",VLOOKUP(数值对比!F11,命格辅助表!$W$77:$AB$87,数值对比!L$2+1,0)*定义数据!$F$2)</f>
        <v>320</v>
      </c>
      <c r="M11" t="str">
        <f>IF(OR(G11&lt;2,G11&gt;10),"",VLOOKUP(数值对比!G11,命格辅助表!$W$77:$AB$87,数值对比!M$2+1,0)*定义数据!$F$2)</f>
        <v/>
      </c>
      <c r="N11" t="str">
        <f>IF(OR(H11&lt;2,H11&gt;10),"",VLOOKUP(数值对比!H11,命格辅助表!$W$77:$AB$87,数值对比!N$2+1,0)*定义数据!$F$2)</f>
        <v/>
      </c>
      <c r="O11" t="str">
        <f>IF(OR(I11&lt;2,I11&gt;10),"",VLOOKUP(数值对比!I11,命格辅助表!$W$77:$AB$87,数值对比!O$2+1,0)*定义数据!$F$2)</f>
        <v/>
      </c>
      <c r="P11" t="str">
        <f>IF(OR(J11&lt;2,J11&gt;10),"",VLOOKUP(数值对比!J11,命格辅助表!$W$77:$AB$87,数值对比!P$2+1,0)*定义数据!$F$2)</f>
        <v/>
      </c>
    </row>
    <row r="12" spans="1:17">
      <c r="A12">
        <v>9</v>
      </c>
      <c r="B12">
        <f>'[2]1、经济推算'!$G11/'[2]1、经济推算'!$G$82</f>
        <v>6.3441473629461905E-4</v>
      </c>
      <c r="C12">
        <f>[1]人物总属性查询表!$C12/[1]人物总属性查询表!$C$83</f>
        <v>3.2646243024142374E-2</v>
      </c>
      <c r="D12">
        <f t="shared" si="0"/>
        <v>51.458834665185996</v>
      </c>
      <c r="F12">
        <f>INT($C12/定义数据!$K$2*定义数据!$F$3)</f>
        <v>2</v>
      </c>
      <c r="G12">
        <f>INT($C12/定义数据!$K$3*定义数据!$F$3)</f>
        <v>1</v>
      </c>
      <c r="H12">
        <f>INT($C12/定义数据!$K$4*定义数据!$F$3)</f>
        <v>0</v>
      </c>
      <c r="I12">
        <f>INT($C12/定义数据!$K$5*定义数据!$F$3)</f>
        <v>0</v>
      </c>
      <c r="J12">
        <f>INT($C12/定义数据!$K$6*定义数据!$F$3)</f>
        <v>0</v>
      </c>
      <c r="L12">
        <f>IF(OR(F12&lt;2,F12&gt;10),"",VLOOKUP(数值对比!F12,命格辅助表!$W$77:$AB$87,数值对比!L$2+1,0)*定义数据!$F$2)</f>
        <v>320</v>
      </c>
      <c r="M12" t="str">
        <f>IF(OR(G12&lt;2,G12&gt;10),"",VLOOKUP(数值对比!G12,命格辅助表!$W$77:$AB$87,数值对比!M$2+1,0)*定义数据!$F$2)</f>
        <v/>
      </c>
      <c r="N12" t="str">
        <f>IF(OR(H12&lt;2,H12&gt;10),"",VLOOKUP(数值对比!H12,命格辅助表!$W$77:$AB$87,数值对比!N$2+1,0)*定义数据!$F$2)</f>
        <v/>
      </c>
      <c r="O12" t="str">
        <f>IF(OR(I12&lt;2,I12&gt;10),"",VLOOKUP(数值对比!I12,命格辅助表!$W$77:$AB$87,数值对比!O$2+1,0)*定义数据!$F$2)</f>
        <v/>
      </c>
      <c r="P12" t="str">
        <f>IF(OR(J12&lt;2,J12&gt;10),"",VLOOKUP(数值对比!J12,命格辅助表!$W$77:$AB$87,数值对比!P$2+1,0)*定义数据!$F$2)</f>
        <v/>
      </c>
    </row>
    <row r="13" spans="1:17">
      <c r="A13">
        <v>10</v>
      </c>
      <c r="B13">
        <f>'[2]1、经济推算'!$G12/'[2]1、经济推算'!$G$82</f>
        <v>7.4490744371730189E-4</v>
      </c>
      <c r="C13">
        <f>[1]人物总属性查询表!$C13/[1]人物总属性查询表!$C$83</f>
        <v>3.5863679861903419E-2</v>
      </c>
      <c r="D13">
        <f t="shared" si="0"/>
        <v>48.145148990501916</v>
      </c>
      <c r="F13">
        <f>INT($C13/定义数据!$K$2*定义数据!$F$3)</f>
        <v>2</v>
      </c>
      <c r="G13">
        <f>INT($C13/定义数据!$K$3*定义数据!$F$3)</f>
        <v>1</v>
      </c>
      <c r="H13">
        <f>INT($C13/定义数据!$K$4*定义数据!$F$3)</f>
        <v>0</v>
      </c>
      <c r="I13">
        <f>INT($C13/定义数据!$K$5*定义数据!$F$3)</f>
        <v>0</v>
      </c>
      <c r="J13">
        <f>INT($C13/定义数据!$K$6*定义数据!$F$3)</f>
        <v>0</v>
      </c>
      <c r="L13">
        <f>IF(OR(F13&lt;2,F13&gt;10),"",VLOOKUP(数值对比!F13,命格辅助表!$W$77:$AB$87,数值对比!L$2+1,0)*定义数据!$F$2)</f>
        <v>320</v>
      </c>
      <c r="M13" t="str">
        <f>IF(OR(G13&lt;2,G13&gt;10),"",VLOOKUP(数值对比!G13,命格辅助表!$W$77:$AB$87,数值对比!M$2+1,0)*定义数据!$F$2)</f>
        <v/>
      </c>
      <c r="N13" t="str">
        <f>IF(OR(H13&lt;2,H13&gt;10),"",VLOOKUP(数值对比!H13,命格辅助表!$W$77:$AB$87,数值对比!N$2+1,0)*定义数据!$F$2)</f>
        <v/>
      </c>
      <c r="O13" t="str">
        <f>IF(OR(I13&lt;2,I13&gt;10),"",VLOOKUP(数值对比!I13,命格辅助表!$W$77:$AB$87,数值对比!O$2+1,0)*定义数据!$F$2)</f>
        <v/>
      </c>
      <c r="P13" t="str">
        <f>IF(OR(J13&lt;2,J13&gt;10),"",VLOOKUP(数值对比!J13,命格辅助表!$W$77:$AB$87,数值对比!P$2+1,0)*定义数据!$F$2)</f>
        <v/>
      </c>
    </row>
    <row r="14" spans="1:17">
      <c r="A14">
        <v>11</v>
      </c>
      <c r="B14">
        <f>'[2]1、经济推算'!$G13/'[2]1、经济推算'!$G$82</f>
        <v>8.6653329291805478E-4</v>
      </c>
      <c r="C14">
        <f>[1]人物总属性查询表!$C14/[1]人物总属性查询表!$C$83</f>
        <v>3.9228232343110285E-2</v>
      </c>
      <c r="D14">
        <f t="shared" si="0"/>
        <v>45.27031178572382</v>
      </c>
      <c r="F14">
        <f>INT($C14/定义数据!$K$2*定义数据!$F$3)</f>
        <v>2</v>
      </c>
      <c r="G14">
        <f>INT($C14/定义数据!$K$3*定义数据!$F$3)</f>
        <v>1</v>
      </c>
      <c r="H14">
        <f>INT($C14/定义数据!$K$4*定义数据!$F$3)</f>
        <v>0</v>
      </c>
      <c r="I14">
        <f>INT($C14/定义数据!$K$5*定义数据!$F$3)</f>
        <v>0</v>
      </c>
      <c r="J14">
        <f>INT($C14/定义数据!$K$6*定义数据!$F$3)</f>
        <v>0</v>
      </c>
      <c r="L14">
        <f>IF(OR(F14&lt;2,F14&gt;10),"",VLOOKUP(数值对比!F14,命格辅助表!$W$77:$AB$87,数值对比!L$2+1,0)*定义数据!$F$2)</f>
        <v>320</v>
      </c>
      <c r="M14" t="str">
        <f>IF(OR(G14&lt;2,G14&gt;10),"",VLOOKUP(数值对比!G14,命格辅助表!$W$77:$AB$87,数值对比!M$2+1,0)*定义数据!$F$2)</f>
        <v/>
      </c>
      <c r="N14" t="str">
        <f>IF(OR(H14&lt;2,H14&gt;10),"",VLOOKUP(数值对比!H14,命格辅助表!$W$77:$AB$87,数值对比!N$2+1,0)*定义数据!$F$2)</f>
        <v/>
      </c>
      <c r="O14" t="str">
        <f>IF(OR(I14&lt;2,I14&gt;10),"",VLOOKUP(数值对比!I14,命格辅助表!$W$77:$AB$87,数值对比!O$2+1,0)*定义数据!$F$2)</f>
        <v/>
      </c>
      <c r="P14" t="str">
        <f>IF(OR(J14&lt;2,J14&gt;10),"",VLOOKUP(数值对比!J14,命格辅助表!$W$77:$AB$87,数值对比!P$2+1,0)*定义数据!$F$2)</f>
        <v/>
      </c>
    </row>
    <row r="15" spans="1:17">
      <c r="A15">
        <v>12</v>
      </c>
      <c r="B15">
        <f>'[2]1、经济推算'!$G14/'[2]1、经济推算'!$G$82</f>
        <v>1.0004140488417484E-3</v>
      </c>
      <c r="C15">
        <f>[1]人物总属性查询表!$C15/[1]人物总属性查询表!$C$83</f>
        <v>4.273930774839213E-2</v>
      </c>
      <c r="D15">
        <f t="shared" si="0"/>
        <v>42.721618911564178</v>
      </c>
      <c r="F15">
        <f>INT($C15/定义数据!$K$2*定义数据!$F$3)</f>
        <v>3</v>
      </c>
      <c r="G15">
        <f>INT($C15/定义数据!$K$3*定义数据!$F$3)</f>
        <v>1</v>
      </c>
      <c r="H15">
        <f>INT($C15/定义数据!$K$4*定义数据!$F$3)</f>
        <v>0</v>
      </c>
      <c r="I15">
        <f>INT($C15/定义数据!$K$5*定义数据!$F$3)</f>
        <v>0</v>
      </c>
      <c r="J15">
        <f>INT($C15/定义数据!$K$6*定义数据!$F$3)</f>
        <v>0</v>
      </c>
      <c r="L15">
        <f>IF(OR(F15&lt;2,F15&gt;10),"",VLOOKUP(数值对比!F15,命格辅助表!$W$77:$AB$87,数值对比!L$2+1,0)*定义数据!$F$2)</f>
        <v>960</v>
      </c>
      <c r="M15" t="str">
        <f>IF(OR(G15&lt;2,G15&gt;10),"",VLOOKUP(数值对比!G15,命格辅助表!$W$77:$AB$87,数值对比!M$2+1,0)*定义数据!$F$2)</f>
        <v/>
      </c>
      <c r="N15" t="str">
        <f>IF(OR(H15&lt;2,H15&gt;10),"",VLOOKUP(数值对比!H15,命格辅助表!$W$77:$AB$87,数值对比!N$2+1,0)*定义数据!$F$2)</f>
        <v/>
      </c>
      <c r="O15" t="str">
        <f>IF(OR(I15&lt;2,I15&gt;10),"",VLOOKUP(数值对比!I15,命格辅助表!$W$77:$AB$87,数值对比!O$2+1,0)*定义数据!$F$2)</f>
        <v/>
      </c>
      <c r="P15" t="str">
        <f>IF(OR(J15&lt;2,J15&gt;10),"",VLOOKUP(数值对比!J15,命格辅助表!$W$77:$AB$87,数值对比!P$2+1,0)*定义数据!$F$2)</f>
        <v/>
      </c>
    </row>
    <row r="16" spans="1:17">
      <c r="A16">
        <v>13</v>
      </c>
      <c r="B16">
        <f>'[2]1、经济推算'!$G15/'[2]1、经济推算'!$G$82</f>
        <v>1.1477845044191198E-3</v>
      </c>
      <c r="C16">
        <f>[1]人物总属性查询表!$C16/[1]人物总属性查询表!$C$83</f>
        <v>4.6396281575851996E-2</v>
      </c>
      <c r="D16">
        <f t="shared" si="0"/>
        <v>40.422467281288668</v>
      </c>
      <c r="F16">
        <f>INT($C16/定义数据!$K$2*定义数据!$F$3)</f>
        <v>3</v>
      </c>
      <c r="G16">
        <f>INT($C16/定义数据!$K$3*定义数据!$F$3)</f>
        <v>1</v>
      </c>
      <c r="H16">
        <f>INT($C16/定义数据!$K$4*定义数据!$F$3)</f>
        <v>1</v>
      </c>
      <c r="I16">
        <f>INT($C16/定义数据!$K$5*定义数据!$F$3)</f>
        <v>0</v>
      </c>
      <c r="J16">
        <f>INT($C16/定义数据!$K$6*定义数据!$F$3)</f>
        <v>0</v>
      </c>
      <c r="L16">
        <f>IF(OR(F16&lt;2,F16&gt;10),"",VLOOKUP(数值对比!F16,命格辅助表!$W$77:$AB$87,数值对比!L$2+1,0)*定义数据!$F$2)</f>
        <v>960</v>
      </c>
      <c r="M16" t="str">
        <f>IF(OR(G16&lt;2,G16&gt;10),"",VLOOKUP(数值对比!G16,命格辅助表!$W$77:$AB$87,数值对比!M$2+1,0)*定义数据!$F$2)</f>
        <v/>
      </c>
      <c r="N16" t="str">
        <f>IF(OR(H16&lt;2,H16&gt;10),"",VLOOKUP(数值对比!H16,命格辅助表!$W$77:$AB$87,数值对比!N$2+1,0)*定义数据!$F$2)</f>
        <v/>
      </c>
      <c r="O16" t="str">
        <f>IF(OR(I16&lt;2,I16&gt;10),"",VLOOKUP(数值对比!I16,命格辅助表!$W$77:$AB$87,数值对比!O$2+1,0)*定义数据!$F$2)</f>
        <v/>
      </c>
      <c r="P16" t="str">
        <f>IF(OR(J16&lt;2,J16&gt;10),"",VLOOKUP(数值对比!J16,命格辅助表!$W$77:$AB$87,数值对比!P$2+1,0)*定义数据!$F$2)</f>
        <v/>
      </c>
    </row>
    <row r="17" spans="1:25">
      <c r="A17">
        <v>14</v>
      </c>
      <c r="B17">
        <f>'[2]1、经济推算'!$G16/'[2]1、经济推算'!$G$82</f>
        <v>1.3100038691608335E-3</v>
      </c>
      <c r="C17">
        <f>[1]人物总属性查询表!$C17/[1]人物总属性查询表!$C$83</f>
        <v>5.0198498216954726E-2</v>
      </c>
      <c r="D17">
        <f t="shared" si="0"/>
        <v>38.319351109329958</v>
      </c>
      <c r="F17">
        <f>INT($C17/定义数据!$K$2*定义数据!$F$3)</f>
        <v>3</v>
      </c>
      <c r="G17">
        <f>INT($C17/定义数据!$K$3*定义数据!$F$3)</f>
        <v>2</v>
      </c>
      <c r="H17">
        <f>INT($C17/定义数据!$K$4*定义数据!$F$3)</f>
        <v>1</v>
      </c>
      <c r="I17">
        <f>INT($C17/定义数据!$K$5*定义数据!$F$3)</f>
        <v>0</v>
      </c>
      <c r="J17">
        <f>INT($C17/定义数据!$K$6*定义数据!$F$3)</f>
        <v>0</v>
      </c>
      <c r="L17">
        <f>IF(OR(F17&lt;2,F17&gt;10),"",VLOOKUP(数值对比!F17,命格辅助表!$W$77:$AB$87,数值对比!L$2+1,0)*定义数据!$F$2)</f>
        <v>960</v>
      </c>
      <c r="M17">
        <f>IF(OR(G17&lt;2,G17&gt;10),"",VLOOKUP(数值对比!G17,命格辅助表!$W$77:$AB$87,数值对比!M$2+1,0)*定义数据!$F$2)</f>
        <v>640</v>
      </c>
      <c r="N17" t="str">
        <f>IF(OR(H17&lt;2,H17&gt;10),"",VLOOKUP(数值对比!H17,命格辅助表!$W$77:$AB$87,数值对比!N$2+1,0)*定义数据!$F$2)</f>
        <v/>
      </c>
      <c r="O17" t="str">
        <f>IF(OR(I17&lt;2,I17&gt;10),"",VLOOKUP(数值对比!I17,命格辅助表!$W$77:$AB$87,数值对比!O$2+1,0)*定义数据!$F$2)</f>
        <v/>
      </c>
      <c r="P17" t="str">
        <f>IF(OR(J17&lt;2,J17&gt;10),"",VLOOKUP(数值对比!J17,命格辅助表!$W$77:$AB$87,数值对比!P$2+1,0)*定义数据!$F$2)</f>
        <v/>
      </c>
    </row>
    <row r="18" spans="1:25">
      <c r="A18">
        <v>15</v>
      </c>
      <c r="B18">
        <f>'[2]1、经济推算'!$G17/'[2]1、经济推算'!$G$82</f>
        <v>1.4885683052556198E-3</v>
      </c>
      <c r="C18">
        <f>[1]人物总属性查询表!$C18/[1]人物总属性查询表!$C$83</f>
        <v>5.4145271632414518E-2</v>
      </c>
      <c r="D18">
        <f t="shared" si="0"/>
        <v>36.374059182401162</v>
      </c>
      <c r="F18">
        <f>INT($C18/定义数据!$K$2*定义数据!$F$3)</f>
        <v>3</v>
      </c>
      <c r="G18">
        <f>INT($C18/定义数据!$K$3*定义数据!$F$3)</f>
        <v>2</v>
      </c>
      <c r="H18">
        <f>INT($C18/定义数据!$K$4*定义数据!$F$3)</f>
        <v>1</v>
      </c>
      <c r="I18">
        <f>INT($C18/定义数据!$K$5*定义数据!$F$3)</f>
        <v>0</v>
      </c>
      <c r="J18">
        <f>INT($C18/定义数据!$K$6*定义数据!$F$3)</f>
        <v>0</v>
      </c>
      <c r="L18">
        <f>IF(OR(F18&lt;2,F18&gt;10),"",VLOOKUP(数值对比!F18,命格辅助表!$W$77:$AB$87,数值对比!L$2+1,0)*定义数据!$F$2)</f>
        <v>960</v>
      </c>
      <c r="M18">
        <f>IF(OR(G18&lt;2,G18&gt;10),"",VLOOKUP(数值对比!G18,命格辅助表!$W$77:$AB$87,数值对比!M$2+1,0)*定义数据!$F$2)</f>
        <v>640</v>
      </c>
      <c r="N18" t="str">
        <f>IF(OR(H18&lt;2,H18&gt;10),"",VLOOKUP(数值对比!H18,命格辅助表!$W$77:$AB$87,数值对比!N$2+1,0)*定义数据!$F$2)</f>
        <v/>
      </c>
      <c r="O18" t="str">
        <f>IF(OR(I18&lt;2,I18&gt;10),"",VLOOKUP(数值对比!I18,命格辅助表!$W$77:$AB$87,数值对比!O$2+1,0)*定义数据!$F$2)</f>
        <v/>
      </c>
      <c r="P18" t="str">
        <f>IF(OR(J18&lt;2,J18&gt;10),"",VLOOKUP(数值对比!J18,命格辅助表!$W$77:$AB$87,数值对比!P$2+1,0)*定义数据!$F$2)</f>
        <v/>
      </c>
    </row>
    <row r="19" spans="1:25">
      <c r="A19">
        <v>16</v>
      </c>
      <c r="B19">
        <f>'[2]1、经济推算'!$G18/'[2]1、经济推算'!$G$82</f>
        <v>1.6851247267939294E-3</v>
      </c>
      <c r="C19">
        <f>[1]人物总属性查询表!$C19/[1]人物总属性查询表!$C$83</f>
        <v>5.823588602808287E-2</v>
      </c>
      <c r="D19">
        <f t="shared" si="0"/>
        <v>34.558798587497328</v>
      </c>
      <c r="F19">
        <f>INT($C19/定义数据!$K$2*定义数据!$F$3)</f>
        <v>4</v>
      </c>
      <c r="G19">
        <f>INT($C19/定义数据!$K$3*定义数据!$F$3)</f>
        <v>2</v>
      </c>
      <c r="H19">
        <f>INT($C19/定义数据!$K$4*定义数据!$F$3)</f>
        <v>1</v>
      </c>
      <c r="I19">
        <f>INT($C19/定义数据!$K$5*定义数据!$F$3)</f>
        <v>0</v>
      </c>
      <c r="J19">
        <f>INT($C19/定义数据!$K$6*定义数据!$F$3)</f>
        <v>0</v>
      </c>
      <c r="L19">
        <f>IF(OR(F19&lt;2,F19&gt;10),"",VLOOKUP(数值对比!F19,命格辅助表!$W$77:$AB$87,数值对比!L$2+1,0)*定义数据!$F$2)</f>
        <v>2240</v>
      </c>
      <c r="M19">
        <f>IF(OR(G19&lt;2,G19&gt;10),"",VLOOKUP(数值对比!G19,命格辅助表!$W$77:$AB$87,数值对比!M$2+1,0)*定义数据!$F$2)</f>
        <v>640</v>
      </c>
      <c r="N19" t="str">
        <f>IF(OR(H19&lt;2,H19&gt;10),"",VLOOKUP(数值对比!H19,命格辅助表!$W$77:$AB$87,数值对比!N$2+1,0)*定义数据!$F$2)</f>
        <v/>
      </c>
      <c r="O19" t="str">
        <f>IF(OR(I19&lt;2,I19&gt;10),"",VLOOKUP(数值对比!I19,命格辅助表!$W$77:$AB$87,数值对比!O$2+1,0)*定义数据!$F$2)</f>
        <v/>
      </c>
      <c r="P19" t="str">
        <f>IF(OR(J19&lt;2,J19&gt;10),"",VLOOKUP(数值对比!J19,命格辅助表!$W$77:$AB$87,数值对比!P$2+1,0)*定义数据!$F$2)</f>
        <v/>
      </c>
    </row>
    <row r="20" spans="1:25">
      <c r="A20">
        <v>17</v>
      </c>
      <c r="B20">
        <f>'[2]1、经济推算'!$G19/'[2]1、经济推算'!$G$82</f>
        <v>1.9014859893884454E-3</v>
      </c>
      <c r="C20">
        <f>[1]人物总属性查询表!$C20/[1]人物总属性查询表!$C$83</f>
        <v>6.2469596530836134E-2</v>
      </c>
      <c r="D20">
        <f t="shared" si="0"/>
        <v>32.853040663700902</v>
      </c>
      <c r="F20">
        <f>INT($C20/定义数据!$K$2*定义数据!$F$3)</f>
        <v>4</v>
      </c>
      <c r="G20">
        <f>INT($C20/定义数据!$K$3*定义数据!$F$3)</f>
        <v>2</v>
      </c>
      <c r="H20">
        <f>INT($C20/定义数据!$K$4*定义数据!$F$3)</f>
        <v>1</v>
      </c>
      <c r="I20">
        <f>INT($C20/定义数据!$K$5*定义数据!$F$3)</f>
        <v>0</v>
      </c>
      <c r="J20">
        <f>INT($C20/定义数据!$K$6*定义数据!$F$3)</f>
        <v>0</v>
      </c>
      <c r="L20">
        <f>IF(OR(F20&lt;2,F20&gt;10),"",VLOOKUP(数值对比!F20,命格辅助表!$W$77:$AB$87,数值对比!L$2+1,0)*定义数据!$F$2)</f>
        <v>2240</v>
      </c>
      <c r="M20">
        <f>IF(OR(G20&lt;2,G20&gt;10),"",VLOOKUP(数值对比!G20,命格辅助表!$W$77:$AB$87,数值对比!M$2+1,0)*定义数据!$F$2)</f>
        <v>640</v>
      </c>
      <c r="N20" t="str">
        <f>IF(OR(H20&lt;2,H20&gt;10),"",VLOOKUP(数值对比!H20,命格辅助表!$W$77:$AB$87,数值对比!N$2+1,0)*定义数据!$F$2)</f>
        <v/>
      </c>
      <c r="O20" t="str">
        <f>IF(OR(I20&lt;2,I20&gt;10),"",VLOOKUP(数值对比!I20,命格辅助表!$W$77:$AB$87,数值对比!O$2+1,0)*定义数据!$F$2)</f>
        <v/>
      </c>
      <c r="P20" t="str">
        <f>IF(OR(J20&lt;2,J20&gt;10),"",VLOOKUP(数值对比!J20,命格辅助表!$W$77:$AB$87,数值对比!P$2+1,0)*定义数据!$F$2)</f>
        <v/>
      </c>
    </row>
    <row r="21" spans="1:25">
      <c r="A21">
        <v>18</v>
      </c>
      <c r="B21">
        <f>'[2]1、经济推算'!$G20/'[2]1、经济推算'!$G$82</f>
        <v>2.1396476102865398E-3</v>
      </c>
      <c r="C21">
        <f>[1]人物总属性查询表!$C21/[1]人物总属性查询表!$C$83</f>
        <v>6.6845629864463449E-2</v>
      </c>
      <c r="D21">
        <f t="shared" si="0"/>
        <v>31.241420102589483</v>
      </c>
      <c r="F21">
        <f>INT($C21/定义数据!$K$2*定义数据!$F$3)</f>
        <v>4</v>
      </c>
      <c r="G21">
        <f>INT($C21/定义数据!$K$3*定义数据!$F$3)</f>
        <v>2</v>
      </c>
      <c r="H21">
        <f>INT($C21/定义数据!$K$4*定义数据!$F$3)</f>
        <v>1</v>
      </c>
      <c r="I21">
        <f>INT($C21/定义数据!$K$5*定义数据!$F$3)</f>
        <v>0</v>
      </c>
      <c r="J21">
        <f>INT($C21/定义数据!$K$6*定义数据!$F$3)</f>
        <v>0</v>
      </c>
      <c r="L21">
        <f>IF(OR(F21&lt;2,F21&gt;10),"",VLOOKUP(数值对比!F21,命格辅助表!$W$77:$AB$87,数值对比!L$2+1,0)*定义数据!$F$2)</f>
        <v>2240</v>
      </c>
      <c r="M21">
        <f>IF(OR(G21&lt;2,G21&gt;10),"",VLOOKUP(数值对比!G21,命格辅助表!$W$77:$AB$87,数值对比!M$2+1,0)*定义数据!$F$2)</f>
        <v>640</v>
      </c>
      <c r="N21" t="str">
        <f>IF(OR(H21&lt;2,H21&gt;10),"",VLOOKUP(数值对比!H21,命格辅助表!$W$77:$AB$87,数值对比!N$2+1,0)*定义数据!$F$2)</f>
        <v/>
      </c>
      <c r="O21" t="str">
        <f>IF(OR(I21&lt;2,I21&gt;10),"",VLOOKUP(数值对比!I21,命格辅助表!$W$77:$AB$87,数值对比!O$2+1,0)*定义数据!$F$2)</f>
        <v/>
      </c>
      <c r="P21" t="str">
        <f>IF(OR(J21&lt;2,J21&gt;10),"",VLOOKUP(数值对比!J21,命格辅助表!$W$77:$AB$87,数值对比!P$2+1,0)*定义数据!$F$2)</f>
        <v/>
      </c>
      <c r="R21">
        <f>L14+L19+M21+M26</f>
        <v>5120</v>
      </c>
    </row>
    <row r="22" spans="1:25">
      <c r="A22">
        <v>19</v>
      </c>
      <c r="B22">
        <f>'[2]1、经济推算'!$G21/'[2]1、经济推算'!$G$82</f>
        <v>2.4018061731856154E-3</v>
      </c>
      <c r="C22">
        <f>[1]人物总属性查询表!$C22/[1]人物总属性查询表!$C$83</f>
        <v>7.1363185025554235E-2</v>
      </c>
      <c r="D22">
        <f t="shared" si="0"/>
        <v>29.712299777672015</v>
      </c>
      <c r="F22">
        <f>INT($C22/定义数据!$K$2*定义数据!$F$3)</f>
        <v>5</v>
      </c>
      <c r="G22">
        <f>INT($C22/定义数据!$K$3*定义数据!$F$3)</f>
        <v>2</v>
      </c>
      <c r="H22">
        <f>INT($C22/定义数据!$K$4*定义数据!$F$3)</f>
        <v>1</v>
      </c>
      <c r="I22">
        <f>INT($C22/定义数据!$K$5*定义数据!$F$3)</f>
        <v>0</v>
      </c>
      <c r="J22">
        <f>INT($C22/定义数据!$K$6*定义数据!$F$3)</f>
        <v>0</v>
      </c>
      <c r="L22">
        <f>IF(OR(F22&lt;2,F22&gt;10),"",VLOOKUP(数值对比!F22,命格辅助表!$W$77:$AB$87,数值对比!L$2+1,0)*定义数据!$F$2)</f>
        <v>4800</v>
      </c>
      <c r="M22">
        <f>IF(OR(G22&lt;2,G22&gt;10),"",VLOOKUP(数值对比!G22,命格辅助表!$W$77:$AB$87,数值对比!M$2+1,0)*定义数据!$F$2)</f>
        <v>640</v>
      </c>
      <c r="N22" t="str">
        <f>IF(OR(H22&lt;2,H22&gt;10),"",VLOOKUP(数值对比!H22,命格辅助表!$W$77:$AB$87,数值对比!N$2+1,0)*定义数据!$F$2)</f>
        <v/>
      </c>
      <c r="O22" t="str">
        <f>IF(OR(I22&lt;2,I22&gt;10),"",VLOOKUP(数值对比!I22,命格辅助表!$W$77:$AB$87,数值对比!O$2+1,0)*定义数据!$F$2)</f>
        <v/>
      </c>
      <c r="P22" t="str">
        <f>IF(OR(J22&lt;2,J22&gt;10),"",VLOOKUP(数值对比!J22,命格辅助表!$W$77:$AB$87,数值对比!P$2+1,0)*定义数据!$F$2)</f>
        <v/>
      </c>
    </row>
    <row r="23" spans="1:25">
      <c r="A23">
        <v>20</v>
      </c>
      <c r="B23">
        <f>'[2]1、经济推算'!$G22/'[2]1、经济推算'!$G$82</f>
        <v>2.6903795875004087E-3</v>
      </c>
      <c r="C23">
        <f>[1]人物总属性查询表!$C23/[1]人物总属性查询表!$C$83</f>
        <v>7.6021433959386278E-2</v>
      </c>
      <c r="D23">
        <f t="shared" si="0"/>
        <v>28.25676878927581</v>
      </c>
      <c r="F23">
        <f>INT($C23/定义数据!$K$2*定义数据!$F$3)</f>
        <v>5</v>
      </c>
      <c r="G23">
        <f>INT($C23/定义数据!$K$3*定义数据!$F$3)</f>
        <v>3</v>
      </c>
      <c r="H23">
        <f>INT($C23/定义数据!$K$4*定义数据!$F$3)</f>
        <v>1</v>
      </c>
      <c r="I23">
        <f>INT($C23/定义数据!$K$5*定义数据!$F$3)</f>
        <v>0</v>
      </c>
      <c r="J23">
        <f>INT($C23/定义数据!$K$6*定义数据!$F$3)</f>
        <v>0</v>
      </c>
      <c r="L23">
        <f>IF(OR(F23&lt;2,F23&gt;10),"",VLOOKUP(数值对比!F23,命格辅助表!$W$77:$AB$87,数值对比!L$2+1,0)*定义数据!$F$2)</f>
        <v>4800</v>
      </c>
      <c r="M23">
        <f>IF(OR(G23&lt;2,G23&gt;10),"",VLOOKUP(数值对比!G23,命格辅助表!$W$77:$AB$87,数值对比!M$2+1,0)*定义数据!$F$2)</f>
        <v>1920</v>
      </c>
      <c r="N23" t="str">
        <f>IF(OR(H23&lt;2,H23&gt;10),"",VLOOKUP(数值对比!H23,命格辅助表!$W$77:$AB$87,数值对比!N$2+1,0)*定义数据!$F$2)</f>
        <v/>
      </c>
      <c r="O23" t="str">
        <f>IF(OR(I23&lt;2,I23&gt;10),"",VLOOKUP(数值对比!I23,命格辅助表!$W$77:$AB$87,数值对比!O$2+1,0)*定义数据!$F$2)</f>
        <v/>
      </c>
      <c r="P23" t="str">
        <f>IF(OR(J23&lt;2,J23&gt;10),"",VLOOKUP(数值对比!J23,命格辅助表!$W$77:$AB$87,数值对比!P$2+1,0)*定义数据!$F$2)</f>
        <v/>
      </c>
    </row>
    <row r="24" spans="1:25">
      <c r="A24">
        <v>21</v>
      </c>
      <c r="B24">
        <f>'[2]1、经济推算'!$G23/'[2]1、经济推算'!$G$82</f>
        <v>3.0080293889351069E-3</v>
      </c>
      <c r="C24">
        <f>[1]人物总属性查询表!$C24/[1]人物总属性查询表!$C$83</f>
        <v>8.0819522235813152E-2</v>
      </c>
      <c r="D24">
        <f t="shared" si="0"/>
        <v>26.867929726053848</v>
      </c>
      <c r="F24">
        <f>INT($C24/定义数据!$K$2*定义数据!$F$3)</f>
        <v>5</v>
      </c>
      <c r="G24">
        <f>INT($C24/定义数据!$K$3*定义数据!$F$3)</f>
        <v>3</v>
      </c>
      <c r="H24">
        <f>INT($C24/定义数据!$K$4*定义数据!$F$3)</f>
        <v>1</v>
      </c>
      <c r="I24">
        <f>INT($C24/定义数据!$K$5*定义数据!$F$3)</f>
        <v>1</v>
      </c>
      <c r="J24">
        <f>INT($C24/定义数据!$K$6*定义数据!$F$3)</f>
        <v>0</v>
      </c>
      <c r="L24">
        <f>IF(OR(F24&lt;2,F24&gt;10),"",VLOOKUP(数值对比!F24,命格辅助表!$W$77:$AB$87,数值对比!L$2+1,0)*定义数据!$F$2)</f>
        <v>4800</v>
      </c>
      <c r="M24">
        <f>IF(OR(G24&lt;2,G24&gt;10),"",VLOOKUP(数值对比!G24,命格辅助表!$W$77:$AB$87,数值对比!M$2+1,0)*定义数据!$F$2)</f>
        <v>1920</v>
      </c>
      <c r="N24" t="str">
        <f>IF(OR(H24&lt;2,H24&gt;10),"",VLOOKUP(数值对比!H24,命格辅助表!$W$77:$AB$87,数值对比!N$2+1,0)*定义数据!$F$2)</f>
        <v/>
      </c>
      <c r="O24" t="str">
        <f>IF(OR(I24&lt;2,I24&gt;10),"",VLOOKUP(数值对比!I24,命格辅助表!$W$77:$AB$87,数值对比!O$2+1,0)*定义数据!$F$2)</f>
        <v/>
      </c>
      <c r="P24" t="str">
        <f>IF(OR(J24&lt;2,J24&gt;10),"",VLOOKUP(数值对比!J24,命格辅助表!$W$77:$AB$87,数值对比!P$2+1,0)*定义数据!$F$2)</f>
        <v/>
      </c>
    </row>
    <row r="25" spans="1:25">
      <c r="A25">
        <v>22</v>
      </c>
      <c r="B25">
        <f>'[2]1、经济推算'!$G24/'[2]1、经济推算'!$G$82</f>
        <v>3.3576852870402388E-3</v>
      </c>
      <c r="C25">
        <f>[1]人物总属性查询表!$C25/[1]人物总属性查询表!$C$83</f>
        <v>8.5756569725152096E-2</v>
      </c>
      <c r="D25">
        <f t="shared" si="0"/>
        <v>25.540383446938687</v>
      </c>
      <c r="F25">
        <f>INT($C25/定义数据!$K$2*定义数据!$F$3)</f>
        <v>6</v>
      </c>
      <c r="G25">
        <f>INT($C25/定义数据!$K$3*定义数据!$F$3)</f>
        <v>3</v>
      </c>
      <c r="H25">
        <f>INT($C25/定义数据!$K$4*定义数据!$F$3)</f>
        <v>1</v>
      </c>
      <c r="I25">
        <f>INT($C25/定义数据!$K$5*定义数据!$F$3)</f>
        <v>1</v>
      </c>
      <c r="J25">
        <f>INT($C25/定义数据!$K$6*定义数据!$F$3)</f>
        <v>0</v>
      </c>
      <c r="L25">
        <f>IF(OR(F25&lt;2,F25&gt;10),"",VLOOKUP(数值对比!F25,命格辅助表!$W$77:$AB$87,数值对比!L$2+1,0)*定义数据!$F$2)</f>
        <v>9920</v>
      </c>
      <c r="M25">
        <f>IF(OR(G25&lt;2,G25&gt;10),"",VLOOKUP(数值对比!G25,命格辅助表!$W$77:$AB$87,数值对比!M$2+1,0)*定义数据!$F$2)</f>
        <v>1920</v>
      </c>
      <c r="N25" t="str">
        <f>IF(OR(H25&lt;2,H25&gt;10),"",VLOOKUP(数值对比!H25,命格辅助表!$W$77:$AB$87,数值对比!N$2+1,0)*定义数据!$F$2)</f>
        <v/>
      </c>
      <c r="O25" t="str">
        <f>IF(OR(I25&lt;2,I25&gt;10),"",VLOOKUP(数值对比!I25,命格辅助表!$W$77:$AB$87,数值对比!O$2+1,0)*定义数据!$F$2)</f>
        <v/>
      </c>
      <c r="P25" t="str">
        <f>IF(OR(J25&lt;2,J25&gt;10),"",VLOOKUP(数值对比!J25,命格辅助表!$W$77:$AB$87,数值对比!P$2+1,0)*定义数据!$F$2)</f>
        <v/>
      </c>
    </row>
    <row r="26" spans="1:25">
      <c r="A26">
        <v>23</v>
      </c>
      <c r="B26">
        <f>'[2]1、经济推算'!$G25/'[2]1、经济推算'!$G$82</f>
        <v>3.7425721861584177E-3</v>
      </c>
      <c r="C26">
        <f>[1]人物总属性查询表!$C26/[1]人物总属性查询表!$C$83</f>
        <v>9.0814577916429676E-2</v>
      </c>
      <c r="D26">
        <f t="shared" si="0"/>
        <v>24.265284248170175</v>
      </c>
      <c r="F26">
        <f>INT($C26/定义数据!$K$2*定义数据!$F$3)</f>
        <v>6</v>
      </c>
      <c r="G26">
        <f>INT($C26/定义数据!$K$3*定义数据!$F$3)</f>
        <v>3</v>
      </c>
      <c r="H26">
        <f>INT($C26/定义数据!$K$4*定义数据!$F$3)</f>
        <v>2</v>
      </c>
      <c r="I26">
        <f>INT($C26/定义数据!$K$5*定义数据!$F$3)</f>
        <v>1</v>
      </c>
      <c r="J26">
        <f>INT($C26/定义数据!$K$6*定义数据!$F$3)</f>
        <v>0</v>
      </c>
      <c r="L26">
        <f>IF(OR(F26&lt;2,F26&gt;10),"",VLOOKUP(数值对比!F26,命格辅助表!$W$77:$AB$87,数值对比!L$2+1,0)*定义数据!$F$2)</f>
        <v>9920</v>
      </c>
      <c r="M26">
        <f>IF(OR(G26&lt;2,G26&gt;10),"",VLOOKUP(数值对比!G26,命格辅助表!$W$77:$AB$87,数值对比!M$2+1,0)*定义数据!$F$2)</f>
        <v>1920</v>
      </c>
      <c r="N26">
        <f>IF(OR(H26&lt;2,H26&gt;10),"",VLOOKUP(数值对比!H26,命格辅助表!$W$77:$AB$87,数值对比!N$2+1,0)*定义数据!$F$2)</f>
        <v>1280</v>
      </c>
      <c r="O26" t="str">
        <f>IF(OR(I26&lt;2,I26&gt;10),"",VLOOKUP(数值对比!I26,命格辅助表!$W$77:$AB$87,数值对比!O$2+1,0)*定义数据!$F$2)</f>
        <v/>
      </c>
      <c r="P26" t="str">
        <f>IF(OR(J26&lt;2,J26&gt;10),"",VLOOKUP(数值对比!J26,命格辅助表!$W$77:$AB$87,数值对比!P$2+1,0)*定义数据!$F$2)</f>
        <v/>
      </c>
    </row>
    <row r="27" spans="1:25">
      <c r="A27">
        <v>24</v>
      </c>
      <c r="B27">
        <f>'[2]1、经济推算'!$G26/'[2]1、经济推算'!$G$82</f>
        <v>4.1662399289752895E-3</v>
      </c>
      <c r="C27">
        <f>[1]人物总属性查询表!$C27/[1]人物总属性查询表!$C$83</f>
        <v>9.6006273548240734E-2</v>
      </c>
      <c r="D27">
        <f t="shared" si="0"/>
        <v>23.0438657362333</v>
      </c>
      <c r="F27">
        <f>INT($C27/定义数据!$K$2*定义数据!$F$3)</f>
        <v>7</v>
      </c>
      <c r="G27">
        <f>INT($C27/定义数据!$K$3*定义数据!$F$3)</f>
        <v>3</v>
      </c>
      <c r="H27">
        <f>INT($C27/定义数据!$K$4*定义数据!$F$3)</f>
        <v>2</v>
      </c>
      <c r="I27">
        <f>INT($C27/定义数据!$K$5*定义数据!$F$3)</f>
        <v>1</v>
      </c>
      <c r="J27">
        <f>INT($C27/定义数据!$K$6*定义数据!$F$3)</f>
        <v>0</v>
      </c>
      <c r="L27">
        <f>IF(OR(F27&lt;2,F27&gt;10),"",VLOOKUP(数值对比!F27,命格辅助表!$W$77:$AB$87,数值对比!L$2+1,0)*定义数据!$F$2)</f>
        <v>20160</v>
      </c>
      <c r="M27">
        <f>IF(OR(G27&lt;2,G27&gt;10),"",VLOOKUP(数值对比!G27,命格辅助表!$W$77:$AB$87,数值对比!M$2+1,0)*定义数据!$F$2)</f>
        <v>1920</v>
      </c>
      <c r="N27">
        <f>IF(OR(H27&lt;2,H27&gt;10),"",VLOOKUP(数值对比!H27,命格辅助表!$W$77:$AB$87,数值对比!N$2+1,0)*定义数据!$F$2)</f>
        <v>1280</v>
      </c>
      <c r="O27" t="str">
        <f>IF(OR(I27&lt;2,I27&gt;10),"",VLOOKUP(数值对比!I27,命格辅助表!$W$77:$AB$87,数值对比!O$2+1,0)*定义数据!$F$2)</f>
        <v/>
      </c>
      <c r="P27" t="str">
        <f>IF(OR(J27&lt;2,J27&gt;10),"",VLOOKUP(数值对比!J27,命格辅助表!$W$77:$AB$87,数值对比!P$2+1,0)*定义数据!$F$2)</f>
        <v/>
      </c>
    </row>
    <row r="28" spans="1:25">
      <c r="A28">
        <v>25</v>
      </c>
      <c r="B28">
        <f>'[2]1、经济推算'!$G27/'[2]1、经济推算'!$G$82</f>
        <v>4.6325960370028306E-3</v>
      </c>
      <c r="C28">
        <f>[1]人物总属性查询表!$C28/[1]人物总属性查询表!$C$83</f>
        <v>0.10133039084047674</v>
      </c>
      <c r="D28">
        <f t="shared" si="0"/>
        <v>21.873349204441936</v>
      </c>
      <c r="F28">
        <f>INT($C28/定义数据!$K$2*定义数据!$F$3)</f>
        <v>7</v>
      </c>
      <c r="G28">
        <f>INT($C28/定义数据!$K$3*定义数据!$F$3)</f>
        <v>4</v>
      </c>
      <c r="H28">
        <f>INT($C28/定义数据!$K$4*定义数据!$F$3)</f>
        <v>2</v>
      </c>
      <c r="I28">
        <f>INT($C28/定义数据!$K$5*定义数据!$F$3)</f>
        <v>1</v>
      </c>
      <c r="J28">
        <f>INT($C28/定义数据!$K$6*定义数据!$F$3)</f>
        <v>0</v>
      </c>
      <c r="L28">
        <f>IF(OR(F28&lt;2,F28&gt;10),"",VLOOKUP(数值对比!F28,命格辅助表!$W$77:$AB$87,数值对比!L$2+1,0)*定义数据!$F$2)</f>
        <v>20160</v>
      </c>
      <c r="M28">
        <f>IF(OR(G28&lt;2,G28&gt;10),"",VLOOKUP(数值对比!G28,命格辅助表!$W$77:$AB$87,数值对比!M$2+1,0)*定义数据!$F$2)</f>
        <v>4480</v>
      </c>
      <c r="N28">
        <f>IF(OR(H28&lt;2,H28&gt;10),"",VLOOKUP(数值对比!H28,命格辅助表!$W$77:$AB$87,数值对比!N$2+1,0)*定义数据!$F$2)</f>
        <v>1280</v>
      </c>
      <c r="O28" t="str">
        <f>IF(OR(I28&lt;2,I28&gt;10),"",VLOOKUP(数值对比!I28,命格辅助表!$W$77:$AB$87,数值对比!O$2+1,0)*定义数据!$F$2)</f>
        <v/>
      </c>
      <c r="P28" t="str">
        <f>IF(OR(J28&lt;2,J28&gt;10),"",VLOOKUP(数值对比!J28,命格辅助表!$W$77:$AB$87,数值对比!P$2+1,0)*定义数据!$F$2)</f>
        <v/>
      </c>
    </row>
    <row r="29" spans="1:25">
      <c r="A29">
        <v>26</v>
      </c>
      <c r="B29">
        <f>'[2]1、经济推算'!$G28/'[2]1、经济推算'!$G$82</f>
        <v>5.1459417499631014E-3</v>
      </c>
      <c r="C29">
        <f>[1]人物总属性查询表!$C29/[1]人物总属性查询表!$C$83</f>
        <v>0.10676685804466904</v>
      </c>
      <c r="D29">
        <f t="shared" si="0"/>
        <v>20.747778197340576</v>
      </c>
      <c r="F29">
        <f>INT($C29/定义数据!$K$2*定义数据!$F$3)</f>
        <v>7</v>
      </c>
      <c r="G29">
        <f>INT($C29/定义数据!$K$3*定义数据!$F$3)</f>
        <v>4</v>
      </c>
      <c r="H29">
        <f>INT($C29/定义数据!$K$4*定义数据!$F$3)</f>
        <v>2</v>
      </c>
      <c r="I29">
        <f>INT($C29/定义数据!$K$5*定义数据!$F$3)</f>
        <v>1</v>
      </c>
      <c r="J29">
        <f>INT($C29/定义数据!$K$6*定义数据!$F$3)</f>
        <v>0</v>
      </c>
      <c r="L29">
        <f>IF(OR(F29&lt;2,F29&gt;10),"",VLOOKUP(数值对比!F29,命格辅助表!$W$77:$AB$87,数值对比!L$2+1,0)*定义数据!$F$2)</f>
        <v>20160</v>
      </c>
      <c r="M29">
        <f>IF(OR(G29&lt;2,G29&gt;10),"",VLOOKUP(数值对比!G29,命格辅助表!$W$77:$AB$87,数值对比!M$2+1,0)*定义数据!$F$2)</f>
        <v>4480</v>
      </c>
      <c r="N29">
        <f>IF(OR(H29&lt;2,H29&gt;10),"",VLOOKUP(数值对比!H29,命格辅助表!$W$77:$AB$87,数值对比!N$2+1,0)*定义数据!$F$2)</f>
        <v>1280</v>
      </c>
      <c r="O29" t="str">
        <f>IF(OR(I29&lt;2,I29&gt;10),"",VLOOKUP(数值对比!I29,命格辅助表!$W$77:$AB$87,数值对比!O$2+1,0)*定义数据!$F$2)</f>
        <v/>
      </c>
      <c r="P29" t="str">
        <f>IF(OR(J29&lt;2,J29&gt;10),"",VLOOKUP(数值对比!J29,命格辅助表!$W$77:$AB$87,数值对比!P$2+1,0)*定义数据!$F$2)</f>
        <v/>
      </c>
    </row>
    <row r="30" spans="1:25">
      <c r="A30">
        <v>27</v>
      </c>
      <c r="B30">
        <f>'[2]1、经济推算'!$G29/'[2]1、经济推算'!$G$82</f>
        <v>5.7110116964665713E-3</v>
      </c>
      <c r="C30">
        <f>[1]人物总属性查询表!$C30/[1]人物总属性查询表!$C$83</f>
        <v>0.11232972642087426</v>
      </c>
      <c r="D30">
        <f t="shared" si="0"/>
        <v>19.668971522221391</v>
      </c>
      <c r="F30">
        <f>INT($C30/定义数据!$K$2*定义数据!$F$3)</f>
        <v>8</v>
      </c>
      <c r="G30">
        <f>INT($C30/定义数据!$K$3*定义数据!$F$3)</f>
        <v>4</v>
      </c>
      <c r="H30">
        <f>INT($C30/定义数据!$K$4*定义数据!$F$3)</f>
        <v>2</v>
      </c>
      <c r="I30">
        <f>INT($C30/定义数据!$K$5*定义数据!$F$3)</f>
        <v>1</v>
      </c>
      <c r="J30">
        <f>INT($C30/定义数据!$K$6*定义数据!$F$3)</f>
        <v>0</v>
      </c>
      <c r="L30">
        <f>IF(OR(F30&lt;2,F30&gt;10),"",VLOOKUP(数值对比!F30,命格辅助表!$W$77:$AB$87,数值对比!L$2+1,0)*定义数据!$F$2)</f>
        <v>40640</v>
      </c>
      <c r="M30">
        <f>IF(OR(G30&lt;2,G30&gt;10),"",VLOOKUP(数值对比!G30,命格辅助表!$W$77:$AB$87,数值对比!M$2+1,0)*定义数据!$F$2)</f>
        <v>4480</v>
      </c>
      <c r="N30">
        <f>IF(OR(H30&lt;2,H30&gt;10),"",VLOOKUP(数值对比!H30,命格辅助表!$W$77:$AB$87,数值对比!N$2+1,0)*定义数据!$F$2)</f>
        <v>1280</v>
      </c>
      <c r="O30" t="str">
        <f>IF(OR(I30&lt;2,I30&gt;10),"",VLOOKUP(数值对比!I30,命格辅助表!$W$77:$AB$87,数值对比!O$2+1,0)*定义数据!$F$2)</f>
        <v/>
      </c>
      <c r="P30" t="str">
        <f>IF(OR(J30&lt;2,J30&gt;10),"",VLOOKUP(数值对比!J30,命格辅助表!$W$77:$AB$87,数值对比!P$2+1,0)*定义数据!$F$2)</f>
        <v/>
      </c>
    </row>
    <row r="31" spans="1:25">
      <c r="A31">
        <v>28</v>
      </c>
      <c r="B31">
        <f>'[2]1、经济推算'!$G30/'[2]1、经济推算'!$G$82</f>
        <v>6.3330175618708587E-3</v>
      </c>
      <c r="C31">
        <f>[1]人物总属性查询表!$C31/[1]人物总属性查询表!$C$83</f>
        <v>0.1180173571554532</v>
      </c>
      <c r="D31">
        <f t="shared" si="0"/>
        <v>18.635248679239297</v>
      </c>
      <c r="F31">
        <f>INT($C31/定义数据!$K$2*定义数据!$F$3)</f>
        <v>8</v>
      </c>
      <c r="G31">
        <f>INT($C31/定义数据!$K$3*定义数据!$F$3)</f>
        <v>4</v>
      </c>
      <c r="H31">
        <f>INT($C31/定义数据!$K$4*定义数据!$F$3)</f>
        <v>2</v>
      </c>
      <c r="I31">
        <f>INT($C31/定义数据!$K$5*定义数据!$F$3)</f>
        <v>1</v>
      </c>
      <c r="J31">
        <f>INT($C31/定义数据!$K$6*定义数据!$F$3)</f>
        <v>0</v>
      </c>
      <c r="L31">
        <f>IF(OR(F31&lt;2,F31&gt;10),"",VLOOKUP(数值对比!F31,命格辅助表!$W$77:$AB$87,数值对比!L$2+1,0)*定义数据!$F$2)</f>
        <v>40640</v>
      </c>
      <c r="M31">
        <f>IF(OR(G31&lt;2,G31&gt;10),"",VLOOKUP(数值对比!G31,命格辅助表!$W$77:$AB$87,数值对比!M$2+1,0)*定义数据!$F$2)</f>
        <v>4480</v>
      </c>
      <c r="N31">
        <f>IF(OR(H31&lt;2,H31&gt;10),"",VLOOKUP(数值对比!H31,命格辅助表!$W$77:$AB$87,数值对比!N$2+1,0)*定义数据!$F$2)</f>
        <v>1280</v>
      </c>
      <c r="O31" t="str">
        <f>IF(OR(I31&lt;2,I31&gt;10),"",VLOOKUP(数值对比!I31,命格辅助表!$W$77:$AB$87,数值对比!O$2+1,0)*定义数据!$F$2)</f>
        <v/>
      </c>
      <c r="P31" t="str">
        <f>IF(OR(J31&lt;2,J31&gt;10),"",VLOOKUP(数值对比!J31,命格辅助表!$W$77:$AB$87,数值对比!P$2+1,0)*定义数据!$F$2)</f>
        <v/>
      </c>
    </row>
    <row r="32" spans="1:25">
      <c r="A32">
        <v>29</v>
      </c>
      <c r="B32">
        <f>'[2]1、经济推算'!$G31/'[2]1、经济推算'!$G$82</f>
        <v>7.0176961560720471E-3</v>
      </c>
      <c r="C32">
        <f>[1]人物总属性查询表!$C32/[1]人物总属性查询表!$C$83</f>
        <v>0.12382807401949869</v>
      </c>
      <c r="D32">
        <f t="shared" si="0"/>
        <v>17.645117609196674</v>
      </c>
      <c r="F32">
        <f>INT($C32/定义数据!$K$2*定义数据!$F$3)</f>
        <v>9</v>
      </c>
      <c r="G32">
        <f>INT($C32/定义数据!$K$3*定义数据!$F$3)</f>
        <v>5</v>
      </c>
      <c r="H32">
        <f>INT($C32/定义数据!$K$4*定义数据!$F$3)</f>
        <v>2</v>
      </c>
      <c r="I32">
        <f>INT($C32/定义数据!$K$5*定义数据!$F$3)</f>
        <v>1</v>
      </c>
      <c r="J32">
        <f>INT($C32/定义数据!$K$6*定义数据!$F$3)</f>
        <v>0</v>
      </c>
      <c r="L32">
        <f>IF(OR(F32&lt;2,F32&gt;10),"",VLOOKUP(数值对比!F32,命格辅助表!$W$77:$AB$87,数值对比!L$2+1,0)*定义数据!$F$2)</f>
        <v>81600</v>
      </c>
      <c r="M32">
        <f>IF(OR(G32&lt;2,G32&gt;10),"",VLOOKUP(数值对比!G32,命格辅助表!$W$77:$AB$87,数值对比!M$2+1,0)*定义数据!$F$2)</f>
        <v>9600</v>
      </c>
      <c r="N32">
        <f>IF(OR(H32&lt;2,H32&gt;10),"",VLOOKUP(数值对比!H32,命格辅助表!$W$77:$AB$87,数值对比!N$2+1,0)*定义数据!$F$2)</f>
        <v>1280</v>
      </c>
      <c r="O32" t="str">
        <f>IF(OR(I32&lt;2,I32&gt;10),"",VLOOKUP(数值对比!I32,命格辅助表!$W$77:$AB$87,数值对比!O$2+1,0)*定义数据!$F$2)</f>
        <v/>
      </c>
      <c r="P32" t="str">
        <f>IF(OR(J32&lt;2,J32&gt;10),"",VLOOKUP(数值对比!J32,命格辅助表!$W$77:$AB$87,数值对比!P$2+1,0)*定义数据!$F$2)</f>
        <v/>
      </c>
      <c r="R32" t="s">
        <v>119</v>
      </c>
      <c r="S32" t="s">
        <v>189</v>
      </c>
      <c r="V32" t="s">
        <v>120</v>
      </c>
      <c r="Y32" t="s">
        <v>121</v>
      </c>
    </row>
    <row r="33" spans="1:36">
      <c r="A33">
        <v>30</v>
      </c>
      <c r="B33">
        <f>'[2]1、经济推算'!$G32/'[2]1、经济推算'!$G$82</f>
        <v>7.7713623245616609E-3</v>
      </c>
      <c r="C33">
        <f>[1]人物总属性查询表!$C33/[1]人物总属性查询表!$C$83</f>
        <v>0.13138216656904397</v>
      </c>
      <c r="D33">
        <f t="shared" si="0"/>
        <v>16.905937605534884</v>
      </c>
      <c r="F33">
        <f>INT($C33/定义数据!$K$2*定义数据!$F$3)</f>
        <v>9</v>
      </c>
      <c r="G33">
        <f>INT($C33/定义数据!$K$3*定义数据!$F$3)</f>
        <v>5</v>
      </c>
      <c r="H33">
        <f>INT($C33/定义数据!$K$4*定义数据!$F$3)</f>
        <v>2</v>
      </c>
      <c r="I33">
        <f>INT($C33/定义数据!$K$5*定义数据!$F$3)</f>
        <v>1</v>
      </c>
      <c r="J33">
        <f>INT($C33/定义数据!$K$6*定义数据!$F$3)</f>
        <v>0</v>
      </c>
      <c r="L33">
        <f>IF(OR(F33&lt;2,F33&gt;10),"",VLOOKUP(数值对比!F33,命格辅助表!$W$77:$AB$87,数值对比!L$2+1,0)*定义数据!$F$2)</f>
        <v>81600</v>
      </c>
      <c r="M33">
        <f>IF(OR(G33&lt;2,G33&gt;10),"",VLOOKUP(数值对比!G33,命格辅助表!$W$77:$AB$87,数值对比!M$2+1,0)*定义数据!$F$2)</f>
        <v>9600</v>
      </c>
      <c r="N33">
        <f>IF(OR(H33&lt;2,H33&gt;10),"",VLOOKUP(数值对比!H33,命格辅助表!$W$77:$AB$87,数值对比!N$2+1,0)*定义数据!$F$2)</f>
        <v>1280</v>
      </c>
      <c r="O33" t="str">
        <f>IF(OR(I33&lt;2,I33&gt;10),"",VLOOKUP(数值对比!I33,命格辅助表!$W$77:$AB$87,数值对比!O$2+1,0)*定义数据!$F$2)</f>
        <v/>
      </c>
      <c r="P33" t="str">
        <f>IF(OR(J33&lt;2,J33&gt;10),"",VLOOKUP(数值对比!J33,命格辅助表!$W$77:$AB$87,数值对比!P$2+1,0)*定义数据!$F$2)</f>
        <v/>
      </c>
      <c r="Q33">
        <f>MIN(L33:P33)</f>
        <v>1280</v>
      </c>
      <c r="R33">
        <f>Q33</f>
        <v>1280</v>
      </c>
      <c r="S33">
        <f>R33/$R$83*定义数据!$F$3</f>
        <v>1.425661914460285E-2</v>
      </c>
      <c r="T33">
        <f>S33</f>
        <v>1.425661914460285E-2</v>
      </c>
      <c r="V33">
        <f>B33*7</f>
        <v>5.4399536271931628E-2</v>
      </c>
      <c r="W33">
        <f>V33</f>
        <v>5.4399536271931628E-2</v>
      </c>
      <c r="Y33">
        <f>'[2]1、经济推算'!$G32/3/60/60</f>
        <v>1.5307525756057543</v>
      </c>
    </row>
    <row r="34" spans="1:36">
      <c r="A34">
        <v>31</v>
      </c>
      <c r="B34">
        <f>'[2]1、经济推算'!$G33/'[2]1、经济推算'!$G$82</f>
        <v>8.6009671907522154E-3</v>
      </c>
      <c r="C34">
        <f>[1]人物总属性查询表!$C34/[1]人物总属性查询表!$C$83</f>
        <v>0.13912436590942859</v>
      </c>
      <c r="D34">
        <f t="shared" si="0"/>
        <v>16.175432695408432</v>
      </c>
      <c r="F34">
        <f>INT($C34/定义数据!$K$2*定义数据!$F$3)</f>
        <v>10</v>
      </c>
      <c r="G34">
        <f>INT($C34/定义数据!$K$3*定义数据!$F$3)</f>
        <v>5</v>
      </c>
      <c r="H34">
        <f>INT($C34/定义数据!$K$4*定义数据!$F$3)</f>
        <v>3</v>
      </c>
      <c r="I34">
        <f>INT($C34/定义数据!$K$5*定义数据!$F$3)</f>
        <v>1</v>
      </c>
      <c r="J34">
        <f>INT($C34/定义数据!$K$6*定义数据!$F$3)</f>
        <v>0</v>
      </c>
      <c r="L34">
        <f>IF(OR(F34&lt;2,F34&gt;10),"",VLOOKUP(数值对比!F34,命格辅助表!$W$77:$AB$87,数值对比!L$2+1,0)*定义数据!$F$2)</f>
        <v>163520</v>
      </c>
      <c r="M34">
        <f>IF(OR(G34&lt;2,G34&gt;10),"",VLOOKUP(数值对比!G34,命格辅助表!$W$77:$AB$87,数值对比!M$2+1,0)*定义数据!$F$2)</f>
        <v>9600</v>
      </c>
      <c r="N34">
        <f>IF(OR(H34&lt;2,H34&gt;10),"",VLOOKUP(数值对比!H34,命格辅助表!$W$77:$AB$87,数值对比!N$2+1,0)*定义数据!$F$2)</f>
        <v>3840</v>
      </c>
      <c r="O34" t="str">
        <f>IF(OR(I34&lt;2,I34&gt;10),"",VLOOKUP(数值对比!I34,命格辅助表!$W$77:$AB$87,数值对比!O$2+1,0)*定义数据!$F$2)</f>
        <v/>
      </c>
      <c r="P34" t="str">
        <f>IF(OR(J34&lt;2,J34&gt;10),"",VLOOKUP(数值对比!J34,命格辅助表!$W$77:$AB$87,数值对比!P$2+1,0)*定义数据!$F$2)</f>
        <v/>
      </c>
      <c r="Q34">
        <f t="shared" ref="Q34:Q97" si="1">MIN(L34:P34)</f>
        <v>3840</v>
      </c>
      <c r="R34">
        <f t="shared" ref="R34:R35" si="2">Q34</f>
        <v>3840</v>
      </c>
      <c r="S34">
        <f>R34/$R$83*定义数据!$F$3</f>
        <v>4.2769857433808553E-2</v>
      </c>
      <c r="T34">
        <f>S34-S33</f>
        <v>2.8513238289205704E-2</v>
      </c>
      <c r="V34">
        <f t="shared" ref="V34:V97" si="3">B34*7</f>
        <v>6.020677033526551E-2</v>
      </c>
      <c r="W34">
        <f>V34-V33</f>
        <v>5.8072340633338812E-3</v>
      </c>
      <c r="Y34">
        <f>'[2]1、经济推算'!$G33/3/60/60</f>
        <v>1.6941627645301123</v>
      </c>
    </row>
    <row r="35" spans="1:36">
      <c r="A35">
        <v>32</v>
      </c>
      <c r="B35">
        <f>'[2]1、经济推算'!$G34/'[2]1、经济推算'!$G$82</f>
        <v>9.5141622667449816E-3</v>
      </c>
      <c r="C35">
        <f>[1]人物总属性查询表!$C35/[1]人物总属性查询表!$C$83</f>
        <v>0.14705092534285799</v>
      </c>
      <c r="D35">
        <f t="shared" si="0"/>
        <v>15.456003505095522</v>
      </c>
      <c r="F35">
        <f>INT($C35/定义数据!$K$2*定义数据!$F$3)</f>
        <v>10</v>
      </c>
      <c r="G35">
        <f>INT($C35/定义数据!$K$3*定义数据!$F$3)</f>
        <v>6</v>
      </c>
      <c r="H35">
        <f>INT($C35/定义数据!$K$4*定义数据!$F$3)</f>
        <v>3</v>
      </c>
      <c r="I35">
        <f>INT($C35/定义数据!$K$5*定义数据!$F$3)</f>
        <v>1</v>
      </c>
      <c r="J35">
        <f>INT($C35/定义数据!$K$6*定义数据!$F$3)</f>
        <v>1</v>
      </c>
      <c r="K35">
        <f>IF(F35&lt;K$3,1,IF(G35&lt;K$3,2,IF(H35&lt;K$3,3,IF(I35&lt;K$3,4,5))))</f>
        <v>3</v>
      </c>
      <c r="L35">
        <f>IF(OR(F35&lt;2,F35&gt;10),"",VLOOKUP(数值对比!F35,命格辅助表!$W$77:$AB$87,数值对比!L$2+1,0)*定义数据!$F$2)</f>
        <v>163520</v>
      </c>
      <c r="M35">
        <f>IF(OR(G35&lt;2,G35&gt;10),"",VLOOKUP(数值对比!G35,命格辅助表!$W$77:$AB$87,数值对比!M$2+1,0)*定义数据!$F$2)</f>
        <v>19840</v>
      </c>
      <c r="N35">
        <f>IF(OR(H35&lt;2,H35&gt;10),"",VLOOKUP(数值对比!H35,命格辅助表!$W$77:$AB$87,数值对比!N$2+1,0)*定义数据!$F$2)</f>
        <v>3840</v>
      </c>
      <c r="O35" t="str">
        <f>IF(OR(I35&lt;2,I35&gt;10),"",VLOOKUP(数值对比!I35,命格辅助表!$W$77:$AB$87,数值对比!O$2+1,0)*定义数据!$F$2)</f>
        <v/>
      </c>
      <c r="P35" t="str">
        <f>IF(OR(J35&lt;2,J35&gt;10),"",VLOOKUP(数值对比!J35,命格辅助表!$W$77:$AB$87,数值对比!P$2+1,0)*定义数据!$F$2)</f>
        <v/>
      </c>
      <c r="Q35">
        <f t="shared" si="1"/>
        <v>3840</v>
      </c>
      <c r="R35">
        <f t="shared" si="2"/>
        <v>3840</v>
      </c>
      <c r="S35">
        <f>R35/$R$83*定义数据!$F$3</f>
        <v>4.2769857433808553E-2</v>
      </c>
      <c r="T35">
        <f t="shared" ref="T35:T98" si="4">S35-S34</f>
        <v>0</v>
      </c>
      <c r="V35">
        <f t="shared" si="3"/>
        <v>6.6599135867214873E-2</v>
      </c>
      <c r="W35">
        <f t="shared" ref="W35:W98" si="5">V35-V34</f>
        <v>6.3923655319493636E-3</v>
      </c>
      <c r="Y35">
        <f>'[2]1、经济推算'!$G34/3/60/60</f>
        <v>1.8740380111375678</v>
      </c>
    </row>
    <row r="36" spans="1:36">
      <c r="A36">
        <v>33</v>
      </c>
      <c r="B36">
        <f>'[2]1、经济推算'!$G35/'[2]1、经济推算'!$G$82</f>
        <v>1.0519370023838688E-2</v>
      </c>
      <c r="C36">
        <f>[1]人物总属性查询表!$C36/[1]人物总属性查询表!$C$83</f>
        <v>0.15516038794460918</v>
      </c>
      <c r="D36">
        <f t="shared" si="0"/>
        <v>14.749969588767128</v>
      </c>
      <c r="F36">
        <f>INT($C36/定义数据!$K$2*定义数据!$F$3)</f>
        <v>11</v>
      </c>
      <c r="G36">
        <f>INT($C36/定义数据!$K$3*定义数据!$F$3)</f>
        <v>6</v>
      </c>
      <c r="H36">
        <f>INT($C36/定义数据!$K$4*定义数据!$F$3)</f>
        <v>3</v>
      </c>
      <c r="I36">
        <f>INT($C36/定义数据!$K$5*定义数据!$F$3)</f>
        <v>1</v>
      </c>
      <c r="J36">
        <f>INT($C36/定义数据!$K$6*定义数据!$F$3)</f>
        <v>1</v>
      </c>
      <c r="K36">
        <f>IF(F36&lt;K$3,1,IF(G36&lt;K$3,2,IF(H36&lt;K$3,3,IF(I36&lt;K$3,4,5))))</f>
        <v>3</v>
      </c>
      <c r="L36" t="str">
        <f>IF(OR(F36&lt;2,F36&gt;10),"",VLOOKUP(数值对比!F36,命格辅助表!$W$77:$AB$87,数值对比!L$2+1,0)*定义数据!$F$2)</f>
        <v/>
      </c>
      <c r="M36">
        <f>IF(OR(G36&lt;2,G36&gt;10),"",VLOOKUP(数值对比!G36,命格辅助表!$W$77:$AB$87,数值对比!M$2+1,0)*定义数据!$F$2)</f>
        <v>19840</v>
      </c>
      <c r="N36">
        <f>IF(OR(H36&lt;2,H36&gt;10),"",VLOOKUP(数值对比!H36,命格辅助表!$W$77:$AB$87,数值对比!N$2+1,0)*定义数据!$F$2)</f>
        <v>3840</v>
      </c>
      <c r="O36" t="str">
        <f>IF(OR(I36&lt;2,I36&gt;10),"",VLOOKUP(数值对比!I36,命格辅助表!$W$77:$AB$87,数值对比!O$2+1,0)*定义数据!$F$2)</f>
        <v/>
      </c>
      <c r="P36" t="str">
        <f>IF(OR(J36&lt;2,J36&gt;10),"",VLOOKUP(数值对比!J36,命格辅助表!$W$77:$AB$87,数值对比!P$2+1,0)*定义数据!$F$2)</f>
        <v/>
      </c>
      <c r="Q36">
        <f t="shared" si="1"/>
        <v>3840</v>
      </c>
      <c r="R36">
        <f>Q36+$R$35</f>
        <v>7680</v>
      </c>
      <c r="S36">
        <f>R36/$R$83*定义数据!$F$3</f>
        <v>8.5539714867617106E-2</v>
      </c>
      <c r="T36">
        <f t="shared" si="4"/>
        <v>4.2769857433808553E-2</v>
      </c>
      <c r="V36">
        <f t="shared" si="3"/>
        <v>7.3635590166870823E-2</v>
      </c>
      <c r="W36">
        <f t="shared" si="5"/>
        <v>7.0364542996559504E-3</v>
      </c>
      <c r="Y36">
        <f>'[2]1、经济推算'!$G35/3/60/60</f>
        <v>2.072037319228877</v>
      </c>
      <c r="AD36" t="s">
        <v>220</v>
      </c>
    </row>
    <row r="37" spans="1:36">
      <c r="A37">
        <v>34</v>
      </c>
      <c r="B37">
        <f>'[2]1、经济推算'!$G36/'[2]1、经济推算'!$G$82</f>
        <v>1.1625861573656646E-2</v>
      </c>
      <c r="C37">
        <f>[1]人物总属性查询表!$C37/[1]人物总属性查询表!$C$83</f>
        <v>0.16345016635185519</v>
      </c>
      <c r="D37">
        <f t="shared" si="0"/>
        <v>14.059187382913739</v>
      </c>
      <c r="F37">
        <f>INT($C37/定义数据!$K$2*定义数据!$F$3)</f>
        <v>12</v>
      </c>
      <c r="G37">
        <f>INT($C37/定义数据!$K$3*定义数据!$F$3)</f>
        <v>6</v>
      </c>
      <c r="H37">
        <f>INT($C37/定义数据!$K$4*定义数据!$F$3)</f>
        <v>3</v>
      </c>
      <c r="I37">
        <f>INT($C37/定义数据!$K$5*定义数据!$F$3)</f>
        <v>2</v>
      </c>
      <c r="J37">
        <f>INT($C37/定义数据!$K$6*定义数据!$F$3)</f>
        <v>1</v>
      </c>
      <c r="K37">
        <f>IF(F37&lt;K$3,1,IF(G37&lt;K$3,2,IF(H37&lt;K$3,3,IF(I37&lt;K$3,4,5))))</f>
        <v>3</v>
      </c>
      <c r="L37" t="str">
        <f>IF(OR(F37&lt;2,F37&gt;10),"",VLOOKUP(数值对比!F37,命格辅助表!$W$77:$AB$87,数值对比!L$2+1,0)*定义数据!$F$2)</f>
        <v/>
      </c>
      <c r="M37">
        <f>IF(OR(G37&lt;2,G37&gt;10),"",VLOOKUP(数值对比!G37,命格辅助表!$W$77:$AB$87,数值对比!M$2+1,0)*定义数据!$F$2)</f>
        <v>19840</v>
      </c>
      <c r="N37">
        <f>IF(OR(H37&lt;2,H37&gt;10),"",VLOOKUP(数值对比!H37,命格辅助表!$W$77:$AB$87,数值对比!N$2+1,0)*定义数据!$F$2)</f>
        <v>3840</v>
      </c>
      <c r="O37">
        <f>IF(OR(I37&lt;2,I37&gt;10),"",VLOOKUP(数值对比!I37,命格辅助表!$W$77:$AB$87,数值对比!O$2+1,0)*定义数据!$F$2)</f>
        <v>2560</v>
      </c>
      <c r="P37" t="str">
        <f>IF(OR(J37&lt;2,J37&gt;10),"",VLOOKUP(数值对比!J37,命格辅助表!$W$77:$AB$87,数值对比!P$2+1,0)*定义数据!$F$2)</f>
        <v/>
      </c>
      <c r="Q37">
        <f t="shared" si="1"/>
        <v>2560</v>
      </c>
      <c r="R37">
        <f t="shared" ref="R37:R43" si="6">Q37+$R$35</f>
        <v>6400</v>
      </c>
      <c r="S37">
        <f>R37/$R$83*定义数据!$F$3</f>
        <v>7.1283095723014264E-2</v>
      </c>
      <c r="T37">
        <f t="shared" si="4"/>
        <v>-1.4256619144602842E-2</v>
      </c>
      <c r="V37">
        <f t="shared" si="3"/>
        <v>8.1381031015596517E-2</v>
      </c>
      <c r="W37">
        <f t="shared" si="5"/>
        <v>7.7454408487256932E-3</v>
      </c>
      <c r="Y37">
        <f>'[2]1、经济推算'!$G36/3/60/60</f>
        <v>2.289986852274922</v>
      </c>
      <c r="AB37" t="s">
        <v>219</v>
      </c>
      <c r="AC37" t="s">
        <v>222</v>
      </c>
      <c r="AD37" s="11" t="str">
        <f>定义数据!B3</f>
        <v>绿色</v>
      </c>
      <c r="AE37" s="11" t="str">
        <f>定义数据!B4</f>
        <v>蓝色</v>
      </c>
      <c r="AF37" s="11" t="str">
        <f>定义数据!B5</f>
        <v>紫色</v>
      </c>
      <c r="AG37" s="11" t="str">
        <f>定义数据!B6</f>
        <v>橙色</v>
      </c>
      <c r="AH37" s="11" t="str">
        <f>定义数据!B7</f>
        <v>红色</v>
      </c>
      <c r="AI37" s="23" t="s">
        <v>221</v>
      </c>
    </row>
    <row r="38" spans="1:36">
      <c r="A38">
        <v>35</v>
      </c>
      <c r="B38">
        <f>'[2]1、经济推算'!$G37/'[2]1、经济推算'!$G$82</f>
        <v>1.2843842176351506E-2</v>
      </c>
      <c r="C38">
        <f>[1]人物总属性查询表!$C38/[1]人物总属性查询表!$C$83</f>
        <v>0.1719176224798914</v>
      </c>
      <c r="D38">
        <f t="shared" si="0"/>
        <v>13.385217610072447</v>
      </c>
      <c r="F38">
        <f>INT($C38/定义数据!$K$2*定义数据!$F$3)</f>
        <v>12</v>
      </c>
      <c r="G38">
        <f>INT($C38/定义数据!$K$3*定义数据!$F$3)</f>
        <v>7</v>
      </c>
      <c r="H38">
        <f>INT($C38/定义数据!$K$4*定义数据!$F$3)</f>
        <v>3</v>
      </c>
      <c r="I38">
        <f>INT($C38/定义数据!$K$5*定义数据!$F$3)</f>
        <v>2</v>
      </c>
      <c r="J38">
        <f>INT($C38/定义数据!$K$6*定义数据!$F$3)</f>
        <v>1</v>
      </c>
      <c r="K38">
        <f>IF(F38&lt;K$3,1,IF(G38&lt;K$3,2,IF(H38&lt;K$3,3,IF(I38&lt;K$3,4,5))))</f>
        <v>3</v>
      </c>
      <c r="L38" t="str">
        <f>IF(OR(F38&lt;2,F38&gt;10),"",VLOOKUP(数值对比!F38,命格辅助表!$W$77:$AB$87,数值对比!L$2+1,0)*定义数据!$F$2)</f>
        <v/>
      </c>
      <c r="M38">
        <f>IF(OR(G38&lt;2,G38&gt;10),"",VLOOKUP(数值对比!G38,命格辅助表!$W$77:$AB$87,数值对比!M$2+1,0)*定义数据!$F$2)</f>
        <v>40320</v>
      </c>
      <c r="N38">
        <f>IF(OR(H38&lt;2,H38&gt;10),"",VLOOKUP(数值对比!H38,命格辅助表!$W$77:$AB$87,数值对比!N$2+1,0)*定义数据!$F$2)</f>
        <v>3840</v>
      </c>
      <c r="O38">
        <f>IF(OR(I38&lt;2,I38&gt;10),"",VLOOKUP(数值对比!I38,命格辅助表!$W$77:$AB$87,数值对比!O$2+1,0)*定义数据!$F$2)</f>
        <v>2560</v>
      </c>
      <c r="P38" t="str">
        <f>IF(OR(J38&lt;2,J38&gt;10),"",VLOOKUP(数值对比!J38,命格辅助表!$W$77:$AB$87,数值对比!P$2+1,0)*定义数据!$F$2)</f>
        <v/>
      </c>
      <c r="Q38">
        <f t="shared" si="1"/>
        <v>2560</v>
      </c>
      <c r="R38">
        <f t="shared" si="6"/>
        <v>6400</v>
      </c>
      <c r="S38">
        <f>R38/$R$83*定义数据!$F$3</f>
        <v>7.1283095723014264E-2</v>
      </c>
      <c r="T38">
        <f t="shared" si="4"/>
        <v>0</v>
      </c>
      <c r="V38">
        <f t="shared" si="3"/>
        <v>8.9906895234460535E-2</v>
      </c>
      <c r="W38">
        <f t="shared" si="5"/>
        <v>8.5258642188640182E-3</v>
      </c>
      <c r="Y38">
        <f>'[2]1、经济推算'!$G37/3/60/60</f>
        <v>2.5298967762686106</v>
      </c>
      <c r="AB38">
        <f>[2]命币的投放!$K46</f>
        <v>45.5</v>
      </c>
      <c r="AC38">
        <f>'[2]1、经济推算'!$I37</f>
        <v>0.47981984798737787</v>
      </c>
      <c r="AD38">
        <f>$AB38*$AC38*VLOOKUP(AD$37,猎命辅助表!$B$19:$D$25,3,0)</f>
        <v>12.611223422243164</v>
      </c>
      <c r="AE38">
        <f>$AB38*$AC38*VLOOKUP(AE$37,猎命辅助表!$B$19:$D$25,3,0)</f>
        <v>2.0400345607949335</v>
      </c>
      <c r="AF38">
        <f>$AB38*$AC38*VLOOKUP(AF$37,猎命辅助表!$B$19:$D$25,3,0)</f>
        <v>0.27361049850401098</v>
      </c>
      <c r="AG38">
        <f>$AB38*$AC38*VLOOKUP(AG$37,猎命辅助表!$B$19:$D$25,3,0)</f>
        <v>3.5883344066099811E-2</v>
      </c>
      <c r="AH38">
        <f>$AB38*$AC38*VLOOKUP(AH$37,猎命辅助表!$B$19:$D$25,3,0)</f>
        <v>4.4854180082624763E-3</v>
      </c>
      <c r="AI38">
        <f>SUMPRODUCT(AD38:AH38,命格辅助表!$Q$76:$U$76)</f>
        <v>362.89135957020147</v>
      </c>
      <c r="AJ38">
        <f t="shared" ref="AJ38:AJ69" si="7">R38/AI38</f>
        <v>17.63613222309835</v>
      </c>
    </row>
    <row r="39" spans="1:36">
      <c r="A39">
        <v>36</v>
      </c>
      <c r="B39">
        <f>'[2]1、经济推算'!$G38/'[2]1、经济推算'!$G$82</f>
        <v>1.4184545364536722E-2</v>
      </c>
      <c r="C39">
        <f>[1]人物总属性查询表!$C39/[1]人物总属性查询表!$C$83</f>
        <v>0.1805600692508281</v>
      </c>
      <c r="D39">
        <f t="shared" si="0"/>
        <v>12.729351883371084</v>
      </c>
      <c r="F39">
        <f>INT($C39/定义数据!$K$2*定义数据!$F$3)</f>
        <v>13</v>
      </c>
      <c r="G39">
        <f>INT($C39/定义数据!$K$3*定义数据!$F$3)</f>
        <v>7</v>
      </c>
      <c r="H39">
        <f>INT($C39/定义数据!$K$4*定义数据!$F$3)</f>
        <v>4</v>
      </c>
      <c r="I39">
        <f>INT($C39/定义数据!$K$5*定义数据!$F$3)</f>
        <v>2</v>
      </c>
      <c r="J39">
        <f>INT($C39/定义数据!$K$6*定义数据!$F$3)</f>
        <v>1</v>
      </c>
      <c r="K39">
        <f>IF(F39&lt;K$3,1,IF(G39&lt;K$3,2,IF(H39&lt;K$3,3,IF(I39&lt;K$3,4,5))))</f>
        <v>3</v>
      </c>
      <c r="L39" t="str">
        <f>IF(OR(F39&lt;2,F39&gt;10),"",VLOOKUP(数值对比!F39,命格辅助表!$W$77:$AB$87,数值对比!L$2+1,0)*定义数据!$F$2)</f>
        <v/>
      </c>
      <c r="M39">
        <f>IF(OR(G39&lt;2,G39&gt;10),"",VLOOKUP(数值对比!G39,命格辅助表!$W$77:$AB$87,数值对比!M$2+1,0)*定义数据!$F$2)</f>
        <v>40320</v>
      </c>
      <c r="N39">
        <f>IF(OR(H39&lt;2,H39&gt;10),"",VLOOKUP(数值对比!H39,命格辅助表!$W$77:$AB$87,数值对比!N$2+1,0)*定义数据!$F$2)</f>
        <v>8960</v>
      </c>
      <c r="O39">
        <f>IF(OR(I39&lt;2,I39&gt;10),"",VLOOKUP(数值对比!I39,命格辅助表!$W$77:$AB$87,数值对比!O$2+1,0)*定义数据!$F$2)</f>
        <v>2560</v>
      </c>
      <c r="P39" t="str">
        <f>IF(OR(J39&lt;2,J39&gt;10),"",VLOOKUP(数值对比!J39,命格辅助表!$W$77:$AB$87,数值对比!P$2+1,0)*定义数据!$F$2)</f>
        <v/>
      </c>
      <c r="Q39">
        <f t="shared" si="1"/>
        <v>2560</v>
      </c>
      <c r="R39">
        <f t="shared" si="6"/>
        <v>6400</v>
      </c>
      <c r="S39">
        <f>R39/$R$83*定义数据!$F$3</f>
        <v>7.1283095723014264E-2</v>
      </c>
      <c r="T39">
        <f t="shared" si="4"/>
        <v>0</v>
      </c>
      <c r="V39">
        <f t="shared" si="3"/>
        <v>9.9291817551757047E-2</v>
      </c>
      <c r="W39">
        <f t="shared" si="5"/>
        <v>9.3849223172965124E-3</v>
      </c>
      <c r="Y39">
        <f>'[2]1、经济推算'!$G38/3/60/60</f>
        <v>2.7939797996467703</v>
      </c>
      <c r="Z39" t="s">
        <v>122</v>
      </c>
      <c r="AB39">
        <f>[2]命币的投放!$K47</f>
        <v>46</v>
      </c>
      <c r="AC39">
        <f>'[2]1、经济推算'!$I38+AC38</f>
        <v>1.0079858947436973</v>
      </c>
      <c r="AD39">
        <f>$AB39*$AC39*VLOOKUP(AD$37,猎命辅助表!$B$19:$D$25,3,0)</f>
        <v>26.784275339938521</v>
      </c>
      <c r="AE39">
        <f>$AB39*$AC39*VLOOKUP(AE$37,猎命辅助表!$B$19:$D$25,3,0)</f>
        <v>4.3327158317525916</v>
      </c>
      <c r="AF39">
        <f>$AB39*$AC39*VLOOKUP(AF$37,猎命辅助表!$B$19:$D$25,3,0)</f>
        <v>0.58110610544759911</v>
      </c>
      <c r="AG39">
        <f>$AB39*$AC39*VLOOKUP(AG$37,猎命辅助表!$B$19:$D$25,3,0)</f>
        <v>7.6210636780013011E-2</v>
      </c>
      <c r="AH39">
        <f>$AB39*$AC39*VLOOKUP(AH$37,猎命辅助表!$B$19:$D$25,3,0)</f>
        <v>9.5263295975016263E-3</v>
      </c>
      <c r="AI39">
        <f>SUMPRODUCT(AD39:AH39,命格辅助表!$Q$76:$U$76)</f>
        <v>770.72475586068458</v>
      </c>
      <c r="AJ39">
        <f t="shared" si="7"/>
        <v>8.3038723634262723</v>
      </c>
    </row>
    <row r="40" spans="1:36">
      <c r="A40">
        <v>37</v>
      </c>
      <c r="B40">
        <f>'[2]1、经济推算'!$G39/'[2]1、经济推算'!$G$82</f>
        <v>1.5660336551057225E-2</v>
      </c>
      <c r="C40">
        <f>[1]人物总属性查询表!$C40/[1]人物总属性查询表!$C$83</f>
        <v>0.18937477232228428</v>
      </c>
      <c r="D40">
        <f t="shared" si="0"/>
        <v>12.092637454173975</v>
      </c>
      <c r="F40">
        <f>INT($C40/定义数据!$K$2*定义数据!$F$3)</f>
        <v>13</v>
      </c>
      <c r="G40">
        <f>INT($C40/定义数据!$K$3*定义数据!$F$3)</f>
        <v>7</v>
      </c>
      <c r="H40">
        <f>INT($C40/定义数据!$K$4*定义数据!$F$3)</f>
        <v>4</v>
      </c>
      <c r="I40">
        <f>INT($C40/定义数据!$K$5*定义数据!$F$3)</f>
        <v>2</v>
      </c>
      <c r="J40">
        <f>INT($C40/定义数据!$K$6*定义数据!$F$3)</f>
        <v>1</v>
      </c>
      <c r="K40">
        <f t="shared" ref="K40:K103" si="8">IF(F40&lt;K$3,1,IF(G40&lt;K$3,2,IF(H40&lt;K$3,3,IF(I40&lt;K$3,4,5))))</f>
        <v>3</v>
      </c>
      <c r="L40" t="str">
        <f>IF(OR(F40&lt;2,F40&gt;10),"",VLOOKUP(数值对比!F40,命格辅助表!$W$77:$AB$87,数值对比!L$2+1,0)*定义数据!$F$2)</f>
        <v/>
      </c>
      <c r="M40">
        <f>IF(OR(G40&lt;2,G40&gt;10),"",VLOOKUP(数值对比!G40,命格辅助表!$W$77:$AB$87,数值对比!M$2+1,0)*定义数据!$F$2)</f>
        <v>40320</v>
      </c>
      <c r="N40">
        <f>IF(OR(H40&lt;2,H40&gt;10),"",VLOOKUP(数值对比!H40,命格辅助表!$W$77:$AB$87,数值对比!N$2+1,0)*定义数据!$F$2)</f>
        <v>8960</v>
      </c>
      <c r="O40">
        <f>IF(OR(I40&lt;2,I40&gt;10),"",VLOOKUP(数值对比!I40,命格辅助表!$W$77:$AB$87,数值对比!O$2+1,0)*定义数据!$F$2)</f>
        <v>2560</v>
      </c>
      <c r="P40" t="str">
        <f>IF(OR(J40&lt;2,J40&gt;10),"",VLOOKUP(数值对比!J40,命格辅助表!$W$77:$AB$87,数值对比!P$2+1,0)*定义数据!$F$2)</f>
        <v/>
      </c>
      <c r="Q40">
        <f t="shared" si="1"/>
        <v>2560</v>
      </c>
      <c r="R40">
        <f t="shared" si="6"/>
        <v>6400</v>
      </c>
      <c r="S40">
        <f>R40/$R$83*定义数据!$F$3</f>
        <v>7.1283095723014264E-2</v>
      </c>
      <c r="T40">
        <f t="shared" si="4"/>
        <v>0</v>
      </c>
      <c r="U40">
        <f>S40/V40</f>
        <v>0.65026057108041946</v>
      </c>
      <c r="V40">
        <f t="shared" si="3"/>
        <v>0.10962235585740057</v>
      </c>
      <c r="W40">
        <f t="shared" si="5"/>
        <v>1.0330538305643525E-2</v>
      </c>
      <c r="Y40">
        <f>'[2]1、经济推算'!$G39/3/60/60</f>
        <v>3.0846715812772136</v>
      </c>
      <c r="Z40">
        <f t="shared" ref="Z40:Z71" si="9">R40/Y40</f>
        <v>2074.7751685610788</v>
      </c>
      <c r="AB40">
        <f>[2]命币的投放!$K48</f>
        <v>46.5</v>
      </c>
      <c r="AC40">
        <f>'[2]1、经济推算'!$I39+AC39</f>
        <v>1.5893694580045836</v>
      </c>
      <c r="AD40">
        <f>$AB40*$AC40*VLOOKUP(AD$37,猎命辅助表!$B$19:$D$25,3,0)</f>
        <v>42.691894780005882</v>
      </c>
      <c r="AE40">
        <f>$AB40*$AC40*VLOOKUP(AE$37,猎命辅助表!$B$19:$D$25,3,0)</f>
        <v>6.9059866676711019</v>
      </c>
      <c r="AF40">
        <f>$AB40*$AC40*VLOOKUP(AF$37,猎命辅助表!$B$19:$D$25,3,0)</f>
        <v>0.92623453107934073</v>
      </c>
      <c r="AG40">
        <f>$AB40*$AC40*VLOOKUP(AG$37,猎命辅助表!$B$19:$D$25,3,0)</f>
        <v>0.12147338112515946</v>
      </c>
      <c r="AH40">
        <f>$AB40*$AC40*VLOOKUP(AH$37,猎命辅助表!$B$19:$D$25,3,0)</f>
        <v>1.5184172640644932E-2</v>
      </c>
      <c r="AI40">
        <f>SUMPRODUCT(AD40:AH40,命格辅助表!$Q$76:$U$76)</f>
        <v>1228.470801018341</v>
      </c>
      <c r="AJ40">
        <f t="shared" si="7"/>
        <v>5.2097290344180092</v>
      </c>
    </row>
    <row r="41" spans="1:36">
      <c r="A41">
        <v>38</v>
      </c>
      <c r="B41">
        <f>'[2]1、经济推算'!$G40/'[2]1、经济推算'!$G$82</f>
        <v>1.7284827076182098E-2</v>
      </c>
      <c r="C41">
        <f>[1]人物总属性查询表!$C41/[1]人物总属性查询表!$C$83</f>
        <v>0.19835895181608013</v>
      </c>
      <c r="D41">
        <f t="shared" si="0"/>
        <v>11.475900276110485</v>
      </c>
      <c r="F41">
        <f>INT($C41/定义数据!$K$2*定义数据!$F$3)</f>
        <v>14</v>
      </c>
      <c r="G41">
        <f>INT($C41/定义数据!$K$3*定义数据!$F$3)</f>
        <v>8</v>
      </c>
      <c r="H41">
        <f>INT($C41/定义数据!$K$4*定义数据!$F$3)</f>
        <v>4</v>
      </c>
      <c r="I41">
        <f>INT($C41/定义数据!$K$5*定义数据!$F$3)</f>
        <v>2</v>
      </c>
      <c r="J41">
        <f>INT($C41/定义数据!$K$6*定义数据!$F$3)</f>
        <v>1</v>
      </c>
      <c r="K41">
        <f t="shared" si="8"/>
        <v>3</v>
      </c>
      <c r="L41" t="str">
        <f>IF(OR(F41&lt;2,F41&gt;10),"",VLOOKUP(数值对比!F41,命格辅助表!$W$77:$AB$87,数值对比!L$2+1,0)*定义数据!$F$2)</f>
        <v/>
      </c>
      <c r="M41">
        <f>IF(OR(G41&lt;2,G41&gt;10),"",VLOOKUP(数值对比!G41,命格辅助表!$W$77:$AB$87,数值对比!M$2+1,0)*定义数据!$F$2)</f>
        <v>81280</v>
      </c>
      <c r="N41">
        <f>IF(OR(H41&lt;2,H41&gt;10),"",VLOOKUP(数值对比!H41,命格辅助表!$W$77:$AB$87,数值对比!N$2+1,0)*定义数据!$F$2)</f>
        <v>8960</v>
      </c>
      <c r="O41">
        <f>IF(OR(I41&lt;2,I41&gt;10),"",VLOOKUP(数值对比!I41,命格辅助表!$W$77:$AB$87,数值对比!O$2+1,0)*定义数据!$F$2)</f>
        <v>2560</v>
      </c>
      <c r="P41" t="str">
        <f>IF(OR(J41&lt;2,J41&gt;10),"",VLOOKUP(数值对比!J41,命格辅助表!$W$77:$AB$87,数值对比!P$2+1,0)*定义数据!$F$2)</f>
        <v/>
      </c>
      <c r="Q41">
        <f t="shared" si="1"/>
        <v>2560</v>
      </c>
      <c r="R41">
        <f t="shared" si="6"/>
        <v>6400</v>
      </c>
      <c r="S41">
        <f>R41/$R$83*定义数据!$F$3</f>
        <v>7.1283095723014264E-2</v>
      </c>
      <c r="T41">
        <f t="shared" si="4"/>
        <v>0</v>
      </c>
      <c r="U41">
        <f t="shared" ref="U41:U103" si="10">S41/V41</f>
        <v>0.58914673222471958</v>
      </c>
      <c r="V41">
        <f t="shared" si="3"/>
        <v>0.12099378953327469</v>
      </c>
      <c r="W41">
        <f t="shared" si="5"/>
        <v>1.1371433675874121E-2</v>
      </c>
      <c r="Y41">
        <f>'[2]1、经济推算'!$G40/3/60/60</f>
        <v>3.4046531947354821</v>
      </c>
      <c r="Z41">
        <f t="shared" si="9"/>
        <v>1879.7802988851074</v>
      </c>
      <c r="AB41">
        <f>[2]命币的投放!$K49</f>
        <v>47</v>
      </c>
      <c r="AC41">
        <f>'[2]1、经济推算'!$I40+AC40</f>
        <v>2.229332684921121</v>
      </c>
      <c r="AD41">
        <f>$AB41*$AC41*VLOOKUP(AD$37,猎命辅助表!$B$19:$D$25,3,0)</f>
        <v>60.525774524299287</v>
      </c>
      <c r="AE41">
        <f>$AB41*$AC41*VLOOKUP(AE$37,猎命辅助表!$B$19:$D$25,3,0)</f>
        <v>9.7908559474628341</v>
      </c>
      <c r="AF41">
        <f>$AB41*$AC41*VLOOKUP(AF$37,猎命辅助表!$B$19:$D$25,3,0)</f>
        <v>1.3131547023999419</v>
      </c>
      <c r="AG41">
        <f>$AB41*$AC41*VLOOKUP(AG$37,猎命辅助表!$B$19:$D$25,3,0)</f>
        <v>0.17221701015081209</v>
      </c>
      <c r="AH41">
        <f>$AB41*$AC41*VLOOKUP(AH$37,猎命辅助表!$B$19:$D$25,3,0)</f>
        <v>2.1527126268851511E-2</v>
      </c>
      <c r="AI41">
        <f>SUMPRODUCT(AD41:AH41,命格辅助表!$Q$76:$U$76)</f>
        <v>1741.6455066066571</v>
      </c>
      <c r="AJ41">
        <f t="shared" si="7"/>
        <v>3.6746857932470247</v>
      </c>
    </row>
    <row r="42" spans="1:36">
      <c r="A42">
        <v>39</v>
      </c>
      <c r="B42">
        <f>'[2]1、经济推算'!$G41/'[2]1、经济推算'!$G$82</f>
        <v>1.9072999746085638E-2</v>
      </c>
      <c r="C42">
        <f>[1]人物总属性查询表!$C42/[1]人物总属性查询表!$C$83</f>
        <v>0.20750978404693057</v>
      </c>
      <c r="D42">
        <f t="shared" si="0"/>
        <v>10.879766518610579</v>
      </c>
      <c r="F42">
        <f>INT($C42/定义数据!$K$2*定义数据!$F$3)</f>
        <v>15</v>
      </c>
      <c r="G42">
        <f>INT($C42/定义数据!$K$3*定义数据!$F$3)</f>
        <v>8</v>
      </c>
      <c r="H42">
        <f>INT($C42/定义数据!$K$4*定义数据!$F$3)</f>
        <v>4</v>
      </c>
      <c r="I42">
        <f>INT($C42/定义数据!$K$5*定义数据!$F$3)</f>
        <v>2</v>
      </c>
      <c r="J42">
        <f>INT($C42/定义数据!$K$6*定义数据!$F$3)</f>
        <v>1</v>
      </c>
      <c r="K42">
        <f t="shared" si="8"/>
        <v>3</v>
      </c>
      <c r="L42" t="str">
        <f>IF(OR(F42&lt;2,F42&gt;10),"",VLOOKUP(数值对比!F42,命格辅助表!$W$77:$AB$87,数值对比!L$2+1,0)*定义数据!$F$2)</f>
        <v/>
      </c>
      <c r="M42">
        <f>IF(OR(G42&lt;2,G42&gt;10),"",VLOOKUP(数值对比!G42,命格辅助表!$W$77:$AB$87,数值对比!M$2+1,0)*定义数据!$F$2)</f>
        <v>81280</v>
      </c>
      <c r="N42">
        <f>IF(OR(H42&lt;2,H42&gt;10),"",VLOOKUP(数值对比!H42,命格辅助表!$W$77:$AB$87,数值对比!N$2+1,0)*定义数据!$F$2)</f>
        <v>8960</v>
      </c>
      <c r="O42">
        <f>IF(OR(I42&lt;2,I42&gt;10),"",VLOOKUP(数值对比!I42,命格辅助表!$W$77:$AB$87,数值对比!O$2+1,0)*定义数据!$F$2)</f>
        <v>2560</v>
      </c>
      <c r="P42" t="str">
        <f>IF(OR(J42&lt;2,J42&gt;10),"",VLOOKUP(数值对比!J42,命格辅助表!$W$77:$AB$87,数值对比!P$2+1,0)*定义数据!$F$2)</f>
        <v/>
      </c>
      <c r="Q42">
        <f t="shared" si="1"/>
        <v>2560</v>
      </c>
      <c r="R42">
        <f t="shared" si="6"/>
        <v>6400</v>
      </c>
      <c r="S42">
        <f>R42/$R$83*定义数据!$F$3</f>
        <v>7.1283095723014264E-2</v>
      </c>
      <c r="T42">
        <f t="shared" si="4"/>
        <v>0</v>
      </c>
      <c r="U42">
        <f t="shared" si="10"/>
        <v>0.53391178758296598</v>
      </c>
      <c r="V42">
        <f t="shared" si="3"/>
        <v>0.13351099822259946</v>
      </c>
      <c r="W42">
        <f t="shared" si="5"/>
        <v>1.2517208689324766E-2</v>
      </c>
      <c r="Y42">
        <f>'[2]1、经济推算'!$G41/3/60/60</f>
        <v>3.75687585606109</v>
      </c>
      <c r="Z42">
        <f t="shared" si="9"/>
        <v>1703.5431153985755</v>
      </c>
      <c r="AB42">
        <f>[2]命币的投放!$K50</f>
        <v>47.5</v>
      </c>
      <c r="AC42">
        <f>'[2]1、经济推算'!$I41+AC41</f>
        <v>2.9337780075723354</v>
      </c>
      <c r="AD42">
        <f>$AB42*$AC42*VLOOKUP(AD$37,猎命辅助表!$B$19:$D$25,3,0)</f>
        <v>80.49862692102694</v>
      </c>
      <c r="AE42">
        <f>$AB42*$AC42*VLOOKUP(AE$37,猎命辅助表!$B$19:$D$25,3,0)</f>
        <v>13.021732746863234</v>
      </c>
      <c r="AF42">
        <f>$AB42*$AC42*VLOOKUP(AF$37,猎命辅助表!$B$19:$D$25,3,0)</f>
        <v>1.7464815825801094</v>
      </c>
      <c r="AG42">
        <f>$AB42*$AC42*VLOOKUP(AG$37,猎命辅助表!$B$19:$D$25,3,0)</f>
        <v>0.22904676492853898</v>
      </c>
      <c r="AH42">
        <f>$AB42*$AC42*VLOOKUP(AH$37,猎命辅助表!$B$19:$D$25,3,0)</f>
        <v>2.8630845616067373E-2</v>
      </c>
      <c r="AI42">
        <f>SUMPRODUCT(AD42:AH42,命格辅助表!$Q$76:$U$76)</f>
        <v>2316.369727887185</v>
      </c>
      <c r="AJ42">
        <f t="shared" si="7"/>
        <v>2.7629440684486881</v>
      </c>
    </row>
    <row r="43" spans="1:36">
      <c r="A43">
        <v>40</v>
      </c>
      <c r="B43">
        <f>'[2]1、经济推算'!$G42/'[2]1、经济推算'!$G$82</f>
        <v>2.1041347020468275E-2</v>
      </c>
      <c r="C43">
        <f>[1]人物总属性查询表!$C43/[1]人物总属性查询表!$C$83</f>
        <v>0.21877777625340061</v>
      </c>
      <c r="D43">
        <f t="shared" si="0"/>
        <v>10.397517613324915</v>
      </c>
      <c r="F43">
        <f>INT($C43/定义数据!$K$2*定义数据!$F$3)</f>
        <v>16</v>
      </c>
      <c r="G43">
        <f>INT($C43/定义数据!$K$3*定义数据!$F$3)</f>
        <v>8</v>
      </c>
      <c r="H43">
        <f>INT($C43/定义数据!$K$4*定义数据!$F$3)</f>
        <v>4</v>
      </c>
      <c r="I43">
        <f>INT($C43/定义数据!$K$5*定义数据!$F$3)</f>
        <v>2</v>
      </c>
      <c r="J43">
        <f>INT($C43/定义数据!$K$6*定义数据!$F$3)</f>
        <v>1</v>
      </c>
      <c r="K43">
        <f t="shared" si="8"/>
        <v>3</v>
      </c>
      <c r="L43" t="str">
        <f>IF(OR(F43&lt;2,F43&gt;10),"",VLOOKUP(数值对比!F43,命格辅助表!$W$77:$AB$87,数值对比!L$2+1,0)*定义数据!$F$2)</f>
        <v/>
      </c>
      <c r="M43">
        <f>IF(OR(G43&lt;2,G43&gt;10),"",VLOOKUP(数值对比!G43,命格辅助表!$W$77:$AB$87,数值对比!M$2+1,0)*定义数据!$F$2)</f>
        <v>81280</v>
      </c>
      <c r="N43">
        <f>IF(OR(H43&lt;2,H43&gt;10),"",VLOOKUP(数值对比!H43,命格辅助表!$W$77:$AB$87,数值对比!N$2+1,0)*定义数据!$F$2)</f>
        <v>8960</v>
      </c>
      <c r="O43">
        <f>IF(OR(I43&lt;2,I43&gt;10),"",VLOOKUP(数值对比!I43,命格辅助表!$W$77:$AB$87,数值对比!O$2+1,0)*定义数据!$F$2)</f>
        <v>2560</v>
      </c>
      <c r="P43" t="str">
        <f>IF(OR(J43&lt;2,J43&gt;10),"",VLOOKUP(数值对比!J43,命格辅助表!$W$77:$AB$87,数值对比!P$2+1,0)*定义数据!$F$2)</f>
        <v/>
      </c>
      <c r="Q43">
        <f t="shared" si="1"/>
        <v>2560</v>
      </c>
      <c r="R43">
        <f t="shared" si="6"/>
        <v>6400</v>
      </c>
      <c r="S43">
        <f>R43/$R$83*定义数据!$F$3</f>
        <v>7.1283095723014264E-2</v>
      </c>
      <c r="T43">
        <f t="shared" si="4"/>
        <v>0</v>
      </c>
      <c r="U43">
        <f t="shared" si="10"/>
        <v>0.48396613482473755</v>
      </c>
      <c r="V43">
        <f t="shared" si="3"/>
        <v>0.14728942914327792</v>
      </c>
      <c r="W43">
        <f t="shared" si="5"/>
        <v>1.3778430920678458E-2</v>
      </c>
      <c r="Y43">
        <f>'[2]1、经济推算'!$G42/3/60/60</f>
        <v>4.144588143059333</v>
      </c>
      <c r="Z43">
        <f t="shared" si="9"/>
        <v>1544.1823841333078</v>
      </c>
      <c r="AB43">
        <f>[2]命币的投放!$K51</f>
        <v>48</v>
      </c>
      <c r="AC43">
        <f>'[2]1、经济推算'!$I42+AC42</f>
        <v>3.7092025815688219</v>
      </c>
      <c r="AD43">
        <f>$AB43*$AC43*VLOOKUP(AD$37,猎命辅助表!$B$19:$D$25,3,0)</f>
        <v>102.84647356872848</v>
      </c>
      <c r="AE43">
        <f>$AB43*$AC43*VLOOKUP(AE$37,猎命辅助表!$B$19:$D$25,3,0)</f>
        <v>16.636796725528928</v>
      </c>
      <c r="AF43">
        <f>$AB43*$AC43*VLOOKUP(AF$37,猎命辅助表!$B$19:$D$25,3,0)</f>
        <v>2.231335847471184</v>
      </c>
      <c r="AG43">
        <f>$AB43*$AC43*VLOOKUP(AG$37,猎命辅助表!$B$19:$D$25,3,0)</f>
        <v>0.2926342095044176</v>
      </c>
      <c r="AH43">
        <f>$AB43*$AC43*VLOOKUP(AH$37,猎命辅助表!$B$19:$D$25,3,0)</f>
        <v>3.65792761880522E-2</v>
      </c>
      <c r="AI43">
        <f>SUMPRODUCT(AD43:AH43,命格辅助表!$Q$76:$U$76)</f>
        <v>2959.4350500943051</v>
      </c>
      <c r="AJ43">
        <f t="shared" si="7"/>
        <v>2.1625749143560551</v>
      </c>
    </row>
    <row r="44" spans="1:36">
      <c r="A44">
        <v>41</v>
      </c>
      <c r="B44">
        <f>'[2]1、经济推算'!$G43/'[2]1、经济推算'!$G$82</f>
        <v>2.3208023123832803E-2</v>
      </c>
      <c r="C44">
        <f>[1]人物总属性查询表!$C44/[1]人物总属性查询表!$C$83</f>
        <v>0.23027007705765945</v>
      </c>
      <c r="D44">
        <f t="shared" si="0"/>
        <v>9.9220030861306014</v>
      </c>
      <c r="F44">
        <f>INT($C44/定义数据!$K$2*定义数据!$F$3)</f>
        <v>16</v>
      </c>
      <c r="G44">
        <f>INT($C44/定义数据!$K$3*定义数据!$F$3)</f>
        <v>9</v>
      </c>
      <c r="H44">
        <f>INT($C44/定义数据!$K$4*定义数据!$F$3)</f>
        <v>5</v>
      </c>
      <c r="I44">
        <f>INT($C44/定义数据!$K$5*定义数据!$F$3)</f>
        <v>2</v>
      </c>
      <c r="J44">
        <f>INT($C44/定义数据!$K$6*定义数据!$F$3)</f>
        <v>1</v>
      </c>
      <c r="K44">
        <f t="shared" si="8"/>
        <v>3</v>
      </c>
      <c r="L44" t="str">
        <f>IF(OR(F44&lt;2,F44&gt;10),"",VLOOKUP(数值对比!F44,命格辅助表!$W$77:$AB$87,数值对比!L$2+1,0)*定义数据!$F$2)</f>
        <v/>
      </c>
      <c r="M44">
        <f>IF(OR(G44&lt;2,G44&gt;10),"",VLOOKUP(数值对比!G44,命格辅助表!$W$77:$AB$87,数值对比!M$2+1,0)*定义数据!$F$2)</f>
        <v>163200</v>
      </c>
      <c r="N44">
        <f>IF(OR(H44&lt;2,H44&gt;10),"",VLOOKUP(数值对比!H44,命格辅助表!$W$77:$AB$87,数值对比!N$2+1,0)*定义数据!$F$2)</f>
        <v>19200</v>
      </c>
      <c r="O44">
        <f>IF(OR(I44&lt;2,I44&gt;10),"",VLOOKUP(数值对比!I44,命格辅助表!$W$77:$AB$87,数值对比!O$2+1,0)*定义数据!$F$2)</f>
        <v>2560</v>
      </c>
      <c r="P44" t="str">
        <f>IF(OR(J44&lt;2,J44&gt;10),"",VLOOKUP(数值对比!J44,命格辅助表!$W$77:$AB$87,数值对比!P$2+1,0)*定义数据!$F$2)</f>
        <v/>
      </c>
      <c r="Q44">
        <f t="shared" si="1"/>
        <v>2560</v>
      </c>
      <c r="R44">
        <f>Q44+$R$43</f>
        <v>8960</v>
      </c>
      <c r="S44">
        <f>R44/$R$83*定义数据!$F$3</f>
        <v>9.9796334012219962E-2</v>
      </c>
      <c r="T44">
        <f t="shared" si="4"/>
        <v>2.8513238289205697E-2</v>
      </c>
      <c r="U44">
        <f t="shared" si="10"/>
        <v>0.61429700705366985</v>
      </c>
      <c r="V44">
        <f t="shared" si="3"/>
        <v>0.16245616186682962</v>
      </c>
      <c r="W44">
        <f t="shared" si="5"/>
        <v>1.5166732723551707E-2</v>
      </c>
      <c r="Y44">
        <f>'[2]1、经济推算'!$G43/3/60/60</f>
        <v>4.5713659571944838</v>
      </c>
      <c r="Z44">
        <f t="shared" si="9"/>
        <v>1960.026846220574</v>
      </c>
      <c r="AB44">
        <f>[2]命币的投放!$K52</f>
        <v>48.5</v>
      </c>
      <c r="AC44">
        <f>'[2]1、经济推算'!$I43+AC43</f>
        <v>4.5627582098391244</v>
      </c>
      <c r="AD44">
        <f>$AB44*$AC44*VLOOKUP(AD$37,猎命辅助表!$B$19:$D$25,3,0)</f>
        <v>127.83118301426749</v>
      </c>
      <c r="AE44">
        <f>$AB44*$AC44*VLOOKUP(AE$37,猎命辅助表!$B$19:$D$25,3,0)</f>
        <v>20.678408633729756</v>
      </c>
      <c r="AF44">
        <f>$AB44*$AC44*VLOOKUP(AF$37,猎命辅助表!$B$19:$D$25,3,0)</f>
        <v>2.773398942976621</v>
      </c>
      <c r="AG44">
        <f>$AB44*$AC44*VLOOKUP(AG$37,猎命辅助表!$B$19:$D$25,3,0)</f>
        <v>0.36372445153791755</v>
      </c>
      <c r="AH44">
        <f>$AB44*$AC44*VLOOKUP(AH$37,猎命辅助表!$B$19:$D$25,3,0)</f>
        <v>4.5465556442239694E-2</v>
      </c>
      <c r="AI44">
        <f>SUMPRODUCT(AD44:AH44,命格辅助表!$Q$76:$U$76)</f>
        <v>3678.3768113802535</v>
      </c>
      <c r="AJ44">
        <f t="shared" si="7"/>
        <v>2.4358570259249488</v>
      </c>
    </row>
    <row r="45" spans="1:36">
      <c r="A45">
        <v>42</v>
      </c>
      <c r="B45">
        <f>'[2]1、经济推算'!$G44/'[2]1、经济推算'!$G$82</f>
        <v>2.5593011483350463E-2</v>
      </c>
      <c r="C45">
        <f>[1]人物总属性查询表!$C45/[1]人物总属性查询表!$C$83</f>
        <v>0.24198291231275015</v>
      </c>
      <c r="D45">
        <f t="shared" si="0"/>
        <v>9.4550386331117053</v>
      </c>
      <c r="F45">
        <f>INT($C45/定义数据!$K$2*定义数据!$F$3)</f>
        <v>17</v>
      </c>
      <c r="G45">
        <f>INT($C45/定义数据!$K$3*定义数据!$F$3)</f>
        <v>9</v>
      </c>
      <c r="H45">
        <f>INT($C45/定义数据!$K$4*定义数据!$F$3)</f>
        <v>5</v>
      </c>
      <c r="I45">
        <f>INT($C45/定义数据!$K$5*定义数据!$F$3)</f>
        <v>3</v>
      </c>
      <c r="J45">
        <f>INT($C45/定义数据!$K$6*定义数据!$F$3)</f>
        <v>1</v>
      </c>
      <c r="K45">
        <f t="shared" si="8"/>
        <v>3</v>
      </c>
      <c r="L45" t="str">
        <f>IF(OR(F45&lt;2,F45&gt;10),"",VLOOKUP(数值对比!F45,命格辅助表!$W$77:$AB$87,数值对比!L$2+1,0)*定义数据!$F$2)</f>
        <v/>
      </c>
      <c r="M45">
        <f>IF(OR(G45&lt;2,G45&gt;10),"",VLOOKUP(数值对比!G45,命格辅助表!$W$77:$AB$87,数值对比!M$2+1,0)*定义数据!$F$2)</f>
        <v>163200</v>
      </c>
      <c r="N45">
        <f>IF(OR(H45&lt;2,H45&gt;10),"",VLOOKUP(数值对比!H45,命格辅助表!$W$77:$AB$87,数值对比!N$2+1,0)*定义数据!$F$2)</f>
        <v>19200</v>
      </c>
      <c r="O45">
        <f>IF(OR(I45&lt;2,I45&gt;10),"",VLOOKUP(数值对比!I45,命格辅助表!$W$77:$AB$87,数值对比!O$2+1,0)*定义数据!$F$2)</f>
        <v>7680</v>
      </c>
      <c r="P45" t="str">
        <f>IF(OR(J45&lt;2,J45&gt;10),"",VLOOKUP(数值对比!J45,命格辅助表!$W$77:$AB$87,数值对比!P$2+1,0)*定义数据!$F$2)</f>
        <v/>
      </c>
      <c r="Q45">
        <f t="shared" si="1"/>
        <v>7680</v>
      </c>
      <c r="R45">
        <f t="shared" ref="R45:R47" si="11">Q45+$R$43</f>
        <v>14080</v>
      </c>
      <c r="S45">
        <f>R45/$R$83*定义数据!$F$3</f>
        <v>0.15682281059063136</v>
      </c>
      <c r="T45">
        <f t="shared" si="4"/>
        <v>5.7026476578411395E-2</v>
      </c>
      <c r="U45">
        <f t="shared" si="10"/>
        <v>0.87536625654151423</v>
      </c>
      <c r="V45">
        <f t="shared" si="3"/>
        <v>0.17915108038345323</v>
      </c>
      <c r="W45">
        <f t="shared" si="5"/>
        <v>1.6694918516623608E-2</v>
      </c>
      <c r="Y45">
        <f>'[2]1、经济推算'!$G44/3/60/60</f>
        <v>5.0411455044152884</v>
      </c>
      <c r="Z45">
        <f t="shared" si="9"/>
        <v>2793.0159896531509</v>
      </c>
      <c r="AB45">
        <f>[2]命币的投放!$K53</f>
        <v>49</v>
      </c>
      <c r="AC45">
        <f>'[2]1、经济推算'!$I44+AC44</f>
        <v>5.5023173042807354</v>
      </c>
      <c r="AD45">
        <f>$AB45*$AC45*VLOOKUP(AD$37,猎命辅助表!$B$19:$D$25,3,0)</f>
        <v>155.74328319839654</v>
      </c>
      <c r="AE45">
        <f>$AB45*$AC45*VLOOKUP(AE$37,猎命辅助表!$B$19:$D$25,3,0)</f>
        <v>25.193565263146258</v>
      </c>
      <c r="AF45">
        <f>$AB45*$AC45*VLOOKUP(AF$37,猎命辅助表!$B$19:$D$25,3,0)</f>
        <v>3.3789741032900555</v>
      </c>
      <c r="AG45">
        <f>$AB45*$AC45*VLOOKUP(AG$37,猎命辅助表!$B$19:$D$25,3,0)</f>
        <v>0.44314414469377789</v>
      </c>
      <c r="AH45">
        <f>$AB45*$AC45*VLOOKUP(AH$37,猎命辅助表!$B$19:$D$25,3,0)</f>
        <v>5.5393018086722236E-2</v>
      </c>
      <c r="AI45">
        <f>SUMPRODUCT(AD45:AH45,命格辅助表!$Q$76:$U$76)</f>
        <v>4481.5550316957406</v>
      </c>
      <c r="AJ45">
        <f t="shared" si="7"/>
        <v>3.1417666190461526</v>
      </c>
    </row>
    <row r="46" spans="1:36">
      <c r="A46">
        <v>43</v>
      </c>
      <c r="B46">
        <f>'[2]1、经济推算'!$G45/'[2]1、经济推算'!$G$82</f>
        <v>2.8218309037609662E-2</v>
      </c>
      <c r="C46">
        <f>[1]人物总属性查询表!$C46/[1]人物总属性查询表!$C$83</f>
        <v>0.25391245453307509</v>
      </c>
      <c r="D46">
        <f t="shared" si="0"/>
        <v>8.9981456434777112</v>
      </c>
      <c r="F46">
        <f>INT($C46/定义数据!$K$2*定义数据!$F$3)</f>
        <v>18</v>
      </c>
      <c r="G46">
        <f>INT($C46/定义数据!$K$3*定义数据!$F$3)</f>
        <v>10</v>
      </c>
      <c r="H46">
        <f>INT($C46/定义数据!$K$4*定义数据!$F$3)</f>
        <v>5</v>
      </c>
      <c r="I46">
        <f>INT($C46/定义数据!$K$5*定义数据!$F$3)</f>
        <v>3</v>
      </c>
      <c r="J46">
        <f>INT($C46/定义数据!$K$6*定义数据!$F$3)</f>
        <v>1</v>
      </c>
      <c r="K46">
        <f t="shared" si="8"/>
        <v>3</v>
      </c>
      <c r="L46" t="str">
        <f>IF(OR(F46&lt;2,F46&gt;10),"",VLOOKUP(数值对比!F46,命格辅助表!$W$77:$AB$87,数值对比!L$2+1,0)*定义数据!$F$2)</f>
        <v/>
      </c>
      <c r="M46">
        <f>IF(OR(G46&lt;2,G46&gt;10),"",VLOOKUP(数值对比!G46,命格辅助表!$W$77:$AB$87,数值对比!M$2+1,0)*定义数据!$F$2)</f>
        <v>327040</v>
      </c>
      <c r="N46">
        <f>IF(OR(H46&lt;2,H46&gt;10),"",VLOOKUP(数值对比!H46,命格辅助表!$W$77:$AB$87,数值对比!N$2+1,0)*定义数据!$F$2)</f>
        <v>19200</v>
      </c>
      <c r="O46">
        <f>IF(OR(I46&lt;2,I46&gt;10),"",VLOOKUP(数值对比!I46,命格辅助表!$W$77:$AB$87,数值对比!O$2+1,0)*定义数据!$F$2)</f>
        <v>7680</v>
      </c>
      <c r="P46" t="str">
        <f>IF(OR(J46&lt;2,J46&gt;10),"",VLOOKUP(数值对比!J46,命格辅助表!$W$77:$AB$87,数值对比!P$2+1,0)*定义数据!$F$2)</f>
        <v/>
      </c>
      <c r="Q46">
        <f t="shared" si="1"/>
        <v>7680</v>
      </c>
      <c r="R46">
        <f t="shared" si="11"/>
        <v>14080</v>
      </c>
      <c r="S46">
        <f>R46/$R$83*定义数据!$F$3</f>
        <v>0.15682281059063136</v>
      </c>
      <c r="T46">
        <f t="shared" si="4"/>
        <v>0</v>
      </c>
      <c r="U46">
        <f t="shared" si="10"/>
        <v>0.79392633435069326</v>
      </c>
      <c r="V46">
        <f t="shared" si="3"/>
        <v>0.19752816326326764</v>
      </c>
      <c r="W46">
        <f>V46-V45</f>
        <v>1.8377082879814405E-2</v>
      </c>
      <c r="Y46">
        <f>'[2]1、经济推算'!$G45/3/60/60</f>
        <v>5.5582595990975783</v>
      </c>
      <c r="Z46">
        <f t="shared" si="9"/>
        <v>2533.1670370858506</v>
      </c>
      <c r="AB46">
        <f>[2]命币的投放!$K54</f>
        <v>49.5</v>
      </c>
      <c r="AC46">
        <f>'[2]1、经济推算'!$I45+AC45</f>
        <v>6.5365454936453133</v>
      </c>
      <c r="AD46">
        <f>$AB46*$AC46*VLOOKUP(AD$37,猎命辅助表!$B$19:$D$25,3,0)</f>
        <v>186.9050782518143</v>
      </c>
      <c r="AE46">
        <f>$AB46*$AC46*VLOOKUP(AE$37,猎命辅助表!$B$19:$D$25,3,0)</f>
        <v>30.234403630441903</v>
      </c>
      <c r="AF46">
        <f>$AB46*$AC46*VLOOKUP(AF$37,猎命辅助表!$B$19:$D$25,3,0)</f>
        <v>4.0550539722587793</v>
      </c>
      <c r="AG46">
        <f>$AB46*$AC46*VLOOKUP(AG$37,猎命辅助表!$B$19:$D$25,3,0)</f>
        <v>0.53181035701754487</v>
      </c>
      <c r="AH46">
        <f>$AB46*$AC46*VLOOKUP(AH$37,猎命辅助表!$B$19:$D$25,3,0)</f>
        <v>6.6476294627193108E-2</v>
      </c>
      <c r="AI46">
        <f>SUMPRODUCT(AD46:AH46,命格辅助表!$Q$76:$U$76)</f>
        <v>5378.2440994381732</v>
      </c>
      <c r="AJ46">
        <f t="shared" si="7"/>
        <v>2.6179548082376622</v>
      </c>
    </row>
    <row r="47" spans="1:36">
      <c r="A47">
        <v>44</v>
      </c>
      <c r="B47">
        <f>'[2]1、经济推算'!$G46/'[2]1、经济推算'!$G$82</f>
        <v>3.1108129116141699E-2</v>
      </c>
      <c r="C47">
        <f>[1]人物总属性查询表!$C47/[1]人物总属性查询表!$C$83</f>
        <v>0.26605482519931989</v>
      </c>
      <c r="D47">
        <f t="shared" si="0"/>
        <v>8.552582002151544</v>
      </c>
      <c r="F47">
        <f>INT($C47/定义数据!$K$2*定义数据!$F$3)</f>
        <v>19</v>
      </c>
      <c r="G47">
        <f>INT($C47/定义数据!$K$3*定义数据!$F$3)</f>
        <v>10</v>
      </c>
      <c r="H47">
        <f>INT($C47/定义数据!$K$4*定义数据!$F$3)</f>
        <v>6</v>
      </c>
      <c r="I47">
        <f>INT($C47/定义数据!$K$5*定义数据!$F$3)</f>
        <v>3</v>
      </c>
      <c r="J47">
        <f>INT($C47/定义数据!$K$6*定义数据!$F$3)</f>
        <v>1</v>
      </c>
      <c r="K47">
        <f t="shared" si="8"/>
        <v>4</v>
      </c>
      <c r="L47" t="str">
        <f>IF(OR(F47&lt;2,F47&gt;10),"",VLOOKUP(数值对比!F47,命格辅助表!$W$77:$AB$87,数值对比!L$2+1,0)*定义数据!$F$2)</f>
        <v/>
      </c>
      <c r="M47">
        <f>IF(OR(G47&lt;2,G47&gt;10),"",VLOOKUP(数值对比!G47,命格辅助表!$W$77:$AB$87,数值对比!M$2+1,0)*定义数据!$F$2)</f>
        <v>327040</v>
      </c>
      <c r="N47">
        <f>IF(OR(H47&lt;2,H47&gt;10),"",VLOOKUP(数值对比!H47,命格辅助表!$W$77:$AB$87,数值对比!N$2+1,0)*定义数据!$F$2)</f>
        <v>39680</v>
      </c>
      <c r="O47">
        <f>IF(OR(I47&lt;2,I47&gt;10),"",VLOOKUP(数值对比!I47,命格辅助表!$W$77:$AB$87,数值对比!O$2+1,0)*定义数据!$F$2)</f>
        <v>7680</v>
      </c>
      <c r="P47" t="str">
        <f>IF(OR(J47&lt;2,J47&gt;10),"",VLOOKUP(数值对比!J47,命格辅助表!$W$77:$AB$87,数值对比!P$2+1,0)*定义数据!$F$2)</f>
        <v/>
      </c>
      <c r="Q47">
        <f t="shared" si="1"/>
        <v>7680</v>
      </c>
      <c r="R47">
        <f t="shared" si="11"/>
        <v>14080</v>
      </c>
      <c r="S47">
        <f>R47/$R$83*定义数据!$F$3</f>
        <v>0.15682281059063136</v>
      </c>
      <c r="T47">
        <f t="shared" si="4"/>
        <v>0</v>
      </c>
      <c r="U47">
        <f t="shared" si="10"/>
        <v>0.72017377104750568</v>
      </c>
      <c r="V47">
        <f t="shared" si="3"/>
        <v>0.2177569038129919</v>
      </c>
      <c r="W47">
        <f t="shared" si="5"/>
        <v>2.0228740549724261E-2</v>
      </c>
      <c r="Y47">
        <f>'[2]1、经济推算'!$G46/3/60/60</f>
        <v>6.1274776259381492</v>
      </c>
      <c r="Z47">
        <f t="shared" si="9"/>
        <v>2297.8460076946062</v>
      </c>
      <c r="AB47">
        <f>[2]命币的投放!$K55</f>
        <v>50</v>
      </c>
      <c r="AC47">
        <f>'[2]1、经济推算'!$I46+AC46</f>
        <v>7.6749815473264542</v>
      </c>
      <c r="AD47">
        <f>$AB47*$AC47*VLOOKUP(AD$37,猎命辅助表!$B$19:$D$25,3,0)</f>
        <v>221.67410242081502</v>
      </c>
      <c r="AE47">
        <f>$AB47*$AC47*VLOOKUP(AE$37,猎命辅助表!$B$19:$D$25,3,0)</f>
        <v>35.858759696069313</v>
      </c>
      <c r="AF47">
        <f>$AB47*$AC47*VLOOKUP(AF$37,猎命辅助表!$B$19:$D$25,3,0)</f>
        <v>4.8093955390412182</v>
      </c>
      <c r="AG47">
        <f>$AB47*$AC47*VLOOKUP(AG$37,猎命辅助表!$B$19:$D$25,3,0)</f>
        <v>0.63074039856278274</v>
      </c>
      <c r="AH47">
        <f>$AB47*$AC47*VLOOKUP(AH$37,猎命辅助表!$B$19:$D$25,3,0)</f>
        <v>7.8842549820347843E-2</v>
      </c>
      <c r="AI47">
        <f>SUMPRODUCT(AD47:AH47,命格辅助表!$Q$76:$U$76)</f>
        <v>6378.7321590949268</v>
      </c>
      <c r="AJ47">
        <f t="shared" si="7"/>
        <v>2.2073351959016572</v>
      </c>
    </row>
    <row r="48" spans="1:36">
      <c r="A48">
        <v>45</v>
      </c>
      <c r="B48">
        <f>'[2]1、经济推算'!$G47/'[2]1、经济推算'!$G$82</f>
        <v>3.4289124760897627E-2</v>
      </c>
      <c r="C48">
        <f>[1]人物总属性查询表!$C48/[1]人物总属性查询表!$C$83</f>
        <v>0.27840609706337777</v>
      </c>
      <c r="D48">
        <f t="shared" si="0"/>
        <v>8.1193701794588939</v>
      </c>
      <c r="F48">
        <f>INT($C48/定义数据!$K$2*定义数据!$F$3)</f>
        <v>20</v>
      </c>
      <c r="G48">
        <f>INT($C48/定义数据!$K$3*定义数据!$F$3)</f>
        <v>11</v>
      </c>
      <c r="H48">
        <f>INT($C48/定义数据!$K$4*定义数据!$F$3)</f>
        <v>6</v>
      </c>
      <c r="I48">
        <f>INT($C48/定义数据!$K$5*定义数据!$F$3)</f>
        <v>3</v>
      </c>
      <c r="J48">
        <f>INT($C48/定义数据!$K$6*定义数据!$F$3)</f>
        <v>1</v>
      </c>
      <c r="K48">
        <f t="shared" si="8"/>
        <v>4</v>
      </c>
      <c r="L48" t="str">
        <f>IF(OR(F48&lt;2,F48&gt;10),"",VLOOKUP(数值对比!F48,命格辅助表!$W$77:$AB$87,数值对比!L$2+1,0)*定义数据!$F$2)</f>
        <v/>
      </c>
      <c r="M48" t="str">
        <f>IF(OR(G48&lt;2,G48&gt;10),"",VLOOKUP(数值对比!G48,命格辅助表!$W$77:$AB$87,数值对比!M$2+1,0)*定义数据!$F$2)</f>
        <v/>
      </c>
      <c r="N48">
        <f>IF(OR(H48&lt;2,H48&gt;10),"",VLOOKUP(数值对比!H48,命格辅助表!$W$77:$AB$87,数值对比!N$2+1,0)*定义数据!$F$2)</f>
        <v>39680</v>
      </c>
      <c r="O48">
        <f>IF(OR(I48&lt;2,I48&gt;10),"",VLOOKUP(数值对比!I48,命格辅助表!$W$77:$AB$87,数值对比!O$2+1,0)*定义数据!$F$2)</f>
        <v>7680</v>
      </c>
      <c r="P48" t="str">
        <f>IF(OR(J48&lt;2,J48&gt;10),"",VLOOKUP(数值对比!J48,命格辅助表!$W$77:$AB$87,数值对比!P$2+1,0)*定义数据!$F$2)</f>
        <v/>
      </c>
      <c r="Q48">
        <f t="shared" si="1"/>
        <v>7680</v>
      </c>
      <c r="R48">
        <f>Q48+$R$47</f>
        <v>21760</v>
      </c>
      <c r="S48">
        <f>R48/$R$83*定义数据!$F$3</f>
        <v>0.24236252545824849</v>
      </c>
      <c r="T48">
        <f t="shared" si="4"/>
        <v>8.5539714867617134E-2</v>
      </c>
      <c r="U48">
        <f t="shared" si="10"/>
        <v>1.0097434146843633</v>
      </c>
      <c r="V48">
        <f t="shared" si="3"/>
        <v>0.24002387332628339</v>
      </c>
      <c r="W48">
        <f t="shared" si="5"/>
        <v>2.226696951329149E-2</v>
      </c>
      <c r="Y48">
        <f>'[2]1、经济推算'!$G47/3/60/60</f>
        <v>6.7540495283716755</v>
      </c>
      <c r="Z48">
        <f t="shared" si="9"/>
        <v>3221.770866291839</v>
      </c>
      <c r="AB48">
        <f>[2]命币的投放!$K56</f>
        <v>50.5</v>
      </c>
      <c r="AC48">
        <f>'[2]1、经济推算'!$I47+AC47</f>
        <v>8.928125352193506</v>
      </c>
      <c r="AD48">
        <f>$AB48*$AC48*VLOOKUP(AD$37,猎命辅助表!$B$19:$D$25,3,0)</f>
        <v>260.44694741732837</v>
      </c>
      <c r="AE48">
        <f>$AB48*$AC48*VLOOKUP(AE$37,猎命辅助表!$B$19:$D$25,3,0)</f>
        <v>42.130787489480895</v>
      </c>
      <c r="AF48">
        <f>$AB48*$AC48*VLOOKUP(AF$37,猎命辅助表!$B$19:$D$25,3,0)</f>
        <v>5.6506031755028525</v>
      </c>
      <c r="AG48">
        <f>$AB48*$AC48*VLOOKUP(AG$37,猎命辅助表!$B$19:$D$25,3,0)</f>
        <v>0.74106271154135783</v>
      </c>
      <c r="AH48">
        <f>$AB48*$AC48*VLOOKUP(AH$37,猎命辅助表!$B$19:$D$25,3,0)</f>
        <v>9.2632838942669729E-2</v>
      </c>
      <c r="AI48">
        <f>SUMPRODUCT(AD48:AH48,命格辅助表!$Q$76:$U$76)</f>
        <v>7494.431244274303</v>
      </c>
      <c r="AJ48">
        <f t="shared" si="7"/>
        <v>2.9034891762633088</v>
      </c>
    </row>
    <row r="49" spans="1:36">
      <c r="A49">
        <v>46</v>
      </c>
      <c r="B49">
        <f>'[2]1、经济推算'!$G48/'[2]1、经济推算'!$G$82</f>
        <v>3.7790634549388094E-2</v>
      </c>
      <c r="C49">
        <f>[1]人物总属性查询表!$C49/[1]人物总属性查询表!$C$83</f>
        <v>0.29096229645327332</v>
      </c>
      <c r="D49">
        <f t="shared" si="0"/>
        <v>7.6993228592925167</v>
      </c>
      <c r="F49">
        <f>INT($C49/定义数据!$K$2*定义数据!$F$3)</f>
        <v>21</v>
      </c>
      <c r="G49">
        <f>INT($C49/定义数据!$K$3*定义数据!$F$3)</f>
        <v>11</v>
      </c>
      <c r="H49">
        <f>INT($C49/定义数据!$K$4*定义数据!$F$3)</f>
        <v>6</v>
      </c>
      <c r="I49">
        <f>INT($C49/定义数据!$K$5*定义数据!$F$3)</f>
        <v>3</v>
      </c>
      <c r="J49">
        <f>INT($C49/定义数据!$K$6*定义数据!$F$3)</f>
        <v>2</v>
      </c>
      <c r="K49">
        <f t="shared" si="8"/>
        <v>4</v>
      </c>
      <c r="L49" t="str">
        <f>IF(OR(F49&lt;2,F49&gt;10),"",VLOOKUP(数值对比!F49,命格辅助表!$W$77:$AB$87,数值对比!L$2+1,0)*定义数据!$F$2)</f>
        <v/>
      </c>
      <c r="M49" t="str">
        <f>IF(OR(G49&lt;2,G49&gt;10),"",VLOOKUP(数值对比!G49,命格辅助表!$W$77:$AB$87,数值对比!M$2+1,0)*定义数据!$F$2)</f>
        <v/>
      </c>
      <c r="N49">
        <f>IF(OR(H49&lt;2,H49&gt;10),"",VLOOKUP(数值对比!H49,命格辅助表!$W$77:$AB$87,数值对比!N$2+1,0)*定义数据!$F$2)</f>
        <v>39680</v>
      </c>
      <c r="O49">
        <f>IF(OR(I49&lt;2,I49&gt;10),"",VLOOKUP(数值对比!I49,命格辅助表!$W$77:$AB$87,数值对比!O$2+1,0)*定义数据!$F$2)</f>
        <v>7680</v>
      </c>
      <c r="P49">
        <f>IF(OR(J49&lt;2,J49&gt;10),"",VLOOKUP(数值对比!J49,命格辅助表!$W$77:$AB$87,数值对比!P$2+1,0)*定义数据!$F$2)</f>
        <v>5120</v>
      </c>
      <c r="Q49">
        <f t="shared" si="1"/>
        <v>5120</v>
      </c>
      <c r="R49">
        <f t="shared" ref="R49:R103" si="12">Q49+$R$47</f>
        <v>19200</v>
      </c>
      <c r="S49">
        <f>R49/$R$83*定义数据!$F$3</f>
        <v>0.21384928716904278</v>
      </c>
      <c r="T49">
        <f t="shared" si="4"/>
        <v>-2.8513238289205711E-2</v>
      </c>
      <c r="U49">
        <f t="shared" si="10"/>
        <v>0.80839865567964575</v>
      </c>
      <c r="V49">
        <f t="shared" si="3"/>
        <v>0.26453444184571667</v>
      </c>
      <c r="W49">
        <f t="shared" si="5"/>
        <v>2.4510568519433285E-2</v>
      </c>
      <c r="Y49">
        <f>'[2]1、经济推算'!$G48/3/60/60</f>
        <v>7.4437542292193308</v>
      </c>
      <c r="Z49">
        <f t="shared" si="9"/>
        <v>2579.3436226888448</v>
      </c>
      <c r="AB49">
        <f>[2]命币的投放!$K57</f>
        <v>51</v>
      </c>
      <c r="AC49">
        <f>'[2]1、经济推算'!$I48+AC48</f>
        <v>10.307534753888815</v>
      </c>
      <c r="AD49">
        <f>$AB49*$AC49*VLOOKUP(AD$37,猎命辅助表!$B$19:$D$25,3,0)</f>
        <v>303.66350337953725</v>
      </c>
      <c r="AE49">
        <f>$AB49*$AC49*VLOOKUP(AE$37,猎命辅助表!$B$19:$D$25,3,0)</f>
        <v>49.121645141398758</v>
      </c>
      <c r="AF49">
        <f>$AB49*$AC49*VLOOKUP(AF$37,猎命辅助表!$B$19:$D$25,3,0)</f>
        <v>6.5882206472218039</v>
      </c>
      <c r="AG49">
        <f>$AB49*$AC49*VLOOKUP(AG$37,猎命辅助表!$B$19:$D$25,3,0)</f>
        <v>0.86402893734056452</v>
      </c>
      <c r="AH49">
        <f>$AB49*$AC49*VLOOKUP(AH$37,猎命辅助表!$B$19:$D$25,3,0)</f>
        <v>0.10800361716757056</v>
      </c>
      <c r="AI49">
        <f>SUMPRODUCT(AD49:AH49,命格辅助表!$Q$76:$U$76)</f>
        <v>8737.9993124925531</v>
      </c>
      <c r="AJ49">
        <f t="shared" si="7"/>
        <v>2.1972993260081997</v>
      </c>
    </row>
    <row r="50" spans="1:36">
      <c r="A50">
        <v>47</v>
      </c>
      <c r="B50">
        <f>'[2]1、经济推算'!$G49/'[2]1、经济推算'!$G$82</f>
        <v>4.1644953186732614E-2</v>
      </c>
      <c r="C50">
        <f>[1]人物总属性查询表!$C50/[1]人物总属性查询表!$C$83</f>
        <v>0.30371940557808685</v>
      </c>
      <c r="D50">
        <f t="shared" si="0"/>
        <v>7.2930663222559886</v>
      </c>
      <c r="F50">
        <f>INT($C50/定义数据!$K$2*定义数据!$F$3)</f>
        <v>22</v>
      </c>
      <c r="G50">
        <f>INT($C50/定义数据!$K$3*定义数据!$F$3)</f>
        <v>12</v>
      </c>
      <c r="H50">
        <f>INT($C50/定义数据!$K$4*定义数据!$F$3)</f>
        <v>6</v>
      </c>
      <c r="I50">
        <f>INT($C50/定义数据!$K$5*定义数据!$F$3)</f>
        <v>3</v>
      </c>
      <c r="J50">
        <f>INT($C50/定义数据!$K$6*定义数据!$F$3)</f>
        <v>2</v>
      </c>
      <c r="K50">
        <f t="shared" si="8"/>
        <v>4</v>
      </c>
      <c r="L50" t="str">
        <f>IF(OR(F50&lt;2,F50&gt;10),"",VLOOKUP(数值对比!F50,命格辅助表!$W$77:$AB$87,数值对比!L$2+1,0)*定义数据!$F$2)</f>
        <v/>
      </c>
      <c r="M50" t="str">
        <f>IF(OR(G50&lt;2,G50&gt;10),"",VLOOKUP(数值对比!G50,命格辅助表!$W$77:$AB$87,数值对比!M$2+1,0)*定义数据!$F$2)</f>
        <v/>
      </c>
      <c r="N50">
        <f>IF(OR(H50&lt;2,H50&gt;10),"",VLOOKUP(数值对比!H50,命格辅助表!$W$77:$AB$87,数值对比!N$2+1,0)*定义数据!$F$2)</f>
        <v>39680</v>
      </c>
      <c r="O50">
        <f>IF(OR(I50&lt;2,I50&gt;10),"",VLOOKUP(数值对比!I50,命格辅助表!$W$77:$AB$87,数值对比!O$2+1,0)*定义数据!$F$2)</f>
        <v>7680</v>
      </c>
      <c r="P50">
        <f>IF(OR(J50&lt;2,J50&gt;10),"",VLOOKUP(数值对比!J50,命格辅助表!$W$77:$AB$87,数值对比!P$2+1,0)*定义数据!$F$2)</f>
        <v>5120</v>
      </c>
      <c r="Q50">
        <f t="shared" si="1"/>
        <v>5120</v>
      </c>
      <c r="R50">
        <f t="shared" si="12"/>
        <v>19200</v>
      </c>
      <c r="S50">
        <f>R50/$R$83*定义数据!$F$3</f>
        <v>0.21384928716904278</v>
      </c>
      <c r="T50">
        <f t="shared" si="4"/>
        <v>0</v>
      </c>
      <c r="U50">
        <f t="shared" si="10"/>
        <v>0.73357984171630186</v>
      </c>
      <c r="V50">
        <f t="shared" si="3"/>
        <v>0.2915146723071283</v>
      </c>
      <c r="W50">
        <f t="shared" si="5"/>
        <v>2.6980230461411625E-2</v>
      </c>
      <c r="Y50">
        <f>'[2]1、经济推算'!$G49/3/60/60</f>
        <v>8.2029529301566431</v>
      </c>
      <c r="Z50">
        <f t="shared" si="9"/>
        <v>2340.6205257395472</v>
      </c>
      <c r="AB50">
        <f>[2]命币的投放!$K58</f>
        <v>51.5</v>
      </c>
      <c r="AC50">
        <f>'[2]1、经济推算'!$I49+AC49</f>
        <v>11.825932155763438</v>
      </c>
      <c r="AD50">
        <f>$AB50*$AC50*VLOOKUP(AD$37,猎命辅助表!$B$19:$D$25,3,0)</f>
        <v>351.8116579363566</v>
      </c>
      <c r="AE50">
        <f>$AB50*$AC50*VLOOKUP(AE$37,猎命辅助表!$B$19:$D$25,3,0)</f>
        <v>56.910255020529455</v>
      </c>
      <c r="AF50">
        <f>$AB50*$AC50*VLOOKUP(AF$37,猎命辅助表!$B$19:$D$25,3,0)</f>
        <v>7.632833063421173</v>
      </c>
      <c r="AG50">
        <f>$AB50*$AC50*VLOOKUP(AG$37,猎命辅助表!$B$19:$D$25,3,0)</f>
        <v>1.0010272870060557</v>
      </c>
      <c r="AH50">
        <f>$AB50*$AC50*VLOOKUP(AH$37,猎命辅助表!$B$19:$D$25,3,0)</f>
        <v>0.12512841087575696</v>
      </c>
      <c r="AI50">
        <f>SUMPRODUCT(AD50:AH50,命格辅助表!$Q$76:$U$76)</f>
        <v>10123.475462023214</v>
      </c>
      <c r="AJ50">
        <f t="shared" si="7"/>
        <v>1.896581867761332</v>
      </c>
    </row>
    <row r="51" spans="1:36">
      <c r="A51">
        <v>48</v>
      </c>
      <c r="B51">
        <f>'[2]1、经济推算'!$G50/'[2]1、经济推算'!$G$82</f>
        <v>4.5887629362310514E-2</v>
      </c>
      <c r="C51">
        <f>[1]人物总属性查询表!$C51/[1]人物总属性查询表!$C$83</f>
        <v>0.31667336483287906</v>
      </c>
      <c r="D51">
        <f t="shared" si="0"/>
        <v>6.9010617727176928</v>
      </c>
      <c r="F51">
        <f>INT($C51/定义数据!$K$2*定义数据!$F$3)</f>
        <v>23</v>
      </c>
      <c r="G51">
        <f>INT($C51/定义数据!$K$3*定义数据!$F$3)</f>
        <v>12</v>
      </c>
      <c r="H51">
        <f>INT($C51/定义数据!$K$4*定义数据!$F$3)</f>
        <v>7</v>
      </c>
      <c r="I51">
        <f>INT($C51/定义数据!$K$5*定义数据!$F$3)</f>
        <v>3</v>
      </c>
      <c r="J51">
        <f>INT($C51/定义数据!$K$6*定义数据!$F$3)</f>
        <v>2</v>
      </c>
      <c r="K51">
        <f t="shared" si="8"/>
        <v>4</v>
      </c>
      <c r="L51" t="str">
        <f>IF(OR(F51&lt;2,F51&gt;10),"",VLOOKUP(数值对比!F51,命格辅助表!$W$77:$AB$87,数值对比!L$2+1,0)*定义数据!$F$2)</f>
        <v/>
      </c>
      <c r="M51" t="str">
        <f>IF(OR(G51&lt;2,G51&gt;10),"",VLOOKUP(数值对比!G51,命格辅助表!$W$77:$AB$87,数值对比!M$2+1,0)*定义数据!$F$2)</f>
        <v/>
      </c>
      <c r="N51">
        <f>IF(OR(H51&lt;2,H51&gt;10),"",VLOOKUP(数值对比!H51,命格辅助表!$W$77:$AB$87,数值对比!N$2+1,0)*定义数据!$F$2)</f>
        <v>80640</v>
      </c>
      <c r="O51">
        <f>IF(OR(I51&lt;2,I51&gt;10),"",VLOOKUP(数值对比!I51,命格辅助表!$W$77:$AB$87,数值对比!O$2+1,0)*定义数据!$F$2)</f>
        <v>7680</v>
      </c>
      <c r="P51">
        <f>IF(OR(J51&lt;2,J51&gt;10),"",VLOOKUP(数值对比!J51,命格辅助表!$W$77:$AB$87,数值对比!P$2+1,0)*定义数据!$F$2)</f>
        <v>5120</v>
      </c>
      <c r="Q51">
        <f t="shared" si="1"/>
        <v>5120</v>
      </c>
      <c r="R51">
        <f t="shared" si="12"/>
        <v>19200</v>
      </c>
      <c r="S51">
        <f>R51/$R$83*定义数据!$F$3</f>
        <v>0.21384928716904278</v>
      </c>
      <c r="T51">
        <f t="shared" si="4"/>
        <v>0</v>
      </c>
      <c r="U51">
        <f t="shared" si="10"/>
        <v>0.66575455284029239</v>
      </c>
      <c r="V51">
        <f t="shared" si="3"/>
        <v>0.32121340553617361</v>
      </c>
      <c r="W51">
        <f t="shared" si="5"/>
        <v>2.9698733229045315E-2</v>
      </c>
      <c r="Y51">
        <f>'[2]1、经济推算'!$G50/3/60/60</f>
        <v>9.0386477815858424</v>
      </c>
      <c r="Z51">
        <f t="shared" si="9"/>
        <v>2124.2115484481615</v>
      </c>
      <c r="AB51">
        <f>[2]命币的投放!$K59</f>
        <v>52</v>
      </c>
      <c r="AC51">
        <f>'[2]1、经济推算'!$I50+AC50</f>
        <v>13.497321858621838</v>
      </c>
      <c r="AD51">
        <f>$AB51*$AC51*VLOOKUP(AD$37,猎命辅助表!$B$19:$D$25,3,0)</f>
        <v>405.43250263612407</v>
      </c>
      <c r="AE51">
        <f>$AB51*$AC51*VLOOKUP(AE$37,猎命辅助表!$B$19:$D$25,3,0)</f>
        <v>65.584145943245858</v>
      </c>
      <c r="AF51">
        <f>$AB51*$AC51*VLOOKUP(AF$37,猎命辅助表!$B$19:$D$25,3,0)</f>
        <v>8.7961798345705144</v>
      </c>
      <c r="AG51">
        <f>$AB51*$AC51*VLOOKUP(AG$37,猎命辅助表!$B$19:$D$25,3,0)</f>
        <v>1.1535973553535104</v>
      </c>
      <c r="AH51">
        <f>$AB51*$AC51*VLOOKUP(AH$37,猎命辅助表!$B$19:$D$25,3,0)</f>
        <v>0.1441996694191888</v>
      </c>
      <c r="AI51">
        <f>SUMPRODUCT(AD51:AH51,命格辅助表!$Q$76:$U$76)</f>
        <v>11666.42974828866</v>
      </c>
      <c r="AJ51">
        <f t="shared" si="7"/>
        <v>1.6457477063894748</v>
      </c>
    </row>
    <row r="52" spans="1:36">
      <c r="A52">
        <v>49</v>
      </c>
      <c r="B52">
        <f>'[2]1、经济推算'!$G51/'[2]1、经济推算'!$G$82</f>
        <v>5.0557793618169186E-2</v>
      </c>
      <c r="C52">
        <f>[1]人物总属性查询表!$C52/[1]人物总属性查询表!$C$83</f>
        <v>0.32982007510361405</v>
      </c>
      <c r="D52">
        <f t="shared" si="0"/>
        <v>6.5236247767166224</v>
      </c>
      <c r="F52">
        <f>INT($C52/定义数据!$K$2*定义数据!$F$3)</f>
        <v>24</v>
      </c>
      <c r="G52">
        <f>INT($C52/定义数据!$K$3*定义数据!$F$3)</f>
        <v>13</v>
      </c>
      <c r="H52">
        <f>INT($C52/定义数据!$K$4*定义数据!$F$3)</f>
        <v>7</v>
      </c>
      <c r="I52">
        <f>INT($C52/定义数据!$K$5*定义数据!$F$3)</f>
        <v>4</v>
      </c>
      <c r="J52">
        <f>INT($C52/定义数据!$K$6*定义数据!$F$3)</f>
        <v>2</v>
      </c>
      <c r="K52">
        <f t="shared" si="8"/>
        <v>4</v>
      </c>
      <c r="L52" t="str">
        <f>IF(OR(F52&lt;2,F52&gt;10),"",VLOOKUP(数值对比!F52,命格辅助表!$W$77:$AB$87,数值对比!L$2+1,0)*定义数据!$F$2)</f>
        <v/>
      </c>
      <c r="M52" t="str">
        <f>IF(OR(G52&lt;2,G52&gt;10),"",VLOOKUP(数值对比!G52,命格辅助表!$W$77:$AB$87,数值对比!M$2+1,0)*定义数据!$F$2)</f>
        <v/>
      </c>
      <c r="N52">
        <f>IF(OR(H52&lt;2,H52&gt;10),"",VLOOKUP(数值对比!H52,命格辅助表!$W$77:$AB$87,数值对比!N$2+1,0)*定义数据!$F$2)</f>
        <v>80640</v>
      </c>
      <c r="O52">
        <f>IF(OR(I52&lt;2,I52&gt;10),"",VLOOKUP(数值对比!I52,命格辅助表!$W$77:$AB$87,数值对比!O$2+1,0)*定义数据!$F$2)</f>
        <v>17920</v>
      </c>
      <c r="P52">
        <f>IF(OR(J52&lt;2,J52&gt;10),"",VLOOKUP(数值对比!J52,命格辅助表!$W$77:$AB$87,数值对比!P$2+1,0)*定义数据!$F$2)</f>
        <v>5120</v>
      </c>
      <c r="Q52">
        <f t="shared" si="1"/>
        <v>5120</v>
      </c>
      <c r="R52">
        <f t="shared" si="12"/>
        <v>19200</v>
      </c>
      <c r="S52">
        <f>R52/$R$83*定义数据!$F$3</f>
        <v>0.21384928716904278</v>
      </c>
      <c r="T52">
        <f t="shared" si="4"/>
        <v>0</v>
      </c>
      <c r="U52">
        <f t="shared" si="10"/>
        <v>0.60425694993199341</v>
      </c>
      <c r="V52">
        <f t="shared" si="3"/>
        <v>0.35390455532718429</v>
      </c>
      <c r="W52">
        <f t="shared" si="5"/>
        <v>3.2691149791010676E-2</v>
      </c>
      <c r="Y52">
        <f>'[2]1、经济推算'!$G51/3/60/60</f>
        <v>9.9585464640296362</v>
      </c>
      <c r="Z52">
        <f t="shared" si="9"/>
        <v>1927.9922094404621</v>
      </c>
      <c r="AB52">
        <f>[2]命币的投放!$K60</f>
        <v>52.5</v>
      </c>
      <c r="AC52">
        <f>'[2]1、经济推算'!$I51+AC51</f>
        <v>15.337119223509424</v>
      </c>
      <c r="AD52">
        <f>$AB52*$AC52*VLOOKUP(AD$37,猎命辅助表!$B$19:$D$25,3,0)</f>
        <v>465.12610127585771</v>
      </c>
      <c r="AE52">
        <f>$AB52*$AC52*VLOOKUP(AE$37,猎命辅助表!$B$19:$D$25,3,0)</f>
        <v>75.240386278223397</v>
      </c>
      <c r="AF52">
        <f>$AB52*$AC52*VLOOKUP(AF$37,猎命辅助表!$B$19:$D$25,3,0)</f>
        <v>10.091279820865955</v>
      </c>
      <c r="AG52">
        <f>$AB52*$AC52*VLOOKUP(AG$37,猎命辅助表!$B$19:$D$25,3,0)</f>
        <v>1.32344653388406</v>
      </c>
      <c r="AH52">
        <f>$AB52*$AC52*VLOOKUP(AH$37,猎命辅助表!$B$19:$D$25,3,0)</f>
        <v>0.1654308167355075</v>
      </c>
      <c r="AI52">
        <f>SUMPRODUCT(AD52:AH52,命格辅助表!$Q$76:$U$76)</f>
        <v>13384.129169092177</v>
      </c>
      <c r="AJ52">
        <f t="shared" si="7"/>
        <v>1.434534870175816</v>
      </c>
    </row>
    <row r="53" spans="1:36">
      <c r="A53">
        <v>50</v>
      </c>
      <c r="B53">
        <f>'[2]1、经济推算'!$G52/'[2]1、经济推算'!$G$82</f>
        <v>5.5698519253146318E-2</v>
      </c>
      <c r="C53">
        <f>[1]人物总属性查询表!$C53/[1]人物总属性查询表!$C$83</f>
        <v>0.34541300138834802</v>
      </c>
      <c r="D53">
        <f t="shared" si="0"/>
        <v>6.2014754794192521</v>
      </c>
      <c r="F53">
        <f>INT($C53/定义数据!$K$2*定义数据!$F$3)</f>
        <v>25</v>
      </c>
      <c r="G53">
        <f>INT($C53/定义数据!$K$3*定义数据!$F$3)</f>
        <v>14</v>
      </c>
      <c r="H53">
        <f>INT($C53/定义数据!$K$4*定义数据!$F$3)</f>
        <v>7</v>
      </c>
      <c r="I53">
        <f>INT($C53/定义数据!$K$5*定义数据!$F$3)</f>
        <v>4</v>
      </c>
      <c r="J53">
        <f>INT($C53/定义数据!$K$6*定义数据!$F$3)</f>
        <v>2</v>
      </c>
      <c r="K53">
        <f t="shared" si="8"/>
        <v>4</v>
      </c>
      <c r="L53" t="str">
        <f>IF(OR(F53&lt;2,F53&gt;10),"",VLOOKUP(数值对比!F53,命格辅助表!$W$77:$AB$87,数值对比!L$2+1,0)*定义数据!$F$2)</f>
        <v/>
      </c>
      <c r="M53" t="str">
        <f>IF(OR(G53&lt;2,G53&gt;10),"",VLOOKUP(数值对比!G53,命格辅助表!$W$77:$AB$87,数值对比!M$2+1,0)*定义数据!$F$2)</f>
        <v/>
      </c>
      <c r="N53">
        <f>IF(OR(H53&lt;2,H53&gt;10),"",VLOOKUP(数值对比!H53,命格辅助表!$W$77:$AB$87,数值对比!N$2+1,0)*定义数据!$F$2)</f>
        <v>80640</v>
      </c>
      <c r="O53">
        <f>IF(OR(I53&lt;2,I53&gt;10),"",VLOOKUP(数值对比!I53,命格辅助表!$W$77:$AB$87,数值对比!O$2+1,0)*定义数据!$F$2)</f>
        <v>17920</v>
      </c>
      <c r="P53">
        <f>IF(OR(J53&lt;2,J53&gt;10),"",VLOOKUP(数值对比!J53,命格辅助表!$W$77:$AB$87,数值对比!P$2+1,0)*定义数据!$F$2)</f>
        <v>5120</v>
      </c>
      <c r="Q53">
        <f t="shared" si="1"/>
        <v>5120</v>
      </c>
      <c r="R53">
        <f t="shared" si="12"/>
        <v>19200</v>
      </c>
      <c r="S53">
        <f>R53/$R$83*定义数据!$F$3</f>
        <v>0.21384928716904278</v>
      </c>
      <c r="T53">
        <f t="shared" si="4"/>
        <v>0</v>
      </c>
      <c r="U53">
        <f t="shared" si="10"/>
        <v>0.54848672059231451</v>
      </c>
      <c r="V53">
        <f t="shared" si="3"/>
        <v>0.38988963477202421</v>
      </c>
      <c r="W53">
        <f t="shared" si="5"/>
        <v>3.5985079444839918E-2</v>
      </c>
      <c r="Y53">
        <f>'[2]1、经济推算'!$G52/3/60/60</f>
        <v>10.971133276685757</v>
      </c>
      <c r="Z53">
        <f t="shared" si="9"/>
        <v>1750.0471023172258</v>
      </c>
      <c r="AB53">
        <f>[2]命币的投放!$K61</f>
        <v>53</v>
      </c>
      <c r="AC53">
        <f>'[2]1、经济推算'!$I52+AC52</f>
        <v>17.362292848821671</v>
      </c>
      <c r="AD53">
        <f>$AB53*$AC53*VLOOKUP(AD$37,猎命辅助表!$B$19:$D$25,3,0)</f>
        <v>531.55788050654223</v>
      </c>
      <c r="AE53">
        <f>$AB53*$AC53*VLOOKUP(AE$37,猎命辅助表!$B$19:$D$25,3,0)</f>
        <v>85.98661771257143</v>
      </c>
      <c r="AF53">
        <f>$AB53*$AC53*VLOOKUP(AF$37,猎命辅助表!$B$19:$D$25,3,0)</f>
        <v>11.532569981482503</v>
      </c>
      <c r="AG53">
        <f>$AB53*$AC53*VLOOKUP(AG$37,猎命辅助表!$B$19:$D$25,3,0)</f>
        <v>1.5124681942927873</v>
      </c>
      <c r="AH53">
        <f>$AB53*$AC53*VLOOKUP(AH$37,猎命辅助表!$B$19:$D$25,3,0)</f>
        <v>0.18905852428659842</v>
      </c>
      <c r="AI53">
        <f>SUMPRODUCT(AD53:AH53,命格辅助表!$Q$76:$U$76)</f>
        <v>15295.72155601086</v>
      </c>
      <c r="AJ53">
        <f t="shared" si="7"/>
        <v>1.2552529757875235</v>
      </c>
    </row>
    <row r="54" spans="1:36">
      <c r="A54">
        <v>51</v>
      </c>
      <c r="B54">
        <f>'[2]1、经济推算'!$G53/'[2]1、经济推算'!$G$82</f>
        <v>6.1357219591353603E-2</v>
      </c>
      <c r="C54">
        <f>[1]人物总属性查询表!$C54/[1]人物总属性查询表!$C$83</f>
        <v>0.36124792709161491</v>
      </c>
      <c r="D54">
        <f t="shared" si="0"/>
        <v>5.8876189223952649</v>
      </c>
      <c r="F54">
        <f>INT($C54/定义数据!$K$2*定义数据!$F$3)</f>
        <v>26</v>
      </c>
      <c r="G54">
        <f>INT($C54/定义数据!$K$3*定义数据!$F$3)</f>
        <v>14</v>
      </c>
      <c r="H54">
        <f>INT($C54/定义数据!$K$4*定义数据!$F$3)</f>
        <v>8</v>
      </c>
      <c r="I54">
        <f>INT($C54/定义数据!$K$5*定义数据!$F$3)</f>
        <v>4</v>
      </c>
      <c r="J54">
        <f>INT($C54/定义数据!$K$6*定义数据!$F$3)</f>
        <v>2</v>
      </c>
      <c r="K54">
        <f>IF(F54&lt;K$3,1,IF(G54&lt;K$3,2,IF(H54&lt;K$3,3,IF(I54&lt;K$3,4,5))))</f>
        <v>4</v>
      </c>
      <c r="L54" t="str">
        <f>IF(OR(F54&lt;2,F54&gt;10),"",VLOOKUP(数值对比!F54,命格辅助表!$W$77:$AB$87,数值对比!L$2+1,0)*定义数据!$F$2)</f>
        <v/>
      </c>
      <c r="M54" t="str">
        <f>IF(OR(G54&lt;2,G54&gt;10),"",VLOOKUP(数值对比!G54,命格辅助表!$W$77:$AB$87,数值对比!M$2+1,0)*定义数据!$F$2)</f>
        <v/>
      </c>
      <c r="N54">
        <f>IF(OR(H54&lt;2,H54&gt;10),"",VLOOKUP(数值对比!H54,命格辅助表!$W$77:$AB$87,数值对比!N$2+1,0)*定义数据!$F$2)</f>
        <v>162560</v>
      </c>
      <c r="O54">
        <f>IF(OR(I54&lt;2,I54&gt;10),"",VLOOKUP(数值对比!I54,命格辅助表!$W$77:$AB$87,数值对比!O$2+1,0)*定义数据!$F$2)</f>
        <v>17920</v>
      </c>
      <c r="P54">
        <f>IF(OR(J54&lt;2,J54&gt;10),"",VLOOKUP(数值对比!J54,命格辅助表!$W$77:$AB$87,数值对比!P$2+1,0)*定义数据!$F$2)</f>
        <v>5120</v>
      </c>
      <c r="Q54">
        <f t="shared" si="1"/>
        <v>5120</v>
      </c>
      <c r="R54">
        <f t="shared" si="12"/>
        <v>19200</v>
      </c>
      <c r="S54">
        <f>R54/$R$83*定义数据!$F$3</f>
        <v>0.21384928716904278</v>
      </c>
      <c r="T54">
        <f t="shared" si="4"/>
        <v>0</v>
      </c>
      <c r="U54">
        <f t="shared" si="10"/>
        <v>0.49790225780229408</v>
      </c>
      <c r="V54">
        <f t="shared" si="3"/>
        <v>0.42950053713947522</v>
      </c>
      <c r="W54">
        <f t="shared" si="5"/>
        <v>3.9610902367451017E-2</v>
      </c>
      <c r="Y54">
        <f>'[2]1、经济推算'!$G53/3/60/60</f>
        <v>12.08574738879776</v>
      </c>
      <c r="Z54">
        <f t="shared" si="9"/>
        <v>1588.648130921255</v>
      </c>
      <c r="AB54">
        <f>[2]命币的投放!$K62</f>
        <v>53.5</v>
      </c>
      <c r="AC54">
        <f>'[2]1、经济推算'!$I53+AC53</f>
        <v>19.591521073045673</v>
      </c>
      <c r="AD54">
        <f>$AB54*$AC54*VLOOKUP(AD$37,猎命辅助表!$B$19:$D$25,3,0)</f>
        <v>605.46570955202287</v>
      </c>
      <c r="AE54">
        <f>$AB54*$AC54*VLOOKUP(AE$37,猎命辅助表!$B$19:$D$25,3,0)</f>
        <v>97.942200491334518</v>
      </c>
      <c r="AF54">
        <f>$AB54*$AC54*VLOOKUP(AF$37,猎命辅助表!$B$19:$D$25,3,0)</f>
        <v>13.136058974692828</v>
      </c>
      <c r="AG54">
        <f>$AB54*$AC54*VLOOKUP(AG$37,猎命辅助表!$B$19:$D$25,3,0)</f>
        <v>1.7227618327466008</v>
      </c>
      <c r="AH54">
        <f>$AB54*$AC54*VLOOKUP(AH$37,猎命辅助表!$B$19:$D$25,3,0)</f>
        <v>0.2153452290933251</v>
      </c>
      <c r="AI54">
        <f>SUMPRODUCT(AD54:AH54,命格辅助表!$Q$76:$U$76)</f>
        <v>17422.439295218584</v>
      </c>
      <c r="AJ54">
        <f t="shared" si="7"/>
        <v>1.1020270855682792</v>
      </c>
    </row>
    <row r="55" spans="1:36">
      <c r="A55">
        <v>52</v>
      </c>
      <c r="B55">
        <f>'[2]1、经济推算'!$G54/'[2]1、经济推算'!$G$82</f>
        <v>6.758608527906107E-2</v>
      </c>
      <c r="C55">
        <f>[1]人物总属性查询表!$C55/[1]人物总属性查询表!$C$83</f>
        <v>0.37731971120005103</v>
      </c>
      <c r="D55">
        <f t="shared" si="0"/>
        <v>5.5828016912373073</v>
      </c>
      <c r="F55">
        <f>INT($C55/定义数据!$K$2*定义数据!$F$3)</f>
        <v>27</v>
      </c>
      <c r="G55">
        <f>INT($C55/定义数据!$K$3*定义数据!$F$3)</f>
        <v>15</v>
      </c>
      <c r="H55">
        <f>INT($C55/定义数据!$K$4*定义数据!$F$3)</f>
        <v>8</v>
      </c>
      <c r="I55">
        <f>INT($C55/定义数据!$K$5*定义数据!$F$3)</f>
        <v>4</v>
      </c>
      <c r="J55">
        <f>INT($C55/定义数据!$K$6*定义数据!$F$3)</f>
        <v>2</v>
      </c>
      <c r="K55">
        <f t="shared" si="8"/>
        <v>4</v>
      </c>
      <c r="L55" t="str">
        <f>IF(OR(F55&lt;2,F55&gt;10),"",VLOOKUP(数值对比!F55,命格辅助表!$W$77:$AB$87,数值对比!L$2+1,0)*定义数据!$F$2)</f>
        <v/>
      </c>
      <c r="M55" t="str">
        <f>IF(OR(G55&lt;2,G55&gt;10),"",VLOOKUP(数值对比!G55,命格辅助表!$W$77:$AB$87,数值对比!M$2+1,0)*定义数据!$F$2)</f>
        <v/>
      </c>
      <c r="N55">
        <f>IF(OR(H55&lt;2,H55&gt;10),"",VLOOKUP(数值对比!H55,命格辅助表!$W$77:$AB$87,数值对比!N$2+1,0)*定义数据!$F$2)</f>
        <v>162560</v>
      </c>
      <c r="O55">
        <f>IF(OR(I55&lt;2,I55&gt;10),"",VLOOKUP(数值对比!I55,命格辅助表!$W$77:$AB$87,数值对比!O$2+1,0)*定义数据!$F$2)</f>
        <v>17920</v>
      </c>
      <c r="P55">
        <f>IF(OR(J55&lt;2,J55&gt;10),"",VLOOKUP(数值对比!J55,命格辅助表!$W$77:$AB$87,数值对比!P$2+1,0)*定义数据!$F$2)</f>
        <v>5120</v>
      </c>
      <c r="Q55">
        <f t="shared" si="1"/>
        <v>5120</v>
      </c>
      <c r="R55">
        <f t="shared" si="12"/>
        <v>19200</v>
      </c>
      <c r="S55">
        <f>R55/$R$83*定义数据!$F$3</f>
        <v>0.21384928716904278</v>
      </c>
      <c r="T55">
        <f t="shared" si="4"/>
        <v>0</v>
      </c>
      <c r="U55">
        <f t="shared" si="10"/>
        <v>0.45201461278407279</v>
      </c>
      <c r="V55">
        <f t="shared" si="3"/>
        <v>0.47310259695342749</v>
      </c>
      <c r="W55">
        <f t="shared" si="5"/>
        <v>4.3602059813952265E-2</v>
      </c>
      <c r="Y55">
        <f>'[2]1、经济推算'!$G54/3/60/60</f>
        <v>13.312668975560646</v>
      </c>
      <c r="Z55">
        <f t="shared" si="9"/>
        <v>1442.2352148353796</v>
      </c>
      <c r="AB55">
        <f>[2]命币的投放!$K63</f>
        <v>54</v>
      </c>
      <c r="AC55">
        <f>'[2]1、经济推算'!$I54+AC54</f>
        <v>22.045364246571445</v>
      </c>
      <c r="AD55">
        <f>$AB55*$AC55*VLOOKUP(AD$37,猎命辅助表!$B$19:$D$25,3,0)</f>
        <v>687.66774303047748</v>
      </c>
      <c r="AE55">
        <f>$AB55*$AC55*VLOOKUP(AE$37,猎命辅助表!$B$19:$D$25,3,0)</f>
        <v>111.23948209907259</v>
      </c>
      <c r="AF55">
        <f>$AB55*$AC55*VLOOKUP(AF$37,猎命辅助表!$B$19:$D$25,3,0)</f>
        <v>14.919497314101998</v>
      </c>
      <c r="AG55">
        <f>$AB55*$AC55*VLOOKUP(AG$37,猎命辅助表!$B$19:$D$25,3,0)</f>
        <v>1.956655385456</v>
      </c>
      <c r="AH55">
        <f>$AB55*$AC55*VLOOKUP(AH$37,猎命辅助表!$B$19:$D$25,3,0)</f>
        <v>0.24458192318200001</v>
      </c>
      <c r="AI55">
        <f>SUMPRODUCT(AD55:AH55,命格辅助表!$Q$76:$U$76)</f>
        <v>19787.825006791812</v>
      </c>
      <c r="AJ55">
        <f t="shared" si="7"/>
        <v>0.9702936019198648</v>
      </c>
    </row>
    <row r="56" spans="1:36">
      <c r="A56">
        <v>53</v>
      </c>
      <c r="B56">
        <f>'[2]1、经济推算'!$G55/'[2]1、经济推算'!$G$82</f>
        <v>7.4442565643206143E-2</v>
      </c>
      <c r="C56">
        <f>[1]人物总属性查询表!$C56/[1]人物总属性查询表!$C$83</f>
        <v>0.39362317057443458</v>
      </c>
      <c r="D56">
        <f t="shared" si="0"/>
        <v>5.2876088723354986</v>
      </c>
      <c r="F56">
        <f>INT($C56/定义数据!$K$2*定义数据!$F$3)</f>
        <v>28</v>
      </c>
      <c r="G56">
        <f>INT($C56/定义数据!$K$3*定义数据!$F$3)</f>
        <v>16</v>
      </c>
      <c r="H56">
        <f>INT($C56/定义数据!$K$4*定义数据!$F$3)</f>
        <v>8</v>
      </c>
      <c r="I56">
        <f>INT($C56/定义数据!$K$5*定义数据!$F$3)</f>
        <v>4</v>
      </c>
      <c r="J56">
        <f>INT($C56/定义数据!$K$6*定义数据!$F$3)</f>
        <v>2</v>
      </c>
      <c r="K56">
        <f t="shared" si="8"/>
        <v>4</v>
      </c>
      <c r="L56" t="str">
        <f>IF(OR(F56&lt;2,F56&gt;10),"",VLOOKUP(数值对比!F56,命格辅助表!$W$77:$AB$87,数值对比!L$2+1,0)*定义数据!$F$2)</f>
        <v/>
      </c>
      <c r="M56" t="str">
        <f>IF(OR(G56&lt;2,G56&gt;10),"",VLOOKUP(数值对比!G56,命格辅助表!$W$77:$AB$87,数值对比!M$2+1,0)*定义数据!$F$2)</f>
        <v/>
      </c>
      <c r="N56">
        <f>IF(OR(H56&lt;2,H56&gt;10),"",VLOOKUP(数值对比!H56,命格辅助表!$W$77:$AB$87,数值对比!N$2+1,0)*定义数据!$F$2)</f>
        <v>162560</v>
      </c>
      <c r="O56">
        <f>IF(OR(I56&lt;2,I56&gt;10),"",VLOOKUP(数值对比!I56,命格辅助表!$W$77:$AB$87,数值对比!O$2+1,0)*定义数据!$F$2)</f>
        <v>17920</v>
      </c>
      <c r="P56">
        <f>IF(OR(J56&lt;2,J56&gt;10),"",VLOOKUP(数值对比!J56,命格辅助表!$W$77:$AB$87,数值对比!P$2+1,0)*定义数据!$F$2)</f>
        <v>5120</v>
      </c>
      <c r="Q56">
        <f t="shared" si="1"/>
        <v>5120</v>
      </c>
      <c r="R56">
        <f t="shared" si="12"/>
        <v>19200</v>
      </c>
      <c r="S56">
        <f>R56/$R$83*定义数据!$F$3</f>
        <v>0.21384928716904278</v>
      </c>
      <c r="T56">
        <f t="shared" si="4"/>
        <v>0</v>
      </c>
      <c r="U56">
        <f t="shared" si="10"/>
        <v>0.41038212349407638</v>
      </c>
      <c r="V56">
        <f t="shared" si="3"/>
        <v>0.52109795950244298</v>
      </c>
      <c r="W56">
        <f t="shared" si="5"/>
        <v>4.7995362549015486E-2</v>
      </c>
      <c r="Y56">
        <f>'[2]1、经济推算'!$G55/3/60/60</f>
        <v>14.663214032999768</v>
      </c>
      <c r="Z56">
        <f t="shared" si="9"/>
        <v>1309.3991506084635</v>
      </c>
      <c r="AB56">
        <f>[2]命币的投放!$K64</f>
        <v>54.5</v>
      </c>
      <c r="AC56">
        <f>'[2]1、经济推算'!$I55+AC55</f>
        <v>24.74645436144969</v>
      </c>
      <c r="AD56">
        <f>$AB56*$AC56*VLOOKUP(AD$37,猎命辅助表!$B$19:$D$25,3,0)</f>
        <v>779.07110878141293</v>
      </c>
      <c r="AE56">
        <f>$AB56*$AC56*VLOOKUP(AE$37,猎命辅助表!$B$19:$D$25,3,0)</f>
        <v>126.02520263241966</v>
      </c>
      <c r="AF56">
        <f>$AB56*$AC56*VLOOKUP(AF$37,猎命辅助表!$B$19:$D$25,3,0)</f>
        <v>16.90256585794749</v>
      </c>
      <c r="AG56">
        <f>$AB56*$AC56*VLOOKUP(AG$37,猎命辅助表!$B$19:$D$25,3,0)</f>
        <v>2.2167299485832777</v>
      </c>
      <c r="AH56">
        <f>$AB56*$AC56*VLOOKUP(AH$37,猎命辅助表!$B$19:$D$25,3,0)</f>
        <v>0.27709124357290971</v>
      </c>
      <c r="AI56">
        <f>SUMPRODUCT(AD56:AH56,命格辅助表!$Q$76:$U$76)</f>
        <v>22417.981539277498</v>
      </c>
      <c r="AJ56">
        <f t="shared" si="7"/>
        <v>0.85645533994042133</v>
      </c>
    </row>
    <row r="57" spans="1:36">
      <c r="A57">
        <v>54</v>
      </c>
      <c r="B57">
        <f>'[2]1、经济推算'!$G56/'[2]1、经济推算'!$G$82</f>
        <v>8.1989898551135587E-2</v>
      </c>
      <c r="C57">
        <f>[1]人物总属性查询表!$C57/[1]人物总属性查询表!$C$83</f>
        <v>0.4101530828308394</v>
      </c>
      <c r="D57">
        <f t="shared" si="0"/>
        <v>5.0024831116852093</v>
      </c>
      <c r="F57">
        <f>INT($C57/定义数据!$K$2*定义数据!$F$3)</f>
        <v>30</v>
      </c>
      <c r="G57">
        <f>INT($C57/定义数据!$K$3*定义数据!$F$3)</f>
        <v>16</v>
      </c>
      <c r="H57">
        <f>INT($C57/定义数据!$K$4*定义数据!$F$3)</f>
        <v>9</v>
      </c>
      <c r="I57">
        <f>INT($C57/定义数据!$K$5*定义数据!$F$3)</f>
        <v>5</v>
      </c>
      <c r="J57">
        <f>INT($C57/定义数据!$K$6*定义数据!$F$3)</f>
        <v>2</v>
      </c>
      <c r="K57">
        <f t="shared" si="8"/>
        <v>4</v>
      </c>
      <c r="L57" t="str">
        <f>IF(OR(F57&lt;2,F57&gt;10),"",VLOOKUP(数值对比!F57,命格辅助表!$W$77:$AB$87,数值对比!L$2+1,0)*定义数据!$F$2)</f>
        <v/>
      </c>
      <c r="M57" t="str">
        <f>IF(OR(G57&lt;2,G57&gt;10),"",VLOOKUP(数值对比!G57,命格辅助表!$W$77:$AB$87,数值对比!M$2+1,0)*定义数据!$F$2)</f>
        <v/>
      </c>
      <c r="N57">
        <f>IF(OR(H57&lt;2,H57&gt;10),"",VLOOKUP(数值对比!H57,命格辅助表!$W$77:$AB$87,数值对比!N$2+1,0)*定义数据!$F$2)</f>
        <v>326400</v>
      </c>
      <c r="O57">
        <f>IF(OR(I57&lt;2,I57&gt;10),"",VLOOKUP(数值对比!I57,命格辅助表!$W$77:$AB$87,数值对比!O$2+1,0)*定义数据!$F$2)</f>
        <v>38400</v>
      </c>
      <c r="P57">
        <f>IF(OR(J57&lt;2,J57&gt;10),"",VLOOKUP(数值对比!J57,命格辅助表!$W$77:$AB$87,数值对比!P$2+1,0)*定义数据!$F$2)</f>
        <v>5120</v>
      </c>
      <c r="Q57">
        <f t="shared" si="1"/>
        <v>5120</v>
      </c>
      <c r="R57">
        <f>Q57+$R$56</f>
        <v>24320</v>
      </c>
      <c r="S57">
        <f>R57/$R$83*定义数据!$F$3</f>
        <v>0.27087576374745415</v>
      </c>
      <c r="T57">
        <f t="shared" si="4"/>
        <v>5.7026476578411367E-2</v>
      </c>
      <c r="U57">
        <f t="shared" si="10"/>
        <v>0.47196713695252857</v>
      </c>
      <c r="V57">
        <f t="shared" si="3"/>
        <v>0.57392928985794911</v>
      </c>
      <c r="W57">
        <f t="shared" si="5"/>
        <v>5.2831330355506134E-2</v>
      </c>
      <c r="Y57">
        <f>'[2]1、经济推算'!$G56/3/60/60</f>
        <v>16.149838746308152</v>
      </c>
      <c r="Z57">
        <f t="shared" si="9"/>
        <v>1505.8973889482052</v>
      </c>
      <c r="AB57">
        <f>[2]命币的投放!$K65</f>
        <v>55</v>
      </c>
      <c r="AC57">
        <f>'[2]1、经济推算'!$I56+AC56</f>
        <v>27.719703788066454</v>
      </c>
      <c r="AD57">
        <f>$AB57*$AC57*VLOOKUP(AD$37,猎命辅助表!$B$19:$D$25,3,0)</f>
        <v>880.68153135874184</v>
      </c>
      <c r="AE57">
        <f>$AB57*$AC57*VLOOKUP(AE$37,猎命辅助表!$B$19:$D$25,3,0)</f>
        <v>142.46205152918262</v>
      </c>
      <c r="AF57">
        <f>$AB57*$AC57*VLOOKUP(AF$37,猎命辅助表!$B$19:$D$25,3,0)</f>
        <v>19.107084598417241</v>
      </c>
      <c r="AG57">
        <f>$AB57*$AC57*VLOOKUP(AG$37,猎命辅助表!$B$19:$D$25,3,0)</f>
        <v>2.5058471604481634</v>
      </c>
      <c r="AH57">
        <f>$AB57*$AC57*VLOOKUP(AH$37,猎命辅助表!$B$19:$D$25,3,0)</f>
        <v>0.31323089505602042</v>
      </c>
      <c r="AI57">
        <f>SUMPRODUCT(AD57:AH57,命格辅助表!$Q$76:$U$76)</f>
        <v>25341.848888305154</v>
      </c>
      <c r="AJ57">
        <f t="shared" si="7"/>
        <v>0.95967741371953641</v>
      </c>
    </row>
    <row r="58" spans="1:36">
      <c r="A58">
        <v>55</v>
      </c>
      <c r="B58">
        <f>'[2]1、经济推算'!$G57/'[2]1、经济推算'!$G$82</f>
        <v>9.0297693658518946E-2</v>
      </c>
      <c r="C58">
        <f>[1]人物总属性查询表!$C58/[1]人物总属性查询表!$C$83</f>
        <v>0.42690418922179102</v>
      </c>
      <c r="D58">
        <f t="shared" si="0"/>
        <v>4.7277418937877336</v>
      </c>
      <c r="F58">
        <f>INT($C58/定义数据!$K$2*定义数据!$F$3)</f>
        <v>31</v>
      </c>
      <c r="G58">
        <f>INT($C58/定义数据!$K$3*定义数据!$F$3)</f>
        <v>17</v>
      </c>
      <c r="H58">
        <f>INT($C58/定义数据!$K$4*定义数据!$F$3)</f>
        <v>9</v>
      </c>
      <c r="I58">
        <f>INT($C58/定义数据!$K$5*定义数据!$F$3)</f>
        <v>5</v>
      </c>
      <c r="J58">
        <f>INT($C58/定义数据!$K$6*定义数据!$F$3)</f>
        <v>2</v>
      </c>
      <c r="K58">
        <f t="shared" si="8"/>
        <v>4</v>
      </c>
      <c r="L58" t="str">
        <f>IF(OR(F58&lt;2,F58&gt;10),"",VLOOKUP(数值对比!F58,命格辅助表!$W$77:$AB$87,数值对比!L$2+1,0)*定义数据!$F$2)</f>
        <v/>
      </c>
      <c r="M58" t="str">
        <f>IF(OR(G58&lt;2,G58&gt;10),"",VLOOKUP(数值对比!G58,命格辅助表!$W$77:$AB$87,数值对比!M$2+1,0)*定义数据!$F$2)</f>
        <v/>
      </c>
      <c r="N58">
        <f>IF(OR(H58&lt;2,H58&gt;10),"",VLOOKUP(数值对比!H58,命格辅助表!$W$77:$AB$87,数值对比!N$2+1,0)*定义数据!$F$2)</f>
        <v>326400</v>
      </c>
      <c r="O58">
        <f>IF(OR(I58&lt;2,I58&gt;10),"",VLOOKUP(数值对比!I58,命格辅助表!$W$77:$AB$87,数值对比!O$2+1,0)*定义数据!$F$2)</f>
        <v>38400</v>
      </c>
      <c r="P58">
        <f>IF(OR(J58&lt;2,J58&gt;10),"",VLOOKUP(数值对比!J58,命格辅助表!$W$77:$AB$87,数值对比!P$2+1,0)*定义数据!$F$2)</f>
        <v>5120</v>
      </c>
      <c r="Q58">
        <f t="shared" si="1"/>
        <v>5120</v>
      </c>
      <c r="R58">
        <f t="shared" ref="R58:R64" si="13">Q58+$R$56</f>
        <v>24320</v>
      </c>
      <c r="S58">
        <f>R58/$R$83*定义数据!$F$3</f>
        <v>0.27087576374745415</v>
      </c>
      <c r="T58">
        <f t="shared" si="4"/>
        <v>0</v>
      </c>
      <c r="U58">
        <f t="shared" si="10"/>
        <v>0.42854403152917064</v>
      </c>
      <c r="V58">
        <f t="shared" si="3"/>
        <v>0.63208385560963265</v>
      </c>
      <c r="W58">
        <f t="shared" si="5"/>
        <v>5.815456575168354E-2</v>
      </c>
      <c r="Y58">
        <f>'[2]1、经济推算'!$G57/3/60/60</f>
        <v>17.786254374239807</v>
      </c>
      <c r="Z58">
        <f t="shared" si="9"/>
        <v>1367.3480367638929</v>
      </c>
      <c r="AB58">
        <f>[2]命币的投放!$K66</f>
        <v>55.5</v>
      </c>
      <c r="AC58">
        <f>'[2]1、经济推算'!$I57+AC57</f>
        <v>30.99253504392976</v>
      </c>
      <c r="AD58">
        <f>$AB58*$AC58*VLOOKUP(AD$37,猎命辅助表!$B$19:$D$25,3,0)</f>
        <v>993.61399154141588</v>
      </c>
      <c r="AE58">
        <f>$AB58*$AC58*VLOOKUP(AE$37,猎命辅助表!$B$19:$D$25,3,0)</f>
        <v>160.73039188717732</v>
      </c>
      <c r="AF58">
        <f>$AB58*$AC58*VLOOKUP(AF$37,猎命辅助表!$B$19:$D$25,3,0)</f>
        <v>21.557243928190637</v>
      </c>
      <c r="AG58">
        <f>$AB58*$AC58*VLOOKUP(AG$37,猎命辅助表!$B$19:$D$25,3,0)</f>
        <v>2.8271795315659856</v>
      </c>
      <c r="AH58">
        <f>$AB58*$AC58*VLOOKUP(AH$37,猎命辅助表!$B$19:$D$25,3,0)</f>
        <v>0.35339744144574819</v>
      </c>
      <c r="AI58">
        <f>SUMPRODUCT(AD58:AH58,命格辅助表!$Q$76:$U$76)</f>
        <v>28591.510926883857</v>
      </c>
      <c r="AJ58">
        <f t="shared" si="7"/>
        <v>0.85060212670091995</v>
      </c>
    </row>
    <row r="59" spans="1:36">
      <c r="A59">
        <v>56</v>
      </c>
      <c r="B59">
        <f>'[2]1、经济推算'!$G58/'[2]1、经济推算'!$G$82</f>
        <v>9.9442574424776026E-2</v>
      </c>
      <c r="C59">
        <f>[1]人物总属性查询表!$C59/[1]人物总属性查询表!$C$83</f>
        <v>0.4438711975174216</v>
      </c>
      <c r="D59">
        <f t="shared" si="0"/>
        <v>4.4635931851622646</v>
      </c>
      <c r="F59">
        <f>INT($C59/定义数据!$K$2*定义数据!$F$3)</f>
        <v>32</v>
      </c>
      <c r="G59">
        <f>INT($C59/定义数据!$K$3*定义数据!$F$3)</f>
        <v>18</v>
      </c>
      <c r="H59">
        <f>INT($C59/定义数据!$K$4*定义数据!$F$3)</f>
        <v>10</v>
      </c>
      <c r="I59">
        <f>INT($C59/定义数据!$K$5*定义数据!$F$3)</f>
        <v>5</v>
      </c>
      <c r="J59">
        <f>INT($C59/定义数据!$K$6*定义数据!$F$3)</f>
        <v>3</v>
      </c>
      <c r="K59">
        <f t="shared" si="8"/>
        <v>4</v>
      </c>
      <c r="L59" t="str">
        <f>IF(OR(F59&lt;2,F59&gt;10),"",VLOOKUP(数值对比!F59,命格辅助表!$W$77:$AB$87,数值对比!L$2+1,0)*定义数据!$F$2)</f>
        <v/>
      </c>
      <c r="M59" t="str">
        <f>IF(OR(G59&lt;2,G59&gt;10),"",VLOOKUP(数值对比!G59,命格辅助表!$W$77:$AB$87,数值对比!M$2+1,0)*定义数据!$F$2)</f>
        <v/>
      </c>
      <c r="N59">
        <f>IF(OR(H59&lt;2,H59&gt;10),"",VLOOKUP(数值对比!H59,命格辅助表!$W$77:$AB$87,数值对比!N$2+1,0)*定义数据!$F$2)</f>
        <v>654080</v>
      </c>
      <c r="O59">
        <f>IF(OR(I59&lt;2,I59&gt;10),"",VLOOKUP(数值对比!I59,命格辅助表!$W$77:$AB$87,数值对比!O$2+1,0)*定义数据!$F$2)</f>
        <v>38400</v>
      </c>
      <c r="P59">
        <f>IF(OR(J59&lt;2,J59&gt;10),"",VLOOKUP(数值对比!J59,命格辅助表!$W$77:$AB$87,数值对比!P$2+1,0)*定义数据!$F$2)</f>
        <v>15360</v>
      </c>
      <c r="Q59">
        <f t="shared" si="1"/>
        <v>15360</v>
      </c>
      <c r="R59">
        <f t="shared" si="13"/>
        <v>34560</v>
      </c>
      <c r="S59">
        <f>R59/$R$83*定义数据!$F$3</f>
        <v>0.38492871690427699</v>
      </c>
      <c r="T59">
        <f t="shared" si="4"/>
        <v>0.11405295315682284</v>
      </c>
      <c r="U59">
        <f t="shared" si="10"/>
        <v>0.55298062242152024</v>
      </c>
      <c r="V59">
        <f t="shared" si="3"/>
        <v>0.69609802097343221</v>
      </c>
      <c r="W59">
        <f t="shared" si="5"/>
        <v>6.4014165363799558E-2</v>
      </c>
      <c r="Y59">
        <f>'[2]1、经济推算'!$G58/3/60/60</f>
        <v>19.58755370914697</v>
      </c>
      <c r="Z59">
        <f t="shared" si="9"/>
        <v>1764.3857172353898</v>
      </c>
      <c r="AB59">
        <f>[2]命币的投放!$K67</f>
        <v>56</v>
      </c>
      <c r="AC59">
        <f>'[2]1、经济推算'!$I58+AC58</f>
        <v>34.59513371374409</v>
      </c>
      <c r="AD59">
        <f>$AB59*$AC59*VLOOKUP(AD$37,猎命辅助表!$B$19:$D$25,3,0)</f>
        <v>1119.1045329364931</v>
      </c>
      <c r="AE59">
        <f>$AB59*$AC59*VLOOKUP(AE$37,猎命辅助表!$B$19:$D$25,3,0)</f>
        <v>181.03017034065343</v>
      </c>
      <c r="AF59">
        <f>$AB59*$AC59*VLOOKUP(AF$37,猎命辅助表!$B$19:$D$25,3,0)</f>
        <v>24.279860794059946</v>
      </c>
      <c r="AG59">
        <f>$AB59*$AC59*VLOOKUP(AG$37,猎命辅助表!$B$19:$D$25,3,0)</f>
        <v>3.1842440385652395</v>
      </c>
      <c r="AH59">
        <f>$AB59*$AC59*VLOOKUP(AH$37,猎命辅助表!$B$19:$D$25,3,0)</f>
        <v>0.39803050482065494</v>
      </c>
      <c r="AI59">
        <f>SUMPRODUCT(AD59:AH59,命格辅助表!$Q$76:$U$76)</f>
        <v>32202.535143593846</v>
      </c>
      <c r="AJ59">
        <f t="shared" si="7"/>
        <v>1.0732074305918469</v>
      </c>
    </row>
    <row r="60" spans="1:36">
      <c r="A60">
        <v>57</v>
      </c>
      <c r="B60">
        <f>'[2]1、经济推算'!$G59/'[2]1、经济推算'!$G$82</f>
        <v>0.10950888481737769</v>
      </c>
      <c r="C60">
        <f>[1]人物总属性查询表!$C60/[1]人物总属性查询表!$C$83</f>
        <v>0.46104878488662471</v>
      </c>
      <c r="D60">
        <f t="shared" si="0"/>
        <v>4.2101495751280087</v>
      </c>
      <c r="F60">
        <f>INT($C60/定义数据!$K$2*定义数据!$F$3)</f>
        <v>33</v>
      </c>
      <c r="G60">
        <f>INT($C60/定义数据!$K$3*定义数据!$F$3)</f>
        <v>18</v>
      </c>
      <c r="H60">
        <f>INT($C60/定义数据!$K$4*定义数据!$F$3)</f>
        <v>10</v>
      </c>
      <c r="I60">
        <f>INT($C60/定义数据!$K$5*定义数据!$F$3)</f>
        <v>5</v>
      </c>
      <c r="J60">
        <f>INT($C60/定义数据!$K$6*定义数据!$F$3)</f>
        <v>3</v>
      </c>
      <c r="K60">
        <f t="shared" si="8"/>
        <v>4</v>
      </c>
      <c r="L60" t="str">
        <f>IF(OR(F60&lt;2,F60&gt;10),"",VLOOKUP(数值对比!F60,命格辅助表!$W$77:$AB$87,数值对比!L$2+1,0)*定义数据!$F$2)</f>
        <v/>
      </c>
      <c r="M60" t="str">
        <f>IF(OR(G60&lt;2,G60&gt;10),"",VLOOKUP(数值对比!G60,命格辅助表!$W$77:$AB$87,数值对比!M$2+1,0)*定义数据!$F$2)</f>
        <v/>
      </c>
      <c r="N60">
        <f>IF(OR(H60&lt;2,H60&gt;10),"",VLOOKUP(数值对比!H60,命格辅助表!$W$77:$AB$87,数值对比!N$2+1,0)*定义数据!$F$2)</f>
        <v>654080</v>
      </c>
      <c r="O60">
        <f>IF(OR(I60&lt;2,I60&gt;10),"",VLOOKUP(数值对比!I60,命格辅助表!$W$77:$AB$87,数值对比!O$2+1,0)*定义数据!$F$2)</f>
        <v>38400</v>
      </c>
      <c r="P60">
        <f>IF(OR(J60&lt;2,J60&gt;10),"",VLOOKUP(数值对比!J60,命格辅助表!$W$77:$AB$87,数值对比!P$2+1,0)*定义数据!$F$2)</f>
        <v>15360</v>
      </c>
      <c r="Q60">
        <f t="shared" si="1"/>
        <v>15360</v>
      </c>
      <c r="R60">
        <f t="shared" si="13"/>
        <v>34560</v>
      </c>
      <c r="S60">
        <f>R60/$R$83*定义数据!$F$3</f>
        <v>0.38492871690427699</v>
      </c>
      <c r="T60">
        <f t="shared" si="4"/>
        <v>0</v>
      </c>
      <c r="U60">
        <f t="shared" si="10"/>
        <v>0.5021493625135045</v>
      </c>
      <c r="V60">
        <f t="shared" si="3"/>
        <v>0.7665621937216438</v>
      </c>
      <c r="W60">
        <f t="shared" si="5"/>
        <v>7.0464172748211595E-2</v>
      </c>
      <c r="Y60">
        <f>'[2]1、经济推算'!$G59/3/60/60</f>
        <v>21.570350279012363</v>
      </c>
      <c r="Z60">
        <f t="shared" si="9"/>
        <v>1602.199294539337</v>
      </c>
      <c r="AB60">
        <f>[2]命币的投放!$K68</f>
        <v>56.5</v>
      </c>
      <c r="AC60">
        <f>'[2]1、经济推算'!$I59+AC59</f>
        <v>38.560726853474868</v>
      </c>
      <c r="AD60">
        <f>$AB60*$AC60*VLOOKUP(AD$37,猎命辅助表!$B$19:$D$25,3,0)</f>
        <v>1258.5233386150555</v>
      </c>
      <c r="AE60">
        <f>$AB60*$AC60*VLOOKUP(AE$37,猎命辅助表!$B$19:$D$25,3,0)</f>
        <v>203.58303238156955</v>
      </c>
      <c r="AF60">
        <f>$AB60*$AC60*VLOOKUP(AF$37,猎命辅助表!$B$19:$D$25,3,0)</f>
        <v>27.304662404922233</v>
      </c>
      <c r="AG60">
        <f>$AB60*$AC60*VLOOKUP(AG$37,猎命辅助表!$B$19:$D$25,3,0)</f>
        <v>3.5809393317930804</v>
      </c>
      <c r="AH60">
        <f>$AB60*$AC60*VLOOKUP(AH$37,猎命辅助表!$B$19:$D$25,3,0)</f>
        <v>0.44761741647413505</v>
      </c>
      <c r="AI60">
        <f>SUMPRODUCT(AD60:AH60,命格辅助表!$Q$76:$U$76)</f>
        <v>36214.348926316292</v>
      </c>
      <c r="AJ60">
        <f t="shared" si="7"/>
        <v>0.95431786086552817</v>
      </c>
    </row>
    <row r="61" spans="1:36">
      <c r="A61">
        <v>58</v>
      </c>
      <c r="B61">
        <f>'[2]1、经济推算'!$G60/'[2]1、经济推算'!$G$82</f>
        <v>0.12058946722301077</v>
      </c>
      <c r="C61">
        <f>[1]人物总属性查询表!$C61/[1]人物总属性查询表!$C$83</f>
        <v>0.47843160077821123</v>
      </c>
      <c r="D61">
        <f t="shared" si="0"/>
        <v>3.9674410360685082</v>
      </c>
      <c r="F61">
        <f>INT($C61/定义数据!$K$2*定义数据!$F$3)</f>
        <v>35</v>
      </c>
      <c r="G61">
        <f>INT($C61/定义数据!$K$3*定义数据!$F$3)</f>
        <v>19</v>
      </c>
      <c r="H61">
        <f>INT($C61/定义数据!$K$4*定义数据!$F$3)</f>
        <v>10</v>
      </c>
      <c r="I61">
        <f>INT($C61/定义数据!$K$5*定义数据!$F$3)</f>
        <v>6</v>
      </c>
      <c r="J61">
        <f>INT($C61/定义数据!$K$6*定义数据!$F$3)</f>
        <v>3</v>
      </c>
      <c r="K61">
        <f t="shared" si="8"/>
        <v>5</v>
      </c>
      <c r="L61" t="str">
        <f>IF(OR(F61&lt;2,F61&gt;10),"",VLOOKUP(数值对比!F61,命格辅助表!$W$77:$AB$87,数值对比!L$2+1,0)*定义数据!$F$2)</f>
        <v/>
      </c>
      <c r="M61" t="str">
        <f>IF(OR(G61&lt;2,G61&gt;10),"",VLOOKUP(数值对比!G61,命格辅助表!$W$77:$AB$87,数值对比!M$2+1,0)*定义数据!$F$2)</f>
        <v/>
      </c>
      <c r="N61">
        <f>IF(OR(H61&lt;2,H61&gt;10),"",VLOOKUP(数值对比!H61,命格辅助表!$W$77:$AB$87,数值对比!N$2+1,0)*定义数据!$F$2)</f>
        <v>654080</v>
      </c>
      <c r="O61">
        <f>IF(OR(I61&lt;2,I61&gt;10),"",VLOOKUP(数值对比!I61,命格辅助表!$W$77:$AB$87,数值对比!O$2+1,0)*定义数据!$F$2)</f>
        <v>79360</v>
      </c>
      <c r="P61">
        <f>IF(OR(J61&lt;2,J61&gt;10),"",VLOOKUP(数值对比!J61,命格辅助表!$W$77:$AB$87,数值对比!P$2+1,0)*定义数据!$F$2)</f>
        <v>15360</v>
      </c>
      <c r="Q61">
        <f t="shared" si="1"/>
        <v>15360</v>
      </c>
      <c r="R61">
        <f t="shared" si="13"/>
        <v>34560</v>
      </c>
      <c r="S61">
        <f>R61/$R$83*定义数据!$F$3</f>
        <v>0.38492871690427699</v>
      </c>
      <c r="T61">
        <f t="shared" si="4"/>
        <v>0</v>
      </c>
      <c r="U61">
        <f t="shared" si="10"/>
        <v>0.45600845552220748</v>
      </c>
      <c r="V61">
        <f t="shared" si="3"/>
        <v>0.84412627056107536</v>
      </c>
      <c r="W61">
        <f t="shared" si="5"/>
        <v>7.7564076839431562E-2</v>
      </c>
      <c r="Y61">
        <f>'[2]1、经济推算'!$G60/3/60/60</f>
        <v>23.752931575347858</v>
      </c>
      <c r="Z61">
        <f t="shared" si="9"/>
        <v>1454.9782998519784</v>
      </c>
      <c r="AB61">
        <f>[2]命币的投放!$K69</f>
        <v>57</v>
      </c>
      <c r="AC61">
        <f>'[2]1、经济推算'!$I60+AC60</f>
        <v>42.925889446145867</v>
      </c>
      <c r="AD61">
        <f>$AB61*$AC61*VLOOKUP(AD$37,猎命辅助表!$B$19:$D$25,3,0)</f>
        <v>1413.3892138503991</v>
      </c>
      <c r="AE61">
        <f>$AB61*$AC61*VLOOKUP(AE$37,猎命辅助表!$B$19:$D$25,3,0)</f>
        <v>228.63466513677307</v>
      </c>
      <c r="AF61">
        <f>$AB61*$AC61*VLOOKUP(AF$37,猎命辅助表!$B$19:$D$25,3,0)</f>
        <v>30.664600446275671</v>
      </c>
      <c r="AG61">
        <f>$AB61*$AC61*VLOOKUP(AG$37,猎命辅助表!$B$19:$D$25,3,0)</f>
        <v>4.0215869437738592</v>
      </c>
      <c r="AH61">
        <f>$AB61*$AC61*VLOOKUP(AH$37,猎命辅助表!$B$19:$D$25,3,0)</f>
        <v>0.5026983679717324</v>
      </c>
      <c r="AI61">
        <f>SUMPRODUCT(AD61:AH61,命格辅助表!$Q$76:$U$76)</f>
        <v>40670.656306935729</v>
      </c>
      <c r="AJ61">
        <f t="shared" si="7"/>
        <v>0.84975269981336266</v>
      </c>
    </row>
    <row r="62" spans="1:36">
      <c r="A62">
        <v>59</v>
      </c>
      <c r="B62">
        <f>'[2]1、经济推算'!$G61/'[2]1、经济推算'!$G$82</f>
        <v>0.13278651874034356</v>
      </c>
      <c r="C62">
        <f>[1]人物总属性查询表!$C62/[1]人物总属性查询表!$C$83</f>
        <v>0.4960142698020642</v>
      </c>
      <c r="D62">
        <f t="shared" si="0"/>
        <v>3.7354264160806245</v>
      </c>
      <c r="F62">
        <f>INT($C62/定义数据!$K$2*定义数据!$F$3)</f>
        <v>36</v>
      </c>
      <c r="G62">
        <f>INT($C62/定义数据!$K$3*定义数据!$F$3)</f>
        <v>20</v>
      </c>
      <c r="H62">
        <f>INT($C62/定义数据!$K$4*定义数据!$F$3)</f>
        <v>11</v>
      </c>
      <c r="I62">
        <f>INT($C62/定义数据!$K$5*定义数据!$F$3)</f>
        <v>6</v>
      </c>
      <c r="J62">
        <f>INT($C62/定义数据!$K$6*定义数据!$F$3)</f>
        <v>3</v>
      </c>
      <c r="K62">
        <f t="shared" si="8"/>
        <v>5</v>
      </c>
      <c r="L62" t="str">
        <f>IF(OR(F62&lt;2,F62&gt;10),"",VLOOKUP(数值对比!F62,命格辅助表!$W$77:$AB$87,数值对比!L$2+1,0)*定义数据!$F$2)</f>
        <v/>
      </c>
      <c r="M62" t="str">
        <f>IF(OR(G62&lt;2,G62&gt;10),"",VLOOKUP(数值对比!G62,命格辅助表!$W$77:$AB$87,数值对比!M$2+1,0)*定义数据!$F$2)</f>
        <v/>
      </c>
      <c r="N62" t="str">
        <f>IF(OR(H62&lt;2,H62&gt;10),"",VLOOKUP(数值对比!H62,命格辅助表!$W$77:$AB$87,数值对比!N$2+1,0)*定义数据!$F$2)</f>
        <v/>
      </c>
      <c r="O62">
        <f>IF(OR(I62&lt;2,I62&gt;10),"",VLOOKUP(数值对比!I62,命格辅助表!$W$77:$AB$87,数值对比!O$2+1,0)*定义数据!$F$2)</f>
        <v>79360</v>
      </c>
      <c r="P62">
        <f>IF(OR(J62&lt;2,J62&gt;10),"",VLOOKUP(数值对比!J62,命格辅助表!$W$77:$AB$87,数值对比!P$2+1,0)*定义数据!$F$2)</f>
        <v>15360</v>
      </c>
      <c r="Q62">
        <f t="shared" si="1"/>
        <v>15360</v>
      </c>
      <c r="R62">
        <f t="shared" si="13"/>
        <v>34560</v>
      </c>
      <c r="S62">
        <f>R62/$R$83*定义数据!$F$3</f>
        <v>0.38492871690427699</v>
      </c>
      <c r="T62">
        <f t="shared" si="4"/>
        <v>0</v>
      </c>
      <c r="U62">
        <f t="shared" si="10"/>
        <v>0.41412198483899137</v>
      </c>
      <c r="V62">
        <f t="shared" si="3"/>
        <v>0.92950563118240492</v>
      </c>
      <c r="W62">
        <f t="shared" si="5"/>
        <v>8.5379360621329559E-2</v>
      </c>
      <c r="Y62">
        <f>'[2]1、经济推算'!$G61/3/60/60</f>
        <v>26.155427720192886</v>
      </c>
      <c r="Z62">
        <f t="shared" si="9"/>
        <v>1321.3318615821563</v>
      </c>
      <c r="AB62">
        <f>[2]命币的投放!$K70</f>
        <v>57.5</v>
      </c>
      <c r="AC62">
        <f>'[2]1、经济推算'!$I61+AC61</f>
        <v>47.730881735835922</v>
      </c>
      <c r="AD62">
        <f>$AB62*$AC62*VLOOKUP(AD$37,猎命辅助表!$B$19:$D$25,3,0)</f>
        <v>1585.3856255544911</v>
      </c>
      <c r="AE62">
        <f>$AB62*$AC62*VLOOKUP(AE$37,猎命辅助表!$B$19:$D$25,3,0)</f>
        <v>256.45739196200691</v>
      </c>
      <c r="AF62">
        <f>$AB62*$AC62*VLOOKUP(AF$37,猎命辅助表!$B$19:$D$25,3,0)</f>
        <v>34.396199068519984</v>
      </c>
      <c r="AG62">
        <f>$AB62*$AC62*VLOOKUP(AG$37,猎命辅助表!$B$19:$D$25,3,0)</f>
        <v>4.5109769270190148</v>
      </c>
      <c r="AH62">
        <f>$AB62*$AC62*VLOOKUP(AH$37,猎命辅助表!$B$19:$D$25,3,0)</f>
        <v>0.56387211587737684</v>
      </c>
      <c r="AI62">
        <f>SUMPRODUCT(AD62:AH62,命格辅助表!$Q$76:$U$76)</f>
        <v>45619.899500455496</v>
      </c>
      <c r="AJ62">
        <f t="shared" si="7"/>
        <v>0.7575641414916956</v>
      </c>
    </row>
    <row r="63" spans="1:36">
      <c r="A63">
        <v>60</v>
      </c>
      <c r="B63">
        <f>'[2]1、经济推算'!$G62/'[2]1、经济推算'!$G$82</f>
        <v>0.14621253375204918</v>
      </c>
      <c r="C63">
        <f>[1]人物总属性查询表!$C63/[1]人物总属性查询表!$C$83</f>
        <v>0.51632238670196984</v>
      </c>
      <c r="D63">
        <f t="shared" si="0"/>
        <v>3.5313141319167758</v>
      </c>
      <c r="F63">
        <f>INT($C63/定义数据!$K$2*定义数据!$F$3)</f>
        <v>37</v>
      </c>
      <c r="G63">
        <f>INT($C63/定义数据!$K$3*定义数据!$F$3)</f>
        <v>21</v>
      </c>
      <c r="H63">
        <f>INT($C63/定义数据!$K$4*定义数据!$F$3)</f>
        <v>11</v>
      </c>
      <c r="I63">
        <f>INT($C63/定义数据!$K$5*定义数据!$F$3)</f>
        <v>6</v>
      </c>
      <c r="J63">
        <f>INT($C63/定义数据!$K$6*定义数据!$F$3)</f>
        <v>3</v>
      </c>
      <c r="K63">
        <f t="shared" si="8"/>
        <v>5</v>
      </c>
      <c r="L63" t="str">
        <f>IF(OR(F63&lt;2,F63&gt;10),"",VLOOKUP(数值对比!F63,命格辅助表!$W$77:$AB$87,数值对比!L$2+1,0)*定义数据!$F$2)</f>
        <v/>
      </c>
      <c r="M63" t="str">
        <f>IF(OR(G63&lt;2,G63&gt;10),"",VLOOKUP(数值对比!G63,命格辅助表!$W$77:$AB$87,数值对比!M$2+1,0)*定义数据!$F$2)</f>
        <v/>
      </c>
      <c r="N63" t="str">
        <f>IF(OR(H63&lt;2,H63&gt;10),"",VLOOKUP(数值对比!H63,命格辅助表!$W$77:$AB$87,数值对比!N$2+1,0)*定义数据!$F$2)</f>
        <v/>
      </c>
      <c r="O63">
        <f>IF(OR(I63&lt;2,I63&gt;10),"",VLOOKUP(数值对比!I63,命格辅助表!$W$77:$AB$87,数值对比!O$2+1,0)*定义数据!$F$2)</f>
        <v>79360</v>
      </c>
      <c r="P63">
        <f>IF(OR(J63&lt;2,J63&gt;10),"",VLOOKUP(数值对比!J63,命格辅助表!$W$77:$AB$87,数值对比!P$2+1,0)*定义数据!$F$2)</f>
        <v>15360</v>
      </c>
      <c r="Q63">
        <f t="shared" si="1"/>
        <v>15360</v>
      </c>
      <c r="R63">
        <f t="shared" si="13"/>
        <v>34560</v>
      </c>
      <c r="S63">
        <f>R63/$R$83*定义数据!$F$3</f>
        <v>0.38492871690427699</v>
      </c>
      <c r="T63">
        <f t="shared" si="4"/>
        <v>0</v>
      </c>
      <c r="U63">
        <f t="shared" si="10"/>
        <v>0.37609509451401812</v>
      </c>
      <c r="V63">
        <f t="shared" si="3"/>
        <v>1.0234877362643442</v>
      </c>
      <c r="W63">
        <f t="shared" si="5"/>
        <v>9.3982105081939271E-2</v>
      </c>
      <c r="Y63">
        <f>'[2]1、经济推算'!$G62/3/60/60</f>
        <v>28.799997127841639</v>
      </c>
      <c r="Z63">
        <f t="shared" si="9"/>
        <v>1200.0001196732769</v>
      </c>
      <c r="AB63" s="24">
        <f>[2]命币的投放!$K71</f>
        <v>58</v>
      </c>
      <c r="AC63" s="24">
        <f>'[2]1、经济推算'!$I62+AC62</f>
        <v>53.020020551133427</v>
      </c>
      <c r="AD63" s="24">
        <f>$AB63*$AC63*VLOOKUP(AD$37,猎命辅助表!$B$19:$D$25,3,0)</f>
        <v>1776.3784650812361</v>
      </c>
      <c r="AE63" s="24">
        <f>$AB63*$AC63*VLOOKUP(AE$37,猎命辅助表!$B$19:$D$25,3,0)</f>
        <v>287.35304581361527</v>
      </c>
      <c r="AF63" s="24">
        <f>$AB63*$AC63*VLOOKUP(AF$37,猎命辅助表!$B$19:$D$25,3,0)</f>
        <v>38.539940265067123</v>
      </c>
      <c r="AG63" s="24">
        <f>$AB63*$AC63*VLOOKUP(AG$37,猎命辅助表!$B$19:$D$25,3,0)</f>
        <v>5.0544183954186401</v>
      </c>
      <c r="AH63" s="24">
        <f>$AB63*$AC63*VLOOKUP(AH$37,猎命辅助表!$B$19:$D$25,3,0)</f>
        <v>0.63180229942733002</v>
      </c>
      <c r="AI63">
        <f>SUMPRODUCT(AD63:AH63,命格辅助表!$Q$76:$U$76)</f>
        <v>51115.770034458437</v>
      </c>
      <c r="AJ63">
        <f t="shared" si="7"/>
        <v>0.67611228348320351</v>
      </c>
    </row>
    <row r="64" spans="1:36">
      <c r="A64">
        <v>61</v>
      </c>
      <c r="B64">
        <f>'[2]1、经济推算'!$G63/'[2]1、经济推算'!$G$82</f>
        <v>0.16099134146950336</v>
      </c>
      <c r="C64">
        <f>[1]人物总属性查询表!$C64/[1]人物总属性查询表!$C$83</f>
        <v>0.53687061222818433</v>
      </c>
      <c r="D64">
        <f t="shared" si="0"/>
        <v>3.33477941936327</v>
      </c>
      <c r="F64">
        <f>INT($C64/定义数据!$K$2*定义数据!$F$3)</f>
        <v>39</v>
      </c>
      <c r="G64">
        <f>INT($C64/定义数据!$K$3*定义数据!$F$3)</f>
        <v>21</v>
      </c>
      <c r="H64">
        <f>INT($C64/定义数据!$K$4*定义数据!$F$3)</f>
        <v>12</v>
      </c>
      <c r="I64">
        <f>INT($C64/定义数据!$K$5*定义数据!$F$3)</f>
        <v>6</v>
      </c>
      <c r="J64">
        <f>INT($C64/定义数据!$K$6*定义数据!$F$3)</f>
        <v>3</v>
      </c>
      <c r="K64">
        <f t="shared" si="8"/>
        <v>5</v>
      </c>
      <c r="L64" t="str">
        <f>IF(OR(F64&lt;2,F64&gt;10),"",VLOOKUP(数值对比!F64,命格辅助表!$W$77:$AB$87,数值对比!L$2+1,0)*定义数据!$F$2)</f>
        <v/>
      </c>
      <c r="M64" t="str">
        <f>IF(OR(G64&lt;2,G64&gt;10),"",VLOOKUP(数值对比!G64,命格辅助表!$W$77:$AB$87,数值对比!M$2+1,0)*定义数据!$F$2)</f>
        <v/>
      </c>
      <c r="N64" t="str">
        <f>IF(OR(H64&lt;2,H64&gt;10),"",VLOOKUP(数值对比!H64,命格辅助表!$W$77:$AB$87,数值对比!N$2+1,0)*定义数据!$F$2)</f>
        <v/>
      </c>
      <c r="O64">
        <f>IF(OR(I64&lt;2,I64&gt;10),"",VLOOKUP(数值对比!I64,命格辅助表!$W$77:$AB$87,数值对比!O$2+1,0)*定义数据!$F$2)</f>
        <v>79360</v>
      </c>
      <c r="P64">
        <f>IF(OR(J64&lt;2,J64&gt;10),"",VLOOKUP(数值对比!J64,命格辅助表!$W$77:$AB$87,数值对比!P$2+1,0)*定义数据!$F$2)</f>
        <v>15360</v>
      </c>
      <c r="Q64">
        <f t="shared" si="1"/>
        <v>15360</v>
      </c>
      <c r="R64">
        <f t="shared" si="13"/>
        <v>34560</v>
      </c>
      <c r="S64">
        <f>R64/$R$83*定义数据!$F$3</f>
        <v>0.38492871690427699</v>
      </c>
      <c r="T64">
        <f t="shared" si="4"/>
        <v>0</v>
      </c>
      <c r="U64">
        <f t="shared" si="10"/>
        <v>0.34157002605651149</v>
      </c>
      <c r="V64">
        <f t="shared" si="3"/>
        <v>1.1269393902865235</v>
      </c>
      <c r="W64">
        <f t="shared" si="5"/>
        <v>0.10345165402217926</v>
      </c>
      <c r="Y64">
        <f>'[2]1、经济推算'!$G63/3/60/60</f>
        <v>31.711030873672197</v>
      </c>
      <c r="Z64">
        <f t="shared" si="9"/>
        <v>1089.8415802903819</v>
      </c>
      <c r="AB64">
        <f>[2]命币的投放!$K72</f>
        <v>58.5</v>
      </c>
      <c r="AC64">
        <f>'[2]1、经济推算'!$I63+AC63</f>
        <v>58.842088042794536</v>
      </c>
      <c r="AD64">
        <f>$AB64*$AC64*VLOOKUP(AD$37,猎命辅助表!$B$19:$D$25,3,0)</f>
        <v>1988.4357188475906</v>
      </c>
      <c r="AE64">
        <f>$AB64*$AC64*VLOOKUP(AE$37,猎命辅助表!$B$19:$D$25,3,0)</f>
        <v>321.65615123537913</v>
      </c>
      <c r="AF64">
        <f>$AB64*$AC64*VLOOKUP(AF$37,猎命辅助表!$B$19:$D$25,3,0)</f>
        <v>43.140690642074048</v>
      </c>
      <c r="AG64">
        <f>$AB64*$AC64*VLOOKUP(AG$37,猎命辅助表!$B$19:$D$25,3,0)</f>
        <v>5.6577954940424995</v>
      </c>
      <c r="AH64">
        <f>$AB64*$AC64*VLOOKUP(AH$37,猎命辅助表!$B$19:$D$25,3,0)</f>
        <v>0.70722443675531244</v>
      </c>
      <c r="AI64">
        <f>SUMPRODUCT(AD64:AH64,命格辅助表!$Q$76:$U$76)</f>
        <v>57217.77477654141</v>
      </c>
      <c r="AJ64">
        <f t="shared" si="7"/>
        <v>0.60400810997929932</v>
      </c>
    </row>
    <row r="65" spans="1:36">
      <c r="A65">
        <v>62</v>
      </c>
      <c r="B65">
        <f>'[2]1、经济推算'!$G64/'[2]1、经济推算'!$G$82</f>
        <v>0.1772592480195152</v>
      </c>
      <c r="C65">
        <f>[1]人物总属性查询表!$C65/[1]人物总属性查询表!$C$83</f>
        <v>0.55765250334394445</v>
      </c>
      <c r="D65">
        <f t="shared" si="0"/>
        <v>3.1459712797752033</v>
      </c>
      <c r="F65">
        <f>INT($C65/定义数据!$K$2*定义数据!$F$3)</f>
        <v>40</v>
      </c>
      <c r="G65">
        <f>INT($C65/定义数据!$K$3*定义数据!$F$3)</f>
        <v>22</v>
      </c>
      <c r="H65">
        <f>INT($C65/定义数据!$K$4*定义数据!$F$3)</f>
        <v>12</v>
      </c>
      <c r="I65">
        <f>INT($C65/定义数据!$K$5*定义数据!$F$3)</f>
        <v>7</v>
      </c>
      <c r="J65">
        <f>INT($C65/定义数据!$K$6*定义数据!$F$3)</f>
        <v>3</v>
      </c>
      <c r="K65">
        <f t="shared" si="8"/>
        <v>5</v>
      </c>
      <c r="L65" t="str">
        <f>IF(OR(F65&lt;2,F65&gt;10),"",VLOOKUP(数值对比!F65,命格辅助表!$W$77:$AB$87,数值对比!L$2+1,0)*定义数据!$F$2)</f>
        <v/>
      </c>
      <c r="M65" t="str">
        <f>IF(OR(G65&lt;2,G65&gt;10),"",VLOOKUP(数值对比!G65,命格辅助表!$W$77:$AB$87,数值对比!M$2+1,0)*定义数据!$F$2)</f>
        <v/>
      </c>
      <c r="N65" t="str">
        <f>IF(OR(H65&lt;2,H65&gt;10),"",VLOOKUP(数值对比!H65,命格辅助表!$W$77:$AB$87,数值对比!N$2+1,0)*定义数据!$F$2)</f>
        <v/>
      </c>
      <c r="O65">
        <f>IF(OR(I65&lt;2,I65&gt;10),"",VLOOKUP(数值对比!I65,命格辅助表!$W$77:$AB$87,数值对比!O$2+1,0)*定义数据!$F$2)</f>
        <v>161280</v>
      </c>
      <c r="P65">
        <f>IF(OR(J65&lt;2,J65&gt;10),"",VLOOKUP(数值对比!J65,命格辅助表!$W$77:$AB$87,数值对比!P$2+1,0)*定义数据!$F$2)</f>
        <v>15360</v>
      </c>
      <c r="Q65">
        <f t="shared" si="1"/>
        <v>15360</v>
      </c>
      <c r="R65">
        <f>Q65+$R$64</f>
        <v>49920</v>
      </c>
      <c r="S65">
        <f>R65/$R$83*定义数据!$F$3</f>
        <v>0.55600814663951115</v>
      </c>
      <c r="T65">
        <f t="shared" si="4"/>
        <v>0.17107942973523416</v>
      </c>
      <c r="U65">
        <f t="shared" si="10"/>
        <v>0.44809924515459487</v>
      </c>
      <c r="V65">
        <f t="shared" si="3"/>
        <v>1.2408147361366064</v>
      </c>
      <c r="W65">
        <f t="shared" si="5"/>
        <v>0.11387534585008297</v>
      </c>
      <c r="Y65">
        <f>'[2]1、经济推算'!$G64/3/60/60</f>
        <v>34.915377654987523</v>
      </c>
      <c r="Z65">
        <f t="shared" si="9"/>
        <v>1429.742518992033</v>
      </c>
      <c r="AB65">
        <f>[2]命币的投放!$K73</f>
        <v>59</v>
      </c>
      <c r="AC65">
        <f>'[2]1、经济推算'!$I64+AC64</f>
        <v>65.250781605425189</v>
      </c>
      <c r="AD65">
        <f>$AB65*$AC65*VLOOKUP(AD$37,猎命辅助表!$B$19:$D$25,3,0)</f>
        <v>2223.8492508975328</v>
      </c>
      <c r="AE65">
        <f>$AB65*$AC65*VLOOKUP(AE$37,猎命辅助表!$B$19:$D$25,3,0)</f>
        <v>359.73744798043873</v>
      </c>
      <c r="AF65">
        <f>$AB65*$AC65*VLOOKUP(AF$37,猎命辅助表!$B$19:$D$25,3,0)</f>
        <v>48.24817400845135</v>
      </c>
      <c r="AG65">
        <f>$AB65*$AC65*VLOOKUP(AG$37,猎命辅助表!$B$19:$D$25,3,0)</f>
        <v>6.327629378157555</v>
      </c>
      <c r="AH65">
        <f>$AB65*$AC65*VLOOKUP(AH$37,猎命辅助表!$B$19:$D$25,3,0)</f>
        <v>0.79095367226969437</v>
      </c>
      <c r="AI65">
        <f>SUMPRODUCT(AD65:AH65,命格辅助表!$Q$76:$U$76)</f>
        <v>63991.862733475813</v>
      </c>
      <c r="AJ65">
        <f t="shared" si="7"/>
        <v>0.780099185546689</v>
      </c>
    </row>
    <row r="66" spans="1:36">
      <c r="A66">
        <v>63</v>
      </c>
      <c r="B66">
        <f>'[2]1、经济推算'!$G65/'[2]1、经济推算'!$G$82</f>
        <v>0.19516629360664778</v>
      </c>
      <c r="C66">
        <f>[1]人物总属性查询表!$C66/[1]人物总属性查询表!$C$83</f>
        <v>0.57866159647156978</v>
      </c>
      <c r="D66">
        <f t="shared" si="0"/>
        <v>2.9649668791571462</v>
      </c>
      <c r="F66">
        <f>INT($C66/定义数据!$K$2*定义数据!$F$3)</f>
        <v>42</v>
      </c>
      <c r="G66">
        <f>INT($C66/定义数据!$K$3*定义数据!$F$3)</f>
        <v>23</v>
      </c>
      <c r="H66">
        <f>INT($C66/定义数据!$K$4*定义数据!$F$3)</f>
        <v>13</v>
      </c>
      <c r="I66">
        <f>INT($C66/定义数据!$K$5*定义数据!$F$3)</f>
        <v>7</v>
      </c>
      <c r="J66">
        <f>INT($C66/定义数据!$K$6*定义数据!$F$3)</f>
        <v>4</v>
      </c>
      <c r="K66">
        <f t="shared" si="8"/>
        <v>5</v>
      </c>
      <c r="L66" t="str">
        <f>IF(OR(F66&lt;2,F66&gt;10),"",VLOOKUP(数值对比!F66,命格辅助表!$W$77:$AB$87,数值对比!L$2+1,0)*定义数据!$F$2)</f>
        <v/>
      </c>
      <c r="M66" t="str">
        <f>IF(OR(G66&lt;2,G66&gt;10),"",VLOOKUP(数值对比!G66,命格辅助表!$W$77:$AB$87,数值对比!M$2+1,0)*定义数据!$F$2)</f>
        <v/>
      </c>
      <c r="N66" t="str">
        <f>IF(OR(H66&lt;2,H66&gt;10),"",VLOOKUP(数值对比!H66,命格辅助表!$W$77:$AB$87,数值对比!N$2+1,0)*定义数据!$F$2)</f>
        <v/>
      </c>
      <c r="O66">
        <f>IF(OR(I66&lt;2,I66&gt;10),"",VLOOKUP(数值对比!I66,命格辅助表!$W$77:$AB$87,数值对比!O$2+1,0)*定义数据!$F$2)</f>
        <v>161280</v>
      </c>
      <c r="P66">
        <f>IF(OR(J66&lt;2,J66&gt;10),"",VLOOKUP(数值对比!J66,命格辅助表!$W$77:$AB$87,数值对比!P$2+1,0)*定义数据!$F$2)</f>
        <v>35840</v>
      </c>
      <c r="Q66">
        <f t="shared" si="1"/>
        <v>35840</v>
      </c>
      <c r="R66">
        <f t="shared" ref="R66:R71" si="14">Q66+$R$64</f>
        <v>70400</v>
      </c>
      <c r="S66">
        <f>R66/$R$83*定义数据!$F$3</f>
        <v>0.78411405295315684</v>
      </c>
      <c r="T66">
        <f t="shared" si="4"/>
        <v>0.22810590631364569</v>
      </c>
      <c r="U66">
        <f t="shared" si="10"/>
        <v>0.57395306950281144</v>
      </c>
      <c r="V66">
        <f t="shared" si="3"/>
        <v>1.3661640552465344</v>
      </c>
      <c r="W66">
        <f t="shared" si="5"/>
        <v>0.12534931910992797</v>
      </c>
      <c r="Y66">
        <f>'[2]1、经济推算'!$G65/3/60/60</f>
        <v>38.442591418700296</v>
      </c>
      <c r="Z66">
        <f t="shared" si="9"/>
        <v>1831.3021417633699</v>
      </c>
      <c r="AB66">
        <f>[2]命币的投放!$K74</f>
        <v>59.5</v>
      </c>
      <c r="AC66">
        <f>'[2]1、经济推算'!$I65+AC65</f>
        <v>72.305209132850749</v>
      </c>
      <c r="AD66">
        <f>$AB66*$AC66*VLOOKUP(AD$37,猎命辅助表!$B$19:$D$25,3,0)</f>
        <v>2485.1589232998554</v>
      </c>
      <c r="AE66">
        <f>$AB66*$AC66*VLOOKUP(AE$37,猎命辅助表!$B$19:$D$25,3,0)</f>
        <v>402.00779280919761</v>
      </c>
      <c r="AF66">
        <f>$AB66*$AC66*VLOOKUP(AF$37,猎命辅助表!$B$19:$D$25,3,0)</f>
        <v>53.917494687031635</v>
      </c>
      <c r="AG66">
        <f>$AB66*$AC66*VLOOKUP(AG$37,猎命辅助表!$B$19:$D$25,3,0)</f>
        <v>7.0711468442008707</v>
      </c>
      <c r="AH66">
        <f>$AB66*$AC66*VLOOKUP(AH$37,猎命辅助表!$B$19:$D$25,3,0)</f>
        <v>0.88389335552510884</v>
      </c>
      <c r="AI66">
        <f>SUMPRODUCT(AD66:AH66,命格辅助表!$Q$76:$U$76)</f>
        <v>71511.119122167715</v>
      </c>
      <c r="AJ66">
        <f t="shared" si="7"/>
        <v>0.98446228872087005</v>
      </c>
    </row>
    <row r="67" spans="1:36">
      <c r="A67">
        <v>64</v>
      </c>
      <c r="B67">
        <f>'[2]1、经济推算'!$G66/'[2]1、经济推算'!$G$82</f>
        <v>0.21487763634603732</v>
      </c>
      <c r="C67">
        <f>[1]人物总属性查询表!$C67/[1]人物总属性查询表!$C$83</f>
        <v>0.59989141094984644</v>
      </c>
      <c r="D67">
        <f t="shared" si="0"/>
        <v>2.7917815048178669</v>
      </c>
      <c r="F67">
        <f>INT($C67/定义数据!$K$2*定义数据!$F$3)</f>
        <v>44</v>
      </c>
      <c r="G67">
        <f>INT($C67/定义数据!$K$3*定义数据!$F$3)</f>
        <v>24</v>
      </c>
      <c r="H67">
        <f>INT($C67/定义数据!$K$4*定义数据!$F$3)</f>
        <v>13</v>
      </c>
      <c r="I67">
        <f>INT($C67/定义数据!$K$5*定义数据!$F$3)</f>
        <v>7</v>
      </c>
      <c r="J67">
        <f>INT($C67/定义数据!$K$6*定义数据!$F$3)</f>
        <v>4</v>
      </c>
      <c r="K67">
        <f t="shared" si="8"/>
        <v>5</v>
      </c>
      <c r="L67" t="str">
        <f>IF(OR(F67&lt;2,F67&gt;10),"",VLOOKUP(数值对比!F67,命格辅助表!$W$77:$AB$87,数值对比!L$2+1,0)*定义数据!$F$2)</f>
        <v/>
      </c>
      <c r="M67" t="str">
        <f>IF(OR(G67&lt;2,G67&gt;10),"",VLOOKUP(数值对比!G67,命格辅助表!$W$77:$AB$87,数值对比!M$2+1,0)*定义数据!$F$2)</f>
        <v/>
      </c>
      <c r="N67" t="str">
        <f>IF(OR(H67&lt;2,H67&gt;10),"",VLOOKUP(数值对比!H67,命格辅助表!$W$77:$AB$87,数值对比!N$2+1,0)*定义数据!$F$2)</f>
        <v/>
      </c>
      <c r="O67">
        <f>IF(OR(I67&lt;2,I67&gt;10),"",VLOOKUP(数值对比!I67,命格辅助表!$W$77:$AB$87,数值对比!O$2+1,0)*定义数据!$F$2)</f>
        <v>161280</v>
      </c>
      <c r="P67">
        <f>IF(OR(J67&lt;2,J67&gt;10),"",VLOOKUP(数值对比!J67,命格辅助表!$W$77:$AB$87,数值对比!P$2+1,0)*定义数据!$F$2)</f>
        <v>35840</v>
      </c>
      <c r="Q67">
        <f t="shared" si="1"/>
        <v>35840</v>
      </c>
      <c r="R67">
        <f t="shared" si="14"/>
        <v>70400</v>
      </c>
      <c r="S67">
        <f>R67/$R$83*定义数据!$F$3</f>
        <v>0.78411405295315684</v>
      </c>
      <c r="T67">
        <f t="shared" si="4"/>
        <v>0</v>
      </c>
      <c r="U67">
        <f t="shared" si="10"/>
        <v>0.52130270596718697</v>
      </c>
      <c r="V67">
        <f t="shared" si="3"/>
        <v>1.5041434544222612</v>
      </c>
      <c r="W67">
        <f t="shared" si="5"/>
        <v>0.13797939917572677</v>
      </c>
      <c r="Y67">
        <f>'[2]1、经济推算'!$G66/3/60/60</f>
        <v>42.325203939751461</v>
      </c>
      <c r="Z67">
        <f t="shared" si="9"/>
        <v>1663.3115365542501</v>
      </c>
      <c r="AB67">
        <f>[2]命币的投放!$K75</f>
        <v>60</v>
      </c>
      <c r="AC67">
        <f>'[2]1、经济推算'!$I66+AC66</f>
        <v>80.070434174953064</v>
      </c>
      <c r="AD67">
        <f>$AB67*$AC67*VLOOKUP(AD$37,猎命辅助表!$B$19:$D$25,3,0)</f>
        <v>2775.1793043506113</v>
      </c>
      <c r="AE67">
        <f>$AB67*$AC67*VLOOKUP(AE$37,猎命辅助表!$B$19:$D$25,3,0)</f>
        <v>448.92247989934367</v>
      </c>
      <c r="AF67">
        <f>$AB67*$AC67*VLOOKUP(AF$37,猎命辅助表!$B$19:$D$25,3,0)</f>
        <v>60.209716970213272</v>
      </c>
      <c r="AG67">
        <f>$AB67*$AC67*VLOOKUP(AG$37,猎命辅助表!$B$19:$D$25,3,0)</f>
        <v>7.8963563239623973</v>
      </c>
      <c r="AH67">
        <f>$AB67*$AC67*VLOOKUP(AH$37,猎命辅助表!$B$19:$D$25,3,0)</f>
        <v>0.98704454049529966</v>
      </c>
      <c r="AI67">
        <f>SUMPRODUCT(AD67:AH67,命格辅助表!$Q$76:$U$76)</f>
        <v>79856.53390539551</v>
      </c>
      <c r="AJ67">
        <f t="shared" si="7"/>
        <v>0.88158096222159499</v>
      </c>
    </row>
    <row r="68" spans="1:36">
      <c r="A68">
        <v>65</v>
      </c>
      <c r="B68">
        <f>'[2]1、经济推算'!$G67/'[2]1、经济推算'!$G$82</f>
        <v>0.23657507552991228</v>
      </c>
      <c r="C68">
        <f>[1]人物总属性查询表!$C68/[1]人物总属性查询表!$C$83</f>
        <v>0.62133545249141509</v>
      </c>
      <c r="D68">
        <f t="shared" si="0"/>
        <v>2.6263774875678068</v>
      </c>
      <c r="F68">
        <f>INT($C68/定义数据!$K$2*定义数据!$F$3)</f>
        <v>45</v>
      </c>
      <c r="G68">
        <f>INT($C68/定义数据!$K$3*定义数据!$F$3)</f>
        <v>25</v>
      </c>
      <c r="H68">
        <f>INT($C68/定义数据!$K$4*定义数据!$F$3)</f>
        <v>14</v>
      </c>
      <c r="I68">
        <f>INT($C68/定义数据!$K$5*定义数据!$F$3)</f>
        <v>7</v>
      </c>
      <c r="J68">
        <f>INT($C68/定义数据!$K$6*定义数据!$F$3)</f>
        <v>4</v>
      </c>
      <c r="K68">
        <f t="shared" si="8"/>
        <v>5</v>
      </c>
      <c r="L68" t="str">
        <f>IF(OR(F68&lt;2,F68&gt;10),"",VLOOKUP(数值对比!F68,命格辅助表!$W$77:$AB$87,数值对比!L$2+1,0)*定义数据!$F$2)</f>
        <v/>
      </c>
      <c r="M68" t="str">
        <f>IF(OR(G68&lt;2,G68&gt;10),"",VLOOKUP(数值对比!G68,命格辅助表!$W$77:$AB$87,数值对比!M$2+1,0)*定义数据!$F$2)</f>
        <v/>
      </c>
      <c r="N68" t="str">
        <f>IF(OR(H68&lt;2,H68&gt;10),"",VLOOKUP(数值对比!H68,命格辅助表!$W$77:$AB$87,数值对比!N$2+1,0)*定义数据!$F$2)</f>
        <v/>
      </c>
      <c r="O68">
        <f>IF(OR(I68&lt;2,I68&gt;10),"",VLOOKUP(数值对比!I68,命格辅助表!$W$77:$AB$87,数值对比!O$2+1,0)*定义数据!$F$2)</f>
        <v>161280</v>
      </c>
      <c r="P68">
        <f>IF(OR(J68&lt;2,J68&gt;10),"",VLOOKUP(数值对比!J68,命格辅助表!$W$77:$AB$87,数值对比!P$2+1,0)*定义数据!$F$2)</f>
        <v>35840</v>
      </c>
      <c r="Q68">
        <f t="shared" si="1"/>
        <v>35840</v>
      </c>
      <c r="R68">
        <f t="shared" si="14"/>
        <v>70400</v>
      </c>
      <c r="S68">
        <f>R68/$R$83*定义数据!$F$3</f>
        <v>0.78411405295315684</v>
      </c>
      <c r="T68">
        <f t="shared" si="4"/>
        <v>0</v>
      </c>
      <c r="U68">
        <f t="shared" si="10"/>
        <v>0.47349152495508429</v>
      </c>
      <c r="V68">
        <f t="shared" si="3"/>
        <v>1.6560255287093859</v>
      </c>
      <c r="W68">
        <f t="shared" si="5"/>
        <v>0.15188207428712475</v>
      </c>
      <c r="Y68">
        <f>'[2]1、经济推算'!$G67/3/60/60</f>
        <v>46.599024864275037</v>
      </c>
      <c r="Z68">
        <f t="shared" si="9"/>
        <v>1510.7612274086853</v>
      </c>
      <c r="AB68">
        <f>[2]命币的投放!$K76</f>
        <v>60.5</v>
      </c>
      <c r="AC68">
        <f>'[2]1、经济推算'!$I67+AC67</f>
        <v>88.618076024000217</v>
      </c>
      <c r="AD68">
        <f>$AB68*$AC68*VLOOKUP(AD$37,猎命辅助表!$B$19:$D$25,3,0)</f>
        <v>3097.0292411901114</v>
      </c>
      <c r="AE68">
        <f>$AB68*$AC68*VLOOKUP(AE$37,猎命辅助表!$B$19:$D$25,3,0)</f>
        <v>500.9860246133473</v>
      </c>
      <c r="AF68">
        <f>$AB68*$AC68*VLOOKUP(AF$37,猎命辅助表!$B$19:$D$25,3,0)</f>
        <v>67.192506721350398</v>
      </c>
      <c r="AG68">
        <f>$AB68*$AC68*VLOOKUP(AG$37,猎命辅助表!$B$19:$D$25,3,0)</f>
        <v>8.8121320290295611</v>
      </c>
      <c r="AH68">
        <f>$AB68*$AC68*VLOOKUP(AH$37,猎命辅助表!$B$19:$D$25,3,0)</f>
        <v>1.1015165036286951</v>
      </c>
      <c r="AI68">
        <f>SUMPRODUCT(AD68:AH68,命格辅助表!$Q$76:$U$76)</f>
        <v>89117.852751850063</v>
      </c>
      <c r="AJ68">
        <f t="shared" si="7"/>
        <v>0.78996517337586447</v>
      </c>
    </row>
    <row r="69" spans="1:36">
      <c r="A69">
        <v>66</v>
      </c>
      <c r="B69">
        <f>'[2]1、经济推算'!$G68/'[2]1、经济推算'!$G$82</f>
        <v>0.26045872837702072</v>
      </c>
      <c r="C69">
        <f>[1]人物总属性查询表!$C69/[1]人物总属性查询表!$C$83</f>
        <v>0.64298721664015746</v>
      </c>
      <c r="D69">
        <f t="shared" ref="D69:D103" si="15">C69/B69</f>
        <v>2.468672179453387</v>
      </c>
      <c r="F69">
        <f>INT($C69/定义数据!$K$2*定义数据!$F$3)</f>
        <v>47</v>
      </c>
      <c r="G69">
        <f>INT($C69/定义数据!$K$3*定义数据!$F$3)</f>
        <v>26</v>
      </c>
      <c r="H69">
        <f>INT($C69/定义数据!$K$4*定义数据!$F$3)</f>
        <v>14</v>
      </c>
      <c r="I69">
        <f>INT($C69/定义数据!$K$5*定义数据!$F$3)</f>
        <v>8</v>
      </c>
      <c r="J69">
        <f>INT($C69/定义数据!$K$6*定义数据!$F$3)</f>
        <v>4</v>
      </c>
      <c r="K69">
        <f t="shared" si="8"/>
        <v>5</v>
      </c>
      <c r="L69" t="str">
        <f>IF(OR(F69&lt;2,F69&gt;10),"",VLOOKUP(数值对比!F69,命格辅助表!$W$77:$AB$87,数值对比!L$2+1,0)*定义数据!$F$2)</f>
        <v/>
      </c>
      <c r="M69" t="str">
        <f>IF(OR(G69&lt;2,G69&gt;10),"",VLOOKUP(数值对比!G69,命格辅助表!$W$77:$AB$87,数值对比!M$2+1,0)*定义数据!$F$2)</f>
        <v/>
      </c>
      <c r="N69" t="str">
        <f>IF(OR(H69&lt;2,H69&gt;10),"",VLOOKUP(数值对比!H69,命格辅助表!$W$77:$AB$87,数值对比!N$2+1,0)*定义数据!$F$2)</f>
        <v/>
      </c>
      <c r="O69">
        <f>IF(OR(I69&lt;2,I69&gt;10),"",VLOOKUP(数值对比!I69,命格辅助表!$W$77:$AB$87,数值对比!O$2+1,0)*定义数据!$F$2)</f>
        <v>325120</v>
      </c>
      <c r="P69">
        <f>IF(OR(J69&lt;2,J69&gt;10),"",VLOOKUP(数值对比!J69,命格辅助表!$W$77:$AB$87,数值对比!P$2+1,0)*定义数据!$F$2)</f>
        <v>35840</v>
      </c>
      <c r="Q69">
        <f t="shared" si="1"/>
        <v>35840</v>
      </c>
      <c r="R69">
        <f t="shared" si="14"/>
        <v>70400</v>
      </c>
      <c r="S69">
        <f>R69/$R$83*定义数据!$F$3</f>
        <v>0.78411405295315684</v>
      </c>
      <c r="T69">
        <f t="shared" si="4"/>
        <v>0</v>
      </c>
      <c r="U69">
        <f t="shared" si="10"/>
        <v>0.4300731020880818</v>
      </c>
      <c r="V69">
        <f t="shared" si="3"/>
        <v>1.823211098639145</v>
      </c>
      <c r="W69">
        <f t="shared" si="5"/>
        <v>0.16718556992975908</v>
      </c>
      <c r="Y69">
        <f>'[2]1、经济推算'!$G68/3/60/60</f>
        <v>51.303471984831489</v>
      </c>
      <c r="Z69">
        <f t="shared" si="9"/>
        <v>1372.2268157760286</v>
      </c>
      <c r="AB69">
        <f>[2]命币的投放!$K77</f>
        <v>61</v>
      </c>
      <c r="AC69">
        <f>'[2]1、经济推算'!$I68+AC68</f>
        <v>98.026970265113121</v>
      </c>
      <c r="AD69">
        <f>$AB69*$AC69*VLOOKUP(AD$37,猎命辅助表!$B$19:$D$25,3,0)</f>
        <v>3454.1646029138578</v>
      </c>
      <c r="AE69">
        <f>$AB69*$AC69*VLOOKUP(AE$37,猎命辅助表!$B$19:$D$25,3,0)</f>
        <v>558.75746013588537</v>
      </c>
      <c r="AF69">
        <f>$AB69*$AC69*VLOOKUP(AF$37,猎命辅助表!$B$19:$D$25,3,0)</f>
        <v>74.940841762524684</v>
      </c>
      <c r="AG69">
        <f>$AB69*$AC69*VLOOKUP(AG$37,猎命辅助表!$B$19:$D$25,3,0)</f>
        <v>9.8283071163966813</v>
      </c>
      <c r="AH69">
        <f>$AB69*$AC69*VLOOKUP(AH$37,猎命辅助表!$B$19:$D$25,3,0)</f>
        <v>1.2285383895495852</v>
      </c>
      <c r="AI69">
        <f>SUMPRODUCT(AD69:AH69,命格辅助表!$Q$76:$U$76)</f>
        <v>99394.519227993893</v>
      </c>
      <c r="AJ69">
        <f t="shared" si="7"/>
        <v>0.7082885509865442</v>
      </c>
    </row>
    <row r="70" spans="1:36">
      <c r="A70">
        <v>67</v>
      </c>
      <c r="B70">
        <f>'[2]1、经济推算'!$G69/'[2]1、经济推算'!$G$82</f>
        <v>0.28674887572976099</v>
      </c>
      <c r="C70">
        <f>[1]人物总属性查询表!$C70/[1]人物总属性查询表!$C$83</f>
        <v>0.6648401922285796</v>
      </c>
      <c r="D70">
        <f t="shared" si="15"/>
        <v>2.3185450702695727</v>
      </c>
      <c r="F70">
        <f>INT($C70/定义数据!$K$2*定义数据!$F$3)</f>
        <v>48</v>
      </c>
      <c r="G70">
        <f>INT($C70/定义数据!$K$3*定义数据!$F$3)</f>
        <v>27</v>
      </c>
      <c r="H70">
        <f>INT($C70/定义数据!$K$4*定义数据!$F$3)</f>
        <v>15</v>
      </c>
      <c r="I70">
        <f>INT($C70/定义数据!$K$5*定义数据!$F$3)</f>
        <v>8</v>
      </c>
      <c r="J70">
        <f>INT($C70/定义数据!$K$6*定义数据!$F$3)</f>
        <v>4</v>
      </c>
      <c r="K70">
        <f t="shared" si="8"/>
        <v>5</v>
      </c>
      <c r="L70" t="str">
        <f>IF(OR(F70&lt;2,F70&gt;10),"",VLOOKUP(数值对比!F70,命格辅助表!$W$77:$AB$87,数值对比!L$2+1,0)*定义数据!$F$2)</f>
        <v/>
      </c>
      <c r="M70" t="str">
        <f>IF(OR(G70&lt;2,G70&gt;10),"",VLOOKUP(数值对比!G70,命格辅助表!$W$77:$AB$87,数值对比!M$2+1,0)*定义数据!$F$2)</f>
        <v/>
      </c>
      <c r="N70" t="str">
        <f>IF(OR(H70&lt;2,H70&gt;10),"",VLOOKUP(数值对比!H70,命格辅助表!$W$77:$AB$87,数值对比!N$2+1,0)*定义数据!$F$2)</f>
        <v/>
      </c>
      <c r="O70">
        <f>IF(OR(I70&lt;2,I70&gt;10),"",VLOOKUP(数值对比!I70,命格辅助表!$W$77:$AB$87,数值对比!O$2+1,0)*定义数据!$F$2)</f>
        <v>325120</v>
      </c>
      <c r="P70">
        <f>IF(OR(J70&lt;2,J70&gt;10),"",VLOOKUP(数值对比!J70,命格辅助表!$W$77:$AB$87,数值对比!P$2+1,0)*定义数据!$F$2)</f>
        <v>35840</v>
      </c>
      <c r="Q70">
        <f t="shared" si="1"/>
        <v>35840</v>
      </c>
      <c r="R70">
        <f t="shared" si="14"/>
        <v>70400</v>
      </c>
      <c r="S70">
        <f>R70/$R$83*定义数据!$F$3</f>
        <v>0.78411405295315684</v>
      </c>
      <c r="T70">
        <f t="shared" si="4"/>
        <v>0</v>
      </c>
      <c r="U70">
        <f t="shared" si="10"/>
        <v>0.3906424846268246</v>
      </c>
      <c r="V70">
        <f t="shared" si="3"/>
        <v>2.007242130108327</v>
      </c>
      <c r="W70">
        <f t="shared" si="5"/>
        <v>0.18403103146918198</v>
      </c>
      <c r="Y70">
        <f>'[2]1、经济推算'!$G69/3/60/60</f>
        <v>56.481934793864376</v>
      </c>
      <c r="Z70">
        <f t="shared" si="9"/>
        <v>1246.4162259478326</v>
      </c>
      <c r="AB70">
        <f>[2]命币的投放!$K78</f>
        <v>61.5</v>
      </c>
      <c r="AC70">
        <f>'[2]1、经济推算'!$I69+AC69</f>
        <v>108.38389588317891</v>
      </c>
      <c r="AD70">
        <f>$AB70*$AC70*VLOOKUP(AD$37,猎命辅助表!$B$19:$D$25,3,0)</f>
        <v>3850.414532856722</v>
      </c>
      <c r="AE70">
        <f>$AB70*$AC70*VLOOKUP(AE$37,猎命辅助表!$B$19:$D$25,3,0)</f>
        <v>622.85620176711006</v>
      </c>
      <c r="AF70">
        <f>$AB70*$AC70*VLOOKUP(AF$37,猎命辅助表!$B$19:$D$25,3,0)</f>
        <v>83.537798396614832</v>
      </c>
      <c r="AG70">
        <f>$AB70*$AC70*VLOOKUP(AG$37,猎命辅助表!$B$19:$D$25,3,0)</f>
        <v>10.955776838900308</v>
      </c>
      <c r="AH70">
        <f>$AB70*$AC70*VLOOKUP(AH$37,猎命辅助表!$B$19:$D$25,3,0)</f>
        <v>1.3694721048625385</v>
      </c>
      <c r="AI70">
        <f>SUMPRODUCT(AD70:AH70,命格辅助表!$Q$76:$U$76)</f>
        <v>110796.71796732809</v>
      </c>
      <c r="AJ70">
        <f t="shared" ref="AJ70:AJ101" si="16">R70/AI70</f>
        <v>0.63539788264088892</v>
      </c>
    </row>
    <row r="71" spans="1:36">
      <c r="A71">
        <v>68</v>
      </c>
      <c r="B71">
        <f>'[2]1、经济推算'!$G70/'[2]1、经济推算'!$G$82</f>
        <v>0.3156879937220271</v>
      </c>
      <c r="C71">
        <f>[1]人物总属性查询表!$C71/[1]人物总属性查询表!$C$83</f>
        <v>0.68688786483520214</v>
      </c>
      <c r="D71">
        <f t="shared" si="15"/>
        <v>2.1758441198116261</v>
      </c>
      <c r="F71">
        <f>INT($C71/定义数据!$K$2*定义数据!$F$3)</f>
        <v>50</v>
      </c>
      <c r="G71">
        <f>INT($C71/定义数据!$K$3*定义数据!$F$3)</f>
        <v>28</v>
      </c>
      <c r="H71">
        <f>INT($C71/定义数据!$K$4*定义数据!$F$3)</f>
        <v>15</v>
      </c>
      <c r="I71">
        <f>INT($C71/定义数据!$K$5*定义数据!$F$3)</f>
        <v>8</v>
      </c>
      <c r="J71">
        <f>INT($C71/定义数据!$K$6*定义数据!$F$3)</f>
        <v>4</v>
      </c>
      <c r="K71">
        <f t="shared" si="8"/>
        <v>5</v>
      </c>
      <c r="L71" t="str">
        <f>IF(OR(F71&lt;2,F71&gt;10),"",VLOOKUP(数值对比!F71,命格辅助表!$W$77:$AB$87,数值对比!L$2+1,0)*定义数据!$F$2)</f>
        <v/>
      </c>
      <c r="M71" t="str">
        <f>IF(OR(G71&lt;2,G71&gt;10),"",VLOOKUP(数值对比!G71,命格辅助表!$W$77:$AB$87,数值对比!M$2+1,0)*定义数据!$F$2)</f>
        <v/>
      </c>
      <c r="N71" t="str">
        <f>IF(OR(H71&lt;2,H71&gt;10),"",VLOOKUP(数值对比!H71,命格辅助表!$W$77:$AB$87,数值对比!N$2+1,0)*定义数据!$F$2)</f>
        <v/>
      </c>
      <c r="O71">
        <f>IF(OR(I71&lt;2,I71&gt;10),"",VLOOKUP(数值对比!I71,命格辅助表!$W$77:$AB$87,数值对比!O$2+1,0)*定义数据!$F$2)</f>
        <v>325120</v>
      </c>
      <c r="P71">
        <f>IF(OR(J71&lt;2,J71&gt;10),"",VLOOKUP(数值对比!J71,命格辅助表!$W$77:$AB$87,数值对比!P$2+1,0)*定义数据!$F$2)</f>
        <v>35840</v>
      </c>
      <c r="Q71">
        <f t="shared" si="1"/>
        <v>35840</v>
      </c>
      <c r="R71">
        <f t="shared" si="14"/>
        <v>70400</v>
      </c>
      <c r="S71">
        <f>R71/$R$83*定义数据!$F$3</f>
        <v>0.78411405295315684</v>
      </c>
      <c r="T71">
        <f t="shared" si="4"/>
        <v>0</v>
      </c>
      <c r="U71">
        <f t="shared" si="10"/>
        <v>0.35483228854644422</v>
      </c>
      <c r="V71">
        <f t="shared" si="3"/>
        <v>2.2098159560541899</v>
      </c>
      <c r="W71">
        <f t="shared" si="5"/>
        <v>0.20257382594586293</v>
      </c>
      <c r="Y71">
        <f>'[2]1、经济推算'!$G70/3/60/60</f>
        <v>62.182174668463048</v>
      </c>
      <c r="Z71">
        <f t="shared" si="9"/>
        <v>1132.1572520638265</v>
      </c>
      <c r="AB71">
        <f>[2]命币的投放!$K79</f>
        <v>62</v>
      </c>
      <c r="AC71">
        <f>'[2]1、经济推算'!$I70+AC70</f>
        <v>119.78437563237625</v>
      </c>
      <c r="AD71">
        <f>$AB71*$AC71*VLOOKUP(AD$37,猎命辅助表!$B$19:$D$25,3,0)</f>
        <v>4290.0215847915706</v>
      </c>
      <c r="AE71">
        <f>$AB71*$AC71*VLOOKUP(AE$37,猎命辅助表!$B$19:$D$25,3,0)</f>
        <v>693.96853949118054</v>
      </c>
      <c r="AF71">
        <f>$AB71*$AC71*VLOOKUP(AF$37,猎命辅助表!$B$19:$D$25,3,0)</f>
        <v>93.075422193971846</v>
      </c>
      <c r="AG71">
        <f>$AB71*$AC71*VLOOKUP(AG$37,猎命辅助表!$B$19:$D$25,3,0)</f>
        <v>12.206612746750407</v>
      </c>
      <c r="AH71">
        <f>$AB71*$AC71*VLOOKUP(AH$37,猎命辅助表!$B$19:$D$25,3,0)</f>
        <v>1.5258265933438009</v>
      </c>
      <c r="AI71">
        <f>SUMPRODUCT(AD71:AH71,命格辅助表!$Q$76:$U$76)</f>
        <v>123446.52960034646</v>
      </c>
      <c r="AJ71">
        <f t="shared" si="16"/>
        <v>0.57028739672081008</v>
      </c>
    </row>
    <row r="72" spans="1:36">
      <c r="A72">
        <v>69</v>
      </c>
      <c r="B72">
        <f>'[2]1、经济推算'!$G71/'[2]1、经济推算'!$G$82</f>
        <v>0.34754299015600532</v>
      </c>
      <c r="C72">
        <f>[1]人物总属性查询表!$C72/[1]人物总属性查询表!$C$83</f>
        <v>0.70912372024194348</v>
      </c>
      <c r="D72">
        <f t="shared" si="15"/>
        <v>2.0403913769736275</v>
      </c>
      <c r="F72">
        <f>INT($C72/定义数据!$K$2*定义数据!$F$3)</f>
        <v>52</v>
      </c>
      <c r="G72">
        <f>INT($C72/定义数据!$K$3*定义数据!$F$3)</f>
        <v>28</v>
      </c>
      <c r="H72">
        <f>INT($C72/定义数据!$K$4*定义数据!$F$3)</f>
        <v>16</v>
      </c>
      <c r="I72">
        <f>INT($C72/定义数据!$K$5*定义数据!$F$3)</f>
        <v>8</v>
      </c>
      <c r="J72">
        <f>INT($C72/定义数据!$K$6*定义数据!$F$3)</f>
        <v>4</v>
      </c>
      <c r="K72">
        <f t="shared" si="8"/>
        <v>5</v>
      </c>
      <c r="L72" t="str">
        <f>IF(OR(F72&lt;2,F72&gt;10),"",VLOOKUP(数值对比!F72,命格辅助表!$W$77:$AB$87,数值对比!L$2+1,0)*定义数据!$F$2)</f>
        <v/>
      </c>
      <c r="M72" t="str">
        <f>IF(OR(G72&lt;2,G72&gt;10),"",VLOOKUP(数值对比!G72,命格辅助表!$W$77:$AB$87,数值对比!M$2+1,0)*定义数据!$F$2)</f>
        <v/>
      </c>
      <c r="N72" t="str">
        <f>IF(OR(H72&lt;2,H72&gt;10),"",VLOOKUP(数值对比!H72,命格辅助表!$W$77:$AB$87,数值对比!N$2+1,0)*定义数据!$F$2)</f>
        <v/>
      </c>
      <c r="O72">
        <f>IF(OR(I72&lt;2,I72&gt;10),"",VLOOKUP(数值对比!I72,命格辅助表!$W$77:$AB$87,数值对比!O$2+1,0)*定义数据!$F$2)</f>
        <v>325120</v>
      </c>
      <c r="P72">
        <f>IF(OR(J72&lt;2,J72&gt;10),"",VLOOKUP(数值对比!J72,命格辅助表!$W$77:$AB$87,数值对比!P$2+1,0)*定义数据!$F$2)</f>
        <v>35840</v>
      </c>
      <c r="Q72">
        <f t="shared" si="1"/>
        <v>35840</v>
      </c>
      <c r="R72">
        <f>Q72+$R$71</f>
        <v>106240</v>
      </c>
      <c r="S72">
        <f>R72/$R$83*定义数据!$F$3</f>
        <v>1.1832993890020367</v>
      </c>
      <c r="T72">
        <f t="shared" si="4"/>
        <v>0.39918533604887985</v>
      </c>
      <c r="U72">
        <f t="shared" si="10"/>
        <v>0.48639384089304694</v>
      </c>
      <c r="V72">
        <f t="shared" si="3"/>
        <v>2.4328009310920371</v>
      </c>
      <c r="W72">
        <f t="shared" si="5"/>
        <v>0.2229849750378472</v>
      </c>
      <c r="Y72">
        <f>'[2]1、经济推算'!$G71/3/60/60</f>
        <v>68.456765377367432</v>
      </c>
      <c r="Z72">
        <f t="shared" ref="Z72:Z103" si="17">R72/Y72</f>
        <v>1551.9284239381273</v>
      </c>
      <c r="AB72">
        <f>[2]命币的投放!$K80</f>
        <v>62.5</v>
      </c>
      <c r="AC72">
        <f>'[2]1、经济推算'!$I71+AC71</f>
        <v>132.33355705018505</v>
      </c>
      <c r="AD72">
        <f>$AB72*$AC72*VLOOKUP(AD$37,猎命辅助表!$B$19:$D$25,3,0)</f>
        <v>4777.6861576742449</v>
      </c>
      <c r="AE72">
        <f>$AB72*$AC72*VLOOKUP(AE$37,猎命辅助表!$B$19:$D$25,3,0)</f>
        <v>772.85482589232981</v>
      </c>
      <c r="AF72">
        <f>$AB72*$AC72*VLOOKUP(AF$37,猎命辅助表!$B$19:$D$25,3,0)</f>
        <v>103.65569203946801</v>
      </c>
      <c r="AG72">
        <f>$AB72*$AC72*VLOOKUP(AG$37,猎命辅助表!$B$19:$D$25,3,0)</f>
        <v>13.594189119930233</v>
      </c>
      <c r="AH72">
        <f>$AB72*$AC72*VLOOKUP(AH$37,猎命辅助表!$B$19:$D$25,3,0)</f>
        <v>1.6992736399912791</v>
      </c>
      <c r="AI72">
        <f>SUMPRODUCT(AD72:AH72,命格辅助表!$Q$76:$U$76)</f>
        <v>137479.20937632158</v>
      </c>
      <c r="AJ72">
        <f t="shared" si="16"/>
        <v>0.77277139199418476</v>
      </c>
    </row>
    <row r="73" spans="1:36">
      <c r="A73">
        <v>70</v>
      </c>
      <c r="B73">
        <f>'[2]1、经济推算'!$G72/'[2]1、经济推算'!$G$82</f>
        <v>0.38260766621420267</v>
      </c>
      <c r="C73">
        <f>[1]人物总属性查询表!$C73/[1]人物总属性查询表!$C$83</f>
        <v>0.73431223746685448</v>
      </c>
      <c r="D73">
        <f t="shared" si="15"/>
        <v>1.9192303299426055</v>
      </c>
      <c r="F73">
        <f>INT($C73/定义数据!$K$2*定义数据!$F$3)</f>
        <v>53</v>
      </c>
      <c r="G73">
        <f>INT($C73/定义数据!$K$3*定义数据!$F$3)</f>
        <v>29</v>
      </c>
      <c r="H73">
        <f>INT($C73/定义数据!$K$4*定义数据!$F$3)</f>
        <v>16</v>
      </c>
      <c r="I73">
        <f>INT($C73/定义数据!$K$5*定义数据!$F$3)</f>
        <v>9</v>
      </c>
      <c r="J73">
        <f>INT($C73/定义数据!$K$6*定义数据!$F$3)</f>
        <v>5</v>
      </c>
      <c r="K73">
        <f t="shared" si="8"/>
        <v>5</v>
      </c>
      <c r="L73" t="str">
        <f>IF(OR(F73&lt;2,F73&gt;10),"",VLOOKUP(数值对比!F73,命格辅助表!$W$77:$AB$87,数值对比!L$2+1,0)*定义数据!$F$2)</f>
        <v/>
      </c>
      <c r="M73" t="str">
        <f>IF(OR(G73&lt;2,G73&gt;10),"",VLOOKUP(数值对比!G73,命格辅助表!$W$77:$AB$87,数值对比!M$2+1,0)*定义数据!$F$2)</f>
        <v/>
      </c>
      <c r="N73" t="str">
        <f>IF(OR(H73&lt;2,H73&gt;10),"",VLOOKUP(数值对比!H73,命格辅助表!$W$77:$AB$87,数值对比!N$2+1,0)*定义数据!$F$2)</f>
        <v/>
      </c>
      <c r="O73">
        <f>IF(OR(I73&lt;2,I73&gt;10),"",VLOOKUP(数值对比!I73,命格辅助表!$W$77:$AB$87,数值对比!O$2+1,0)*定义数据!$F$2)</f>
        <v>652800</v>
      </c>
      <c r="P73">
        <f>IF(OR(J73&lt;2,J73&gt;10),"",VLOOKUP(数值对比!J73,命格辅助表!$W$77:$AB$87,数值对比!P$2+1,0)*定义数据!$F$2)</f>
        <v>76800</v>
      </c>
      <c r="Q73">
        <f t="shared" si="1"/>
        <v>76800</v>
      </c>
      <c r="R73">
        <f t="shared" ref="R73:R77" si="18">Q73+$R$71</f>
        <v>147200</v>
      </c>
      <c r="S73">
        <f>R73/$R$83*定义数据!$F$3</f>
        <v>1.6395112016293278</v>
      </c>
      <c r="T73">
        <f t="shared" si="4"/>
        <v>0.45621181262729116</v>
      </c>
      <c r="U73">
        <f t="shared" si="10"/>
        <v>0.61215680350722823</v>
      </c>
      <c r="V73">
        <f t="shared" si="3"/>
        <v>2.6782536634994187</v>
      </c>
      <c r="W73">
        <f t="shared" si="5"/>
        <v>0.24545273240738164</v>
      </c>
      <c r="Y73">
        <f>'[2]1、经济推算'!$G72/3/60/60</f>
        <v>75.363577973046361</v>
      </c>
      <c r="Z73">
        <f t="shared" si="17"/>
        <v>1953.1981357446405</v>
      </c>
      <c r="AB73">
        <f>[2]命币的投放!$K81</f>
        <v>63</v>
      </c>
      <c r="AC73">
        <f>'[2]1、经济推算'!$I72+AC72</f>
        <v>146.14718224154288</v>
      </c>
      <c r="AD73">
        <f>$AB73*$AC73*VLOOKUP(AD$37,猎命辅助表!$B$19:$D$25,3,0)</f>
        <v>5318.6156876915802</v>
      </c>
      <c r="AE73">
        <f>$AB73*$AC73*VLOOKUP(AE$37,猎命辅助表!$B$19:$D$25,3,0)</f>
        <v>860.35743362851417</v>
      </c>
      <c r="AF73">
        <f>$AB73*$AC73*VLOOKUP(AF$37,猎命辅助表!$B$19:$D$25,3,0)</f>
        <v>115.39158739300998</v>
      </c>
      <c r="AG73">
        <f>$AB73*$AC73*VLOOKUP(AG$37,猎命辅助表!$B$19:$D$25,3,0)</f>
        <v>15.133322936788197</v>
      </c>
      <c r="AH73">
        <f>$AB73*$AC73*VLOOKUP(AH$37,猎命辅助表!$B$19:$D$25,3,0)</f>
        <v>1.8916653670985246</v>
      </c>
      <c r="AI73">
        <f>SUMPRODUCT(AD73:AH73,命格辅助表!$Q$76:$U$76)</f>
        <v>153044.6026777706</v>
      </c>
      <c r="AJ73">
        <f t="shared" si="16"/>
        <v>0.96181111535127983</v>
      </c>
    </row>
    <row r="74" spans="1:36">
      <c r="A74">
        <v>71</v>
      </c>
      <c r="B74">
        <f>'[2]1、经济推算'!$G73/'[2]1、经济推算'!$G$82</f>
        <v>0.4212054262112761</v>
      </c>
      <c r="C74">
        <f>[1]人物总属性查询表!$C74/[1]人物总属性查询表!$C$83</f>
        <v>0.75972012171028636</v>
      </c>
      <c r="D74">
        <f t="shared" si="15"/>
        <v>1.8036807563091832</v>
      </c>
      <c r="F74">
        <f>INT($C74/定义数据!$K$2*定义数据!$F$3)</f>
        <v>55</v>
      </c>
      <c r="G74">
        <f>INT($C74/定义数据!$K$3*定义数据!$F$3)</f>
        <v>31</v>
      </c>
      <c r="H74">
        <f>INT($C74/定义数据!$K$4*定义数据!$F$3)</f>
        <v>17</v>
      </c>
      <c r="I74">
        <f>INT($C74/定义数据!$K$5*定义数据!$F$3)</f>
        <v>9</v>
      </c>
      <c r="J74">
        <f>INT($C74/定义数据!$K$6*定义数据!$F$3)</f>
        <v>5</v>
      </c>
      <c r="K74">
        <f t="shared" si="8"/>
        <v>5</v>
      </c>
      <c r="L74" t="str">
        <f>IF(OR(F74&lt;2,F74&gt;10),"",VLOOKUP(数值对比!F74,命格辅助表!$W$77:$AB$87,数值对比!L$2+1,0)*定义数据!$F$2)</f>
        <v/>
      </c>
      <c r="M74" t="str">
        <f>IF(OR(G74&lt;2,G74&gt;10),"",VLOOKUP(数值对比!G74,命格辅助表!$W$77:$AB$87,数值对比!M$2+1,0)*定义数据!$F$2)</f>
        <v/>
      </c>
      <c r="N74" t="str">
        <f>IF(OR(H74&lt;2,H74&gt;10),"",VLOOKUP(数值对比!H74,命格辅助表!$W$77:$AB$87,数值对比!N$2+1,0)*定义数据!$F$2)</f>
        <v/>
      </c>
      <c r="O74">
        <f>IF(OR(I74&lt;2,I74&gt;10),"",VLOOKUP(数值对比!I74,命格辅助表!$W$77:$AB$87,数值对比!O$2+1,0)*定义数据!$F$2)</f>
        <v>652800</v>
      </c>
      <c r="P74">
        <f>IF(OR(J74&lt;2,J74&gt;10),"",VLOOKUP(数值对比!J74,命格辅助表!$W$77:$AB$87,数值对比!P$2+1,0)*定义数据!$F$2)</f>
        <v>76800</v>
      </c>
      <c r="Q74">
        <f t="shared" si="1"/>
        <v>76800</v>
      </c>
      <c r="R74">
        <f t="shared" si="18"/>
        <v>147200</v>
      </c>
      <c r="S74">
        <f>R74/$R$83*定义数据!$F$3</f>
        <v>1.6395112016293278</v>
      </c>
      <c r="T74">
        <f t="shared" si="4"/>
        <v>0</v>
      </c>
      <c r="U74">
        <f t="shared" si="10"/>
        <v>0.55606094169728104</v>
      </c>
      <c r="V74">
        <f t="shared" si="3"/>
        <v>2.9484379834789327</v>
      </c>
      <c r="W74">
        <f t="shared" si="5"/>
        <v>0.27018431997951398</v>
      </c>
      <c r="Y74">
        <f>'[2]1、经济推算'!$G73/3/60/60</f>
        <v>82.966314541047694</v>
      </c>
      <c r="Z74">
        <f t="shared" si="17"/>
        <v>1774.2140387249888</v>
      </c>
      <c r="AB74">
        <f>[2]命币的投放!$K82</f>
        <v>63.5</v>
      </c>
      <c r="AC74">
        <f>'[2]1、经济推算'!$I73+AC73</f>
        <v>161.35265537754557</v>
      </c>
      <c r="AD74">
        <f>$AB74*$AC74*VLOOKUP(AD$37,猎命辅助表!$B$19:$D$25,3,0)</f>
        <v>5918.5791051764654</v>
      </c>
      <c r="AE74">
        <f>$AB74*$AC74*VLOOKUP(AE$37,猎命辅助表!$B$19:$D$25,3,0)</f>
        <v>957.40956456793265</v>
      </c>
      <c r="AF74">
        <f>$AB74*$AC74*VLOOKUP(AF$37,猎命辅助表!$B$19:$D$25,3,0)</f>
        <v>128.40826977551995</v>
      </c>
      <c r="AG74">
        <f>$AB74*$AC74*VLOOKUP(AG$37,猎命辅助表!$B$19:$D$25,3,0)</f>
        <v>16.840428823019014</v>
      </c>
      <c r="AH74">
        <f>$AB74*$AC74*VLOOKUP(AH$37,猎命辅助表!$B$19:$D$25,3,0)</f>
        <v>2.1050536028773768</v>
      </c>
      <c r="AI74">
        <f>SUMPRODUCT(AD74:AH74,命格辅助表!$Q$76:$U$76)</f>
        <v>170308.71203289201</v>
      </c>
      <c r="AJ74">
        <f t="shared" si="16"/>
        <v>0.8643128014001481</v>
      </c>
    </row>
    <row r="75" spans="1:36">
      <c r="A75">
        <v>72</v>
      </c>
      <c r="B75">
        <f>'[2]1、经济推算'!$G74/'[2]1、经济推算'!$G$82</f>
        <v>0.46369226037791889</v>
      </c>
      <c r="C75">
        <f>[1]人物总属性查询表!$C75/[1]人物总属性查询表!$C$83</f>
        <v>0.78533983105053273</v>
      </c>
      <c r="D75">
        <f t="shared" si="15"/>
        <v>1.693666032748669</v>
      </c>
      <c r="F75">
        <f>INT($C75/定义数据!$K$2*定义数据!$F$3)</f>
        <v>57</v>
      </c>
      <c r="G75">
        <f>INT($C75/定义数据!$K$3*定义数据!$F$3)</f>
        <v>32</v>
      </c>
      <c r="H75">
        <f>INT($C75/定义数据!$K$4*定义数据!$F$3)</f>
        <v>17</v>
      </c>
      <c r="I75">
        <f>INT($C75/定义数据!$K$5*定义数据!$F$3)</f>
        <v>9</v>
      </c>
      <c r="J75">
        <f>INT($C75/定义数据!$K$6*定义数据!$F$3)</f>
        <v>5</v>
      </c>
      <c r="K75">
        <f t="shared" si="8"/>
        <v>5</v>
      </c>
      <c r="L75" t="str">
        <f>IF(OR(F75&lt;2,F75&gt;10),"",VLOOKUP(数值对比!F75,命格辅助表!$W$77:$AB$87,数值对比!L$2+1,0)*定义数据!$F$2)</f>
        <v/>
      </c>
      <c r="M75" t="str">
        <f>IF(OR(G75&lt;2,G75&gt;10),"",VLOOKUP(数值对比!G75,命格辅助表!$W$77:$AB$87,数值对比!M$2+1,0)*定义数据!$F$2)</f>
        <v/>
      </c>
      <c r="N75" t="str">
        <f>IF(OR(H75&lt;2,H75&gt;10),"",VLOOKUP(数值对比!H75,命格辅助表!$W$77:$AB$87,数值对比!N$2+1,0)*定义数据!$F$2)</f>
        <v/>
      </c>
      <c r="O75">
        <f>IF(OR(I75&lt;2,I75&gt;10),"",VLOOKUP(数值对比!I75,命格辅助表!$W$77:$AB$87,数值对比!O$2+1,0)*定义数据!$F$2)</f>
        <v>652800</v>
      </c>
      <c r="P75">
        <f>IF(OR(J75&lt;2,J75&gt;10),"",VLOOKUP(数值对比!J75,命格辅助表!$W$77:$AB$87,数值对比!P$2+1,0)*定义数据!$F$2)</f>
        <v>76800</v>
      </c>
      <c r="Q75">
        <f t="shared" si="1"/>
        <v>76800</v>
      </c>
      <c r="R75">
        <f t="shared" si="18"/>
        <v>147200</v>
      </c>
      <c r="S75">
        <f>R75/$R$83*定义数据!$F$3</f>
        <v>1.6395112016293278</v>
      </c>
      <c r="T75">
        <f t="shared" si="4"/>
        <v>0</v>
      </c>
      <c r="U75">
        <f t="shared" si="10"/>
        <v>0.50511062176486621</v>
      </c>
      <c r="V75">
        <f t="shared" si="3"/>
        <v>3.2458458226454323</v>
      </c>
      <c r="W75">
        <f t="shared" si="5"/>
        <v>0.2974078391664996</v>
      </c>
      <c r="Y75">
        <f>'[2]1、经济推算'!$G74/3/60/60</f>
        <v>91.335095729433661</v>
      </c>
      <c r="Z75">
        <f t="shared" si="17"/>
        <v>1611.6477332662751</v>
      </c>
      <c r="AB75">
        <f>[2]命币的投放!$K83</f>
        <v>64</v>
      </c>
      <c r="AC75">
        <f>'[2]1、经济推算'!$I74+AC74</f>
        <v>178.09021775431748</v>
      </c>
      <c r="AD75">
        <f>$AB75*$AC75*VLOOKUP(AD$37,猎命辅助表!$B$19:$D$25,3,0)</f>
        <v>6583.967117939299</v>
      </c>
      <c r="AE75">
        <f>$AB75*$AC75*VLOOKUP(AE$37,猎命辅助表!$B$19:$D$25,3,0)</f>
        <v>1065.0450014265557</v>
      </c>
      <c r="AF75">
        <f>$AB75*$AC75*VLOOKUP(AF$37,猎命辅助表!$B$19:$D$25,3,0)</f>
        <v>142.84439066364308</v>
      </c>
      <c r="AG75">
        <f>$AB75*$AC75*VLOOKUP(AG$37,猎命辅助表!$B$19:$D$25,3,0)</f>
        <v>18.733690578838438</v>
      </c>
      <c r="AH75">
        <f>$AB75*$AC75*VLOOKUP(AH$37,猎命辅助表!$B$19:$D$25,3,0)</f>
        <v>2.3417113223548047</v>
      </c>
      <c r="AI75">
        <f>SUMPRODUCT(AD75:AH75,命格辅助表!$Q$76:$U$76)</f>
        <v>189455.43178470735</v>
      </c>
      <c r="AJ75">
        <f t="shared" si="16"/>
        <v>0.77696373555166565</v>
      </c>
    </row>
    <row r="76" spans="1:36">
      <c r="A76">
        <v>73</v>
      </c>
      <c r="B76">
        <f>'[2]1、经济推算'!$G75/'[2]1、经济推算'!$G$82</f>
        <v>0.51046002818726</v>
      </c>
      <c r="C76">
        <f>[1]人物总属性查询表!$C76/[1]人物总属性查询表!$C$83</f>
        <v>0.81116383498206768</v>
      </c>
      <c r="D76">
        <f t="shared" si="15"/>
        <v>1.589083944266241</v>
      </c>
      <c r="F76">
        <f>INT($C76/定义数据!$K$2*定义数据!$F$3)</f>
        <v>59</v>
      </c>
      <c r="G76">
        <f>INT($C76/定义数据!$K$3*定义数据!$F$3)</f>
        <v>33</v>
      </c>
      <c r="H76">
        <f>INT($C76/定义数据!$K$4*定义数据!$F$3)</f>
        <v>18</v>
      </c>
      <c r="I76">
        <f>INT($C76/定义数据!$K$5*定义数据!$F$3)</f>
        <v>10</v>
      </c>
      <c r="J76">
        <f>INT($C76/定义数据!$K$6*定义数据!$F$3)</f>
        <v>5</v>
      </c>
      <c r="K76">
        <f t="shared" si="8"/>
        <v>5</v>
      </c>
      <c r="L76" t="str">
        <f>IF(OR(F76&lt;2,F76&gt;10),"",VLOOKUP(数值对比!F76,命格辅助表!$W$77:$AB$87,数值对比!L$2+1,0)*定义数据!$F$2)</f>
        <v/>
      </c>
      <c r="M76" t="str">
        <f>IF(OR(G76&lt;2,G76&gt;10),"",VLOOKUP(数值对比!G76,命格辅助表!$W$77:$AB$87,数值对比!M$2+1,0)*定义数据!$F$2)</f>
        <v/>
      </c>
      <c r="N76" t="str">
        <f>IF(OR(H76&lt;2,H76&gt;10),"",VLOOKUP(数值对比!H76,命格辅助表!$W$77:$AB$87,数值对比!N$2+1,0)*定义数据!$F$2)</f>
        <v/>
      </c>
      <c r="O76">
        <f>IF(OR(I76&lt;2,I76&gt;10),"",VLOOKUP(数值对比!I76,命格辅助表!$W$77:$AB$87,数值对比!O$2+1,0)*定义数据!$F$2)</f>
        <v>1308160</v>
      </c>
      <c r="P76">
        <f>IF(OR(J76&lt;2,J76&gt;10),"",VLOOKUP(数值对比!J76,命格辅助表!$W$77:$AB$87,数值对比!P$2+1,0)*定义数据!$F$2)</f>
        <v>76800</v>
      </c>
      <c r="Q76">
        <f t="shared" si="1"/>
        <v>76800</v>
      </c>
      <c r="R76">
        <f t="shared" si="18"/>
        <v>147200</v>
      </c>
      <c r="S76">
        <f>R76/$R$83*定义数据!$F$3</f>
        <v>1.6395112016293278</v>
      </c>
      <c r="T76">
        <f t="shared" si="4"/>
        <v>0</v>
      </c>
      <c r="U76">
        <f t="shared" si="10"/>
        <v>0.4588329604940698</v>
      </c>
      <c r="V76">
        <f t="shared" si="3"/>
        <v>3.5732201973108202</v>
      </c>
      <c r="W76">
        <f t="shared" si="5"/>
        <v>0.32737437466538788</v>
      </c>
      <c r="Y76">
        <f>'[2]1、经济推算'!$G75/3/60/60</f>
        <v>100.54710747713179</v>
      </c>
      <c r="Z76">
        <f t="shared" si="17"/>
        <v>1463.990399062239</v>
      </c>
      <c r="AB76">
        <f>[2]命币的投放!$K84</f>
        <v>64.5</v>
      </c>
      <c r="AC76">
        <f>'[2]1、经济推算'!$I75+AC75</f>
        <v>196.51424124971376</v>
      </c>
      <c r="AD76">
        <f>$AB76*$AC76*VLOOKUP(AD$37,猎命辅助表!$B$19:$D$25,3,0)</f>
        <v>7321.8589422765572</v>
      </c>
      <c r="AE76">
        <f>$AB76*$AC76*VLOOKUP(AE$37,猎命辅助表!$B$19:$D$25,3,0)</f>
        <v>1184.4089024039185</v>
      </c>
      <c r="AF76">
        <f>$AB76*$AC76*VLOOKUP(AF$37,猎命辅助表!$B$19:$D$25,3,0)</f>
        <v>158.85353927192619</v>
      </c>
      <c r="AG76">
        <f>$AB76*$AC76*VLOOKUP(AG$37,猎命辅助表!$B$19:$D$25,3,0)</f>
        <v>20.833251052055896</v>
      </c>
      <c r="AH76">
        <f>$AB76*$AC76*VLOOKUP(AH$37,猎命辅助表!$B$19:$D$25,3,0)</f>
        <v>2.604156381506987</v>
      </c>
      <c r="AI76">
        <f>SUMPRODUCT(AD76:AH76,命格辅助表!$Q$76:$U$76)</f>
        <v>210688.46829385316</v>
      </c>
      <c r="AJ76">
        <f t="shared" si="16"/>
        <v>0.69866187358055121</v>
      </c>
    </row>
    <row r="77" spans="1:36">
      <c r="A77">
        <v>74</v>
      </c>
      <c r="B77">
        <f>'[2]1、经济推算'!$G76/'[2]1、经济推算'!$G$82</f>
        <v>0.56194007250615807</v>
      </c>
      <c r="C77">
        <f>[1]人物总属性查询表!$C77/[1]人物总属性查询表!$C$83</f>
        <v>0.83718461844916292</v>
      </c>
      <c r="D77">
        <f t="shared" si="15"/>
        <v>1.4898112083650852</v>
      </c>
      <c r="F77">
        <f>INT($C77/定义数据!$K$2*定义数据!$F$3)</f>
        <v>61</v>
      </c>
      <c r="G77">
        <f>INT($C77/定义数据!$K$3*定义数据!$F$3)</f>
        <v>34</v>
      </c>
      <c r="H77">
        <f>INT($C77/定义数据!$K$4*定义数据!$F$3)</f>
        <v>18</v>
      </c>
      <c r="I77">
        <f>INT($C77/定义数据!$K$5*定义数据!$F$3)</f>
        <v>10</v>
      </c>
      <c r="J77">
        <f>INT($C77/定义数据!$K$6*定义数据!$F$3)</f>
        <v>5</v>
      </c>
      <c r="K77">
        <f t="shared" si="8"/>
        <v>5</v>
      </c>
      <c r="L77" t="str">
        <f>IF(OR(F77&lt;2,F77&gt;10),"",VLOOKUP(数值对比!F77,命格辅助表!$W$77:$AB$87,数值对比!L$2+1,0)*定义数据!$F$2)</f>
        <v/>
      </c>
      <c r="M77" t="str">
        <f>IF(OR(G77&lt;2,G77&gt;10),"",VLOOKUP(数值对比!G77,命格辅助表!$W$77:$AB$87,数值对比!M$2+1,0)*定义数据!$F$2)</f>
        <v/>
      </c>
      <c r="N77" t="str">
        <f>IF(OR(H77&lt;2,H77&gt;10),"",VLOOKUP(数值对比!H77,命格辅助表!$W$77:$AB$87,数值对比!N$2+1,0)*定义数据!$F$2)</f>
        <v/>
      </c>
      <c r="O77">
        <f>IF(OR(I77&lt;2,I77&gt;10),"",VLOOKUP(数值对比!I77,命格辅助表!$W$77:$AB$87,数值对比!O$2+1,0)*定义数据!$F$2)</f>
        <v>1308160</v>
      </c>
      <c r="P77">
        <f>IF(OR(J77&lt;2,J77&gt;10),"",VLOOKUP(数值对比!J77,命格辅助表!$W$77:$AB$87,数值对比!P$2+1,0)*定义数据!$F$2)</f>
        <v>76800</v>
      </c>
      <c r="Q77">
        <f t="shared" si="1"/>
        <v>76800</v>
      </c>
      <c r="R77">
        <f t="shared" si="18"/>
        <v>147200</v>
      </c>
      <c r="S77">
        <f>R77/$R$83*定义数据!$F$3</f>
        <v>1.6395112016293278</v>
      </c>
      <c r="T77">
        <f t="shared" si="4"/>
        <v>0</v>
      </c>
      <c r="U77">
        <f t="shared" si="10"/>
        <v>0.4167986897650553</v>
      </c>
      <c r="V77">
        <f t="shared" si="3"/>
        <v>3.9335805075431063</v>
      </c>
      <c r="W77">
        <f t="shared" si="5"/>
        <v>0.3603603102322861</v>
      </c>
      <c r="Y77">
        <f>'[2]1、经济推算'!$G76/3/60/60</f>
        <v>110.68731290602955</v>
      </c>
      <c r="Z77">
        <f t="shared" si="17"/>
        <v>1329.8723777400642</v>
      </c>
      <c r="AB77">
        <f>[2]命币的投放!$K85</f>
        <v>65</v>
      </c>
      <c r="AC77">
        <f>'[2]1、经济推算'!$I76+AC76</f>
        <v>216.79465210750925</v>
      </c>
      <c r="AD77">
        <f>$AB77*$AC77*VLOOKUP(AD$37,猎命辅助表!$B$19:$D$25,3,0)</f>
        <v>8140.0961689604819</v>
      </c>
      <c r="AE77">
        <f>$AB77*$AC77*VLOOKUP(AE$37,猎命辅助表!$B$19:$D$25,3,0)</f>
        <v>1316.7697499978228</v>
      </c>
      <c r="AF77">
        <f>$AB77*$AC77*VLOOKUP(AF$37,猎命辅助表!$B$19:$D$25,3,0)</f>
        <v>176.60584513407281</v>
      </c>
      <c r="AG77">
        <f>$AB77*$AC77*VLOOKUP(AG$37,猎命辅助表!$B$19:$D$25,3,0)</f>
        <v>23.161422312665287</v>
      </c>
      <c r="AH77">
        <f>$AB77*$AC77*VLOOKUP(AH$37,猎命辅助表!$B$19:$D$25,3,0)</f>
        <v>2.8951777890831609</v>
      </c>
      <c r="AI77">
        <f>SUMPRODUCT(AD77:AH77,命格辅助表!$Q$76:$U$76)</f>
        <v>234233.46545238141</v>
      </c>
      <c r="AJ77">
        <f t="shared" si="16"/>
        <v>0.62843283181465415</v>
      </c>
    </row>
    <row r="78" spans="1:36">
      <c r="A78">
        <v>75</v>
      </c>
      <c r="B78">
        <f>'[2]1、经济推算'!$G77/'[2]1、经济推算'!$G$82</f>
        <v>0.61860719790499685</v>
      </c>
      <c r="C78">
        <f>[1]人物总属性查询表!$C78/[1]人物总属性查询表!$C$83</f>
        <v>0.86339468587950552</v>
      </c>
      <c r="D78">
        <f t="shared" si="15"/>
        <v>1.3957074680079977</v>
      </c>
      <c r="F78">
        <f>INT($C78/定义数据!$K$2*定义数据!$F$3)</f>
        <v>63</v>
      </c>
      <c r="G78">
        <f>INT($C78/定义数据!$K$3*定义数据!$F$3)</f>
        <v>35</v>
      </c>
      <c r="H78">
        <f>INT($C78/定义数据!$K$4*定义数据!$F$3)</f>
        <v>19</v>
      </c>
      <c r="I78">
        <f>INT($C78/定义数据!$K$5*定义数据!$F$3)</f>
        <v>10</v>
      </c>
      <c r="J78">
        <f>INT($C78/定义数据!$K$6*定义数据!$F$3)</f>
        <v>6</v>
      </c>
      <c r="K78">
        <f t="shared" si="8"/>
        <v>5</v>
      </c>
      <c r="L78" t="str">
        <f>IF(OR(F78&lt;2,F78&gt;10),"",VLOOKUP(数值对比!F78,命格辅助表!$W$77:$AB$87,数值对比!L$2+1,0)*定义数据!$F$2)</f>
        <v/>
      </c>
      <c r="M78" t="str">
        <f>IF(OR(G78&lt;2,G78&gt;10),"",VLOOKUP(数值对比!G78,命格辅助表!$W$77:$AB$87,数值对比!M$2+1,0)*定义数据!$F$2)</f>
        <v/>
      </c>
      <c r="N78" t="str">
        <f>IF(OR(H78&lt;2,H78&gt;10),"",VLOOKUP(数值对比!H78,命格辅助表!$W$77:$AB$87,数值对比!N$2+1,0)*定义数据!$F$2)</f>
        <v/>
      </c>
      <c r="O78">
        <f>IF(OR(I78&lt;2,I78&gt;10),"",VLOOKUP(数值对比!I78,命格辅助表!$W$77:$AB$87,数值对比!O$2+1,0)*定义数据!$F$2)</f>
        <v>1308160</v>
      </c>
      <c r="P78">
        <f>IF(OR(J78&lt;2,J78&gt;10),"",VLOOKUP(数值对比!J78,命格辅助表!$W$77:$AB$87,数值对比!P$2+1,0)*定义数据!$F$2)</f>
        <v>158720</v>
      </c>
      <c r="Q78">
        <f t="shared" si="1"/>
        <v>158720</v>
      </c>
      <c r="R78">
        <f>Q78+$R$77</f>
        <v>305920</v>
      </c>
      <c r="S78">
        <f>R78/$R$83*定义数据!$F$3</f>
        <v>3.4073319755600817</v>
      </c>
      <c r="T78">
        <f t="shared" si="4"/>
        <v>1.7678207739307539</v>
      </c>
      <c r="U78">
        <f t="shared" si="10"/>
        <v>0.78686719527801596</v>
      </c>
      <c r="V78">
        <f t="shared" si="3"/>
        <v>4.3302503853349776</v>
      </c>
      <c r="W78">
        <f t="shared" si="5"/>
        <v>0.39666987779187135</v>
      </c>
      <c r="Y78">
        <f>'[2]1、经济推算'!$G77/3/60/60</f>
        <v>121.84923594264973</v>
      </c>
      <c r="Z78">
        <f t="shared" si="17"/>
        <v>2510.6435640186214</v>
      </c>
      <c r="AB78">
        <f>[2]命币的投放!$K86</f>
        <v>65.5</v>
      </c>
      <c r="AC78">
        <f>'[2]1、经济推算'!$I77+AC77</f>
        <v>239.11849818074955</v>
      </c>
      <c r="AD78">
        <f>$AB78*$AC78*VLOOKUP(AD$37,猎命辅助表!$B$19:$D$25,3,0)</f>
        <v>9047.3645245587704</v>
      </c>
      <c r="AE78">
        <f>$AB78*$AC78*VLOOKUP(AE$37,猎命辅助表!$B$19:$D$25,3,0)</f>
        <v>1463.5325769945775</v>
      </c>
      <c r="AF78">
        <f>$AB78*$AC78*VLOOKUP(AF$37,猎命辅助表!$B$19:$D$25,3,0)</f>
        <v>196.28975197964732</v>
      </c>
      <c r="AG78">
        <f>$AB78*$AC78*VLOOKUP(AG$37,猎命辅助表!$B$19:$D$25,3,0)</f>
        <v>25.742918292412767</v>
      </c>
      <c r="AH78">
        <f>$AB78*$AC78*VLOOKUP(AH$37,猎命辅助表!$B$19:$D$25,3,0)</f>
        <v>3.2178647865515959</v>
      </c>
      <c r="AI78">
        <f>SUMPRODUCT(AD78:AH78,命格辅助表!$Q$76:$U$76)</f>
        <v>260340.35738781284</v>
      </c>
      <c r="AJ78">
        <f t="shared" si="16"/>
        <v>1.1750771300674294</v>
      </c>
    </row>
    <row r="79" spans="1:36">
      <c r="A79">
        <v>76</v>
      </c>
      <c r="B79">
        <f>'[2]1、经济推算'!$G78/'[2]1、经济推算'!$G$82</f>
        <v>0.68098404981825211</v>
      </c>
      <c r="C79">
        <f>[1]人物总属性查询表!$C79/[1]人物总属性查询表!$C$83</f>
        <v>0.88978656521781463</v>
      </c>
      <c r="D79">
        <f t="shared" si="15"/>
        <v>1.3066188047360137</v>
      </c>
      <c r="F79">
        <f>INT($C79/定义数据!$K$2*定义数据!$F$3)</f>
        <v>65</v>
      </c>
      <c r="G79">
        <f>INT($C79/定义数据!$K$3*定义数据!$F$3)</f>
        <v>36</v>
      </c>
      <c r="H79">
        <f>INT($C79/定义数据!$K$4*定义数据!$F$3)</f>
        <v>20</v>
      </c>
      <c r="I79">
        <f>INT($C79/定义数据!$K$5*定义数据!$F$3)</f>
        <v>11</v>
      </c>
      <c r="J79">
        <f>INT($C79/定义数据!$K$6*定义数据!$F$3)</f>
        <v>6</v>
      </c>
      <c r="K79">
        <f t="shared" si="8"/>
        <v>5</v>
      </c>
      <c r="L79" t="str">
        <f>IF(OR(F79&lt;2,F79&gt;10),"",VLOOKUP(数值对比!F79,命格辅助表!$W$77:$AB$87,数值对比!L$2+1,0)*定义数据!$F$2)</f>
        <v/>
      </c>
      <c r="M79" t="str">
        <f>IF(OR(G79&lt;2,G79&gt;10),"",VLOOKUP(数值对比!G79,命格辅助表!$W$77:$AB$87,数值对比!M$2+1,0)*定义数据!$F$2)</f>
        <v/>
      </c>
      <c r="N79" t="str">
        <f>IF(OR(H79&lt;2,H79&gt;10),"",VLOOKUP(数值对比!H79,命格辅助表!$W$77:$AB$87,数值对比!N$2+1,0)*定义数据!$F$2)</f>
        <v/>
      </c>
      <c r="O79" t="str">
        <f>IF(OR(I79&lt;2,I79&gt;10),"",VLOOKUP(数值对比!I79,命格辅助表!$W$77:$AB$87,数值对比!O$2+1,0)*定义数据!$F$2)</f>
        <v/>
      </c>
      <c r="P79">
        <f>IF(OR(J79&lt;2,J79&gt;10),"",VLOOKUP(数值对比!J79,命格辅助表!$W$77:$AB$87,数值对比!P$2+1,0)*定义数据!$F$2)</f>
        <v>158720</v>
      </c>
      <c r="Q79">
        <f t="shared" si="1"/>
        <v>158720</v>
      </c>
      <c r="R79">
        <f t="shared" ref="R79:R82" si="19">Q79+$R$77</f>
        <v>305920</v>
      </c>
      <c r="S79">
        <f>R79/$R$83*定义数据!$F$3</f>
        <v>3.4073319755600817</v>
      </c>
      <c r="T79">
        <f t="shared" si="4"/>
        <v>0</v>
      </c>
      <c r="U79">
        <f t="shared" si="10"/>
        <v>0.71479164735827405</v>
      </c>
      <c r="V79">
        <f t="shared" si="3"/>
        <v>4.7668883487277647</v>
      </c>
      <c r="W79">
        <f t="shared" si="5"/>
        <v>0.43663796339278704</v>
      </c>
      <c r="Y79">
        <f>'[2]1、经济推算'!$G78/3/60/60</f>
        <v>134.13582389681255</v>
      </c>
      <c r="Z79">
        <f t="shared" si="17"/>
        <v>2280.6733586348778</v>
      </c>
      <c r="AB79">
        <f>[2]命币的投放!$K87</f>
        <v>66</v>
      </c>
      <c r="AC79">
        <f>'[2]1、经济推算'!$I78+AC78</f>
        <v>263.69167408907521</v>
      </c>
      <c r="AD79">
        <f>$AB79*$AC79*VLOOKUP(AD$37,猎命辅助表!$B$19:$D$25,3,0)</f>
        <v>10053.284369220128</v>
      </c>
      <c r="AE79">
        <f>$AB79*$AC79*VLOOKUP(AE$37,猎命辅助表!$B$19:$D$25,3,0)</f>
        <v>1626.2536056997869</v>
      </c>
      <c r="AF79">
        <f>$AB79*$AC79*VLOOKUP(AF$37,猎命辅助表!$B$19:$D$25,3,0)</f>
        <v>218.11398115533785</v>
      </c>
      <c r="AG79">
        <f>$AB79*$AC79*VLOOKUP(AG$37,猎命辅助表!$B$19:$D$25,3,0)</f>
        <v>28.605112282667264</v>
      </c>
      <c r="AH79">
        <f>$AB79*$AC79*VLOOKUP(AH$37,猎命辅助表!$B$19:$D$25,3,0)</f>
        <v>3.575639035333408</v>
      </c>
      <c r="AI79">
        <f>SUMPRODUCT(AD79:AH79,命格辅助表!$Q$76:$U$76)</f>
        <v>289285.97256135452</v>
      </c>
      <c r="AJ79">
        <f t="shared" si="16"/>
        <v>1.0575002904266904</v>
      </c>
    </row>
    <row r="80" spans="1:36">
      <c r="A80">
        <v>77</v>
      </c>
      <c r="B80">
        <f>'[2]1、经济推算'!$G79/'[2]1、经济推算'!$G$82</f>
        <v>0.74964593494517806</v>
      </c>
      <c r="C80">
        <f>[1]人物总属性查询表!$C80/[1]人物总属性查询表!$C$83</f>
        <v>0.91635281195945961</v>
      </c>
      <c r="D80">
        <f t="shared" si="15"/>
        <v>1.2223808190548955</v>
      </c>
      <c r="F80">
        <f>INT($C80/定义数据!$K$2*定义数据!$F$3)</f>
        <v>67</v>
      </c>
      <c r="G80">
        <f>INT($C80/定义数据!$K$3*定义数据!$F$3)</f>
        <v>37</v>
      </c>
      <c r="H80">
        <f>INT($C80/定义数据!$K$4*定义数据!$F$3)</f>
        <v>20</v>
      </c>
      <c r="I80">
        <f>INT($C80/定义数据!$K$5*定义数据!$F$3)</f>
        <v>11</v>
      </c>
      <c r="J80">
        <f>INT($C80/定义数据!$K$6*定义数据!$F$3)</f>
        <v>6</v>
      </c>
      <c r="K80">
        <f t="shared" si="8"/>
        <v>5</v>
      </c>
      <c r="L80" t="str">
        <f>IF(OR(F80&lt;2,F80&gt;10),"",VLOOKUP(数值对比!F80,命格辅助表!$W$77:$AB$87,数值对比!L$2+1,0)*定义数据!$F$2)</f>
        <v/>
      </c>
      <c r="M80" t="str">
        <f>IF(OR(G80&lt;2,G80&gt;10),"",VLOOKUP(数值对比!G80,命格辅助表!$W$77:$AB$87,数值对比!M$2+1,0)*定义数据!$F$2)</f>
        <v/>
      </c>
      <c r="N80" t="str">
        <f>IF(OR(H80&lt;2,H80&gt;10),"",VLOOKUP(数值对比!H80,命格辅助表!$W$77:$AB$87,数值对比!N$2+1,0)*定义数据!$F$2)</f>
        <v/>
      </c>
      <c r="O80" t="str">
        <f>IF(OR(I80&lt;2,I80&gt;10),"",VLOOKUP(数值对比!I80,命格辅助表!$W$77:$AB$87,数值对比!O$2+1,0)*定义数据!$F$2)</f>
        <v/>
      </c>
      <c r="P80">
        <f>IF(OR(J80&lt;2,J80&gt;10),"",VLOOKUP(数值对比!J80,命格辅助表!$W$77:$AB$87,数值对比!P$2+1,0)*定义数据!$F$2)</f>
        <v>158720</v>
      </c>
      <c r="Q80">
        <f t="shared" si="1"/>
        <v>158720</v>
      </c>
      <c r="R80">
        <f t="shared" si="19"/>
        <v>305920</v>
      </c>
      <c r="S80">
        <f>R80/$R$83*定义数据!$F$3</f>
        <v>3.4073319755600817</v>
      </c>
      <c r="T80">
        <f t="shared" si="4"/>
        <v>0</v>
      </c>
      <c r="U80">
        <f t="shared" si="10"/>
        <v>0.64932215076960897</v>
      </c>
      <c r="V80">
        <f t="shared" si="3"/>
        <v>5.2475215446162462</v>
      </c>
      <c r="W80">
        <f t="shared" si="5"/>
        <v>0.48063319588848152</v>
      </c>
      <c r="Y80">
        <f>'[2]1、经济推算'!$G79/3/60/60</f>
        <v>147.66039695291653</v>
      </c>
      <c r="Z80">
        <f t="shared" si="17"/>
        <v>2071.7809670899546</v>
      </c>
      <c r="AB80">
        <f>[2]命币的投放!$K88</f>
        <v>66.5</v>
      </c>
      <c r="AC80">
        <f>'[2]1、经济推算'!$I79+AC79</f>
        <v>290.74082020128316</v>
      </c>
      <c r="AD80">
        <f>$AB80*$AC80*VLOOKUP(AD$37,猎命辅助表!$B$19:$D$25,3,0)</f>
        <v>11168.510861409193</v>
      </c>
      <c r="AE80">
        <f>$AB80*$AC80*VLOOKUP(AE$37,猎命辅助表!$B$19:$D$25,3,0)</f>
        <v>1806.6564509278769</v>
      </c>
      <c r="AF80">
        <f>$AB80*$AC80*VLOOKUP(AF$37,猎命辅助表!$B$19:$D$25,3,0)</f>
        <v>242.30970477835609</v>
      </c>
      <c r="AG80">
        <f>$AB80*$AC80*VLOOKUP(AG$37,猎命辅助表!$B$19:$D$25,3,0)</f>
        <v>31.778321938145069</v>
      </c>
      <c r="AH80">
        <f>$AB80*$AC80*VLOOKUP(AH$37,猎命辅助表!$B$19:$D$25,3,0)</f>
        <v>3.9722902422681337</v>
      </c>
      <c r="AI80">
        <f>SUMPRODUCT(AD80:AH80,命格辅助表!$Q$76:$U$76)</f>
        <v>321376.91603519645</v>
      </c>
      <c r="AJ80">
        <f t="shared" si="16"/>
        <v>0.95190408749362809</v>
      </c>
    </row>
    <row r="81" spans="1:36">
      <c r="A81">
        <v>78</v>
      </c>
      <c r="B81">
        <f>'[2]1、经济推算'!$G80/'[2]1、经济推算'!$G$82</f>
        <v>0.82522612734955503</v>
      </c>
      <c r="C81">
        <f>[1]人物总属性查询表!$C81/[1]人物总属性查询表!$C$83</f>
        <v>0.9430860131840767</v>
      </c>
      <c r="D81">
        <f t="shared" si="15"/>
        <v>1.142821321245683</v>
      </c>
      <c r="F81">
        <f>INT($C81/定义数据!$K$2*定义数据!$F$3)</f>
        <v>69</v>
      </c>
      <c r="G81">
        <f>INT($C81/定义数据!$K$3*定义数据!$F$3)</f>
        <v>38</v>
      </c>
      <c r="H81">
        <f>INT($C81/定义数据!$K$4*定义数据!$F$3)</f>
        <v>21</v>
      </c>
      <c r="I81">
        <f>INT($C81/定义数据!$K$5*定义数据!$F$3)</f>
        <v>11</v>
      </c>
      <c r="J81">
        <f>INT($C81/定义数据!$K$6*定义数据!$F$3)</f>
        <v>6</v>
      </c>
      <c r="K81">
        <f t="shared" si="8"/>
        <v>5</v>
      </c>
      <c r="L81" t="str">
        <f>IF(OR(F81&lt;2,F81&gt;10),"",VLOOKUP(数值对比!F81,命格辅助表!$W$77:$AB$87,数值对比!L$2+1,0)*定义数据!$F$2)</f>
        <v/>
      </c>
      <c r="M81" t="str">
        <f>IF(OR(G81&lt;2,G81&gt;10),"",VLOOKUP(数值对比!G81,命格辅助表!$W$77:$AB$87,数值对比!M$2+1,0)*定义数据!$F$2)</f>
        <v/>
      </c>
      <c r="N81" t="str">
        <f>IF(OR(H81&lt;2,H81&gt;10),"",VLOOKUP(数值对比!H81,命格辅助表!$W$77:$AB$87,数值对比!N$2+1,0)*定义数据!$F$2)</f>
        <v/>
      </c>
      <c r="O81" t="str">
        <f>IF(OR(I81&lt;2,I81&gt;10),"",VLOOKUP(数值对比!I81,命格辅助表!$W$77:$AB$87,数值对比!O$2+1,0)*定义数据!$F$2)</f>
        <v/>
      </c>
      <c r="P81">
        <f>IF(OR(J81&lt;2,J81&gt;10),"",VLOOKUP(数值对比!J81,命格辅助表!$W$77:$AB$87,数值对比!P$2+1,0)*定义数据!$F$2)</f>
        <v>158720</v>
      </c>
      <c r="Q81">
        <f t="shared" si="1"/>
        <v>158720</v>
      </c>
      <c r="R81">
        <f t="shared" si="19"/>
        <v>305920</v>
      </c>
      <c r="S81">
        <f>R81/$R$83*定义数据!$F$3</f>
        <v>3.4073319755600817</v>
      </c>
      <c r="T81">
        <f t="shared" si="4"/>
        <v>0</v>
      </c>
      <c r="U81">
        <f t="shared" si="10"/>
        <v>0.58985252000887201</v>
      </c>
      <c r="V81">
        <f t="shared" si="3"/>
        <v>5.7765828914468855</v>
      </c>
      <c r="W81">
        <f t="shared" si="5"/>
        <v>0.52906134683063932</v>
      </c>
      <c r="Y81">
        <f>'[2]1、经济推算'!$G80/3/60/60</f>
        <v>162.54769333107171</v>
      </c>
      <c r="Z81">
        <f t="shared" si="17"/>
        <v>1882.0322437729851</v>
      </c>
      <c r="AB81">
        <f>[2]命币的投放!$K89</f>
        <v>67</v>
      </c>
      <c r="AC81">
        <f>'[2]1、经济推算'!$I80+AC80</f>
        <v>320.51541295759353</v>
      </c>
      <c r="AD81">
        <f>$AB81*$AC81*VLOOKUP(AD$37,猎命辅助表!$B$19:$D$25,3,0)</f>
        <v>12404.844818887703</v>
      </c>
      <c r="AE81">
        <f>$AB81*$AC81*VLOOKUP(AE$37,猎命辅助表!$B$19:$D$25,3,0)</f>
        <v>2006.650053252933</v>
      </c>
      <c r="AF81">
        <f>$AB81*$AC81*VLOOKUP(AF$37,猎命辅助表!$B$19:$D$25,3,0)</f>
        <v>269.13295095338606</v>
      </c>
      <c r="AG81">
        <f>$AB81*$AC81*VLOOKUP(AG$37,猎命辅助表!$B$19:$D$25,3,0)</f>
        <v>35.296124715198175</v>
      </c>
      <c r="AH81">
        <f>$AB81*$AC81*VLOOKUP(AH$37,猎命辅助表!$B$19:$D$25,3,0)</f>
        <v>4.4120155893997719</v>
      </c>
      <c r="AI81">
        <f>SUMPRODUCT(AD81:AH81,命格辅助表!$Q$76:$U$76)</f>
        <v>356952.75952718192</v>
      </c>
      <c r="AJ81">
        <f t="shared" si="16"/>
        <v>0.85703217536466259</v>
      </c>
    </row>
    <row r="82" spans="1:36">
      <c r="A82">
        <v>79</v>
      </c>
      <c r="B82">
        <f>'[2]1、经济推算'!$G81/'[2]1、经济推算'!$G$82</f>
        <v>0.90842170919708198</v>
      </c>
      <c r="C82">
        <f>[1]人物总属性查询表!$C82/[1]人物总属性查询表!$C$83</f>
        <v>0.96997879158918632</v>
      </c>
      <c r="D82">
        <f t="shared" si="15"/>
        <v>1.0677626720815734</v>
      </c>
      <c r="F82">
        <f>INT($C82/定义数据!$K$2*定义数据!$F$3)</f>
        <v>71</v>
      </c>
      <c r="G82">
        <f>INT($C82/定义数据!$K$3*定义数据!$F$3)</f>
        <v>39</v>
      </c>
      <c r="H82">
        <f>INT($C82/定义数据!$K$4*定义数据!$F$3)</f>
        <v>21</v>
      </c>
      <c r="I82">
        <f>INT($C82/定义数据!$K$5*定义数据!$F$3)</f>
        <v>12</v>
      </c>
      <c r="J82">
        <f>INT($C82/定义数据!$K$6*定义数据!$F$3)</f>
        <v>6</v>
      </c>
      <c r="K82">
        <f t="shared" si="8"/>
        <v>5</v>
      </c>
      <c r="L82" t="str">
        <f>IF(OR(F82&lt;2,F82&gt;10),"",VLOOKUP(数值对比!F82,命格辅助表!$W$77:$AB$87,数值对比!L$2+1,0)*定义数据!$F$2)</f>
        <v/>
      </c>
      <c r="M82" t="str">
        <f>IF(OR(G82&lt;2,G82&gt;10),"",VLOOKUP(数值对比!G82,命格辅助表!$W$77:$AB$87,数值对比!M$2+1,0)*定义数据!$F$2)</f>
        <v/>
      </c>
      <c r="N82" t="str">
        <f>IF(OR(H82&lt;2,H82&gt;10),"",VLOOKUP(数值对比!H82,命格辅助表!$W$77:$AB$87,数值对比!N$2+1,0)*定义数据!$F$2)</f>
        <v/>
      </c>
      <c r="O82" t="str">
        <f>IF(OR(I82&lt;2,I82&gt;10),"",VLOOKUP(数值对比!I82,命格辅助表!$W$77:$AB$87,数值对比!O$2+1,0)*定义数据!$F$2)</f>
        <v/>
      </c>
      <c r="P82">
        <f>IF(OR(J82&lt;2,J82&gt;10),"",VLOOKUP(数值对比!J82,命格辅助表!$W$77:$AB$87,数值对比!P$2+1,0)*定义数据!$F$2)</f>
        <v>158720</v>
      </c>
      <c r="Q82">
        <f t="shared" si="1"/>
        <v>158720</v>
      </c>
      <c r="R82">
        <f t="shared" si="19"/>
        <v>305920</v>
      </c>
      <c r="S82">
        <f>R82/$R$83*定义数据!$F$3</f>
        <v>3.4073319755600817</v>
      </c>
      <c r="T82">
        <f t="shared" si="4"/>
        <v>0</v>
      </c>
      <c r="U82">
        <f t="shared" si="10"/>
        <v>0.53583231869758685</v>
      </c>
      <c r="V82">
        <f t="shared" si="3"/>
        <v>6.3589519643795738</v>
      </c>
      <c r="W82">
        <f t="shared" si="5"/>
        <v>0.58236907293268825</v>
      </c>
      <c r="Y82">
        <f>'[2]1、经济推算'!$G81/3/60/60</f>
        <v>178.93501975769081</v>
      </c>
      <c r="Z82">
        <f t="shared" si="17"/>
        <v>1709.670920841929</v>
      </c>
      <c r="AB82">
        <f>[2]命币的投放!$K90</f>
        <v>67.5</v>
      </c>
      <c r="AC82">
        <f>'[2]1、经济推算'!$I81+AC81</f>
        <v>353.29006581083166</v>
      </c>
      <c r="AD82">
        <f>$AB82*$AC82*VLOOKUP(AD$37,猎命辅助表!$B$19:$D$25,3,0)</f>
        <v>13775.355414517993</v>
      </c>
      <c r="AE82">
        <f>$AB82*$AC82*VLOOKUP(AE$37,猎命辅助表!$B$19:$D$25,3,0)</f>
        <v>2228.3485267008118</v>
      </c>
      <c r="AF82">
        <f>$AB82*$AC82*VLOOKUP(AF$37,猎命辅助表!$B$19:$D$25,3,0)</f>
        <v>298.86726575539387</v>
      </c>
      <c r="AG82">
        <f>$AB82*$AC82*VLOOKUP(AG$37,猎命辅助表!$B$19:$D$25,3,0)</f>
        <v>39.195706984313958</v>
      </c>
      <c r="AH82">
        <f>$AB82*$AC82*VLOOKUP(AH$37,猎命辅助表!$B$19:$D$25,3,0)</f>
        <v>4.8994633730392447</v>
      </c>
      <c r="AI82">
        <f>SUMPRODUCT(AD82:AH82,命格辅助表!$Q$76:$U$76)</f>
        <v>396389.57201568654</v>
      </c>
      <c r="AJ82">
        <f t="shared" si="16"/>
        <v>0.7717660140360445</v>
      </c>
    </row>
    <row r="83" spans="1:36" s="34" customFormat="1">
      <c r="A83" s="34">
        <v>80</v>
      </c>
      <c r="B83">
        <f>'[2]1、经济推算'!$G82/'[2]1、经济推算'!$G$82</f>
        <v>1</v>
      </c>
      <c r="C83">
        <f>[1]人物总属性查询表!$C83/[1]人物总属性查询表!$C$83</f>
        <v>1</v>
      </c>
      <c r="D83" s="34">
        <f t="shared" si="15"/>
        <v>1</v>
      </c>
      <c r="F83" s="34">
        <f>INT($C83/定义数据!$K$2*定义数据!$F$3)</f>
        <v>73</v>
      </c>
      <c r="G83" s="34">
        <f>INT($C83/定义数据!$K$3*定义数据!$F$3)</f>
        <v>40</v>
      </c>
      <c r="H83" s="34">
        <f>INT($C83/定义数据!$K$4*定义数据!$F$3)</f>
        <v>22</v>
      </c>
      <c r="I83" s="34">
        <f>INT($C83/定义数据!$K$5*定义数据!$F$3)</f>
        <v>12</v>
      </c>
      <c r="J83" s="34">
        <f>INT($C83/定义数据!$K$6*定义数据!$F$3)</f>
        <v>7</v>
      </c>
      <c r="K83" s="34">
        <f t="shared" si="8"/>
        <v>5</v>
      </c>
      <c r="L83" s="34" t="str">
        <f>IF(OR(F83&lt;2,F83&gt;10),"",VLOOKUP(数值对比!F83,命格辅助表!$W$77:$AB$87,数值对比!L$2+1,0)*定义数据!$F$2)</f>
        <v/>
      </c>
      <c r="M83" s="34" t="str">
        <f>IF(OR(G83&lt;2,G83&gt;10),"",VLOOKUP(数值对比!G83,命格辅助表!$W$77:$AB$87,数值对比!M$2+1,0)*定义数据!$F$2)</f>
        <v/>
      </c>
      <c r="N83" s="34" t="str">
        <f>IF(OR(H83&lt;2,H83&gt;10),"",VLOOKUP(数值对比!H83,命格辅助表!$W$77:$AB$87,数值对比!N$2+1,0)*定义数据!$F$2)</f>
        <v/>
      </c>
      <c r="O83" s="34" t="str">
        <f>IF(OR(I83&lt;2,I83&gt;10),"",VLOOKUP(数值对比!I83,命格辅助表!$W$77:$AB$87,数值对比!O$2+1,0)*定义数据!$F$2)</f>
        <v/>
      </c>
      <c r="P83" s="34">
        <f>IF(OR(J83&lt;2,J83&gt;10),"",VLOOKUP(数值对比!J83,命格辅助表!$W$77:$AB$87,数值对比!P$2+1,0)*定义数据!$F$2)</f>
        <v>322560</v>
      </c>
      <c r="Q83">
        <f t="shared" si="1"/>
        <v>322560</v>
      </c>
      <c r="R83">
        <f>Q83+$R$82</f>
        <v>628480</v>
      </c>
      <c r="S83">
        <f>R83/$R$83*定义数据!$F$3</f>
        <v>7</v>
      </c>
      <c r="T83" s="34">
        <f t="shared" si="4"/>
        <v>3.5926680244399183</v>
      </c>
      <c r="U83" s="34">
        <f t="shared" si="10"/>
        <v>1</v>
      </c>
      <c r="V83">
        <f t="shared" si="3"/>
        <v>7</v>
      </c>
      <c r="W83" s="34">
        <f t="shared" si="5"/>
        <v>0.64104803562042623</v>
      </c>
      <c r="Y83" s="34">
        <f>'[2]1、经济推算'!$G82/3/60/60</f>
        <v>196.97351785641979</v>
      </c>
      <c r="Z83" s="34">
        <f>R83/Y83</f>
        <v>3190.6827214108998</v>
      </c>
      <c r="AA83" s="34">
        <f>AVERAGE(Z40:Z83)</f>
        <v>1815.7463663763569</v>
      </c>
      <c r="AB83" s="34">
        <f>[2]命币的投放!$K91</f>
        <v>68</v>
      </c>
      <c r="AC83" s="34">
        <f>'[2]1、经济推算'!$I82+AC82</f>
        <v>389.36706200828962</v>
      </c>
      <c r="AD83" s="34">
        <f>$AB83*$AC83*VLOOKUP(AD$37,猎命辅助表!$B$19:$D$25,3,0)</f>
        <v>15294.515966316334</v>
      </c>
      <c r="AE83" s="34">
        <f>$AB83*$AC83*VLOOKUP(AE$37,猎命辅助表!$B$19:$D$25,3,0)</f>
        <v>2474.0931246118107</v>
      </c>
      <c r="AF83" s="34">
        <f>$AB83*$AC83*VLOOKUP(AF$37,猎命辅助表!$B$19:$D$25,3,0)</f>
        <v>331.82665930257753</v>
      </c>
      <c r="AG83" s="34">
        <f>$AB83*$AC83*VLOOKUP(AG$37,猎命辅助表!$B$19:$D$25,3,0)</f>
        <v>43.51825040033804</v>
      </c>
      <c r="AH83" s="34">
        <f>$AB83*$AC83*VLOOKUP(AH$37,猎命辅助表!$B$19:$D$25,3,0)</f>
        <v>5.439781300042255</v>
      </c>
      <c r="AI83" s="34">
        <f>SUMPRODUCT(AD83:AH83,命格辅助表!$Q$76:$U$76)</f>
        <v>440103.82713507296</v>
      </c>
      <c r="AJ83" s="34">
        <f t="shared" si="16"/>
        <v>1.4280266638242893</v>
      </c>
    </row>
    <row r="84" spans="1:36">
      <c r="A84">
        <v>81</v>
      </c>
      <c r="B84">
        <f>'[2]1、经济推算'!$G83/'[2]1、经济推算'!$G$82</f>
        <v>1.1008056336663885</v>
      </c>
      <c r="C84">
        <f>[1]人物总属性查询表!$C84/[1]人物总属性查询表!$C$83</f>
        <v>1.0302033272502873</v>
      </c>
      <c r="D84">
        <f t="shared" si="15"/>
        <v>0.93586305860286134</v>
      </c>
      <c r="F84">
        <f>INT($C84/定义数据!$K$2*定义数据!$F$3)</f>
        <v>75</v>
      </c>
      <c r="G84">
        <f>INT($C84/定义数据!$K$3*定义数据!$F$3)</f>
        <v>42</v>
      </c>
      <c r="H84">
        <f>INT($C84/定义数据!$K$4*定义数据!$F$3)</f>
        <v>23</v>
      </c>
      <c r="I84">
        <f>INT($C84/定义数据!$K$5*定义数据!$F$3)</f>
        <v>12</v>
      </c>
      <c r="J84">
        <f>INT($C84/定义数据!$K$6*定义数据!$F$3)</f>
        <v>7</v>
      </c>
      <c r="K84">
        <f t="shared" si="8"/>
        <v>5</v>
      </c>
      <c r="L84" t="str">
        <f>IF(OR(F84&lt;2,F84&gt;10),"",VLOOKUP(数值对比!F84,命格辅助表!$W$77:$AB$87,数值对比!L$2+1,0)*定义数据!$F$2)</f>
        <v/>
      </c>
      <c r="M84" t="str">
        <f>IF(OR(G84&lt;2,G84&gt;10),"",VLOOKUP(数值对比!G84,命格辅助表!$W$77:$AB$87,数值对比!M$2+1,0)*定义数据!$F$2)</f>
        <v/>
      </c>
      <c r="N84" t="str">
        <f>IF(OR(H84&lt;2,H84&gt;10),"",VLOOKUP(数值对比!H84,命格辅助表!$W$77:$AB$87,数值对比!N$2+1,0)*定义数据!$F$2)</f>
        <v/>
      </c>
      <c r="O84" t="str">
        <f>IF(OR(I84&lt;2,I84&gt;10),"",VLOOKUP(数值对比!I84,命格辅助表!$W$77:$AB$87,数值对比!O$2+1,0)*定义数据!$F$2)</f>
        <v/>
      </c>
      <c r="P84">
        <f>IF(OR(J84&lt;2,J84&gt;10),"",VLOOKUP(数值对比!J84,命格辅助表!$W$77:$AB$87,数值对比!P$2+1,0)*定义数据!$F$2)</f>
        <v>322560</v>
      </c>
      <c r="Q84">
        <f t="shared" si="1"/>
        <v>322560</v>
      </c>
      <c r="R84">
        <f>Q84+$R$47</f>
        <v>336640</v>
      </c>
      <c r="S84">
        <f>R84/$R$83*定义数据!$F$3</f>
        <v>3.7494908350305494</v>
      </c>
      <c r="T84">
        <f t="shared" si="4"/>
        <v>-3.2505091649694506</v>
      </c>
      <c r="U84">
        <f t="shared" si="10"/>
        <v>0.48659048562231394</v>
      </c>
      <c r="V84">
        <f t="shared" si="3"/>
        <v>7.70563943566472</v>
      </c>
      <c r="W84">
        <f t="shared" si="5"/>
        <v>0.70563943566471998</v>
      </c>
      <c r="Y84">
        <f>'[2]1、经济推算'!$G83/3/60/60</f>
        <v>216.82955813943389</v>
      </c>
      <c r="Z84">
        <f t="shared" si="17"/>
        <v>1552.5558548780564</v>
      </c>
      <c r="AB84">
        <f>[2]命币的投放!$K92</f>
        <v>68.5</v>
      </c>
      <c r="AC84">
        <f>'[2]1、经济推算'!$I83+AC83</f>
        <v>429.07914257431781</v>
      </c>
      <c r="AD84">
        <f>$AB84*$AC84*VLOOKUP(AD$37,猎命辅助表!$B$19:$D$25,3,0)</f>
        <v>16978.354214829287</v>
      </c>
      <c r="AE84">
        <f>$AB84*$AC84*VLOOKUP(AE$37,猎命辅助表!$B$19:$D$25,3,0)</f>
        <v>2746.4765490221785</v>
      </c>
      <c r="AF84">
        <f>$AB84*$AC84*VLOOKUP(AF$37,猎命辅助表!$B$19:$D$25,3,0)</f>
        <v>368.35886614328405</v>
      </c>
      <c r="AG84">
        <f>$AB84*$AC84*VLOOKUP(AG$37,猎命辅助表!$B$19:$D$25,3,0)</f>
        <v>48.309359494201189</v>
      </c>
      <c r="AH84">
        <f>$AB84*$AC84*VLOOKUP(AH$37,猎命辅助表!$B$19:$D$25,3,0)</f>
        <v>6.0386699367751486</v>
      </c>
      <c r="AI84">
        <f>SUMPRODUCT(AD84:AH84,命格辅助表!$Q$76:$U$76)</f>
        <v>488556.72744777589</v>
      </c>
      <c r="AJ84">
        <f t="shared" si="16"/>
        <v>0.68904997329298878</v>
      </c>
    </row>
    <row r="85" spans="1:36">
      <c r="A85">
        <v>82</v>
      </c>
      <c r="B85">
        <f>'[2]1、经济推算'!$G84/'[2]1、经济推算'!$G$82</f>
        <v>1.2117683486263222</v>
      </c>
      <c r="C85">
        <f>[1]人物总属性查询表!$C85/[1]人物总属性查询表!$C$83</f>
        <v>1.060580473967299</v>
      </c>
      <c r="D85">
        <f t="shared" si="15"/>
        <v>0.87523368238623178</v>
      </c>
      <c r="F85">
        <f>INT($C85/定义数据!$K$2*定义数据!$F$3)</f>
        <v>77</v>
      </c>
      <c r="G85">
        <f>INT($C85/定义数据!$K$3*定义数据!$F$3)</f>
        <v>43</v>
      </c>
      <c r="H85">
        <f>INT($C85/定义数据!$K$4*定义数据!$F$3)</f>
        <v>24</v>
      </c>
      <c r="I85">
        <f>INT($C85/定义数据!$K$5*定义数据!$F$3)</f>
        <v>13</v>
      </c>
      <c r="J85">
        <f>INT($C85/定义数据!$K$6*定义数据!$F$3)</f>
        <v>7</v>
      </c>
      <c r="K85">
        <f t="shared" si="8"/>
        <v>5</v>
      </c>
      <c r="L85" t="str">
        <f>IF(OR(F85&lt;2,F85&gt;10),"",VLOOKUP(数值对比!F85,命格辅助表!$W$77:$AB$87,数值对比!L$2+1,0)*定义数据!$F$2)</f>
        <v/>
      </c>
      <c r="M85" t="str">
        <f>IF(OR(G85&lt;2,G85&gt;10),"",VLOOKUP(数值对比!G85,命格辅助表!$W$77:$AB$87,数值对比!M$2+1,0)*定义数据!$F$2)</f>
        <v/>
      </c>
      <c r="N85" t="str">
        <f>IF(OR(H85&lt;2,H85&gt;10),"",VLOOKUP(数值对比!H85,命格辅助表!$W$77:$AB$87,数值对比!N$2+1,0)*定义数据!$F$2)</f>
        <v/>
      </c>
      <c r="O85" t="str">
        <f>IF(OR(I85&lt;2,I85&gt;10),"",VLOOKUP(数值对比!I85,命格辅助表!$W$77:$AB$87,数值对比!O$2+1,0)*定义数据!$F$2)</f>
        <v/>
      </c>
      <c r="P85">
        <f>IF(OR(J85&lt;2,J85&gt;10),"",VLOOKUP(数值对比!J85,命格辅助表!$W$77:$AB$87,数值对比!P$2+1,0)*定义数据!$F$2)</f>
        <v>322560</v>
      </c>
      <c r="Q85">
        <f t="shared" si="1"/>
        <v>322560</v>
      </c>
      <c r="R85">
        <f t="shared" si="12"/>
        <v>336640</v>
      </c>
      <c r="S85">
        <f>R85/$R$83*定义数据!$F$3</f>
        <v>3.7494908350305494</v>
      </c>
      <c r="T85">
        <f t="shared" si="4"/>
        <v>0</v>
      </c>
      <c r="U85">
        <f t="shared" si="10"/>
        <v>0.44203295825371069</v>
      </c>
      <c r="V85">
        <f t="shared" si="3"/>
        <v>8.4823784403842559</v>
      </c>
      <c r="W85">
        <f t="shared" si="5"/>
        <v>0.77673900471953594</v>
      </c>
      <c r="Y85">
        <f>'[2]1、经济推算'!$G84/3/60/60</f>
        <v>238.6862744559912</v>
      </c>
      <c r="Z85">
        <f t="shared" si="17"/>
        <v>1410.3869221942607</v>
      </c>
      <c r="AB85">
        <f>[2]命币的投放!$K93</f>
        <v>69</v>
      </c>
      <c r="AC85">
        <f>'[2]1、经济推算'!$I84+AC84</f>
        <v>472.79257520743249</v>
      </c>
      <c r="AD85">
        <f>$AB85*$AC85*VLOOKUP(AD$37,猎命辅助表!$B$19:$D$25,3,0)</f>
        <v>18844.618628697797</v>
      </c>
      <c r="AE85">
        <f>$AB85*$AC85*VLOOKUP(AE$37,猎命辅助表!$B$19:$D$25,3,0)</f>
        <v>3048.3698528200002</v>
      </c>
      <c r="AF85">
        <f>$AB85*$AC85*VLOOKUP(AF$37,猎命辅助表!$B$19:$D$25,3,0)</f>
        <v>408.84895338717752</v>
      </c>
      <c r="AG85">
        <f>$AB85*$AC85*VLOOKUP(AG$37,猎命辅助表!$B$19:$D$25,3,0)</f>
        <v>53.61953487044952</v>
      </c>
      <c r="AH85">
        <f>$AB85*$AC85*VLOOKUP(AH$37,猎命辅助表!$B$19:$D$25,3,0)</f>
        <v>6.70244185880619</v>
      </c>
      <c r="AI85">
        <f>SUMPRODUCT(AD85:AH85,命格辅助表!$Q$76:$U$76)</f>
        <v>542258.98993182008</v>
      </c>
      <c r="AJ85">
        <f t="shared" si="16"/>
        <v>0.62081036229999031</v>
      </c>
    </row>
    <row r="86" spans="1:36">
      <c r="A86">
        <v>83</v>
      </c>
      <c r="B86">
        <f>'[2]1、经济推算'!$G85/'[2]1、经济推算'!$G$82</f>
        <v>1.3339115628838496</v>
      </c>
      <c r="C86">
        <f>[1]人物总属性查询表!$C86/[1]人物总属性查询表!$C$83</f>
        <v>1.0911231945237276</v>
      </c>
      <c r="D86">
        <f t="shared" si="15"/>
        <v>0.81798765741618906</v>
      </c>
      <c r="F86">
        <f>INT($C86/定义数据!$K$2*定义数据!$F$3)</f>
        <v>80</v>
      </c>
      <c r="G86">
        <f>INT($C86/定义数据!$K$3*定义数据!$F$3)</f>
        <v>44</v>
      </c>
      <c r="H86">
        <f>INT($C86/定义数据!$K$4*定义数据!$F$3)</f>
        <v>24</v>
      </c>
      <c r="I86">
        <f>INT($C86/定义数据!$K$5*定义数据!$F$3)</f>
        <v>13</v>
      </c>
      <c r="J86">
        <f>INT($C86/定义数据!$K$6*定义数据!$F$3)</f>
        <v>7</v>
      </c>
      <c r="K86">
        <f t="shared" si="8"/>
        <v>5</v>
      </c>
      <c r="L86" t="str">
        <f>IF(OR(F86&lt;2,F86&gt;10),"",VLOOKUP(数值对比!F86,命格辅助表!$W$77:$AB$87,数值对比!L$2+1,0)*定义数据!$F$2)</f>
        <v/>
      </c>
      <c r="M86" t="str">
        <f>IF(OR(G86&lt;2,G86&gt;10),"",VLOOKUP(数值对比!G86,命格辅助表!$W$77:$AB$87,数值对比!M$2+1,0)*定义数据!$F$2)</f>
        <v/>
      </c>
      <c r="N86" t="str">
        <f>IF(OR(H86&lt;2,H86&gt;10),"",VLOOKUP(数值对比!H86,命格辅助表!$W$77:$AB$87,数值对比!N$2+1,0)*定义数据!$F$2)</f>
        <v/>
      </c>
      <c r="O86" t="str">
        <f>IF(OR(I86&lt;2,I86&gt;10),"",VLOOKUP(数值对比!I86,命格辅助表!$W$77:$AB$87,数值对比!O$2+1,0)*定义数据!$F$2)</f>
        <v/>
      </c>
      <c r="P86">
        <f>IF(OR(J86&lt;2,J86&gt;10),"",VLOOKUP(数值对比!J86,命格辅助表!$W$77:$AB$87,数值对比!P$2+1,0)*定义数据!$F$2)</f>
        <v>322560</v>
      </c>
      <c r="Q86">
        <f t="shared" si="1"/>
        <v>322560</v>
      </c>
      <c r="R86">
        <f t="shared" si="12"/>
        <v>336640</v>
      </c>
      <c r="S86">
        <f>R86/$R$83*定义数据!$F$3</f>
        <v>3.7494908350305494</v>
      </c>
      <c r="T86">
        <f t="shared" si="4"/>
        <v>0</v>
      </c>
      <c r="U86">
        <f t="shared" si="10"/>
        <v>0.40155701679613381</v>
      </c>
      <c r="V86">
        <f t="shared" si="3"/>
        <v>9.3373809401869465</v>
      </c>
      <c r="W86">
        <f t="shared" si="5"/>
        <v>0.85500249980269061</v>
      </c>
      <c r="Y86">
        <f>'[2]1、经济推算'!$G85/3/60/60</f>
        <v>262.74525305058677</v>
      </c>
      <c r="Z86">
        <f t="shared" si="17"/>
        <v>1281.2410351527308</v>
      </c>
      <c r="AB86">
        <f>[2]命币的投放!$K94</f>
        <v>69.5</v>
      </c>
      <c r="AC86">
        <f>'[2]1、经济推算'!$I85+AC85</f>
        <v>520.91053239662369</v>
      </c>
      <c r="AD86">
        <f>$AB86*$AC86*VLOOKUP(AD$37,猎命辅助表!$B$19:$D$25,3,0)</f>
        <v>20912.962442705117</v>
      </c>
      <c r="AE86">
        <f>$AB86*$AC86*VLOOKUP(AE$37,猎命辅助表!$B$19:$D$25,3,0)</f>
        <v>3382.9522103682116</v>
      </c>
      <c r="AF86">
        <f>$AB86*$AC86*VLOOKUP(AF$37,猎命辅助表!$B$19:$D$25,3,0)</f>
        <v>453.72331355671366</v>
      </c>
      <c r="AG86">
        <f>$AB86*$AC86*VLOOKUP(AG$37,猎命辅助表!$B$19:$D$25,3,0)</f>
        <v>59.504696859896882</v>
      </c>
      <c r="AH86">
        <f>$AB86*$AC86*VLOOKUP(AH$37,猎命辅助表!$B$19:$D$25,3,0)</f>
        <v>7.4380871074871102</v>
      </c>
      <c r="AI86">
        <f>SUMPRODUCT(AD86:AH86,命格辅助表!$Q$76:$U$76)</f>
        <v>601776.14172534714</v>
      </c>
      <c r="AJ86">
        <f t="shared" si="16"/>
        <v>0.55941067891927787</v>
      </c>
    </row>
    <row r="87" spans="1:36">
      <c r="A87">
        <v>84</v>
      </c>
      <c r="B87">
        <f>'[2]1、经济推算'!$G86/'[2]1、经济推算'!$G$82</f>
        <v>1.4683618130831817</v>
      </c>
      <c r="C87">
        <f>[1]人物总属性查询表!$C87/[1]人物总属性查询表!$C$83</f>
        <v>1.1218233016475516</v>
      </c>
      <c r="D87">
        <f t="shared" si="15"/>
        <v>0.76399651070468222</v>
      </c>
      <c r="F87">
        <f>INT($C87/定义数据!$K$2*定义数据!$F$3)</f>
        <v>82</v>
      </c>
      <c r="G87">
        <f>INT($C87/定义数据!$K$3*定义数据!$F$3)</f>
        <v>45</v>
      </c>
      <c r="H87">
        <f>INT($C87/定义数据!$K$4*定义数据!$F$3)</f>
        <v>25</v>
      </c>
      <c r="I87">
        <f>INT($C87/定义数据!$K$5*定义数据!$F$3)</f>
        <v>14</v>
      </c>
      <c r="J87">
        <f>INT($C87/定义数据!$K$6*定义数据!$F$3)</f>
        <v>7</v>
      </c>
      <c r="K87">
        <f t="shared" si="8"/>
        <v>5</v>
      </c>
      <c r="L87" t="str">
        <f>IF(OR(F87&lt;2,F87&gt;10),"",VLOOKUP(数值对比!F87,命格辅助表!$W$77:$AB$87,数值对比!L$2+1,0)*定义数据!$F$2)</f>
        <v/>
      </c>
      <c r="M87" t="str">
        <f>IF(OR(G87&lt;2,G87&gt;10),"",VLOOKUP(数值对比!G87,命格辅助表!$W$77:$AB$87,数值对比!M$2+1,0)*定义数据!$F$2)</f>
        <v/>
      </c>
      <c r="N87" t="str">
        <f>IF(OR(H87&lt;2,H87&gt;10),"",VLOOKUP(数值对比!H87,命格辅助表!$W$77:$AB$87,数值对比!N$2+1,0)*定义数据!$F$2)</f>
        <v/>
      </c>
      <c r="O87" t="str">
        <f>IF(OR(I87&lt;2,I87&gt;10),"",VLOOKUP(数值对比!I87,命格辅助表!$W$77:$AB$87,数值对比!O$2+1,0)*定义数据!$F$2)</f>
        <v/>
      </c>
      <c r="P87">
        <f>IF(OR(J87&lt;2,J87&gt;10),"",VLOOKUP(数值对比!J87,命格辅助表!$W$77:$AB$87,数值对比!P$2+1,0)*定义数据!$F$2)</f>
        <v>322560</v>
      </c>
      <c r="Q87">
        <f t="shared" si="1"/>
        <v>322560</v>
      </c>
      <c r="R87">
        <f t="shared" si="12"/>
        <v>336640</v>
      </c>
      <c r="S87">
        <f>R87/$R$83*定义数据!$F$3</f>
        <v>3.7494908350305494</v>
      </c>
      <c r="T87">
        <f t="shared" si="4"/>
        <v>0</v>
      </c>
      <c r="U87">
        <f t="shared" si="10"/>
        <v>0.36478853038053183</v>
      </c>
      <c r="V87">
        <f t="shared" si="3"/>
        <v>10.278532691582273</v>
      </c>
      <c r="W87">
        <f t="shared" si="5"/>
        <v>0.94115175139532603</v>
      </c>
      <c r="Y87">
        <f>'[2]1、经济推算'!$G86/3/60/60</f>
        <v>289.22839180902503</v>
      </c>
      <c r="Z87">
        <f t="shared" si="17"/>
        <v>1163.9244608540382</v>
      </c>
      <c r="AB87">
        <f>[2]命币的投放!$K95</f>
        <v>70</v>
      </c>
      <c r="AC87">
        <f>'[2]1、经济推算'!$I86+AC86</f>
        <v>573.8768099135001</v>
      </c>
      <c r="AD87">
        <f>$AB87*$AC87*VLOOKUP(AD$37,猎命辅助表!$B$19:$D$25,3,0)</f>
        <v>23205.147313326659</v>
      </c>
      <c r="AE87">
        <f>$AB87*$AC87*VLOOKUP(AE$37,猎命辅助表!$B$19:$D$25,3,0)</f>
        <v>3753.7438615217097</v>
      </c>
      <c r="AF87">
        <f>$AB87*$AC87*VLOOKUP(AF$37,猎命辅助表!$B$19:$D$25,3,0)</f>
        <v>503.45408305588398</v>
      </c>
      <c r="AG87">
        <f>$AB87*$AC87*VLOOKUP(AG$37,猎命辅助表!$B$19:$D$25,3,0)</f>
        <v>66.026764990935618</v>
      </c>
      <c r="AH87">
        <f>$AB87*$AC87*VLOOKUP(AH$37,猎命辅助表!$B$19:$D$25,3,0)</f>
        <v>8.2533456238669523</v>
      </c>
      <c r="AI87">
        <f>SUMPRODUCT(AD87:AH87,命格辅助表!$Q$76:$U$76)</f>
        <v>667734.3803700594</v>
      </c>
      <c r="AJ87">
        <f t="shared" si="16"/>
        <v>0.50415256409806786</v>
      </c>
    </row>
    <row r="88" spans="1:36">
      <c r="A88">
        <v>85</v>
      </c>
      <c r="B88">
        <f>'[2]1、经济推算'!$G87/'[2]1、经济推算'!$G$82</f>
        <v>1.6163591446463543</v>
      </c>
      <c r="C88">
        <f>[1]人物总属性查询表!$C88/[1]人物总属性查询表!$C$83</f>
        <v>1.152672671031882</v>
      </c>
      <c r="D88">
        <f t="shared" si="15"/>
        <v>0.71312905603295051</v>
      </c>
      <c r="F88">
        <f>INT($C88/定义数据!$K$2*定义数据!$F$3)</f>
        <v>84</v>
      </c>
      <c r="G88">
        <f>INT($C88/定义数据!$K$3*定义数据!$F$3)</f>
        <v>47</v>
      </c>
      <c r="H88">
        <f>INT($C88/定义数据!$K$4*定义数据!$F$3)</f>
        <v>26</v>
      </c>
      <c r="I88">
        <f>INT($C88/定义数据!$K$5*定义数据!$F$3)</f>
        <v>14</v>
      </c>
      <c r="J88">
        <f>INT($C88/定义数据!$K$6*定义数据!$F$3)</f>
        <v>8</v>
      </c>
      <c r="K88">
        <f t="shared" si="8"/>
        <v>5</v>
      </c>
      <c r="L88" t="str">
        <f>IF(OR(F88&lt;2,F88&gt;10),"",VLOOKUP(数值对比!F88,命格辅助表!$W$77:$AB$87,数值对比!L$2+1,0)*定义数据!$F$2)</f>
        <v/>
      </c>
      <c r="M88" t="str">
        <f>IF(OR(G88&lt;2,G88&gt;10),"",VLOOKUP(数值对比!G88,命格辅助表!$W$77:$AB$87,数值对比!M$2+1,0)*定义数据!$F$2)</f>
        <v/>
      </c>
      <c r="N88" t="str">
        <f>IF(OR(H88&lt;2,H88&gt;10),"",VLOOKUP(数值对比!H88,命格辅助表!$W$77:$AB$87,数值对比!N$2+1,0)*定义数据!$F$2)</f>
        <v/>
      </c>
      <c r="O88" t="str">
        <f>IF(OR(I88&lt;2,I88&gt;10),"",VLOOKUP(数值对比!I88,命格辅助表!$W$77:$AB$87,数值对比!O$2+1,0)*定义数据!$F$2)</f>
        <v/>
      </c>
      <c r="P88">
        <f>IF(OR(J88&lt;2,J88&gt;10),"",VLOOKUP(数值对比!J88,命格辅助表!$W$77:$AB$87,数值对比!P$2+1,0)*定义数据!$F$2)</f>
        <v>650240</v>
      </c>
      <c r="Q88">
        <f t="shared" si="1"/>
        <v>650240</v>
      </c>
      <c r="R88">
        <f t="shared" si="12"/>
        <v>664320</v>
      </c>
      <c r="S88">
        <f>R88/$R$83*定义数据!$F$3</f>
        <v>7.3991853360488804</v>
      </c>
      <c r="T88">
        <f t="shared" si="4"/>
        <v>3.649694501018331</v>
      </c>
      <c r="U88">
        <f t="shared" si="10"/>
        <v>0.65395520548725572</v>
      </c>
      <c r="V88">
        <f t="shared" si="3"/>
        <v>11.31451401252448</v>
      </c>
      <c r="W88">
        <f t="shared" si="5"/>
        <v>1.0359813209422075</v>
      </c>
      <c r="Y88">
        <f>'[2]1、经济推算'!$G87/3/60/60</f>
        <v>318.37994684038608</v>
      </c>
      <c r="Z88">
        <f t="shared" si="17"/>
        <v>2086.5635747249012</v>
      </c>
      <c r="AB88">
        <f>[2]命币的投放!$K96</f>
        <v>70.5</v>
      </c>
      <c r="AC88">
        <f>'[2]1、经济推算'!$I87+AC87</f>
        <v>632.17991997622232</v>
      </c>
      <c r="AD88">
        <f>$AB88*$AC88*VLOOKUP(AD$37,猎命辅助表!$B$19:$D$25,3,0)</f>
        <v>25745.268676638258</v>
      </c>
      <c r="AE88">
        <f>$AB88*$AC88*VLOOKUP(AE$37,猎命辅助表!$B$19:$D$25,3,0)</f>
        <v>4164.6425662920592</v>
      </c>
      <c r="AF88">
        <f>$AB88*$AC88*VLOOKUP(AF$37,猎命辅助表!$B$19:$D$25,3,0)</f>
        <v>558.56403148884533</v>
      </c>
      <c r="AG88">
        <f>$AB88*$AC88*VLOOKUP(AG$37,猎命辅助表!$B$19:$D$25,3,0)</f>
        <v>73.254299211651855</v>
      </c>
      <c r="AH88">
        <f>$AB88*$AC88*VLOOKUP(AH$37,猎命辅助表!$B$19:$D$25,3,0)</f>
        <v>9.1567874014564818</v>
      </c>
      <c r="AI88">
        <f>SUMPRODUCT(AD88:AH88,命格辅助表!$Q$76:$U$76)</f>
        <v>740827.05854588549</v>
      </c>
      <c r="AJ88">
        <f t="shared" si="16"/>
        <v>0.89672750520741573</v>
      </c>
    </row>
    <row r="89" spans="1:36">
      <c r="A89">
        <v>86</v>
      </c>
      <c r="B89">
        <f>'[2]1、经济推算'!$G88/'[2]1、经济推算'!$G$82</f>
        <v>1.779268548811439</v>
      </c>
      <c r="C89">
        <f>[1]人物总属性查询表!$C89/[1]人物总属性查询表!$C$83</f>
        <v>1.1836632459448169</v>
      </c>
      <c r="D89">
        <f t="shared" si="15"/>
        <v>0.66525272238162714</v>
      </c>
      <c r="F89">
        <f>INT($C89/定义数据!$K$2*定义数据!$F$3)</f>
        <v>86</v>
      </c>
      <c r="G89">
        <f>INT($C89/定义数据!$K$3*定义数据!$F$3)</f>
        <v>48</v>
      </c>
      <c r="H89">
        <f>INT($C89/定义数据!$K$4*定义数据!$F$3)</f>
        <v>26</v>
      </c>
      <c r="I89">
        <f>INT($C89/定义数据!$K$5*定义数据!$F$3)</f>
        <v>14</v>
      </c>
      <c r="J89">
        <f>INT($C89/定义数据!$K$6*定义数据!$F$3)</f>
        <v>8</v>
      </c>
      <c r="K89">
        <f t="shared" si="8"/>
        <v>5</v>
      </c>
      <c r="L89" t="str">
        <f>IF(OR(F89&lt;2,F89&gt;10),"",VLOOKUP(数值对比!F89,命格辅助表!$W$77:$AB$87,数值对比!L$2+1,0)*定义数据!$F$2)</f>
        <v/>
      </c>
      <c r="M89" t="str">
        <f>IF(OR(G89&lt;2,G89&gt;10),"",VLOOKUP(数值对比!G89,命格辅助表!$W$77:$AB$87,数值对比!M$2+1,0)*定义数据!$F$2)</f>
        <v/>
      </c>
      <c r="N89" t="str">
        <f>IF(OR(H89&lt;2,H89&gt;10),"",VLOOKUP(数值对比!H89,命格辅助表!$W$77:$AB$87,数值对比!N$2+1,0)*定义数据!$F$2)</f>
        <v/>
      </c>
      <c r="O89" t="str">
        <f>IF(OR(I89&lt;2,I89&gt;10),"",VLOOKUP(数值对比!I89,命格辅助表!$W$77:$AB$87,数值对比!O$2+1,0)*定义数据!$F$2)</f>
        <v/>
      </c>
      <c r="P89">
        <f>IF(OR(J89&lt;2,J89&gt;10),"",VLOOKUP(数值对比!J89,命格辅助表!$W$77:$AB$87,数值对比!P$2+1,0)*定义数据!$F$2)</f>
        <v>650240</v>
      </c>
      <c r="Q89">
        <f t="shared" si="1"/>
        <v>650240</v>
      </c>
      <c r="R89">
        <f t="shared" si="12"/>
        <v>664320</v>
      </c>
      <c r="S89">
        <f>R89/$R$83*定义数据!$F$3</f>
        <v>7.3991853360488804</v>
      </c>
      <c r="T89">
        <f t="shared" si="4"/>
        <v>0</v>
      </c>
      <c r="U89">
        <f t="shared" si="10"/>
        <v>0.59407922277079017</v>
      </c>
      <c r="V89">
        <f t="shared" si="3"/>
        <v>12.454879841680073</v>
      </c>
      <c r="W89">
        <f t="shared" si="5"/>
        <v>1.1403658291555931</v>
      </c>
      <c r="Y89">
        <f>'[2]1、经济推算'!$G88/3/60/60</f>
        <v>350.46878527067605</v>
      </c>
      <c r="Z89">
        <f t="shared" si="17"/>
        <v>1895.5183112439775</v>
      </c>
      <c r="AB89">
        <f>[2]命币的投放!$K97</f>
        <v>71</v>
      </c>
      <c r="AC89">
        <f>'[2]1、经济推算'!$I88+AC88</f>
        <v>696.35759683680237</v>
      </c>
      <c r="AD89">
        <f>$AB89*$AC89*VLOOKUP(AD$37,猎命辅助表!$B$19:$D$25,3,0)</f>
        <v>28560.005114411029</v>
      </c>
      <c r="AE89">
        <f>$AB89*$AC89*VLOOKUP(AE$37,猎命辅助表!$B$19:$D$25,3,0)</f>
        <v>4619.9639431584365</v>
      </c>
      <c r="AF89">
        <f>$AB89*$AC89*VLOOKUP(AF$37,猎命辅助表!$B$19:$D$25,3,0)</f>
        <v>619.63197185520721</v>
      </c>
      <c r="AG89">
        <f>$AB89*$AC89*VLOOKUP(AG$37,猎命辅助表!$B$19:$D$25,3,0)</f>
        <v>81.263209423633739</v>
      </c>
      <c r="AH89">
        <f>$AB89*$AC89*VLOOKUP(AH$37,猎命辅助表!$B$19:$D$25,3,0)</f>
        <v>10.157901177954217</v>
      </c>
      <c r="AI89">
        <f>SUMPRODUCT(AD89:AH89,命格辅助表!$Q$76:$U$76)</f>
        <v>821821.85964770126</v>
      </c>
      <c r="AJ89">
        <f t="shared" si="16"/>
        <v>0.80835036474301236</v>
      </c>
    </row>
    <row r="90" spans="1:36">
      <c r="A90">
        <v>87</v>
      </c>
      <c r="B90">
        <f>'[2]1、经济推算'!$G89/'[2]1、经济推算'!$G$82</f>
        <v>1.9585925520560146</v>
      </c>
      <c r="C90">
        <f>[1]人物总属性查询表!$C90/[1]人物总属性查询表!$C$83</f>
        <v>1.2147870418392828</v>
      </c>
      <c r="D90">
        <f t="shared" si="15"/>
        <v>0.6202346887126019</v>
      </c>
      <c r="F90">
        <f>INT($C90/定义数据!$K$2*定义数据!$F$3)</f>
        <v>89</v>
      </c>
      <c r="G90">
        <f>INT($C90/定义数据!$K$3*定义数据!$F$3)</f>
        <v>49</v>
      </c>
      <c r="H90">
        <f>INT($C90/定义数据!$K$4*定义数据!$F$3)</f>
        <v>27</v>
      </c>
      <c r="I90">
        <f>INT($C90/定义数据!$K$5*定义数据!$F$3)</f>
        <v>15</v>
      </c>
      <c r="J90">
        <f>INT($C90/定义数据!$K$6*定义数据!$F$3)</f>
        <v>8</v>
      </c>
      <c r="K90">
        <f t="shared" si="8"/>
        <v>5</v>
      </c>
      <c r="L90" t="str">
        <f>IF(OR(F90&lt;2,F90&gt;10),"",VLOOKUP(数值对比!F90,命格辅助表!$W$77:$AB$87,数值对比!L$2+1,0)*定义数据!$F$2)</f>
        <v/>
      </c>
      <c r="M90" t="str">
        <f>IF(OR(G90&lt;2,G90&gt;10),"",VLOOKUP(数值对比!G90,命格辅助表!$W$77:$AB$87,数值对比!M$2+1,0)*定义数据!$F$2)</f>
        <v/>
      </c>
      <c r="N90" t="str">
        <f>IF(OR(H90&lt;2,H90&gt;10),"",VLOOKUP(数值对比!H90,命格辅助表!$W$77:$AB$87,数值对比!N$2+1,0)*定义数据!$F$2)</f>
        <v/>
      </c>
      <c r="O90" t="str">
        <f>IF(OR(I90&lt;2,I90&gt;10),"",VLOOKUP(数值对比!I90,命格辅助表!$W$77:$AB$87,数值对比!O$2+1,0)*定义数据!$F$2)</f>
        <v/>
      </c>
      <c r="P90">
        <f>IF(OR(J90&lt;2,J90&gt;10),"",VLOOKUP(数值对比!J90,命格辅助表!$W$77:$AB$87,数值对比!P$2+1,0)*定义数据!$F$2)</f>
        <v>650240</v>
      </c>
      <c r="Q90">
        <f t="shared" si="1"/>
        <v>650240</v>
      </c>
      <c r="R90">
        <f t="shared" si="12"/>
        <v>664320</v>
      </c>
      <c r="S90">
        <f>R90/$R$83*定义数据!$F$3</f>
        <v>7.3991853360488804</v>
      </c>
      <c r="T90">
        <f t="shared" si="4"/>
        <v>0</v>
      </c>
      <c r="U90">
        <f t="shared" si="10"/>
        <v>0.53968676408414173</v>
      </c>
      <c r="V90">
        <f t="shared" si="3"/>
        <v>13.710147864392102</v>
      </c>
      <c r="W90">
        <f t="shared" si="5"/>
        <v>1.2552680227120288</v>
      </c>
      <c r="Y90">
        <f>'[2]1、经济推算'!$G89/3/60/60</f>
        <v>385.79086502585619</v>
      </c>
      <c r="Z90">
        <f t="shared" si="17"/>
        <v>1721.9692331374317</v>
      </c>
      <c r="AB90">
        <f>[2]命币的投放!$K98</f>
        <v>71.5</v>
      </c>
      <c r="AC90">
        <f>'[2]1、经济推算'!$I89+AC89</f>
        <v>767.00175634716254</v>
      </c>
      <c r="AD90">
        <f>$AB90*$AC90*VLOOKUP(AD$37,猎命辅助表!$B$19:$D$25,3,0)</f>
        <v>31678.894278556625</v>
      </c>
      <c r="AE90">
        <f>$AB90*$AC90*VLOOKUP(AE$37,猎命辅助表!$B$19:$D$25,3,0)</f>
        <v>5124.4861035480199</v>
      </c>
      <c r="AF90">
        <f>$AB90*$AC90*VLOOKUP(AF$37,猎命辅助表!$B$19:$D$25,3,0)</f>
        <v>687.29874694980367</v>
      </c>
      <c r="AG90">
        <f>$AB90*$AC90*VLOOKUP(AG$37,猎命辅助表!$B$19:$D$25,3,0)</f>
        <v>90.137540583580815</v>
      </c>
      <c r="AH90">
        <f>$AB90*$AC90*VLOOKUP(AH$37,猎命辅助表!$B$19:$D$25,3,0)</f>
        <v>11.267192572947602</v>
      </c>
      <c r="AI90">
        <f>SUMPRODUCT(AD90:AH90,命格辅助表!$Q$76:$U$76)</f>
        <v>911568.73758575378</v>
      </c>
      <c r="AJ90">
        <f t="shared" si="16"/>
        <v>0.72876566802786558</v>
      </c>
    </row>
    <row r="91" spans="1:36">
      <c r="A91">
        <v>88</v>
      </c>
      <c r="B91">
        <f>'[2]1、经济推算'!$G90/'[2]1、经济推算'!$G$82</f>
        <v>2.1559850740191666</v>
      </c>
      <c r="C91">
        <f>[1]人物总属性查询表!$C91/[1]人物总属性查询表!$C$83</f>
        <v>1.246036150962889</v>
      </c>
      <c r="D91">
        <f t="shared" si="15"/>
        <v>0.57794284662650308</v>
      </c>
      <c r="F91">
        <f>INT($C91/定义数据!$K$2*定义数据!$F$3)</f>
        <v>91</v>
      </c>
      <c r="G91">
        <f>INT($C91/定义数据!$K$3*定义数据!$F$3)</f>
        <v>50</v>
      </c>
      <c r="H91">
        <f>INT($C91/定义数据!$K$4*定义数据!$F$3)</f>
        <v>28</v>
      </c>
      <c r="I91">
        <f>INT($C91/定义数据!$K$5*定义数据!$F$3)</f>
        <v>15</v>
      </c>
      <c r="J91">
        <f>INT($C91/定义数据!$K$6*定义数据!$F$3)</f>
        <v>8</v>
      </c>
      <c r="K91">
        <f t="shared" si="8"/>
        <v>5</v>
      </c>
      <c r="L91" t="str">
        <f>IF(OR(F91&lt;2,F91&gt;10),"",VLOOKUP(数值对比!F91,命格辅助表!$W$77:$AB$87,数值对比!L$2+1,0)*定义数据!$F$2)</f>
        <v/>
      </c>
      <c r="M91" t="str">
        <f>IF(OR(G91&lt;2,G91&gt;10),"",VLOOKUP(数值对比!G91,命格辅助表!$W$77:$AB$87,数值对比!M$2+1,0)*定义数据!$F$2)</f>
        <v/>
      </c>
      <c r="N91" t="str">
        <f>IF(OR(H91&lt;2,H91&gt;10),"",VLOOKUP(数值对比!H91,命格辅助表!$W$77:$AB$87,数值对比!N$2+1,0)*定义数据!$F$2)</f>
        <v/>
      </c>
      <c r="O91" t="str">
        <f>IF(OR(I91&lt;2,I91&gt;10),"",VLOOKUP(数值对比!I91,命格辅助表!$W$77:$AB$87,数值对比!O$2+1,0)*定义数据!$F$2)</f>
        <v/>
      </c>
      <c r="P91">
        <f>IF(OR(J91&lt;2,J91&gt;10),"",VLOOKUP(数值对比!J91,命格辅助表!$W$77:$AB$87,数值对比!P$2+1,0)*定义数据!$F$2)</f>
        <v>650240</v>
      </c>
      <c r="Q91">
        <f t="shared" si="1"/>
        <v>650240</v>
      </c>
      <c r="R91">
        <f t="shared" si="12"/>
        <v>664320</v>
      </c>
      <c r="S91">
        <f>R91/$R$83*定义数据!$F$3</f>
        <v>7.3991853360488804</v>
      </c>
      <c r="T91">
        <f t="shared" si="4"/>
        <v>0</v>
      </c>
      <c r="U91">
        <f t="shared" si="10"/>
        <v>0.49027541485151049</v>
      </c>
      <c r="V91">
        <f t="shared" si="3"/>
        <v>15.091895518134166</v>
      </c>
      <c r="W91">
        <f t="shared" si="5"/>
        <v>1.3817476537420639</v>
      </c>
      <c r="Y91">
        <f>'[2]1、经济推算'!$G90/3/60/60</f>
        <v>424.67196447548889</v>
      </c>
      <c r="Z91">
        <f t="shared" si="17"/>
        <v>1564.3132948992752</v>
      </c>
      <c r="AB91">
        <f>[2]命币的投放!$K99</f>
        <v>72</v>
      </c>
      <c r="AC91">
        <f>'[2]1、经济推算'!$I90+AC90</f>
        <v>844.76395524642794</v>
      </c>
      <c r="AD91">
        <f>$AB91*$AC91*VLOOKUP(AD$37,猎命辅助表!$B$19:$D$25,3,0)</f>
        <v>35134.638194250212</v>
      </c>
      <c r="AE91">
        <f>$AB91*$AC91*VLOOKUP(AE$37,猎命辅助表!$B$19:$D$25,3,0)</f>
        <v>5683.4990387115922</v>
      </c>
      <c r="AF91">
        <f>$AB91*$AC91*VLOOKUP(AF$37,猎命辅助表!$B$19:$D$25,3,0)</f>
        <v>762.27385315618812</v>
      </c>
      <c r="AG91">
        <f>$AB91*$AC91*VLOOKUP(AG$37,猎命辅助表!$B$19:$D$25,3,0)</f>
        <v>99.970341397532891</v>
      </c>
      <c r="AH91">
        <f>$AB91*$AC91*VLOOKUP(AH$37,猎命辅助表!$B$19:$D$25,3,0)</f>
        <v>12.496292674691611</v>
      </c>
      <c r="AI91">
        <f>SUMPRODUCT(AD91:AH91,命格辅助表!$Q$76:$U$76)</f>
        <v>1011008.7019654696</v>
      </c>
      <c r="AJ91">
        <f t="shared" si="16"/>
        <v>0.65708633240101377</v>
      </c>
    </row>
    <row r="92" spans="1:36">
      <c r="A92">
        <v>89</v>
      </c>
      <c r="B92">
        <f>'[2]1、经济推算'!$G91/'[2]1、经济推算'!$G$82</f>
        <v>2.3732666817347372</v>
      </c>
      <c r="C92">
        <f>[1]人物总属性查询表!$C92/[1]人物总属性查询表!$C$83</f>
        <v>1.2774027469677702</v>
      </c>
      <c r="D92">
        <f t="shared" si="15"/>
        <v>0.53824661037842314</v>
      </c>
      <c r="F92">
        <f>INT($C92/定义数据!$K$2*定义数据!$F$3)</f>
        <v>93</v>
      </c>
      <c r="G92">
        <f>INT($C92/定义数据!$K$3*定义数据!$F$3)</f>
        <v>52</v>
      </c>
      <c r="H92">
        <f>INT($C92/定义数据!$K$4*定义数据!$F$3)</f>
        <v>28</v>
      </c>
      <c r="I92">
        <f>INT($C92/定义数据!$K$5*定义数据!$F$3)</f>
        <v>16</v>
      </c>
      <c r="J92">
        <f>INT($C92/定义数据!$K$6*定义数据!$F$3)</f>
        <v>8</v>
      </c>
      <c r="K92">
        <f t="shared" si="8"/>
        <v>5</v>
      </c>
      <c r="L92" t="str">
        <f>IF(OR(F92&lt;2,F92&gt;10),"",VLOOKUP(数值对比!F92,命格辅助表!$W$77:$AB$87,数值对比!L$2+1,0)*定义数据!$F$2)</f>
        <v/>
      </c>
      <c r="M92" t="str">
        <f>IF(OR(G92&lt;2,G92&gt;10),"",VLOOKUP(数值对比!G92,命格辅助表!$W$77:$AB$87,数值对比!M$2+1,0)*定义数据!$F$2)</f>
        <v/>
      </c>
      <c r="N92" t="str">
        <f>IF(OR(H92&lt;2,H92&gt;10),"",VLOOKUP(数值对比!H92,命格辅助表!$W$77:$AB$87,数值对比!N$2+1,0)*定义数据!$F$2)</f>
        <v/>
      </c>
      <c r="O92" t="str">
        <f>IF(OR(I92&lt;2,I92&gt;10),"",VLOOKUP(数值对比!I92,命格辅助表!$W$77:$AB$87,数值对比!O$2+1,0)*定义数据!$F$2)</f>
        <v/>
      </c>
      <c r="P92">
        <f>IF(OR(J92&lt;2,J92&gt;10),"",VLOOKUP(数值对比!J92,命格辅助表!$W$77:$AB$87,数值对比!P$2+1,0)*定义数据!$F$2)</f>
        <v>650240</v>
      </c>
      <c r="Q92">
        <f t="shared" si="1"/>
        <v>650240</v>
      </c>
      <c r="R92">
        <f t="shared" si="12"/>
        <v>664320</v>
      </c>
      <c r="S92">
        <f>R92/$R$83*定义数据!$F$3</f>
        <v>7.3991853360488804</v>
      </c>
      <c r="T92">
        <f t="shared" si="4"/>
        <v>0</v>
      </c>
      <c r="U92">
        <f t="shared" si="10"/>
        <v>0.44538883249554528</v>
      </c>
      <c r="V92">
        <f t="shared" si="3"/>
        <v>16.61286677214316</v>
      </c>
      <c r="W92">
        <f t="shared" si="5"/>
        <v>1.5209712540089946</v>
      </c>
      <c r="Y92">
        <f>'[2]1、经济推算'!$G91/3/60/60</f>
        <v>467.4706871127234</v>
      </c>
      <c r="Z92">
        <f t="shared" si="17"/>
        <v>1421.09445215291</v>
      </c>
      <c r="AB92">
        <f>[2]命币的投放!$K100</f>
        <v>72.5</v>
      </c>
      <c r="AC92">
        <f>'[2]1、经济推算'!$I91+AC91</f>
        <v>930.36140052089695</v>
      </c>
      <c r="AD92">
        <f>$AB92*$AC92*VLOOKUP(AD$37,猎命辅助表!$B$19:$D$25,3,0)</f>
        <v>38963.441060775156</v>
      </c>
      <c r="AE92">
        <f>$AB92*$AC92*VLOOKUP(AE$37,猎命辅助表!$B$19:$D$25,3,0)</f>
        <v>6302.859263541568</v>
      </c>
      <c r="AF92">
        <f>$AB92*$AC92*VLOOKUP(AF$37,猎命辅助表!$B$19:$D$25,3,0)</f>
        <v>845.34276930398721</v>
      </c>
      <c r="AG92">
        <f>$AB92*$AC92*VLOOKUP(AG$37,猎命辅助表!$B$19:$D$25,3,0)</f>
        <v>110.86462548249014</v>
      </c>
      <c r="AH92">
        <f>$AB92*$AC92*VLOOKUP(AH$37,猎命辅助表!$B$19:$D$25,3,0)</f>
        <v>13.858078185311268</v>
      </c>
      <c r="AI92">
        <f>SUMPRODUCT(AD92:AH92,命格辅助表!$Q$76:$U$76)</f>
        <v>1121183.5383979827</v>
      </c>
      <c r="AJ92">
        <f t="shared" si="16"/>
        <v>0.59251672652028231</v>
      </c>
    </row>
    <row r="93" spans="1:36">
      <c r="A93">
        <v>90</v>
      </c>
      <c r="B93">
        <f>'[2]1、经济推算'!$G92/'[2]1、经济推算'!$G$82</f>
        <v>2.6124413808668354</v>
      </c>
      <c r="C93">
        <f>[1]人物总属性查询表!$C93/[1]人物总属性查询表!$C$83</f>
        <v>1.308879089520439</v>
      </c>
      <c r="D93">
        <f t="shared" si="15"/>
        <v>0.50101759186119577</v>
      </c>
      <c r="F93">
        <f>INT($C93/定义数据!$K$2*定义数据!$F$3)</f>
        <v>96</v>
      </c>
      <c r="G93">
        <f>INT($C93/定义数据!$K$3*定义数据!$F$3)</f>
        <v>53</v>
      </c>
      <c r="H93">
        <f>INT($C93/定义数据!$K$4*定义数据!$F$3)</f>
        <v>29</v>
      </c>
      <c r="I93">
        <f>INT($C93/定义数据!$K$5*定义数据!$F$3)</f>
        <v>16</v>
      </c>
      <c r="J93">
        <f>INT($C93/定义数据!$K$6*定义数据!$F$3)</f>
        <v>9</v>
      </c>
      <c r="K93">
        <f t="shared" si="8"/>
        <v>5</v>
      </c>
      <c r="L93" t="str">
        <f>IF(OR(F93&lt;2,F93&gt;10),"",VLOOKUP(数值对比!F93,命格辅助表!$W$77:$AB$87,数值对比!L$2+1,0)*定义数据!$F$2)</f>
        <v/>
      </c>
      <c r="M93" t="str">
        <f>IF(OR(G93&lt;2,G93&gt;10),"",VLOOKUP(数值对比!G93,命格辅助表!$W$77:$AB$87,数值对比!M$2+1,0)*定义数据!$F$2)</f>
        <v/>
      </c>
      <c r="N93" t="str">
        <f>IF(OR(H93&lt;2,H93&gt;10),"",VLOOKUP(数值对比!H93,命格辅助表!$W$77:$AB$87,数值对比!N$2+1,0)*定义数据!$F$2)</f>
        <v/>
      </c>
      <c r="O93" t="str">
        <f>IF(OR(I93&lt;2,I93&gt;10),"",VLOOKUP(数值对比!I93,命格辅助表!$W$77:$AB$87,数值对比!O$2+1,0)*定义数据!$F$2)</f>
        <v/>
      </c>
      <c r="P93">
        <f>IF(OR(J93&lt;2,J93&gt;10),"",VLOOKUP(数值对比!J93,命格辅助表!$W$77:$AB$87,数值对比!P$2+1,0)*定义数据!$F$2)</f>
        <v>1305600</v>
      </c>
      <c r="Q93">
        <f t="shared" si="1"/>
        <v>1305600</v>
      </c>
      <c r="R93">
        <f t="shared" si="12"/>
        <v>1319680</v>
      </c>
      <c r="S93">
        <f>R93/$R$83*定义数据!$F$3</f>
        <v>14.698574338085541</v>
      </c>
      <c r="T93">
        <f t="shared" si="4"/>
        <v>7.2993890020366603</v>
      </c>
      <c r="U93">
        <f t="shared" si="10"/>
        <v>0.803767827822221</v>
      </c>
      <c r="V93">
        <f t="shared" si="3"/>
        <v>18.28708966606785</v>
      </c>
      <c r="W93">
        <f t="shared" si="5"/>
        <v>1.6742228939246893</v>
      </c>
      <c r="Y93">
        <f>'[2]1、经济推算'!$G92/3/60/60</f>
        <v>514.58176898302349</v>
      </c>
      <c r="Z93">
        <f t="shared" si="17"/>
        <v>2564.5681202583323</v>
      </c>
      <c r="AB93">
        <f>[2]命币的投放!$K101</f>
        <v>73</v>
      </c>
      <c r="AC93">
        <f>'[2]1、经济推算'!$I92+AC92</f>
        <v>1024.5835642614973</v>
      </c>
      <c r="AD93">
        <f>$AB93*$AC93*VLOOKUP(AD$37,猎命辅助表!$B$19:$D$25,3,0)</f>
        <v>43205.382999413254</v>
      </c>
      <c r="AE93">
        <f>$AB93*$AC93*VLOOKUP(AE$37,猎命辅助表!$B$19:$D$25,3,0)</f>
        <v>6989.0502753068595</v>
      </c>
      <c r="AF93">
        <f>$AB93*$AC93*VLOOKUP(AF$37,猎命辅助表!$B$19:$D$25,3,0)</f>
        <v>937.37506542592814</v>
      </c>
      <c r="AG93">
        <f>$AB93*$AC93*VLOOKUP(AG$37,猎命辅助表!$B$19:$D$25,3,0)</f>
        <v>122.93443480995781</v>
      </c>
      <c r="AH93">
        <f>$AB93*$AC93*VLOOKUP(AH$37,猎命辅助表!$B$19:$D$25,3,0)</f>
        <v>15.366804351244726</v>
      </c>
      <c r="AI93">
        <f>SUMPRODUCT(AD93:AH93,命格辅助表!$Q$76:$U$76)</f>
        <v>1243246.5631966053</v>
      </c>
      <c r="AJ93">
        <f t="shared" si="16"/>
        <v>1.0614789045600663</v>
      </c>
    </row>
    <row r="94" spans="1:36">
      <c r="A94">
        <v>91</v>
      </c>
      <c r="B94">
        <f>'[2]1、经济推算'!$G93/'[2]1、经济推算'!$G$82</f>
        <v>2.875715098814525</v>
      </c>
      <c r="C94">
        <f>[1]人物总属性查询表!$C94/[1]人物总属性查询表!$C$83</f>
        <v>1.3404575289116318</v>
      </c>
      <c r="D94">
        <f t="shared" si="15"/>
        <v>0.4661301564484665</v>
      </c>
      <c r="F94">
        <f>INT($C94/定义数据!$K$2*定义数据!$F$3)</f>
        <v>98</v>
      </c>
      <c r="G94">
        <f>INT($C94/定义数据!$K$3*定义数据!$F$3)</f>
        <v>54</v>
      </c>
      <c r="H94">
        <f>INT($C94/定义数据!$K$4*定义数据!$F$3)</f>
        <v>30</v>
      </c>
      <c r="I94">
        <f>INT($C94/定义数据!$K$5*定义数据!$F$3)</f>
        <v>16</v>
      </c>
      <c r="J94">
        <f>INT($C94/定义数据!$K$6*定义数据!$F$3)</f>
        <v>9</v>
      </c>
      <c r="K94">
        <f t="shared" si="8"/>
        <v>5</v>
      </c>
      <c r="L94" t="str">
        <f>IF(OR(F94&lt;2,F94&gt;10),"",VLOOKUP(数值对比!F94,命格辅助表!$W$77:$AB$87,数值对比!L$2+1,0)*定义数据!$F$2)</f>
        <v/>
      </c>
      <c r="M94" t="str">
        <f>IF(OR(G94&lt;2,G94&gt;10),"",VLOOKUP(数值对比!G94,命格辅助表!$W$77:$AB$87,数值对比!M$2+1,0)*定义数据!$F$2)</f>
        <v/>
      </c>
      <c r="N94" t="str">
        <f>IF(OR(H94&lt;2,H94&gt;10),"",VLOOKUP(数值对比!H94,命格辅助表!$W$77:$AB$87,数值对比!N$2+1,0)*定义数据!$F$2)</f>
        <v/>
      </c>
      <c r="O94" t="str">
        <f>IF(OR(I94&lt;2,I94&gt;10),"",VLOOKUP(数值对比!I94,命格辅助表!$W$77:$AB$87,数值对比!O$2+1,0)*定义数据!$F$2)</f>
        <v/>
      </c>
      <c r="P94">
        <f>IF(OR(J94&lt;2,J94&gt;10),"",VLOOKUP(数值对比!J94,命格辅助表!$W$77:$AB$87,数值对比!P$2+1,0)*定义数据!$F$2)</f>
        <v>1305600</v>
      </c>
      <c r="Q94">
        <f t="shared" si="1"/>
        <v>1305600</v>
      </c>
      <c r="R94">
        <f t="shared" si="12"/>
        <v>1319680</v>
      </c>
      <c r="S94">
        <f>R94/$R$83*定义数据!$F$3</f>
        <v>14.698574338085541</v>
      </c>
      <c r="T94">
        <f t="shared" si="4"/>
        <v>0</v>
      </c>
      <c r="U94">
        <f t="shared" si="10"/>
        <v>0.73018232399928384</v>
      </c>
      <c r="V94">
        <f t="shared" si="3"/>
        <v>20.130005691701676</v>
      </c>
      <c r="W94">
        <f t="shared" si="5"/>
        <v>1.8429160256338264</v>
      </c>
      <c r="Y94">
        <f>'[2]1、经济推算'!$G93/3/60/60</f>
        <v>566.43971936631885</v>
      </c>
      <c r="Z94">
        <f t="shared" si="17"/>
        <v>2329.7801246641702</v>
      </c>
      <c r="AB94">
        <f>[2]命币的投放!$K102</f>
        <v>73.5</v>
      </c>
      <c r="AC94">
        <f>'[2]1、经济推算'!$I93+AC93</f>
        <v>1128.299465028088</v>
      </c>
      <c r="AD94">
        <f>$AB94*$AC94*VLOOKUP(AD$37,猎命辅助表!$B$19:$D$25,3,0)</f>
        <v>47904.833562876374</v>
      </c>
      <c r="AE94">
        <f>$AB94*$AC94*VLOOKUP(AE$37,猎命辅助表!$B$19:$D$25,3,0)</f>
        <v>7749.2494443504247</v>
      </c>
      <c r="AF94">
        <f>$AB94*$AC94*VLOOKUP(AF$37,猎命辅助表!$B$19:$D$25,3,0)</f>
        <v>1039.3333741730576</v>
      </c>
      <c r="AG94">
        <f>$AB94*$AC94*VLOOKUP(AG$37,猎命辅助表!$B$19:$D$25,3,0)</f>
        <v>136.30601628499119</v>
      </c>
      <c r="AH94">
        <f>$AB94*$AC94*VLOOKUP(AH$37,猎命辅助表!$B$19:$D$25,3,0)</f>
        <v>17.038252035623898</v>
      </c>
      <c r="AI94">
        <f>SUMPRODUCT(AD94:AH94,命格辅助表!$Q$76:$U$76)</f>
        <v>1378474.5222223874</v>
      </c>
      <c r="AJ94">
        <f t="shared" si="16"/>
        <v>0.95734812557318916</v>
      </c>
    </row>
    <row r="95" spans="1:36">
      <c r="A95">
        <v>92</v>
      </c>
      <c r="B95">
        <f>'[2]1、经济推算'!$G94/'[2]1、经济推算'!$G$82</f>
        <v>3.165516030156839</v>
      </c>
      <c r="C95">
        <f>[1]人物总属性查询表!$C95/[1]人物总属性查询表!$C$83</f>
        <v>1.3721305106661599</v>
      </c>
      <c r="D95">
        <f t="shared" si="15"/>
        <v>0.43346187401811265</v>
      </c>
      <c r="F95">
        <f>INT($C95/定义数据!$K$2*定义数据!$F$3)</f>
        <v>100</v>
      </c>
      <c r="G95">
        <f>INT($C95/定义数据!$K$3*定义数据!$F$3)</f>
        <v>56</v>
      </c>
      <c r="H95">
        <f>INT($C95/定义数据!$K$4*定义数据!$F$3)</f>
        <v>31</v>
      </c>
      <c r="I95">
        <f>INT($C95/定义数据!$K$5*定义数据!$F$3)</f>
        <v>17</v>
      </c>
      <c r="J95">
        <f>INT($C95/定义数据!$K$6*定义数据!$F$3)</f>
        <v>9</v>
      </c>
      <c r="K95">
        <f t="shared" si="8"/>
        <v>5</v>
      </c>
      <c r="L95" t="str">
        <f>IF(OR(F95&lt;2,F95&gt;10),"",VLOOKUP(数值对比!F95,命格辅助表!$W$77:$AB$87,数值对比!L$2+1,0)*定义数据!$F$2)</f>
        <v/>
      </c>
      <c r="M95" t="str">
        <f>IF(OR(G95&lt;2,G95&gt;10),"",VLOOKUP(数值对比!G95,命格辅助表!$W$77:$AB$87,数值对比!M$2+1,0)*定义数据!$F$2)</f>
        <v/>
      </c>
      <c r="N95" t="str">
        <f>IF(OR(H95&lt;2,H95&gt;10),"",VLOOKUP(数值对比!H95,命格辅助表!$W$77:$AB$87,数值对比!N$2+1,0)*定义数据!$F$2)</f>
        <v/>
      </c>
      <c r="O95" t="str">
        <f>IF(OR(I95&lt;2,I95&gt;10),"",VLOOKUP(数值对比!I95,命格辅助表!$W$77:$AB$87,数值对比!O$2+1,0)*定义数据!$F$2)</f>
        <v/>
      </c>
      <c r="P95">
        <f>IF(OR(J95&lt;2,J95&gt;10),"",VLOOKUP(数值对比!J95,命格辅助表!$W$77:$AB$87,数值对比!P$2+1,0)*定义数据!$F$2)</f>
        <v>1305600</v>
      </c>
      <c r="Q95">
        <f t="shared" si="1"/>
        <v>1305600</v>
      </c>
      <c r="R95">
        <f t="shared" si="12"/>
        <v>1319680</v>
      </c>
      <c r="S95">
        <f>R95/$R$83*定义数据!$F$3</f>
        <v>14.698574338085541</v>
      </c>
      <c r="T95">
        <f t="shared" si="4"/>
        <v>0</v>
      </c>
      <c r="U95">
        <f t="shared" si="10"/>
        <v>0.66333460769370456</v>
      </c>
      <c r="V95">
        <f t="shared" si="3"/>
        <v>22.158612211097875</v>
      </c>
      <c r="W95">
        <f t="shared" si="5"/>
        <v>2.0286065193961988</v>
      </c>
      <c r="Y95">
        <f>'[2]1、经济推算'!$G94/3/60/60</f>
        <v>623.52282829088119</v>
      </c>
      <c r="Z95">
        <f t="shared" si="17"/>
        <v>2116.4902712821813</v>
      </c>
      <c r="AB95">
        <f>[2]命币的投放!$K103</f>
        <v>74</v>
      </c>
      <c r="AC95">
        <f>'[2]1、经济推算'!$I94+AC94</f>
        <v>1242.4656828772127</v>
      </c>
      <c r="AD95">
        <f>$AB95*$AC95*VLOOKUP(AD$37,猎命辅助表!$B$19:$D$25,3,0)</f>
        <v>53110.909224516865</v>
      </c>
      <c r="AE95">
        <f>$AB95*$AC95*VLOOKUP(AE$37,猎命辅助表!$B$19:$D$25,3,0)</f>
        <v>8591.4020191060044</v>
      </c>
      <c r="AF95">
        <f>$AB95*$AC95*VLOOKUP(AF$37,猎命辅助表!$B$19:$D$25,3,0)</f>
        <v>1152.2833164061553</v>
      </c>
      <c r="AG95">
        <f>$AB95*$AC95*VLOOKUP(AG$37,猎命辅助表!$B$19:$D$25,3,0)</f>
        <v>151.11912346310237</v>
      </c>
      <c r="AH95">
        <f>$AB95*$AC95*VLOOKUP(AH$37,猎命辅助表!$B$19:$D$25,3,0)</f>
        <v>18.889890432887796</v>
      </c>
      <c r="AI95">
        <f>SUMPRODUCT(AD95:AH95,命格辅助表!$Q$76:$U$76)</f>
        <v>1528280.7552596903</v>
      </c>
      <c r="AJ95">
        <f t="shared" si="16"/>
        <v>0.8635062605206697</v>
      </c>
    </row>
    <row r="96" spans="1:36">
      <c r="A96">
        <v>93</v>
      </c>
      <c r="B96">
        <f>'[2]1、经济推算'!$G95/'[2]1、经济推算'!$G$82</f>
        <v>3.4845170320857881</v>
      </c>
      <c r="C96">
        <f>[1]人物总属性查询表!$C96/[1]人物总属性查询表!$C$83</f>
        <v>1.4038905801527526</v>
      </c>
      <c r="D96">
        <f t="shared" si="15"/>
        <v>0.40289387803979287</v>
      </c>
      <c r="F96">
        <f>INT($C96/定义数据!$K$2*定义数据!$F$3)</f>
        <v>103</v>
      </c>
      <c r="G96">
        <f>INT($C96/定义数据!$K$3*定义数据!$F$3)</f>
        <v>57</v>
      </c>
      <c r="H96">
        <f>INT($C96/定义数据!$K$4*定义数据!$F$3)</f>
        <v>31</v>
      </c>
      <c r="I96">
        <f>INT($C96/定义数据!$K$5*定义数据!$F$3)</f>
        <v>17</v>
      </c>
      <c r="J96">
        <f>INT($C96/定义数据!$K$6*定义数据!$F$3)</f>
        <v>9</v>
      </c>
      <c r="K96">
        <f t="shared" si="8"/>
        <v>5</v>
      </c>
      <c r="L96" t="str">
        <f>IF(OR(F96&lt;2,F96&gt;10),"",VLOOKUP(数值对比!F96,命格辅助表!$W$77:$AB$87,数值对比!L$2+1,0)*定义数据!$F$2)</f>
        <v/>
      </c>
      <c r="M96" t="str">
        <f>IF(OR(G96&lt;2,G96&gt;10),"",VLOOKUP(数值对比!G96,命格辅助表!$W$77:$AB$87,数值对比!M$2+1,0)*定义数据!$F$2)</f>
        <v/>
      </c>
      <c r="N96" t="str">
        <f>IF(OR(H96&lt;2,H96&gt;10),"",VLOOKUP(数值对比!H96,命格辅助表!$W$77:$AB$87,数值对比!N$2+1,0)*定义数据!$F$2)</f>
        <v/>
      </c>
      <c r="O96" t="str">
        <f>IF(OR(I96&lt;2,I96&gt;10),"",VLOOKUP(数值对比!I96,命格辅助表!$W$77:$AB$87,数值对比!O$2+1,0)*定义数据!$F$2)</f>
        <v/>
      </c>
      <c r="P96">
        <f>IF(OR(J96&lt;2,J96&gt;10),"",VLOOKUP(数值对比!J96,命格辅助表!$W$77:$AB$87,数值对比!P$2+1,0)*定义数据!$F$2)</f>
        <v>1305600</v>
      </c>
      <c r="Q96">
        <f t="shared" si="1"/>
        <v>1305600</v>
      </c>
      <c r="R96">
        <f t="shared" si="12"/>
        <v>1319680</v>
      </c>
      <c r="S96">
        <f>R96/$R$83*定义数据!$F$3</f>
        <v>14.698574338085541</v>
      </c>
      <c r="T96">
        <f t="shared" si="4"/>
        <v>0</v>
      </c>
      <c r="U96">
        <f t="shared" si="10"/>
        <v>0.60260756790025172</v>
      </c>
      <c r="V96">
        <f t="shared" si="3"/>
        <v>24.391619224600518</v>
      </c>
      <c r="W96">
        <f t="shared" si="5"/>
        <v>2.2330070135026432</v>
      </c>
      <c r="Y96">
        <f>'[2]1、经济推算'!$G95/3/60/60</f>
        <v>686.35757784054886</v>
      </c>
      <c r="Z96">
        <f t="shared" si="17"/>
        <v>1922.7295546907787</v>
      </c>
      <c r="AB96">
        <f>[2]命币的投放!$K104</f>
        <v>74.5</v>
      </c>
      <c r="AC96">
        <f>'[2]1、经济推算'!$I95+AC95</f>
        <v>1368.1351819765478</v>
      </c>
      <c r="AD96">
        <f>$AB96*$AC96*VLOOKUP(AD$37,猎命辅助表!$B$19:$D$25,3,0)</f>
        <v>58877.979511930884</v>
      </c>
      <c r="AE96">
        <f>$AB96*$AC96*VLOOKUP(AE$37,猎命辅助表!$B$19:$D$25,3,0)</f>
        <v>9524.3029999979535</v>
      </c>
      <c r="AF96">
        <f>$AB96*$AC96*VLOOKUP(AF$37,猎命辅助表!$B$19:$D$25,3,0)</f>
        <v>1277.4044821658492</v>
      </c>
      <c r="AG96">
        <f>$AB96*$AC96*VLOOKUP(AG$37,猎命辅助表!$B$19:$D$25,3,0)</f>
        <v>167.52845667748844</v>
      </c>
      <c r="AH96">
        <f>$AB96*$AC96*VLOOKUP(AH$37,猎命辅助表!$B$19:$D$25,3,0)</f>
        <v>20.941057084686054</v>
      </c>
      <c r="AI96">
        <f>SUMPRODUCT(AD96:AH96,命格辅助表!$Q$76:$U$76)</f>
        <v>1694229.7601473017</v>
      </c>
      <c r="AJ96">
        <f t="shared" si="16"/>
        <v>0.77892623010308992</v>
      </c>
    </row>
    <row r="97" spans="1:36">
      <c r="A97">
        <v>94</v>
      </c>
      <c r="B97">
        <f>'[2]1、经济推算'!$G96/'[2]1、经济推算'!$G$82</f>
        <v>3.8356602763822387</v>
      </c>
      <c r="C97">
        <f>[1]人物总属性查询表!$C97/[1]人物总属性查询表!$C$83</f>
        <v>1.4357303871939122</v>
      </c>
      <c r="D97">
        <f t="shared" si="15"/>
        <v>0.37431114429875439</v>
      </c>
      <c r="F97">
        <f>INT($C97/定义数据!$K$2*定义数据!$F$3)</f>
        <v>105</v>
      </c>
      <c r="G97">
        <f>INT($C97/定义数据!$K$3*定义数据!$F$3)</f>
        <v>58</v>
      </c>
      <c r="H97">
        <f>INT($C97/定义数据!$K$4*定义数据!$F$3)</f>
        <v>32</v>
      </c>
      <c r="I97">
        <f>INT($C97/定义数据!$K$5*定义数据!$F$3)</f>
        <v>18</v>
      </c>
      <c r="J97">
        <f>INT($C97/定义数据!$K$6*定义数据!$F$3)</f>
        <v>10</v>
      </c>
      <c r="K97">
        <f t="shared" si="8"/>
        <v>5</v>
      </c>
      <c r="L97" t="str">
        <f>IF(OR(F97&lt;2,F97&gt;10),"",VLOOKUP(数值对比!F97,命格辅助表!$W$77:$AB$87,数值对比!L$2+1,0)*定义数据!$F$2)</f>
        <v/>
      </c>
      <c r="M97" t="str">
        <f>IF(OR(G97&lt;2,G97&gt;10),"",VLOOKUP(数值对比!G97,命格辅助表!$W$77:$AB$87,数值对比!M$2+1,0)*定义数据!$F$2)</f>
        <v/>
      </c>
      <c r="N97" t="str">
        <f>IF(OR(H97&lt;2,H97&gt;10),"",VLOOKUP(数值对比!H97,命格辅助表!$W$77:$AB$87,数值对比!N$2+1,0)*定义数据!$F$2)</f>
        <v/>
      </c>
      <c r="O97" t="str">
        <f>IF(OR(I97&lt;2,I97&gt;10),"",VLOOKUP(数值对比!I97,命格辅助表!$W$77:$AB$87,数值对比!O$2+1,0)*定义数据!$F$2)</f>
        <v/>
      </c>
      <c r="P97">
        <f>IF(OR(J97&lt;2,J97&gt;10),"",VLOOKUP(数值对比!J97,命格辅助表!$W$77:$AB$87,数值对比!P$2+1,0)*定义数据!$F$2)</f>
        <v>2616320</v>
      </c>
      <c r="Q97">
        <f t="shared" si="1"/>
        <v>2616320</v>
      </c>
      <c r="R97">
        <f t="shared" si="12"/>
        <v>2630400</v>
      </c>
      <c r="S97">
        <f>R97/$R$83*定义数据!$F$3</f>
        <v>29.297352342158863</v>
      </c>
      <c r="T97">
        <f t="shared" si="4"/>
        <v>14.598778004073322</v>
      </c>
      <c r="U97">
        <f t="shared" si="10"/>
        <v>1.0911644273218613</v>
      </c>
      <c r="V97">
        <f t="shared" si="3"/>
        <v>26.849621934675671</v>
      </c>
      <c r="W97">
        <f t="shared" si="5"/>
        <v>2.4580027100751529</v>
      </c>
      <c r="Y97">
        <f>'[2]1、经济推算'!$G96/3/60/60</f>
        <v>755.52349794113695</v>
      </c>
      <c r="Z97">
        <f t="shared" si="17"/>
        <v>3481.5594844740822</v>
      </c>
      <c r="AB97">
        <f>[2]命币的投放!$K105</f>
        <v>75</v>
      </c>
      <c r="AC97">
        <f>'[2]1、经济推算'!$I96+AC96</f>
        <v>1506.4670221777242</v>
      </c>
      <c r="AD97">
        <f>$AB97*$AC97*VLOOKUP(AD$37,猎命辅助表!$B$19:$D$25,3,0)</f>
        <v>65266.226943073212</v>
      </c>
      <c r="AE97">
        <f>$AB97*$AC97*VLOOKUP(AE$37,猎命辅助表!$B$19:$D$25,3,0)</f>
        <v>10557.687716619028</v>
      </c>
      <c r="AF97">
        <f>$AB97*$AC97*VLOOKUP(AF$37,猎命辅助表!$B$19:$D$25,3,0)</f>
        <v>1416.0025789309068</v>
      </c>
      <c r="AG97">
        <f>$AB97*$AC97*VLOOKUP(AG$37,猎命辅助表!$B$19:$D$25,3,0)</f>
        <v>185.7052562532337</v>
      </c>
      <c r="AH97">
        <f>$AB97*$AC97*VLOOKUP(AH$37,猎命辅助表!$B$19:$D$25,3,0)</f>
        <v>23.213157031654212</v>
      </c>
      <c r="AI97">
        <f>SUMPRODUCT(AD97:AH97,命格辅助表!$Q$76:$U$76)</f>
        <v>1878053.3050913448</v>
      </c>
      <c r="AJ97">
        <f t="shared" si="16"/>
        <v>1.4005992230726714</v>
      </c>
    </row>
    <row r="98" spans="1:36">
      <c r="A98">
        <v>95</v>
      </c>
      <c r="B98">
        <f>'[2]1、经济推算'!$G97/'[2]1、经济推算'!$G$82</f>
        <v>4.2221843853018095</v>
      </c>
      <c r="C98">
        <f>[1]人物总属性查询表!$C98/[1]人物总属性查询表!$C$83</f>
        <v>1.4676426906757567</v>
      </c>
      <c r="D98">
        <f t="shared" si="15"/>
        <v>0.34760269963218265</v>
      </c>
      <c r="F98">
        <f>INT($C98/定义数据!$K$2*定义数据!$F$3)</f>
        <v>107</v>
      </c>
      <c r="G98">
        <f>INT($C98/定义数据!$K$3*定义数据!$F$3)</f>
        <v>59</v>
      </c>
      <c r="H98">
        <f>INT($C98/定义数据!$K$4*定义数据!$F$3)</f>
        <v>33</v>
      </c>
      <c r="I98">
        <f>INT($C98/定义数据!$K$5*定义数据!$F$3)</f>
        <v>18</v>
      </c>
      <c r="J98">
        <f>INT($C98/定义数据!$K$6*定义数据!$F$3)</f>
        <v>10</v>
      </c>
      <c r="K98">
        <f t="shared" si="8"/>
        <v>5</v>
      </c>
      <c r="L98" t="str">
        <f>IF(OR(F98&lt;2,F98&gt;10),"",VLOOKUP(数值对比!F98,命格辅助表!$W$77:$AB$87,数值对比!L$2+1,0)*定义数据!$F$2)</f>
        <v/>
      </c>
      <c r="M98" t="str">
        <f>IF(OR(G98&lt;2,G98&gt;10),"",VLOOKUP(数值对比!G98,命格辅助表!$W$77:$AB$87,数值对比!M$2+1,0)*定义数据!$F$2)</f>
        <v/>
      </c>
      <c r="N98" t="str">
        <f>IF(OR(H98&lt;2,H98&gt;10),"",VLOOKUP(数值对比!H98,命格辅助表!$W$77:$AB$87,数值对比!N$2+1,0)*定义数据!$F$2)</f>
        <v/>
      </c>
      <c r="O98" t="str">
        <f>IF(OR(I98&lt;2,I98&gt;10),"",VLOOKUP(数值对比!I98,命格辅助表!$W$77:$AB$87,数值对比!O$2+1,0)*定义数据!$F$2)</f>
        <v/>
      </c>
      <c r="P98">
        <f>IF(OR(J98&lt;2,J98&gt;10),"",VLOOKUP(数值对比!J98,命格辅助表!$W$77:$AB$87,数值对比!P$2+1,0)*定义数据!$F$2)</f>
        <v>2616320</v>
      </c>
      <c r="Q98">
        <f t="shared" ref="Q98:Q103" si="20">MIN(L98:P98)</f>
        <v>2616320</v>
      </c>
      <c r="R98">
        <f t="shared" si="12"/>
        <v>2630400</v>
      </c>
      <c r="S98">
        <f>R98/$R$83*定义数据!$F$3</f>
        <v>29.297352342158863</v>
      </c>
      <c r="T98">
        <f t="shared" si="4"/>
        <v>0</v>
      </c>
      <c r="U98">
        <f t="shared" si="10"/>
        <v>0.99127268421761783</v>
      </c>
      <c r="V98">
        <f t="shared" ref="V98:V103" si="21">B98*7</f>
        <v>29.555290697112667</v>
      </c>
      <c r="W98">
        <f t="shared" si="5"/>
        <v>2.7056687624369964</v>
      </c>
      <c r="Y98">
        <f>'[2]1、经济推算'!$G97/3/60/60</f>
        <v>831.65851141134272</v>
      </c>
      <c r="Z98">
        <f t="shared" si="17"/>
        <v>3162.8366257397565</v>
      </c>
      <c r="AB98">
        <f>[2]命币的投放!$K106</f>
        <v>75.5</v>
      </c>
      <c r="AC98">
        <f>'[2]1、经济推算'!$I97+AC97</f>
        <v>1658.7370491181357</v>
      </c>
      <c r="AD98">
        <f>$AB98*$AC98*VLOOKUP(AD$37,猎命辅助表!$B$19:$D$25,3,0)</f>
        <v>72342.266468599613</v>
      </c>
      <c r="AE98">
        <f>$AB98*$AC98*VLOOKUP(AE$37,猎命辅助表!$B$19:$D$25,3,0)</f>
        <v>11702.332030838719</v>
      </c>
      <c r="AF98">
        <f>$AB98*$AC98*VLOOKUP(AF$37,猎命辅助表!$B$19:$D$25,3,0)</f>
        <v>1569.5228709113492</v>
      </c>
      <c r="AG98">
        <f>$AB98*$AC98*VLOOKUP(AG$37,猎命辅助表!$B$19:$D$25,3,0)</f>
        <v>205.83906503755404</v>
      </c>
      <c r="AH98">
        <f>$AB98*$AC98*VLOOKUP(AH$37,猎命辅助表!$B$19:$D$25,3,0)</f>
        <v>25.729883129694255</v>
      </c>
      <c r="AI98">
        <f>SUMPRODUCT(AD98:AH98,命格辅助表!$Q$76:$U$76)</f>
        <v>2081668.2532859598</v>
      </c>
      <c r="AJ98">
        <f t="shared" si="16"/>
        <v>1.2636019192048757</v>
      </c>
    </row>
    <row r="99" spans="1:36">
      <c r="A99">
        <v>96</v>
      </c>
      <c r="B99">
        <f>'[2]1、经济推算'!$G98/'[2]1、经济推算'!$G$82</f>
        <v>4.6476543016472229</v>
      </c>
      <c r="C99">
        <f>[1]人物总属性查询表!$C99/[1]人物总属性查询表!$C$83</f>
        <v>1.4996203631578697</v>
      </c>
      <c r="D99">
        <f t="shared" si="15"/>
        <v>0.32266176996563056</v>
      </c>
      <c r="F99">
        <f>INT($C99/定义数据!$K$2*定义数据!$F$3)</f>
        <v>110</v>
      </c>
      <c r="G99">
        <f>INT($C99/定义数据!$K$3*定义数据!$F$3)</f>
        <v>61</v>
      </c>
      <c r="H99">
        <f>INT($C99/定义数据!$K$4*定义数据!$F$3)</f>
        <v>34</v>
      </c>
      <c r="I99">
        <f>INT($C99/定义数据!$K$5*定义数据!$F$3)</f>
        <v>18</v>
      </c>
      <c r="J99">
        <f>INT($C99/定义数据!$K$6*定义数据!$F$3)</f>
        <v>10</v>
      </c>
      <c r="K99">
        <f t="shared" si="8"/>
        <v>5</v>
      </c>
      <c r="L99" t="str">
        <f>IF(OR(F99&lt;2,F99&gt;10),"",VLOOKUP(数值对比!F99,命格辅助表!$W$77:$AB$87,数值对比!L$2+1,0)*定义数据!$F$2)</f>
        <v/>
      </c>
      <c r="M99" t="str">
        <f>IF(OR(G99&lt;2,G99&gt;10),"",VLOOKUP(数值对比!G99,命格辅助表!$W$77:$AB$87,数值对比!M$2+1,0)*定义数据!$F$2)</f>
        <v/>
      </c>
      <c r="N99" t="str">
        <f>IF(OR(H99&lt;2,H99&gt;10),"",VLOOKUP(数值对比!H99,命格辅助表!$W$77:$AB$87,数值对比!N$2+1,0)*定义数据!$F$2)</f>
        <v/>
      </c>
      <c r="O99" t="str">
        <f>IF(OR(I99&lt;2,I99&gt;10),"",VLOOKUP(数值对比!I99,命格辅助表!$W$77:$AB$87,数值对比!O$2+1,0)*定义数据!$F$2)</f>
        <v/>
      </c>
      <c r="P99">
        <f>IF(OR(J99&lt;2,J99&gt;10),"",VLOOKUP(数值对比!J99,命格辅助表!$W$77:$AB$87,数值对比!P$2+1,0)*定义数据!$F$2)</f>
        <v>2616320</v>
      </c>
      <c r="Q99">
        <f t="shared" si="20"/>
        <v>2616320</v>
      </c>
      <c r="R99">
        <f t="shared" si="12"/>
        <v>2630400</v>
      </c>
      <c r="S99">
        <f>R99/$R$83*定义数据!$F$3</f>
        <v>29.297352342158863</v>
      </c>
      <c r="T99">
        <f>S99-S98</f>
        <v>0</v>
      </c>
      <c r="U99">
        <f t="shared" si="10"/>
        <v>0.90052654032303336</v>
      </c>
      <c r="V99">
        <f t="shared" si="21"/>
        <v>32.533580111530561</v>
      </c>
      <c r="W99">
        <f>V99-V98</f>
        <v>2.978289414417894</v>
      </c>
      <c r="Y99">
        <f>'[2]1、经济推算'!$G98/3/60/60</f>
        <v>915.46481757597542</v>
      </c>
      <c r="Z99">
        <f t="shared" si="17"/>
        <v>2873.2944723806386</v>
      </c>
      <c r="AB99">
        <f>[2]命币的投放!$K107</f>
        <v>76</v>
      </c>
      <c r="AC99">
        <f>'[2]1、经济推算'!$I98+AC98</f>
        <v>1826.3496614474011</v>
      </c>
      <c r="AD99">
        <f>$AB99*$AC99*VLOOKUP(AD$37,猎命辅助表!$B$19:$D$25,3,0)</f>
        <v>80179.830727331297</v>
      </c>
      <c r="AE99">
        <f>$AB99*$AC99*VLOOKUP(AE$37,猎命辅助表!$B$19:$D$25,3,0)</f>
        <v>12970.16318606694</v>
      </c>
      <c r="AF99">
        <f>$AB99*$AC99*VLOOKUP(AF$37,猎命辅助表!$B$19:$D$25,3,0)</f>
        <v>1739.5650462094666</v>
      </c>
      <c r="AG99">
        <f>$AB99*$AC99*VLOOKUP(AG$37,猎命辅助表!$B$19:$D$25,3,0)</f>
        <v>228.13967819140549</v>
      </c>
      <c r="AH99">
        <f>$AB99*$AC99*VLOOKUP(AH$37,猎命辅助表!$B$19:$D$25,3,0)</f>
        <v>28.517459773925687</v>
      </c>
      <c r="AI99">
        <f>SUMPRODUCT(AD99:AH99,命格辅助表!$Q$76:$U$76)</f>
        <v>2307196.2813243424</v>
      </c>
      <c r="AJ99">
        <f t="shared" si="16"/>
        <v>1.1400850553079676</v>
      </c>
    </row>
    <row r="100" spans="1:36">
      <c r="A100">
        <v>97</v>
      </c>
      <c r="B100">
        <f>'[2]1、经济推算'!$G99/'[2]1、经济推算'!$G$82</f>
        <v>5.1159941685211958</v>
      </c>
      <c r="C100">
        <f>[1]人物总属性查询表!$C100/[1]人物总属性查询表!$C$83</f>
        <v>1.5316563954831524</v>
      </c>
      <c r="D100">
        <f t="shared" si="15"/>
        <v>0.29938587594713489</v>
      </c>
      <c r="F100">
        <f>INT($C100/定义数据!$K$2*定义数据!$F$3)</f>
        <v>112</v>
      </c>
      <c r="G100">
        <f>INT($C100/定义数据!$K$3*定义数据!$F$3)</f>
        <v>62</v>
      </c>
      <c r="H100">
        <f>INT($C100/定义数据!$K$4*定义数据!$F$3)</f>
        <v>34</v>
      </c>
      <c r="I100">
        <f>INT($C100/定义数据!$K$5*定义数据!$F$3)</f>
        <v>19</v>
      </c>
      <c r="J100">
        <f>INT($C100/定义数据!$K$6*定义数据!$F$3)</f>
        <v>10</v>
      </c>
      <c r="K100">
        <f t="shared" si="8"/>
        <v>5</v>
      </c>
      <c r="L100" t="str">
        <f>IF(OR(F100&lt;2,F100&gt;10),"",VLOOKUP(数值对比!F100,命格辅助表!$W$77:$AB$87,数值对比!L$2+1,0)*定义数据!$F$2)</f>
        <v/>
      </c>
      <c r="M100" t="str">
        <f>IF(OR(G100&lt;2,G100&gt;10),"",VLOOKUP(数值对比!G100,命格辅助表!$W$77:$AB$87,数值对比!M$2+1,0)*定义数据!$F$2)</f>
        <v/>
      </c>
      <c r="N100" t="str">
        <f>IF(OR(H100&lt;2,H100&gt;10),"",VLOOKUP(数值对比!H100,命格辅助表!$W$77:$AB$87,数值对比!N$2+1,0)*定义数据!$F$2)</f>
        <v/>
      </c>
      <c r="O100" t="str">
        <f>IF(OR(I100&lt;2,I100&gt;10),"",VLOOKUP(数值对比!I100,命格辅助表!$W$77:$AB$87,数值对比!O$2+1,0)*定义数据!$F$2)</f>
        <v/>
      </c>
      <c r="P100">
        <f>IF(OR(J100&lt;2,J100&gt;10),"",VLOOKUP(数值对比!J100,命格辅助表!$W$77:$AB$87,数值对比!P$2+1,0)*定义数据!$F$2)</f>
        <v>2616320</v>
      </c>
      <c r="Q100">
        <f t="shared" si="20"/>
        <v>2616320</v>
      </c>
      <c r="R100">
        <f t="shared" si="12"/>
        <v>2630400</v>
      </c>
      <c r="S100">
        <f>R100/$R$83*定义数据!$F$3</f>
        <v>29.297352342158863</v>
      </c>
      <c r="T100">
        <f>S100-S99</f>
        <v>0</v>
      </c>
      <c r="U100">
        <f t="shared" si="10"/>
        <v>0.81808851046631093</v>
      </c>
      <c r="V100">
        <f t="shared" si="21"/>
        <v>35.811959179648369</v>
      </c>
      <c r="W100">
        <f>V100-V99</f>
        <v>3.2783790681178075</v>
      </c>
      <c r="Y100">
        <f>'[2]1、经济推算'!$G99/3/60/60</f>
        <v>1007.7153687065493</v>
      </c>
      <c r="Z100">
        <f t="shared" si="17"/>
        <v>2610.2608749296378</v>
      </c>
      <c r="AB100">
        <f>[2]命币的投放!$K108</f>
        <v>76.5</v>
      </c>
      <c r="AC100">
        <f>'[2]1、经济推算'!$I99+AC99</f>
        <v>2010.8507637085486</v>
      </c>
      <c r="AD100">
        <f>$AB100*$AC100*VLOOKUP(AD$37,猎命辅助表!$B$19:$D$25,3,0)</f>
        <v>88860.528088558873</v>
      </c>
      <c r="AE100">
        <f>$AB100*$AC100*VLOOKUP(AE$37,猎命辅助表!$B$19:$D$25,3,0)</f>
        <v>14374.382430765387</v>
      </c>
      <c r="AF100">
        <f>$AB100*$AC100*VLOOKUP(AF$37,猎命辅助表!$B$19:$D$25,3,0)</f>
        <v>1927.8996631490709</v>
      </c>
      <c r="AG100">
        <f>$AB100*$AC100*VLOOKUP(AG$37,猎命辅助表!$B$19:$D$25,3,0)</f>
        <v>252.83930008512408</v>
      </c>
      <c r="AH100">
        <f>$AB100*$AC100*VLOOKUP(AH$37,猎命辅助表!$B$19:$D$25,3,0)</f>
        <v>31.60491251064051</v>
      </c>
      <c r="AI100">
        <f>SUMPRODUCT(AD100:AH100,命格辅助表!$Q$76:$U$76)</f>
        <v>2556985.6920707435</v>
      </c>
      <c r="AJ100">
        <f t="shared" si="16"/>
        <v>1.0287112705233024</v>
      </c>
    </row>
    <row r="101" spans="1:36">
      <c r="A101">
        <v>98</v>
      </c>
      <c r="B101">
        <f>'[2]1、经济推算'!$G100/'[2]1、经济推算'!$G$82</f>
        <v>5.6315235220124551</v>
      </c>
      <c r="C101">
        <f>[1]人物总属性查询表!$C101/[1]人物总属性查询表!$C$83</f>
        <v>1.5637439013876648</v>
      </c>
      <c r="D101">
        <f t="shared" si="15"/>
        <v>0.27767688357783021</v>
      </c>
      <c r="F101">
        <f>INT($C101/定义数据!$K$2*定义数据!$F$3)</f>
        <v>114</v>
      </c>
      <c r="G101">
        <f>INT($C101/定义数据!$K$3*定义数据!$F$3)</f>
        <v>63</v>
      </c>
      <c r="H101">
        <f>INT($C101/定义数据!$K$4*定义数据!$F$3)</f>
        <v>35</v>
      </c>
      <c r="I101">
        <f>INT($C101/定义数据!$K$5*定义数据!$F$3)</f>
        <v>19</v>
      </c>
      <c r="J101">
        <f>INT($C101/定义数据!$K$6*定义数据!$F$3)</f>
        <v>10</v>
      </c>
      <c r="K101">
        <f t="shared" si="8"/>
        <v>5</v>
      </c>
      <c r="L101" t="str">
        <f>IF(OR(F101&lt;2,F101&gt;10),"",VLOOKUP(数值对比!F101,命格辅助表!$W$77:$AB$87,数值对比!L$2+1,0)*定义数据!$F$2)</f>
        <v/>
      </c>
      <c r="M101" t="str">
        <f>IF(OR(G101&lt;2,G101&gt;10),"",VLOOKUP(数值对比!G101,命格辅助表!$W$77:$AB$87,数值对比!M$2+1,0)*定义数据!$F$2)</f>
        <v/>
      </c>
      <c r="N101" t="str">
        <f>IF(OR(H101&lt;2,H101&gt;10),"",VLOOKUP(数值对比!H101,命格辅助表!$W$77:$AB$87,数值对比!N$2+1,0)*定义数据!$F$2)</f>
        <v/>
      </c>
      <c r="O101" t="str">
        <f>IF(OR(I101&lt;2,I101&gt;10),"",VLOOKUP(数值对比!I101,命格辅助表!$W$77:$AB$87,数值对比!O$2+1,0)*定义数据!$F$2)</f>
        <v/>
      </c>
      <c r="P101">
        <f>IF(OR(J101&lt;2,J101&gt;10),"",VLOOKUP(数值对比!J101,命格辅助表!$W$77:$AB$87,数值对比!P$2+1,0)*定义数据!$F$2)</f>
        <v>2616320</v>
      </c>
      <c r="Q101">
        <f t="shared" si="20"/>
        <v>2616320</v>
      </c>
      <c r="R101">
        <f t="shared" si="12"/>
        <v>2630400</v>
      </c>
      <c r="S101">
        <f>R101/$R$83*定义数据!$F$3</f>
        <v>29.297352342158863</v>
      </c>
      <c r="T101">
        <f>S101-S100</f>
        <v>0</v>
      </c>
      <c r="U101">
        <f t="shared" si="10"/>
        <v>0.74319782782052302</v>
      </c>
      <c r="V101">
        <f t="shared" si="21"/>
        <v>39.420664654087183</v>
      </c>
      <c r="W101">
        <f>V101-V100</f>
        <v>3.6087054744388141</v>
      </c>
      <c r="Y101">
        <f>'[2]1、经济推算'!$G100/3/60/60</f>
        <v>1109.2609990219685</v>
      </c>
      <c r="Z101">
        <f t="shared" si="17"/>
        <v>2371.3084678170553</v>
      </c>
      <c r="AB101">
        <f>[2]命币的投放!$K109</f>
        <v>77</v>
      </c>
      <c r="AC101">
        <f>'[2]1、经济推算'!$I100+AC100</f>
        <v>2213.942024339387</v>
      </c>
      <c r="AD101">
        <f>$AB101*$AC101*VLOOKUP(AD$37,猎命辅助表!$B$19:$D$25,3,0)</f>
        <v>98474.681192073549</v>
      </c>
      <c r="AE101">
        <f>$AB101*$AC101*VLOOKUP(AE$37,猎命辅助表!$B$19:$D$25,3,0)</f>
        <v>15929.600663546105</v>
      </c>
      <c r="AF101">
        <f>$AB101*$AC101*VLOOKUP(AF$37,猎命辅助表!$B$19:$D$25,3,0)</f>
        <v>2136.4863430668106</v>
      </c>
      <c r="AG101">
        <f>$AB101*$AC101*VLOOKUP(AG$37,猎命辅助表!$B$19:$D$25,3,0)</f>
        <v>280.19493023827027</v>
      </c>
      <c r="AH101">
        <f>$AB101*$AC101*VLOOKUP(AH$37,猎命辅助表!$B$19:$D$25,3,0)</f>
        <v>35.024366279783784</v>
      </c>
      <c r="AI101">
        <f>SUMPRODUCT(AD101:AH101,命格辅助表!$Q$76:$U$76)</f>
        <v>2833635.5438763141</v>
      </c>
      <c r="AJ101">
        <f t="shared" si="16"/>
        <v>0.9282774581524712</v>
      </c>
    </row>
    <row r="102" spans="1:36">
      <c r="A102">
        <v>99</v>
      </c>
      <c r="B102">
        <f>'[2]1、经济推算'!$G101/'[2]1、经济推算'!$G$82</f>
        <v>6.1989971306229155</v>
      </c>
      <c r="C102">
        <f>[1]人物总属性查询表!$C102/[1]人物总属性查询表!$C$83</f>
        <v>1.5958761221104789</v>
      </c>
      <c r="D102">
        <f t="shared" si="15"/>
        <v>0.25744101642294437</v>
      </c>
      <c r="F102">
        <f>INT($C102/定义数据!$K$2*定义数据!$F$3)</f>
        <v>117</v>
      </c>
      <c r="G102">
        <f>INT($C102/定义数据!$K$3*定义数据!$F$3)</f>
        <v>65</v>
      </c>
      <c r="H102">
        <f>INT($C102/定义数据!$K$4*定义数据!$F$3)</f>
        <v>36</v>
      </c>
      <c r="I102">
        <f>INT($C102/定义数据!$K$5*定义数据!$F$3)</f>
        <v>20</v>
      </c>
      <c r="J102">
        <f>INT($C102/定义数据!$K$6*定义数据!$F$3)</f>
        <v>11</v>
      </c>
      <c r="K102">
        <f t="shared" si="8"/>
        <v>5</v>
      </c>
      <c r="L102" t="str">
        <f>IF(OR(F102&lt;2,F102&gt;10),"",VLOOKUP(数值对比!F102,命格辅助表!$W$77:$AB$87,数值对比!L$2+1,0)*定义数据!$F$2)</f>
        <v/>
      </c>
      <c r="M102" t="str">
        <f>IF(OR(G102&lt;2,G102&gt;10),"",VLOOKUP(数值对比!G102,命格辅助表!$W$77:$AB$87,数值对比!M$2+1,0)*定义数据!$F$2)</f>
        <v/>
      </c>
      <c r="N102" t="str">
        <f>IF(OR(H102&lt;2,H102&gt;10),"",VLOOKUP(数值对比!H102,命格辅助表!$W$77:$AB$87,数值对比!N$2+1,0)*定义数据!$F$2)</f>
        <v/>
      </c>
      <c r="O102" t="str">
        <f>IF(OR(I102&lt;2,I102&gt;10),"",VLOOKUP(数值对比!I102,命格辅助表!$W$77:$AB$87,数值对比!O$2+1,0)*定义数据!$F$2)</f>
        <v/>
      </c>
      <c r="P102" t="str">
        <f>IF(OR(J102&lt;2,J102&gt;10),"",VLOOKUP(数值对比!J102,命格辅助表!$W$77:$AB$87,数值对比!P$2+1,0)*定义数据!$F$2)</f>
        <v/>
      </c>
      <c r="Q102">
        <f t="shared" si="20"/>
        <v>0</v>
      </c>
      <c r="R102">
        <f t="shared" si="12"/>
        <v>14080</v>
      </c>
      <c r="S102">
        <f>R102/$R$83*定义数据!$F$3</f>
        <v>0.15682281059063136</v>
      </c>
      <c r="T102">
        <f>S102-S101</f>
        <v>-29.14052953156823</v>
      </c>
      <c r="U102">
        <f t="shared" si="10"/>
        <v>3.6140133934137271E-3</v>
      </c>
      <c r="V102">
        <f t="shared" si="21"/>
        <v>43.39297991436041</v>
      </c>
      <c r="W102">
        <f>V102-V101</f>
        <v>3.972315260273227</v>
      </c>
      <c r="Y102">
        <f>'[2]1、经济推算'!$G101/3/60/60</f>
        <v>1221.0382720006478</v>
      </c>
      <c r="Z102">
        <f t="shared" si="17"/>
        <v>11.531170089312754</v>
      </c>
      <c r="AB102">
        <f>[2]命币的投放!$K110</f>
        <v>77.5</v>
      </c>
      <c r="AC102">
        <f>'[2]1、经济推算'!$I101+AC101</f>
        <v>2437.4965702967456</v>
      </c>
      <c r="AD102">
        <f>$AB102*$AC102*VLOOKUP(AD$37,猎命辅助表!$B$19:$D$25,3,0)</f>
        <v>109122.25451173623</v>
      </c>
      <c r="AE102">
        <f>$AB102*$AC102*VLOOKUP(AE$37,猎命辅助表!$B$19:$D$25,3,0)</f>
        <v>17651.988479021529</v>
      </c>
      <c r="AF102">
        <f>$AB102*$AC102*VLOOKUP(AF$37,猎命辅助表!$B$19:$D$25,3,0)</f>
        <v>2367.4938945397766</v>
      </c>
      <c r="AG102">
        <f>$AB102*$AC102*VLOOKUP(AG$37,猎命辅助表!$B$19:$D$25,3,0)</f>
        <v>310.49100256259368</v>
      </c>
      <c r="AH102">
        <f>$AB102*$AC102*VLOOKUP(AH$37,猎命辅助表!$B$19:$D$25,3,0)</f>
        <v>38.81137532032421</v>
      </c>
      <c r="AI102">
        <f>SUMPRODUCT(AD102:AH102,命格辅助表!$Q$76:$U$76)</f>
        <v>3140022.341471287</v>
      </c>
      <c r="AJ102">
        <f>R102/AI102</f>
        <v>4.4840445286139854E-3</v>
      </c>
    </row>
    <row r="103" spans="1:36">
      <c r="A103">
        <v>100</v>
      </c>
      <c r="B103">
        <f>'[2]1、经济推算'!$G102/'[2]1、经济推算'!$G$82</f>
        <v>6.8236488488782507</v>
      </c>
      <c r="C103">
        <f>[1]人物总属性查询表!$C103/[1]人物总属性查询表!$C$83</f>
        <v>1.6280464310035281</v>
      </c>
      <c r="D103">
        <f t="shared" si="15"/>
        <v>0.23858883524921787</v>
      </c>
      <c r="F103">
        <f>INT($C103/定义数据!$K$2*定义数据!$F$3)</f>
        <v>119</v>
      </c>
      <c r="G103">
        <f>INT($C103/定义数据!$K$3*定义数据!$F$3)</f>
        <v>66</v>
      </c>
      <c r="H103">
        <f>INT($C103/定义数据!$K$4*定义数据!$F$3)</f>
        <v>36</v>
      </c>
      <c r="I103">
        <f>INT($C103/定义数据!$K$5*定义数据!$F$3)</f>
        <v>20</v>
      </c>
      <c r="J103">
        <f>INT($C103/定义数据!$K$6*定义数据!$F$3)</f>
        <v>11</v>
      </c>
      <c r="K103">
        <f t="shared" si="8"/>
        <v>5</v>
      </c>
      <c r="L103" t="str">
        <f>IF(OR(F103&lt;2,F103&gt;10),"",VLOOKUP(数值对比!F103,命格辅助表!$W$77:$AB$87,数值对比!L$2+1,0)*定义数据!$F$2)</f>
        <v/>
      </c>
      <c r="M103" t="str">
        <f>IF(OR(G103&lt;2,G103&gt;10),"",VLOOKUP(数值对比!G103,命格辅助表!$W$77:$AB$87,数值对比!M$2+1,0)*定义数据!$F$2)</f>
        <v/>
      </c>
      <c r="N103" t="str">
        <f>IF(OR(H103&lt;2,H103&gt;10),"",VLOOKUP(数值对比!H103,命格辅助表!$W$77:$AB$87,数值对比!N$2+1,0)*定义数据!$F$2)</f>
        <v/>
      </c>
      <c r="O103" t="str">
        <f>IF(OR(I103&lt;2,I103&gt;10),"",VLOOKUP(数值对比!I103,命格辅助表!$W$77:$AB$87,数值对比!O$2+1,0)*定义数据!$F$2)</f>
        <v/>
      </c>
      <c r="P103" t="str">
        <f>IF(OR(J103&lt;2,J103&gt;10),"",VLOOKUP(数值对比!J103,命格辅助表!$W$77:$AB$87,数值对比!P$2+1,0)*定义数据!$F$2)</f>
        <v/>
      </c>
      <c r="Q103">
        <f t="shared" si="20"/>
        <v>0</v>
      </c>
      <c r="R103">
        <f t="shared" si="12"/>
        <v>14080</v>
      </c>
      <c r="S103">
        <f>R103/$R$83*定义数据!$F$3</f>
        <v>0.15682281059063136</v>
      </c>
      <c r="T103">
        <f>S103-S102</f>
        <v>0</v>
      </c>
      <c r="U103">
        <f t="shared" si="10"/>
        <v>3.2831787144919368E-3</v>
      </c>
      <c r="V103">
        <f t="shared" si="21"/>
        <v>47.765541942147756</v>
      </c>
      <c r="W103">
        <f>V103-V102</f>
        <v>4.372562027787346</v>
      </c>
      <c r="Y103">
        <f>'[2]1、经济推算'!$G102/3/60/60</f>
        <v>1344.0781183804584</v>
      </c>
      <c r="Z103">
        <f t="shared" si="17"/>
        <v>10.475581595633475</v>
      </c>
      <c r="AB103">
        <f>[2]命币的投放!$K111</f>
        <v>78</v>
      </c>
      <c r="AC103">
        <f>'[2]1、经济推算'!$I102+AC102</f>
        <v>2683.5762630563668</v>
      </c>
      <c r="AD103">
        <f>$AB103*$AC103*VLOOKUP(AD$37,猎命辅助表!$B$19:$D$25,3,0)</f>
        <v>120913.88036925718</v>
      </c>
      <c r="AE103">
        <f>$AB103*$AC103*VLOOKUP(AE$37,猎命辅助表!$B$19:$D$25,3,0)</f>
        <v>19559.442139296716</v>
      </c>
      <c r="AF103">
        <f>$AB103*$AC103*VLOOKUP(AF$37,猎命辅助表!$B$19:$D$25,3,0)</f>
        <v>2623.3225735685414</v>
      </c>
      <c r="AG103">
        <f>$AB103*$AC103*VLOOKUP(AG$37,猎命辅助表!$B$19:$D$25,3,0)</f>
        <v>344.0423047303006</v>
      </c>
      <c r="AH103">
        <f>$AB103*$AC103*VLOOKUP(AH$37,猎命辅助表!$B$19:$D$25,3,0)</f>
        <v>43.005288091287575</v>
      </c>
      <c r="AI103">
        <f>SUMPRODUCT(AD103:AH103,命格辅助表!$Q$76:$U$76)</f>
        <v>3479329.5597885563</v>
      </c>
      <c r="AJ103">
        <f>R103/AI103</f>
        <v>4.0467566403383937E-3</v>
      </c>
    </row>
    <row r="104" spans="1:36">
      <c r="Z104">
        <f>AVERAGE(Z40:Z83)</f>
        <v>1815.7463663763569</v>
      </c>
    </row>
    <row r="106" spans="1:36">
      <c r="Q106">
        <f>Q83/186</f>
        <v>1734.1935483870968</v>
      </c>
    </row>
  </sheetData>
  <phoneticPr fontId="1" type="noConversion"/>
  <conditionalFormatting sqref="F4:J103">
    <cfRule type="cellIs" dxfId="0" priority="1" operator="between">
      <formula>1</formula>
      <formula>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29"/>
  <sheetViews>
    <sheetView workbookViewId="0">
      <selection activeCell="G15" sqref="G15"/>
    </sheetView>
  </sheetViews>
  <sheetFormatPr defaultRowHeight="14.4"/>
  <sheetData>
    <row r="1" spans="1:21">
      <c r="B1" s="3" t="s">
        <v>230</v>
      </c>
      <c r="C1" s="3" t="s">
        <v>231</v>
      </c>
      <c r="E1" s="3" t="s">
        <v>232</v>
      </c>
      <c r="F1" s="3">
        <f>[1]命格规划!B1</f>
        <v>8</v>
      </c>
      <c r="H1" s="3" t="str">
        <f>[1]命格规划!C12</f>
        <v>品质ID</v>
      </c>
      <c r="I1" s="3" t="str">
        <f>[1]命格规划!D12</f>
        <v>品质颜色</v>
      </c>
      <c r="J1" s="3" t="str">
        <f>[1]命格规划!E12</f>
        <v>占比系数</v>
      </c>
      <c r="K1" s="3" t="str">
        <f>[1]命格规划!F12</f>
        <v>百分比</v>
      </c>
      <c r="L1" s="3" t="str">
        <f>[1]命格规划!G12</f>
        <v>命格属性</v>
      </c>
      <c r="M1" s="3" t="str">
        <f>[1]命格规划!H12</f>
        <v>每级别命格属性</v>
      </c>
    </row>
    <row r="2" spans="1:21">
      <c r="B2" s="3" t="s">
        <v>85</v>
      </c>
      <c r="C2" s="3">
        <v>0</v>
      </c>
      <c r="E2" s="3" t="s">
        <v>233</v>
      </c>
      <c r="F2" s="3">
        <f>[1]命格规划!B2</f>
        <v>8</v>
      </c>
      <c r="H2" s="3">
        <f>[1]命格规划!C13</f>
        <v>1</v>
      </c>
      <c r="I2" s="3" t="str">
        <f>[1]命格规划!D13</f>
        <v>绿</v>
      </c>
      <c r="J2" s="3">
        <f>[1]命格规划!E13</f>
        <v>1</v>
      </c>
      <c r="K2" s="3">
        <f>[1]命格规划!F13</f>
        <v>9.5259868922420346E-2</v>
      </c>
      <c r="L2" s="3">
        <f>[1]命格规划!G13</f>
        <v>1.1907483615302543E-2</v>
      </c>
      <c r="M2" s="3">
        <f>[1]命格规划!H13</f>
        <v>1.1907483615302543E-2</v>
      </c>
    </row>
    <row r="3" spans="1:21">
      <c r="B3" s="3" t="s">
        <v>235</v>
      </c>
      <c r="C3" s="3">
        <v>1</v>
      </c>
      <c r="E3" s="3" t="s">
        <v>236</v>
      </c>
      <c r="F3" s="3">
        <f>[1]命格规划!B3</f>
        <v>7</v>
      </c>
      <c r="H3" s="3">
        <f>[1]命格规划!C14</f>
        <v>2</v>
      </c>
      <c r="I3" s="3" t="str">
        <f>[1]命格规划!D14</f>
        <v>蓝</v>
      </c>
      <c r="J3" s="3">
        <f>[1]命格规划!E14</f>
        <v>1.8</v>
      </c>
      <c r="K3" s="3">
        <f>[1]命格规划!F14</f>
        <v>0.17146776406035663</v>
      </c>
      <c r="L3" s="3">
        <f>[1]命格规划!G14</f>
        <v>2.1433470507544579E-2</v>
      </c>
      <c r="M3" s="3">
        <f>[1]命格规划!H14</f>
        <v>2.1433470507544579E-2</v>
      </c>
    </row>
    <row r="4" spans="1:21">
      <c r="B4" s="3" t="s">
        <v>238</v>
      </c>
      <c r="C4" s="3">
        <v>2</v>
      </c>
      <c r="E4" s="3" t="s">
        <v>239</v>
      </c>
      <c r="F4" s="3" t="str">
        <f>[1]命格规划!B4</f>
        <v>命格</v>
      </c>
      <c r="H4" s="3">
        <f>[1]命格规划!C15</f>
        <v>3</v>
      </c>
      <c r="I4" s="3" t="str">
        <f>[1]命格规划!D15</f>
        <v>紫</v>
      </c>
      <c r="J4" s="3">
        <f>[1]命格规划!E15</f>
        <v>3.24</v>
      </c>
      <c r="K4" s="3">
        <f>[1]命格规划!F15</f>
        <v>0.30864197530864196</v>
      </c>
      <c r="L4" s="3">
        <f>[1]命格规划!G15</f>
        <v>3.8580246913580245E-2</v>
      </c>
      <c r="M4" s="3">
        <f>[1]命格规划!H15</f>
        <v>3.8580246913580245E-2</v>
      </c>
    </row>
    <row r="5" spans="1:21">
      <c r="B5" s="3" t="s">
        <v>86</v>
      </c>
      <c r="C5" s="3">
        <v>3</v>
      </c>
      <c r="H5" s="3">
        <f>[1]命格规划!C16</f>
        <v>4</v>
      </c>
      <c r="I5" s="3" t="str">
        <f>[1]命格规划!D16</f>
        <v>橙</v>
      </c>
      <c r="J5" s="3">
        <f>[1]命格规划!E16</f>
        <v>5.8320000000000007</v>
      </c>
      <c r="K5" s="3">
        <f>[1]命格规划!F16</f>
        <v>0.55555555555555547</v>
      </c>
      <c r="L5" s="3">
        <f>[1]命格规划!G16</f>
        <v>6.9444444444444434E-2</v>
      </c>
      <c r="M5" s="3">
        <f>[1]命格规划!H16</f>
        <v>6.9444444444444434E-2</v>
      </c>
    </row>
    <row r="6" spans="1:21">
      <c r="B6" s="3" t="s">
        <v>87</v>
      </c>
      <c r="C6" s="3">
        <v>4</v>
      </c>
      <c r="H6" s="3">
        <f>[1]命格规划!C17</f>
        <v>5</v>
      </c>
      <c r="I6" s="3" t="str">
        <f>[1]命格规划!D17</f>
        <v>红</v>
      </c>
      <c r="J6" s="3">
        <f>[1]命格规划!E17</f>
        <v>10.497600000000002</v>
      </c>
      <c r="K6" s="3">
        <f>[1]命格规划!F17</f>
        <v>1</v>
      </c>
      <c r="L6" s="3">
        <f>[1]命格规划!G17</f>
        <v>0.125</v>
      </c>
      <c r="M6" s="3">
        <f>[1]命格规划!H17</f>
        <v>0.125</v>
      </c>
    </row>
    <row r="7" spans="1:21">
      <c r="B7" s="3" t="s">
        <v>241</v>
      </c>
      <c r="C7" s="7">
        <v>5</v>
      </c>
    </row>
    <row r="12" spans="1:21">
      <c r="A12" s="3"/>
      <c r="B12" s="3" t="s">
        <v>242</v>
      </c>
      <c r="C12" s="3" t="s">
        <v>243</v>
      </c>
    </row>
    <row r="13" spans="1:21">
      <c r="A13" s="3"/>
      <c r="B13" s="3">
        <f>'[1]0、规划配置'!C2</f>
        <v>0</v>
      </c>
      <c r="C13" s="3" t="str">
        <f>'[1]0、规划配置'!$B2</f>
        <v>无属性</v>
      </c>
      <c r="G13" s="5" t="str">
        <f>[1]各种公式!C12</f>
        <v>生命</v>
      </c>
      <c r="H13" s="5" t="str">
        <f>[1]各种公式!D12</f>
        <v>攻击</v>
      </c>
      <c r="I13" s="5" t="str">
        <f>[1]各种公式!E12</f>
        <v>防御</v>
      </c>
      <c r="J13" s="5" t="str">
        <f>[1]各种公式!F12</f>
        <v>闪避值</v>
      </c>
      <c r="K13" s="5" t="str">
        <f>[1]各种公式!G12</f>
        <v>命中值</v>
      </c>
      <c r="L13" s="5" t="str">
        <f>[1]各种公式!H12</f>
        <v>暴击值</v>
      </c>
      <c r="M13" s="5" t="str">
        <f>[1]各种公式!I12</f>
        <v>暴击倍数</v>
      </c>
      <c r="N13" s="5" t="str">
        <f>[1]各种公式!J12</f>
        <v>韧性值</v>
      </c>
      <c r="O13" s="5" t="str">
        <f>[1]各种公式!K12</f>
        <v>伤害减免</v>
      </c>
      <c r="P13" s="5" t="str">
        <f>[1]各种公式!L12</f>
        <v>伤害加深</v>
      </c>
      <c r="Q13" s="5" t="str">
        <f>[1]各种公式!M12</f>
        <v>生命加成</v>
      </c>
      <c r="R13" s="5" t="str">
        <f>[1]各种公式!N12</f>
        <v>攻击加成</v>
      </c>
      <c r="S13" s="5" t="str">
        <f>[1]各种公式!O12</f>
        <v>防御加成</v>
      </c>
      <c r="T13" s="5"/>
      <c r="U13" s="5"/>
    </row>
    <row r="14" spans="1:21">
      <c r="A14" s="3">
        <v>1</v>
      </c>
      <c r="B14" s="13">
        <f>'[1]0、规划配置'!C3</f>
        <v>1</v>
      </c>
      <c r="C14" s="3" t="str">
        <f>'[1]0、规划配置'!$B3</f>
        <v>生命</v>
      </c>
      <c r="G14" s="5">
        <f>[1]各种公式!C13</f>
        <v>0.04</v>
      </c>
      <c r="H14" s="5">
        <f>[1]各种公式!D13</f>
        <v>1</v>
      </c>
      <c r="I14" s="5">
        <f>[1]各种公式!E13</f>
        <v>1</v>
      </c>
      <c r="J14" s="5">
        <f>[1]各种公式!F13</f>
        <v>0.34</v>
      </c>
      <c r="K14" s="5">
        <f>[1]各种公式!G13</f>
        <v>0.34</v>
      </c>
      <c r="L14" s="5">
        <f>[1]各种公式!H13</f>
        <v>0.18</v>
      </c>
      <c r="M14" s="5">
        <f>[1]各种公式!I13</f>
        <v>0.12</v>
      </c>
      <c r="N14" s="5">
        <f>[1]各种公式!J13</f>
        <v>0.18</v>
      </c>
      <c r="O14" s="5">
        <f>[1]各种公式!K13</f>
        <v>0.3</v>
      </c>
      <c r="P14" s="5">
        <f>[1]各种公式!L13</f>
        <v>0.3</v>
      </c>
      <c r="Q14" s="5">
        <f>[1]各种公式!M13</f>
        <v>0.4</v>
      </c>
      <c r="R14" s="5">
        <f>[1]各种公式!N13</f>
        <v>0.36</v>
      </c>
      <c r="S14" s="5">
        <f>[1]各种公式!O13</f>
        <v>0.24</v>
      </c>
      <c r="T14" s="5"/>
      <c r="U14" s="5"/>
    </row>
    <row r="15" spans="1:21">
      <c r="A15" s="3">
        <v>2</v>
      </c>
      <c r="B15" s="13">
        <f>'[1]0、规划配置'!C4</f>
        <v>2</v>
      </c>
      <c r="C15" s="3" t="str">
        <f>'[1]0、规划配置'!$B4</f>
        <v>攻击</v>
      </c>
    </row>
    <row r="16" spans="1:21">
      <c r="A16" s="3">
        <v>3</v>
      </c>
      <c r="B16" s="13">
        <f>'[1]0、规划配置'!C5</f>
        <v>3</v>
      </c>
      <c r="C16" s="3" t="str">
        <f>'[1]0、规划配置'!$B5</f>
        <v>防御</v>
      </c>
      <c r="G16">
        <v>4.0841892379179845E-2</v>
      </c>
      <c r="H16">
        <v>1</v>
      </c>
      <c r="I16">
        <v>1</v>
      </c>
      <c r="J16">
        <v>0.28997917574982496</v>
      </c>
      <c r="K16">
        <v>0.28997917574982496</v>
      </c>
      <c r="L16">
        <v>7.9853515788829169E-2</v>
      </c>
      <c r="M16">
        <v>8.3750650128586859E-2</v>
      </c>
      <c r="N16">
        <v>7.9853515788829169E-2</v>
      </c>
      <c r="O16">
        <v>0.24954223684009116</v>
      </c>
      <c r="P16">
        <v>0.24954223684009116</v>
      </c>
      <c r="Q16">
        <v>0.33830710518029083</v>
      </c>
      <c r="R16">
        <v>0.2994506842081095</v>
      </c>
      <c r="S16">
        <v>0.19963378947207297</v>
      </c>
    </row>
    <row r="17" spans="1:19">
      <c r="A17" s="3"/>
      <c r="B17" s="3">
        <f>'[1]0、规划配置'!C6</f>
        <v>4</v>
      </c>
      <c r="C17" s="3" t="str">
        <f>'[1]0、规划配置'!$B6</f>
        <v>无属性</v>
      </c>
    </row>
    <row r="18" spans="1:19">
      <c r="A18" s="3"/>
      <c r="B18" s="3">
        <f>'[1]0、规划配置'!C7</f>
        <v>5</v>
      </c>
      <c r="C18" s="3" t="str">
        <f>'[1]0、规划配置'!$B7</f>
        <v>无属性</v>
      </c>
      <c r="G18" s="55">
        <v>4.0841892379179845E-2</v>
      </c>
      <c r="H18" s="55">
        <v>1</v>
      </c>
      <c r="I18" s="55">
        <v>1</v>
      </c>
      <c r="J18" s="55">
        <v>0.28997917574982496</v>
      </c>
      <c r="K18" s="55">
        <v>0.28997917574982496</v>
      </c>
      <c r="L18" s="55">
        <v>0.14925298030006315</v>
      </c>
      <c r="M18" s="55">
        <v>9.9816894736036471E-2</v>
      </c>
      <c r="N18" s="55">
        <v>0.14925298030006315</v>
      </c>
      <c r="O18" s="55">
        <v>0.24954223684009116</v>
      </c>
      <c r="P18" s="55">
        <v>0.24954223684009116</v>
      </c>
      <c r="Q18" s="55">
        <v>0.33830710518029083</v>
      </c>
      <c r="R18" s="55">
        <v>0.2994506842081095</v>
      </c>
      <c r="S18" s="55">
        <v>0.19963378947207297</v>
      </c>
    </row>
    <row r="19" spans="1:19">
      <c r="A19" s="3">
        <v>5</v>
      </c>
      <c r="B19" s="13">
        <f>'[1]0、规划配置'!C8</f>
        <v>6</v>
      </c>
      <c r="C19" s="3" t="str">
        <f>'[1]0、规划配置'!$B8</f>
        <v>命中值</v>
      </c>
    </row>
    <row r="20" spans="1:19">
      <c r="A20" s="3">
        <v>4</v>
      </c>
      <c r="B20" s="13">
        <f>'[1]0、规划配置'!C9</f>
        <v>7</v>
      </c>
      <c r="C20" s="3" t="str">
        <f>'[1]0、规划配置'!$B9</f>
        <v>闪避值</v>
      </c>
    </row>
    <row r="21" spans="1:19">
      <c r="A21" s="3">
        <v>6</v>
      </c>
      <c r="B21" s="13">
        <f>'[1]0、规划配置'!C10</f>
        <v>8</v>
      </c>
      <c r="C21" s="3" t="str">
        <f>'[1]0、规划配置'!$B10</f>
        <v>暴击值</v>
      </c>
    </row>
    <row r="22" spans="1:19">
      <c r="A22" s="3">
        <v>8</v>
      </c>
      <c r="B22" s="13">
        <f>'[1]0、规划配置'!C11</f>
        <v>9</v>
      </c>
      <c r="C22" s="3" t="str">
        <f>'[1]0、规划配置'!$B11</f>
        <v>韧性值</v>
      </c>
    </row>
    <row r="23" spans="1:19">
      <c r="A23" s="3">
        <v>7</v>
      </c>
      <c r="B23" s="13">
        <f>'[1]0、规划配置'!C12</f>
        <v>10</v>
      </c>
      <c r="C23" s="3" t="str">
        <f>'[1]0、规划配置'!$B12</f>
        <v>暴击倍数</v>
      </c>
    </row>
    <row r="24" spans="1:19">
      <c r="A24" s="3"/>
      <c r="B24" s="3">
        <f>'[1]0、规划配置'!C13</f>
        <v>11</v>
      </c>
      <c r="C24" s="3" t="str">
        <f>'[1]0、规划配置'!$B13</f>
        <v>无属性</v>
      </c>
    </row>
    <row r="25" spans="1:19">
      <c r="A25" s="3">
        <v>11</v>
      </c>
      <c r="B25" s="7">
        <f>'[1]0、规划配置'!C14</f>
        <v>21</v>
      </c>
      <c r="C25" s="3" t="str">
        <f>'[1]0、规划配置'!$B14</f>
        <v>生命加成</v>
      </c>
    </row>
    <row r="26" spans="1:19">
      <c r="A26" s="3">
        <v>12</v>
      </c>
      <c r="B26" s="3">
        <f>'[1]0、规划配置'!C15</f>
        <v>22</v>
      </c>
      <c r="C26" s="3" t="str">
        <f>'[1]0、规划配置'!$B15</f>
        <v>攻击加成</v>
      </c>
    </row>
    <row r="27" spans="1:19">
      <c r="A27" s="3">
        <v>13</v>
      </c>
      <c r="B27" s="3">
        <f>'[1]0、规划配置'!C16</f>
        <v>23</v>
      </c>
      <c r="C27" s="3" t="str">
        <f>'[1]0、规划配置'!$B16</f>
        <v>防御加成</v>
      </c>
    </row>
    <row r="28" spans="1:19">
      <c r="A28" s="3">
        <v>10</v>
      </c>
      <c r="B28" s="13">
        <f>'[1]0、规划配置'!C17</f>
        <v>24</v>
      </c>
      <c r="C28" s="3" t="str">
        <f>'[1]0、规划配置'!$B17</f>
        <v>伤害加深</v>
      </c>
    </row>
    <row r="29" spans="1:19">
      <c r="A29" s="3">
        <v>9</v>
      </c>
      <c r="B29" s="13">
        <f>'[1]0、规划配置'!C18</f>
        <v>25</v>
      </c>
      <c r="C29" s="3" t="str">
        <f>'[1]0、规划配置'!$B18</f>
        <v>伤害减免</v>
      </c>
    </row>
  </sheetData>
  <sortState ref="A34:C49">
    <sortCondition ref="A34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8</vt:i4>
      </vt:variant>
      <vt:variant>
        <vt:lpstr>Excel 4.0 宏表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11" baseType="lpstr">
      <vt:lpstr>D_LIEMING</vt:lpstr>
      <vt:lpstr>D_猎命产出表</vt:lpstr>
      <vt:lpstr>D_命格表</vt:lpstr>
      <vt:lpstr>D_命格装备表</vt:lpstr>
      <vt:lpstr>猎命辅助表</vt:lpstr>
      <vt:lpstr>命格辅助表</vt:lpstr>
      <vt:lpstr>数值对比</vt:lpstr>
      <vt:lpstr>定义数据</vt:lpstr>
      <vt:lpstr>D_猎命表</vt:lpstr>
      <vt:lpstr>命格属性表</vt:lpstr>
      <vt:lpstr>命格数据查询表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Ycat008</dc:creator>
  <cp:lastModifiedBy>jinxin</cp:lastModifiedBy>
  <dcterms:created xsi:type="dcterms:W3CDTF">2006-09-16T00:00:00Z</dcterms:created>
  <dcterms:modified xsi:type="dcterms:W3CDTF">2015-08-27T02:00:43Z</dcterms:modified>
</cp:coreProperties>
</file>